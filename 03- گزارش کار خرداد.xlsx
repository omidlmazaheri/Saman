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idL\Documents\پروژه ها\"/>
    </mc:Choice>
  </mc:AlternateContent>
  <bookViews>
    <workbookView xWindow="0" yWindow="0" windowWidth="21600" windowHeight="9660"/>
  </bookViews>
  <sheets>
    <sheet name="جزییات کارکرد" sheetId="1" r:id="rId1"/>
    <sheet name="گزارش کار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C39" i="1"/>
  <c r="B41" i="1" l="1"/>
  <c r="C41" i="1"/>
  <c r="B40" i="1"/>
  <c r="C40" i="1"/>
  <c r="B38" i="1"/>
  <c r="C38" i="1"/>
  <c r="B37" i="1"/>
  <c r="C37" i="1"/>
  <c r="B35" i="1" l="1"/>
  <c r="C35" i="1"/>
  <c r="B36" i="1"/>
  <c r="C36" i="1"/>
  <c r="B34" i="1"/>
  <c r="C34" i="1"/>
  <c r="B33" i="1"/>
  <c r="C33" i="1"/>
  <c r="B32" i="1"/>
  <c r="C32" i="1"/>
  <c r="C30" i="1"/>
  <c r="B31" i="1"/>
  <c r="C31" i="1" s="1"/>
  <c r="B30" i="1"/>
  <c r="B29" i="1"/>
  <c r="C29" i="1" s="1"/>
  <c r="B5" i="1"/>
  <c r="C5" i="1" s="1"/>
  <c r="B3" i="1"/>
  <c r="C3" i="1" s="1"/>
  <c r="B4" i="1"/>
  <c r="C4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" i="1"/>
  <c r="C2" i="1" s="1"/>
</calcChain>
</file>

<file path=xl/sharedStrings.xml><?xml version="1.0" encoding="utf-8"?>
<sst xmlns="http://schemas.openxmlformats.org/spreadsheetml/2006/main" count="338" uniqueCount="88">
  <si>
    <t>تاریخ</t>
  </si>
  <si>
    <t>پروژه</t>
  </si>
  <si>
    <t>حوزه فعالیت</t>
  </si>
  <si>
    <t>موضوع فعالیت</t>
  </si>
  <si>
    <t>99/03/03</t>
  </si>
  <si>
    <t>شرح فعالیت</t>
  </si>
  <si>
    <t>مدت</t>
  </si>
  <si>
    <t>منابع انسانی</t>
  </si>
  <si>
    <t>ساختار سازمانی</t>
  </si>
  <si>
    <t>گفتگو با خانم اسکندریان و ارائه توضیح روند فروش در واحد فروش، امور مشتریان و توضیح و همفکری در خصوص فرآیند فروش و پیشنهاد ارائه شده به مدیریت در این خصوص</t>
  </si>
  <si>
    <t>صندوق توسعه صنایع دریایی</t>
  </si>
  <si>
    <t>مدیریت پروژه</t>
  </si>
  <si>
    <t>گفتگو با آقای کاشانی درخصوص وضعیت پرداخت صندوق</t>
  </si>
  <si>
    <t>گفتگو با آقای اسکندریان درخصوص وضعیت پرداخت صندوق</t>
  </si>
  <si>
    <t>سازمان فضایی ایران</t>
  </si>
  <si>
    <t>نرم افزار موبایل</t>
  </si>
  <si>
    <t>پاسخ به بهزاد اسکندریان در خصوص وضعیت تایید و تحویل قطعی توسعه نرم افزار موبایل سازمان فضایی ایران</t>
  </si>
  <si>
    <t>مجری</t>
  </si>
  <si>
    <t>ابراهیمی</t>
  </si>
  <si>
    <t>خدمات و فرآیندهای سازمانی</t>
  </si>
  <si>
    <t>گفتگو با خانم مهرپویا جهت رفع ابهام بخشی از سند بازدید</t>
  </si>
  <si>
    <t>بررسی گزارش کار، برنامه هفته آینده، گزارش کارکرد اردیبهشت، خود ارزیابی و ارزیابی عملکرد من در فروردین و اردیبهشت، گزارشی از آخرین توافق (صورتجلسه) با راهداری با آقای لک</t>
  </si>
  <si>
    <t>مستند سازی</t>
  </si>
  <si>
    <t>وزارت صمت</t>
  </si>
  <si>
    <t>فروش</t>
  </si>
  <si>
    <t>برآورد</t>
  </si>
  <si>
    <t>جلسه با آقای اسکندریان در خصوص ارائه راهکار جهت جمع بندی توافق پروژه مهاجرت وزارت صمت</t>
  </si>
  <si>
    <t>مالی و اداری</t>
  </si>
  <si>
    <t>حقوق و دستمزد</t>
  </si>
  <si>
    <t>دریافت جزییات محاسبه حقوق و دستمزد و روش محاسبه ریالی ارزیابی عملکرد</t>
  </si>
  <si>
    <t>بانک اقتصاد نوین</t>
  </si>
  <si>
    <t>پیکربندی امنیتی و کارایی</t>
  </si>
  <si>
    <t>بررسی گزارش جزییات موارد امنیتی اعلام شده بانک اقتصادنوین</t>
  </si>
  <si>
    <t>جلسه با آقای اسکندریان و نشاطی در خصوص توسعه ماژول ثبت نام در صندوق</t>
  </si>
  <si>
    <t>99/03/06</t>
  </si>
  <si>
    <t>ارسال فایل کارکرد اردیبهشت برای واحد مالی و اصلاح فایل خرداد</t>
  </si>
  <si>
    <t>مجموع از مدت</t>
  </si>
  <si>
    <t>امور پروژه ها</t>
  </si>
  <si>
    <t>مشترک</t>
  </si>
  <si>
    <t>جلسه با آقای لک در خصوص گزارش و برنامه هفته</t>
  </si>
  <si>
    <t>بیمه سینا</t>
  </si>
  <si>
    <t>پاسخ به تیکت بیمه سینا جهت برآورد درخواست توسعه باشگاه مشتریان بیمه سینا</t>
  </si>
  <si>
    <t>پاسخ به ایمیل اکبری در خصوص برآورد وزارت صمت</t>
  </si>
  <si>
    <t>99/03/01</t>
  </si>
  <si>
    <t>پاسخ به ایمیل های بیمه سینا در خصوص برآورد توسعه باشگاه مشتریان</t>
  </si>
  <si>
    <t>طرح پیشنهاد برگزاری جلسات آموزش برای امور مشتریان جهت برون رفت از مشکلات حاضر با خانم اکبری</t>
  </si>
  <si>
    <t>اصلاح گزارش کار در فایل گزارش کار خرداد</t>
  </si>
  <si>
    <t>گفتگو با آقای نشاطی در خصوص موضوع حقوق و دستمزد و نحوه محاسبه تمام وقت و ساعتی</t>
  </si>
  <si>
    <t>هزینه</t>
  </si>
  <si>
    <t>مجموع از هزینه</t>
  </si>
  <si>
    <t>پاسخ به ایمیل خانم اکبری در خصوص موضوع براورد وزارت صمت</t>
  </si>
  <si>
    <t>مشتری</t>
  </si>
  <si>
    <t>پورتال اینترنتی</t>
  </si>
  <si>
    <t>شروع</t>
  </si>
  <si>
    <t>پایان</t>
  </si>
  <si>
    <t>فاز 2 باشگاه مشتریان</t>
  </si>
  <si>
    <t>سامانه صنایع دریایی</t>
  </si>
  <si>
    <t>کانورت اطلاعات</t>
  </si>
  <si>
    <t>گفتگو با آقای نشاطی و خانم اسکندریان در خصوص کانورت اطلاعات وزارت صمت</t>
  </si>
  <si>
    <t>گفتگو با آقای نشاطی در خصوص آغاز توسعه ماژول فیش حقوقی و کانورت اطلاعات راهداری</t>
  </si>
  <si>
    <t>سازمان راهداری و حمل و نقل جاده ای</t>
  </si>
  <si>
    <t>هماهنگی و ارتباطات</t>
  </si>
  <si>
    <t>هماهنگی و ارتباطات با نماینده کارفرما و خانم اقتداری جهت تعیین و تکلیف وضعیت پرداخت</t>
  </si>
  <si>
    <t>پاسخ به نامه گزارش امنیتی بانک، هماهنگی و ارتباطات با آقای موسوی جهت اعمال تنظیمات، ارسال پیام به نماینده کارفرما جهت زمان بندی بهره برداری از پروژه</t>
  </si>
  <si>
    <t>هماهنگی بانماینده کارفرما و خانم ماهوسکی و آقای موسوی جهت مشارکت در یک جلسه مشترک با واحد امنیت بانک</t>
  </si>
  <si>
    <t>گزارش کار</t>
  </si>
  <si>
    <t>ایجاد فایل اکسل گزارش کار و ...</t>
  </si>
  <si>
    <t>جستجوی فایل اکسل گزارش کار و ...</t>
  </si>
  <si>
    <t>اصلاح فایل گزارش کار ماهانه</t>
  </si>
  <si>
    <t>مهاجرت به سوئیت</t>
  </si>
  <si>
    <t>برنامه ریزی</t>
  </si>
  <si>
    <t>نصب، راه اندازی و ... سامان سوئیت</t>
  </si>
  <si>
    <t>مدیریت</t>
  </si>
  <si>
    <t>-</t>
  </si>
  <si>
    <t>امور شخصی</t>
  </si>
  <si>
    <t>بروز رسانی نسخه 4/3 سند اعطای تسهیلات ساخت/تکمیل شناور</t>
  </si>
  <si>
    <t>فاقد مشتری</t>
  </si>
  <si>
    <t>امور مشتریان</t>
  </si>
  <si>
    <t>توسعه مشهد</t>
  </si>
  <si>
    <t>هماهنگی زمان برگزاری جلسه با همکاران</t>
  </si>
  <si>
    <t>رسیدگی به جزییات مورد بحث در فرم های پروژه</t>
  </si>
  <si>
    <t>ویرایش گزارش پیشرفت پروژه و ارسال برای کارفرما</t>
  </si>
  <si>
    <t>99/03/10</t>
  </si>
  <si>
    <t>99/0310</t>
  </si>
  <si>
    <t>لینک های فووتر</t>
  </si>
  <si>
    <t>Row Labels</t>
  </si>
  <si>
    <t>Grand Total</t>
  </si>
  <si>
    <t>لک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</si>
</sst>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[h]:mm"/>
    <numFmt numFmtId="166" formatCode="_-* #,##0_-;_-* #,##0\-;_-* &quot;-&quot;??_-;_-@_-"/>
  </numFmts>
  <fonts count="4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6" fontId="1" fillId="0" borderId="0" xfId="1" applyNumberFormat="1" applyFont="1"/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right" indent="2"/>
    </xf>
    <xf numFmtId="166" fontId="3" fillId="0" borderId="0" xfId="0" applyNumberFormat="1" applyFont="1"/>
    <xf numFmtId="0" fontId="3" fillId="0" borderId="0" xfId="0" applyFont="1" applyAlignment="1">
      <alignment horizontal="right" indent="3"/>
    </xf>
    <xf numFmtId="0" fontId="3" fillId="0" borderId="0" xfId="0" applyFont="1" applyAlignment="1">
      <alignment horizontal="right" indent="4"/>
    </xf>
    <xf numFmtId="0" fontId="3" fillId="0" borderId="0" xfId="0" applyFont="1" applyAlignment="1">
      <alignment horizontal="right" indent="5"/>
    </xf>
  </cellXfs>
  <cellStyles count="2">
    <cellStyle name="Comma" xfId="1" builtinId="3"/>
    <cellStyle name="Normal" xfId="0" builtinId="0"/>
  </cellStyles>
  <dxfs count="36">
    <dxf>
      <numFmt numFmtId="166" formatCode="_-* #,##0_-;_-* #,##0\-;_-* &quot;-&quot;??_-;_-@_-"/>
    </dxf>
    <dxf>
      <numFmt numFmtId="168" formatCode="_-* #,##0.0_-;_-* #,##0.0\-;_-* &quot;-&quot;??_-;_-@_-"/>
    </dxf>
    <dxf>
      <numFmt numFmtId="164" formatCode="_-* #,##0.00_-;_-* #,##0.00\-;_-* &quot;-&quot;??_-;_-@_-"/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font>
        <name val="B Nazanin"/>
        <scheme val="none"/>
      </font>
    </dxf>
    <dxf>
      <numFmt numFmtId="165" formatCode="[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numFmt numFmtId="166" formatCode="_-* #,##0_-;_-* #,##0\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numFmt numFmtId="166" formatCode="_-* #,##0_-;_-* #,##0\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numFmt numFmtId="167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مصطفی ابراهیمی" refreshedDate="43977.727862731481" createdVersion="6" refreshedVersion="6" minRefreshableVersion="3" recordCount="35">
  <cacheSource type="worksheet">
    <worksheetSource name="جدول1"/>
  </cacheSource>
  <cacheFields count="11">
    <cacheField name="تاریخ" numFmtId="0">
      <sharedItems/>
    </cacheField>
    <cacheField name="مدت" numFmtId="20">
      <sharedItems containsSemiMixedTypes="0" containsNonDate="0" containsDate="1" containsString="0" minDate="1899-12-30T00:05:00" maxDate="1899-12-30T02:15:00"/>
    </cacheField>
    <cacheField name="هزینه" numFmtId="166">
      <sharedItems containsSemiMixedTypes="0" containsString="0" containsNumber="1" minValue="0" maxValue="130500"/>
    </cacheField>
    <cacheField name="شروع" numFmtId="20">
      <sharedItems containsSemiMixedTypes="0" containsNonDate="0" containsDate="1" containsString="0" minDate="1899-12-30T08:30:00" maxDate="1899-12-30T17:00:00"/>
    </cacheField>
    <cacheField name="پایان" numFmtId="20">
      <sharedItems containsSemiMixedTypes="0" containsNonDate="0" containsDate="1" containsString="0" minDate="1899-12-30T08:50:00" maxDate="1899-12-30T18:15:00"/>
    </cacheField>
    <cacheField name="مجری" numFmtId="0">
      <sharedItems count="2">
        <s v="ابراهیمی"/>
        <s v="مشترک"/>
      </sharedItems>
    </cacheField>
    <cacheField name="حوزه فعالیت" numFmtId="0">
      <sharedItems containsBlank="1" count="8">
        <s v="فروش"/>
        <s v="منابع انسانی"/>
        <s v="پروژه"/>
        <s v="امور پروژه ها"/>
        <m u="1"/>
        <s v="ارتباطات" u="1"/>
        <s v="مشترک پروژه ها" u="1"/>
        <s v="مالی و اداری" u="1"/>
      </sharedItems>
    </cacheField>
    <cacheField name="مشتری" numFmtId="0">
      <sharedItems containsBlank="1" count="15">
        <s v="بیمه سینا"/>
        <s v="مالی و اداری"/>
        <s v="سازمان راهداری و حمل و نقل جاده ای"/>
        <s v="وزارت صمت"/>
        <s v="توسعه مشهد"/>
        <s v="صندوق توسعه صنایع دریایی"/>
        <s v="سازمان فضایی ایران"/>
        <s v="مدیریت"/>
        <s v="فاقد مشتری"/>
        <s v="بانک اقتصاد نوین"/>
        <s v="امور مشتریان"/>
        <s v="امور شخصی"/>
        <m u="1"/>
        <s v="-" u="1"/>
        <s v="عمومی" u="1"/>
      </sharedItems>
    </cacheField>
    <cacheField name="پروژه" numFmtId="0">
      <sharedItems containsBlank="1" count="23">
        <s v="فاز 2 باشگاه مشتریان"/>
        <s v="-"/>
        <s v="نصب، راه اندازی و ... سامان سوئیت"/>
        <s v="مهاجرت به سوئیت"/>
        <s v="سامانه صنایع دریایی"/>
        <s v="برنامه ریزی"/>
        <s v="گزارش کار"/>
        <s v="امور شخصی"/>
        <s v="بیمه سینا" u="1"/>
        <m u="1"/>
        <s v="عمومی" u="1"/>
        <s v="نصب، راه اندازی، بومی سازی و آموزش زیر ساخت نرم افزاری سامان سوئیت" u="1"/>
        <s v="وزارت صمت" u="1"/>
        <s v="امور پروژه ها" u="1"/>
        <s v="باشگاه مشتریان" u="1"/>
        <s v="بانک اقتصاد نوین" u="1"/>
        <s v="پورتال اینترنتی" u="1"/>
        <s v="مهاجرت" u="1"/>
        <s v="سامانه صندوق" u="1"/>
        <s v="صندوق توسعه صنایع دریایی" u="1"/>
        <s v="استقرار سوئیت" u="1"/>
        <s v="نصب، راه اندازی، بومی سازی و آموزش سامان سوئیت" u="1"/>
        <s v="سازمان فضایی ایران" u="1"/>
      </sharedItems>
    </cacheField>
    <cacheField name="موضوع فعالیت" numFmtId="0">
      <sharedItems containsBlank="1" count="14">
        <s v="برآورد"/>
        <s v="هماهنگی و ارتباطات"/>
        <s v="کانورت اطلاعات"/>
        <s v="ساختار سازمانی"/>
        <s v="مدیریت پروژه"/>
        <s v="نرم افزار موبایل"/>
        <s v="خدمات و فرآیندهای سازمانی"/>
        <s v="مستند سازی"/>
        <s v="حقوق و دستمزد"/>
        <s v="پیکربندی امنیتی و کارایی"/>
        <s v="امور شخصی"/>
        <s v="پورتال اینترنتی"/>
        <m u="1"/>
        <s v="هماهنگی" u="1"/>
      </sharedItems>
    </cacheField>
    <cacheField name="شرح فعالیت" numFmtId="0">
      <sharedItems count="32">
        <s v="پاسخ به ایمیل های بیمه سینا در خصوص برآورد توسعه باشگاه مشتریان"/>
        <s v="گفتگو با آقای نشاطی در خصوص موضوع حقوق و دستمزد و نحوه محاسبه تمام وقت و ساعتی"/>
        <s v="گفتگو با آقای نشاطی در خصوص آغاز توسعه ماژول فیش حقوقی و کانورت اطلاعات راهداری"/>
        <s v="گفتگو با آقای نشاطی و خانم اسکندریان در خصوص کانورت اطلاعات وزارت صمت"/>
        <s v="گفتگو با خانم اسکندریان و ارائه توضیح روند فروش در واحد فروش، امور مشتریان و توضیح و همفکری در خصوص فرآیند فروش و پیشنهاد ارائه شده به مدیریت در این خصوص"/>
        <s v="گفتگو با آقای کاشانی درخصوص وضعیت پرداخت صندوق"/>
        <s v="گفتگو با آقای اسکندریان درخصوص وضعیت پرداخت صندوق"/>
        <s v="پاسخ به بهزاد اسکندریان در خصوص وضعیت تایید و تحویل قطعی توسعه نرم افزار موبایل سازمان فضایی ایران"/>
        <s v="گفتگو با خانم مهرپویا جهت رفع ابهام بخشی از سند بازدید"/>
        <s v="بررسی گزارش کار، برنامه هفته آینده، گزارش کارکرد اردیبهشت، خود ارزیابی و ارزیابی عملکرد من در فروردین و اردیبهشت، گزارشی از آخرین توافق (صورتجلسه) با راهداری با آقای لک"/>
        <s v="ایجاد فایل اکسل گزارش کار و ..."/>
        <s v="جلسه با آقای اسکندریان در خصوص ارائه راهکار جهت جمع بندی توافق پروژه مهاجرت وزارت صمت"/>
        <s v="دریافت جزییات محاسبه حقوق و دستمزد و روش محاسبه ریالی ارزیابی عملکرد"/>
        <s v="بررسی گزارش جزییات موارد امنیتی اعلام شده بانک اقتصادنوین"/>
        <s v="جلسه با آقای اسکندریان و نشاطی در خصوص توسعه ماژول ثبت نام در صندوق"/>
        <s v="جستجوی فایل اکسل گزارش کار و ..."/>
        <s v="ارسال فایل کارکرد اردیبهشت برای واحد مالی و اصلاح فایل خرداد"/>
        <s v="جلسه با آقای لک در خصوص گزارش و برنامه هفته"/>
        <s v="پاسخ به تیکت بیمه سینا جهت برآورد درخواست توسعه باشگاه مشتریان بیمه سینا"/>
        <s v="پاسخ به ایمیل اکبری در خصوص برآورد وزارت صمت"/>
        <s v="هماهنگی و ارتباطات با نماینده کارفرما و خانم اقتداری جهت تعیین و تکلیف وضعیت پرداخت"/>
        <s v="طرح پیشنهاد برگزاری جلسات آموزش برای امور مشتریان جهت برون رفت از مشکلات حاضر با خانم اکبری"/>
        <s v="اصلاح فایل گزارش کار ماهانه"/>
        <s v="پاسخ به نامه گزارش امنیتی بانک، هماهنگی و ارتباطات با آقای موسوی جهت اعمال تنظیمات، ارسال پیام به نماینده کارفرما جهت زمان بندی بهره برداری از پروژه"/>
        <s v="اصلاح گزارش کار در فایل گزارش کار خرداد"/>
        <s v="پاسخ به ایمیل خانم اکبری در خصوص موضوع براورد وزارت صمت"/>
        <s v="هماهنگی بانماینده کارفرما و خانم ماهوسکی و آقای موسوی جهت مشارکت در یک جلسه مشترک با واحد امنیت بانک"/>
        <s v="امور شخصی"/>
        <s v="بروز رسانی نسخه 4/3 سند اعطای تسهیلات ساخت/تکمیل شناور"/>
        <s v="هماهنگی زمان برگزاری جلسه با همکاران"/>
        <s v="رسیدگی به جزییات مورد بحث در فرم های پروژه"/>
        <s v="ویرایش گزارش پیشرفت پروژه و ارسال برای کارفرما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s v="99/03/01"/>
    <d v="1899-12-30T00:30:00"/>
    <n v="28999.999999999978"/>
    <d v="1899-12-30T10:00:00"/>
    <d v="1899-12-30T10:30:00"/>
    <x v="0"/>
    <x v="0"/>
    <x v="0"/>
    <x v="0"/>
    <x v="0"/>
    <x v="0"/>
  </r>
  <r>
    <s v="99/03/03"/>
    <d v="1899-12-30T00:10:00"/>
    <n v="9666.6666666666315"/>
    <d v="1899-12-30T08:45:00"/>
    <d v="1899-12-30T08:55:00"/>
    <x v="0"/>
    <x v="1"/>
    <x v="1"/>
    <x v="1"/>
    <x v="1"/>
    <x v="1"/>
  </r>
  <r>
    <s v="99/03/03"/>
    <d v="1899-12-30T00:10:00"/>
    <n v="9666.6666666667861"/>
    <d v="1899-12-30T08:55:00"/>
    <d v="1899-12-30T09:05:00"/>
    <x v="0"/>
    <x v="2"/>
    <x v="2"/>
    <x v="2"/>
    <x v="2"/>
    <x v="2"/>
  </r>
  <r>
    <s v="99/03/03"/>
    <d v="1899-12-30T00:10:00"/>
    <n v="9666.6666666666315"/>
    <d v="1899-12-30T09:05:00"/>
    <d v="1899-12-30T09:15:00"/>
    <x v="0"/>
    <x v="2"/>
    <x v="3"/>
    <x v="3"/>
    <x v="2"/>
    <x v="3"/>
  </r>
  <r>
    <s v="99/03/03"/>
    <d v="1899-12-30T02:15:00"/>
    <n v="130500"/>
    <d v="1899-12-30T09:15:00"/>
    <d v="1899-12-30T11:30:00"/>
    <x v="0"/>
    <x v="1"/>
    <x v="4"/>
    <x v="1"/>
    <x v="3"/>
    <x v="4"/>
  </r>
  <r>
    <s v="99/03/03"/>
    <d v="1899-12-30T00:10:00"/>
    <n v="9666.6666666666315"/>
    <d v="1899-12-30T11:30:00"/>
    <d v="1899-12-30T11:40:00"/>
    <x v="0"/>
    <x v="2"/>
    <x v="5"/>
    <x v="4"/>
    <x v="4"/>
    <x v="5"/>
  </r>
  <r>
    <s v="99/03/03"/>
    <d v="1899-12-30T00:10:00"/>
    <n v="9666.6666666667097"/>
    <d v="1899-12-30T11:40:00"/>
    <d v="1899-12-30T11:50:00"/>
    <x v="0"/>
    <x v="2"/>
    <x v="5"/>
    <x v="4"/>
    <x v="4"/>
    <x v="6"/>
  </r>
  <r>
    <s v="99/03/03"/>
    <d v="1899-12-30T00:10:00"/>
    <n v="9666.6666666666315"/>
    <d v="1899-12-30T11:50:00"/>
    <d v="1899-12-30T12:00:00"/>
    <x v="0"/>
    <x v="2"/>
    <x v="6"/>
    <x v="2"/>
    <x v="5"/>
    <x v="7"/>
  </r>
  <r>
    <s v="99/03/03"/>
    <d v="1899-12-30T00:45:00"/>
    <n v="43500"/>
    <d v="1899-12-30T12:00:00"/>
    <d v="1899-12-30T12:45:00"/>
    <x v="0"/>
    <x v="2"/>
    <x v="6"/>
    <x v="2"/>
    <x v="6"/>
    <x v="8"/>
  </r>
  <r>
    <s v="99/03/03"/>
    <d v="1899-12-30T00:45:00"/>
    <n v="43500"/>
    <d v="1899-12-30T12:45:00"/>
    <d v="1899-12-30T13:30:00"/>
    <x v="0"/>
    <x v="3"/>
    <x v="7"/>
    <x v="5"/>
    <x v="1"/>
    <x v="9"/>
  </r>
  <r>
    <s v="99/03/03"/>
    <d v="1899-12-30T00:30:00"/>
    <n v="29000.000000000051"/>
    <d v="1899-12-30T13:30:00"/>
    <d v="1899-12-30T14:00:00"/>
    <x v="0"/>
    <x v="3"/>
    <x v="7"/>
    <x v="6"/>
    <x v="7"/>
    <x v="10"/>
  </r>
  <r>
    <s v="99/03/03"/>
    <d v="1899-12-30T01:00:00"/>
    <n v="57999.999999999956"/>
    <d v="1899-12-30T14:00:00"/>
    <d v="1899-12-30T15:00:00"/>
    <x v="0"/>
    <x v="0"/>
    <x v="3"/>
    <x v="3"/>
    <x v="0"/>
    <x v="11"/>
  </r>
  <r>
    <s v="99/03/03"/>
    <d v="1899-12-30T00:45:00"/>
    <n v="43500"/>
    <d v="1899-12-30T15:00:00"/>
    <d v="1899-12-30T15:45:00"/>
    <x v="0"/>
    <x v="1"/>
    <x v="8"/>
    <x v="1"/>
    <x v="8"/>
    <x v="12"/>
  </r>
  <r>
    <s v="99/03/03"/>
    <d v="1899-12-30T00:15:00"/>
    <n v="14499.999999999947"/>
    <d v="1899-12-30T15:45:00"/>
    <d v="1899-12-30T16:00:00"/>
    <x v="0"/>
    <x v="2"/>
    <x v="9"/>
    <x v="2"/>
    <x v="9"/>
    <x v="13"/>
  </r>
  <r>
    <s v="99/03/03"/>
    <d v="1899-12-30T01:00:00"/>
    <n v="58000.000000000102"/>
    <d v="1899-12-30T16:00:00"/>
    <d v="1899-12-30T17:00:00"/>
    <x v="0"/>
    <x v="2"/>
    <x v="5"/>
    <x v="4"/>
    <x v="6"/>
    <x v="14"/>
  </r>
  <r>
    <s v="99/03/06"/>
    <d v="1899-12-30T01:15:00"/>
    <n v="72499.999999999898"/>
    <d v="1899-12-30T17:00:00"/>
    <d v="1899-12-30T18:15:00"/>
    <x v="0"/>
    <x v="3"/>
    <x v="7"/>
    <x v="6"/>
    <x v="7"/>
    <x v="15"/>
  </r>
  <r>
    <s v="99/03/06"/>
    <d v="1899-12-30T00:20:00"/>
    <n v="19333.333333333343"/>
    <d v="1899-12-30T08:30:00"/>
    <d v="1899-12-30T08:50:00"/>
    <x v="0"/>
    <x v="3"/>
    <x v="1"/>
    <x v="1"/>
    <x v="8"/>
    <x v="16"/>
  </r>
  <r>
    <s v="99/03/06"/>
    <d v="1899-12-30T01:00:00"/>
    <n v="88952.380952381005"/>
    <d v="1899-12-30T08:50:00"/>
    <d v="1899-12-30T09:50:00"/>
    <x v="1"/>
    <x v="3"/>
    <x v="7"/>
    <x v="5"/>
    <x v="1"/>
    <x v="17"/>
  </r>
  <r>
    <s v="99/03/06"/>
    <d v="1899-12-30T00:10:00"/>
    <n v="9666.6666666666315"/>
    <d v="1899-12-30T09:50:00"/>
    <d v="1899-12-30T10:00:00"/>
    <x v="0"/>
    <x v="0"/>
    <x v="0"/>
    <x v="0"/>
    <x v="0"/>
    <x v="18"/>
  </r>
  <r>
    <s v="99/03/06"/>
    <d v="1899-12-30T00:40:00"/>
    <n v="38666.666666666606"/>
    <d v="1899-12-30T10:00:00"/>
    <d v="1899-12-30T10:40:00"/>
    <x v="0"/>
    <x v="0"/>
    <x v="3"/>
    <x v="3"/>
    <x v="1"/>
    <x v="19"/>
  </r>
  <r>
    <s v="99/03/06"/>
    <d v="1899-12-30T00:10:00"/>
    <n v="9666.6666666667097"/>
    <d v="1899-12-30T10:40:00"/>
    <d v="1899-12-30T10:50:00"/>
    <x v="0"/>
    <x v="0"/>
    <x v="5"/>
    <x v="4"/>
    <x v="1"/>
    <x v="20"/>
  </r>
  <r>
    <s v="99/03/06"/>
    <d v="1899-12-30T00:10:00"/>
    <n v="9666.6666666666315"/>
    <d v="1899-12-30T10:50:00"/>
    <d v="1899-12-30T11:00:00"/>
    <x v="0"/>
    <x v="0"/>
    <x v="10"/>
    <x v="1"/>
    <x v="1"/>
    <x v="21"/>
  </r>
  <r>
    <s v="99/03/06"/>
    <d v="1899-12-30T00:15:00"/>
    <n v="14500.000000000025"/>
    <d v="1899-12-30T11:00:00"/>
    <d v="1899-12-30T11:15:00"/>
    <x v="0"/>
    <x v="3"/>
    <x v="7"/>
    <x v="6"/>
    <x v="7"/>
    <x v="22"/>
  </r>
  <r>
    <s v="99/03/06"/>
    <d v="1899-12-30T00:30:00"/>
    <n v="28999.999999999978"/>
    <d v="1899-12-30T11:15:00"/>
    <d v="1899-12-30T11:45:00"/>
    <x v="0"/>
    <x v="2"/>
    <x v="9"/>
    <x v="2"/>
    <x v="7"/>
    <x v="23"/>
  </r>
  <r>
    <s v="99/03/06"/>
    <d v="1899-12-30T00:30:00"/>
    <n v="28999.999999999978"/>
    <d v="1899-12-30T11:45:00"/>
    <d v="1899-12-30T12:15:00"/>
    <x v="0"/>
    <x v="3"/>
    <x v="7"/>
    <x v="6"/>
    <x v="7"/>
    <x v="24"/>
  </r>
  <r>
    <s v="99/03/06"/>
    <d v="1899-12-30T00:15:00"/>
    <n v="14500.000000000102"/>
    <d v="1899-12-30T12:15:00"/>
    <d v="1899-12-30T12:30:00"/>
    <x v="0"/>
    <x v="0"/>
    <x v="3"/>
    <x v="3"/>
    <x v="1"/>
    <x v="25"/>
  </r>
  <r>
    <s v="99/03/06"/>
    <d v="1899-12-30T00:30:00"/>
    <n v="28999.999999999894"/>
    <d v="1899-12-30T12:30:00"/>
    <d v="1899-12-30T13:00:00"/>
    <x v="0"/>
    <x v="2"/>
    <x v="9"/>
    <x v="2"/>
    <x v="9"/>
    <x v="26"/>
  </r>
  <r>
    <s v="99/03/06"/>
    <d v="1899-12-30T00:30:00"/>
    <n v="29000.000000000051"/>
    <d v="1899-12-30T13:00:00"/>
    <d v="1899-12-30T13:30:00"/>
    <x v="0"/>
    <x v="3"/>
    <x v="7"/>
    <x v="6"/>
    <x v="7"/>
    <x v="24"/>
  </r>
  <r>
    <s v="99/03/06"/>
    <d v="1899-12-30T00:15:00"/>
    <n v="0"/>
    <d v="1899-12-30T13:30:00"/>
    <d v="1899-12-30T13:45:00"/>
    <x v="0"/>
    <x v="3"/>
    <x v="11"/>
    <x v="7"/>
    <x v="10"/>
    <x v="27"/>
  </r>
  <r>
    <s v="99/03/06"/>
    <d v="1899-12-30T00:45:00"/>
    <n v="43500"/>
    <d v="1899-12-30T13:45:00"/>
    <d v="1899-12-30T14:30:00"/>
    <x v="0"/>
    <x v="2"/>
    <x v="5"/>
    <x v="4"/>
    <x v="6"/>
    <x v="28"/>
  </r>
  <r>
    <s v="99/03/06"/>
    <d v="1899-12-30T00:05:00"/>
    <n v="4833.3333333334704"/>
    <d v="1899-12-30T15:15:00"/>
    <d v="1899-12-30T15:20:00"/>
    <x v="0"/>
    <x v="2"/>
    <x v="9"/>
    <x v="2"/>
    <x v="9"/>
    <x v="29"/>
  </r>
  <r>
    <s v="99/03/06"/>
    <d v="1899-12-30T00:20:00"/>
    <n v="19333.333333333263"/>
    <d v="1899-12-30T15:20:00"/>
    <d v="1899-12-30T15:40:00"/>
    <x v="0"/>
    <x v="2"/>
    <x v="9"/>
    <x v="2"/>
    <x v="11"/>
    <x v="30"/>
  </r>
  <r>
    <s v="99/03/06"/>
    <d v="1899-12-30T00:20:00"/>
    <n v="19333.333333333263"/>
    <d v="1899-12-30T15:40:00"/>
    <d v="1899-12-30T16:00:00"/>
    <x v="0"/>
    <x v="2"/>
    <x v="5"/>
    <x v="4"/>
    <x v="4"/>
    <x v="31"/>
  </r>
  <r>
    <s v="99/03/06"/>
    <d v="1899-12-30T00:10:00"/>
    <n v="0"/>
    <d v="1899-12-30T16:00:00"/>
    <d v="1899-12-30T16:10:00"/>
    <x v="0"/>
    <x v="3"/>
    <x v="11"/>
    <x v="7"/>
    <x v="10"/>
    <x v="27"/>
  </r>
  <r>
    <s v="99/03/06"/>
    <d v="1899-12-30T01:20:00"/>
    <n v="77333.333333333212"/>
    <d v="1899-12-30T16:10:00"/>
    <d v="1899-12-30T17:30:00"/>
    <x v="0"/>
    <x v="2"/>
    <x v="5"/>
    <x v="4"/>
    <x v="6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مقادیر" updatedVersion="6" minRefreshableVersion="3" useAutoFormatting="1" itemPrintTitles="1" createdVersion="6" indent="0" outline="1" outlineData="1" multipleFieldFilters="0">
  <location ref="A1:C52" firstHeaderRow="0" firstDataRow="1" firstDataCol="1"/>
  <pivotFields count="11">
    <pivotField showAll="0"/>
    <pivotField dataField="1" showAll="0"/>
    <pivotField dataField="1" numFmtId="166" showAll="0" defaultSubtotal="0"/>
    <pivotField numFmtId="20" showAll="0" defaultSubtotal="0"/>
    <pivotField numFmtId="20" showAll="0" defaultSubtotal="0"/>
    <pivotField axis="axisRow" showAll="0">
      <items count="3">
        <item x="0"/>
        <item x="1"/>
        <item t="default"/>
      </items>
    </pivotField>
    <pivotField axis="axisRow" showAll="0" sortType="descending">
      <items count="9">
        <item x="2"/>
        <item x="0"/>
        <item sd="0" m="1" x="7"/>
        <item x="1"/>
        <item sd="0" m="1" x="4"/>
        <item m="1" x="6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6">
        <item sd="0" x="9"/>
        <item sd="0" x="0"/>
        <item sd="0" x="6"/>
        <item sd="0" x="5"/>
        <item m="1" x="14"/>
        <item x="3"/>
        <item m="1" x="12"/>
        <item x="2"/>
        <item x="7"/>
        <item sd="0" x="11"/>
        <item sd="0" m="1" x="13"/>
        <item x="1"/>
        <item sd="0" x="4"/>
        <item sd="0" x="8"/>
        <item sd="0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m="1" x="15"/>
        <item m="1" x="22"/>
        <item m="1" x="19"/>
        <item sd="0" m="1" x="12"/>
        <item m="1" x="9"/>
        <item m="1" x="13"/>
        <item m="1" x="8"/>
        <item sd="0" m="1" x="10"/>
        <item sd="0" m="1" x="14"/>
        <item sd="0" m="1" x="16"/>
        <item m="1" x="17"/>
        <item m="1" x="18"/>
        <item x="0"/>
        <item x="4"/>
        <item sd="0" m="1" x="20"/>
        <item x="3"/>
        <item sd="0" x="6"/>
        <item x="5"/>
        <item m="1" x="11"/>
        <item m="1" x="21"/>
        <item x="2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5">
        <item x="0"/>
        <item x="9"/>
        <item x="8"/>
        <item x="6"/>
        <item x="3"/>
        <item x="4"/>
        <item x="7"/>
        <item x="5"/>
        <item m="1" x="13"/>
        <item m="1" x="12"/>
        <item x="2"/>
        <item x="1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3">
        <item x="16"/>
        <item x="22"/>
        <item x="24"/>
        <item x="27"/>
        <item x="10"/>
        <item x="13"/>
        <item x="9"/>
        <item x="28"/>
        <item x="19"/>
        <item x="25"/>
        <item x="0"/>
        <item x="7"/>
        <item x="18"/>
        <item x="23"/>
        <item x="15"/>
        <item x="11"/>
        <item x="14"/>
        <item x="17"/>
        <item x="12"/>
        <item x="30"/>
        <item x="21"/>
        <item x="6"/>
        <item x="5"/>
        <item x="2"/>
        <item x="1"/>
        <item x="3"/>
        <item x="4"/>
        <item x="8"/>
        <item x="26"/>
        <item x="29"/>
        <item x="20"/>
        <item x="31"/>
        <item t="default"/>
      </items>
    </pivotField>
  </pivotFields>
  <rowFields count="6">
    <field x="6"/>
    <field x="7"/>
    <field x="8"/>
    <field x="9"/>
    <field x="5"/>
    <field x="10"/>
  </rowFields>
  <rowItems count="51">
    <i>
      <x/>
    </i>
    <i r="1">
      <x v="3"/>
    </i>
    <i r="1">
      <x/>
    </i>
    <i r="1">
      <x v="2"/>
    </i>
    <i r="1">
      <x v="7"/>
    </i>
    <i r="2">
      <x v="20"/>
    </i>
    <i r="3">
      <x v="10"/>
    </i>
    <i r="4">
      <x/>
    </i>
    <i r="5">
      <x v="23"/>
    </i>
    <i r="1">
      <x v="5"/>
    </i>
    <i r="2">
      <x v="15"/>
    </i>
    <i r="3">
      <x v="10"/>
    </i>
    <i r="4">
      <x/>
    </i>
    <i r="5">
      <x v="25"/>
    </i>
    <i>
      <x v="6"/>
    </i>
    <i r="1">
      <x v="8"/>
    </i>
    <i r="2">
      <x v="16"/>
    </i>
    <i r="2">
      <x v="17"/>
    </i>
    <i r="3">
      <x v="11"/>
    </i>
    <i r="4">
      <x/>
    </i>
    <i r="5">
      <x v="6"/>
    </i>
    <i r="4">
      <x v="1"/>
    </i>
    <i r="5">
      <x v="17"/>
    </i>
    <i r="1">
      <x v="9"/>
    </i>
    <i r="1">
      <x v="11"/>
    </i>
    <i r="2">
      <x v="22"/>
    </i>
    <i r="3">
      <x v="2"/>
    </i>
    <i r="4">
      <x/>
    </i>
    <i r="5">
      <x/>
    </i>
    <i>
      <x v="3"/>
    </i>
    <i r="1">
      <x v="12"/>
    </i>
    <i r="1">
      <x v="13"/>
    </i>
    <i r="1">
      <x v="11"/>
    </i>
    <i r="2">
      <x v="22"/>
    </i>
    <i r="3">
      <x v="11"/>
    </i>
    <i r="4">
      <x/>
    </i>
    <i r="5">
      <x v="24"/>
    </i>
    <i>
      <x v="1"/>
    </i>
    <i r="1">
      <x v="5"/>
    </i>
    <i r="2">
      <x v="15"/>
    </i>
    <i r="3">
      <x/>
    </i>
    <i r="4">
      <x/>
    </i>
    <i r="5">
      <x v="15"/>
    </i>
    <i r="3">
      <x v="11"/>
    </i>
    <i r="4">
      <x/>
    </i>
    <i r="5">
      <x v="8"/>
    </i>
    <i r="5">
      <x v="9"/>
    </i>
    <i r="1">
      <x v="1"/>
    </i>
    <i r="1">
      <x v="14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از مدت" fld="1" baseField="6" baseItem="8"/>
    <dataField name="مجموع از هزینه" fld="2" baseField="0" baseItem="0" numFmtId="166"/>
  </dataFields>
  <formats count="23"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8" type="button" dataOnly="0" labelOnly="1" outline="0" axis="axisRow" fieldPosition="2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6" count="1">
            <x v="0"/>
          </reference>
          <reference field="8" count="1" selected="0">
            <x v="0"/>
          </reference>
        </references>
      </pivotArea>
    </format>
    <format dxfId="14">
      <pivotArea dataOnly="0" labelOnly="1" fieldPosition="0">
        <references count="2">
          <reference field="6" count="1">
            <x v="0"/>
          </reference>
          <reference field="8" count="1" selected="0">
            <x v="1"/>
          </reference>
        </references>
      </pivotArea>
    </format>
    <format dxfId="13">
      <pivotArea dataOnly="0" labelOnly="1" fieldPosition="0">
        <references count="2">
          <reference field="6" count="1">
            <x v="0"/>
          </reference>
          <reference field="8" count="1" selected="0">
            <x v="2"/>
          </reference>
        </references>
      </pivotArea>
    </format>
    <format dxfId="12">
      <pivotArea dataOnly="0" labelOnly="1" fieldPosition="0">
        <references count="2">
          <reference field="6" count="1">
            <x v="1"/>
          </reference>
          <reference field="8" count="1" selected="0">
            <x v="3"/>
          </reference>
        </references>
      </pivotArea>
    </format>
    <format dxfId="11">
      <pivotArea dataOnly="0" labelOnly="1" fieldPosition="0">
        <references count="2">
          <reference field="6" count="1">
            <x v="4"/>
          </reference>
          <reference field="8" count="1" selected="0">
            <x v="4"/>
          </reference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8" type="button" dataOnly="0" labelOnly="1" outline="0" axis="axisRow" fieldPosition="2"/>
    </format>
    <format dxfId="6">
      <pivotArea dataOnly="0" labelOnly="1" outline="0" axis="axisValues" fieldPosition="0"/>
    </format>
    <format dxfId="5">
      <pivotArea dataOnly="0" labelOnly="1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جدول1" displayName="جدول1" ref="A1:K41" totalsRowShown="0" headerRowDxfId="35" dataDxfId="34">
  <autoFilter ref="A1:K41"/>
  <tableColumns count="11">
    <tableColumn id="1" name="تاریخ" dataDxfId="33"/>
    <tableColumn id="4" name="مدت" dataDxfId="32">
      <calculatedColumnFormula>جدول1[[#This Row],[پایان]]-جدول1[[#This Row],[شروع]]</calculatedColumnFormula>
    </tableColumn>
    <tableColumn id="10" name="هزینه" dataDxfId="31">
      <calculatedColumnFormula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calculatedColumnFormula>
    </tableColumn>
    <tableColumn id="2" name="شروع" dataDxfId="30"/>
    <tableColumn id="3" name="پایان" dataDxfId="29"/>
    <tableColumn id="6" name="مجری" dataDxfId="28"/>
    <tableColumn id="7" name="حوزه فعالیت" dataDxfId="27"/>
    <tableColumn id="5" name="مشتری" dataDxfId="26"/>
    <tableColumn id="11" name="پروژه" dataDxfId="25"/>
    <tableColumn id="8" name="موضوع فعالیت" dataDxfId="24"/>
    <tableColumn id="9" name="شرح فعالیت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rightToLeft="1" tabSelected="1" topLeftCell="B25" workbookViewId="0">
      <selection activeCell="E42" sqref="E42"/>
    </sheetView>
  </sheetViews>
  <sheetFormatPr defaultColWidth="9" defaultRowHeight="18"/>
  <cols>
    <col min="1" max="1" width="9" style="2"/>
    <col min="2" max="2" width="9.140625" style="2" bestFit="1" customWidth="1"/>
    <col min="3" max="3" width="12" style="4" bestFit="1" customWidth="1"/>
    <col min="4" max="4" width="6.42578125" style="2" customWidth="1"/>
    <col min="5" max="5" width="9.42578125" style="2" bestFit="1" customWidth="1"/>
    <col min="6" max="6" width="8.28515625" bestFit="1" customWidth="1"/>
    <col min="7" max="7" width="10.85546875" style="1" customWidth="1"/>
    <col min="8" max="8" width="28.42578125" bestFit="1" customWidth="1"/>
    <col min="9" max="9" width="13.5703125" style="1" bestFit="1" customWidth="1"/>
    <col min="10" max="10" width="18.28515625" bestFit="1" customWidth="1"/>
    <col min="11" max="11" width="110.85546875" style="1" bestFit="1" customWidth="1"/>
    <col min="12" max="12" width="110.85546875" bestFit="1" customWidth="1"/>
    <col min="13" max="13" width="10.85546875" style="1" customWidth="1"/>
    <col min="14" max="14" width="110.85546875" style="1" bestFit="1" customWidth="1"/>
    <col min="15" max="15" width="111.28515625" style="1" bestFit="1" customWidth="1"/>
    <col min="16" max="16384" width="9" style="1"/>
  </cols>
  <sheetData>
    <row r="1" spans="1:12">
      <c r="A1" s="2" t="s">
        <v>0</v>
      </c>
      <c r="B1" s="2" t="s">
        <v>6</v>
      </c>
      <c r="C1" s="4" t="s">
        <v>48</v>
      </c>
      <c r="D1" s="2" t="s">
        <v>53</v>
      </c>
      <c r="E1" s="2" t="s">
        <v>54</v>
      </c>
      <c r="F1" s="1" t="s">
        <v>17</v>
      </c>
      <c r="G1" s="1" t="s">
        <v>2</v>
      </c>
      <c r="H1" s="1" t="s">
        <v>51</v>
      </c>
      <c r="I1" s="1" t="s">
        <v>1</v>
      </c>
      <c r="J1" s="1" t="s">
        <v>3</v>
      </c>
      <c r="K1" s="1" t="s">
        <v>5</v>
      </c>
      <c r="L1" s="1"/>
    </row>
    <row r="2" spans="1:12">
      <c r="A2" s="2" t="s">
        <v>43</v>
      </c>
      <c r="B2" s="3">
        <f>جدول1[[#This Row],[پایان]]-جدول1[[#This Row],[شروع]]</f>
        <v>2.0833333333333315E-2</v>
      </c>
      <c r="C2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28999.999999999978</v>
      </c>
      <c r="D2" s="3">
        <v>0.41666666666666669</v>
      </c>
      <c r="E2" s="3">
        <v>0.4375</v>
      </c>
      <c r="F2" s="1" t="s">
        <v>18</v>
      </c>
      <c r="G2" s="1" t="s">
        <v>24</v>
      </c>
      <c r="H2" s="1" t="s">
        <v>40</v>
      </c>
      <c r="I2" s="1" t="s">
        <v>55</v>
      </c>
      <c r="J2" s="1" t="s">
        <v>25</v>
      </c>
      <c r="K2" s="1" t="s">
        <v>44</v>
      </c>
      <c r="L2" s="1"/>
    </row>
    <row r="3" spans="1:12">
      <c r="A3" s="2" t="s">
        <v>4</v>
      </c>
      <c r="B3" s="3">
        <f>جدول1[[#This Row],[پایان]]-جدول1[[#This Row],[شروع]]</f>
        <v>6.9444444444444198E-3</v>
      </c>
      <c r="C3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3" s="3">
        <v>0.36458333333333331</v>
      </c>
      <c r="E3" s="3">
        <v>0.37152777777777773</v>
      </c>
      <c r="F3" s="1" t="s">
        <v>18</v>
      </c>
      <c r="G3" s="1" t="s">
        <v>7</v>
      </c>
      <c r="H3" s="1" t="s">
        <v>27</v>
      </c>
      <c r="I3" s="1" t="s">
        <v>73</v>
      </c>
      <c r="J3" s="1" t="s">
        <v>61</v>
      </c>
      <c r="K3" s="1" t="s">
        <v>47</v>
      </c>
      <c r="L3" s="1"/>
    </row>
    <row r="4" spans="1:12">
      <c r="A4" s="2" t="s">
        <v>4</v>
      </c>
      <c r="B4" s="3">
        <f>جدول1[[#This Row],[پایان]]-جدول1[[#This Row],[شروع]]</f>
        <v>6.9444444444445308E-3</v>
      </c>
      <c r="C4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9666.6666666667861</v>
      </c>
      <c r="D4" s="3">
        <v>0.37152777777777773</v>
      </c>
      <c r="E4" s="3">
        <v>0.37847222222222227</v>
      </c>
      <c r="F4" s="1" t="s">
        <v>18</v>
      </c>
      <c r="G4" s="1" t="s">
        <v>1</v>
      </c>
      <c r="H4" s="1" t="s">
        <v>60</v>
      </c>
      <c r="I4" s="1" t="s">
        <v>71</v>
      </c>
      <c r="J4" s="1" t="s">
        <v>57</v>
      </c>
      <c r="K4" s="1" t="s">
        <v>59</v>
      </c>
      <c r="L4" s="1"/>
    </row>
    <row r="5" spans="1:12">
      <c r="A5" s="2" t="s">
        <v>4</v>
      </c>
      <c r="B5" s="3">
        <f>جدول1[[#This Row],[پایان]]-جدول1[[#This Row],[شروع]]</f>
        <v>6.9444444444444198E-3</v>
      </c>
      <c r="C5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5" s="3">
        <v>0.37847222222222227</v>
      </c>
      <c r="E5" s="3">
        <v>0.38541666666666669</v>
      </c>
      <c r="F5" s="4" t="s">
        <v>18</v>
      </c>
      <c r="G5" s="1" t="s">
        <v>1</v>
      </c>
      <c r="H5" s="1" t="s">
        <v>23</v>
      </c>
      <c r="I5" s="1" t="s">
        <v>69</v>
      </c>
      <c r="J5" s="1" t="s">
        <v>57</v>
      </c>
      <c r="K5" s="1" t="s">
        <v>58</v>
      </c>
      <c r="L5" s="1"/>
    </row>
    <row r="6" spans="1:12">
      <c r="A6" s="2" t="s">
        <v>4</v>
      </c>
      <c r="B6" s="3">
        <f>جدول1[[#This Row],[پایان]]-جدول1[[#This Row],[شروع]]</f>
        <v>9.375E-2</v>
      </c>
      <c r="C6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130500</v>
      </c>
      <c r="D6" s="3">
        <v>0.38541666666666669</v>
      </c>
      <c r="E6" s="3">
        <v>0.47916666666666669</v>
      </c>
      <c r="F6" s="1" t="s">
        <v>18</v>
      </c>
      <c r="G6" s="1" t="s">
        <v>7</v>
      </c>
      <c r="H6" s="1" t="s">
        <v>78</v>
      </c>
      <c r="I6" s="1" t="s">
        <v>73</v>
      </c>
      <c r="J6" s="1" t="s">
        <v>8</v>
      </c>
      <c r="K6" s="1" t="s">
        <v>9</v>
      </c>
      <c r="L6" s="1"/>
    </row>
    <row r="7" spans="1:12">
      <c r="A7" s="2" t="s">
        <v>4</v>
      </c>
      <c r="B7" s="3">
        <f>جدول1[[#This Row],[پایان]]-جدول1[[#This Row],[شروع]]</f>
        <v>6.9444444444444198E-3</v>
      </c>
      <c r="C7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7" s="3">
        <v>0.47916666666666669</v>
      </c>
      <c r="E7" s="3">
        <v>0.4861111111111111</v>
      </c>
      <c r="F7" s="1" t="s">
        <v>18</v>
      </c>
      <c r="G7" s="1" t="s">
        <v>1</v>
      </c>
      <c r="H7" s="1" t="s">
        <v>10</v>
      </c>
      <c r="I7" s="1" t="s">
        <v>56</v>
      </c>
      <c r="J7" s="1" t="s">
        <v>11</v>
      </c>
      <c r="K7" s="1" t="s">
        <v>12</v>
      </c>
      <c r="L7" s="1"/>
    </row>
    <row r="8" spans="1:12">
      <c r="A8" s="2" t="s">
        <v>4</v>
      </c>
      <c r="B8" s="3">
        <f>جدول1[[#This Row],[پایان]]-جدول1[[#This Row],[شروع]]</f>
        <v>6.9444444444444753E-3</v>
      </c>
      <c r="C8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9666.6666666667097</v>
      </c>
      <c r="D8" s="3">
        <v>0.4861111111111111</v>
      </c>
      <c r="E8" s="3">
        <v>0.49305555555555558</v>
      </c>
      <c r="F8" s="1" t="s">
        <v>18</v>
      </c>
      <c r="G8" s="1" t="s">
        <v>1</v>
      </c>
      <c r="H8" s="1" t="s">
        <v>10</v>
      </c>
      <c r="I8" s="1" t="s">
        <v>56</v>
      </c>
      <c r="J8" s="1" t="s">
        <v>11</v>
      </c>
      <c r="K8" s="1" t="s">
        <v>13</v>
      </c>
      <c r="L8" s="1"/>
    </row>
    <row r="9" spans="1:12">
      <c r="A9" s="2" t="s">
        <v>4</v>
      </c>
      <c r="B9" s="3">
        <f>جدول1[[#This Row],[پایان]]-جدول1[[#This Row],[شروع]]</f>
        <v>6.9444444444444198E-3</v>
      </c>
      <c r="C9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9" s="3">
        <v>0.49305555555555558</v>
      </c>
      <c r="E9" s="3">
        <v>0.5</v>
      </c>
      <c r="F9" s="1" t="s">
        <v>18</v>
      </c>
      <c r="G9" s="1" t="s">
        <v>1</v>
      </c>
      <c r="H9" s="1" t="s">
        <v>14</v>
      </c>
      <c r="I9" s="1" t="s">
        <v>71</v>
      </c>
      <c r="J9" s="1" t="s">
        <v>15</v>
      </c>
      <c r="K9" s="1" t="s">
        <v>16</v>
      </c>
      <c r="L9" s="1"/>
    </row>
    <row r="10" spans="1:12">
      <c r="A10" s="2" t="s">
        <v>4</v>
      </c>
      <c r="B10" s="3">
        <f>جدول1[[#This Row],[پایان]]-جدول1[[#This Row],[شروع]]</f>
        <v>3.125E-2</v>
      </c>
      <c r="C10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43500</v>
      </c>
      <c r="D10" s="3">
        <v>0.5</v>
      </c>
      <c r="E10" s="3">
        <v>0.53125</v>
      </c>
      <c r="F10" s="1" t="s">
        <v>18</v>
      </c>
      <c r="G10" s="1" t="s">
        <v>1</v>
      </c>
      <c r="H10" s="1" t="s">
        <v>14</v>
      </c>
      <c r="I10" s="1" t="s">
        <v>71</v>
      </c>
      <c r="J10" s="1" t="s">
        <v>19</v>
      </c>
      <c r="K10" s="1" t="s">
        <v>20</v>
      </c>
      <c r="L10" s="1"/>
    </row>
    <row r="11" spans="1:12">
      <c r="A11" s="2" t="s">
        <v>4</v>
      </c>
      <c r="B11" s="3">
        <f>جدول1[[#This Row],[پایان]]-جدول1[[#This Row],[شروع]]</f>
        <v>3.125E-2</v>
      </c>
      <c r="C11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43500</v>
      </c>
      <c r="D11" s="3">
        <v>0.53125</v>
      </c>
      <c r="E11" s="3">
        <v>0.5625</v>
      </c>
      <c r="F11" s="1" t="s">
        <v>18</v>
      </c>
      <c r="G11" s="1" t="s">
        <v>37</v>
      </c>
      <c r="H11" s="1" t="s">
        <v>72</v>
      </c>
      <c r="I11" s="1" t="s">
        <v>70</v>
      </c>
      <c r="J11" s="1" t="s">
        <v>61</v>
      </c>
      <c r="K11" s="1" t="s">
        <v>21</v>
      </c>
      <c r="L11" s="1"/>
    </row>
    <row r="12" spans="1:12">
      <c r="A12" s="2" t="s">
        <v>4</v>
      </c>
      <c r="B12" s="3">
        <f>جدول1[[#This Row],[پایان]]-جدول1[[#This Row],[شروع]]</f>
        <v>2.083333333333337E-2</v>
      </c>
      <c r="C12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29000.000000000051</v>
      </c>
      <c r="D12" s="3">
        <v>0.5625</v>
      </c>
      <c r="E12" s="3">
        <v>0.58333333333333337</v>
      </c>
      <c r="F12" s="1" t="s">
        <v>18</v>
      </c>
      <c r="G12" s="1" t="s">
        <v>37</v>
      </c>
      <c r="H12" s="1" t="s">
        <v>72</v>
      </c>
      <c r="I12" s="1" t="s">
        <v>65</v>
      </c>
      <c r="J12" s="1" t="s">
        <v>22</v>
      </c>
      <c r="K12" s="1" t="s">
        <v>66</v>
      </c>
      <c r="L12" s="1"/>
    </row>
    <row r="13" spans="1:12">
      <c r="A13" s="2" t="s">
        <v>4</v>
      </c>
      <c r="B13" s="3">
        <f>جدول1[[#This Row],[پایان]]-جدول1[[#This Row],[شروع]]</f>
        <v>4.166666666666663E-2</v>
      </c>
      <c r="C13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57999.999999999956</v>
      </c>
      <c r="D13" s="3">
        <v>0.58333333333333337</v>
      </c>
      <c r="E13" s="3">
        <v>0.625</v>
      </c>
      <c r="F13" s="1" t="s">
        <v>18</v>
      </c>
      <c r="G13" s="1" t="s">
        <v>24</v>
      </c>
      <c r="H13" s="1" t="s">
        <v>23</v>
      </c>
      <c r="I13" s="1" t="s">
        <v>69</v>
      </c>
      <c r="J13" s="1" t="s">
        <v>25</v>
      </c>
      <c r="K13" s="1" t="s">
        <v>26</v>
      </c>
      <c r="L13" s="1"/>
    </row>
    <row r="14" spans="1:12">
      <c r="A14" s="2" t="s">
        <v>4</v>
      </c>
      <c r="B14" s="3">
        <f>جدول1[[#This Row],[پایان]]-جدول1[[#This Row],[شروع]]</f>
        <v>3.125E-2</v>
      </c>
      <c r="C14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43500</v>
      </c>
      <c r="D14" s="3">
        <v>0.625</v>
      </c>
      <c r="E14" s="3">
        <v>0.65625</v>
      </c>
      <c r="F14" s="1" t="s">
        <v>18</v>
      </c>
      <c r="G14" s="1" t="s">
        <v>7</v>
      </c>
      <c r="H14" s="1" t="s">
        <v>76</v>
      </c>
      <c r="I14" s="1" t="s">
        <v>73</v>
      </c>
      <c r="J14" s="1" t="s">
        <v>28</v>
      </c>
      <c r="K14" s="1" t="s">
        <v>29</v>
      </c>
      <c r="L14" s="1"/>
    </row>
    <row r="15" spans="1:12">
      <c r="A15" s="2" t="s">
        <v>4</v>
      </c>
      <c r="B15" s="3">
        <f>جدول1[[#This Row],[پایان]]-جدول1[[#This Row],[شروع]]</f>
        <v>1.041666666666663E-2</v>
      </c>
      <c r="C15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14499.999999999947</v>
      </c>
      <c r="D15" s="3">
        <v>0.65625</v>
      </c>
      <c r="E15" s="3">
        <v>0.66666666666666663</v>
      </c>
      <c r="F15" s="1" t="s">
        <v>18</v>
      </c>
      <c r="G15" s="1" t="s">
        <v>1</v>
      </c>
      <c r="H15" s="1" t="s">
        <v>30</v>
      </c>
      <c r="I15" s="1" t="s">
        <v>71</v>
      </c>
      <c r="J15" s="1" t="s">
        <v>31</v>
      </c>
      <c r="K15" s="1" t="s">
        <v>32</v>
      </c>
      <c r="L15" s="1"/>
    </row>
    <row r="16" spans="1:12">
      <c r="A16" s="2" t="s">
        <v>4</v>
      </c>
      <c r="B16" s="3">
        <f>جدول1[[#This Row],[پایان]]-جدول1[[#This Row],[شروع]]</f>
        <v>4.1666666666666741E-2</v>
      </c>
      <c r="C16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58000.000000000102</v>
      </c>
      <c r="D16" s="3">
        <v>0.66666666666666663</v>
      </c>
      <c r="E16" s="3">
        <v>0.70833333333333337</v>
      </c>
      <c r="F16" s="1" t="s">
        <v>18</v>
      </c>
      <c r="G16" s="1" t="s">
        <v>1</v>
      </c>
      <c r="H16" s="1" t="s">
        <v>10</v>
      </c>
      <c r="I16" s="1" t="s">
        <v>56</v>
      </c>
      <c r="J16" s="1" t="s">
        <v>19</v>
      </c>
      <c r="K16" s="1" t="s">
        <v>33</v>
      </c>
      <c r="L16" s="1"/>
    </row>
    <row r="17" spans="1:12">
      <c r="A17" s="2" t="s">
        <v>34</v>
      </c>
      <c r="B17" s="3">
        <f>جدول1[[#This Row],[پایان]]-جدول1[[#This Row],[شروع]]</f>
        <v>5.2083333333333259E-2</v>
      </c>
      <c r="C17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72499.999999999898</v>
      </c>
      <c r="D17" s="3">
        <v>0.70833333333333337</v>
      </c>
      <c r="E17" s="3">
        <v>0.76041666666666663</v>
      </c>
      <c r="F17" s="1" t="s">
        <v>18</v>
      </c>
      <c r="G17" s="1" t="s">
        <v>37</v>
      </c>
      <c r="H17" s="1" t="s">
        <v>72</v>
      </c>
      <c r="I17" s="1" t="s">
        <v>65</v>
      </c>
      <c r="J17" s="1" t="s">
        <v>22</v>
      </c>
      <c r="K17" s="1" t="s">
        <v>67</v>
      </c>
      <c r="L17" s="1"/>
    </row>
    <row r="18" spans="1:12">
      <c r="A18" s="2" t="s">
        <v>34</v>
      </c>
      <c r="B18" s="3">
        <f>جدول1[[#This Row],[پایان]]-جدول1[[#This Row],[شروع]]</f>
        <v>1.3888888888888895E-2</v>
      </c>
      <c r="C18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19333.333333333343</v>
      </c>
      <c r="D18" s="3">
        <v>0.35416666666666669</v>
      </c>
      <c r="E18" s="3">
        <v>0.36805555555555558</v>
      </c>
      <c r="F18" s="1" t="s">
        <v>18</v>
      </c>
      <c r="G18" s="1" t="s">
        <v>37</v>
      </c>
      <c r="H18" s="1" t="s">
        <v>27</v>
      </c>
      <c r="I18" s="1" t="s">
        <v>73</v>
      </c>
      <c r="J18" s="1" t="s">
        <v>28</v>
      </c>
      <c r="K18" s="1" t="s">
        <v>35</v>
      </c>
      <c r="L18" s="1"/>
    </row>
    <row r="19" spans="1:12">
      <c r="A19" s="2" t="s">
        <v>34</v>
      </c>
      <c r="B19" s="3">
        <f>جدول1[[#This Row],[پایان]]-جدول1[[#This Row],[شروع]]</f>
        <v>4.1666666666666685E-2</v>
      </c>
      <c r="C19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88952.380952381005</v>
      </c>
      <c r="D19" s="3">
        <v>0.36805555555555558</v>
      </c>
      <c r="E19" s="3">
        <v>0.40972222222222227</v>
      </c>
      <c r="F19" s="1" t="s">
        <v>38</v>
      </c>
      <c r="G19" s="1" t="s">
        <v>37</v>
      </c>
      <c r="H19" s="1" t="s">
        <v>72</v>
      </c>
      <c r="I19" s="1" t="s">
        <v>70</v>
      </c>
      <c r="J19" s="1" t="s">
        <v>61</v>
      </c>
      <c r="K19" s="1" t="s">
        <v>39</v>
      </c>
      <c r="L19" s="1"/>
    </row>
    <row r="20" spans="1:12">
      <c r="A20" s="2" t="s">
        <v>34</v>
      </c>
      <c r="B20" s="3">
        <f>جدول1[[#This Row],[پایان]]-جدول1[[#This Row],[شروع]]</f>
        <v>6.9444444444444198E-3</v>
      </c>
      <c r="C20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20" s="3">
        <v>0.40972222222222227</v>
      </c>
      <c r="E20" s="3">
        <v>0.41666666666666669</v>
      </c>
      <c r="F20" s="1" t="s">
        <v>18</v>
      </c>
      <c r="G20" s="1" t="s">
        <v>24</v>
      </c>
      <c r="H20" s="1" t="s">
        <v>40</v>
      </c>
      <c r="I20" s="1" t="s">
        <v>55</v>
      </c>
      <c r="J20" s="1" t="s">
        <v>25</v>
      </c>
      <c r="K20" s="1" t="s">
        <v>41</v>
      </c>
      <c r="L20" s="1"/>
    </row>
    <row r="21" spans="1:12">
      <c r="A21" s="2" t="s">
        <v>34</v>
      </c>
      <c r="B21" s="3">
        <f>جدول1[[#This Row],[پایان]]-جدول1[[#This Row],[شروع]]</f>
        <v>2.7777777777777735E-2</v>
      </c>
      <c r="C21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38666.666666666606</v>
      </c>
      <c r="D21" s="3">
        <v>0.41666666666666669</v>
      </c>
      <c r="E21" s="3">
        <v>0.44444444444444442</v>
      </c>
      <c r="F21" s="1" t="s">
        <v>18</v>
      </c>
      <c r="G21" s="1" t="s">
        <v>24</v>
      </c>
      <c r="H21" s="1" t="s">
        <v>23</v>
      </c>
      <c r="I21" s="1" t="s">
        <v>69</v>
      </c>
      <c r="J21" s="1" t="s">
        <v>61</v>
      </c>
      <c r="K21" s="1" t="s">
        <v>42</v>
      </c>
      <c r="L21" s="1"/>
    </row>
    <row r="22" spans="1:12">
      <c r="A22" s="2" t="s">
        <v>34</v>
      </c>
      <c r="B22" s="3">
        <f>جدول1[[#This Row],[پایان]]-جدول1[[#This Row],[شروع]]</f>
        <v>6.9444444444444753E-3</v>
      </c>
      <c r="C22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9666.6666666667097</v>
      </c>
      <c r="D22" s="3">
        <v>0.44444444444444442</v>
      </c>
      <c r="E22" s="3">
        <v>0.4513888888888889</v>
      </c>
      <c r="F22" s="1" t="s">
        <v>18</v>
      </c>
      <c r="G22" s="1" t="s">
        <v>24</v>
      </c>
      <c r="H22" s="1" t="s">
        <v>10</v>
      </c>
      <c r="I22" s="1" t="s">
        <v>56</v>
      </c>
      <c r="J22" s="1" t="s">
        <v>61</v>
      </c>
      <c r="K22" s="1" t="s">
        <v>62</v>
      </c>
      <c r="L22" s="1"/>
    </row>
    <row r="23" spans="1:12">
      <c r="A23" s="2" t="s">
        <v>34</v>
      </c>
      <c r="B23" s="3">
        <f>جدول1[[#This Row],[پایان]]-جدول1[[#This Row],[شروع]]</f>
        <v>6.9444444444444198E-3</v>
      </c>
      <c r="C23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9666.6666666666315</v>
      </c>
      <c r="D23" s="3">
        <v>0.4513888888888889</v>
      </c>
      <c r="E23" s="3">
        <v>0.45833333333333331</v>
      </c>
      <c r="F23" s="1" t="s">
        <v>18</v>
      </c>
      <c r="G23" s="1" t="s">
        <v>24</v>
      </c>
      <c r="H23" s="1" t="s">
        <v>77</v>
      </c>
      <c r="I23" s="1" t="s">
        <v>73</v>
      </c>
      <c r="J23" s="1" t="s">
        <v>61</v>
      </c>
      <c r="K23" s="1" t="s">
        <v>45</v>
      </c>
      <c r="L23" s="1"/>
    </row>
    <row r="24" spans="1:12">
      <c r="A24" s="2" t="s">
        <v>34</v>
      </c>
      <c r="B24" s="3">
        <f>جدول1[[#This Row],[پایان]]-جدول1[[#This Row],[شروع]]</f>
        <v>1.0416666666666685E-2</v>
      </c>
      <c r="C24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14500.000000000025</v>
      </c>
      <c r="D24" s="3">
        <v>0.45833333333333331</v>
      </c>
      <c r="E24" s="3">
        <v>0.46875</v>
      </c>
      <c r="F24" s="1" t="s">
        <v>18</v>
      </c>
      <c r="G24" s="1" t="s">
        <v>37</v>
      </c>
      <c r="H24" s="1" t="s">
        <v>72</v>
      </c>
      <c r="I24" s="1" t="s">
        <v>65</v>
      </c>
      <c r="J24" s="1" t="s">
        <v>22</v>
      </c>
      <c r="K24" s="1" t="s">
        <v>68</v>
      </c>
      <c r="L24" s="1"/>
    </row>
    <row r="25" spans="1:12">
      <c r="A25" s="2" t="s">
        <v>34</v>
      </c>
      <c r="B25" s="3">
        <f>جدول1[[#This Row],[پایان]]-جدول1[[#This Row],[شروع]]</f>
        <v>2.0833333333333315E-2</v>
      </c>
      <c r="C25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28999.999999999978</v>
      </c>
      <c r="D25" s="3">
        <v>0.46875</v>
      </c>
      <c r="E25" s="3">
        <v>0.48958333333333331</v>
      </c>
      <c r="F25" s="1" t="s">
        <v>18</v>
      </c>
      <c r="G25" s="1" t="s">
        <v>1</v>
      </c>
      <c r="H25" s="1" t="s">
        <v>30</v>
      </c>
      <c r="I25" s="1" t="s">
        <v>71</v>
      </c>
      <c r="J25" s="1" t="s">
        <v>22</v>
      </c>
      <c r="K25" s="1" t="s">
        <v>63</v>
      </c>
      <c r="L25" s="1"/>
    </row>
    <row r="26" spans="1:12">
      <c r="A26" s="2" t="s">
        <v>34</v>
      </c>
      <c r="B26" s="3">
        <f>جدول1[[#This Row],[پایان]]-جدول1[[#This Row],[شروع]]</f>
        <v>2.0833333333333315E-2</v>
      </c>
      <c r="C26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28999.999999999978</v>
      </c>
      <c r="D26" s="3">
        <v>0.48958333333333331</v>
      </c>
      <c r="E26" s="3">
        <v>0.51041666666666663</v>
      </c>
      <c r="F26" s="1" t="s">
        <v>18</v>
      </c>
      <c r="G26" s="1" t="s">
        <v>37</v>
      </c>
      <c r="H26" s="1" t="s">
        <v>72</v>
      </c>
      <c r="I26" s="1" t="s">
        <v>65</v>
      </c>
      <c r="J26" s="1" t="s">
        <v>22</v>
      </c>
      <c r="K26" s="1" t="s">
        <v>46</v>
      </c>
      <c r="L26" s="1"/>
    </row>
    <row r="27" spans="1:12">
      <c r="A27" s="2" t="s">
        <v>34</v>
      </c>
      <c r="B27" s="3">
        <f>جدول1[[#This Row],[پایان]]-جدول1[[#This Row],[شروع]]</f>
        <v>1.0416666666666741E-2</v>
      </c>
      <c r="C27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14500.000000000102</v>
      </c>
      <c r="D27" s="3">
        <v>0.51041666666666663</v>
      </c>
      <c r="E27" s="3">
        <v>0.52083333333333337</v>
      </c>
      <c r="F27" s="1" t="s">
        <v>18</v>
      </c>
      <c r="G27" s="1" t="s">
        <v>24</v>
      </c>
      <c r="H27" s="1" t="s">
        <v>23</v>
      </c>
      <c r="I27" s="1" t="s">
        <v>69</v>
      </c>
      <c r="J27" s="1" t="s">
        <v>61</v>
      </c>
      <c r="K27" s="1" t="s">
        <v>50</v>
      </c>
      <c r="L27" s="1"/>
    </row>
    <row r="28" spans="1:12">
      <c r="A28" s="2" t="s">
        <v>34</v>
      </c>
      <c r="B28" s="3">
        <f>جدول1[[#This Row],[پایان]]-جدول1[[#This Row],[شروع]]</f>
        <v>2.0833333333333259E-2</v>
      </c>
      <c r="C28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28999.999999999894</v>
      </c>
      <c r="D28" s="3">
        <v>0.52083333333333337</v>
      </c>
      <c r="E28" s="3">
        <v>0.54166666666666663</v>
      </c>
      <c r="F28" s="1" t="s">
        <v>18</v>
      </c>
      <c r="G28" s="1" t="s">
        <v>1</v>
      </c>
      <c r="H28" s="1" t="s">
        <v>30</v>
      </c>
      <c r="I28" s="1" t="s">
        <v>71</v>
      </c>
      <c r="J28" s="1" t="s">
        <v>31</v>
      </c>
      <c r="K28" s="1" t="s">
        <v>64</v>
      </c>
      <c r="L28" s="1"/>
    </row>
    <row r="29" spans="1:12">
      <c r="A29" s="2" t="s">
        <v>34</v>
      </c>
      <c r="B29" s="3">
        <f>جدول1[[#This Row],[پایان]]-جدول1[[#This Row],[شروع]]</f>
        <v>2.083333333333337E-2</v>
      </c>
      <c r="C29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29000.000000000051</v>
      </c>
      <c r="D29" s="3">
        <v>0.54166666666666663</v>
      </c>
      <c r="E29" s="3">
        <v>0.5625</v>
      </c>
      <c r="F29" s="4" t="s">
        <v>18</v>
      </c>
      <c r="G29" s="1" t="s">
        <v>37</v>
      </c>
      <c r="H29" s="1" t="s">
        <v>72</v>
      </c>
      <c r="I29" s="1" t="s">
        <v>65</v>
      </c>
      <c r="J29" s="1" t="s">
        <v>22</v>
      </c>
      <c r="K29" s="1" t="s">
        <v>46</v>
      </c>
      <c r="L29" s="1"/>
    </row>
    <row r="30" spans="1:12">
      <c r="A30" s="2" t="s">
        <v>34</v>
      </c>
      <c r="B30" s="3">
        <f>جدول1[[#This Row],[پایان]]-جدول1[[#This Row],[شروع]]</f>
        <v>1.041666666666663E-2</v>
      </c>
      <c r="C30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0</v>
      </c>
      <c r="D30" s="3">
        <v>0.5625</v>
      </c>
      <c r="E30" s="3">
        <v>0.57291666666666663</v>
      </c>
      <c r="F30" s="4" t="s">
        <v>18</v>
      </c>
      <c r="G30" s="1" t="s">
        <v>37</v>
      </c>
      <c r="H30" s="1" t="s">
        <v>74</v>
      </c>
      <c r="I30" s="1" t="s">
        <v>74</v>
      </c>
      <c r="J30" s="1" t="s">
        <v>74</v>
      </c>
      <c r="K30" s="1" t="s">
        <v>74</v>
      </c>
      <c r="L30" s="1"/>
    </row>
    <row r="31" spans="1:12">
      <c r="A31" s="2" t="s">
        <v>34</v>
      </c>
      <c r="B31" s="3">
        <f>جدول1[[#This Row],[پایان]]-جدول1[[#This Row],[شروع]]</f>
        <v>3.125E-2</v>
      </c>
      <c r="C31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43500</v>
      </c>
      <c r="D31" s="3">
        <v>0.57291666666666663</v>
      </c>
      <c r="E31" s="3">
        <v>0.60416666666666663</v>
      </c>
      <c r="F31" s="4" t="s">
        <v>18</v>
      </c>
      <c r="G31" s="1" t="s">
        <v>1</v>
      </c>
      <c r="H31" s="1" t="s">
        <v>10</v>
      </c>
      <c r="I31" s="1" t="s">
        <v>56</v>
      </c>
      <c r="J31" s="1" t="s">
        <v>19</v>
      </c>
      <c r="K31" s="1" t="s">
        <v>75</v>
      </c>
    </row>
    <row r="32" spans="1:12">
      <c r="A32" s="2" t="s">
        <v>34</v>
      </c>
      <c r="B32" s="3">
        <f>جدول1[[#This Row],[پایان]]-جدول1[[#This Row],[شروع]]</f>
        <v>3.4722222222223209E-3</v>
      </c>
      <c r="C32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4833.3333333334704</v>
      </c>
      <c r="D32" s="3">
        <v>0.63541666666666663</v>
      </c>
      <c r="E32" s="3">
        <v>0.63888888888888895</v>
      </c>
      <c r="F32" s="4" t="s">
        <v>18</v>
      </c>
      <c r="G32" s="1" t="s">
        <v>1</v>
      </c>
      <c r="H32" s="1" t="s">
        <v>30</v>
      </c>
      <c r="I32" s="1" t="s">
        <v>71</v>
      </c>
      <c r="J32" s="1" t="s">
        <v>31</v>
      </c>
      <c r="K32" s="1" t="s">
        <v>79</v>
      </c>
    </row>
    <row r="33" spans="1:11">
      <c r="A33" s="2" t="s">
        <v>34</v>
      </c>
      <c r="B33" s="3">
        <f>جدول1[[#This Row],[پایان]]-جدول1[[#This Row],[شروع]]</f>
        <v>1.388888888888884E-2</v>
      </c>
      <c r="C33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19333.333333333263</v>
      </c>
      <c r="D33" s="3">
        <v>0.63888888888888895</v>
      </c>
      <c r="E33" s="3">
        <v>0.65277777777777779</v>
      </c>
      <c r="F33" s="4" t="s">
        <v>18</v>
      </c>
      <c r="G33" s="1" t="s">
        <v>1</v>
      </c>
      <c r="H33" s="1" t="s">
        <v>30</v>
      </c>
      <c r="I33" s="1" t="s">
        <v>71</v>
      </c>
      <c r="J33" s="1" t="s">
        <v>52</v>
      </c>
      <c r="K33" s="1" t="s">
        <v>80</v>
      </c>
    </row>
    <row r="34" spans="1:11">
      <c r="A34" s="2" t="s">
        <v>34</v>
      </c>
      <c r="B34" s="3">
        <f>جدول1[[#This Row],[پایان]]-جدول1[[#This Row],[شروع]]</f>
        <v>1.388888888888884E-2</v>
      </c>
      <c r="C34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19333.333333333263</v>
      </c>
      <c r="D34" s="3">
        <v>0.65277777777777779</v>
      </c>
      <c r="E34" s="3">
        <v>0.66666666666666663</v>
      </c>
      <c r="F34" s="4" t="s">
        <v>18</v>
      </c>
      <c r="G34" s="1" t="s">
        <v>1</v>
      </c>
      <c r="H34" s="1" t="s">
        <v>10</v>
      </c>
      <c r="I34" s="1" t="s">
        <v>56</v>
      </c>
      <c r="J34" s="1" t="s">
        <v>11</v>
      </c>
      <c r="K34" s="1" t="s">
        <v>81</v>
      </c>
    </row>
    <row r="35" spans="1:11">
      <c r="A35" s="2" t="s">
        <v>34</v>
      </c>
      <c r="B35" s="3">
        <f>جدول1[[#This Row],[پایان]]-جدول1[[#This Row],[شروع]]</f>
        <v>6.9444444444445308E-3</v>
      </c>
      <c r="C35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0</v>
      </c>
      <c r="D35" s="3">
        <v>0.66666666666666663</v>
      </c>
      <c r="E35" s="3">
        <v>0.67361111111111116</v>
      </c>
      <c r="F35" s="4" t="s">
        <v>18</v>
      </c>
      <c r="G35" s="1" t="s">
        <v>37</v>
      </c>
      <c r="H35" s="1" t="s">
        <v>74</v>
      </c>
      <c r="I35" s="1" t="s">
        <v>74</v>
      </c>
      <c r="J35" s="1" t="s">
        <v>74</v>
      </c>
      <c r="K35" s="1" t="s">
        <v>74</v>
      </c>
    </row>
    <row r="36" spans="1:11">
      <c r="A36" s="2" t="s">
        <v>34</v>
      </c>
      <c r="B36" s="3">
        <f>جدول1[[#This Row],[پایان]]-جدول1[[#This Row],[شروع]]</f>
        <v>7.638888888888884E-2</v>
      </c>
      <c r="C36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106333.33333333327</v>
      </c>
      <c r="D36" s="3">
        <v>0.67361111111111116</v>
      </c>
      <c r="E36" s="3">
        <v>0.75</v>
      </c>
      <c r="F36" s="4" t="s">
        <v>18</v>
      </c>
      <c r="G36" s="1" t="s">
        <v>1</v>
      </c>
      <c r="H36" s="1" t="s">
        <v>10</v>
      </c>
      <c r="I36" s="1" t="s">
        <v>56</v>
      </c>
      <c r="J36" s="1" t="s">
        <v>19</v>
      </c>
      <c r="K36" s="1" t="s">
        <v>75</v>
      </c>
    </row>
    <row r="37" spans="1:11">
      <c r="A37" s="2" t="s">
        <v>82</v>
      </c>
      <c r="B37" s="3">
        <f>جدول1[[#This Row],[پایان]]-جدول1[[#This Row],[شروع]]</f>
        <v>4.166666666666663E-2</v>
      </c>
      <c r="C37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30952.380952380925</v>
      </c>
      <c r="D37" s="3">
        <v>0.5</v>
      </c>
      <c r="E37" s="3">
        <v>0.54166666666666663</v>
      </c>
      <c r="F37" s="4" t="s">
        <v>87</v>
      </c>
      <c r="G37" s="1" t="s">
        <v>37</v>
      </c>
      <c r="H37" s="6" t="s">
        <v>37</v>
      </c>
      <c r="I37" s="6" t="s">
        <v>70</v>
      </c>
      <c r="J37" s="6" t="s">
        <v>25</v>
      </c>
      <c r="K37" s="6"/>
    </row>
    <row r="38" spans="1:11">
      <c r="A38" s="2" t="s">
        <v>83</v>
      </c>
      <c r="B38" s="3">
        <f>جدول1[[#This Row],[پایان]]-جدول1[[#This Row],[شروع]]</f>
        <v>4.1666666666666741E-2</v>
      </c>
      <c r="C38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30952.380952381009</v>
      </c>
      <c r="D38" s="3">
        <v>0.54166666666666663</v>
      </c>
      <c r="E38" s="3">
        <v>0.58333333333333337</v>
      </c>
      <c r="F38" s="4" t="s">
        <v>87</v>
      </c>
      <c r="G38" s="1" t="s">
        <v>37</v>
      </c>
      <c r="H38" s="6" t="s">
        <v>72</v>
      </c>
      <c r="I38" s="6"/>
      <c r="J38" s="6"/>
      <c r="K38" s="6"/>
    </row>
    <row r="39" spans="1:11">
      <c r="A39" s="2" t="s">
        <v>82</v>
      </c>
      <c r="B39" s="3">
        <f>جدول1[[#This Row],[پایان]]-جدول1[[#This Row],[شروع]]</f>
        <v>2.0833333333333259E-2</v>
      </c>
      <c r="C39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0</v>
      </c>
      <c r="D39" s="3">
        <v>0.58333333333333337</v>
      </c>
      <c r="E39" s="3">
        <v>0.60416666666666663</v>
      </c>
      <c r="F39" s="4" t="s">
        <v>87</v>
      </c>
      <c r="G39" s="1" t="s">
        <v>37</v>
      </c>
      <c r="H39" s="1" t="s">
        <v>74</v>
      </c>
      <c r="I39" s="1" t="s">
        <v>74</v>
      </c>
      <c r="J39" s="1" t="s">
        <v>74</v>
      </c>
      <c r="K39" s="1" t="s">
        <v>74</v>
      </c>
    </row>
    <row r="40" spans="1:11">
      <c r="A40" s="2" t="s">
        <v>82</v>
      </c>
      <c r="B40" s="3">
        <f>جدول1[[#This Row],[پایان]]-جدول1[[#This Row],[شروع]]</f>
        <v>8.333333333333337E-2</v>
      </c>
      <c r="C40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61904.761904761937</v>
      </c>
      <c r="D40" s="3">
        <v>0.6875</v>
      </c>
      <c r="E40" s="3">
        <v>0.77083333333333337</v>
      </c>
      <c r="F40" s="4" t="s">
        <v>87</v>
      </c>
      <c r="G40" s="1" t="s">
        <v>37</v>
      </c>
      <c r="H40" s="1" t="s">
        <v>60</v>
      </c>
      <c r="I40" s="1" t="s">
        <v>71</v>
      </c>
      <c r="J40" s="6"/>
      <c r="K40" s="6"/>
    </row>
    <row r="41" spans="1:11">
      <c r="A41" s="2" t="s">
        <v>82</v>
      </c>
      <c r="B41" s="3">
        <f>جدول1[[#This Row],[پایان]]-جدول1[[#This Row],[شروع]]</f>
        <v>4.166666666666663E-2</v>
      </c>
      <c r="C41" s="4">
        <f>IF(جدول1[[#This Row],[مشتری]]="امور شخصی",0,IF(جدول1[[#This Row],[مجری]]="ابراهیمی",جدول1[[#This Row],[مدت]]*58000*24,IF(جدول1[[#This Row],[مجری]]="لک",جدول1[[#This Row],[مدت]]*((5000000*13)/2100)*24,IF(جدول1[[#This Row],[مجری]]="مشترک",(جدول1[[#This Row],[مدت]]*58000*24)+جدول1[[#This Row],[مدت]]*((5000000*13)/2100)*24,0))))</f>
        <v>30952.380952380925</v>
      </c>
      <c r="D41" s="3">
        <v>0.77083333333333337</v>
      </c>
      <c r="E41" s="3">
        <v>0.8125</v>
      </c>
      <c r="F41" s="4" t="s">
        <v>87</v>
      </c>
      <c r="G41" s="1" t="s">
        <v>37</v>
      </c>
      <c r="H41" s="1" t="s">
        <v>60</v>
      </c>
      <c r="I41" s="1" t="s">
        <v>71</v>
      </c>
      <c r="J41" s="1"/>
      <c r="K41" s="1" t="s">
        <v>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rightToLeft="1" topLeftCell="A45" workbookViewId="0">
      <selection activeCell="A30" sqref="A30"/>
    </sheetView>
  </sheetViews>
  <sheetFormatPr defaultColWidth="9" defaultRowHeight="18"/>
  <cols>
    <col min="1" max="1" width="149.140625" style="1" bestFit="1" customWidth="1"/>
    <col min="2" max="2" width="11.5703125" style="1" bestFit="1" customWidth="1"/>
    <col min="3" max="3" width="11.42578125" style="5" hidden="1" customWidth="1"/>
    <col min="4" max="16384" width="9" style="1"/>
  </cols>
  <sheetData>
    <row r="1" spans="1:3">
      <c r="A1" s="7" t="s">
        <v>85</v>
      </c>
      <c r="B1" s="6" t="s">
        <v>36</v>
      </c>
      <c r="C1" s="6" t="s">
        <v>49</v>
      </c>
    </row>
    <row r="2" spans="1:3">
      <c r="A2" s="8" t="s">
        <v>1</v>
      </c>
      <c r="B2" s="9">
        <v>0.27777777777777773</v>
      </c>
      <c r="C2" s="12">
        <v>386666.66666666657</v>
      </c>
    </row>
    <row r="3" spans="1:3">
      <c r="A3" s="10" t="s">
        <v>10</v>
      </c>
      <c r="B3" s="9">
        <v>0.15625</v>
      </c>
      <c r="C3" s="12">
        <v>217499.99999999994</v>
      </c>
    </row>
    <row r="4" spans="1:3">
      <c r="A4" s="10" t="s">
        <v>30</v>
      </c>
      <c r="B4" s="9">
        <v>6.9444444444444448E-2</v>
      </c>
      <c r="C4" s="12">
        <v>96666.66666666657</v>
      </c>
    </row>
    <row r="5" spans="1:3">
      <c r="A5" s="10" t="s">
        <v>14</v>
      </c>
      <c r="B5" s="9">
        <v>3.8194444444444448E-2</v>
      </c>
      <c r="C5" s="12">
        <v>53166.666666666628</v>
      </c>
    </row>
    <row r="6" spans="1:3">
      <c r="A6" s="10" t="s">
        <v>60</v>
      </c>
      <c r="B6" s="9">
        <v>6.9444444444444441E-3</v>
      </c>
      <c r="C6" s="12">
        <v>9666.6666666667861</v>
      </c>
    </row>
    <row r="7" spans="1:3">
      <c r="A7" s="11" t="s">
        <v>71</v>
      </c>
      <c r="B7" s="9">
        <v>6.9444444444444441E-3</v>
      </c>
      <c r="C7" s="12">
        <v>9666.6666666667861</v>
      </c>
    </row>
    <row r="8" spans="1:3">
      <c r="A8" s="13" t="s">
        <v>57</v>
      </c>
      <c r="B8" s="9">
        <v>6.9444444444444441E-3</v>
      </c>
      <c r="C8" s="12">
        <v>9666.6666666667861</v>
      </c>
    </row>
    <row r="9" spans="1:3">
      <c r="A9" s="14" t="s">
        <v>18</v>
      </c>
      <c r="B9" s="9">
        <v>6.9444444444444441E-3</v>
      </c>
      <c r="C9" s="12">
        <v>9666.6666666667861</v>
      </c>
    </row>
    <row r="10" spans="1:3">
      <c r="A10" s="15" t="s">
        <v>59</v>
      </c>
      <c r="B10" s="9">
        <v>6.9444444444444441E-3</v>
      </c>
      <c r="C10" s="12">
        <v>9666.6666666667861</v>
      </c>
    </row>
    <row r="11" spans="1:3">
      <c r="A11" s="10" t="s">
        <v>23</v>
      </c>
      <c r="B11" s="9">
        <v>6.9444444444444441E-3</v>
      </c>
      <c r="C11" s="12">
        <v>9666.6666666666315</v>
      </c>
    </row>
    <row r="12" spans="1:3">
      <c r="A12" s="11" t="s">
        <v>69</v>
      </c>
      <c r="B12" s="9">
        <v>6.9444444444444441E-3</v>
      </c>
      <c r="C12" s="12">
        <v>9666.6666666666315</v>
      </c>
    </row>
    <row r="13" spans="1:3">
      <c r="A13" s="13" t="s">
        <v>57</v>
      </c>
      <c r="B13" s="9">
        <v>6.9444444444444441E-3</v>
      </c>
      <c r="C13" s="12">
        <v>9666.6666666666315</v>
      </c>
    </row>
    <row r="14" spans="1:3">
      <c r="A14" s="14" t="s">
        <v>18</v>
      </c>
      <c r="B14" s="9">
        <v>6.9444444444444441E-3</v>
      </c>
      <c r="C14" s="12">
        <v>9666.6666666666315</v>
      </c>
    </row>
    <row r="15" spans="1:3">
      <c r="A15" s="15" t="s">
        <v>58</v>
      </c>
      <c r="B15" s="9">
        <v>6.9444444444444441E-3</v>
      </c>
      <c r="C15" s="12">
        <v>9666.6666666666315</v>
      </c>
    </row>
    <row r="16" spans="1:3">
      <c r="A16" s="8" t="s">
        <v>37</v>
      </c>
      <c r="B16" s="9">
        <v>0.22916666666666666</v>
      </c>
      <c r="C16" s="12">
        <v>325785.71428571432</v>
      </c>
    </row>
    <row r="17" spans="1:3">
      <c r="A17" s="10" t="s">
        <v>72</v>
      </c>
      <c r="B17" s="9">
        <v>0.19791666666666666</v>
      </c>
      <c r="C17" s="12">
        <v>306452.38095238101</v>
      </c>
    </row>
    <row r="18" spans="1:3">
      <c r="A18" s="11" t="s">
        <v>65</v>
      </c>
      <c r="B18" s="9">
        <v>0.125</v>
      </c>
      <c r="C18" s="12">
        <v>174000</v>
      </c>
    </row>
    <row r="19" spans="1:3">
      <c r="A19" s="11" t="s">
        <v>70</v>
      </c>
      <c r="B19" s="9">
        <v>7.2916666666666657E-2</v>
      </c>
      <c r="C19" s="12">
        <v>132452.38095238101</v>
      </c>
    </row>
    <row r="20" spans="1:3">
      <c r="A20" s="13" t="s">
        <v>61</v>
      </c>
      <c r="B20" s="9">
        <v>7.2916666666666657E-2</v>
      </c>
      <c r="C20" s="12">
        <v>132452.38095238101</v>
      </c>
    </row>
    <row r="21" spans="1:3">
      <c r="A21" s="14" t="s">
        <v>18</v>
      </c>
      <c r="B21" s="9">
        <v>3.125E-2</v>
      </c>
      <c r="C21" s="12">
        <v>43500</v>
      </c>
    </row>
    <row r="22" spans="1:3">
      <c r="A22" s="15" t="s">
        <v>21</v>
      </c>
      <c r="B22" s="9">
        <v>3.125E-2</v>
      </c>
      <c r="C22" s="12">
        <v>43500</v>
      </c>
    </row>
    <row r="23" spans="1:3">
      <c r="A23" s="14" t="s">
        <v>38</v>
      </c>
      <c r="B23" s="9">
        <v>4.1666666666666664E-2</v>
      </c>
      <c r="C23" s="12">
        <v>88952.380952381005</v>
      </c>
    </row>
    <row r="24" spans="1:3">
      <c r="A24" s="15" t="s">
        <v>39</v>
      </c>
      <c r="B24" s="9">
        <v>4.1666666666666664E-2</v>
      </c>
      <c r="C24" s="12">
        <v>88952.380952381005</v>
      </c>
    </row>
    <row r="25" spans="1:3">
      <c r="A25" s="10" t="s">
        <v>74</v>
      </c>
      <c r="B25" s="9">
        <v>1.7361111111111112E-2</v>
      </c>
      <c r="C25" s="12">
        <v>0</v>
      </c>
    </row>
    <row r="26" spans="1:3">
      <c r="A26" s="10" t="s">
        <v>27</v>
      </c>
      <c r="B26" s="9">
        <v>1.3888888888888888E-2</v>
      </c>
      <c r="C26" s="12">
        <v>19333.333333333343</v>
      </c>
    </row>
    <row r="27" spans="1:3">
      <c r="A27" s="11" t="s">
        <v>73</v>
      </c>
      <c r="B27" s="9">
        <v>1.3888888888888888E-2</v>
      </c>
      <c r="C27" s="12">
        <v>19333.333333333343</v>
      </c>
    </row>
    <row r="28" spans="1:3">
      <c r="A28" s="13" t="s">
        <v>28</v>
      </c>
      <c r="B28" s="9">
        <v>1.3888888888888888E-2</v>
      </c>
      <c r="C28" s="12">
        <v>19333.333333333343</v>
      </c>
    </row>
    <row r="29" spans="1:3">
      <c r="A29" s="14" t="s">
        <v>18</v>
      </c>
      <c r="B29" s="9">
        <v>1.3888888888888888E-2</v>
      </c>
      <c r="C29" s="12">
        <v>19333.333333333343</v>
      </c>
    </row>
    <row r="30" spans="1:3">
      <c r="A30" s="15" t="s">
        <v>35</v>
      </c>
      <c r="B30" s="9">
        <v>1.3888888888888888E-2</v>
      </c>
      <c r="C30" s="12">
        <v>19333.333333333343</v>
      </c>
    </row>
    <row r="31" spans="1:3">
      <c r="A31" s="8" t="s">
        <v>7</v>
      </c>
      <c r="B31" s="9">
        <v>0.13194444444444445</v>
      </c>
      <c r="C31" s="12">
        <v>183666.66666666663</v>
      </c>
    </row>
    <row r="32" spans="1:3">
      <c r="A32" s="10" t="s">
        <v>78</v>
      </c>
      <c r="B32" s="9">
        <v>9.375E-2</v>
      </c>
      <c r="C32" s="12">
        <v>130500</v>
      </c>
    </row>
    <row r="33" spans="1:3">
      <c r="A33" s="10" t="s">
        <v>76</v>
      </c>
      <c r="B33" s="9">
        <v>3.125E-2</v>
      </c>
      <c r="C33" s="12">
        <v>43500</v>
      </c>
    </row>
    <row r="34" spans="1:3">
      <c r="A34" s="10" t="s">
        <v>27</v>
      </c>
      <c r="B34" s="9">
        <v>6.9444444444444441E-3</v>
      </c>
      <c r="C34" s="12">
        <v>9666.6666666666315</v>
      </c>
    </row>
    <row r="35" spans="1:3">
      <c r="A35" s="11" t="s">
        <v>73</v>
      </c>
      <c r="B35" s="9">
        <v>6.9444444444444441E-3</v>
      </c>
      <c r="C35" s="12">
        <v>9666.6666666666315</v>
      </c>
    </row>
    <row r="36" spans="1:3">
      <c r="A36" s="13" t="s">
        <v>61</v>
      </c>
      <c r="B36" s="9">
        <v>6.9444444444444441E-3</v>
      </c>
      <c r="C36" s="12">
        <v>9666.6666666666315</v>
      </c>
    </row>
    <row r="37" spans="1:3">
      <c r="A37" s="14" t="s">
        <v>18</v>
      </c>
      <c r="B37" s="9">
        <v>6.9444444444444441E-3</v>
      </c>
      <c r="C37" s="12">
        <v>9666.6666666666315</v>
      </c>
    </row>
    <row r="38" spans="1:3">
      <c r="A38" s="15" t="s">
        <v>47</v>
      </c>
      <c r="B38" s="9">
        <v>6.9444444444444441E-3</v>
      </c>
      <c r="C38" s="12">
        <v>9666.6666666666315</v>
      </c>
    </row>
    <row r="39" spans="1:3">
      <c r="A39" s="8" t="s">
        <v>24</v>
      </c>
      <c r="B39" s="9">
        <v>0.12152777777777779</v>
      </c>
      <c r="C39" s="12">
        <v>169166.66666666663</v>
      </c>
    </row>
    <row r="40" spans="1:3">
      <c r="A40" s="10" t="s">
        <v>23</v>
      </c>
      <c r="B40" s="9">
        <v>7.9861111111111119E-2</v>
      </c>
      <c r="C40" s="12">
        <v>111166.66666666667</v>
      </c>
    </row>
    <row r="41" spans="1:3">
      <c r="A41" s="11" t="s">
        <v>69</v>
      </c>
      <c r="B41" s="9">
        <v>7.9861111111111119E-2</v>
      </c>
      <c r="C41" s="12">
        <v>111166.66666666667</v>
      </c>
    </row>
    <row r="42" spans="1:3">
      <c r="A42" s="13" t="s">
        <v>25</v>
      </c>
      <c r="B42" s="9">
        <v>4.1666666666666664E-2</v>
      </c>
      <c r="C42" s="12">
        <v>57999.999999999956</v>
      </c>
    </row>
    <row r="43" spans="1:3">
      <c r="A43" s="14" t="s">
        <v>18</v>
      </c>
      <c r="B43" s="9">
        <v>4.1666666666666664E-2</v>
      </c>
      <c r="C43" s="12">
        <v>57999.999999999956</v>
      </c>
    </row>
    <row r="44" spans="1:3">
      <c r="A44" s="15" t="s">
        <v>26</v>
      </c>
      <c r="B44" s="9">
        <v>4.1666666666666664E-2</v>
      </c>
      <c r="C44" s="12">
        <v>57999.999999999956</v>
      </c>
    </row>
    <row r="45" spans="1:3">
      <c r="A45" s="13" t="s">
        <v>61</v>
      </c>
      <c r="B45" s="9">
        <v>3.8194444444444441E-2</v>
      </c>
      <c r="C45" s="12">
        <v>53166.666666666708</v>
      </c>
    </row>
    <row r="46" spans="1:3">
      <c r="A46" s="14" t="s">
        <v>18</v>
      </c>
      <c r="B46" s="9">
        <v>3.8194444444444441E-2</v>
      </c>
      <c r="C46" s="12">
        <v>53166.666666666708</v>
      </c>
    </row>
    <row r="47" spans="1:3">
      <c r="A47" s="15" t="s">
        <v>42</v>
      </c>
      <c r="B47" s="9">
        <v>2.7777777777777776E-2</v>
      </c>
      <c r="C47" s="12">
        <v>38666.666666666606</v>
      </c>
    </row>
    <row r="48" spans="1:3">
      <c r="A48" s="15" t="s">
        <v>50</v>
      </c>
      <c r="B48" s="9">
        <v>1.0416666666666666E-2</v>
      </c>
      <c r="C48" s="12">
        <v>14500.000000000102</v>
      </c>
    </row>
    <row r="49" spans="1:3">
      <c r="A49" s="10" t="s">
        <v>40</v>
      </c>
      <c r="B49" s="9">
        <v>2.7777777777777776E-2</v>
      </c>
      <c r="C49" s="12">
        <v>38666.666666666613</v>
      </c>
    </row>
    <row r="50" spans="1:3">
      <c r="A50" s="10" t="s">
        <v>77</v>
      </c>
      <c r="B50" s="9">
        <v>6.9444444444444441E-3</v>
      </c>
      <c r="C50" s="12">
        <v>9666.6666666666315</v>
      </c>
    </row>
    <row r="51" spans="1:3">
      <c r="A51" s="10" t="s">
        <v>10</v>
      </c>
      <c r="B51" s="9">
        <v>6.9444444444444441E-3</v>
      </c>
      <c r="C51" s="12">
        <v>9666.6666666667097</v>
      </c>
    </row>
    <row r="52" spans="1:3">
      <c r="A52" s="8" t="s">
        <v>86</v>
      </c>
      <c r="B52" s="9">
        <v>0.76041666666666663</v>
      </c>
      <c r="C52" s="12">
        <v>1065285.7142857141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جزییات کارکرد</vt:lpstr>
      <vt:lpstr>گزارش کار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مصطفی ابراهیمی</dc:creator>
  <cp:lastModifiedBy>Omid Lak Mazaheri</cp:lastModifiedBy>
  <dcterms:created xsi:type="dcterms:W3CDTF">2020-05-23T09:02:57Z</dcterms:created>
  <dcterms:modified xsi:type="dcterms:W3CDTF">2020-05-30T15:12:37Z</dcterms:modified>
</cp:coreProperties>
</file>