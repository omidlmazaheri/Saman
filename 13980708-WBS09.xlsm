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ak\Desktop\saman\"/>
    </mc:Choice>
  </mc:AlternateContent>
  <bookViews>
    <workbookView showSheetTabs="0" xWindow="0" yWindow="0" windowWidth="15270" windowHeight="4635"/>
  </bookViews>
  <sheets>
    <sheet name="GanttChart" sheetId="8" r:id="rId1"/>
    <sheet name="Income Person-hours" sheetId="10" r:id="rId2"/>
    <sheet name="Report 1" sheetId="14" r:id="rId3"/>
    <sheet name="Report 2" sheetId="13" r:id="rId4"/>
    <sheet name="Holidays" sheetId="9" r:id="rId5"/>
  </sheets>
  <functionGroups builtInGroupCount="18"/>
  <definedNames>
    <definedName name="_xlnm._FilterDatabase" localSheetId="0" hidden="1">GanttChart!$A$8:$Q$240</definedName>
    <definedName name="_xlnm._FilterDatabase" localSheetId="2" hidden="1">'Report 1'!$A$2:$I$180</definedName>
    <definedName name="_xlnm._FilterDatabase" localSheetId="3" hidden="1">'Report 2'!$A$1:$I$180</definedName>
    <definedName name="a" localSheetId="0">GanttChart!$B$1:$GA$177</definedName>
    <definedName name="_xlnm.Print_Area" localSheetId="0">GanttChart!$A$1:$DI$155</definedName>
    <definedName name="_xlnm.Print_Area" localSheetId="2">'Report 1'!$B$1:$I$180</definedName>
    <definedName name="_xlnm.Print_Area" localSheetId="3">'Report 2'!$B$1:$I$180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K74" i="8" l="1"/>
  <c r="K75" i="8"/>
  <c r="K76" i="8"/>
  <c r="K77" i="8"/>
  <c r="K78" i="8"/>
  <c r="K79" i="8"/>
  <c r="K80" i="8"/>
  <c r="K81" i="8"/>
  <c r="K82" i="8"/>
  <c r="K83" i="8"/>
  <c r="K84" i="8"/>
  <c r="K85" i="8"/>
  <c r="K86" i="8"/>
  <c r="B1" i="8" l="1"/>
  <c r="E20" i="9"/>
  <c r="E9" i="9"/>
  <c r="E17" i="9"/>
  <c r="E26" i="9"/>
  <c r="E22" i="9"/>
  <c r="E15" i="9"/>
  <c r="E13" i="9"/>
  <c r="E21" i="9"/>
  <c r="E12" i="9"/>
  <c r="E18" i="9"/>
  <c r="E4" i="9"/>
  <c r="E8" i="9"/>
  <c r="E5" i="9"/>
  <c r="E8" i="8"/>
  <c r="E23" i="9"/>
  <c r="E6" i="9"/>
  <c r="E25" i="9"/>
  <c r="E3" i="9"/>
  <c r="E16" i="9"/>
  <c r="E10" i="9"/>
  <c r="E24" i="9"/>
  <c r="E19" i="9"/>
  <c r="E14" i="9"/>
  <c r="E27" i="9"/>
  <c r="E2" i="9"/>
  <c r="E7" i="9"/>
  <c r="E11" i="9"/>
  <c r="JD177" i="8" l="1"/>
  <c r="JD178" i="8"/>
  <c r="JD179" i="8"/>
  <c r="JD180" i="8"/>
  <c r="K33" i="8"/>
  <c r="K32" i="8"/>
  <c r="K10" i="8"/>
  <c r="D3" i="8"/>
  <c r="D28" i="9" l="1"/>
  <c r="C5" i="14" l="1"/>
  <c r="C6" i="14"/>
  <c r="C7" i="14"/>
  <c r="C8" i="14"/>
  <c r="C9" i="14"/>
  <c r="C10" i="14"/>
  <c r="C11" i="14"/>
  <c r="C12" i="14"/>
  <c r="C27" i="14"/>
  <c r="C28" i="14"/>
  <c r="C29" i="14"/>
  <c r="C30" i="14"/>
  <c r="C32" i="14"/>
  <c r="C49" i="14"/>
  <c r="C51" i="14"/>
  <c r="C53" i="14"/>
  <c r="C54" i="14"/>
  <c r="C71" i="14"/>
  <c r="C73" i="14"/>
  <c r="C74" i="14"/>
  <c r="C93" i="14"/>
  <c r="C94" i="14"/>
  <c r="C95" i="14"/>
  <c r="C115" i="14"/>
  <c r="C116" i="14"/>
  <c r="C118" i="14"/>
  <c r="C119" i="14"/>
  <c r="C137" i="14"/>
  <c r="C138" i="14"/>
  <c r="C139" i="14"/>
  <c r="C159" i="14"/>
  <c r="C162" i="14"/>
  <c r="C13" i="14"/>
  <c r="C14" i="14"/>
  <c r="C15" i="14"/>
  <c r="C16" i="14"/>
  <c r="C17" i="14"/>
  <c r="C18" i="14"/>
  <c r="C19" i="14"/>
  <c r="C20" i="14"/>
  <c r="C21" i="14"/>
  <c r="C22" i="14"/>
  <c r="C23" i="14"/>
  <c r="C24" i="14"/>
  <c r="C25" i="14"/>
  <c r="C26" i="14"/>
  <c r="C31" i="14"/>
  <c r="C33" i="14"/>
  <c r="C34" i="14"/>
  <c r="C35" i="14"/>
  <c r="C36" i="14"/>
  <c r="C37" i="14"/>
  <c r="C38" i="14"/>
  <c r="C39" i="14"/>
  <c r="C40" i="14"/>
  <c r="C41" i="14"/>
  <c r="C42" i="14"/>
  <c r="C43" i="14"/>
  <c r="C44" i="14"/>
  <c r="C45" i="14"/>
  <c r="C46" i="14"/>
  <c r="C47" i="14"/>
  <c r="C48" i="14"/>
  <c r="C50" i="14"/>
  <c r="C52" i="14"/>
  <c r="C55" i="14"/>
  <c r="C56" i="14"/>
  <c r="C57" i="14"/>
  <c r="C58" i="14"/>
  <c r="C59" i="14"/>
  <c r="C60" i="14"/>
  <c r="C61" i="14"/>
  <c r="C62" i="14"/>
  <c r="C63" i="14"/>
  <c r="C64" i="14"/>
  <c r="C65" i="14"/>
  <c r="C66" i="14"/>
  <c r="C67" i="14"/>
  <c r="C68" i="14"/>
  <c r="C69" i="14"/>
  <c r="C70" i="14"/>
  <c r="C72" i="14"/>
  <c r="C75" i="14"/>
  <c r="C76" i="14"/>
  <c r="C77" i="14"/>
  <c r="C78" i="14"/>
  <c r="C79" i="14"/>
  <c r="C80" i="14"/>
  <c r="C81" i="14"/>
  <c r="C82" i="14"/>
  <c r="C83" i="14"/>
  <c r="C84" i="14"/>
  <c r="C85" i="14"/>
  <c r="C86" i="14"/>
  <c r="C87" i="14"/>
  <c r="C88" i="14"/>
  <c r="C89" i="14"/>
  <c r="C90" i="14"/>
  <c r="C91" i="14"/>
  <c r="C92" i="14"/>
  <c r="C96" i="14"/>
  <c r="C97" i="14"/>
  <c r="C98" i="14"/>
  <c r="C99" i="14"/>
  <c r="C100" i="14"/>
  <c r="C101" i="14"/>
  <c r="C102" i="14"/>
  <c r="C103" i="14"/>
  <c r="C104" i="14"/>
  <c r="C105" i="14"/>
  <c r="C106" i="14"/>
  <c r="C107" i="14"/>
  <c r="C108" i="14"/>
  <c r="C109" i="14"/>
  <c r="C110" i="14"/>
  <c r="C111" i="14"/>
  <c r="C112" i="14"/>
  <c r="C113" i="14"/>
  <c r="C114" i="14"/>
  <c r="C117" i="14"/>
  <c r="C120" i="14"/>
  <c r="C121" i="14"/>
  <c r="C122" i="14"/>
  <c r="C123" i="14"/>
  <c r="C124" i="14"/>
  <c r="C125" i="14"/>
  <c r="C126" i="14"/>
  <c r="C127" i="14"/>
  <c r="C128" i="14"/>
  <c r="C129" i="14"/>
  <c r="C130" i="14"/>
  <c r="C131" i="14"/>
  <c r="C132" i="14"/>
  <c r="C133" i="14"/>
  <c r="C134" i="14"/>
  <c r="C135" i="14"/>
  <c r="C136" i="14"/>
  <c r="C140" i="14"/>
  <c r="C141" i="14"/>
  <c r="C142" i="14"/>
  <c r="C143" i="14"/>
  <c r="C144" i="14"/>
  <c r="C145" i="14"/>
  <c r="C146" i="14"/>
  <c r="C147" i="14"/>
  <c r="C148" i="14"/>
  <c r="C149" i="14"/>
  <c r="C150" i="14"/>
  <c r="C151" i="14"/>
  <c r="C152" i="14"/>
  <c r="C153" i="14"/>
  <c r="C154" i="14"/>
  <c r="C155" i="14"/>
  <c r="C156" i="14"/>
  <c r="C157" i="14"/>
  <c r="C158" i="14"/>
  <c r="C160" i="14"/>
  <c r="C161" i="14"/>
  <c r="C163" i="14"/>
  <c r="C164" i="14"/>
  <c r="C165" i="14"/>
  <c r="C166" i="14"/>
  <c r="C167" i="14"/>
  <c r="C168" i="14"/>
  <c r="C169" i="14"/>
  <c r="C170" i="14"/>
  <c r="C171" i="14"/>
  <c r="C172" i="14"/>
  <c r="C173" i="14"/>
  <c r="C174" i="14"/>
  <c r="C175" i="14"/>
  <c r="C176" i="14"/>
  <c r="C177" i="14"/>
  <c r="C178" i="14"/>
  <c r="C179" i="14"/>
  <c r="A7" i="10" l="1"/>
  <c r="A1" i="10"/>
  <c r="G8" i="10"/>
  <c r="F8" i="10"/>
  <c r="D8" i="10"/>
  <c r="D5" i="14"/>
  <c r="E5" i="14"/>
  <c r="F5" i="14"/>
  <c r="D6" i="14"/>
  <c r="E6" i="14"/>
  <c r="F6" i="14"/>
  <c r="D7" i="14"/>
  <c r="E7" i="14"/>
  <c r="F7" i="14"/>
  <c r="D8" i="14"/>
  <c r="E8" i="14"/>
  <c r="F8" i="14"/>
  <c r="D9" i="14"/>
  <c r="E9" i="14"/>
  <c r="F9" i="14"/>
  <c r="D10" i="14"/>
  <c r="E10" i="14"/>
  <c r="F10" i="14"/>
  <c r="D11" i="14"/>
  <c r="E11" i="14"/>
  <c r="F11" i="14"/>
  <c r="D12" i="14"/>
  <c r="E12" i="14"/>
  <c r="F12" i="14"/>
  <c r="D13" i="14"/>
  <c r="E13" i="14"/>
  <c r="F13" i="14"/>
  <c r="D14" i="14"/>
  <c r="E14" i="14"/>
  <c r="F14" i="14"/>
  <c r="D15" i="14"/>
  <c r="E15" i="14"/>
  <c r="F15" i="14"/>
  <c r="D16" i="14"/>
  <c r="E16" i="14"/>
  <c r="F16" i="14"/>
  <c r="D17" i="14"/>
  <c r="E17" i="14"/>
  <c r="F17" i="14"/>
  <c r="D18" i="14"/>
  <c r="E18" i="14"/>
  <c r="F18" i="14"/>
  <c r="D19" i="14"/>
  <c r="E19" i="14"/>
  <c r="F19" i="14"/>
  <c r="D20" i="14"/>
  <c r="E20" i="14"/>
  <c r="F20" i="14"/>
  <c r="D21" i="14"/>
  <c r="E21" i="14"/>
  <c r="F21" i="14"/>
  <c r="D22" i="14"/>
  <c r="E22" i="14"/>
  <c r="F22" i="14"/>
  <c r="D23" i="14"/>
  <c r="E23" i="14"/>
  <c r="F23" i="14"/>
  <c r="D24" i="14"/>
  <c r="E24" i="14"/>
  <c r="F24" i="14"/>
  <c r="D25" i="14"/>
  <c r="E25" i="14"/>
  <c r="F25" i="14"/>
  <c r="D26" i="14"/>
  <c r="E26" i="14"/>
  <c r="F26" i="14"/>
  <c r="G26" i="14"/>
  <c r="I26" i="14" s="1"/>
  <c r="D27" i="14"/>
  <c r="E27" i="14"/>
  <c r="F27" i="14"/>
  <c r="D28" i="14"/>
  <c r="E28" i="14"/>
  <c r="F28" i="14"/>
  <c r="D29" i="14"/>
  <c r="E29" i="14"/>
  <c r="F29" i="14"/>
  <c r="D30" i="14"/>
  <c r="E30" i="14"/>
  <c r="F30" i="14"/>
  <c r="D31" i="14"/>
  <c r="E31" i="14"/>
  <c r="F31" i="14"/>
  <c r="D32" i="14"/>
  <c r="E32" i="14"/>
  <c r="F32" i="14"/>
  <c r="D33" i="14"/>
  <c r="E33" i="14"/>
  <c r="F33" i="14"/>
  <c r="D34" i="14"/>
  <c r="E34" i="14"/>
  <c r="F34" i="14"/>
  <c r="D35" i="14"/>
  <c r="E35" i="14"/>
  <c r="F35" i="14"/>
  <c r="D36" i="14"/>
  <c r="E36" i="14"/>
  <c r="F36" i="14"/>
  <c r="D37" i="14"/>
  <c r="E37" i="14"/>
  <c r="F37" i="14"/>
  <c r="D38" i="14"/>
  <c r="E38" i="14"/>
  <c r="F38" i="14"/>
  <c r="D39" i="14"/>
  <c r="E39" i="14"/>
  <c r="F39" i="14"/>
  <c r="D40" i="14"/>
  <c r="E40" i="14"/>
  <c r="F40" i="14"/>
  <c r="D41" i="14"/>
  <c r="E41" i="14"/>
  <c r="F41" i="14"/>
  <c r="D42" i="14"/>
  <c r="E42" i="14"/>
  <c r="F42" i="14"/>
  <c r="D43" i="14"/>
  <c r="E43" i="14"/>
  <c r="F43" i="14"/>
  <c r="D44" i="14"/>
  <c r="E44" i="14"/>
  <c r="F44" i="14"/>
  <c r="D45" i="14"/>
  <c r="E45" i="14"/>
  <c r="F45" i="14"/>
  <c r="G45" i="14"/>
  <c r="I45" i="14" s="1"/>
  <c r="D46" i="14"/>
  <c r="E46" i="14"/>
  <c r="F46" i="14"/>
  <c r="G46" i="14"/>
  <c r="I46" i="14" s="1"/>
  <c r="D47" i="14"/>
  <c r="E47" i="14"/>
  <c r="F47" i="14"/>
  <c r="G47" i="14"/>
  <c r="I47" i="14" s="1"/>
  <c r="D48" i="14"/>
  <c r="E48" i="14"/>
  <c r="F48" i="14"/>
  <c r="G48" i="14"/>
  <c r="I48" i="14" s="1"/>
  <c r="D49" i="14"/>
  <c r="E49" i="14"/>
  <c r="F49" i="14"/>
  <c r="D50" i="14"/>
  <c r="E50" i="14"/>
  <c r="F50" i="14"/>
  <c r="D51" i="14"/>
  <c r="E51" i="14"/>
  <c r="F51" i="14"/>
  <c r="D52" i="14"/>
  <c r="E52" i="14"/>
  <c r="F52" i="14"/>
  <c r="D53" i="14"/>
  <c r="E53" i="14"/>
  <c r="F53" i="14"/>
  <c r="D54" i="14"/>
  <c r="E54" i="14"/>
  <c r="F54" i="14"/>
  <c r="D55" i="14"/>
  <c r="E55" i="14"/>
  <c r="F55" i="14"/>
  <c r="D56" i="14"/>
  <c r="E56" i="14"/>
  <c r="F56" i="14"/>
  <c r="D57" i="14"/>
  <c r="E57" i="14"/>
  <c r="F57" i="14"/>
  <c r="D58" i="14"/>
  <c r="E58" i="14"/>
  <c r="F58" i="14"/>
  <c r="D59" i="14"/>
  <c r="E59" i="14"/>
  <c r="F59" i="14"/>
  <c r="D60" i="14"/>
  <c r="E60" i="14"/>
  <c r="F60" i="14"/>
  <c r="D61" i="14"/>
  <c r="E61" i="14"/>
  <c r="F61" i="14"/>
  <c r="D62" i="14"/>
  <c r="E62" i="14"/>
  <c r="F62" i="14"/>
  <c r="D63" i="14"/>
  <c r="E63" i="14"/>
  <c r="F63" i="14"/>
  <c r="D64" i="14"/>
  <c r="E64" i="14"/>
  <c r="F64" i="14"/>
  <c r="D65" i="14"/>
  <c r="E65" i="14"/>
  <c r="F65" i="14"/>
  <c r="D66" i="14"/>
  <c r="E66" i="14"/>
  <c r="F66" i="14"/>
  <c r="D67" i="14"/>
  <c r="E67" i="14"/>
  <c r="F67" i="14"/>
  <c r="D68" i="14"/>
  <c r="E68" i="14"/>
  <c r="F68" i="14"/>
  <c r="D69" i="14"/>
  <c r="E69" i="14"/>
  <c r="F69" i="14"/>
  <c r="D70" i="14"/>
  <c r="E70" i="14"/>
  <c r="F70" i="14"/>
  <c r="G70" i="14"/>
  <c r="I70" i="14" s="1"/>
  <c r="D71" i="14"/>
  <c r="E71" i="14"/>
  <c r="F71" i="14"/>
  <c r="D72" i="14"/>
  <c r="E72" i="14"/>
  <c r="F72" i="14"/>
  <c r="D73" i="14"/>
  <c r="E73" i="14"/>
  <c r="F73" i="14"/>
  <c r="D74" i="14"/>
  <c r="E74" i="14"/>
  <c r="F74" i="14"/>
  <c r="D75" i="14"/>
  <c r="E75" i="14"/>
  <c r="F75" i="14"/>
  <c r="D76" i="14"/>
  <c r="E76" i="14"/>
  <c r="F76" i="14"/>
  <c r="D77" i="14"/>
  <c r="E77" i="14"/>
  <c r="F77" i="14"/>
  <c r="D78" i="14"/>
  <c r="E78" i="14"/>
  <c r="F78" i="14"/>
  <c r="D79" i="14"/>
  <c r="E79" i="14"/>
  <c r="F79" i="14"/>
  <c r="D80" i="14"/>
  <c r="E80" i="14"/>
  <c r="F80" i="14"/>
  <c r="D81" i="14"/>
  <c r="E81" i="14"/>
  <c r="F81" i="14"/>
  <c r="D82" i="14"/>
  <c r="E82" i="14"/>
  <c r="F82" i="14"/>
  <c r="D83" i="14"/>
  <c r="E83" i="14"/>
  <c r="F83" i="14"/>
  <c r="D84" i="14"/>
  <c r="E84" i="14"/>
  <c r="F84" i="14"/>
  <c r="D85" i="14"/>
  <c r="E85" i="14"/>
  <c r="F85" i="14"/>
  <c r="D86" i="14"/>
  <c r="E86" i="14"/>
  <c r="F86" i="14"/>
  <c r="D87" i="14"/>
  <c r="E87" i="14"/>
  <c r="F87" i="14"/>
  <c r="D88" i="14"/>
  <c r="E88" i="14"/>
  <c r="F88" i="14"/>
  <c r="D89" i="14"/>
  <c r="E89" i="14"/>
  <c r="F89" i="14"/>
  <c r="D90" i="14"/>
  <c r="E90" i="14"/>
  <c r="F90" i="14"/>
  <c r="D91" i="14"/>
  <c r="E91" i="14"/>
  <c r="F91" i="14"/>
  <c r="D92" i="14"/>
  <c r="E92" i="14"/>
  <c r="F92" i="14"/>
  <c r="G92" i="14"/>
  <c r="I92" i="14" s="1"/>
  <c r="D93" i="14"/>
  <c r="E93" i="14"/>
  <c r="F93" i="14"/>
  <c r="D94" i="14"/>
  <c r="E94" i="14"/>
  <c r="F94" i="14"/>
  <c r="D95" i="14"/>
  <c r="E95" i="14"/>
  <c r="F95" i="14"/>
  <c r="D96" i="14"/>
  <c r="E96" i="14"/>
  <c r="F96" i="14"/>
  <c r="D97" i="14"/>
  <c r="E97" i="14"/>
  <c r="F97" i="14"/>
  <c r="D98" i="14"/>
  <c r="E98" i="14"/>
  <c r="F98" i="14"/>
  <c r="D99" i="14"/>
  <c r="E99" i="14"/>
  <c r="F99" i="14"/>
  <c r="D100" i="14"/>
  <c r="E100" i="14"/>
  <c r="F100" i="14"/>
  <c r="D101" i="14"/>
  <c r="E101" i="14"/>
  <c r="F101" i="14"/>
  <c r="D102" i="14"/>
  <c r="E102" i="14"/>
  <c r="F102" i="14"/>
  <c r="D103" i="14"/>
  <c r="E103" i="14"/>
  <c r="F103" i="14"/>
  <c r="D104" i="14"/>
  <c r="E104" i="14"/>
  <c r="F104" i="14"/>
  <c r="D105" i="14"/>
  <c r="E105" i="14"/>
  <c r="F105" i="14"/>
  <c r="D106" i="14"/>
  <c r="E106" i="14"/>
  <c r="F106" i="14"/>
  <c r="D107" i="14"/>
  <c r="E107" i="14"/>
  <c r="F107" i="14"/>
  <c r="D108" i="14"/>
  <c r="E108" i="14"/>
  <c r="F108" i="14"/>
  <c r="D109" i="14"/>
  <c r="E109" i="14"/>
  <c r="F109" i="14"/>
  <c r="D110" i="14"/>
  <c r="E110" i="14"/>
  <c r="F110" i="14"/>
  <c r="D111" i="14"/>
  <c r="E111" i="14"/>
  <c r="F111" i="14"/>
  <c r="D112" i="14"/>
  <c r="E112" i="14"/>
  <c r="F112" i="14"/>
  <c r="D113" i="14"/>
  <c r="E113" i="14"/>
  <c r="F113" i="14"/>
  <c r="D114" i="14"/>
  <c r="E114" i="14"/>
  <c r="F114" i="14"/>
  <c r="G114" i="14"/>
  <c r="I114" i="14" s="1"/>
  <c r="D115" i="14"/>
  <c r="E115" i="14"/>
  <c r="F115" i="14"/>
  <c r="D116" i="14"/>
  <c r="E116" i="14"/>
  <c r="F116" i="14"/>
  <c r="D117" i="14"/>
  <c r="E117" i="14"/>
  <c r="F117" i="14"/>
  <c r="D118" i="14"/>
  <c r="E118" i="14"/>
  <c r="F118" i="14"/>
  <c r="D119" i="14"/>
  <c r="E119" i="14"/>
  <c r="F119" i="14"/>
  <c r="D120" i="14"/>
  <c r="E120" i="14"/>
  <c r="F120" i="14"/>
  <c r="D121" i="14"/>
  <c r="E121" i="14"/>
  <c r="F121" i="14"/>
  <c r="D122" i="14"/>
  <c r="E122" i="14"/>
  <c r="F122" i="14"/>
  <c r="D123" i="14"/>
  <c r="E123" i="14"/>
  <c r="F123" i="14"/>
  <c r="D124" i="14"/>
  <c r="E124" i="14"/>
  <c r="F124" i="14"/>
  <c r="D125" i="14"/>
  <c r="E125" i="14"/>
  <c r="F125" i="14"/>
  <c r="D126" i="14"/>
  <c r="E126" i="14"/>
  <c r="F126" i="14"/>
  <c r="D127" i="14"/>
  <c r="E127" i="14"/>
  <c r="F127" i="14"/>
  <c r="D128" i="14"/>
  <c r="E128" i="14"/>
  <c r="F128" i="14"/>
  <c r="D129" i="14"/>
  <c r="E129" i="14"/>
  <c r="F129" i="14"/>
  <c r="D130" i="14"/>
  <c r="E130" i="14"/>
  <c r="F130" i="14"/>
  <c r="D131" i="14"/>
  <c r="E131" i="14"/>
  <c r="F131" i="14"/>
  <c r="D132" i="14"/>
  <c r="E132" i="14"/>
  <c r="F132" i="14"/>
  <c r="D133" i="14"/>
  <c r="E133" i="14"/>
  <c r="F133" i="14"/>
  <c r="D134" i="14"/>
  <c r="E134" i="14"/>
  <c r="F134" i="14"/>
  <c r="D135" i="14"/>
  <c r="E135" i="14"/>
  <c r="F135" i="14"/>
  <c r="D136" i="14"/>
  <c r="E136" i="14"/>
  <c r="F136" i="14"/>
  <c r="G136" i="14"/>
  <c r="I136" i="14" s="1"/>
  <c r="D137" i="14"/>
  <c r="E137" i="14"/>
  <c r="F137" i="14"/>
  <c r="D138" i="14"/>
  <c r="E138" i="14"/>
  <c r="F138" i="14"/>
  <c r="D139" i="14"/>
  <c r="E139" i="14"/>
  <c r="F139" i="14"/>
  <c r="D140" i="14"/>
  <c r="E140" i="14"/>
  <c r="F140" i="14"/>
  <c r="D141" i="14"/>
  <c r="E141" i="14"/>
  <c r="F141" i="14"/>
  <c r="D142" i="14"/>
  <c r="E142" i="14"/>
  <c r="F142" i="14"/>
  <c r="D143" i="14"/>
  <c r="E143" i="14"/>
  <c r="F143" i="14"/>
  <c r="D144" i="14"/>
  <c r="E144" i="14"/>
  <c r="F144" i="14"/>
  <c r="D145" i="14"/>
  <c r="E145" i="14"/>
  <c r="F145" i="14"/>
  <c r="D146" i="14"/>
  <c r="E146" i="14"/>
  <c r="F146" i="14"/>
  <c r="D147" i="14"/>
  <c r="E147" i="14"/>
  <c r="F147" i="14"/>
  <c r="D148" i="14"/>
  <c r="E148" i="14"/>
  <c r="F148" i="14"/>
  <c r="D149" i="14"/>
  <c r="E149" i="14"/>
  <c r="F149" i="14"/>
  <c r="D150" i="14"/>
  <c r="E150" i="14"/>
  <c r="F150" i="14"/>
  <c r="D151" i="14"/>
  <c r="E151" i="14"/>
  <c r="F151" i="14"/>
  <c r="D152" i="14"/>
  <c r="E152" i="14"/>
  <c r="F152" i="14"/>
  <c r="D153" i="14"/>
  <c r="E153" i="14"/>
  <c r="F153" i="14"/>
  <c r="D154" i="14"/>
  <c r="E154" i="14"/>
  <c r="F154" i="14"/>
  <c r="D155" i="14"/>
  <c r="E155" i="14"/>
  <c r="F155" i="14"/>
  <c r="D156" i="14"/>
  <c r="E156" i="14"/>
  <c r="F156" i="14"/>
  <c r="D157" i="14"/>
  <c r="E157" i="14"/>
  <c r="F157" i="14"/>
  <c r="D158" i="14"/>
  <c r="E158" i="14"/>
  <c r="F158" i="14"/>
  <c r="G158" i="14"/>
  <c r="I158" i="14" s="1"/>
  <c r="D159" i="14"/>
  <c r="E159" i="14"/>
  <c r="F159" i="14"/>
  <c r="D160" i="14"/>
  <c r="E160" i="14"/>
  <c r="F160" i="14"/>
  <c r="D161" i="14"/>
  <c r="E161" i="14"/>
  <c r="F161" i="14"/>
  <c r="D162" i="14"/>
  <c r="E162" i="14"/>
  <c r="F162" i="14"/>
  <c r="D163" i="14"/>
  <c r="E163" i="14"/>
  <c r="F163" i="14"/>
  <c r="D164" i="14"/>
  <c r="E164" i="14"/>
  <c r="F164" i="14"/>
  <c r="D165" i="14"/>
  <c r="E165" i="14"/>
  <c r="F165" i="14"/>
  <c r="G165" i="14"/>
  <c r="I165" i="14" s="1"/>
  <c r="D166" i="14"/>
  <c r="E166" i="14"/>
  <c r="F166" i="14"/>
  <c r="G166" i="14"/>
  <c r="I166" i="14" s="1"/>
  <c r="D167" i="14"/>
  <c r="E167" i="14"/>
  <c r="F167" i="14"/>
  <c r="G167" i="14"/>
  <c r="I167" i="14" s="1"/>
  <c r="D168" i="14"/>
  <c r="E168" i="14"/>
  <c r="F168" i="14"/>
  <c r="D169" i="14"/>
  <c r="E169" i="14"/>
  <c r="F169" i="14"/>
  <c r="D170" i="14"/>
  <c r="E170" i="14"/>
  <c r="F170" i="14"/>
  <c r="D171" i="14"/>
  <c r="E171" i="14"/>
  <c r="F171" i="14"/>
  <c r="D172" i="14"/>
  <c r="E172" i="14"/>
  <c r="F172" i="14"/>
  <c r="D173" i="14"/>
  <c r="E173" i="14"/>
  <c r="F173" i="14"/>
  <c r="D174" i="14"/>
  <c r="E174" i="14"/>
  <c r="F174" i="14"/>
  <c r="D175" i="14"/>
  <c r="E175" i="14"/>
  <c r="F175" i="14"/>
  <c r="D176" i="14"/>
  <c r="E176" i="14"/>
  <c r="F176" i="14"/>
  <c r="D177" i="14"/>
  <c r="E177" i="14"/>
  <c r="F177" i="14"/>
  <c r="D178" i="14"/>
  <c r="E178" i="14"/>
  <c r="F178" i="14"/>
  <c r="D179" i="14"/>
  <c r="E179" i="14"/>
  <c r="F179" i="14"/>
  <c r="D4" i="14"/>
  <c r="E4" i="14"/>
  <c r="F4" i="14"/>
  <c r="G4" i="14"/>
  <c r="C4" i="14"/>
  <c r="B1" i="14"/>
  <c r="D27" i="13"/>
  <c r="E27" i="13"/>
  <c r="F27" i="13"/>
  <c r="D28" i="13"/>
  <c r="E28" i="13"/>
  <c r="F28" i="13"/>
  <c r="D29" i="13"/>
  <c r="E29" i="13"/>
  <c r="F29" i="13"/>
  <c r="D30" i="13"/>
  <c r="E30" i="13"/>
  <c r="F30" i="13"/>
  <c r="D31" i="13"/>
  <c r="E31" i="13"/>
  <c r="F31" i="13"/>
  <c r="D32" i="13"/>
  <c r="E32" i="13"/>
  <c r="F32" i="13"/>
  <c r="D33" i="13"/>
  <c r="E33" i="13"/>
  <c r="F33" i="13"/>
  <c r="D34" i="13"/>
  <c r="E34" i="13"/>
  <c r="F34" i="13"/>
  <c r="D35" i="13"/>
  <c r="E35" i="13"/>
  <c r="F35" i="13"/>
  <c r="D36" i="13"/>
  <c r="E36" i="13"/>
  <c r="F36" i="13"/>
  <c r="D37" i="13"/>
  <c r="E37" i="13"/>
  <c r="F37" i="13"/>
  <c r="D38" i="13"/>
  <c r="E38" i="13"/>
  <c r="F38" i="13"/>
  <c r="D39" i="13"/>
  <c r="E39" i="13"/>
  <c r="F39" i="13"/>
  <c r="D40" i="13"/>
  <c r="E40" i="13"/>
  <c r="F40" i="13"/>
  <c r="D41" i="13"/>
  <c r="E41" i="13"/>
  <c r="F41" i="13"/>
  <c r="D42" i="13"/>
  <c r="E42" i="13"/>
  <c r="F42" i="13"/>
  <c r="D43" i="13"/>
  <c r="E43" i="13"/>
  <c r="F43" i="13"/>
  <c r="D44" i="13"/>
  <c r="E44" i="13"/>
  <c r="F44" i="13"/>
  <c r="D45" i="13"/>
  <c r="E45" i="13"/>
  <c r="F45" i="13"/>
  <c r="G45" i="13"/>
  <c r="I45" i="13" s="1"/>
  <c r="D46" i="13"/>
  <c r="E46" i="13"/>
  <c r="F46" i="13"/>
  <c r="G46" i="13"/>
  <c r="I46" i="13" s="1"/>
  <c r="D47" i="13"/>
  <c r="E47" i="13"/>
  <c r="F47" i="13"/>
  <c r="G47" i="13"/>
  <c r="I47" i="13" s="1"/>
  <c r="D49" i="13"/>
  <c r="E49" i="13"/>
  <c r="F49" i="13"/>
  <c r="D50" i="13"/>
  <c r="E50" i="13"/>
  <c r="F50" i="13"/>
  <c r="D51" i="13"/>
  <c r="E51" i="13"/>
  <c r="F51" i="13"/>
  <c r="D52" i="13"/>
  <c r="E52" i="13"/>
  <c r="F52" i="13"/>
  <c r="D53" i="13"/>
  <c r="E53" i="13"/>
  <c r="F53" i="13"/>
  <c r="D54" i="13"/>
  <c r="E54" i="13"/>
  <c r="F54" i="13"/>
  <c r="D55" i="13"/>
  <c r="E55" i="13"/>
  <c r="F55" i="13"/>
  <c r="D56" i="13"/>
  <c r="E56" i="13"/>
  <c r="F56" i="13"/>
  <c r="D57" i="13"/>
  <c r="E57" i="13"/>
  <c r="F57" i="13"/>
  <c r="D58" i="13"/>
  <c r="E58" i="13"/>
  <c r="F58" i="13"/>
  <c r="D59" i="13"/>
  <c r="E59" i="13"/>
  <c r="F59" i="13"/>
  <c r="D60" i="13"/>
  <c r="E60" i="13"/>
  <c r="F60" i="13"/>
  <c r="D61" i="13"/>
  <c r="E61" i="13"/>
  <c r="F61" i="13"/>
  <c r="D62" i="13"/>
  <c r="E62" i="13"/>
  <c r="F62" i="13"/>
  <c r="D63" i="13"/>
  <c r="E63" i="13"/>
  <c r="F63" i="13"/>
  <c r="D64" i="13"/>
  <c r="E64" i="13"/>
  <c r="F64" i="13"/>
  <c r="D65" i="13"/>
  <c r="E65" i="13"/>
  <c r="F65" i="13"/>
  <c r="D66" i="13"/>
  <c r="E66" i="13"/>
  <c r="F66" i="13"/>
  <c r="D67" i="13"/>
  <c r="E67" i="13"/>
  <c r="F67" i="13"/>
  <c r="D68" i="13"/>
  <c r="E68" i="13"/>
  <c r="F68" i="13"/>
  <c r="D69" i="13"/>
  <c r="E69" i="13"/>
  <c r="F69" i="13"/>
  <c r="D71" i="13"/>
  <c r="E71" i="13"/>
  <c r="F71" i="13"/>
  <c r="D72" i="13"/>
  <c r="E72" i="13"/>
  <c r="F72" i="13"/>
  <c r="D73" i="13"/>
  <c r="E73" i="13"/>
  <c r="F73" i="13"/>
  <c r="D74" i="13"/>
  <c r="E74" i="13"/>
  <c r="F74" i="13"/>
  <c r="D75" i="13"/>
  <c r="E75" i="13"/>
  <c r="F75" i="13"/>
  <c r="D76" i="13"/>
  <c r="E76" i="13"/>
  <c r="F76" i="13"/>
  <c r="D77" i="13"/>
  <c r="E77" i="13"/>
  <c r="F77" i="13"/>
  <c r="D78" i="13"/>
  <c r="E78" i="13"/>
  <c r="F78" i="13"/>
  <c r="D79" i="13"/>
  <c r="E79" i="13"/>
  <c r="F79" i="13"/>
  <c r="D80" i="13"/>
  <c r="E80" i="13"/>
  <c r="F80" i="13"/>
  <c r="D81" i="13"/>
  <c r="E81" i="13"/>
  <c r="F81" i="13"/>
  <c r="D82" i="13"/>
  <c r="E82" i="13"/>
  <c r="F82" i="13"/>
  <c r="D83" i="13"/>
  <c r="E83" i="13"/>
  <c r="F83" i="13"/>
  <c r="D84" i="13"/>
  <c r="E84" i="13"/>
  <c r="F84" i="13"/>
  <c r="D85" i="13"/>
  <c r="E85" i="13"/>
  <c r="F85" i="13"/>
  <c r="D86" i="13"/>
  <c r="E86" i="13"/>
  <c r="F86" i="13"/>
  <c r="D87" i="13"/>
  <c r="E87" i="13"/>
  <c r="F87" i="13"/>
  <c r="D88" i="13"/>
  <c r="E88" i="13"/>
  <c r="F88" i="13"/>
  <c r="D89" i="13"/>
  <c r="E89" i="13"/>
  <c r="F89" i="13"/>
  <c r="D90" i="13"/>
  <c r="E90" i="13"/>
  <c r="F90" i="13"/>
  <c r="D91" i="13"/>
  <c r="E91" i="13"/>
  <c r="F91" i="13"/>
  <c r="D93" i="13"/>
  <c r="E93" i="13"/>
  <c r="F93" i="13"/>
  <c r="D94" i="13"/>
  <c r="E94" i="13"/>
  <c r="F94" i="13"/>
  <c r="D95" i="13"/>
  <c r="E95" i="13"/>
  <c r="F95" i="13"/>
  <c r="D96" i="13"/>
  <c r="E96" i="13"/>
  <c r="F96" i="13"/>
  <c r="D97" i="13"/>
  <c r="E97" i="13"/>
  <c r="F97" i="13"/>
  <c r="D98" i="13"/>
  <c r="E98" i="13"/>
  <c r="F98" i="13"/>
  <c r="D99" i="13"/>
  <c r="E99" i="13"/>
  <c r="F99" i="13"/>
  <c r="D100" i="13"/>
  <c r="E100" i="13"/>
  <c r="F100" i="13"/>
  <c r="D101" i="13"/>
  <c r="E101" i="13"/>
  <c r="F101" i="13"/>
  <c r="D102" i="13"/>
  <c r="E102" i="13"/>
  <c r="F102" i="13"/>
  <c r="D103" i="13"/>
  <c r="E103" i="13"/>
  <c r="F103" i="13"/>
  <c r="D104" i="13"/>
  <c r="E104" i="13"/>
  <c r="F104" i="13"/>
  <c r="D105" i="13"/>
  <c r="E105" i="13"/>
  <c r="F105" i="13"/>
  <c r="D106" i="13"/>
  <c r="E106" i="13"/>
  <c r="F106" i="13"/>
  <c r="D107" i="13"/>
  <c r="E107" i="13"/>
  <c r="F107" i="13"/>
  <c r="D108" i="13"/>
  <c r="E108" i="13"/>
  <c r="F108" i="13"/>
  <c r="D109" i="13"/>
  <c r="E109" i="13"/>
  <c r="F109" i="13"/>
  <c r="D110" i="13"/>
  <c r="E110" i="13"/>
  <c r="F110" i="13"/>
  <c r="D111" i="13"/>
  <c r="E111" i="13"/>
  <c r="F111" i="13"/>
  <c r="D112" i="13"/>
  <c r="E112" i="13"/>
  <c r="F112" i="13"/>
  <c r="D113" i="13"/>
  <c r="E113" i="13"/>
  <c r="F113" i="13"/>
  <c r="D115" i="13"/>
  <c r="E115" i="13"/>
  <c r="F115" i="13"/>
  <c r="D116" i="13"/>
  <c r="E116" i="13"/>
  <c r="F116" i="13"/>
  <c r="D117" i="13"/>
  <c r="E117" i="13"/>
  <c r="F117" i="13"/>
  <c r="D118" i="13"/>
  <c r="E118" i="13"/>
  <c r="F118" i="13"/>
  <c r="D119" i="13"/>
  <c r="E119" i="13"/>
  <c r="F119" i="13"/>
  <c r="D120" i="13"/>
  <c r="E120" i="13"/>
  <c r="F120" i="13"/>
  <c r="D121" i="13"/>
  <c r="E121" i="13"/>
  <c r="F121" i="13"/>
  <c r="D122" i="13"/>
  <c r="E122" i="13"/>
  <c r="F122" i="13"/>
  <c r="D123" i="13"/>
  <c r="E123" i="13"/>
  <c r="F123" i="13"/>
  <c r="D124" i="13"/>
  <c r="E124" i="13"/>
  <c r="F124" i="13"/>
  <c r="D125" i="13"/>
  <c r="E125" i="13"/>
  <c r="F125" i="13"/>
  <c r="D126" i="13"/>
  <c r="E126" i="13"/>
  <c r="F126" i="13"/>
  <c r="D127" i="13"/>
  <c r="E127" i="13"/>
  <c r="F127" i="13"/>
  <c r="D128" i="13"/>
  <c r="E128" i="13"/>
  <c r="F128" i="13"/>
  <c r="D129" i="13"/>
  <c r="E129" i="13"/>
  <c r="F129" i="13"/>
  <c r="D130" i="13"/>
  <c r="E130" i="13"/>
  <c r="F130" i="13"/>
  <c r="D131" i="13"/>
  <c r="E131" i="13"/>
  <c r="F131" i="13"/>
  <c r="D132" i="13"/>
  <c r="E132" i="13"/>
  <c r="F132" i="13"/>
  <c r="D133" i="13"/>
  <c r="E133" i="13"/>
  <c r="F133" i="13"/>
  <c r="D134" i="13"/>
  <c r="E134" i="13"/>
  <c r="F134" i="13"/>
  <c r="D135" i="13"/>
  <c r="E135" i="13"/>
  <c r="F135" i="13"/>
  <c r="D137" i="13"/>
  <c r="E137" i="13"/>
  <c r="F137" i="13"/>
  <c r="D138" i="13"/>
  <c r="E138" i="13"/>
  <c r="F138" i="13"/>
  <c r="D139" i="13"/>
  <c r="E139" i="13"/>
  <c r="F139" i="13"/>
  <c r="D140" i="13"/>
  <c r="E140" i="13"/>
  <c r="F140" i="13"/>
  <c r="D141" i="13"/>
  <c r="E141" i="13"/>
  <c r="F141" i="13"/>
  <c r="D142" i="13"/>
  <c r="E142" i="13"/>
  <c r="F142" i="13"/>
  <c r="D143" i="13"/>
  <c r="E143" i="13"/>
  <c r="F143" i="13"/>
  <c r="D144" i="13"/>
  <c r="E144" i="13"/>
  <c r="F144" i="13"/>
  <c r="D145" i="13"/>
  <c r="E145" i="13"/>
  <c r="F145" i="13"/>
  <c r="D146" i="13"/>
  <c r="E146" i="13"/>
  <c r="F146" i="13"/>
  <c r="D147" i="13"/>
  <c r="E147" i="13"/>
  <c r="F147" i="13"/>
  <c r="D148" i="13"/>
  <c r="E148" i="13"/>
  <c r="F148" i="13"/>
  <c r="D149" i="13"/>
  <c r="E149" i="13"/>
  <c r="F149" i="13"/>
  <c r="D150" i="13"/>
  <c r="E150" i="13"/>
  <c r="F150" i="13"/>
  <c r="D151" i="13"/>
  <c r="E151" i="13"/>
  <c r="F151" i="13"/>
  <c r="D152" i="13"/>
  <c r="E152" i="13"/>
  <c r="F152" i="13"/>
  <c r="D153" i="13"/>
  <c r="E153" i="13"/>
  <c r="F153" i="13"/>
  <c r="D154" i="13"/>
  <c r="E154" i="13"/>
  <c r="F154" i="13"/>
  <c r="D155" i="13"/>
  <c r="E155" i="13"/>
  <c r="F155" i="13"/>
  <c r="D156" i="13"/>
  <c r="E156" i="13"/>
  <c r="F156" i="13"/>
  <c r="D157" i="13"/>
  <c r="E157" i="13"/>
  <c r="F157" i="13"/>
  <c r="D159" i="13"/>
  <c r="E159" i="13"/>
  <c r="F159" i="13"/>
  <c r="D160" i="13"/>
  <c r="E160" i="13"/>
  <c r="F160" i="13"/>
  <c r="D161" i="13"/>
  <c r="E161" i="13"/>
  <c r="F161" i="13"/>
  <c r="D162" i="13"/>
  <c r="E162" i="13"/>
  <c r="F162" i="13"/>
  <c r="D163" i="13"/>
  <c r="E163" i="13"/>
  <c r="F163" i="13"/>
  <c r="D164" i="13"/>
  <c r="E164" i="13"/>
  <c r="F164" i="13"/>
  <c r="D165" i="13"/>
  <c r="E165" i="13"/>
  <c r="F165" i="13"/>
  <c r="G165" i="13"/>
  <c r="I165" i="13" s="1"/>
  <c r="D166" i="13"/>
  <c r="E166" i="13"/>
  <c r="F166" i="13"/>
  <c r="G166" i="13"/>
  <c r="I166" i="13" s="1"/>
  <c r="D167" i="13"/>
  <c r="E167" i="13"/>
  <c r="F167" i="13"/>
  <c r="G167" i="13"/>
  <c r="I167" i="13" s="1"/>
  <c r="D168" i="13"/>
  <c r="E168" i="13"/>
  <c r="F168" i="13"/>
  <c r="D169" i="13"/>
  <c r="E169" i="13"/>
  <c r="F169" i="13"/>
  <c r="D170" i="13"/>
  <c r="E170" i="13"/>
  <c r="F170" i="13"/>
  <c r="D171" i="13"/>
  <c r="E171" i="13"/>
  <c r="F171" i="13"/>
  <c r="D172" i="13"/>
  <c r="E172" i="13"/>
  <c r="F172" i="13"/>
  <c r="D173" i="13"/>
  <c r="E173" i="13"/>
  <c r="F173" i="13"/>
  <c r="D174" i="13"/>
  <c r="E174" i="13"/>
  <c r="F174" i="13"/>
  <c r="D175" i="13"/>
  <c r="E175" i="13"/>
  <c r="F175" i="13"/>
  <c r="D176" i="13"/>
  <c r="E176" i="13"/>
  <c r="F176" i="13"/>
  <c r="D177" i="13"/>
  <c r="E177" i="13"/>
  <c r="F177" i="13"/>
  <c r="D178" i="13"/>
  <c r="E178" i="13"/>
  <c r="F178" i="13"/>
  <c r="D179" i="13"/>
  <c r="E179" i="13"/>
  <c r="F179" i="13"/>
  <c r="D6" i="13"/>
  <c r="E6" i="13"/>
  <c r="F6" i="13"/>
  <c r="D7" i="13"/>
  <c r="E7" i="13"/>
  <c r="F7" i="13"/>
  <c r="D8" i="13"/>
  <c r="E8" i="13"/>
  <c r="F8" i="13"/>
  <c r="D9" i="13"/>
  <c r="E9" i="13"/>
  <c r="F9" i="13"/>
  <c r="D10" i="13"/>
  <c r="E10" i="13"/>
  <c r="F10" i="13"/>
  <c r="D11" i="13"/>
  <c r="E11" i="13"/>
  <c r="F11" i="13"/>
  <c r="D12" i="13"/>
  <c r="E12" i="13"/>
  <c r="F12" i="13"/>
  <c r="D13" i="13"/>
  <c r="E13" i="13"/>
  <c r="F13" i="13"/>
  <c r="D14" i="13"/>
  <c r="E14" i="13"/>
  <c r="F14" i="13"/>
  <c r="D15" i="13"/>
  <c r="E15" i="13"/>
  <c r="F15" i="13"/>
  <c r="D16" i="13"/>
  <c r="E16" i="13"/>
  <c r="F16" i="13"/>
  <c r="D17" i="13"/>
  <c r="E17" i="13"/>
  <c r="F17" i="13"/>
  <c r="D18" i="13"/>
  <c r="E18" i="13"/>
  <c r="F18" i="13"/>
  <c r="D19" i="13"/>
  <c r="E19" i="13"/>
  <c r="F19" i="13"/>
  <c r="D20" i="13"/>
  <c r="E20" i="13"/>
  <c r="F20" i="13"/>
  <c r="D21" i="13"/>
  <c r="E21" i="13"/>
  <c r="F21" i="13"/>
  <c r="D22" i="13"/>
  <c r="E22" i="13"/>
  <c r="F22" i="13"/>
  <c r="D23" i="13"/>
  <c r="E23" i="13"/>
  <c r="F23" i="13"/>
  <c r="D24" i="13"/>
  <c r="E24" i="13"/>
  <c r="F24" i="13"/>
  <c r="D25" i="13"/>
  <c r="E25" i="13"/>
  <c r="F25" i="13"/>
  <c r="F5" i="13"/>
  <c r="E5" i="13"/>
  <c r="D5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75" i="13"/>
  <c r="C176" i="13"/>
  <c r="C177" i="13"/>
  <c r="C178" i="13"/>
  <c r="C179" i="13"/>
  <c r="C4" i="13"/>
  <c r="B1" i="13"/>
  <c r="E180" i="14" l="1"/>
  <c r="I4" i="14"/>
  <c r="F180" i="14"/>
  <c r="D180" i="14"/>
  <c r="D136" i="13"/>
  <c r="D92" i="13"/>
  <c r="D48" i="13"/>
  <c r="F136" i="13"/>
  <c r="F92" i="13"/>
  <c r="F48" i="13"/>
  <c r="F4" i="13"/>
  <c r="E158" i="13"/>
  <c r="E136" i="13"/>
  <c r="E114" i="13"/>
  <c r="E92" i="13"/>
  <c r="E70" i="13"/>
  <c r="E48" i="13"/>
  <c r="E26" i="13"/>
  <c r="F158" i="13"/>
  <c r="D158" i="13"/>
  <c r="F114" i="13"/>
  <c r="D114" i="13"/>
  <c r="F70" i="13"/>
  <c r="D70" i="13"/>
  <c r="F26" i="13"/>
  <c r="D26" i="13"/>
  <c r="D4" i="13"/>
  <c r="E4" i="13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D180" i="13" l="1"/>
  <c r="E180" i="13"/>
  <c r="F180" i="13"/>
  <c r="K18" i="8"/>
  <c r="K19" i="8"/>
  <c r="K20" i="8"/>
  <c r="K21" i="8"/>
  <c r="K22" i="8"/>
  <c r="K23" i="8"/>
  <c r="K24" i="8"/>
  <c r="K25" i="8"/>
  <c r="K26" i="8"/>
  <c r="K27" i="8"/>
  <c r="K28" i="8"/>
  <c r="K29" i="8"/>
  <c r="K30" i="8"/>
  <c r="K39" i="8"/>
  <c r="K40" i="8"/>
  <c r="K41" i="8"/>
  <c r="K42" i="8"/>
  <c r="K43" i="8"/>
  <c r="K44" i="8"/>
  <c r="K45" i="8"/>
  <c r="K46" i="8"/>
  <c r="K47" i="8"/>
  <c r="K48" i="8"/>
  <c r="K49" i="8"/>
  <c r="K50" i="8"/>
  <c r="K51" i="8"/>
  <c r="K52" i="8"/>
  <c r="K60" i="8"/>
  <c r="K61" i="8"/>
  <c r="K62" i="8"/>
  <c r="K63" i="8"/>
  <c r="K64" i="8"/>
  <c r="K65" i="8"/>
  <c r="K66" i="8"/>
  <c r="K67" i="8"/>
  <c r="K68" i="8"/>
  <c r="K69" i="8"/>
  <c r="K70" i="8"/>
  <c r="K71" i="8"/>
  <c r="K72" i="8"/>
  <c r="K73" i="8"/>
  <c r="K92" i="8"/>
  <c r="K93" i="8"/>
  <c r="K94" i="8"/>
  <c r="K95" i="8"/>
  <c r="K96" i="8"/>
  <c r="K97" i="8"/>
  <c r="K98" i="8"/>
  <c r="K99" i="8"/>
  <c r="K100" i="8"/>
  <c r="K101" i="8"/>
  <c r="K102" i="8"/>
  <c r="K103" i="8"/>
  <c r="K104" i="8"/>
  <c r="K105" i="8"/>
  <c r="K106" i="8"/>
  <c r="K107" i="8"/>
  <c r="K108" i="8"/>
  <c r="K114" i="8"/>
  <c r="K115" i="8"/>
  <c r="K116" i="8"/>
  <c r="K117" i="8"/>
  <c r="K118" i="8"/>
  <c r="K119" i="8"/>
  <c r="K120" i="8"/>
  <c r="K121" i="8"/>
  <c r="K122" i="8"/>
  <c r="K123" i="8"/>
  <c r="K124" i="8"/>
  <c r="K125" i="8"/>
  <c r="K126" i="8"/>
  <c r="K127" i="8"/>
  <c r="K128" i="8"/>
  <c r="K129" i="8"/>
  <c r="K130" i="8"/>
  <c r="K221" i="8"/>
  <c r="K222" i="8"/>
  <c r="K223" i="8"/>
  <c r="K224" i="8"/>
  <c r="K225" i="8"/>
  <c r="K226" i="8"/>
  <c r="K227" i="8"/>
  <c r="K228" i="8"/>
  <c r="K229" i="8"/>
  <c r="K230" i="8"/>
  <c r="K231" i="8"/>
  <c r="K232" i="8"/>
  <c r="K233" i="8"/>
  <c r="K234" i="8"/>
  <c r="K235" i="8"/>
  <c r="K236" i="8"/>
  <c r="K237" i="8"/>
  <c r="K238" i="8"/>
  <c r="K239" i="8"/>
  <c r="K240" i="8"/>
  <c r="K220" i="8"/>
  <c r="K199" i="8"/>
  <c r="K200" i="8"/>
  <c r="K201" i="8"/>
  <c r="K202" i="8"/>
  <c r="K203" i="8"/>
  <c r="K204" i="8"/>
  <c r="K205" i="8"/>
  <c r="K206" i="8"/>
  <c r="K207" i="8"/>
  <c r="K208" i="8"/>
  <c r="K209" i="8"/>
  <c r="K210" i="8"/>
  <c r="K211" i="8"/>
  <c r="K212" i="8"/>
  <c r="K213" i="8"/>
  <c r="K214" i="8"/>
  <c r="K215" i="8"/>
  <c r="K216" i="8"/>
  <c r="K217" i="8"/>
  <c r="K218" i="8"/>
  <c r="K180" i="8"/>
  <c r="K181" i="8"/>
  <c r="K182" i="8"/>
  <c r="K183" i="8"/>
  <c r="K184" i="8"/>
  <c r="K185" i="8"/>
  <c r="K186" i="8"/>
  <c r="K187" i="8"/>
  <c r="K188" i="8"/>
  <c r="K189" i="8"/>
  <c r="K190" i="8"/>
  <c r="K191" i="8"/>
  <c r="K192" i="8"/>
  <c r="K193" i="8"/>
  <c r="K194" i="8"/>
  <c r="K195" i="8"/>
  <c r="K196" i="8"/>
  <c r="K157" i="8"/>
  <c r="K158" i="8"/>
  <c r="K159" i="8"/>
  <c r="K160" i="8"/>
  <c r="K161" i="8"/>
  <c r="K162" i="8"/>
  <c r="K163" i="8"/>
  <c r="K164" i="8"/>
  <c r="K165" i="8"/>
  <c r="K166" i="8"/>
  <c r="K167" i="8"/>
  <c r="K168" i="8"/>
  <c r="K169" i="8"/>
  <c r="K170" i="8"/>
  <c r="K171" i="8"/>
  <c r="K172" i="8"/>
  <c r="K173" i="8"/>
  <c r="K174" i="8"/>
  <c r="K137" i="8"/>
  <c r="K138" i="8"/>
  <c r="K139" i="8"/>
  <c r="K140" i="8"/>
  <c r="K141" i="8"/>
  <c r="K142" i="8"/>
  <c r="K143" i="8"/>
  <c r="K144" i="8"/>
  <c r="K145" i="8"/>
  <c r="K146" i="8"/>
  <c r="K147" i="8"/>
  <c r="K148" i="8"/>
  <c r="K149" i="8"/>
  <c r="K150" i="8"/>
  <c r="K151" i="8"/>
  <c r="K152" i="8"/>
  <c r="JD221" i="8"/>
  <c r="JD222" i="8"/>
  <c r="JD223" i="8"/>
  <c r="JD224" i="8"/>
  <c r="JD225" i="8"/>
  <c r="JD226" i="8"/>
  <c r="JD227" i="8"/>
  <c r="JD228" i="8"/>
  <c r="JD229" i="8"/>
  <c r="JD230" i="8"/>
  <c r="JD231" i="8"/>
  <c r="JD232" i="8"/>
  <c r="JD233" i="8"/>
  <c r="JD234" i="8"/>
  <c r="JD235" i="8"/>
  <c r="JD236" i="8"/>
  <c r="JD237" i="8"/>
  <c r="JD238" i="8"/>
  <c r="JD239" i="8"/>
  <c r="JD240" i="8"/>
  <c r="JD220" i="8"/>
  <c r="JD199" i="8"/>
  <c r="JD200" i="8"/>
  <c r="JD201" i="8"/>
  <c r="JD202" i="8"/>
  <c r="JD203" i="8"/>
  <c r="JD204" i="8"/>
  <c r="JD205" i="8"/>
  <c r="JD206" i="8"/>
  <c r="JD207" i="8"/>
  <c r="JD208" i="8"/>
  <c r="JD209" i="8"/>
  <c r="JD210" i="8"/>
  <c r="JD211" i="8"/>
  <c r="JD212" i="8"/>
  <c r="JD213" i="8"/>
  <c r="JD214" i="8"/>
  <c r="JD215" i="8"/>
  <c r="JD216" i="8"/>
  <c r="JD217" i="8"/>
  <c r="JD218" i="8"/>
  <c r="JD198" i="8"/>
  <c r="JD181" i="8"/>
  <c r="JD182" i="8"/>
  <c r="JD183" i="8"/>
  <c r="JD184" i="8"/>
  <c r="JD185" i="8"/>
  <c r="JD186" i="8"/>
  <c r="JD187" i="8"/>
  <c r="JD188" i="8"/>
  <c r="JD189" i="8"/>
  <c r="JD190" i="8"/>
  <c r="JD191" i="8"/>
  <c r="JD192" i="8"/>
  <c r="JD193" i="8"/>
  <c r="JD194" i="8"/>
  <c r="JD195" i="8"/>
  <c r="JD196" i="8"/>
  <c r="JD176" i="8"/>
  <c r="JD155" i="8"/>
  <c r="JD156" i="8"/>
  <c r="JD157" i="8"/>
  <c r="JD158" i="8"/>
  <c r="JD159" i="8"/>
  <c r="JD160" i="8"/>
  <c r="JD161" i="8"/>
  <c r="JD162" i="8"/>
  <c r="JD163" i="8"/>
  <c r="JD164" i="8"/>
  <c r="JD165" i="8"/>
  <c r="JD166" i="8"/>
  <c r="JD167" i="8"/>
  <c r="JD168" i="8"/>
  <c r="JD169" i="8"/>
  <c r="JD170" i="8"/>
  <c r="JD171" i="8"/>
  <c r="JD172" i="8"/>
  <c r="JD173" i="8"/>
  <c r="JD174" i="8"/>
  <c r="JD154" i="8"/>
  <c r="JD133" i="8"/>
  <c r="JD134" i="8"/>
  <c r="JD135" i="8"/>
  <c r="JD136" i="8"/>
  <c r="JD137" i="8"/>
  <c r="JD138" i="8"/>
  <c r="JD139" i="8"/>
  <c r="JD140" i="8"/>
  <c r="JD141" i="8"/>
  <c r="JD142" i="8"/>
  <c r="JD143" i="8"/>
  <c r="JD144" i="8"/>
  <c r="JD145" i="8"/>
  <c r="JD146" i="8"/>
  <c r="JD147" i="8"/>
  <c r="JD148" i="8"/>
  <c r="JD149" i="8"/>
  <c r="JD150" i="8"/>
  <c r="JD151" i="8"/>
  <c r="JD152" i="8"/>
  <c r="JD132" i="8"/>
  <c r="JD113" i="8"/>
  <c r="JD114" i="8"/>
  <c r="JD115" i="8"/>
  <c r="JD116" i="8"/>
  <c r="JD117" i="8"/>
  <c r="JD118" i="8"/>
  <c r="JD119" i="8"/>
  <c r="JD120" i="8"/>
  <c r="JD121" i="8"/>
  <c r="JD122" i="8"/>
  <c r="JD123" i="8"/>
  <c r="JD124" i="8"/>
  <c r="JD125" i="8"/>
  <c r="JD126" i="8"/>
  <c r="JD127" i="8"/>
  <c r="JD128" i="8"/>
  <c r="JD129" i="8"/>
  <c r="JD130" i="8"/>
  <c r="JD89" i="8"/>
  <c r="JD90" i="8"/>
  <c r="JD91" i="8"/>
  <c r="JD92" i="8"/>
  <c r="JD93" i="8"/>
  <c r="JD94" i="8"/>
  <c r="JD95" i="8"/>
  <c r="JD96" i="8"/>
  <c r="JD97" i="8"/>
  <c r="JD98" i="8"/>
  <c r="JD99" i="8"/>
  <c r="JD100" i="8"/>
  <c r="JD101" i="8"/>
  <c r="JD102" i="8"/>
  <c r="JD103" i="8"/>
  <c r="JD104" i="8"/>
  <c r="JD105" i="8"/>
  <c r="JD106" i="8"/>
  <c r="JD107" i="8"/>
  <c r="JD108" i="8"/>
  <c r="JD88" i="8"/>
  <c r="JD59" i="8"/>
  <c r="JD60" i="8"/>
  <c r="JD61" i="8"/>
  <c r="JD62" i="8"/>
  <c r="JD63" i="8"/>
  <c r="JD64" i="8"/>
  <c r="JD65" i="8"/>
  <c r="JD66" i="8"/>
  <c r="JD67" i="8"/>
  <c r="JD68" i="8"/>
  <c r="JD69" i="8"/>
  <c r="JD70" i="8"/>
  <c r="JD71" i="8"/>
  <c r="JD72" i="8"/>
  <c r="JD73" i="8"/>
  <c r="JD45" i="8"/>
  <c r="JD46" i="8"/>
  <c r="JD47" i="8"/>
  <c r="JD48" i="8"/>
  <c r="JD49" i="8"/>
  <c r="JD50" i="8"/>
  <c r="JD51" i="8"/>
  <c r="JD52" i="8"/>
  <c r="JD42" i="8"/>
  <c r="JD43" i="8"/>
  <c r="JD18" i="8"/>
  <c r="JD19" i="8"/>
  <c r="JD20" i="8"/>
  <c r="JD21" i="8"/>
  <c r="JD22" i="8"/>
  <c r="JD23" i="8"/>
  <c r="JD24" i="8"/>
  <c r="JD25" i="8"/>
  <c r="JD26" i="8"/>
  <c r="JD27" i="8"/>
  <c r="JD28" i="8"/>
  <c r="JD29" i="8"/>
  <c r="JD30" i="8"/>
  <c r="K219" i="8" l="1"/>
  <c r="G24" i="14"/>
  <c r="I24" i="14" s="1"/>
  <c r="G24" i="13"/>
  <c r="I24" i="13" s="1"/>
  <c r="G20" i="14"/>
  <c r="I20" i="14" s="1"/>
  <c r="G20" i="13"/>
  <c r="I20" i="13" s="1"/>
  <c r="G16" i="14"/>
  <c r="I16" i="14" s="1"/>
  <c r="G16" i="13"/>
  <c r="I16" i="13" s="1"/>
  <c r="G38" i="14"/>
  <c r="I38" i="14" s="1"/>
  <c r="G38" i="13"/>
  <c r="I38" i="13" s="1"/>
  <c r="G43" i="14"/>
  <c r="I43" i="14" s="1"/>
  <c r="G43" i="13"/>
  <c r="I43" i="13" s="1"/>
  <c r="G66" i="14"/>
  <c r="I66" i="14" s="1"/>
  <c r="G66" i="13"/>
  <c r="I66" i="13" s="1"/>
  <c r="G62" i="14"/>
  <c r="I62" i="14" s="1"/>
  <c r="G62" i="13"/>
  <c r="I62" i="13" s="1"/>
  <c r="G58" i="14"/>
  <c r="I58" i="14" s="1"/>
  <c r="G58" i="13"/>
  <c r="I58" i="13" s="1"/>
  <c r="G91" i="14"/>
  <c r="I91" i="14" s="1"/>
  <c r="G91" i="13"/>
  <c r="I91" i="13" s="1"/>
  <c r="G89" i="14"/>
  <c r="I89" i="14" s="1"/>
  <c r="G89" i="13"/>
  <c r="I89" i="13" s="1"/>
  <c r="G87" i="14"/>
  <c r="I87" i="14" s="1"/>
  <c r="G87" i="13"/>
  <c r="I87" i="13" s="1"/>
  <c r="G85" i="14"/>
  <c r="I85" i="14" s="1"/>
  <c r="G85" i="13"/>
  <c r="I85" i="13" s="1"/>
  <c r="G83" i="14"/>
  <c r="I83" i="14" s="1"/>
  <c r="G83" i="13"/>
  <c r="I83" i="13" s="1"/>
  <c r="G81" i="14"/>
  <c r="I81" i="14" s="1"/>
  <c r="G81" i="13"/>
  <c r="I81" i="13" s="1"/>
  <c r="G79" i="14"/>
  <c r="I79" i="14" s="1"/>
  <c r="G79" i="13"/>
  <c r="I79" i="13" s="1"/>
  <c r="G77" i="14"/>
  <c r="I77" i="14" s="1"/>
  <c r="G77" i="13"/>
  <c r="I77" i="13" s="1"/>
  <c r="G75" i="14"/>
  <c r="I75" i="14" s="1"/>
  <c r="G75" i="13"/>
  <c r="I75" i="13" s="1"/>
  <c r="G112" i="14"/>
  <c r="I112" i="14" s="1"/>
  <c r="G112" i="13"/>
  <c r="I112" i="13" s="1"/>
  <c r="G110" i="14"/>
  <c r="I110" i="14" s="1"/>
  <c r="G110" i="13"/>
  <c r="I110" i="13" s="1"/>
  <c r="G108" i="14"/>
  <c r="I108" i="14" s="1"/>
  <c r="G108" i="13"/>
  <c r="I108" i="13" s="1"/>
  <c r="G106" i="14"/>
  <c r="I106" i="14" s="1"/>
  <c r="G106" i="13"/>
  <c r="I106" i="13" s="1"/>
  <c r="G104" i="14"/>
  <c r="I104" i="14" s="1"/>
  <c r="G104" i="13"/>
  <c r="I104" i="13" s="1"/>
  <c r="G102" i="14"/>
  <c r="I102" i="14" s="1"/>
  <c r="G102" i="13"/>
  <c r="I102" i="13" s="1"/>
  <c r="G100" i="14"/>
  <c r="I100" i="14" s="1"/>
  <c r="G100" i="13"/>
  <c r="I100" i="13" s="1"/>
  <c r="G98" i="14"/>
  <c r="I98" i="14" s="1"/>
  <c r="G98" i="13"/>
  <c r="I98" i="13" s="1"/>
  <c r="G96" i="14"/>
  <c r="I96" i="14" s="1"/>
  <c r="G96" i="13"/>
  <c r="I96" i="13" s="1"/>
  <c r="G135" i="14"/>
  <c r="I135" i="14" s="1"/>
  <c r="G135" i="13"/>
  <c r="I135" i="13" s="1"/>
  <c r="G133" i="14"/>
  <c r="I133" i="14" s="1"/>
  <c r="G133" i="13"/>
  <c r="I133" i="13" s="1"/>
  <c r="G131" i="14"/>
  <c r="I131" i="14" s="1"/>
  <c r="G131" i="13"/>
  <c r="I131" i="13" s="1"/>
  <c r="G129" i="14"/>
  <c r="I129" i="14" s="1"/>
  <c r="G129" i="13"/>
  <c r="I129" i="13" s="1"/>
  <c r="G127" i="14"/>
  <c r="I127" i="14" s="1"/>
  <c r="G127" i="13"/>
  <c r="I127" i="13" s="1"/>
  <c r="G125" i="14"/>
  <c r="I125" i="14" s="1"/>
  <c r="G125" i="13"/>
  <c r="I125" i="13" s="1"/>
  <c r="G123" i="14"/>
  <c r="I123" i="14" s="1"/>
  <c r="G123" i="13"/>
  <c r="I123" i="13" s="1"/>
  <c r="G121" i="14"/>
  <c r="I121" i="14" s="1"/>
  <c r="G121" i="13"/>
  <c r="I121" i="13" s="1"/>
  <c r="G157" i="14"/>
  <c r="I157" i="14" s="1"/>
  <c r="G157" i="13"/>
  <c r="I157" i="13" s="1"/>
  <c r="G155" i="14"/>
  <c r="I155" i="14" s="1"/>
  <c r="G155" i="13"/>
  <c r="I155" i="13" s="1"/>
  <c r="G153" i="14"/>
  <c r="I153" i="14" s="1"/>
  <c r="G153" i="13"/>
  <c r="I153" i="13" s="1"/>
  <c r="G151" i="14"/>
  <c r="I151" i="14" s="1"/>
  <c r="G151" i="13"/>
  <c r="I151" i="13" s="1"/>
  <c r="G149" i="14"/>
  <c r="I149" i="14" s="1"/>
  <c r="G149" i="13"/>
  <c r="I149" i="13" s="1"/>
  <c r="G147" i="14"/>
  <c r="I147" i="14" s="1"/>
  <c r="G147" i="13"/>
  <c r="I147" i="13" s="1"/>
  <c r="G145" i="14"/>
  <c r="I145" i="14" s="1"/>
  <c r="G145" i="13"/>
  <c r="I145" i="13" s="1"/>
  <c r="G143" i="14"/>
  <c r="I143" i="14" s="1"/>
  <c r="G143" i="13"/>
  <c r="I143" i="13" s="1"/>
  <c r="G141" i="14"/>
  <c r="I141" i="14" s="1"/>
  <c r="G141" i="13"/>
  <c r="I141" i="13" s="1"/>
  <c r="G179" i="14"/>
  <c r="I179" i="14" s="1"/>
  <c r="G179" i="13"/>
  <c r="I179" i="13" s="1"/>
  <c r="G177" i="14"/>
  <c r="I177" i="14" s="1"/>
  <c r="G177" i="13"/>
  <c r="I177" i="13" s="1"/>
  <c r="G175" i="14"/>
  <c r="I175" i="14" s="1"/>
  <c r="G175" i="13"/>
  <c r="I175" i="13" s="1"/>
  <c r="G173" i="14"/>
  <c r="I173" i="14" s="1"/>
  <c r="G173" i="13"/>
  <c r="I173" i="13" s="1"/>
  <c r="G171" i="14"/>
  <c r="I171" i="14" s="1"/>
  <c r="G171" i="13"/>
  <c r="I171" i="13" s="1"/>
  <c r="G169" i="14"/>
  <c r="I169" i="14" s="1"/>
  <c r="G169" i="13"/>
  <c r="I169" i="13" s="1"/>
  <c r="G163" i="14"/>
  <c r="I163" i="14" s="1"/>
  <c r="G163" i="13"/>
  <c r="I163" i="13" s="1"/>
  <c r="G161" i="14"/>
  <c r="I161" i="14" s="1"/>
  <c r="G161" i="13"/>
  <c r="I161" i="13" s="1"/>
  <c r="G22" i="14"/>
  <c r="I22" i="14" s="1"/>
  <c r="G22" i="13"/>
  <c r="I22" i="13" s="1"/>
  <c r="G18" i="14"/>
  <c r="I18" i="14" s="1"/>
  <c r="G18" i="13"/>
  <c r="I18" i="13" s="1"/>
  <c r="G14" i="14"/>
  <c r="I14" i="14" s="1"/>
  <c r="G14" i="13"/>
  <c r="I14" i="13" s="1"/>
  <c r="G41" i="14"/>
  <c r="I41" i="14" s="1"/>
  <c r="G41" i="13"/>
  <c r="I41" i="13" s="1"/>
  <c r="G68" i="14"/>
  <c r="I68" i="14" s="1"/>
  <c r="G68" i="13"/>
  <c r="I68" i="13" s="1"/>
  <c r="G64" i="14"/>
  <c r="I64" i="14" s="1"/>
  <c r="G64" i="13"/>
  <c r="I64" i="13" s="1"/>
  <c r="G60" i="14"/>
  <c r="I60" i="14" s="1"/>
  <c r="G60" i="13"/>
  <c r="I60" i="13" s="1"/>
  <c r="G56" i="14"/>
  <c r="I56" i="14" s="1"/>
  <c r="G56" i="13"/>
  <c r="I56" i="13" s="1"/>
  <c r="G25" i="14"/>
  <c r="I25" i="14" s="1"/>
  <c r="G25" i="13"/>
  <c r="I25" i="13" s="1"/>
  <c r="G23" i="14"/>
  <c r="I23" i="14" s="1"/>
  <c r="G23" i="13"/>
  <c r="I23" i="13" s="1"/>
  <c r="G21" i="14"/>
  <c r="I21" i="14" s="1"/>
  <c r="G21" i="13"/>
  <c r="I21" i="13" s="1"/>
  <c r="G19" i="14"/>
  <c r="I19" i="14" s="1"/>
  <c r="G19" i="13"/>
  <c r="I19" i="13" s="1"/>
  <c r="G17" i="14"/>
  <c r="I17" i="14" s="1"/>
  <c r="G17" i="13"/>
  <c r="I17" i="13" s="1"/>
  <c r="G15" i="14"/>
  <c r="I15" i="14" s="1"/>
  <c r="G15" i="13"/>
  <c r="I15" i="13" s="1"/>
  <c r="G13" i="14"/>
  <c r="I13" i="14" s="1"/>
  <c r="G13" i="13"/>
  <c r="I13" i="13" s="1"/>
  <c r="G37" i="14"/>
  <c r="I37" i="14" s="1"/>
  <c r="G37" i="13"/>
  <c r="I37" i="13" s="1"/>
  <c r="G44" i="14"/>
  <c r="I44" i="14" s="1"/>
  <c r="G44" i="13"/>
  <c r="I44" i="13" s="1"/>
  <c r="G42" i="14"/>
  <c r="I42" i="14" s="1"/>
  <c r="G42" i="13"/>
  <c r="I42" i="13" s="1"/>
  <c r="G40" i="14"/>
  <c r="I40" i="14" s="1"/>
  <c r="G40" i="13"/>
  <c r="I40" i="13" s="1"/>
  <c r="G69" i="14"/>
  <c r="I69" i="14" s="1"/>
  <c r="G69" i="13"/>
  <c r="I69" i="13" s="1"/>
  <c r="G67" i="14"/>
  <c r="I67" i="14" s="1"/>
  <c r="G67" i="13"/>
  <c r="I67" i="13" s="1"/>
  <c r="G65" i="14"/>
  <c r="I65" i="14" s="1"/>
  <c r="G65" i="13"/>
  <c r="I65" i="13" s="1"/>
  <c r="G63" i="14"/>
  <c r="I63" i="14" s="1"/>
  <c r="G63" i="13"/>
  <c r="I63" i="13" s="1"/>
  <c r="G61" i="14"/>
  <c r="I61" i="14" s="1"/>
  <c r="G61" i="13"/>
  <c r="I61" i="13" s="1"/>
  <c r="G59" i="14"/>
  <c r="I59" i="14" s="1"/>
  <c r="G59" i="13"/>
  <c r="I59" i="13" s="1"/>
  <c r="G57" i="14"/>
  <c r="I57" i="14" s="1"/>
  <c r="G57" i="13"/>
  <c r="I57" i="13" s="1"/>
  <c r="G55" i="14"/>
  <c r="I55" i="14" s="1"/>
  <c r="G55" i="13"/>
  <c r="I55" i="13" s="1"/>
  <c r="G90" i="14"/>
  <c r="I90" i="14" s="1"/>
  <c r="G90" i="13"/>
  <c r="I90" i="13" s="1"/>
  <c r="G88" i="14"/>
  <c r="I88" i="14" s="1"/>
  <c r="G88" i="13"/>
  <c r="I88" i="13" s="1"/>
  <c r="G86" i="14"/>
  <c r="I86" i="14" s="1"/>
  <c r="G86" i="13"/>
  <c r="I86" i="13" s="1"/>
  <c r="G84" i="14"/>
  <c r="I84" i="14" s="1"/>
  <c r="G84" i="13"/>
  <c r="I84" i="13" s="1"/>
  <c r="G82" i="14"/>
  <c r="I82" i="14" s="1"/>
  <c r="G82" i="13"/>
  <c r="I82" i="13" s="1"/>
  <c r="G80" i="14"/>
  <c r="I80" i="14" s="1"/>
  <c r="G80" i="13"/>
  <c r="I80" i="13" s="1"/>
  <c r="G78" i="14"/>
  <c r="I78" i="14" s="1"/>
  <c r="G78" i="13"/>
  <c r="I78" i="13" s="1"/>
  <c r="G76" i="14"/>
  <c r="I76" i="14" s="1"/>
  <c r="G76" i="13"/>
  <c r="I76" i="13" s="1"/>
  <c r="G113" i="14"/>
  <c r="I113" i="14" s="1"/>
  <c r="G113" i="13"/>
  <c r="I113" i="13" s="1"/>
  <c r="G111" i="14"/>
  <c r="I111" i="14" s="1"/>
  <c r="G111" i="13"/>
  <c r="I111" i="13" s="1"/>
  <c r="G109" i="14"/>
  <c r="I109" i="14" s="1"/>
  <c r="G109" i="13"/>
  <c r="I109" i="13" s="1"/>
  <c r="G107" i="14"/>
  <c r="I107" i="14" s="1"/>
  <c r="G107" i="13"/>
  <c r="I107" i="13" s="1"/>
  <c r="G105" i="14"/>
  <c r="I105" i="14" s="1"/>
  <c r="G105" i="13"/>
  <c r="I105" i="13" s="1"/>
  <c r="G103" i="14"/>
  <c r="I103" i="14" s="1"/>
  <c r="G103" i="13"/>
  <c r="I103" i="13" s="1"/>
  <c r="G101" i="14"/>
  <c r="I101" i="14" s="1"/>
  <c r="G101" i="13"/>
  <c r="I101" i="13" s="1"/>
  <c r="G99" i="14"/>
  <c r="I99" i="14" s="1"/>
  <c r="G99" i="13"/>
  <c r="I99" i="13" s="1"/>
  <c r="G97" i="14"/>
  <c r="I97" i="14" s="1"/>
  <c r="G97" i="13"/>
  <c r="I97" i="13" s="1"/>
  <c r="G134" i="14"/>
  <c r="I134" i="14" s="1"/>
  <c r="G134" i="13"/>
  <c r="I134" i="13" s="1"/>
  <c r="G132" i="14"/>
  <c r="I132" i="14" s="1"/>
  <c r="G132" i="13"/>
  <c r="I132" i="13" s="1"/>
  <c r="G130" i="14"/>
  <c r="I130" i="14" s="1"/>
  <c r="G130" i="13"/>
  <c r="I130" i="13" s="1"/>
  <c r="G128" i="14"/>
  <c r="I128" i="14" s="1"/>
  <c r="G128" i="13"/>
  <c r="I128" i="13" s="1"/>
  <c r="G126" i="14"/>
  <c r="I126" i="14" s="1"/>
  <c r="G126" i="13"/>
  <c r="I126" i="13" s="1"/>
  <c r="G124" i="14"/>
  <c r="I124" i="14" s="1"/>
  <c r="G124" i="13"/>
  <c r="I124" i="13" s="1"/>
  <c r="G122" i="14"/>
  <c r="I122" i="14" s="1"/>
  <c r="G122" i="13"/>
  <c r="I122" i="13" s="1"/>
  <c r="G120" i="14"/>
  <c r="I120" i="14" s="1"/>
  <c r="G120" i="13"/>
  <c r="I120" i="13" s="1"/>
  <c r="G156" i="14"/>
  <c r="I156" i="14" s="1"/>
  <c r="G156" i="13"/>
  <c r="I156" i="13" s="1"/>
  <c r="G154" i="14"/>
  <c r="I154" i="14" s="1"/>
  <c r="G154" i="13"/>
  <c r="I154" i="13" s="1"/>
  <c r="G152" i="14"/>
  <c r="I152" i="14" s="1"/>
  <c r="G152" i="13"/>
  <c r="I152" i="13" s="1"/>
  <c r="G150" i="14"/>
  <c r="I150" i="14" s="1"/>
  <c r="G150" i="13"/>
  <c r="I150" i="13" s="1"/>
  <c r="G148" i="14"/>
  <c r="I148" i="14" s="1"/>
  <c r="G148" i="13"/>
  <c r="I148" i="13" s="1"/>
  <c r="G146" i="14"/>
  <c r="I146" i="14" s="1"/>
  <c r="G146" i="13"/>
  <c r="I146" i="13" s="1"/>
  <c r="G144" i="14"/>
  <c r="I144" i="14" s="1"/>
  <c r="G144" i="13"/>
  <c r="I144" i="13" s="1"/>
  <c r="G142" i="14"/>
  <c r="I142" i="14" s="1"/>
  <c r="G142" i="13"/>
  <c r="I142" i="13" s="1"/>
  <c r="G140" i="14"/>
  <c r="I140" i="14" s="1"/>
  <c r="G140" i="13"/>
  <c r="I140" i="13" s="1"/>
  <c r="G178" i="14"/>
  <c r="I178" i="14" s="1"/>
  <c r="G178" i="13"/>
  <c r="I178" i="13" s="1"/>
  <c r="G176" i="14"/>
  <c r="I176" i="14" s="1"/>
  <c r="G176" i="13"/>
  <c r="I176" i="13" s="1"/>
  <c r="G174" i="14"/>
  <c r="I174" i="14" s="1"/>
  <c r="G174" i="13"/>
  <c r="I174" i="13" s="1"/>
  <c r="G172" i="14"/>
  <c r="I172" i="14" s="1"/>
  <c r="G172" i="13"/>
  <c r="I172" i="13" s="1"/>
  <c r="G170" i="14"/>
  <c r="I170" i="14" s="1"/>
  <c r="G170" i="13"/>
  <c r="I170" i="13" s="1"/>
  <c r="G168" i="14"/>
  <c r="I168" i="14" s="1"/>
  <c r="G168" i="13"/>
  <c r="I168" i="13" s="1"/>
  <c r="G164" i="14"/>
  <c r="I164" i="14" s="1"/>
  <c r="G164" i="13"/>
  <c r="I164" i="13" s="1"/>
  <c r="G160" i="14"/>
  <c r="I160" i="14" s="1"/>
  <c r="G160" i="13"/>
  <c r="I160" i="13" s="1"/>
  <c r="G138" i="14"/>
  <c r="I138" i="14" s="1"/>
  <c r="G138" i="13"/>
  <c r="I138" i="13" s="1"/>
  <c r="G71" i="13"/>
  <c r="G71" i="14"/>
  <c r="I71" i="14" s="1"/>
  <c r="G74" i="14"/>
  <c r="I74" i="14" s="1"/>
  <c r="G74" i="13"/>
  <c r="I74" i="13" s="1"/>
  <c r="G72" i="14"/>
  <c r="I72" i="14" s="1"/>
  <c r="G72" i="13"/>
  <c r="I72" i="13" s="1"/>
  <c r="G115" i="13"/>
  <c r="G115" i="14"/>
  <c r="I115" i="14" s="1"/>
  <c r="G118" i="14"/>
  <c r="I118" i="14" s="1"/>
  <c r="G118" i="13"/>
  <c r="I118" i="13" s="1"/>
  <c r="G116" i="14"/>
  <c r="I116" i="14" s="1"/>
  <c r="G116" i="13"/>
  <c r="I116" i="13" s="1"/>
  <c r="G162" i="14"/>
  <c r="I162" i="14" s="1"/>
  <c r="G162" i="13"/>
  <c r="I162" i="13" s="1"/>
  <c r="G54" i="14"/>
  <c r="I54" i="14" s="1"/>
  <c r="G54" i="13"/>
  <c r="I54" i="13" s="1"/>
  <c r="G73" i="13"/>
  <c r="I73" i="13" s="1"/>
  <c r="G73" i="14"/>
  <c r="I73" i="14" s="1"/>
  <c r="G119" i="13"/>
  <c r="I119" i="13" s="1"/>
  <c r="G119" i="14"/>
  <c r="I119" i="14" s="1"/>
  <c r="G117" i="13"/>
  <c r="I117" i="13" s="1"/>
  <c r="G117" i="14"/>
  <c r="I117" i="14" s="1"/>
  <c r="G137" i="13"/>
  <c r="G137" i="14"/>
  <c r="I137" i="14" s="1"/>
  <c r="G139" i="13"/>
  <c r="I139" i="13" s="1"/>
  <c r="G139" i="14"/>
  <c r="I139" i="14" s="1"/>
  <c r="G159" i="13"/>
  <c r="G159" i="14"/>
  <c r="I159" i="14" s="1"/>
  <c r="K198" i="8"/>
  <c r="K197" i="8" s="1"/>
  <c r="K179" i="8"/>
  <c r="K178" i="8"/>
  <c r="K177" i="8"/>
  <c r="K176" i="8"/>
  <c r="K156" i="8"/>
  <c r="K155" i="8"/>
  <c r="K154" i="8"/>
  <c r="K136" i="8"/>
  <c r="K135" i="8"/>
  <c r="K134" i="8"/>
  <c r="K133" i="8"/>
  <c r="K132" i="8"/>
  <c r="K17" i="8"/>
  <c r="K16" i="8"/>
  <c r="K15" i="8"/>
  <c r="K14" i="8"/>
  <c r="K13" i="8"/>
  <c r="K12" i="8"/>
  <c r="K11" i="8"/>
  <c r="K38" i="8"/>
  <c r="K37" i="8"/>
  <c r="K36" i="8"/>
  <c r="K35" i="8"/>
  <c r="K34" i="8"/>
  <c r="K59" i="8"/>
  <c r="K58" i="8"/>
  <c r="K57" i="8"/>
  <c r="K56" i="8"/>
  <c r="K55" i="8"/>
  <c r="K54" i="8"/>
  <c r="K91" i="8"/>
  <c r="K90" i="8"/>
  <c r="K89" i="8"/>
  <c r="K88" i="8"/>
  <c r="K153" i="8" l="1"/>
  <c r="K175" i="8"/>
  <c r="I159" i="13"/>
  <c r="G158" i="13"/>
  <c r="I158" i="13" s="1"/>
  <c r="I137" i="13"/>
  <c r="G136" i="13"/>
  <c r="I136" i="13" s="1"/>
  <c r="I115" i="13"/>
  <c r="G114" i="13"/>
  <c r="I114" i="13" s="1"/>
  <c r="I71" i="13"/>
  <c r="G70" i="13"/>
  <c r="I70" i="13" s="1"/>
  <c r="JD13" i="8"/>
  <c r="JD14" i="8"/>
  <c r="JD15" i="8"/>
  <c r="JD16" i="8"/>
  <c r="G10" i="14" l="1"/>
  <c r="I10" i="14" s="1"/>
  <c r="G10" i="13"/>
  <c r="I10" i="13" s="1"/>
  <c r="G8" i="14"/>
  <c r="I8" i="14" s="1"/>
  <c r="G8" i="13"/>
  <c r="I8" i="13" s="1"/>
  <c r="G11" i="13"/>
  <c r="I11" i="13" s="1"/>
  <c r="G11" i="14"/>
  <c r="I11" i="14" s="1"/>
  <c r="G9" i="13"/>
  <c r="I9" i="13" s="1"/>
  <c r="G9" i="14"/>
  <c r="I9" i="14" s="1"/>
  <c r="JD112" i="8"/>
  <c r="JD111" i="8"/>
  <c r="JD110" i="8"/>
  <c r="JD58" i="8"/>
  <c r="JD57" i="8"/>
  <c r="JD56" i="8"/>
  <c r="JD55" i="8"/>
  <c r="JD54" i="8"/>
  <c r="JD44" i="8"/>
  <c r="JD41" i="8"/>
  <c r="JD40" i="8"/>
  <c r="JD39" i="8"/>
  <c r="JD38" i="8"/>
  <c r="JD37" i="8"/>
  <c r="JD36" i="8"/>
  <c r="JD35" i="8"/>
  <c r="JD34" i="8"/>
  <c r="JD33" i="8"/>
  <c r="JD32" i="8"/>
  <c r="JD17" i="8"/>
  <c r="JD12" i="8"/>
  <c r="JD11" i="8"/>
  <c r="JD10" i="8"/>
  <c r="G34" i="14" l="1"/>
  <c r="I34" i="14" s="1"/>
  <c r="G34" i="13"/>
  <c r="I34" i="13" s="1"/>
  <c r="G36" i="14"/>
  <c r="I36" i="14" s="1"/>
  <c r="G36" i="13"/>
  <c r="I36" i="13" s="1"/>
  <c r="G33" i="14"/>
  <c r="I33" i="14" s="1"/>
  <c r="G33" i="13"/>
  <c r="I33" i="13" s="1"/>
  <c r="G35" i="14"/>
  <c r="I35" i="14" s="1"/>
  <c r="G35" i="13"/>
  <c r="I35" i="13" s="1"/>
  <c r="G39" i="14"/>
  <c r="I39" i="14" s="1"/>
  <c r="G39" i="13"/>
  <c r="I39" i="13" s="1"/>
  <c r="G6" i="14"/>
  <c r="I6" i="14" s="1"/>
  <c r="G6" i="13"/>
  <c r="I6" i="13" s="1"/>
  <c r="G12" i="14"/>
  <c r="I12" i="14" s="1"/>
  <c r="G12" i="13"/>
  <c r="I12" i="13" s="1"/>
  <c r="G28" i="14"/>
  <c r="I28" i="14" s="1"/>
  <c r="G28" i="13"/>
  <c r="I28" i="13" s="1"/>
  <c r="G30" i="14"/>
  <c r="I30" i="14" s="1"/>
  <c r="G30" i="13"/>
  <c r="I30" i="13" s="1"/>
  <c r="G32" i="14"/>
  <c r="I32" i="14" s="1"/>
  <c r="G32" i="13"/>
  <c r="I32" i="13" s="1"/>
  <c r="G49" i="13"/>
  <c r="G49" i="14"/>
  <c r="I49" i="14" s="1"/>
  <c r="G51" i="13"/>
  <c r="I51" i="13" s="1"/>
  <c r="G51" i="14"/>
  <c r="I51" i="14" s="1"/>
  <c r="G53" i="13"/>
  <c r="I53" i="13" s="1"/>
  <c r="G53" i="14"/>
  <c r="I53" i="14" s="1"/>
  <c r="G94" i="14"/>
  <c r="I94" i="14" s="1"/>
  <c r="G94" i="13"/>
  <c r="I94" i="13" s="1"/>
  <c r="G5" i="14"/>
  <c r="G5" i="13"/>
  <c r="G7" i="13"/>
  <c r="I7" i="13" s="1"/>
  <c r="G7" i="14"/>
  <c r="I7" i="14" s="1"/>
  <c r="G27" i="13"/>
  <c r="G27" i="14"/>
  <c r="I27" i="14" s="1"/>
  <c r="G29" i="13"/>
  <c r="I29" i="13" s="1"/>
  <c r="G29" i="14"/>
  <c r="I29" i="14" s="1"/>
  <c r="G31" i="13"/>
  <c r="I31" i="13" s="1"/>
  <c r="G31" i="14"/>
  <c r="I31" i="14" s="1"/>
  <c r="G50" i="14"/>
  <c r="I50" i="14" s="1"/>
  <c r="G50" i="13"/>
  <c r="I50" i="13" s="1"/>
  <c r="G52" i="14"/>
  <c r="I52" i="14" s="1"/>
  <c r="G52" i="13"/>
  <c r="I52" i="13" s="1"/>
  <c r="G93" i="13"/>
  <c r="G93" i="14"/>
  <c r="I93" i="14" s="1"/>
  <c r="G95" i="13"/>
  <c r="I95" i="13" s="1"/>
  <c r="G95" i="14"/>
  <c r="I95" i="14" s="1"/>
  <c r="G4" i="10"/>
  <c r="G5" i="10"/>
  <c r="G3" i="10"/>
  <c r="C13" i="10"/>
  <c r="K113" i="8"/>
  <c r="E28" i="9" l="1"/>
  <c r="I5" i="13"/>
  <c r="G4" i="13"/>
  <c r="I93" i="13"/>
  <c r="G92" i="13"/>
  <c r="I92" i="13" s="1"/>
  <c r="I27" i="13"/>
  <c r="G26" i="13"/>
  <c r="I5" i="14"/>
  <c r="I180" i="14" s="1"/>
  <c r="G180" i="14"/>
  <c r="I49" i="13"/>
  <c r="G48" i="13"/>
  <c r="K112" i="8"/>
  <c r="C9" i="10"/>
  <c r="H48" i="13" l="1"/>
  <c r="I48" i="13" s="1"/>
  <c r="H26" i="13"/>
  <c r="I26" i="13" s="1"/>
  <c r="G180" i="13"/>
  <c r="I4" i="13"/>
  <c r="E9" i="10"/>
  <c r="D9" i="10"/>
  <c r="B10" i="10"/>
  <c r="B11" i="10"/>
  <c r="B9" i="10"/>
  <c r="I180" i="13" l="1"/>
  <c r="G9" i="10"/>
  <c r="F9" i="10"/>
  <c r="IZ139" i="8"/>
  <c r="D9" i="8" l="1"/>
  <c r="E9" i="8"/>
  <c r="J9" i="8"/>
  <c r="IZ136" i="8" l="1"/>
  <c r="IZ137" i="8"/>
  <c r="IZ138" i="8"/>
  <c r="IZ92" i="8"/>
  <c r="IZ93" i="8"/>
  <c r="IZ94" i="8"/>
  <c r="IZ95" i="8"/>
  <c r="IZ96" i="8"/>
  <c r="IZ97" i="8"/>
  <c r="IZ98" i="8"/>
  <c r="IZ99" i="8"/>
  <c r="IZ38" i="8"/>
  <c r="IZ39" i="8"/>
  <c r="IZ40" i="8"/>
  <c r="IZ35" i="8"/>
  <c r="IZ36" i="8"/>
  <c r="IZ37" i="8"/>
  <c r="IZ113" i="8" l="1"/>
  <c r="IZ112" i="8"/>
  <c r="IZ59" i="8"/>
  <c r="IZ58" i="8"/>
  <c r="IZ57" i="8"/>
  <c r="IZ56" i="8"/>
  <c r="IZ55" i="8"/>
  <c r="IZ54" i="8"/>
  <c r="IZ34" i="8"/>
  <c r="IZ33" i="8"/>
  <c r="IZ32" i="8"/>
  <c r="IZ18" i="8"/>
  <c r="IZ17" i="8"/>
  <c r="IZ16" i="8"/>
  <c r="IZ15" i="8"/>
  <c r="IZ14" i="8"/>
  <c r="IZ13" i="8"/>
  <c r="IZ12" i="8"/>
  <c r="IZ11" i="8"/>
  <c r="IZ10" i="8"/>
  <c r="K53" i="8" l="1"/>
  <c r="K31" i="8"/>
  <c r="K9" i="8"/>
  <c r="K111" i="8" l="1"/>
  <c r="IZ111" i="8" s="1"/>
  <c r="K110" i="8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IZ110" i="8" l="1"/>
  <c r="K109" i="8"/>
  <c r="C10" i="10"/>
  <c r="D10" i="8"/>
  <c r="J10" i="8"/>
  <c r="F10" i="8"/>
  <c r="E10" i="8"/>
  <c r="E10" i="10" l="1"/>
  <c r="D10" i="10"/>
  <c r="IZ88" i="8"/>
  <c r="IZ132" i="8"/>
  <c r="IZ89" i="8"/>
  <c r="IZ133" i="8"/>
  <c r="D11" i="8"/>
  <c r="G10" i="8"/>
  <c r="D32" i="8"/>
  <c r="L10" i="8"/>
  <c r="O10" i="8" l="1"/>
  <c r="G10" i="10"/>
  <c r="F10" i="10"/>
  <c r="IZ90" i="8"/>
  <c r="IZ135" i="8"/>
  <c r="IZ134" i="8"/>
  <c r="J32" i="8"/>
  <c r="P10" i="8"/>
  <c r="F11" i="8"/>
  <c r="E11" i="8"/>
  <c r="J11" i="8"/>
  <c r="F32" i="8"/>
  <c r="E32" i="8"/>
  <c r="Q10" i="8" l="1"/>
  <c r="K131" i="8"/>
  <c r="IZ91" i="8"/>
  <c r="C11" i="10"/>
  <c r="L11" i="8"/>
  <c r="D33" i="8"/>
  <c r="L32" i="8"/>
  <c r="G11" i="8"/>
  <c r="D12" i="8"/>
  <c r="G32" i="8"/>
  <c r="O11" i="8" l="1"/>
  <c r="E11" i="10"/>
  <c r="D11" i="10"/>
  <c r="D12" i="10" s="1"/>
  <c r="K87" i="8"/>
  <c r="K8" i="8" s="1"/>
  <c r="C12" i="10"/>
  <c r="G14" i="10" s="1"/>
  <c r="J12" i="8"/>
  <c r="F12" i="8"/>
  <c r="P11" i="8"/>
  <c r="E33" i="8"/>
  <c r="F33" i="8"/>
  <c r="E12" i="8"/>
  <c r="Q11" i="8" l="1"/>
  <c r="G11" i="10"/>
  <c r="G12" i="10" s="1"/>
  <c r="F11" i="10"/>
  <c r="F12" i="10" s="1"/>
  <c r="E12" i="10"/>
  <c r="L12" i="8"/>
  <c r="G12" i="8"/>
  <c r="L33" i="8"/>
  <c r="D34" i="8"/>
  <c r="D88" i="8"/>
  <c r="D13" i="8"/>
  <c r="G33" i="8"/>
  <c r="D54" i="8"/>
  <c r="O12" i="8" l="1"/>
  <c r="E88" i="8"/>
  <c r="P12" i="8"/>
  <c r="J88" i="8"/>
  <c r="E34" i="8"/>
  <c r="F54" i="8"/>
  <c r="D15" i="8"/>
  <c r="F88" i="8"/>
  <c r="J34" i="8"/>
  <c r="F13" i="8"/>
  <c r="G13" i="8" s="1"/>
  <c r="E13" i="8"/>
  <c r="F34" i="8"/>
  <c r="J13" i="8"/>
  <c r="L13" i="8"/>
  <c r="L54" i="8"/>
  <c r="D110" i="8"/>
  <c r="J54" i="8"/>
  <c r="E54" i="8"/>
  <c r="O32" i="8" l="1"/>
  <c r="O13" i="8"/>
  <c r="Q12" i="8"/>
  <c r="D35" i="8"/>
  <c r="D55" i="8"/>
  <c r="P32" i="8"/>
  <c r="F110" i="8"/>
  <c r="G54" i="8"/>
  <c r="L88" i="8"/>
  <c r="P13" i="8"/>
  <c r="E15" i="8"/>
  <c r="L34" i="8"/>
  <c r="G88" i="8"/>
  <c r="E110" i="8"/>
  <c r="J110" i="8"/>
  <c r="J55" i="8"/>
  <c r="G34" i="8"/>
  <c r="J15" i="8"/>
  <c r="F15" i="8"/>
  <c r="E55" i="8"/>
  <c r="D14" i="8"/>
  <c r="F14" i="8"/>
  <c r="J14" i="8"/>
  <c r="O88" i="8" l="1"/>
  <c r="Q88" i="8" s="1"/>
  <c r="Q13" i="8"/>
  <c r="Q32" i="8"/>
  <c r="L15" i="8"/>
  <c r="J35" i="8"/>
  <c r="D17" i="8"/>
  <c r="D16" i="8"/>
  <c r="G14" i="8"/>
  <c r="G110" i="8"/>
  <c r="F35" i="8"/>
  <c r="D111" i="8"/>
  <c r="G15" i="8"/>
  <c r="E14" i="8"/>
  <c r="P88" i="8"/>
  <c r="L14" i="8"/>
  <c r="L110" i="8"/>
  <c r="F55" i="8"/>
  <c r="E35" i="8"/>
  <c r="J16" i="8"/>
  <c r="G55" i="8"/>
  <c r="O14" i="8" l="1"/>
  <c r="O33" i="8"/>
  <c r="L55" i="8"/>
  <c r="F16" i="8"/>
  <c r="G16" i="8"/>
  <c r="J17" i="8"/>
  <c r="D59" i="8"/>
  <c r="D57" i="8"/>
  <c r="E111" i="8"/>
  <c r="F17" i="8"/>
  <c r="F57" i="8"/>
  <c r="J57" i="8"/>
  <c r="E16" i="8"/>
  <c r="F111" i="8"/>
  <c r="G35" i="8"/>
  <c r="L16" i="8"/>
  <c r="D36" i="8"/>
  <c r="L35" i="8"/>
  <c r="E17" i="8"/>
  <c r="J111" i="8"/>
  <c r="D58" i="8"/>
  <c r="O35" i="8" l="1"/>
  <c r="Q35" i="8" s="1"/>
  <c r="Q33" i="8"/>
  <c r="Q14" i="8"/>
  <c r="O15" i="8"/>
  <c r="O34" i="8"/>
  <c r="E57" i="8"/>
  <c r="F36" i="8"/>
  <c r="F58" i="8"/>
  <c r="G57" i="8"/>
  <c r="G17" i="8"/>
  <c r="P35" i="8"/>
  <c r="L17" i="8"/>
  <c r="G36" i="8"/>
  <c r="D112" i="8"/>
  <c r="G111" i="8"/>
  <c r="E58" i="8"/>
  <c r="E36" i="8"/>
  <c r="J36" i="8"/>
  <c r="L36" i="8"/>
  <c r="L111" i="8"/>
  <c r="E59" i="8"/>
  <c r="O16" i="8" l="1"/>
  <c r="Q15" i="8"/>
  <c r="Q34" i="8"/>
  <c r="F59" i="8"/>
  <c r="F112" i="8"/>
  <c r="G58" i="8"/>
  <c r="E112" i="8"/>
  <c r="P15" i="8"/>
  <c r="D27" i="8"/>
  <c r="J59" i="8"/>
  <c r="D19" i="8"/>
  <c r="P34" i="8"/>
  <c r="D28" i="8"/>
  <c r="D30" i="8"/>
  <c r="D20" i="8"/>
  <c r="D37" i="8"/>
  <c r="F37" i="8"/>
  <c r="P33" i="8"/>
  <c r="J112" i="8"/>
  <c r="J37" i="8"/>
  <c r="P16" i="8"/>
  <c r="D29" i="8"/>
  <c r="D18" i="8"/>
  <c r="L58" i="8"/>
  <c r="P14" i="8"/>
  <c r="J58" i="8"/>
  <c r="Q16" i="8" l="1"/>
  <c r="O36" i="8"/>
  <c r="Q36" i="8" s="1"/>
  <c r="O17" i="8"/>
  <c r="G59" i="8"/>
  <c r="E37" i="8"/>
  <c r="J27" i="8"/>
  <c r="J29" i="8"/>
  <c r="E27" i="8"/>
  <c r="F29" i="8"/>
  <c r="F28" i="8"/>
  <c r="D60" i="8"/>
  <c r="F19" i="8"/>
  <c r="F27" i="8"/>
  <c r="E30" i="8"/>
  <c r="J60" i="8"/>
  <c r="J30" i="8"/>
  <c r="D61" i="8"/>
  <c r="G37" i="8"/>
  <c r="F60" i="8"/>
  <c r="J61" i="8"/>
  <c r="L59" i="8"/>
  <c r="E28" i="8"/>
  <c r="L112" i="8"/>
  <c r="L37" i="8"/>
  <c r="E29" i="8"/>
  <c r="J19" i="8"/>
  <c r="J28" i="8"/>
  <c r="D38" i="8"/>
  <c r="F30" i="8"/>
  <c r="J20" i="8"/>
  <c r="E19" i="8"/>
  <c r="F18" i="8"/>
  <c r="L60" i="8"/>
  <c r="E18" i="8"/>
  <c r="F20" i="8"/>
  <c r="J18" i="8"/>
  <c r="E20" i="8"/>
  <c r="G112" i="8"/>
  <c r="O37" i="8" l="1"/>
  <c r="Q17" i="8"/>
  <c r="E60" i="8"/>
  <c r="F61" i="8"/>
  <c r="G28" i="8"/>
  <c r="E38" i="8"/>
  <c r="G29" i="8"/>
  <c r="L28" i="8"/>
  <c r="G61" i="8"/>
  <c r="L27" i="8"/>
  <c r="G20" i="8"/>
  <c r="L20" i="8"/>
  <c r="J38" i="8"/>
  <c r="L19" i="8"/>
  <c r="G60" i="8"/>
  <c r="L29" i="8"/>
  <c r="G30" i="8"/>
  <c r="L61" i="8"/>
  <c r="L30" i="8"/>
  <c r="G18" i="8"/>
  <c r="E61" i="8"/>
  <c r="G27" i="8"/>
  <c r="G19" i="8"/>
  <c r="L18" i="8"/>
  <c r="P37" i="8"/>
  <c r="F38" i="8"/>
  <c r="Q37" i="8" l="1"/>
  <c r="O18" i="8"/>
  <c r="Q18" i="8" s="1"/>
  <c r="O27" i="8"/>
  <c r="Q27" i="8" s="1"/>
  <c r="O20" i="8"/>
  <c r="Q20" i="8" s="1"/>
  <c r="O28" i="8"/>
  <c r="Q28" i="8" s="1"/>
  <c r="O29" i="8"/>
  <c r="Q29" i="8" s="1"/>
  <c r="O30" i="8"/>
  <c r="L38" i="8"/>
  <c r="G38" i="8"/>
  <c r="D113" i="8"/>
  <c r="D39" i="8"/>
  <c r="E39" i="8" s="1"/>
  <c r="J113" i="8"/>
  <c r="J39" i="8"/>
  <c r="O38" i="8" l="1"/>
  <c r="Q38" i="8" s="1"/>
  <c r="Q30" i="8"/>
  <c r="O19" i="8"/>
  <c r="E113" i="8"/>
  <c r="F39" i="8"/>
  <c r="L39" i="8" s="1"/>
  <c r="G39" i="8"/>
  <c r="F113" i="8"/>
  <c r="O39" i="8" l="1"/>
  <c r="Q39" i="8" s="1"/>
  <c r="Q19" i="8"/>
  <c r="L113" i="8"/>
  <c r="D51" i="8"/>
  <c r="D46" i="8"/>
  <c r="G113" i="8"/>
  <c r="D45" i="8"/>
  <c r="D52" i="8"/>
  <c r="E51" i="8"/>
  <c r="E46" i="8"/>
  <c r="E45" i="8"/>
  <c r="F52" i="8"/>
  <c r="E52" i="8"/>
  <c r="G52" i="8"/>
  <c r="F51" i="8"/>
  <c r="G51" i="8" s="1"/>
  <c r="F46" i="8"/>
  <c r="L46" i="8" s="1"/>
  <c r="F45" i="8"/>
  <c r="L45" i="8" s="1"/>
  <c r="J52" i="8"/>
  <c r="L51" i="8"/>
  <c r="L52" i="8"/>
  <c r="D42" i="8"/>
  <c r="D47" i="8"/>
  <c r="D114" i="8"/>
  <c r="J114" i="8" s="1"/>
  <c r="D41" i="8"/>
  <c r="D50" i="8"/>
  <c r="D48" i="8"/>
  <c r="F48" i="8" s="1"/>
  <c r="E48" i="8"/>
  <c r="J42" i="8"/>
  <c r="J51" i="8"/>
  <c r="E42" i="8"/>
  <c r="F42" i="8"/>
  <c r="G42" i="8" s="1"/>
  <c r="J47" i="8"/>
  <c r="E47" i="8"/>
  <c r="F47" i="8"/>
  <c r="F41" i="8"/>
  <c r="L41" i="8" s="1"/>
  <c r="J41" i="8"/>
  <c r="E41" i="8"/>
  <c r="E50" i="8"/>
  <c r="F50" i="8"/>
  <c r="J50" i="8"/>
  <c r="L47" i="8"/>
  <c r="G47" i="8"/>
  <c r="G50" i="8"/>
  <c r="L50" i="8"/>
  <c r="O52" i="8" l="1"/>
  <c r="Q52" i="8" s="1"/>
  <c r="O45" i="8"/>
  <c r="Q45" i="8" s="1"/>
  <c r="O50" i="8"/>
  <c r="Q50" i="8" s="1"/>
  <c r="O41" i="8"/>
  <c r="Q41" i="8" s="1"/>
  <c r="O46" i="8"/>
  <c r="Q46" i="8" s="1"/>
  <c r="O47" i="8"/>
  <c r="Q47" i="8" s="1"/>
  <c r="O51" i="8"/>
  <c r="Q51" i="8" s="1"/>
  <c r="O54" i="8"/>
  <c r="G41" i="8"/>
  <c r="J45" i="8"/>
  <c r="P19" i="8"/>
  <c r="P27" i="8"/>
  <c r="P38" i="8"/>
  <c r="P41" i="8"/>
  <c r="P17" i="8"/>
  <c r="P45" i="8"/>
  <c r="G46" i="8"/>
  <c r="J46" i="8"/>
  <c r="P28" i="8"/>
  <c r="P18" i="8"/>
  <c r="P39" i="8"/>
  <c r="P30" i="8"/>
  <c r="E114" i="8"/>
  <c r="P47" i="8"/>
  <c r="L42" i="8"/>
  <c r="G48" i="8"/>
  <c r="P52" i="8"/>
  <c r="P50" i="8"/>
  <c r="P46" i="8"/>
  <c r="P54" i="8"/>
  <c r="P51" i="8"/>
  <c r="G45" i="8"/>
  <c r="J48" i="8"/>
  <c r="F114" i="8"/>
  <c r="P29" i="8"/>
  <c r="P20" i="8"/>
  <c r="G114" i="8"/>
  <c r="L48" i="8"/>
  <c r="P36" i="8"/>
  <c r="O42" i="8" l="1"/>
  <c r="O48" i="8"/>
  <c r="O55" i="8"/>
  <c r="O113" i="8"/>
  <c r="O112" i="8"/>
  <c r="O111" i="8"/>
  <c r="O110" i="8"/>
  <c r="Q54" i="8"/>
  <c r="L114" i="8"/>
  <c r="P42" i="8"/>
  <c r="P110" i="8"/>
  <c r="P112" i="8"/>
  <c r="P111" i="8"/>
  <c r="P55" i="8"/>
  <c r="P113" i="8"/>
  <c r="P48" i="8"/>
  <c r="O114" i="8" l="1"/>
  <c r="Q42" i="8"/>
  <c r="Q48" i="8"/>
  <c r="Q111" i="8"/>
  <c r="Q113" i="8"/>
  <c r="O56" i="8"/>
  <c r="O57" i="8"/>
  <c r="Q110" i="8"/>
  <c r="Q114" i="8"/>
  <c r="Q112" i="8"/>
  <c r="Q55" i="8"/>
  <c r="P114" i="8"/>
  <c r="P57" i="8"/>
  <c r="Q57" i="8" l="1"/>
  <c r="O58" i="8"/>
  <c r="O60" i="8"/>
  <c r="O61" i="8"/>
  <c r="O59" i="8"/>
  <c r="Q56" i="8"/>
  <c r="P58" i="8"/>
  <c r="P59" i="8"/>
  <c r="P60" i="8"/>
  <c r="P61" i="8"/>
  <c r="Q59" i="8" l="1"/>
  <c r="Q60" i="8"/>
  <c r="Q61" i="8"/>
  <c r="Q58" i="8"/>
  <c r="D56" i="8"/>
  <c r="D132" i="8"/>
  <c r="D62" i="8"/>
  <c r="D43" i="8"/>
  <c r="F56" i="8"/>
  <c r="J56" i="8"/>
  <c r="E56" i="8"/>
  <c r="D115" i="8"/>
  <c r="P56" i="8"/>
  <c r="O63" i="8" l="1"/>
  <c r="Q63" i="8" s="1"/>
  <c r="F43" i="8"/>
  <c r="E62" i="8"/>
  <c r="J62" i="8"/>
  <c r="F62" i="8"/>
  <c r="J43" i="8"/>
  <c r="F115" i="8"/>
  <c r="J132" i="8"/>
  <c r="G43" i="8"/>
  <c r="F132" i="8"/>
  <c r="J115" i="8"/>
  <c r="E43" i="8"/>
  <c r="D176" i="8"/>
  <c r="L43" i="8"/>
  <c r="E132" i="8"/>
  <c r="G56" i="8"/>
  <c r="D44" i="8"/>
  <c r="D63" i="8"/>
  <c r="E115" i="8"/>
  <c r="J63" i="8"/>
  <c r="P63" i="8"/>
  <c r="O43" i="8" l="1"/>
  <c r="G62" i="8"/>
  <c r="D133" i="8"/>
  <c r="L62" i="8"/>
  <c r="J44" i="8"/>
  <c r="J176" i="8"/>
  <c r="E63" i="8"/>
  <c r="P43" i="8"/>
  <c r="F44" i="8"/>
  <c r="G132" i="8"/>
  <c r="F63" i="8"/>
  <c r="L132" i="8"/>
  <c r="G115" i="8"/>
  <c r="E176" i="8"/>
  <c r="F176" i="8"/>
  <c r="D116" i="8"/>
  <c r="E44" i="8"/>
  <c r="G63" i="8"/>
  <c r="L115" i="8"/>
  <c r="L176" i="8"/>
  <c r="O132" i="8" l="1"/>
  <c r="O115" i="8"/>
  <c r="Q115" i="8" s="1"/>
  <c r="O62" i="8"/>
  <c r="Q62" i="8" s="1"/>
  <c r="O176" i="8"/>
  <c r="Q176" i="8" s="1"/>
  <c r="Q43" i="8"/>
  <c r="E116" i="8"/>
  <c r="G44" i="8"/>
  <c r="G176" i="8"/>
  <c r="P115" i="8"/>
  <c r="D180" i="8"/>
  <c r="F133" i="8"/>
  <c r="D182" i="8"/>
  <c r="D191" i="8"/>
  <c r="L133" i="8"/>
  <c r="D195" i="8"/>
  <c r="D177" i="8"/>
  <c r="D196" i="8"/>
  <c r="J196" i="8"/>
  <c r="J133" i="8"/>
  <c r="J180" i="8"/>
  <c r="P62" i="8"/>
  <c r="D183" i="8"/>
  <c r="D178" i="8"/>
  <c r="D194" i="8"/>
  <c r="J194" i="8"/>
  <c r="D188" i="8"/>
  <c r="P132" i="8"/>
  <c r="F180" i="8"/>
  <c r="D181" i="8"/>
  <c r="D193" i="8"/>
  <c r="D186" i="8"/>
  <c r="D190" i="8"/>
  <c r="F196" i="8"/>
  <c r="D65" i="8"/>
  <c r="F65" i="8" s="1"/>
  <c r="G65" i="8" s="1"/>
  <c r="F116" i="8"/>
  <c r="G116" i="8" s="1"/>
  <c r="D192" i="8"/>
  <c r="J192" i="8" s="1"/>
  <c r="F192" i="8"/>
  <c r="G192" i="8" s="1"/>
  <c r="P176" i="8"/>
  <c r="D187" i="8"/>
  <c r="E182" i="8"/>
  <c r="D189" i="8"/>
  <c r="J189" i="8" s="1"/>
  <c r="E180" i="8"/>
  <c r="J116" i="8"/>
  <c r="E65" i="8"/>
  <c r="L44" i="8"/>
  <c r="E133" i="8"/>
  <c r="D185" i="8"/>
  <c r="E181" i="8"/>
  <c r="F187" i="8"/>
  <c r="D64" i="8"/>
  <c r="J65" i="8"/>
  <c r="D184" i="8"/>
  <c r="J184" i="8" s="1"/>
  <c r="F188" i="8"/>
  <c r="J193" i="8"/>
  <c r="F193" i="8"/>
  <c r="E187" i="8"/>
  <c r="J187" i="8"/>
  <c r="F185" i="8"/>
  <c r="J185" i="8"/>
  <c r="E64" i="8"/>
  <c r="F64" i="8"/>
  <c r="Q132" i="8" l="1"/>
  <c r="O44" i="8"/>
  <c r="O133" i="8"/>
  <c r="L187" i="8"/>
  <c r="E194" i="8"/>
  <c r="J64" i="8"/>
  <c r="F194" i="8"/>
  <c r="D123" i="8"/>
  <c r="F184" i="8"/>
  <c r="F181" i="8"/>
  <c r="E186" i="8"/>
  <c r="E196" i="8"/>
  <c r="L64" i="8"/>
  <c r="F183" i="8"/>
  <c r="D119" i="8"/>
  <c r="D118" i="8"/>
  <c r="L193" i="8"/>
  <c r="G64" i="8"/>
  <c r="D135" i="8"/>
  <c r="E190" i="8"/>
  <c r="D127" i="8"/>
  <c r="D121" i="8"/>
  <c r="E189" i="8"/>
  <c r="J135" i="8"/>
  <c r="J121" i="8"/>
  <c r="E185" i="8"/>
  <c r="D126" i="8"/>
  <c r="D129" i="8"/>
  <c r="E183" i="8"/>
  <c r="J127" i="8"/>
  <c r="J188" i="8"/>
  <c r="J191" i="8"/>
  <c r="E177" i="8"/>
  <c r="L188" i="8"/>
  <c r="D134" i="8"/>
  <c r="F191" i="8"/>
  <c r="L192" i="8"/>
  <c r="J123" i="8"/>
  <c r="F186" i="8"/>
  <c r="L196" i="8"/>
  <c r="E191" i="8"/>
  <c r="F119" i="8"/>
  <c r="D117" i="8"/>
  <c r="D67" i="8"/>
  <c r="G184" i="8"/>
  <c r="F129" i="8"/>
  <c r="E195" i="8"/>
  <c r="G188" i="8"/>
  <c r="E67" i="8"/>
  <c r="F121" i="8"/>
  <c r="J181" i="8"/>
  <c r="E184" i="8"/>
  <c r="F177" i="8"/>
  <c r="J190" i="8"/>
  <c r="D125" i="8"/>
  <c r="J125" i="8" s="1"/>
  <c r="G133" i="8"/>
  <c r="L180" i="8"/>
  <c r="G185" i="8"/>
  <c r="P133" i="8"/>
  <c r="D128" i="8"/>
  <c r="J195" i="8"/>
  <c r="G180" i="8"/>
  <c r="J186" i="8"/>
  <c r="J118" i="8"/>
  <c r="F182" i="8"/>
  <c r="E193" i="8"/>
  <c r="G194" i="8"/>
  <c r="G196" i="8"/>
  <c r="F178" i="8"/>
  <c r="E178" i="8"/>
  <c r="J182" i="8"/>
  <c r="F123" i="8"/>
  <c r="P44" i="8"/>
  <c r="E135" i="8"/>
  <c r="F127" i="8"/>
  <c r="G187" i="8"/>
  <c r="L185" i="8"/>
  <c r="E126" i="8"/>
  <c r="E188" i="8"/>
  <c r="D124" i="8"/>
  <c r="F124" i="8"/>
  <c r="J178" i="8"/>
  <c r="J183" i="8"/>
  <c r="D130" i="8"/>
  <c r="D120" i="8"/>
  <c r="D122" i="8"/>
  <c r="J122" i="8" s="1"/>
  <c r="D66" i="8"/>
  <c r="E66" i="8" s="1"/>
  <c r="F195" i="8"/>
  <c r="F189" i="8"/>
  <c r="L65" i="8"/>
  <c r="J120" i="8"/>
  <c r="E123" i="8"/>
  <c r="F190" i="8"/>
  <c r="G190" i="8" s="1"/>
  <c r="G186" i="8"/>
  <c r="J177" i="8"/>
  <c r="E192" i="8"/>
  <c r="G193" i="8"/>
  <c r="L116" i="8"/>
  <c r="G178" i="8"/>
  <c r="G182" i="8"/>
  <c r="J134" i="8"/>
  <c r="E119" i="8"/>
  <c r="F118" i="8"/>
  <c r="F135" i="8"/>
  <c r="L135" i="8"/>
  <c r="F66" i="8"/>
  <c r="G66" i="8" s="1"/>
  <c r="G119" i="8"/>
  <c r="L66" i="8"/>
  <c r="E117" i="8"/>
  <c r="J126" i="8"/>
  <c r="L119" i="8"/>
  <c r="L177" i="8"/>
  <c r="G177" i="8"/>
  <c r="J130" i="8"/>
  <c r="O187" i="8" l="1"/>
  <c r="O135" i="8"/>
  <c r="O193" i="8"/>
  <c r="Q193" i="8" s="1"/>
  <c r="Q135" i="8"/>
  <c r="O192" i="8"/>
  <c r="Q192" i="8" s="1"/>
  <c r="O180" i="8"/>
  <c r="O177" i="8"/>
  <c r="Q177" i="8" s="1"/>
  <c r="O116" i="8"/>
  <c r="Q44" i="8"/>
  <c r="O64" i="8"/>
  <c r="Q64" i="8" s="1"/>
  <c r="O65" i="8"/>
  <c r="Q65" i="8" s="1"/>
  <c r="O119" i="8"/>
  <c r="Q119" i="8" s="1"/>
  <c r="O66" i="8"/>
  <c r="O185" i="8"/>
  <c r="Q185" i="8" s="1"/>
  <c r="O188" i="8"/>
  <c r="Q188" i="8" s="1"/>
  <c r="Q133" i="8"/>
  <c r="O196" i="8"/>
  <c r="G135" i="8"/>
  <c r="F120" i="8"/>
  <c r="L129" i="8"/>
  <c r="P187" i="8"/>
  <c r="J67" i="8"/>
  <c r="L190" i="8"/>
  <c r="P180" i="8"/>
  <c r="E120" i="8"/>
  <c r="L124" i="8"/>
  <c r="L123" i="8"/>
  <c r="F117" i="8"/>
  <c r="P177" i="8"/>
  <c r="P188" i="8"/>
  <c r="G195" i="8"/>
  <c r="P116" i="8"/>
  <c r="P135" i="8"/>
  <c r="P119" i="8"/>
  <c r="L121" i="8"/>
  <c r="G123" i="8"/>
  <c r="L182" i="8"/>
  <c r="E127" i="8"/>
  <c r="G183" i="8"/>
  <c r="L127" i="8"/>
  <c r="F125" i="8"/>
  <c r="G125" i="8"/>
  <c r="G181" i="8"/>
  <c r="J119" i="8"/>
  <c r="G129" i="8"/>
  <c r="L194" i="8"/>
  <c r="E134" i="8"/>
  <c r="P193" i="8"/>
  <c r="P66" i="8"/>
  <c r="E122" i="8"/>
  <c r="G121" i="8"/>
  <c r="E128" i="8"/>
  <c r="F130" i="8"/>
  <c r="L130" i="8"/>
  <c r="G189" i="8"/>
  <c r="E130" i="8"/>
  <c r="G191" i="8"/>
  <c r="L178" i="8"/>
  <c r="G118" i="8"/>
  <c r="G124" i="8"/>
  <c r="P196" i="8"/>
  <c r="L195" i="8"/>
  <c r="E121" i="8"/>
  <c r="L184" i="8"/>
  <c r="G120" i="8"/>
  <c r="F128" i="8"/>
  <c r="G128" i="8" s="1"/>
  <c r="L186" i="8"/>
  <c r="J117" i="8"/>
  <c r="L189" i="8"/>
  <c r="E118" i="8"/>
  <c r="J66" i="8"/>
  <c r="F122" i="8"/>
  <c r="L122" i="8" s="1"/>
  <c r="L183" i="8"/>
  <c r="L118" i="8"/>
  <c r="F134" i="8"/>
  <c r="J124" i="8"/>
  <c r="E125" i="8"/>
  <c r="P64" i="8"/>
  <c r="E129" i="8"/>
  <c r="P65" i="8"/>
  <c r="P192" i="8"/>
  <c r="L125" i="8"/>
  <c r="F67" i="8"/>
  <c r="L67" i="8" s="1"/>
  <c r="J129" i="8"/>
  <c r="F126" i="8"/>
  <c r="G127" i="8"/>
  <c r="P185" i="8"/>
  <c r="L191" i="8"/>
  <c r="E124" i="8"/>
  <c r="L120" i="8"/>
  <c r="L181" i="8"/>
  <c r="J128" i="8"/>
  <c r="L126" i="8"/>
  <c r="O129" i="8" l="1"/>
  <c r="Q187" i="8"/>
  <c r="O182" i="8"/>
  <c r="O178" i="8"/>
  <c r="O194" i="8"/>
  <c r="O190" i="8"/>
  <c r="O123" i="8"/>
  <c r="O127" i="8"/>
  <c r="Q127" i="8" s="1"/>
  <c r="O186" i="8"/>
  <c r="O189" i="8"/>
  <c r="Q189" i="8" s="1"/>
  <c r="Q182" i="8"/>
  <c r="Q180" i="8"/>
  <c r="O118" i="8"/>
  <c r="Q118" i="8" s="1"/>
  <c r="O184" i="8"/>
  <c r="Q116" i="8"/>
  <c r="O130" i="8"/>
  <c r="Q130" i="8" s="1"/>
  <c r="O121" i="8"/>
  <c r="Q121" i="8" s="1"/>
  <c r="Q190" i="8"/>
  <c r="O183" i="8"/>
  <c r="O126" i="8"/>
  <c r="O191" i="8"/>
  <c r="Q191" i="8" s="1"/>
  <c r="O181" i="8"/>
  <c r="O124" i="8"/>
  <c r="Q124" i="8" s="1"/>
  <c r="O67" i="8"/>
  <c r="O125" i="8"/>
  <c r="O120" i="8"/>
  <c r="Q120" i="8" s="1"/>
  <c r="O195" i="8"/>
  <c r="O122" i="8"/>
  <c r="Q122" i="8" s="1"/>
  <c r="Q66" i="8"/>
  <c r="Q196" i="8"/>
  <c r="G126" i="8"/>
  <c r="P178" i="8"/>
  <c r="P130" i="8"/>
  <c r="P120" i="8"/>
  <c r="P184" i="8"/>
  <c r="P189" i="8"/>
  <c r="G134" i="8"/>
  <c r="P121" i="8"/>
  <c r="L134" i="8"/>
  <c r="D136" i="8"/>
  <c r="G117" i="8"/>
  <c r="D68" i="8"/>
  <c r="P67" i="8"/>
  <c r="E68" i="8"/>
  <c r="P195" i="8"/>
  <c r="D69" i="8"/>
  <c r="D109" i="8"/>
  <c r="P181" i="8"/>
  <c r="P123" i="8"/>
  <c r="P190" i="8"/>
  <c r="P118" i="8"/>
  <c r="P186" i="8"/>
  <c r="P191" i="8"/>
  <c r="L128" i="8"/>
  <c r="P194" i="8"/>
  <c r="P124" i="8"/>
  <c r="P183" i="8"/>
  <c r="P125" i="8"/>
  <c r="G122" i="8"/>
  <c r="P129" i="8"/>
  <c r="G67" i="8"/>
  <c r="P127" i="8"/>
  <c r="P122" i="8"/>
  <c r="P182" i="8"/>
  <c r="P126" i="8"/>
  <c r="L117" i="8"/>
  <c r="G130" i="8"/>
  <c r="Q129" i="8" l="1"/>
  <c r="Q178" i="8"/>
  <c r="Q194" i="8"/>
  <c r="Q123" i="8"/>
  <c r="O117" i="8"/>
  <c r="Q117" i="8" s="1"/>
  <c r="M109" i="8"/>
  <c r="O128" i="8"/>
  <c r="Q128" i="8" s="1"/>
  <c r="Q186" i="8"/>
  <c r="Q184" i="8"/>
  <c r="O134" i="8"/>
  <c r="Q181" i="8"/>
  <c r="Q126" i="8"/>
  <c r="Q183" i="8"/>
  <c r="Q67" i="8"/>
  <c r="Q125" i="8"/>
  <c r="Q195" i="8"/>
  <c r="F68" i="8"/>
  <c r="L68" i="8" s="1"/>
  <c r="J69" i="8"/>
  <c r="D21" i="8"/>
  <c r="F69" i="8"/>
  <c r="G68" i="8"/>
  <c r="J109" i="8"/>
  <c r="E109" i="8"/>
  <c r="F136" i="8"/>
  <c r="P117" i="8"/>
  <c r="D137" i="8"/>
  <c r="G69" i="8"/>
  <c r="E69" i="8"/>
  <c r="J68" i="8"/>
  <c r="E21" i="8"/>
  <c r="J136" i="8"/>
  <c r="J21" i="8"/>
  <c r="E136" i="8"/>
  <c r="P128" i="8"/>
  <c r="P134" i="8"/>
  <c r="L109" i="8"/>
  <c r="E137" i="8"/>
  <c r="O68" i="8" l="1"/>
  <c r="O109" i="8"/>
  <c r="Q109" i="8" s="1"/>
  <c r="Q134" i="8"/>
  <c r="Q68" i="8"/>
  <c r="P68" i="8"/>
  <c r="J137" i="8"/>
  <c r="D139" i="8"/>
  <c r="D152" i="8"/>
  <c r="L69" i="8"/>
  <c r="E139" i="8"/>
  <c r="D70" i="8"/>
  <c r="J70" i="8"/>
  <c r="E70" i="8"/>
  <c r="D147" i="8"/>
  <c r="F147" i="8"/>
  <c r="F109" i="8"/>
  <c r="D142" i="8"/>
  <c r="L136" i="8"/>
  <c r="D143" i="8"/>
  <c r="D149" i="8"/>
  <c r="D140" i="8"/>
  <c r="D148" i="8"/>
  <c r="D150" i="8"/>
  <c r="D151" i="8"/>
  <c r="F152" i="8"/>
  <c r="J150" i="8"/>
  <c r="J147" i="8"/>
  <c r="E142" i="8"/>
  <c r="J148" i="8"/>
  <c r="P109" i="8"/>
  <c r="D145" i="8"/>
  <c r="J145" i="8" s="1"/>
  <c r="E140" i="8"/>
  <c r="D138" i="8"/>
  <c r="F138" i="8" s="1"/>
  <c r="J142" i="8"/>
  <c r="F148" i="8"/>
  <c r="E138" i="8"/>
  <c r="F21" i="8"/>
  <c r="G21" i="8" s="1"/>
  <c r="D71" i="8"/>
  <c r="J71" i="8" s="1"/>
  <c r="D141" i="8"/>
  <c r="G136" i="8"/>
  <c r="D144" i="8"/>
  <c r="F137" i="8"/>
  <c r="D146" i="8"/>
  <c r="E146" i="8" s="1"/>
  <c r="F139" i="8"/>
  <c r="G139" i="8" s="1"/>
  <c r="D25" i="8"/>
  <c r="F146" i="8"/>
  <c r="L21" i="8"/>
  <c r="E141" i="8"/>
  <c r="E71" i="8"/>
  <c r="J143" i="8"/>
  <c r="E144" i="8"/>
  <c r="J149" i="8"/>
  <c r="J152" i="8"/>
  <c r="J139" i="8"/>
  <c r="J151" i="8"/>
  <c r="F150" i="8"/>
  <c r="J144" i="8"/>
  <c r="J138" i="8"/>
  <c r="F141" i="8"/>
  <c r="L141" i="8" s="1"/>
  <c r="J141" i="8"/>
  <c r="O69" i="8" l="1"/>
  <c r="O136" i="8"/>
  <c r="Q136" i="8" s="1"/>
  <c r="O141" i="8"/>
  <c r="Q141" i="8" s="1"/>
  <c r="O21" i="8"/>
  <c r="Q21" i="8" s="1"/>
  <c r="L148" i="8"/>
  <c r="F143" i="8"/>
  <c r="L150" i="8"/>
  <c r="G147" i="8"/>
  <c r="G141" i="8"/>
  <c r="L138" i="8"/>
  <c r="L152" i="8"/>
  <c r="E149" i="8"/>
  <c r="F151" i="8"/>
  <c r="E145" i="8"/>
  <c r="P69" i="8"/>
  <c r="F25" i="8"/>
  <c r="J25" i="8"/>
  <c r="E150" i="8"/>
  <c r="L139" i="8"/>
  <c r="F142" i="8"/>
  <c r="L137" i="8"/>
  <c r="F140" i="8"/>
  <c r="P141" i="8"/>
  <c r="J140" i="8"/>
  <c r="G142" i="8"/>
  <c r="F70" i="8"/>
  <c r="E152" i="8"/>
  <c r="G70" i="8"/>
  <c r="E151" i="8"/>
  <c r="G109" i="8"/>
  <c r="E148" i="8"/>
  <c r="G137" i="8"/>
  <c r="L147" i="8"/>
  <c r="P136" i="8"/>
  <c r="J146" i="8"/>
  <c r="E25" i="8"/>
  <c r="E147" i="8"/>
  <c r="F71" i="8"/>
  <c r="P21" i="8"/>
  <c r="G151" i="8"/>
  <c r="F149" i="8"/>
  <c r="G149" i="8" s="1"/>
  <c r="G148" i="8"/>
  <c r="F144" i="8"/>
  <c r="G150" i="8"/>
  <c r="G138" i="8"/>
  <c r="N109" i="8"/>
  <c r="L149" i="8"/>
  <c r="E143" i="8"/>
  <c r="G146" i="8"/>
  <c r="G152" i="8"/>
  <c r="L146" i="8"/>
  <c r="F145" i="8"/>
  <c r="G143" i="8"/>
  <c r="L143" i="8"/>
  <c r="O143" i="8" l="1"/>
  <c r="O148" i="8"/>
  <c r="O139" i="8"/>
  <c r="O150" i="8"/>
  <c r="O147" i="8"/>
  <c r="Q69" i="8"/>
  <c r="O138" i="8"/>
  <c r="O146" i="8"/>
  <c r="Q146" i="8" s="1"/>
  <c r="O137" i="8"/>
  <c r="O149" i="8"/>
  <c r="O152" i="8"/>
  <c r="Q152" i="8" s="1"/>
  <c r="Q150" i="8"/>
  <c r="P143" i="8"/>
  <c r="L140" i="8"/>
  <c r="L70" i="8"/>
  <c r="P150" i="8"/>
  <c r="D22" i="8"/>
  <c r="G25" i="8"/>
  <c r="G145" i="8"/>
  <c r="P138" i="8"/>
  <c r="L151" i="8"/>
  <c r="L25" i="8"/>
  <c r="L142" i="8"/>
  <c r="G144" i="8"/>
  <c r="L144" i="8"/>
  <c r="L145" i="8"/>
  <c r="P148" i="8"/>
  <c r="G71" i="8"/>
  <c r="P146" i="8"/>
  <c r="G140" i="8"/>
  <c r="P137" i="8"/>
  <c r="P152" i="8"/>
  <c r="D72" i="8"/>
  <c r="P139" i="8"/>
  <c r="L71" i="8"/>
  <c r="D131" i="8"/>
  <c r="E131" i="8" s="1"/>
  <c r="P149" i="8"/>
  <c r="P147" i="8"/>
  <c r="O145" i="8" l="1"/>
  <c r="O140" i="8"/>
  <c r="Q148" i="8"/>
  <c r="Q143" i="8"/>
  <c r="O151" i="8"/>
  <c r="O70" i="8"/>
  <c r="Q139" i="8"/>
  <c r="O142" i="8"/>
  <c r="Q147" i="8"/>
  <c r="Q151" i="8"/>
  <c r="O71" i="8"/>
  <c r="Q138" i="8"/>
  <c r="Q149" i="8"/>
  <c r="Q137" i="8"/>
  <c r="M131" i="8"/>
  <c r="O144" i="8"/>
  <c r="O25" i="8"/>
  <c r="P145" i="8"/>
  <c r="F72" i="8"/>
  <c r="P71" i="8"/>
  <c r="F22" i="8"/>
  <c r="L131" i="8"/>
  <c r="P70" i="8"/>
  <c r="J22" i="8"/>
  <c r="P142" i="8"/>
  <c r="P144" i="8"/>
  <c r="P140" i="8"/>
  <c r="P151" i="8"/>
  <c r="J72" i="8"/>
  <c r="L72" i="8"/>
  <c r="E22" i="8"/>
  <c r="L22" i="8"/>
  <c r="J131" i="8"/>
  <c r="G72" i="8"/>
  <c r="E72" i="8"/>
  <c r="P25" i="8"/>
  <c r="Q140" i="8" l="1"/>
  <c r="Q145" i="8"/>
  <c r="Q70" i="8"/>
  <c r="Q142" i="8"/>
  <c r="Q71" i="8"/>
  <c r="O72" i="8"/>
  <c r="Q72" i="8" s="1"/>
  <c r="O131" i="8"/>
  <c r="Q144" i="8"/>
  <c r="Q25" i="8"/>
  <c r="O22" i="8"/>
  <c r="Q22" i="8" s="1"/>
  <c r="G22" i="8"/>
  <c r="P131" i="8"/>
  <c r="F131" i="8"/>
  <c r="P72" i="8"/>
  <c r="P22" i="8"/>
  <c r="Q131" i="8" l="1"/>
  <c r="D96" i="8"/>
  <c r="D210" i="8"/>
  <c r="D213" i="8"/>
  <c r="F213" i="8"/>
  <c r="G213" i="8"/>
  <c r="J96" i="8"/>
  <c r="D73" i="8"/>
  <c r="D94" i="8"/>
  <c r="D104" i="8"/>
  <c r="D107" i="8"/>
  <c r="F104" i="8"/>
  <c r="D23" i="8"/>
  <c r="D208" i="8"/>
  <c r="D211" i="8"/>
  <c r="D203" i="8"/>
  <c r="J203" i="8"/>
  <c r="E73" i="8"/>
  <c r="J23" i="8"/>
  <c r="E203" i="8"/>
  <c r="F208" i="8"/>
  <c r="E107" i="8"/>
  <c r="F94" i="8"/>
  <c r="D95" i="8"/>
  <c r="D103" i="8"/>
  <c r="D99" i="8"/>
  <c r="E103" i="8"/>
  <c r="D49" i="8"/>
  <c r="D215" i="8"/>
  <c r="D200" i="8"/>
  <c r="D204" i="8"/>
  <c r="E210" i="8"/>
  <c r="G131" i="8"/>
  <c r="J95" i="8"/>
  <c r="D106" i="8"/>
  <c r="D98" i="8"/>
  <c r="D198" i="8"/>
  <c r="D209" i="8"/>
  <c r="J215" i="8"/>
  <c r="D207" i="8"/>
  <c r="L208" i="8"/>
  <c r="F107" i="8"/>
  <c r="E99" i="8"/>
  <c r="E49" i="8"/>
  <c r="J204" i="8"/>
  <c r="J106" i="8"/>
  <c r="E98" i="8"/>
  <c r="E198" i="8"/>
  <c r="J209" i="8"/>
  <c r="J207" i="8"/>
  <c r="L107" i="8"/>
  <c r="J103" i="8"/>
  <c r="F23" i="8"/>
  <c r="D179" i="8"/>
  <c r="E208" i="8"/>
  <c r="D214" i="8"/>
  <c r="J211" i="8"/>
  <c r="J198" i="8"/>
  <c r="F99" i="8"/>
  <c r="E204" i="8"/>
  <c r="J98" i="8"/>
  <c r="F209" i="8"/>
  <c r="F207" i="8"/>
  <c r="G207" i="8" s="1"/>
  <c r="D97" i="8"/>
  <c r="J97" i="8" s="1"/>
  <c r="D105" i="8"/>
  <c r="F96" i="8"/>
  <c r="D206" i="8"/>
  <c r="F210" i="8"/>
  <c r="L210" i="8" s="1"/>
  <c r="D205" i="8"/>
  <c r="F205" i="8" s="1"/>
  <c r="D202" i="8"/>
  <c r="F206" i="8"/>
  <c r="L206" i="8" s="1"/>
  <c r="G205" i="8"/>
  <c r="G210" i="8"/>
  <c r="D89" i="8"/>
  <c r="D74" i="8"/>
  <c r="D102" i="8"/>
  <c r="E104" i="8"/>
  <c r="E97" i="8"/>
  <c r="G104" i="8"/>
  <c r="D26" i="8"/>
  <c r="F26" i="8" s="1"/>
  <c r="D24" i="8"/>
  <c r="D217" i="8"/>
  <c r="J217" i="8"/>
  <c r="D212" i="8"/>
  <c r="J212" i="8" s="1"/>
  <c r="E205" i="8"/>
  <c r="J210" i="8"/>
  <c r="J213" i="8"/>
  <c r="E96" i="8"/>
  <c r="J89" i="8"/>
  <c r="F74" i="8"/>
  <c r="J107" i="8"/>
  <c r="J26" i="8"/>
  <c r="F217" i="8"/>
  <c r="L217" i="8" s="1"/>
  <c r="E212" i="8"/>
  <c r="E202" i="8"/>
  <c r="J73" i="8"/>
  <c r="E26" i="8"/>
  <c r="F95" i="8"/>
  <c r="D100" i="8"/>
  <c r="D108" i="8"/>
  <c r="E100" i="8"/>
  <c r="D199" i="8"/>
  <c r="D201" i="8"/>
  <c r="F215" i="8"/>
  <c r="D216" i="8"/>
  <c r="E200" i="8"/>
  <c r="J201" i="8"/>
  <c r="J202" i="8"/>
  <c r="G215" i="8"/>
  <c r="F216" i="8"/>
  <c r="F204" i="8"/>
  <c r="L204" i="8" s="1"/>
  <c r="N131" i="8"/>
  <c r="J94" i="8"/>
  <c r="F97" i="8"/>
  <c r="F103" i="8"/>
  <c r="D101" i="8"/>
  <c r="G26" i="8"/>
  <c r="J49" i="8"/>
  <c r="D218" i="8"/>
  <c r="E211" i="8"/>
  <c r="E209" i="8"/>
  <c r="E215" i="8"/>
  <c r="F106" i="8"/>
  <c r="E217" i="8"/>
  <c r="J199" i="8"/>
  <c r="F49" i="8"/>
  <c r="E106" i="8"/>
  <c r="G103" i="8"/>
  <c r="F198" i="8"/>
  <c r="G198" i="8" s="1"/>
  <c r="G107" i="8"/>
  <c r="L198" i="8"/>
  <c r="L207" i="8"/>
  <c r="F179" i="8"/>
  <c r="F214" i="8"/>
  <c r="E105" i="8"/>
  <c r="J105" i="8"/>
  <c r="L96" i="8"/>
  <c r="G96" i="8"/>
  <c r="E206" i="8"/>
  <c r="J206" i="8"/>
  <c r="E89" i="8"/>
  <c r="F89" i="8"/>
  <c r="E74" i="8"/>
  <c r="J74" i="8"/>
  <c r="J102" i="8"/>
  <c r="E102" i="8"/>
  <c r="F102" i="8"/>
  <c r="L102" i="8" s="1"/>
  <c r="J24" i="8"/>
  <c r="F24" i="8"/>
  <c r="E24" i="8"/>
  <c r="L74" i="8"/>
  <c r="G74" i="8"/>
  <c r="F100" i="8"/>
  <c r="E108" i="8"/>
  <c r="F108" i="8"/>
  <c r="E199" i="8"/>
  <c r="F199" i="8"/>
  <c r="G199" i="8" s="1"/>
  <c r="E201" i="8"/>
  <c r="F201" i="8"/>
  <c r="J216" i="8"/>
  <c r="G216" i="8"/>
  <c r="L216" i="8"/>
  <c r="L97" i="8"/>
  <c r="G97" i="8"/>
  <c r="J101" i="8"/>
  <c r="E101" i="8"/>
  <c r="F218" i="8"/>
  <c r="G218" i="8" s="1"/>
  <c r="E218" i="8"/>
  <c r="G106" i="8"/>
  <c r="G89" i="8"/>
  <c r="L89" i="8"/>
  <c r="L24" i="8"/>
  <c r="G24" i="8"/>
  <c r="G100" i="8"/>
  <c r="L100" i="8"/>
  <c r="G108" i="8"/>
  <c r="L108" i="8"/>
  <c r="O204" i="8" l="1"/>
  <c r="O207" i="8"/>
  <c r="O216" i="8"/>
  <c r="Q216" i="8" s="1"/>
  <c r="O108" i="8"/>
  <c r="O107" i="8"/>
  <c r="O74" i="8"/>
  <c r="O89" i="8"/>
  <c r="O208" i="8"/>
  <c r="Q208" i="8" s="1"/>
  <c r="O206" i="8"/>
  <c r="Q206" i="8" s="1"/>
  <c r="O217" i="8"/>
  <c r="O210" i="8"/>
  <c r="O24" i="8"/>
  <c r="O198" i="8"/>
  <c r="Q198" i="8" s="1"/>
  <c r="O102" i="8"/>
  <c r="O96" i="8"/>
  <c r="O100" i="8"/>
  <c r="O97" i="8"/>
  <c r="L201" i="8"/>
  <c r="G179" i="8"/>
  <c r="L106" i="8"/>
  <c r="L215" i="8"/>
  <c r="J100" i="8"/>
  <c r="G209" i="8"/>
  <c r="E214" i="8"/>
  <c r="G23" i="8"/>
  <c r="E95" i="8"/>
  <c r="L218" i="8"/>
  <c r="F101" i="8"/>
  <c r="L26" i="8"/>
  <c r="G208" i="8"/>
  <c r="E179" i="8"/>
  <c r="G206" i="8"/>
  <c r="F105" i="8"/>
  <c r="P74" i="8"/>
  <c r="P102" i="8"/>
  <c r="P198" i="8"/>
  <c r="F203" i="8"/>
  <c r="L104" i="8"/>
  <c r="E213" i="8"/>
  <c r="P216" i="8"/>
  <c r="P207" i="8"/>
  <c r="P96" i="8"/>
  <c r="G102" i="8"/>
  <c r="F202" i="8"/>
  <c r="P208" i="8"/>
  <c r="D77" i="8"/>
  <c r="P89" i="8"/>
  <c r="E77" i="8"/>
  <c r="L203" i="8"/>
  <c r="E207" i="8"/>
  <c r="L103" i="8"/>
  <c r="J104" i="8"/>
  <c r="E23" i="8"/>
  <c r="G95" i="8"/>
  <c r="G217" i="8"/>
  <c r="J214" i="8"/>
  <c r="E94" i="8"/>
  <c r="F200" i="8"/>
  <c r="P108" i="8"/>
  <c r="L101" i="8"/>
  <c r="G101" i="8"/>
  <c r="G214" i="8"/>
  <c r="L49" i="8"/>
  <c r="E216" i="8"/>
  <c r="J108" i="8"/>
  <c r="L95" i="8"/>
  <c r="L99" i="8"/>
  <c r="J179" i="8"/>
  <c r="J200" i="8"/>
  <c r="L94" i="8"/>
  <c r="J218" i="8"/>
  <c r="G204" i="8"/>
  <c r="L209" i="8"/>
  <c r="F212" i="8"/>
  <c r="F98" i="8"/>
  <c r="G98" i="8" s="1"/>
  <c r="J205" i="8"/>
  <c r="P204" i="8"/>
  <c r="P206" i="8"/>
  <c r="P107" i="8"/>
  <c r="G94" i="8"/>
  <c r="L179" i="8"/>
  <c r="L213" i="8"/>
  <c r="G99" i="8"/>
  <c r="P217" i="8"/>
  <c r="P100" i="8"/>
  <c r="P210" i="8"/>
  <c r="G203" i="8"/>
  <c r="F211" i="8"/>
  <c r="G49" i="8"/>
  <c r="P24" i="8"/>
  <c r="D90" i="8"/>
  <c r="G212" i="8"/>
  <c r="L105" i="8"/>
  <c r="J90" i="8"/>
  <c r="L199" i="8"/>
  <c r="J208" i="8"/>
  <c r="L214" i="8"/>
  <c r="F73" i="8"/>
  <c r="P97" i="8"/>
  <c r="J77" i="8"/>
  <c r="G201" i="8"/>
  <c r="L23" i="8"/>
  <c r="L205" i="8"/>
  <c r="J99" i="8"/>
  <c r="D220" i="8"/>
  <c r="E90" i="8"/>
  <c r="F90" i="8"/>
  <c r="G73" i="8"/>
  <c r="L73" i="8"/>
  <c r="F220" i="8"/>
  <c r="L220" i="8" s="1"/>
  <c r="J220" i="8"/>
  <c r="G90" i="8"/>
  <c r="L90" i="8"/>
  <c r="O94" i="8" l="1"/>
  <c r="O99" i="8"/>
  <c r="Q99" i="8" s="1"/>
  <c r="O95" i="8"/>
  <c r="O49" i="8"/>
  <c r="O215" i="8"/>
  <c r="O106" i="8"/>
  <c r="Q106" i="8" s="1"/>
  <c r="O201" i="8"/>
  <c r="O101" i="8"/>
  <c r="O103" i="8"/>
  <c r="Q103" i="8" s="1"/>
  <c r="O199" i="8"/>
  <c r="Q199" i="8" s="1"/>
  <c r="O26" i="8"/>
  <c r="O218" i="8"/>
  <c r="Q218" i="8" s="1"/>
  <c r="O203" i="8"/>
  <c r="Q203" i="8" s="1"/>
  <c r="O105" i="8"/>
  <c r="O73" i="8"/>
  <c r="O205" i="8"/>
  <c r="Q205" i="8" s="1"/>
  <c r="O213" i="8"/>
  <c r="O104" i="8"/>
  <c r="Q104" i="8" s="1"/>
  <c r="M9" i="8"/>
  <c r="O23" i="8"/>
  <c r="Q23" i="8" s="1"/>
  <c r="M175" i="8"/>
  <c r="O179" i="8"/>
  <c r="Q179" i="8" s="1"/>
  <c r="O214" i="8"/>
  <c r="Q214" i="8" s="1"/>
  <c r="O209" i="8"/>
  <c r="O90" i="8"/>
  <c r="Q90" i="8" s="1"/>
  <c r="O220" i="8"/>
  <c r="Q220" i="8" s="1"/>
  <c r="Q96" i="8"/>
  <c r="Q210" i="8"/>
  <c r="Q213" i="8"/>
  <c r="Q107" i="8"/>
  <c r="Q207" i="8"/>
  <c r="Q97" i="8"/>
  <c r="Q100" i="8"/>
  <c r="Q102" i="8"/>
  <c r="Q24" i="8"/>
  <c r="Q217" i="8"/>
  <c r="Q89" i="8"/>
  <c r="Q74" i="8"/>
  <c r="Q108" i="8"/>
  <c r="Q204" i="8"/>
  <c r="L211" i="8"/>
  <c r="P99" i="8"/>
  <c r="P49" i="8"/>
  <c r="F77" i="8"/>
  <c r="L9" i="8"/>
  <c r="P106" i="8"/>
  <c r="G220" i="8"/>
  <c r="P199" i="8"/>
  <c r="P105" i="8"/>
  <c r="G105" i="8"/>
  <c r="P209" i="8"/>
  <c r="D228" i="8"/>
  <c r="D231" i="8"/>
  <c r="P73" i="8"/>
  <c r="P23" i="8"/>
  <c r="G211" i="8"/>
  <c r="D230" i="8"/>
  <c r="D233" i="8"/>
  <c r="F228" i="8"/>
  <c r="F233" i="8"/>
  <c r="E233" i="8"/>
  <c r="D232" i="8"/>
  <c r="E231" i="8"/>
  <c r="P101" i="8"/>
  <c r="F9" i="8"/>
  <c r="D75" i="8"/>
  <c r="P90" i="8"/>
  <c r="D236" i="8"/>
  <c r="D223" i="8"/>
  <c r="D240" i="8"/>
  <c r="F236" i="8"/>
  <c r="G236" i="8"/>
  <c r="P203" i="8"/>
  <c r="P104" i="8"/>
  <c r="L98" i="8"/>
  <c r="D221" i="8"/>
  <c r="D235" i="8"/>
  <c r="J240" i="8"/>
  <c r="L236" i="8"/>
  <c r="J233" i="8"/>
  <c r="F75" i="8"/>
  <c r="J236" i="8"/>
  <c r="F221" i="8"/>
  <c r="F235" i="8"/>
  <c r="G75" i="8"/>
  <c r="L221" i="8"/>
  <c r="E230" i="8"/>
  <c r="P103" i="8"/>
  <c r="P213" i="8"/>
  <c r="D224" i="8"/>
  <c r="D237" i="8"/>
  <c r="P214" i="8"/>
  <c r="D225" i="8"/>
  <c r="E225" i="8"/>
  <c r="J232" i="8"/>
  <c r="E75" i="8"/>
  <c r="E224" i="8"/>
  <c r="E236" i="8"/>
  <c r="E237" i="8"/>
  <c r="E235" i="8"/>
  <c r="L75" i="8"/>
  <c r="P94" i="8"/>
  <c r="P95" i="8"/>
  <c r="G200" i="8"/>
  <c r="G202" i="8"/>
  <c r="P215" i="8"/>
  <c r="P201" i="8"/>
  <c r="E220" i="8"/>
  <c r="P26" i="8"/>
  <c r="D197" i="8"/>
  <c r="E197" i="8" s="1"/>
  <c r="D175" i="8"/>
  <c r="D238" i="8"/>
  <c r="D222" i="8"/>
  <c r="E228" i="8"/>
  <c r="J231" i="8"/>
  <c r="P205" i="8"/>
  <c r="L202" i="8"/>
  <c r="P220" i="8"/>
  <c r="D239" i="8"/>
  <c r="F239" i="8" s="1"/>
  <c r="D91" i="8"/>
  <c r="D227" i="8"/>
  <c r="J230" i="8"/>
  <c r="E239" i="8"/>
  <c r="F222" i="8"/>
  <c r="L222" i="8" s="1"/>
  <c r="F231" i="8"/>
  <c r="G231" i="8" s="1"/>
  <c r="G233" i="8"/>
  <c r="J197" i="8"/>
  <c r="F91" i="8"/>
  <c r="J227" i="8"/>
  <c r="D234" i="8"/>
  <c r="G228" i="8"/>
  <c r="P218" i="8"/>
  <c r="L212" i="8"/>
  <c r="D229" i="8"/>
  <c r="J228" i="8"/>
  <c r="F238" i="8"/>
  <c r="G238" i="8" s="1"/>
  <c r="E223" i="8"/>
  <c r="F240" i="8"/>
  <c r="L200" i="8"/>
  <c r="P179" i="8"/>
  <c r="D226" i="8"/>
  <c r="J223" i="8"/>
  <c r="E232" i="8"/>
  <c r="E175" i="8"/>
  <c r="L239" i="8"/>
  <c r="J75" i="8"/>
  <c r="J229" i="8"/>
  <c r="L238" i="8"/>
  <c r="J221" i="8"/>
  <c r="J235" i="8"/>
  <c r="L235" i="8"/>
  <c r="L77" i="8"/>
  <c r="J224" i="8"/>
  <c r="F224" i="8"/>
  <c r="J237" i="8"/>
  <c r="F237" i="8"/>
  <c r="F225" i="8"/>
  <c r="L225" i="8" s="1"/>
  <c r="L175" i="8"/>
  <c r="J175" i="8"/>
  <c r="E238" i="8"/>
  <c r="J238" i="8"/>
  <c r="E222" i="8"/>
  <c r="J222" i="8"/>
  <c r="J91" i="8"/>
  <c r="E91" i="8"/>
  <c r="F227" i="8"/>
  <c r="E227" i="8"/>
  <c r="L91" i="8"/>
  <c r="G91" i="8"/>
  <c r="E234" i="8"/>
  <c r="F234" i="8"/>
  <c r="G234" i="8" s="1"/>
  <c r="E229" i="8"/>
  <c r="F229" i="8"/>
  <c r="G240" i="8"/>
  <c r="E226" i="8"/>
  <c r="J226" i="8"/>
  <c r="G224" i="8"/>
  <c r="L237" i="8"/>
  <c r="G237" i="8"/>
  <c r="G227" i="8"/>
  <c r="L227" i="8"/>
  <c r="L229" i="8"/>
  <c r="G229" i="8"/>
  <c r="O77" i="8" l="1"/>
  <c r="O211" i="8"/>
  <c r="Q201" i="8"/>
  <c r="Q95" i="8"/>
  <c r="Q94" i="8"/>
  <c r="Q215" i="8"/>
  <c r="O9" i="8"/>
  <c r="Q9" i="8" s="1"/>
  <c r="Q49" i="8"/>
  <c r="Q101" i="8"/>
  <c r="Q26" i="8"/>
  <c r="O75" i="8"/>
  <c r="Q75" i="8" s="1"/>
  <c r="O175" i="8"/>
  <c r="Q175" i="8" s="1"/>
  <c r="O98" i="8"/>
  <c r="O202" i="8"/>
  <c r="Q202" i="8" s="1"/>
  <c r="O200" i="8"/>
  <c r="M197" i="8"/>
  <c r="Q200" i="8"/>
  <c r="O212" i="8"/>
  <c r="Q73" i="8"/>
  <c r="Q209" i="8"/>
  <c r="Q105" i="8"/>
  <c r="O235" i="8"/>
  <c r="Q235" i="8" s="1"/>
  <c r="O227" i="8"/>
  <c r="O237" i="8"/>
  <c r="O222" i="8"/>
  <c r="Q222" i="8" s="1"/>
  <c r="O225" i="8"/>
  <c r="O91" i="8"/>
  <c r="O229" i="8"/>
  <c r="Q229" i="8" s="1"/>
  <c r="O238" i="8"/>
  <c r="O239" i="8"/>
  <c r="O236" i="8"/>
  <c r="O221" i="8"/>
  <c r="F175" i="8"/>
  <c r="P77" i="8"/>
  <c r="J225" i="8"/>
  <c r="F223" i="8"/>
  <c r="G223" i="8" s="1"/>
  <c r="G77" i="8"/>
  <c r="D79" i="8"/>
  <c r="P9" i="8"/>
  <c r="G235" i="8"/>
  <c r="F226" i="8"/>
  <c r="N9" i="8"/>
  <c r="J234" i="8"/>
  <c r="L228" i="8"/>
  <c r="P75" i="8"/>
  <c r="P200" i="8"/>
  <c r="P229" i="8"/>
  <c r="P91" i="8"/>
  <c r="P202" i="8"/>
  <c r="P237" i="8"/>
  <c r="P236" i="8"/>
  <c r="G221" i="8"/>
  <c r="E221" i="8"/>
  <c r="G175" i="8"/>
  <c r="L231" i="8"/>
  <c r="J239" i="8"/>
  <c r="P235" i="8"/>
  <c r="P239" i="8"/>
  <c r="F79" i="8"/>
  <c r="G79" i="8"/>
  <c r="P211" i="8"/>
  <c r="L234" i="8"/>
  <c r="L233" i="8"/>
  <c r="L197" i="8"/>
  <c r="D76" i="8"/>
  <c r="P175" i="8"/>
  <c r="P212" i="8"/>
  <c r="F197" i="8"/>
  <c r="L226" i="8"/>
  <c r="E76" i="8"/>
  <c r="L79" i="8"/>
  <c r="L224" i="8"/>
  <c r="L240" i="8"/>
  <c r="E240" i="8"/>
  <c r="F232" i="8"/>
  <c r="D78" i="8"/>
  <c r="L223" i="8"/>
  <c r="F230" i="8"/>
  <c r="G230" i="8" s="1"/>
  <c r="P227" i="8"/>
  <c r="P225" i="8"/>
  <c r="P98" i="8"/>
  <c r="P222" i="8"/>
  <c r="P221" i="8"/>
  <c r="G225" i="8"/>
  <c r="G9" i="8"/>
  <c r="G239" i="8"/>
  <c r="G222" i="8"/>
  <c r="P238" i="8"/>
  <c r="D92" i="8"/>
  <c r="J79" i="8"/>
  <c r="E79" i="8"/>
  <c r="J76" i="8"/>
  <c r="F76" i="8"/>
  <c r="L232" i="8"/>
  <c r="E78" i="8"/>
  <c r="J78" i="8"/>
  <c r="F78" i="8"/>
  <c r="E92" i="8"/>
  <c r="J92" i="8"/>
  <c r="F92" i="8"/>
  <c r="G92" i="8" s="1"/>
  <c r="L76" i="8"/>
  <c r="G76" i="8"/>
  <c r="G78" i="8"/>
  <c r="L78" i="8"/>
  <c r="O78" i="8" l="1"/>
  <c r="O232" i="8"/>
  <c r="Q232" i="8" s="1"/>
  <c r="O240" i="8"/>
  <c r="O224" i="8"/>
  <c r="N175" i="8"/>
  <c r="Q211" i="8"/>
  <c r="Q77" i="8"/>
  <c r="O226" i="8"/>
  <c r="O231" i="8"/>
  <c r="Q231" i="8" s="1"/>
  <c r="O228" i="8"/>
  <c r="O233" i="8"/>
  <c r="O223" i="8"/>
  <c r="Q223" i="8" s="1"/>
  <c r="O234" i="8"/>
  <c r="Q234" i="8" s="1"/>
  <c r="O76" i="8"/>
  <c r="Q76" i="8" s="1"/>
  <c r="N197" i="8"/>
  <c r="O197" i="8"/>
  <c r="Q197" i="8" s="1"/>
  <c r="Q98" i="8"/>
  <c r="Q212" i="8"/>
  <c r="O79" i="8"/>
  <c r="Q228" i="8"/>
  <c r="Q78" i="8"/>
  <c r="Q237" i="8"/>
  <c r="Q221" i="8"/>
  <c r="Q226" i="8"/>
  <c r="Q236" i="8"/>
  <c r="Q239" i="8"/>
  <c r="Q238" i="8"/>
  <c r="Q91" i="8"/>
  <c r="Q225" i="8"/>
  <c r="Q227" i="8"/>
  <c r="Q240" i="8"/>
  <c r="P78" i="8"/>
  <c r="P232" i="8"/>
  <c r="P240" i="8"/>
  <c r="G197" i="8"/>
  <c r="P231" i="8"/>
  <c r="P223" i="8"/>
  <c r="P197" i="8"/>
  <c r="P79" i="8"/>
  <c r="D219" i="8"/>
  <c r="P233" i="8"/>
  <c r="P76" i="8"/>
  <c r="D81" i="8"/>
  <c r="F81" i="8"/>
  <c r="J81" i="8"/>
  <c r="E219" i="8"/>
  <c r="G81" i="8"/>
  <c r="J219" i="8"/>
  <c r="D154" i="8"/>
  <c r="G232" i="8"/>
  <c r="P224" i="8"/>
  <c r="P226" i="8"/>
  <c r="P228" i="8"/>
  <c r="P234" i="8"/>
  <c r="D80" i="8"/>
  <c r="L92" i="8"/>
  <c r="L230" i="8"/>
  <c r="G226" i="8"/>
  <c r="D93" i="8"/>
  <c r="F80" i="8"/>
  <c r="G80" i="8"/>
  <c r="E93" i="8"/>
  <c r="J154" i="8"/>
  <c r="F154" i="8"/>
  <c r="E154" i="8"/>
  <c r="J80" i="8"/>
  <c r="E80" i="8"/>
  <c r="J93" i="8"/>
  <c r="L154" i="8"/>
  <c r="G154" i="8"/>
  <c r="O154" i="8" l="1"/>
  <c r="Q224" i="8"/>
  <c r="O230" i="8"/>
  <c r="M219" i="8"/>
  <c r="O92" i="8"/>
  <c r="Q233" i="8"/>
  <c r="Q92" i="8"/>
  <c r="Q79" i="8"/>
  <c r="Q154" i="8"/>
  <c r="P154" i="8"/>
  <c r="D168" i="8"/>
  <c r="D164" i="8"/>
  <c r="D157" i="8"/>
  <c r="D171" i="8"/>
  <c r="D173" i="8"/>
  <c r="D167" i="8"/>
  <c r="D166" i="8"/>
  <c r="D156" i="8"/>
  <c r="D165" i="8"/>
  <c r="D159" i="8"/>
  <c r="F93" i="8"/>
  <c r="D87" i="8"/>
  <c r="L219" i="8"/>
  <c r="D82" i="8"/>
  <c r="E171" i="8"/>
  <c r="P230" i="8"/>
  <c r="J82" i="8"/>
  <c r="J87" i="8"/>
  <c r="D174" i="8"/>
  <c r="D162" i="8"/>
  <c r="D161" i="8"/>
  <c r="D163" i="8"/>
  <c r="D155" i="8"/>
  <c r="L80" i="8"/>
  <c r="E81" i="8"/>
  <c r="P92" i="8"/>
  <c r="E174" i="8"/>
  <c r="F82" i="8"/>
  <c r="G82" i="8" s="1"/>
  <c r="L81" i="8"/>
  <c r="E82" i="8"/>
  <c r="L82" i="8"/>
  <c r="D172" i="8"/>
  <c r="D170" i="8"/>
  <c r="D169" i="8"/>
  <c r="D160" i="8"/>
  <c r="D158" i="8"/>
  <c r="J165" i="8"/>
  <c r="J167" i="8"/>
  <c r="D83" i="8"/>
  <c r="J168" i="8"/>
  <c r="F168" i="8"/>
  <c r="E168" i="8"/>
  <c r="E164" i="8"/>
  <c r="F164" i="8"/>
  <c r="J164" i="8"/>
  <c r="F157" i="8"/>
  <c r="E157" i="8"/>
  <c r="J157" i="8"/>
  <c r="F171" i="8"/>
  <c r="J171" i="8"/>
  <c r="J173" i="8"/>
  <c r="F173" i="8"/>
  <c r="E173" i="8"/>
  <c r="F167" i="8"/>
  <c r="E167" i="8"/>
  <c r="E166" i="8"/>
  <c r="J166" i="8"/>
  <c r="E156" i="8"/>
  <c r="F156" i="8"/>
  <c r="J156" i="8"/>
  <c r="F165" i="8"/>
  <c r="E165" i="8"/>
  <c r="F159" i="8"/>
  <c r="J159" i="8"/>
  <c r="E159" i="8"/>
  <c r="L93" i="8"/>
  <c r="J174" i="8"/>
  <c r="F174" i="8"/>
  <c r="J162" i="8"/>
  <c r="E162" i="8"/>
  <c r="F162" i="8"/>
  <c r="J161" i="8"/>
  <c r="E161" i="8"/>
  <c r="F161" i="8"/>
  <c r="F163" i="8"/>
  <c r="J163" i="8"/>
  <c r="E163" i="8"/>
  <c r="J155" i="8"/>
  <c r="F155" i="8"/>
  <c r="E155" i="8"/>
  <c r="J172" i="8"/>
  <c r="E172" i="8"/>
  <c r="F172" i="8"/>
  <c r="F170" i="8"/>
  <c r="J170" i="8"/>
  <c r="F169" i="8"/>
  <c r="J169" i="8"/>
  <c r="E169" i="8"/>
  <c r="E160" i="8"/>
  <c r="J160" i="8"/>
  <c r="F160" i="8"/>
  <c r="E158" i="8"/>
  <c r="J158" i="8"/>
  <c r="F158" i="8"/>
  <c r="E83" i="8"/>
  <c r="J83" i="8"/>
  <c r="F83" i="8"/>
  <c r="L168" i="8"/>
  <c r="G168" i="8"/>
  <c r="G164" i="8"/>
  <c r="L164" i="8"/>
  <c r="G157" i="8"/>
  <c r="L157" i="8"/>
  <c r="G171" i="8"/>
  <c r="L171" i="8"/>
  <c r="G173" i="8"/>
  <c r="G167" i="8"/>
  <c r="L167" i="8"/>
  <c r="L156" i="8"/>
  <c r="G156" i="8"/>
  <c r="L165" i="8"/>
  <c r="G165" i="8"/>
  <c r="L159" i="8"/>
  <c r="G159" i="8"/>
  <c r="G174" i="8"/>
  <c r="L174" i="8"/>
  <c r="L162" i="8"/>
  <c r="L161" i="8"/>
  <c r="G161" i="8"/>
  <c r="L163" i="8"/>
  <c r="G163" i="8"/>
  <c r="G155" i="8"/>
  <c r="L155" i="8"/>
  <c r="G172" i="8"/>
  <c r="G170" i="8"/>
  <c r="L169" i="8"/>
  <c r="G169" i="8"/>
  <c r="L160" i="8"/>
  <c r="L158" i="8"/>
  <c r="G158" i="8"/>
  <c r="G83" i="8"/>
  <c r="L83" i="8"/>
  <c r="O160" i="8" l="1"/>
  <c r="O155" i="8"/>
  <c r="O163" i="8"/>
  <c r="Q163" i="8" s="1"/>
  <c r="O161" i="8"/>
  <c r="O162" i="8"/>
  <c r="Q162" i="8" s="1"/>
  <c r="O174" i="8"/>
  <c r="O159" i="8"/>
  <c r="O156" i="8"/>
  <c r="Q156" i="8" s="1"/>
  <c r="O167" i="8"/>
  <c r="Q167" i="8" s="1"/>
  <c r="O171" i="8"/>
  <c r="O157" i="8"/>
  <c r="O164" i="8"/>
  <c r="O168" i="8"/>
  <c r="O93" i="8"/>
  <c r="Q93" i="8" s="1"/>
  <c r="M87" i="8"/>
  <c r="O80" i="8"/>
  <c r="O169" i="8"/>
  <c r="Q169" i="8" s="1"/>
  <c r="O81" i="8"/>
  <c r="O165" i="8"/>
  <c r="O158" i="8"/>
  <c r="Q158" i="8" s="1"/>
  <c r="O219" i="8"/>
  <c r="Q230" i="8"/>
  <c r="O82" i="8"/>
  <c r="Q82" i="8" s="1"/>
  <c r="O83" i="8"/>
  <c r="Q160" i="8"/>
  <c r="Q159" i="8"/>
  <c r="Q165" i="8"/>
  <c r="Q168" i="8"/>
  <c r="P160" i="8"/>
  <c r="P163" i="8"/>
  <c r="P162" i="8"/>
  <c r="P159" i="8"/>
  <c r="P167" i="8"/>
  <c r="P157" i="8"/>
  <c r="P168" i="8"/>
  <c r="L170" i="8"/>
  <c r="D40" i="8"/>
  <c r="P93" i="8"/>
  <c r="L173" i="8"/>
  <c r="P80" i="8"/>
  <c r="E87" i="8"/>
  <c r="F166" i="8"/>
  <c r="P165" i="8"/>
  <c r="P81" i="8"/>
  <c r="P219" i="8"/>
  <c r="D85" i="8"/>
  <c r="E85" i="8"/>
  <c r="P155" i="8"/>
  <c r="P161" i="8"/>
  <c r="P174" i="8"/>
  <c r="P156" i="8"/>
  <c r="P171" i="8"/>
  <c r="P164" i="8"/>
  <c r="G160" i="8"/>
  <c r="L172" i="8"/>
  <c r="G162" i="8"/>
  <c r="E170" i="8"/>
  <c r="F219" i="8"/>
  <c r="G93" i="8"/>
  <c r="P169" i="8"/>
  <c r="P82" i="8"/>
  <c r="P83" i="8"/>
  <c r="D84" i="8"/>
  <c r="F84" i="8" s="1"/>
  <c r="G84" i="8" s="1"/>
  <c r="G219" i="8"/>
  <c r="P158" i="8"/>
  <c r="J84" i="8"/>
  <c r="J85" i="8"/>
  <c r="F85" i="8"/>
  <c r="G85" i="8" s="1"/>
  <c r="L84" i="8"/>
  <c r="L85" i="8"/>
  <c r="F40" i="8"/>
  <c r="E40" i="8"/>
  <c r="J40" i="8"/>
  <c r="G166" i="8"/>
  <c r="L40" i="8"/>
  <c r="G40" i="8"/>
  <c r="O40" i="8" l="1"/>
  <c r="M31" i="8"/>
  <c r="N219" i="8"/>
  <c r="O172" i="8"/>
  <c r="O173" i="8"/>
  <c r="O170" i="8"/>
  <c r="Q164" i="8"/>
  <c r="Q174" i="8"/>
  <c r="Q161" i="8"/>
  <c r="Q155" i="8"/>
  <c r="Q171" i="8"/>
  <c r="Q80" i="8"/>
  <c r="Q157" i="8"/>
  <c r="Q219" i="8"/>
  <c r="Q81" i="8"/>
  <c r="O84" i="8"/>
  <c r="O85" i="8"/>
  <c r="Q85" i="8" s="1"/>
  <c r="Q83" i="8"/>
  <c r="L87" i="8"/>
  <c r="D153" i="8"/>
  <c r="L166" i="8"/>
  <c r="P84" i="8"/>
  <c r="P85" i="8"/>
  <c r="D86" i="8"/>
  <c r="E86" i="8"/>
  <c r="D31" i="8"/>
  <c r="P172" i="8"/>
  <c r="L153" i="8"/>
  <c r="F153" i="8" s="1"/>
  <c r="P173" i="8"/>
  <c r="P170" i="8"/>
  <c r="E84" i="8"/>
  <c r="F86" i="8"/>
  <c r="P40" i="8"/>
  <c r="G86" i="8"/>
  <c r="F87" i="8"/>
  <c r="J153" i="8"/>
  <c r="E153" i="8"/>
  <c r="L31" i="8"/>
  <c r="E31" i="8"/>
  <c r="J31" i="8"/>
  <c r="G87" i="8"/>
  <c r="F31" i="8"/>
  <c r="O31" i="8" l="1"/>
  <c r="O166" i="8"/>
  <c r="M153" i="8"/>
  <c r="O153" i="8" s="1"/>
  <c r="Q166" i="8"/>
  <c r="O87" i="8"/>
  <c r="Q40" i="8"/>
  <c r="Q170" i="8"/>
  <c r="Q173" i="8"/>
  <c r="Q172" i="8"/>
  <c r="Q31" i="8"/>
  <c r="Q84" i="8"/>
  <c r="P31" i="8"/>
  <c r="G153" i="8"/>
  <c r="P166" i="8"/>
  <c r="G31" i="8"/>
  <c r="J86" i="8"/>
  <c r="N87" i="8"/>
  <c r="N153" i="8"/>
  <c r="P153" i="8"/>
  <c r="P87" i="8"/>
  <c r="L86" i="8"/>
  <c r="D53" i="8"/>
  <c r="E53" i="8"/>
  <c r="N31" i="8"/>
  <c r="S5" i="8"/>
  <c r="T5" i="8" s="1"/>
  <c r="U5" i="8" s="1"/>
  <c r="L53" i="8"/>
  <c r="F53" i="8" s="1"/>
  <c r="J53" i="8"/>
  <c r="Q153" i="8" l="1"/>
  <c r="Q87" i="8"/>
  <c r="O86" i="8"/>
  <c r="M53" i="8"/>
  <c r="O53" i="8" s="1"/>
  <c r="U4" i="8"/>
  <c r="T4" i="8"/>
  <c r="S4" i="8"/>
  <c r="Q86" i="8"/>
  <c r="G53" i="8"/>
  <c r="P86" i="8"/>
  <c r="N53" i="8"/>
  <c r="P53" i="8"/>
  <c r="S6" i="8"/>
  <c r="V5" i="8"/>
  <c r="M8" i="8" l="1"/>
  <c r="V4" i="8"/>
  <c r="Q53" i="8"/>
  <c r="O8" i="8"/>
  <c r="L8" i="8"/>
  <c r="F8" i="8"/>
  <c r="P8" i="8"/>
  <c r="W5" i="8"/>
  <c r="F13" i="10" l="1"/>
  <c r="B14" i="10"/>
  <c r="F14" i="10"/>
  <c r="W4" i="8"/>
  <c r="Q8" i="8"/>
  <c r="G8" i="8"/>
  <c r="N8" i="8"/>
  <c r="X5" i="8"/>
  <c r="D14" i="10" l="1"/>
  <c r="X4" i="8"/>
  <c r="X6" i="8"/>
  <c r="Y5" i="8"/>
  <c r="Y4" i="8" l="1"/>
  <c r="Z5" i="8"/>
  <c r="Z4" i="8" l="1"/>
  <c r="AA5" i="8"/>
  <c r="AA4" i="8" l="1"/>
  <c r="AB5" i="8"/>
  <c r="AC5" i="8" s="1"/>
  <c r="AD5" i="8"/>
  <c r="AC6" i="8"/>
  <c r="AE5" i="8"/>
  <c r="AF5" i="8"/>
  <c r="AG5" i="8"/>
  <c r="AH5" i="8"/>
  <c r="AH6" i="8"/>
  <c r="AI5" i="8"/>
  <c r="AJ5" i="8"/>
  <c r="AK5" i="8"/>
  <c r="AL5" i="8"/>
  <c r="AM5" i="8"/>
  <c r="AN5" i="8"/>
  <c r="AM6" i="8"/>
  <c r="AO5" i="8"/>
  <c r="AP5" i="8"/>
  <c r="AQ5" i="8"/>
  <c r="AR5" i="8"/>
  <c r="AR6" i="8"/>
  <c r="AS5" i="8"/>
  <c r="AT5" i="8"/>
  <c r="AU5" i="8"/>
  <c r="AV5" i="8"/>
  <c r="AW5" i="8"/>
  <c r="AX5" i="8"/>
  <c r="AW6" i="8"/>
  <c r="AY5" i="8"/>
  <c r="AZ5" i="8"/>
  <c r="BA5" i="8"/>
  <c r="BB5" i="8"/>
  <c r="BB6" i="8"/>
  <c r="BC5" i="8"/>
  <c r="BD5" i="8"/>
  <c r="BE5" i="8"/>
  <c r="BF5" i="8"/>
  <c r="BG5" i="8"/>
  <c r="BH5" i="8"/>
  <c r="BG6" i="8"/>
  <c r="BI5" i="8"/>
  <c r="BJ5" i="8"/>
  <c r="BK5" i="8"/>
  <c r="BL5" i="8"/>
  <c r="BL6" i="8"/>
  <c r="BM5" i="8"/>
  <c r="BN5" i="8"/>
  <c r="BO5" i="8"/>
  <c r="BP5" i="8"/>
  <c r="BQ5" i="8"/>
  <c r="BR5" i="8"/>
  <c r="BQ6" i="8"/>
  <c r="BS5" i="8"/>
  <c r="BT5" i="8"/>
  <c r="BU5" i="8"/>
  <c r="BV5" i="8"/>
  <c r="BV6" i="8"/>
  <c r="BW5" i="8"/>
  <c r="BX5" i="8"/>
  <c r="BY5" i="8"/>
  <c r="BZ5" i="8"/>
  <c r="CA5" i="8"/>
  <c r="CA6" i="8"/>
  <c r="CB5" i="8"/>
  <c r="CC5" i="8"/>
  <c r="CD5" i="8"/>
  <c r="CE5" i="8"/>
  <c r="CF5" i="8"/>
  <c r="CF6" i="8"/>
  <c r="CG5" i="8"/>
  <c r="CH5" i="8"/>
  <c r="CI5" i="8"/>
  <c r="CJ5" i="8"/>
  <c r="CK5" i="8"/>
  <c r="CK6" i="8"/>
  <c r="CL5" i="8"/>
  <c r="CM5" i="8"/>
  <c r="CN5" i="8"/>
  <c r="CO5" i="8"/>
  <c r="CP5" i="8"/>
  <c r="CQ5" i="8"/>
  <c r="CP6" i="8"/>
  <c r="CR5" i="8"/>
  <c r="CS5" i="8"/>
  <c r="CT5" i="8"/>
  <c r="CU5" i="8"/>
  <c r="CU6" i="8"/>
  <c r="CV5" i="8"/>
  <c r="CW5" i="8"/>
  <c r="CX5" i="8"/>
  <c r="CY5" i="8"/>
  <c r="CZ5" i="8"/>
  <c r="CZ6" i="8"/>
  <c r="DA5" i="8"/>
  <c r="DB5" i="8"/>
  <c r="DC5" i="8"/>
  <c r="DD5" i="8"/>
  <c r="DE5" i="8"/>
  <c r="DF5" i="8"/>
  <c r="DE6" i="8"/>
  <c r="DG5" i="8"/>
  <c r="DH5" i="8"/>
  <c r="DI5" i="8"/>
  <c r="DJ5" i="8"/>
  <c r="DJ6" i="8"/>
  <c r="DK5" i="8"/>
  <c r="DL5" i="8"/>
  <c r="DM5" i="8"/>
  <c r="DN5" i="8"/>
  <c r="DO5" i="8"/>
  <c r="DP5" i="8"/>
  <c r="DO6" i="8"/>
  <c r="DQ5" i="8"/>
  <c r="DR5" i="8"/>
  <c r="DS5" i="8"/>
  <c r="DT5" i="8"/>
  <c r="DT6" i="8"/>
  <c r="DU5" i="8"/>
  <c r="DV5" i="8"/>
  <c r="DW5" i="8"/>
  <c r="DX5" i="8"/>
  <c r="DY5" i="8"/>
  <c r="DY6" i="8"/>
  <c r="DZ5" i="8"/>
  <c r="EA5" i="8"/>
  <c r="EB5" i="8"/>
  <c r="EC5" i="8"/>
  <c r="ED5" i="8"/>
  <c r="ED6" i="8"/>
  <c r="EE5" i="8"/>
  <c r="EF5" i="8"/>
  <c r="EG5" i="8"/>
  <c r="EH5" i="8"/>
  <c r="EI5" i="8"/>
  <c r="EJ5" i="8"/>
  <c r="EI6" i="8"/>
  <c r="EK5" i="8"/>
  <c r="EL5" i="8"/>
  <c r="EM5" i="8"/>
  <c r="EN5" i="8"/>
  <c r="EO5" i="8"/>
  <c r="EN6" i="8"/>
  <c r="EP5" i="8"/>
  <c r="EQ5" i="8"/>
  <c r="ER5" i="8"/>
  <c r="ES5" i="8"/>
  <c r="ES6" i="8"/>
  <c r="ET5" i="8"/>
  <c r="EU5" i="8"/>
  <c r="EV5" i="8"/>
  <c r="EW5" i="8"/>
  <c r="EX5" i="8"/>
  <c r="EX6" i="8"/>
  <c r="EY5" i="8"/>
  <c r="EZ5" i="8"/>
  <c r="FA5" i="8"/>
  <c r="FB5" i="8"/>
  <c r="FC5" i="8"/>
  <c r="FC6" i="8"/>
  <c r="FD5" i="8"/>
  <c r="FE5" i="8"/>
  <c r="FF5" i="8"/>
  <c r="FG5" i="8"/>
  <c r="FH5" i="8"/>
  <c r="FI5" i="8"/>
  <c r="FH6" i="8"/>
  <c r="FJ5" i="8"/>
  <c r="FK5" i="8"/>
  <c r="FL5" i="8"/>
  <c r="FM5" i="8"/>
  <c r="FM6" i="8"/>
  <c r="FN5" i="8"/>
  <c r="FO5" i="8"/>
  <c r="FP5" i="8"/>
  <c r="FQ5" i="8"/>
  <c r="FR5" i="8"/>
  <c r="FS5" i="8"/>
  <c r="FR6" i="8"/>
  <c r="FT5" i="8"/>
  <c r="FU5" i="8"/>
  <c r="FV5" i="8"/>
  <c r="FW5" i="8"/>
  <c r="FX5" i="8"/>
  <c r="FW6" i="8"/>
  <c r="FY5" i="8"/>
  <c r="FZ5" i="8"/>
  <c r="GA5" i="8"/>
  <c r="GB5" i="8"/>
  <c r="GB6" i="8"/>
  <c r="GC5" i="8"/>
  <c r="GD5" i="8"/>
  <c r="GE5" i="8"/>
  <c r="GF5" i="8"/>
  <c r="GG5" i="8"/>
  <c r="GH5" i="8"/>
  <c r="GG6" i="8"/>
  <c r="GI5" i="8"/>
  <c r="GJ5" i="8"/>
  <c r="GK5" i="8"/>
  <c r="GL5" i="8"/>
  <c r="GL6" i="8"/>
  <c r="GM5" i="8"/>
  <c r="GN5" i="8"/>
  <c r="GO5" i="8"/>
  <c r="GP5" i="8"/>
  <c r="GQ5" i="8"/>
  <c r="GR5" i="8"/>
  <c r="GQ6" i="8"/>
  <c r="GS5" i="8"/>
  <c r="GT5" i="8"/>
  <c r="GU5" i="8"/>
  <c r="GV5" i="8"/>
  <c r="GV6" i="8"/>
  <c r="GW5" i="8"/>
  <c r="GX5" i="8"/>
  <c r="GY5" i="8"/>
  <c r="GZ5" i="8"/>
  <c r="HA5" i="8"/>
  <c r="HB5" i="8"/>
  <c r="HA6" i="8"/>
  <c r="HC5" i="8"/>
  <c r="HD5" i="8"/>
  <c r="HE5" i="8"/>
  <c r="HF5" i="8"/>
  <c r="HF6" i="8"/>
  <c r="HG5" i="8"/>
  <c r="HH5" i="8"/>
  <c r="HI5" i="8"/>
  <c r="HJ5" i="8"/>
  <c r="HK5" i="8"/>
  <c r="HL5" i="8"/>
  <c r="HK6" i="8"/>
  <c r="HM5" i="8"/>
  <c r="HN5" i="8"/>
  <c r="HO5" i="8"/>
  <c r="HP5" i="8"/>
  <c r="HP6" i="8"/>
  <c r="HQ5" i="8"/>
  <c r="HR5" i="8"/>
  <c r="HS5" i="8"/>
  <c r="HT5" i="8"/>
  <c r="HU5" i="8"/>
  <c r="HU6" i="8"/>
  <c r="HV5" i="8"/>
  <c r="HW5" i="8"/>
  <c r="HX5" i="8"/>
  <c r="HY5" i="8"/>
  <c r="HZ5" i="8"/>
  <c r="HZ6" i="8"/>
  <c r="IA5" i="8"/>
  <c r="IB5" i="8"/>
  <c r="IC5" i="8"/>
  <c r="ID5" i="8"/>
  <c r="IE5" i="8"/>
  <c r="IE6" i="8"/>
  <c r="IF5" i="8"/>
  <c r="IG5" i="8"/>
  <c r="IH5" i="8"/>
  <c r="II5" i="8"/>
  <c r="IJ5" i="8"/>
  <c r="IK5" i="8"/>
  <c r="IJ6" i="8"/>
  <c r="IL5" i="8"/>
  <c r="IM5" i="8"/>
  <c r="IN5" i="8"/>
  <c r="IO5" i="8"/>
  <c r="IP5" i="8"/>
  <c r="IO6" i="8"/>
  <c r="IQ5" i="8"/>
  <c r="IR5" i="8"/>
  <c r="IS5" i="8"/>
  <c r="IT5" i="8"/>
  <c r="IU5" i="8"/>
  <c r="IT6" i="8"/>
  <c r="IV5" i="8"/>
  <c r="IW5" i="8"/>
  <c r="IW4" i="8" l="1"/>
  <c r="IX5" i="8"/>
  <c r="IV4" i="8"/>
  <c r="C5" i="8"/>
  <c r="IU4" i="8"/>
  <c r="IT4" i="8"/>
  <c r="IS4" i="8"/>
  <c r="IR4" i="8"/>
  <c r="IQ4" i="8"/>
  <c r="IP4" i="8"/>
  <c r="IO4" i="8"/>
  <c r="IN4" i="8"/>
  <c r="IM4" i="8"/>
  <c r="IL4" i="8"/>
  <c r="IK4" i="8"/>
  <c r="IJ4" i="8"/>
  <c r="II4" i="8"/>
  <c r="IH4" i="8"/>
  <c r="IG4" i="8"/>
  <c r="IF4" i="8"/>
  <c r="IE4" i="8"/>
  <c r="ID4" i="8"/>
  <c r="IC4" i="8"/>
  <c r="IB4" i="8"/>
  <c r="IA4" i="8"/>
  <c r="HZ4" i="8"/>
  <c r="HY4" i="8"/>
  <c r="HX4" i="8"/>
  <c r="HW4" i="8"/>
  <c r="HV4" i="8"/>
  <c r="HU4" i="8"/>
  <c r="HT4" i="8"/>
  <c r="HS4" i="8"/>
  <c r="HR4" i="8"/>
  <c r="HQ4" i="8"/>
  <c r="HP4" i="8"/>
  <c r="HO4" i="8"/>
  <c r="HN4" i="8"/>
  <c r="HM4" i="8"/>
  <c r="HL4" i="8"/>
  <c r="HK4" i="8"/>
  <c r="HJ4" i="8"/>
  <c r="HI4" i="8"/>
  <c r="HH4" i="8"/>
  <c r="HG4" i="8"/>
  <c r="HF4" i="8"/>
  <c r="HE4" i="8"/>
  <c r="HD4" i="8"/>
  <c r="HC4" i="8"/>
  <c r="HB4" i="8"/>
  <c r="HA4" i="8"/>
  <c r="GZ4" i="8"/>
  <c r="GY4" i="8"/>
  <c r="GX4" i="8"/>
  <c r="GW4" i="8"/>
  <c r="GV4" i="8"/>
  <c r="GU4" i="8"/>
  <c r="GT4" i="8"/>
  <c r="GS4" i="8"/>
  <c r="GR4" i="8"/>
  <c r="GQ4" i="8"/>
  <c r="GP4" i="8"/>
  <c r="GO4" i="8"/>
  <c r="GN4" i="8"/>
  <c r="GM4" i="8"/>
  <c r="GL4" i="8"/>
  <c r="GK4" i="8"/>
  <c r="GJ4" i="8"/>
  <c r="GI4" i="8"/>
  <c r="GH4" i="8"/>
  <c r="GG4" i="8"/>
  <c r="GF4" i="8"/>
  <c r="GE4" i="8"/>
  <c r="GD4" i="8"/>
  <c r="GC4" i="8"/>
  <c r="GB4" i="8"/>
  <c r="GA4" i="8"/>
  <c r="FZ4" i="8"/>
  <c r="FY4" i="8"/>
  <c r="FX4" i="8"/>
  <c r="FW4" i="8"/>
  <c r="FV4" i="8"/>
  <c r="FU4" i="8"/>
  <c r="FT4" i="8"/>
  <c r="FS4" i="8"/>
  <c r="FR4" i="8"/>
  <c r="FQ4" i="8"/>
  <c r="FP4" i="8"/>
  <c r="FO4" i="8"/>
  <c r="FN4" i="8"/>
  <c r="FM4" i="8"/>
  <c r="FL4" i="8"/>
  <c r="FK4" i="8"/>
  <c r="FJ4" i="8"/>
  <c r="FI4" i="8"/>
  <c r="FH4" i="8"/>
  <c r="FG4" i="8"/>
  <c r="FF4" i="8"/>
  <c r="FE4" i="8"/>
  <c r="FD4" i="8"/>
  <c r="FC4" i="8"/>
  <c r="FB4" i="8"/>
  <c r="FA4" i="8"/>
  <c r="EZ4" i="8"/>
  <c r="EY4" i="8"/>
  <c r="EX4" i="8"/>
  <c r="EW4" i="8"/>
  <c r="EV4" i="8"/>
  <c r="EU4" i="8"/>
  <c r="ET4" i="8"/>
  <c r="ES4" i="8"/>
  <c r="ER4" i="8"/>
  <c r="EQ4" i="8"/>
  <c r="EP4" i="8"/>
  <c r="EO4" i="8"/>
  <c r="EN4" i="8"/>
  <c r="EM4" i="8"/>
  <c r="EL4" i="8"/>
  <c r="EK4" i="8"/>
  <c r="EJ4" i="8"/>
  <c r="EI4" i="8"/>
  <c r="EH4" i="8"/>
  <c r="EG4" i="8"/>
  <c r="EF4" i="8"/>
  <c r="EE4" i="8"/>
  <c r="ED4" i="8"/>
  <c r="EC4" i="8"/>
  <c r="EB4" i="8"/>
  <c r="EA4" i="8"/>
  <c r="DZ4" i="8"/>
  <c r="DY4" i="8"/>
  <c r="DX4" i="8"/>
  <c r="DW4" i="8"/>
  <c r="DV4" i="8"/>
  <c r="DU4" i="8"/>
  <c r="DT4" i="8"/>
  <c r="DS4" i="8"/>
  <c r="DR4" i="8"/>
  <c r="DQ4" i="8"/>
  <c r="DP4" i="8"/>
  <c r="DO4" i="8"/>
  <c r="DN4" i="8"/>
  <c r="DM4" i="8"/>
  <c r="DL4" i="8"/>
  <c r="DK4" i="8"/>
  <c r="DJ4" i="8"/>
  <c r="DI4" i="8"/>
  <c r="DH4" i="8"/>
  <c r="DG4" i="8"/>
  <c r="DF4" i="8"/>
  <c r="DE4" i="8"/>
  <c r="DD4" i="8"/>
  <c r="DC4" i="8"/>
  <c r="DB4" i="8"/>
  <c r="DA4" i="8"/>
  <c r="CZ4" i="8"/>
  <c r="CY4" i="8"/>
  <c r="CX4" i="8"/>
  <c r="CW4" i="8"/>
  <c r="CV4" i="8"/>
  <c r="CU4" i="8"/>
  <c r="CT4" i="8"/>
  <c r="CS4" i="8"/>
  <c r="CR4" i="8"/>
  <c r="CQ4" i="8"/>
  <c r="CP4" i="8"/>
  <c r="CO4" i="8"/>
  <c r="CN4" i="8"/>
  <c r="CM4" i="8"/>
  <c r="CL4" i="8"/>
  <c r="CK4" i="8"/>
  <c r="CJ4" i="8"/>
  <c r="CI4" i="8"/>
  <c r="CH4" i="8"/>
  <c r="CG4" i="8"/>
  <c r="CF4" i="8"/>
  <c r="CE4" i="8"/>
  <c r="CD4" i="8"/>
  <c r="CC4" i="8"/>
  <c r="CB4" i="8"/>
  <c r="CA4" i="8"/>
  <c r="BZ4" i="8"/>
  <c r="BY4" i="8"/>
  <c r="BX4" i="8"/>
  <c r="BW4" i="8"/>
  <c r="BV4" i="8"/>
  <c r="BU4" i="8"/>
  <c r="BT4" i="8"/>
  <c r="BS4" i="8"/>
  <c r="BR4" i="8"/>
  <c r="BQ4" i="8"/>
  <c r="BP4" i="8"/>
  <c r="BO4" i="8"/>
  <c r="BN4" i="8"/>
  <c r="BM4" i="8"/>
  <c r="BL4" i="8"/>
  <c r="BK4" i="8"/>
  <c r="BJ4" i="8"/>
  <c r="BI4" i="8"/>
  <c r="BH4" i="8"/>
  <c r="BG4" i="8"/>
  <c r="BF4" i="8"/>
  <c r="BE4" i="8"/>
  <c r="BD4" i="8"/>
  <c r="BC4" i="8"/>
  <c r="BB4" i="8"/>
  <c r="BA4" i="8"/>
  <c r="AZ4" i="8"/>
  <c r="AY4" i="8"/>
  <c r="AX4" i="8"/>
  <c r="AW4" i="8"/>
  <c r="AV4" i="8"/>
  <c r="AU4" i="8"/>
  <c r="AT4" i="8"/>
  <c r="AS4" i="8"/>
  <c r="AR4" i="8"/>
  <c r="AQ4" i="8"/>
  <c r="AP4" i="8"/>
  <c r="AO4" i="8"/>
  <c r="AN4" i="8"/>
  <c r="AM4" i="8"/>
  <c r="AL4" i="8"/>
  <c r="AK4" i="8"/>
  <c r="AJ4" i="8"/>
  <c r="AI4" i="8"/>
  <c r="AH4" i="8"/>
  <c r="AG4" i="8"/>
  <c r="AF4" i="8"/>
  <c r="AE4" i="8"/>
  <c r="AD4" i="8"/>
  <c r="AC4" i="8"/>
  <c r="AB4" i="8"/>
</calcChain>
</file>

<file path=xl/sharedStrings.xml><?xml version="1.0" encoding="utf-8"?>
<sst xmlns="http://schemas.openxmlformats.org/spreadsheetml/2006/main" count="249" uniqueCount="173">
  <si>
    <t>WBS</t>
  </si>
  <si>
    <t>شروع</t>
  </si>
  <si>
    <t>پایان</t>
  </si>
  <si>
    <t>مدت دوره (روز)</t>
  </si>
  <si>
    <t>% تکمیل</t>
  </si>
  <si>
    <t>روزهای کاری</t>
  </si>
  <si>
    <t>روزهای مانده</t>
  </si>
  <si>
    <t>مدیر پروژه</t>
  </si>
  <si>
    <t>وظیفه</t>
  </si>
  <si>
    <t>شخص</t>
  </si>
  <si>
    <t>میزان کار انجام شده (روز)</t>
  </si>
  <si>
    <t>مناسبت</t>
  </si>
  <si>
    <t>عید نوروز</t>
  </si>
  <si>
    <t>روز جمهوري اسلامي ايران</t>
  </si>
  <si>
    <t>جشن سيزده بدر</t>
  </si>
  <si>
    <t>شهادت حضرت فاطمه زهرا سلام الله عليها </t>
  </si>
  <si>
    <t>ولادت امام علي عليه السلام</t>
  </si>
  <si>
    <t>رحلت حضرت امام خميني</t>
  </si>
  <si>
    <t>قيام 15 خرداد</t>
  </si>
  <si>
    <t>مبعث رسول اكرم </t>
  </si>
  <si>
    <t>ولادت حضرت قائم عجل الله تعالي فرجه و جشن نيمه شعبان </t>
  </si>
  <si>
    <t>شهادت حضرت علي عليه السلام</t>
  </si>
  <si>
    <t>تعطيل به مناسبت عيد سعيد فطر</t>
  </si>
  <si>
    <t>شهادت امام جعفر صادق عليه السلام</t>
  </si>
  <si>
    <t>عيد سعيد قربان</t>
  </si>
  <si>
    <t>عيد سعيد غدير خم</t>
  </si>
  <si>
    <t>تاسوعاي حسيني</t>
  </si>
  <si>
    <t>عاشوراي حسيني</t>
  </si>
  <si>
    <t>اربعين حسيني</t>
  </si>
  <si>
    <t>رحلت رسول اكرم؛شهادت امام حسن مجتبي عليه السلام</t>
  </si>
  <si>
    <t>شهادت امام رضا عليه السلام </t>
  </si>
  <si>
    <t>ميلاد رسول اكرم و امام جعفر صادق عليه السلام</t>
  </si>
  <si>
    <t>پيروزي انقلاب اسلامي</t>
  </si>
  <si>
    <t>روز ملي شدن صنعت نفت ايران</t>
  </si>
  <si>
    <t>date</t>
  </si>
  <si>
    <t>ok</t>
  </si>
  <si>
    <t>Friday</t>
  </si>
  <si>
    <t>month</t>
  </si>
  <si>
    <t>year</t>
  </si>
  <si>
    <t>0</t>
  </si>
  <si>
    <t>روز شروع فعالیت(روز هفته)</t>
  </si>
  <si>
    <t>تعداد روز بعد از فعالیت</t>
  </si>
  <si>
    <t>پیش نیاز فعالیت</t>
  </si>
  <si>
    <t>میزان ساعت مورد نیاز</t>
  </si>
  <si>
    <t>میزان روزهای پیشرفت کار</t>
  </si>
  <si>
    <t>نوع تخصص</t>
  </si>
  <si>
    <t>کد تخصص</t>
  </si>
  <si>
    <t>هزینه نفر ساعت</t>
  </si>
  <si>
    <t>مدیریت پروژه</t>
  </si>
  <si>
    <t>کارشناس ارشد تحلیل</t>
  </si>
  <si>
    <t>کارشناس توسعه و پیاده سازی</t>
  </si>
  <si>
    <t>مجموع</t>
  </si>
  <si>
    <t>گزارش هزینه پروژه</t>
  </si>
  <si>
    <t>نفر / ساعت</t>
  </si>
  <si>
    <t>نفر / ماه</t>
  </si>
  <si>
    <t>کارشناس ارشد تحلیل و طراحی</t>
  </si>
  <si>
    <t>کارشناس پیاده سازی و توسعه سرویس</t>
  </si>
  <si>
    <t>شروع پروژه</t>
  </si>
  <si>
    <t>خاتمه پروژه</t>
  </si>
  <si>
    <t>مدت پروژه</t>
  </si>
  <si>
    <t>تعداد روز کاری</t>
  </si>
  <si>
    <t xml:space="preserve">طی </t>
  </si>
  <si>
    <t>هزینه نفر ماه (ماه * 128)</t>
  </si>
  <si>
    <t>میزان نفر روز (هر روز 6 ساعت)</t>
  </si>
  <si>
    <t>شرح خدمات</t>
  </si>
  <si>
    <t>نیروی انسانی به تفکیک</t>
  </si>
  <si>
    <t>بهای تمام شده خدمات</t>
  </si>
  <si>
    <t>مبلغ قابل پرداخت</t>
  </si>
  <si>
    <t>تهيه برنامه زمانبندي msp  و گانت چارت اجرايي پروژه</t>
  </si>
  <si>
    <t>تحویل نهايي دستاوردهای پروژه</t>
  </si>
  <si>
    <t>میزان تخفیف (همکاری ویژه)</t>
  </si>
  <si>
    <t>هزینه نفر ماه (قرارداد)</t>
  </si>
  <si>
    <t>هفته در حال نمایش :</t>
  </si>
  <si>
    <t>2/21</t>
  </si>
  <si>
    <t>2/22</t>
  </si>
  <si>
    <t>2/23</t>
  </si>
  <si>
    <t>9/21</t>
  </si>
  <si>
    <t>9/22</t>
  </si>
  <si>
    <t>9/23</t>
  </si>
  <si>
    <t>کارفرما</t>
  </si>
  <si>
    <t>انتقال پورتال به دامنه اصلی کارفرما</t>
  </si>
  <si>
    <t xml:space="preserve">ارائه سند نيازمنديهاي شبکه و سخت افزار سرور و نرم افزار های مورد نیاز به کارفرما </t>
  </si>
  <si>
    <t>1398/01/01</t>
  </si>
  <si>
    <t>1398/01/02</t>
  </si>
  <si>
    <t>1398/01/03</t>
  </si>
  <si>
    <t>1398/01/04</t>
  </si>
  <si>
    <t>1398/01/12</t>
  </si>
  <si>
    <t>1398/01/13</t>
  </si>
  <si>
    <t>1398/03/14</t>
  </si>
  <si>
    <t>1398/03/15</t>
  </si>
  <si>
    <t>1398/11/22</t>
  </si>
  <si>
    <t>1398/12/29</t>
  </si>
  <si>
    <t>1398/01/14</t>
  </si>
  <si>
    <t>1398/02/01</t>
  </si>
  <si>
    <t>1398/03/05</t>
  </si>
  <si>
    <t>1398/03/16</t>
  </si>
  <si>
    <t>1398/04/08</t>
  </si>
  <si>
    <t>1398/05/21</t>
  </si>
  <si>
    <t>1398/05/29</t>
  </si>
  <si>
    <t>1398/06/18</t>
  </si>
  <si>
    <t>1398/06/19</t>
  </si>
  <si>
    <t>1398/07/27</t>
  </si>
  <si>
    <t>1398/08/05</t>
  </si>
  <si>
    <t>1398/08/07</t>
  </si>
  <si>
    <t>1398/08/15</t>
  </si>
  <si>
    <t>شهادت امام حسن عسکری علیه السلام</t>
  </si>
  <si>
    <t>1398/08/24</t>
  </si>
  <si>
    <t>1398/11/09</t>
  </si>
  <si>
    <t>1398/12/18</t>
  </si>
  <si>
    <t>مصطفی ابراهیمی مطلق</t>
  </si>
  <si>
    <t>مشترک</t>
  </si>
  <si>
    <t>پیمانکار</t>
  </si>
  <si>
    <t>ارائه پرسش نامه های نیازسنجی محتوایی و گرافیکی</t>
  </si>
  <si>
    <t>تکمیل پرسش نامه های نیاز سنجی محتوایی و گرافیکی به تفکیک پورتال اصلی (فارسی و انگلیسی)، زیر پورتال ها و درگاه های اختصاصی</t>
  </si>
  <si>
    <t>تدوین سند شناخت وضع جاری</t>
  </si>
  <si>
    <t>بررسی و تایید مستند معماری محتوا توسط کارفرما (تدریجی)</t>
  </si>
  <si>
    <r>
      <rPr>
        <b/>
        <sz val="10"/>
        <rFont val="B Koodak"/>
        <charset val="178"/>
      </rPr>
      <t>راه اندازی اولیه</t>
    </r>
    <r>
      <rPr>
        <sz val="9"/>
        <rFont val="B Koodak"/>
        <charset val="178"/>
      </rPr>
      <t xml:space="preserve"> زیر پورتال شامل موارد زیر می گردد:
ایجاد زیرپورتال بر اساس ماژولهای منتخب از پورتال اصلی
ایجاد ساختار محتوا و سرفصل های اطلاعاتی
پیاده سازی چیدمان صفحه اصلی
طراحی سرصفحه نمای گرافیکی (منطبق بر طرح پایه)
</t>
    </r>
    <r>
      <rPr>
        <sz val="10"/>
        <rFont val="B Koodak"/>
        <charset val="178"/>
      </rPr>
      <t>راه اندازی کامل</t>
    </r>
    <r>
      <rPr>
        <sz val="9"/>
        <rFont val="B Koodak"/>
        <charset val="178"/>
      </rPr>
      <t xml:space="preserve"> زیر پورتال مازاد بر راه اندازی اولیه زیر پورتال شامل موارد زیر می گردد:
تعریف کاربران و تنظیم حقوق دسترسی
ورود اطلاعات محتوا
آموزش راهبر پورتال</t>
    </r>
  </si>
  <si>
    <t>معرفی مدیر پروژه کارفرما به پیمانکار</t>
  </si>
  <si>
    <t>اقدامات اجرایی پیکربندی، مدیریت و کاربرد نرم افزار</t>
  </si>
  <si>
    <t>ارائه طرح آموزش و برنامه زمانبندی و مکانی برگزاری جلسات آموزشی</t>
  </si>
  <si>
    <t>مدیریت، برنامه ریزی مالی و کنترل پیشرفت پروژه</t>
  </si>
  <si>
    <t>تحویل سرور اصلی و میرور به کارفرما</t>
  </si>
  <si>
    <t>تنظیم و امضاء صورت جلسه تحویل پروژه</t>
  </si>
  <si>
    <t>پیکربندی ماژول های پست الکترونیک و پیام کوتاه  بر روی سرویس دهنده های پست الکترونیک و پیام کوتاه کارفرما</t>
  </si>
  <si>
    <t xml:space="preserve">تامين و آماده سازي شبکه و زيرساخت سخت افزاری و نرم افزاری مورد نياز (سرور  اصلی و میرور) توسط کارفرما </t>
  </si>
  <si>
    <t>پرداخت پیش پرداخت قرارداد</t>
  </si>
  <si>
    <t>استقرار زيرساخت  وآماده سازی  زیر ساخت نرم افزاری سامان سوئیت</t>
  </si>
  <si>
    <t>نهایی سازی قالب گرافیکی همسان برای پورتال اینترنتی مطابق نظر کارفرما (اعلام نظر کارفرما: 1 روز کاری، نهایی سازی: 2 روزکاری)</t>
  </si>
  <si>
    <t>راه اندازی کامل زیرپورتال اینترنتی (نسخه فارسی)</t>
  </si>
  <si>
    <t>راه اندازی اولیه زیرپورتال بیمه مسافرتی</t>
  </si>
  <si>
    <t>راه اندازی کامل زیر پورتال مسافرتی</t>
  </si>
  <si>
    <t>راه اندازی اولیه زیرپورتال بیمه عمر</t>
  </si>
  <si>
    <t>راه اندازی کامل زیر پورتال عمر</t>
  </si>
  <si>
    <t>کانورت مکانیزه اطلاعات</t>
  </si>
  <si>
    <t>اعلام ماژول های محتوایی کارفرما</t>
  </si>
  <si>
    <t>ارایه فایل های اکسل ماژول های محتوایی اعلام شده از طرف کارفرما</t>
  </si>
  <si>
    <t>تکمیل و ارسال اطلاعات</t>
  </si>
  <si>
    <t>تصحیح محتوای درج شده به صورت مکانیزه در زیر ساخت جدید</t>
  </si>
  <si>
    <t>تکمیل محتوای درج شده در وب سایت قبلی حد فاصل زمان انتقال اطلاعات در پورتال جدید</t>
  </si>
  <si>
    <t>ارائه دسترسی راه دور به سرور از طریق (ssh) با حق دسترسی مدیریت</t>
  </si>
  <si>
    <t>نصب و پیکربندی سرور پورتال و زیر ساخت نرم افزاری پایه آن</t>
  </si>
  <si>
    <t>1398/06/31</t>
  </si>
  <si>
    <t>جمع بندی نيازمنديهای فرايند شناخت و تدوین سند معماری محتوا (تدریجی)</t>
  </si>
  <si>
    <t>ارائه سر صفحه اختصاصی زیر پورتال بیمه مسافرتی</t>
  </si>
  <si>
    <t>ارائه سر صفحه اختصاصی زیر پورتال بیمه عمر</t>
  </si>
  <si>
    <t>نهایی سازی سر صفحه اختصاصی زیر پورتال مسافرتی مطابق نظر کارفرما (اعلام نظر کارفرما و نهایی سازی: 2 روزکاری)</t>
  </si>
  <si>
    <t>نهایی سازی  سر صفحه اختصاصی زیر پورتال عمر مطابق نظر کارفرما (اعلام نظر کارفرما و نهایی سازی: 2 روزکاری)</t>
  </si>
  <si>
    <t>معرفی نمایندگان کارفرما به تفکیک سطوح کاربری دارای دانش و مهارت های پیش نیاز آموزش نرم افزار</t>
  </si>
  <si>
    <t>برگزاری جلسات آموزش راهبر زیر پورتال (4 ساعت)</t>
  </si>
  <si>
    <t>ارائه خدمات آموزش</t>
  </si>
  <si>
    <t>برگزاری جلسات آموزش زیر ساخت توسعه پذیری نرم افزار (6 ساعت)</t>
  </si>
  <si>
    <t>اعلام نام های کاربری و حقوق دسترسی مورد نیاز هر یک از کاربران و اطلاعات مورد نیاز جهت تنظیم</t>
  </si>
  <si>
    <t>جلسه اول پروژه (معارفه و تحویل زیر ساخت نرم افزاری)</t>
  </si>
  <si>
    <t>معرفی مدیر پروژه پیمانکار به کارفرما پس از ابلاغ قرارداد</t>
  </si>
  <si>
    <t>نصب و پیکربندی نرم افزار سامان سوئیت و سایر نرم افزاری های موضوع قرارداد بر روی سرور</t>
  </si>
  <si>
    <t>تنظیم روال های تهیه نسخه پشتیبان دوره ای از نرم افزار سامان سوئیت</t>
  </si>
  <si>
    <t>تهیه و نگهداری نسخه های پشتیبان نرم افزار سامان سوئیت</t>
  </si>
  <si>
    <t>تحویل نرم افزار نصب شده مطابق با مجوزهای جدول الف و ب پیوست 8 قرارداد بر روی سرور کارفرما به کارفرما</t>
  </si>
  <si>
    <t>ارائه خدمات اجرایی موضوع قرارداد</t>
  </si>
  <si>
    <t>تعریف و اعطای حق دسترسی به کاربران و گروه های کاربری اعلام شده</t>
  </si>
  <si>
    <t>طراحی و پیاده سازی پورتال اینترنتی و زیر پورتال های بیمه سامان</t>
  </si>
  <si>
    <t>برگزاری جلسات آموزش  راهبری و مدیریتی  (9 ساعت)</t>
  </si>
  <si>
    <t>برگزاری جلسات آموزش کاربری(9 ساعت)</t>
  </si>
  <si>
    <t>تحویل راه اندازی کامل زیر پورتال اینترنتی (نسخه فارسی)  (1 روز تست پیمانکار ، 2 روز تست  کارفرما)</t>
  </si>
  <si>
    <t>تحویل راه اندازی اولیه زیر پورتال مسافرتی (1 روز تست پیمانکار ، 2 روز تست  کارفرما)</t>
  </si>
  <si>
    <t>تحویل راه اندازی اولیه زیر پورتال عمر (1 روز تست پیمانکار ، 2 روز تست  کارفرما)</t>
  </si>
  <si>
    <t>راه اندازی کامل زیرپورتال سهامدارن</t>
  </si>
  <si>
    <t>تحویل راه اندازی کامل زیر پورتال سهامداران   (1 روز تست پیمانکار ، 2 روز تست  کارفرما)</t>
  </si>
  <si>
    <r>
      <t xml:space="preserve">ارائه یک قالب گرافیکی همسان فارسی و انگلیسی برای </t>
    </r>
    <r>
      <rPr>
        <b/>
        <sz val="8"/>
        <rFont val="B Koodak"/>
        <charset val="178"/>
      </rPr>
      <t>زیر پورتال اینترنتی</t>
    </r>
  </si>
  <si>
    <t xml:space="preserve">ارائه سر صفحه اختصاصی برای زیر پورتال سهامداران </t>
  </si>
  <si>
    <t>نهایی سازی سر صفحه اختصاصی فارسی برای زیر پورتال سهامداران مطابق نظر کارفرما (اعلام نظر کارفرما و نهایی سازی: 2 روزکاری)</t>
  </si>
  <si>
    <t>راه اندازی اولیه زیرپورتال شعب و نمایندگان</t>
  </si>
  <si>
    <t>تحویل  زیرپورتال شعب و نمایندگان (1 روز تست پیمانکار ، 2 روز تست  کارفرما)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</si>
</sst>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-&quot;ريال&quot;* #,##0.00_-;_-&quot;ريال&quot;* #,##0.00\-;_-&quot;ريال&quot;* &quot;-&quot;??_-;_-@_-"/>
    <numFmt numFmtId="165" formatCode="[h]:mm"/>
    <numFmt numFmtId="166" formatCode="_-[$ريال-429]* #,##0_-;_-[$ريال-429]* #,##0\-;_-[$ريال-429]* &quot;-&quot;??_-;_-@_-"/>
    <numFmt numFmtId="167" formatCode="_-&quot;ريال&quot;* #,##0_-;_-&quot;ريال&quot;* #,##0\-;_-&quot;ريال&quot;* &quot;-&quot;??_-;_-@_-"/>
    <numFmt numFmtId="168" formatCode="0.0"/>
    <numFmt numFmtId="169" formatCode="&quot;ريال&quot;#,##0_-"/>
    <numFmt numFmtId="170" formatCode="[$-F800]dddd\,\ mmmm\ dd\,\ yyyy"/>
  </numFmts>
  <fonts count="28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sz val="8"/>
      <name val="B Koodak"/>
      <charset val="178"/>
    </font>
    <font>
      <u/>
      <sz val="10"/>
      <color indexed="12"/>
      <name val="B Koodak"/>
      <charset val="178"/>
    </font>
    <font>
      <b/>
      <sz val="14"/>
      <color indexed="16"/>
      <name val="B Koodak"/>
      <charset val="178"/>
    </font>
    <font>
      <u/>
      <sz val="8"/>
      <color indexed="12"/>
      <name val="B Koodak"/>
      <charset val="178"/>
    </font>
    <font>
      <sz val="6"/>
      <name val="B Koodak"/>
      <charset val="178"/>
    </font>
    <font>
      <sz val="10"/>
      <name val="B Koodak"/>
      <charset val="178"/>
    </font>
    <font>
      <sz val="9"/>
      <name val="B Koodak"/>
      <charset val="178"/>
    </font>
    <font>
      <sz val="9"/>
      <color theme="0"/>
      <name val="B Koodak"/>
      <charset val="178"/>
    </font>
    <font>
      <b/>
      <sz val="8"/>
      <name val="B Koodak"/>
      <charset val="178"/>
    </font>
    <font>
      <sz val="8.6"/>
      <name val="B Koodak"/>
      <charset val="178"/>
    </font>
    <font>
      <sz val="11"/>
      <color theme="1"/>
      <name val="Calibri"/>
      <family val="2"/>
      <scheme val="minor"/>
    </font>
    <font>
      <sz val="12"/>
      <color theme="1"/>
      <name val="B Mitra"/>
      <charset val="178"/>
    </font>
    <font>
      <sz val="11"/>
      <color theme="1"/>
      <name val="B Mitra"/>
      <charset val="178"/>
    </font>
    <font>
      <sz val="8"/>
      <name val="B Mitra"/>
      <charset val="178"/>
    </font>
    <font>
      <b/>
      <sz val="11"/>
      <color indexed="16"/>
      <name val="B Koodak"/>
      <charset val="178"/>
    </font>
    <font>
      <sz val="11"/>
      <name val="B Koodak"/>
      <charset val="178"/>
    </font>
    <font>
      <sz val="10"/>
      <name val="Arial"/>
      <family val="2"/>
    </font>
    <font>
      <sz val="8"/>
      <color theme="0"/>
      <name val="B Koodak"/>
      <charset val="178"/>
    </font>
    <font>
      <sz val="11"/>
      <name val="B Mitra"/>
      <charset val="178"/>
    </font>
    <font>
      <b/>
      <sz val="11"/>
      <name val="B Koodak"/>
      <charset val="178"/>
    </font>
    <font>
      <b/>
      <sz val="11"/>
      <name val="B Mitra"/>
      <charset val="178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charset val="178"/>
      <scheme val="minor"/>
    </font>
    <font>
      <b/>
      <sz val="10"/>
      <name val="B Koodak"/>
      <charset val="178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55"/>
      </left>
      <right/>
      <top/>
      <bottom style="medium">
        <color indexed="64"/>
      </bottom>
      <diagonal/>
    </border>
    <border>
      <left/>
      <right style="thin">
        <color indexed="55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22"/>
      </top>
      <bottom/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  <xf numFmtId="0" fontId="14" fillId="0" borderId="0"/>
    <xf numFmtId="164" fontId="20" fillId="0" borderId="0" applyFont="0" applyFill="0" applyBorder="0" applyAlignment="0" applyProtection="0"/>
    <xf numFmtId="0" fontId="14" fillId="0" borderId="0"/>
    <xf numFmtId="0" fontId="25" fillId="0" borderId="0" applyNumberFormat="0" applyFill="0" applyBorder="0" applyAlignment="0" applyProtection="0"/>
    <xf numFmtId="0" fontId="26" fillId="0" borderId="0"/>
  </cellStyleXfs>
  <cellXfs count="321">
    <xf numFmtId="0" fontId="0" fillId="0" borderId="0" xfId="0"/>
    <xf numFmtId="0" fontId="5" fillId="0" borderId="0" xfId="1" applyFont="1" applyFill="1" applyAlignment="1" applyProtection="1">
      <alignment horizontal="center" vertical="center"/>
    </xf>
    <xf numFmtId="0" fontId="4" fillId="2" borderId="2" xfId="0" applyFont="1" applyFill="1" applyBorder="1"/>
    <xf numFmtId="1" fontId="4" fillId="2" borderId="2" xfId="0" applyNumberFormat="1" applyFont="1" applyFill="1" applyBorder="1"/>
    <xf numFmtId="1" fontId="4" fillId="4" borderId="2" xfId="0" applyNumberFormat="1" applyFont="1" applyFill="1" applyBorder="1" applyAlignment="1">
      <alignment horizontal="center"/>
    </xf>
    <xf numFmtId="1" fontId="4" fillId="2" borderId="2" xfId="0" applyNumberFormat="1" applyFont="1" applyFill="1" applyBorder="1" applyAlignment="1">
      <alignment horizontal="center"/>
    </xf>
    <xf numFmtId="49" fontId="4" fillId="0" borderId="2" xfId="0" applyNumberFormat="1" applyFont="1" applyBorder="1" applyAlignment="1">
      <alignment horizontal="left"/>
    </xf>
    <xf numFmtId="0" fontId="4" fillId="0" borderId="2" xfId="0" applyFont="1" applyFill="1" applyBorder="1" applyAlignment="1">
      <alignment wrapText="1"/>
    </xf>
    <xf numFmtId="0" fontId="4" fillId="0" borderId="2" xfId="0" applyFont="1" applyFill="1" applyBorder="1"/>
    <xf numFmtId="1" fontId="4" fillId="3" borderId="2" xfId="0" applyNumberFormat="1" applyFont="1" applyFill="1" applyBorder="1" applyAlignment="1">
      <alignment horizontal="center"/>
    </xf>
    <xf numFmtId="1" fontId="4" fillId="0" borderId="2" xfId="0" applyNumberFormat="1" applyFont="1" applyFill="1" applyBorder="1" applyAlignment="1">
      <alignment horizontal="center"/>
    </xf>
    <xf numFmtId="1" fontId="4" fillId="0" borderId="2" xfId="2" applyNumberFormat="1" applyFont="1" applyFill="1" applyBorder="1" applyAlignment="1">
      <alignment horizontal="center"/>
    </xf>
    <xf numFmtId="0" fontId="4" fillId="0" borderId="2" xfId="0" applyFont="1" applyBorder="1"/>
    <xf numFmtId="1" fontId="4" fillId="0" borderId="2" xfId="0" applyNumberFormat="1" applyFont="1" applyFill="1" applyBorder="1"/>
    <xf numFmtId="0" fontId="4" fillId="0" borderId="0" xfId="0" applyFont="1"/>
    <xf numFmtId="1" fontId="4" fillId="5" borderId="2" xfId="2" applyNumberFormat="1" applyFont="1" applyFill="1" applyBorder="1" applyAlignment="1">
      <alignment horizontal="center"/>
    </xf>
    <xf numFmtId="0" fontId="15" fillId="0" borderId="0" xfId="3" applyFont="1" applyFill="1" applyAlignment="1">
      <alignment horizontal="center" vertical="center"/>
    </xf>
    <xf numFmtId="0" fontId="15" fillId="0" borderId="0" xfId="3" applyNumberFormat="1" applyFont="1" applyFill="1" applyAlignment="1">
      <alignment horizontal="center" vertical="center"/>
    </xf>
    <xf numFmtId="0" fontId="15" fillId="0" borderId="0" xfId="3" applyFont="1" applyFill="1" applyAlignment="1">
      <alignment horizontal="right" vertical="center"/>
    </xf>
    <xf numFmtId="0" fontId="16" fillId="0" borderId="0" xfId="3" applyFont="1" applyFill="1" applyAlignment="1">
      <alignment horizontal="right" vertical="center"/>
    </xf>
    <xf numFmtId="1" fontId="17" fillId="0" borderId="2" xfId="0" applyNumberFormat="1" applyFont="1" applyFill="1" applyBorder="1" applyAlignment="1">
      <alignment horizontal="center"/>
    </xf>
    <xf numFmtId="165" fontId="4" fillId="2" borderId="2" xfId="0" applyNumberFormat="1" applyFont="1" applyFill="1" applyBorder="1" applyAlignment="1">
      <alignment horizontal="center"/>
    </xf>
    <xf numFmtId="165" fontId="4" fillId="0" borderId="2" xfId="0" applyNumberFormat="1" applyFont="1" applyFill="1" applyBorder="1" applyAlignment="1">
      <alignment horizontal="center"/>
    </xf>
    <xf numFmtId="0" fontId="19" fillId="0" borderId="0" xfId="0" applyFont="1" applyAlignment="1">
      <alignment horizontal="center"/>
    </xf>
    <xf numFmtId="0" fontId="9" fillId="0" borderId="0" xfId="0" applyFont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9" fillId="0" borderId="0" xfId="0" applyFont="1" applyFill="1" applyBorder="1" applyAlignment="1">
      <alignment horizontal="center" vertical="center" textRotation="90"/>
    </xf>
    <xf numFmtId="0" fontId="4" fillId="0" borderId="0" xfId="0" applyFont="1" applyFill="1" applyBorder="1" applyAlignment="1">
      <alignment horizontal="center" vertical="center"/>
    </xf>
    <xf numFmtId="0" fontId="4" fillId="6" borderId="0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NumberFormat="1" applyFont="1" applyBorder="1" applyAlignment="1">
      <alignment horizontal="left"/>
    </xf>
    <xf numFmtId="0" fontId="22" fillId="0" borderId="0" xfId="0" applyFont="1"/>
    <xf numFmtId="166" fontId="22" fillId="0" borderId="0" xfId="4" applyNumberFormat="1" applyFont="1"/>
    <xf numFmtId="166" fontId="4" fillId="0" borderId="2" xfId="4" applyNumberFormat="1" applyFont="1" applyBorder="1" applyAlignment="1">
      <alignment horizontal="center" vertical="center"/>
    </xf>
    <xf numFmtId="167" fontId="9" fillId="0" borderId="0" xfId="4" applyNumberFormat="1" applyFont="1" applyAlignment="1">
      <alignment horizontal="center" vertical="center"/>
    </xf>
    <xf numFmtId="167" fontId="9" fillId="0" borderId="0" xfId="4" applyNumberFormat="1" applyFont="1" applyFill="1" applyBorder="1" applyAlignment="1">
      <alignment horizontal="center" vertical="center"/>
    </xf>
    <xf numFmtId="167" fontId="9" fillId="2" borderId="0" xfId="4" applyNumberFormat="1" applyFont="1" applyFill="1" applyAlignment="1">
      <alignment horizontal="center" vertical="center"/>
    </xf>
    <xf numFmtId="167" fontId="9" fillId="0" borderId="0" xfId="4" applyNumberFormat="1" applyFont="1" applyFill="1" applyBorder="1" applyAlignment="1">
      <alignment horizontal="center" vertical="center" textRotation="90"/>
    </xf>
    <xf numFmtId="167" fontId="4" fillId="0" borderId="0" xfId="4" applyNumberFormat="1" applyFont="1" applyFill="1" applyBorder="1" applyAlignment="1">
      <alignment horizontal="center" vertical="center"/>
    </xf>
    <xf numFmtId="167" fontId="4" fillId="6" borderId="0" xfId="4" applyNumberFormat="1" applyFont="1" applyFill="1" applyBorder="1" applyAlignment="1">
      <alignment horizontal="center" vertical="center"/>
    </xf>
    <xf numFmtId="167" fontId="4" fillId="2" borderId="2" xfId="4" applyNumberFormat="1" applyFont="1" applyFill="1" applyBorder="1" applyAlignment="1">
      <alignment horizontal="center" vertical="center"/>
    </xf>
    <xf numFmtId="167" fontId="4" fillId="0" borderId="2" xfId="4" applyNumberFormat="1" applyFont="1" applyBorder="1" applyAlignment="1">
      <alignment horizontal="center" vertical="center"/>
    </xf>
    <xf numFmtId="0" fontId="4" fillId="0" borderId="2" xfId="0" applyFont="1" applyFill="1" applyBorder="1" applyAlignment="1">
      <alignment horizontal="center"/>
    </xf>
    <xf numFmtId="0" fontId="7" fillId="0" borderId="0" xfId="1" applyFont="1" applyFill="1" applyAlignment="1" applyProtection="1">
      <alignment horizontal="right"/>
    </xf>
    <xf numFmtId="167" fontId="22" fillId="0" borderId="0" xfId="4" applyNumberFormat="1" applyFont="1"/>
    <xf numFmtId="0" fontId="4" fillId="0" borderId="0" xfId="0" applyFont="1" applyAlignment="1"/>
    <xf numFmtId="167" fontId="4" fillId="0" borderId="0" xfId="4" applyNumberFormat="1" applyFont="1" applyAlignment="1"/>
    <xf numFmtId="10" fontId="4" fillId="0" borderId="5" xfId="0" applyNumberFormat="1" applyFont="1" applyBorder="1" applyAlignment="1">
      <alignment horizontal="center"/>
    </xf>
    <xf numFmtId="165" fontId="22" fillId="0" borderId="5" xfId="0" applyNumberFormat="1" applyFont="1" applyBorder="1" applyAlignment="1">
      <alignment horizontal="center"/>
    </xf>
    <xf numFmtId="168" fontId="4" fillId="0" borderId="5" xfId="2" applyNumberFormat="1" applyFont="1" applyBorder="1" applyAlignment="1">
      <alignment horizontal="center"/>
    </xf>
    <xf numFmtId="0" fontId="4" fillId="0" borderId="5" xfId="0" applyFont="1" applyFill="1" applyBorder="1" applyAlignment="1">
      <alignment horizontal="center"/>
    </xf>
    <xf numFmtId="0" fontId="4" fillId="0" borderId="5" xfId="0" applyFont="1" applyBorder="1" applyAlignment="1">
      <alignment horizontal="center"/>
    </xf>
    <xf numFmtId="167" fontId="4" fillId="0" borderId="5" xfId="4" applyNumberFormat="1" applyFont="1" applyFill="1" applyBorder="1" applyAlignment="1">
      <alignment horizontal="center"/>
    </xf>
    <xf numFmtId="167" fontId="4" fillId="0" borderId="5" xfId="4" applyNumberFormat="1" applyFont="1" applyBorder="1" applyAlignment="1">
      <alignment horizontal="center"/>
    </xf>
    <xf numFmtId="0" fontId="22" fillId="0" borderId="5" xfId="0" applyFont="1" applyBorder="1" applyAlignment="1">
      <alignment horizontal="center"/>
    </xf>
    <xf numFmtId="166" fontId="22" fillId="0" borderId="5" xfId="4" applyNumberFormat="1" applyFont="1" applyBorder="1" applyAlignment="1">
      <alignment horizontal="center"/>
    </xf>
    <xf numFmtId="167" fontId="22" fillId="0" borderId="5" xfId="4" applyNumberFormat="1" applyFont="1" applyBorder="1" applyAlignment="1">
      <alignment horizontal="center"/>
    </xf>
    <xf numFmtId="2" fontId="4" fillId="0" borderId="0" xfId="0" applyNumberFormat="1" applyFont="1"/>
    <xf numFmtId="2" fontId="22" fillId="0" borderId="0" xfId="0" applyNumberFormat="1" applyFont="1"/>
    <xf numFmtId="1" fontId="4" fillId="0" borderId="0" xfId="0" applyNumberFormat="1" applyFont="1"/>
    <xf numFmtId="0" fontId="4" fillId="2" borderId="2" xfId="0" applyNumberFormat="1" applyFont="1" applyFill="1" applyBorder="1" applyAlignment="1">
      <alignment horizontal="left"/>
    </xf>
    <xf numFmtId="165" fontId="4" fillId="2" borderId="2" xfId="0" applyNumberFormat="1" applyFont="1" applyFill="1" applyBorder="1" applyAlignment="1">
      <alignment horizontal="center" vertical="center"/>
    </xf>
    <xf numFmtId="165" fontId="24" fillId="0" borderId="10" xfId="0" applyNumberFormat="1" applyFont="1" applyBorder="1" applyAlignment="1">
      <alignment horizontal="center"/>
    </xf>
    <xf numFmtId="167" fontId="23" fillId="0" borderId="10" xfId="0" applyNumberFormat="1" applyFont="1" applyBorder="1" applyAlignment="1">
      <alignment horizontal="center"/>
    </xf>
    <xf numFmtId="168" fontId="23" fillId="0" borderId="10" xfId="2" applyNumberFormat="1" applyFont="1" applyBorder="1" applyAlignment="1">
      <alignment horizontal="center"/>
    </xf>
    <xf numFmtId="1" fontId="24" fillId="0" borderId="5" xfId="4" applyNumberFormat="1" applyFont="1" applyBorder="1" applyAlignment="1">
      <alignment horizontal="center" vertical="center"/>
    </xf>
    <xf numFmtId="1" fontId="24" fillId="0" borderId="5" xfId="0" applyNumberFormat="1" applyFont="1" applyBorder="1" applyAlignment="1">
      <alignment horizontal="center" vertical="center"/>
    </xf>
    <xf numFmtId="1" fontId="24" fillId="0" borderId="5" xfId="0" applyNumberFormat="1" applyFont="1" applyBorder="1" applyAlignment="1">
      <alignment horizontal="center" readingOrder="2"/>
    </xf>
    <xf numFmtId="167" fontId="4" fillId="0" borderId="2" xfId="4" applyNumberFormat="1" applyFont="1" applyBorder="1" applyAlignment="1">
      <alignment horizontal="center" readingOrder="2"/>
    </xf>
    <xf numFmtId="1" fontId="24" fillId="0" borderId="0" xfId="0" applyNumberFormat="1" applyFont="1" applyBorder="1" applyAlignment="1">
      <alignment horizontal="center" readingOrder="2"/>
    </xf>
    <xf numFmtId="164" fontId="22" fillId="0" borderId="0" xfId="4" applyFont="1"/>
    <xf numFmtId="164" fontId="22" fillId="0" borderId="5" xfId="4" applyFont="1" applyBorder="1"/>
    <xf numFmtId="167" fontId="4" fillId="0" borderId="5" xfId="4" applyNumberFormat="1" applyFont="1" applyBorder="1"/>
    <xf numFmtId="167" fontId="23" fillId="0" borderId="5" xfId="4" applyNumberFormat="1" applyFont="1" applyBorder="1"/>
    <xf numFmtId="166" fontId="22" fillId="0" borderId="5" xfId="0" applyNumberFormat="1" applyFont="1" applyBorder="1" applyAlignment="1"/>
    <xf numFmtId="164" fontId="4" fillId="0" borderId="5" xfId="4" applyFont="1" applyBorder="1" applyAlignment="1">
      <alignment horizontal="center"/>
    </xf>
    <xf numFmtId="0" fontId="4" fillId="0" borderId="2" xfId="0" applyFont="1" applyFill="1" applyBorder="1" applyAlignment="1">
      <alignment horizontal="center" wrapText="1"/>
    </xf>
    <xf numFmtId="0" fontId="0" fillId="0" borderId="0" xfId="0" applyAlignment="1">
      <alignment horizontal="right"/>
    </xf>
    <xf numFmtId="165" fontId="0" fillId="0" borderId="0" xfId="0" applyNumberFormat="1"/>
    <xf numFmtId="169" fontId="0" fillId="0" borderId="0" xfId="0" applyNumberFormat="1" applyAlignment="1">
      <alignment horizontal="center" readingOrder="2"/>
    </xf>
    <xf numFmtId="9" fontId="0" fillId="0" borderId="0" xfId="2" applyFont="1"/>
    <xf numFmtId="0" fontId="4" fillId="0" borderId="14" xfId="0" applyFont="1" applyFill="1" applyBorder="1" applyAlignment="1">
      <alignment horizontal="right" wrapText="1"/>
    </xf>
    <xf numFmtId="165" fontId="9" fillId="0" borderId="14" xfId="0" applyNumberFormat="1" applyFont="1" applyFill="1" applyBorder="1" applyAlignment="1">
      <alignment horizontal="center" vertical="center" wrapText="1"/>
    </xf>
    <xf numFmtId="166" fontId="22" fillId="0" borderId="14" xfId="4" applyNumberFormat="1" applyFont="1" applyBorder="1" applyAlignment="1">
      <alignment horizontal="center" vertical="center"/>
    </xf>
    <xf numFmtId="9" fontId="4" fillId="0" borderId="5" xfId="2" applyFont="1" applyFill="1" applyBorder="1" applyAlignment="1">
      <alignment horizontal="center" vertical="center" wrapText="1"/>
    </xf>
    <xf numFmtId="165" fontId="4" fillId="0" borderId="15" xfId="0" applyNumberFormat="1" applyFont="1" applyFill="1" applyBorder="1" applyAlignment="1">
      <alignment horizontal="center" vertical="center" textRotation="90" wrapText="1"/>
    </xf>
    <xf numFmtId="167" fontId="0" fillId="0" borderId="0" xfId="0" applyNumberFormat="1"/>
    <xf numFmtId="0" fontId="4" fillId="0" borderId="0" xfId="0" applyFont="1" applyFill="1" applyBorder="1" applyAlignment="1">
      <alignment horizontal="center" wrapText="1"/>
    </xf>
    <xf numFmtId="9" fontId="4" fillId="0" borderId="0" xfId="2" applyFont="1" applyFill="1" applyBorder="1" applyAlignment="1">
      <alignment horizontal="center" vertical="center" wrapText="1"/>
    </xf>
    <xf numFmtId="166" fontId="22" fillId="0" borderId="16" xfId="4" applyNumberFormat="1" applyFont="1" applyBorder="1" applyAlignment="1">
      <alignment horizontal="center" vertical="center"/>
    </xf>
    <xf numFmtId="167" fontId="23" fillId="0" borderId="5" xfId="0" applyNumberFormat="1" applyFont="1" applyBorder="1" applyAlignment="1">
      <alignment horizontal="center"/>
    </xf>
    <xf numFmtId="0" fontId="4" fillId="0" borderId="16" xfId="0" applyFont="1" applyFill="1" applyBorder="1" applyAlignment="1">
      <alignment horizontal="right" wrapText="1"/>
    </xf>
    <xf numFmtId="165" fontId="9" fillId="0" borderId="16" xfId="0" applyNumberFormat="1" applyFont="1" applyFill="1" applyBorder="1" applyAlignment="1">
      <alignment horizontal="center" vertical="center" wrapText="1"/>
    </xf>
    <xf numFmtId="0" fontId="23" fillId="0" borderId="5" xfId="0" applyFont="1" applyFill="1" applyBorder="1" applyAlignment="1">
      <alignment horizontal="right" wrapText="1"/>
    </xf>
    <xf numFmtId="165" fontId="9" fillId="0" borderId="5" xfId="0" applyNumberFormat="1" applyFont="1" applyFill="1" applyBorder="1" applyAlignment="1">
      <alignment horizontal="center" vertical="center" wrapText="1"/>
    </xf>
    <xf numFmtId="165" fontId="0" fillId="0" borderId="5" xfId="0" applyNumberFormat="1" applyBorder="1"/>
    <xf numFmtId="0" fontId="21" fillId="0" borderId="0" xfId="0" applyFont="1" applyFill="1" applyBorder="1" applyAlignment="1">
      <alignment horizontal="center" wrapText="1"/>
    </xf>
    <xf numFmtId="166" fontId="4" fillId="0" borderId="5" xfId="0" applyNumberFormat="1" applyFont="1" applyBorder="1" applyAlignment="1">
      <alignment horizontal="center"/>
    </xf>
    <xf numFmtId="167" fontId="4" fillId="0" borderId="5" xfId="0" applyNumberFormat="1" applyFont="1" applyBorder="1" applyAlignment="1">
      <alignment horizontal="center"/>
    </xf>
    <xf numFmtId="170" fontId="4" fillId="0" borderId="0" xfId="0" applyNumberFormat="1" applyFont="1"/>
    <xf numFmtId="49" fontId="22" fillId="0" borderId="0" xfId="4" applyNumberFormat="1" applyFont="1"/>
    <xf numFmtId="9" fontId="4" fillId="0" borderId="2" xfId="2" applyFont="1" applyFill="1" applyBorder="1" applyAlignment="1">
      <alignment wrapText="1"/>
    </xf>
    <xf numFmtId="9" fontId="4" fillId="0" borderId="2" xfId="0" applyNumberFormat="1" applyFont="1" applyFill="1" applyBorder="1" applyAlignment="1">
      <alignment wrapText="1"/>
    </xf>
    <xf numFmtId="0" fontId="21" fillId="0" borderId="2" xfId="0" applyFont="1" applyFill="1" applyBorder="1" applyAlignment="1">
      <alignment wrapText="1"/>
    </xf>
    <xf numFmtId="0" fontId="4" fillId="6" borderId="0" xfId="0" applyFont="1" applyFill="1" applyBorder="1" applyAlignment="1" applyProtection="1">
      <alignment horizontal="right" indent="1"/>
      <protection locked="0"/>
    </xf>
    <xf numFmtId="0" fontId="4" fillId="6" borderId="0" xfId="0" applyFont="1" applyFill="1" applyBorder="1" applyProtection="1">
      <protection locked="0"/>
    </xf>
    <xf numFmtId="0" fontId="4" fillId="6" borderId="0" xfId="0" applyFont="1" applyFill="1" applyBorder="1" applyAlignment="1" applyProtection="1">
      <alignment horizontal="center"/>
      <protection locked="0"/>
    </xf>
    <xf numFmtId="1" fontId="4" fillId="6" borderId="2" xfId="0" applyNumberFormat="1" applyFont="1" applyFill="1" applyBorder="1" applyAlignment="1" applyProtection="1">
      <alignment horizontal="center"/>
      <protection locked="0"/>
    </xf>
    <xf numFmtId="1" fontId="4" fillId="6" borderId="2" xfId="0" applyNumberFormat="1" applyFont="1" applyFill="1" applyBorder="1" applyProtection="1">
      <protection locked="0"/>
    </xf>
    <xf numFmtId="0" fontId="4" fillId="6" borderId="2" xfId="0" applyNumberFormat="1" applyFont="1" applyFill="1" applyBorder="1" applyProtection="1">
      <protection locked="0"/>
    </xf>
    <xf numFmtId="0" fontId="4" fillId="2" borderId="2" xfId="0" applyFont="1" applyFill="1" applyBorder="1" applyAlignment="1" applyProtection="1">
      <alignment horizontal="right" wrapText="1" indent="1"/>
      <protection locked="0"/>
    </xf>
    <xf numFmtId="0" fontId="4" fillId="2" borderId="2" xfId="0" applyFont="1" applyFill="1" applyBorder="1" applyProtection="1">
      <protection locked="0"/>
    </xf>
    <xf numFmtId="1" fontId="4" fillId="2" borderId="2" xfId="0" applyNumberFormat="1" applyFont="1" applyFill="1" applyBorder="1" applyProtection="1">
      <protection locked="0"/>
    </xf>
    <xf numFmtId="0" fontId="4" fillId="2" borderId="2" xfId="0" applyNumberFormat="1" applyFont="1" applyFill="1" applyBorder="1" applyProtection="1">
      <protection locked="0"/>
    </xf>
    <xf numFmtId="0" fontId="4" fillId="0" borderId="2" xfId="0" applyFont="1" applyFill="1" applyBorder="1" applyAlignment="1" applyProtection="1">
      <alignment horizontal="right" wrapText="1" indent="1"/>
      <protection locked="0"/>
    </xf>
    <xf numFmtId="0" fontId="4" fillId="0" borderId="2" xfId="0" applyFont="1" applyFill="1" applyBorder="1" applyProtection="1">
      <protection locked="0"/>
    </xf>
    <xf numFmtId="1" fontId="4" fillId="0" borderId="2" xfId="0" applyNumberFormat="1" applyFont="1" applyFill="1" applyBorder="1" applyAlignment="1" applyProtection="1">
      <alignment horizontal="center"/>
      <protection locked="0"/>
    </xf>
    <xf numFmtId="1" fontId="4" fillId="0" borderId="2" xfId="0" applyNumberFormat="1" applyFont="1" applyFill="1" applyBorder="1" applyProtection="1">
      <protection locked="0"/>
    </xf>
    <xf numFmtId="0" fontId="4" fillId="0" borderId="2" xfId="0" applyNumberFormat="1" applyFont="1" applyFill="1" applyBorder="1" applyProtection="1">
      <protection locked="0"/>
    </xf>
    <xf numFmtId="9" fontId="4" fillId="3" borderId="2" xfId="2" applyFont="1" applyFill="1" applyBorder="1" applyAlignment="1" applyProtection="1">
      <alignment horizontal="center"/>
      <protection locked="0"/>
    </xf>
    <xf numFmtId="165" fontId="4" fillId="0" borderId="2" xfId="0" applyNumberFormat="1" applyFont="1" applyBorder="1" applyAlignment="1" applyProtection="1">
      <alignment horizontal="center" vertical="center"/>
      <protection locked="0"/>
    </xf>
    <xf numFmtId="0" fontId="4" fillId="0" borderId="2" xfId="0" applyFont="1" applyBorder="1" applyProtection="1">
      <protection locked="0"/>
    </xf>
    <xf numFmtId="1" fontId="4" fillId="8" borderId="2" xfId="0" applyNumberFormat="1" applyFont="1" applyFill="1" applyBorder="1" applyProtection="1">
      <protection locked="0"/>
    </xf>
    <xf numFmtId="0" fontId="4" fillId="8" borderId="2" xfId="0" applyNumberFormat="1" applyFont="1" applyFill="1" applyBorder="1" applyProtection="1">
      <protection locked="0"/>
    </xf>
    <xf numFmtId="0" fontId="4" fillId="0" borderId="2" xfId="0" applyFont="1" applyFill="1" applyBorder="1" applyAlignment="1" applyProtection="1">
      <alignment wrapText="1"/>
      <protection locked="0"/>
    </xf>
    <xf numFmtId="20" fontId="4" fillId="0" borderId="2" xfId="0" applyNumberFormat="1" applyFont="1" applyBorder="1" applyProtection="1">
      <protection locked="0"/>
    </xf>
    <xf numFmtId="165" fontId="4" fillId="0" borderId="2" xfId="0" applyNumberFormat="1" applyFont="1" applyBorder="1" applyProtection="1">
      <protection locked="0"/>
    </xf>
    <xf numFmtId="0" fontId="6" fillId="2" borderId="0" xfId="0" applyFont="1" applyFill="1" applyAlignment="1" applyProtection="1">
      <alignment horizontal="right" vertical="center" indent="1"/>
    </xf>
    <xf numFmtId="0" fontId="6" fillId="2" borderId="0" xfId="0" applyFont="1" applyFill="1" applyAlignment="1" applyProtection="1">
      <alignment vertical="center"/>
    </xf>
    <xf numFmtId="0" fontId="6" fillId="2" borderId="0" xfId="0" applyFont="1" applyFill="1" applyAlignment="1" applyProtection="1">
      <alignment horizontal="center" vertical="center"/>
    </xf>
    <xf numFmtId="0" fontId="6" fillId="2" borderId="0" xfId="0" applyNumberFormat="1" applyFont="1" applyFill="1" applyAlignment="1" applyProtection="1">
      <alignment vertical="center"/>
    </xf>
    <xf numFmtId="0" fontId="18" fillId="2" borderId="0" xfId="0" applyFont="1" applyFill="1" applyAlignment="1" applyProtection="1">
      <alignment horizontal="center" vertical="center"/>
    </xf>
    <xf numFmtId="165" fontId="6" fillId="0" borderId="0" xfId="0" applyNumberFormat="1" applyFont="1" applyFill="1" applyAlignment="1" applyProtection="1">
      <alignment horizontal="center" vertical="center"/>
    </xf>
    <xf numFmtId="0" fontId="8" fillId="0" borderId="0" xfId="0" applyFont="1" applyFill="1" applyProtection="1"/>
    <xf numFmtId="0" fontId="9" fillId="0" borderId="0" xfId="0" applyFont="1" applyProtection="1"/>
    <xf numFmtId="0" fontId="9" fillId="0" borderId="0" xfId="0" applyFont="1" applyFill="1" applyBorder="1" applyProtection="1"/>
    <xf numFmtId="0" fontId="9" fillId="0" borderId="17" xfId="0" applyFont="1" applyBorder="1" applyAlignment="1" applyProtection="1">
      <alignment horizontal="right"/>
    </xf>
    <xf numFmtId="0" fontId="9" fillId="0" borderId="0" xfId="0" applyFont="1" applyBorder="1" applyAlignment="1" applyProtection="1">
      <alignment horizontal="left"/>
    </xf>
    <xf numFmtId="0" fontId="9" fillId="0" borderId="0" xfId="0" applyNumberFormat="1" applyFont="1" applyBorder="1" applyAlignment="1" applyProtection="1">
      <alignment horizontal="left"/>
    </xf>
    <xf numFmtId="0" fontId="19" fillId="0" borderId="0" xfId="0" applyFont="1" applyBorder="1" applyAlignment="1" applyProtection="1">
      <alignment horizontal="center"/>
    </xf>
    <xf numFmtId="165" fontId="9" fillId="0" borderId="0" xfId="0" applyNumberFormat="1" applyFont="1" applyBorder="1" applyAlignment="1" applyProtection="1">
      <alignment horizontal="center"/>
    </xf>
    <xf numFmtId="0" fontId="9" fillId="0" borderId="0" xfId="0" applyFont="1" applyAlignment="1" applyProtection="1"/>
    <xf numFmtId="0" fontId="9" fillId="0" borderId="18" xfId="0" applyFont="1" applyBorder="1" applyAlignment="1" applyProtection="1">
      <alignment horizontal="right"/>
    </xf>
    <xf numFmtId="14" fontId="4" fillId="0" borderId="0" xfId="0" applyNumberFormat="1" applyFont="1" applyBorder="1" applyAlignment="1" applyProtection="1">
      <alignment horizontal="left"/>
    </xf>
    <xf numFmtId="14" fontId="11" fillId="0" borderId="0" xfId="0" applyNumberFormat="1" applyFont="1" applyFill="1" applyBorder="1" applyAlignment="1" applyProtection="1">
      <alignment horizontal="left"/>
    </xf>
    <xf numFmtId="14" fontId="10" fillId="0" borderId="0" xfId="0" applyNumberFormat="1" applyFont="1" applyBorder="1" applyAlignment="1" applyProtection="1">
      <alignment horizontal="left"/>
    </xf>
    <xf numFmtId="14" fontId="10" fillId="0" borderId="0" xfId="0" applyNumberFormat="1" applyFont="1" applyBorder="1" applyAlignment="1" applyProtection="1">
      <alignment horizontal="center"/>
    </xf>
    <xf numFmtId="0" fontId="10" fillId="0" borderId="0" xfId="0" applyNumberFormat="1" applyFont="1" applyBorder="1" applyAlignment="1" applyProtection="1">
      <alignment horizontal="left"/>
    </xf>
    <xf numFmtId="14" fontId="19" fillId="0" borderId="0" xfId="0" applyNumberFormat="1" applyFont="1" applyBorder="1" applyAlignment="1" applyProtection="1">
      <alignment horizontal="center"/>
    </xf>
    <xf numFmtId="165" fontId="10" fillId="0" borderId="0" xfId="0" applyNumberFormat="1" applyFont="1" applyBorder="1" applyAlignment="1" applyProtection="1">
      <alignment horizontal="center"/>
    </xf>
    <xf numFmtId="0" fontId="9" fillId="0" borderId="0" xfId="0" applyFont="1" applyAlignment="1" applyProtection="1">
      <alignment horizontal="right"/>
    </xf>
    <xf numFmtId="14" fontId="4" fillId="0" borderId="0" xfId="0" applyNumberFormat="1" applyFont="1" applyBorder="1" applyAlignment="1" applyProtection="1">
      <alignment horizontal="center"/>
    </xf>
    <xf numFmtId="14" fontId="4" fillId="0" borderId="0" xfId="0" applyNumberFormat="1" applyFont="1" applyAlignment="1" applyProtection="1">
      <alignment horizontal="left"/>
    </xf>
    <xf numFmtId="0" fontId="4" fillId="0" borderId="0" xfId="0" applyNumberFormat="1" applyFont="1" applyAlignment="1" applyProtection="1">
      <alignment horizontal="left"/>
    </xf>
    <xf numFmtId="14" fontId="19" fillId="0" borderId="0" xfId="0" applyNumberFormat="1" applyFont="1" applyAlignment="1" applyProtection="1">
      <alignment horizontal="center"/>
    </xf>
    <xf numFmtId="165" fontId="4" fillId="0" borderId="0" xfId="0" applyNumberFormat="1" applyFont="1" applyBorder="1" applyAlignment="1" applyProtection="1">
      <alignment horizontal="center"/>
    </xf>
    <xf numFmtId="0" fontId="9" fillId="0" borderId="17" xfId="0" applyFont="1" applyBorder="1" applyAlignment="1" applyProtection="1">
      <alignment horizontal="right" indent="1"/>
    </xf>
    <xf numFmtId="14" fontId="9" fillId="0" borderId="0" xfId="0" applyNumberFormat="1" applyFont="1" applyBorder="1" applyAlignment="1" applyProtection="1">
      <alignment horizontal="left"/>
    </xf>
    <xf numFmtId="14" fontId="9" fillId="0" borderId="0" xfId="0" applyNumberFormat="1" applyFont="1" applyBorder="1" applyAlignment="1" applyProtection="1">
      <alignment horizontal="center"/>
    </xf>
    <xf numFmtId="0" fontId="9" fillId="0" borderId="0" xfId="0" applyNumberFormat="1" applyFont="1" applyAlignment="1" applyProtection="1">
      <alignment horizontal="right"/>
    </xf>
    <xf numFmtId="14" fontId="9" fillId="0" borderId="0" xfId="0" applyNumberFormat="1" applyFont="1" applyFill="1" applyProtection="1"/>
    <xf numFmtId="0" fontId="12" fillId="0" borderId="1" xfId="0" applyFont="1" applyFill="1" applyBorder="1" applyAlignment="1" applyProtection="1">
      <alignment horizontal="center"/>
    </xf>
    <xf numFmtId="0" fontId="12" fillId="0" borderId="1" xfId="0" applyFont="1" applyBorder="1" applyAlignment="1" applyProtection="1">
      <alignment horizontal="right" indent="1"/>
    </xf>
    <xf numFmtId="0" fontId="12" fillId="0" borderId="1" xfId="0" applyFont="1" applyBorder="1" applyAlignment="1" applyProtection="1">
      <alignment horizontal="center"/>
    </xf>
    <xf numFmtId="0" fontId="12" fillId="0" borderId="1" xfId="0" applyFont="1" applyBorder="1" applyAlignment="1" applyProtection="1">
      <alignment horizontal="center" textRotation="90"/>
    </xf>
    <xf numFmtId="0" fontId="12" fillId="0" borderId="1" xfId="0" applyNumberFormat="1" applyFont="1" applyBorder="1" applyAlignment="1" applyProtection="1">
      <alignment horizontal="center" textRotation="90"/>
    </xf>
    <xf numFmtId="165" fontId="12" fillId="0" borderId="1" xfId="0" applyNumberFormat="1" applyFont="1" applyBorder="1" applyAlignment="1" applyProtection="1">
      <alignment horizontal="center" textRotation="90"/>
    </xf>
    <xf numFmtId="0" fontId="9" fillId="0" borderId="1" xfId="0" applyFont="1" applyBorder="1" applyAlignment="1" applyProtection="1">
      <alignment horizontal="center" textRotation="90" wrapText="1"/>
    </xf>
    <xf numFmtId="0" fontId="9" fillId="0" borderId="1" xfId="0" applyFont="1" applyBorder="1" applyAlignment="1" applyProtection="1">
      <alignment horizontal="center" textRotation="90"/>
    </xf>
    <xf numFmtId="0" fontId="13" fillId="0" borderId="1" xfId="0" applyFont="1" applyBorder="1" applyAlignment="1" applyProtection="1">
      <alignment horizontal="center" textRotation="90"/>
    </xf>
    <xf numFmtId="0" fontId="4" fillId="0" borderId="1" xfId="0" applyFont="1" applyBorder="1" applyAlignment="1" applyProtection="1">
      <alignment horizontal="center" textRotation="90"/>
    </xf>
    <xf numFmtId="0" fontId="9" fillId="0" borderId="1" xfId="0" applyFont="1" applyBorder="1" applyAlignment="1" applyProtection="1"/>
    <xf numFmtId="49" fontId="4" fillId="0" borderId="0" xfId="0" applyNumberFormat="1" applyFont="1" applyFill="1" applyBorder="1" applyProtection="1"/>
    <xf numFmtId="0" fontId="4" fillId="0" borderId="0" xfId="0" applyFont="1" applyFill="1" applyBorder="1" applyAlignment="1" applyProtection="1">
      <alignment horizontal="right" indent="1"/>
    </xf>
    <xf numFmtId="0" fontId="4" fillId="0" borderId="0" xfId="0" applyFont="1" applyFill="1" applyBorder="1" applyProtection="1"/>
    <xf numFmtId="0" fontId="4" fillId="0" borderId="0" xfId="0" applyFont="1" applyFill="1" applyBorder="1" applyAlignment="1" applyProtection="1">
      <alignment horizontal="center"/>
    </xf>
    <xf numFmtId="0" fontId="4" fillId="0" borderId="0" xfId="0" applyNumberFormat="1" applyFont="1" applyFill="1" applyBorder="1" applyProtection="1"/>
    <xf numFmtId="0" fontId="19" fillId="0" borderId="0" xfId="0" applyFont="1" applyFill="1" applyBorder="1" applyAlignment="1" applyProtection="1">
      <alignment horizontal="center"/>
    </xf>
    <xf numFmtId="165" fontId="4" fillId="0" borderId="0" xfId="0" applyNumberFormat="1" applyFont="1" applyFill="1" applyBorder="1" applyAlignment="1" applyProtection="1">
      <alignment horizontal="center"/>
    </xf>
    <xf numFmtId="49" fontId="4" fillId="6" borderId="0" xfId="0" applyNumberFormat="1" applyFont="1" applyFill="1" applyBorder="1" applyProtection="1"/>
    <xf numFmtId="0" fontId="4" fillId="6" borderId="0" xfId="0" applyFont="1" applyFill="1" applyBorder="1" applyProtection="1"/>
    <xf numFmtId="0" fontId="4" fillId="6" borderId="2" xfId="0" applyFont="1" applyFill="1" applyBorder="1" applyProtection="1"/>
    <xf numFmtId="1" fontId="4" fillId="6" borderId="2" xfId="0" applyNumberFormat="1" applyFont="1" applyFill="1" applyBorder="1" applyAlignment="1" applyProtection="1">
      <alignment horizontal="center"/>
    </xf>
    <xf numFmtId="1" fontId="4" fillId="6" borderId="2" xfId="0" applyNumberFormat="1" applyFont="1" applyFill="1" applyBorder="1" applyProtection="1"/>
    <xf numFmtId="1" fontId="19" fillId="6" borderId="2" xfId="0" applyNumberFormat="1" applyFont="1" applyFill="1" applyBorder="1" applyAlignment="1" applyProtection="1">
      <alignment horizontal="center"/>
    </xf>
    <xf numFmtId="165" fontId="4" fillId="6" borderId="2" xfId="0" applyNumberFormat="1" applyFont="1" applyFill="1" applyBorder="1" applyAlignment="1" applyProtection="1">
      <alignment horizontal="center"/>
    </xf>
    <xf numFmtId="1" fontId="4" fillId="7" borderId="2" xfId="0" applyNumberFormat="1" applyFont="1" applyFill="1" applyBorder="1" applyAlignment="1" applyProtection="1">
      <alignment horizontal="center"/>
    </xf>
    <xf numFmtId="9" fontId="4" fillId="7" borderId="2" xfId="2" applyFont="1" applyFill="1" applyBorder="1" applyAlignment="1" applyProtection="1">
      <alignment horizontal="center"/>
    </xf>
    <xf numFmtId="1" fontId="4" fillId="6" borderId="2" xfId="2" applyNumberFormat="1" applyFont="1" applyFill="1" applyBorder="1" applyAlignment="1" applyProtection="1">
      <alignment horizontal="center"/>
    </xf>
    <xf numFmtId="1" fontId="4" fillId="5" borderId="2" xfId="2" applyNumberFormat="1" applyFont="1" applyFill="1" applyBorder="1" applyAlignment="1" applyProtection="1">
      <alignment horizontal="center"/>
    </xf>
    <xf numFmtId="49" fontId="4" fillId="2" borderId="2" xfId="0" applyNumberFormat="1" applyFont="1" applyFill="1" applyBorder="1" applyAlignment="1" applyProtection="1">
      <alignment horizontal="left"/>
    </xf>
    <xf numFmtId="0" fontId="4" fillId="2" borderId="2" xfId="0" applyFont="1" applyFill="1" applyBorder="1" applyProtection="1"/>
    <xf numFmtId="0" fontId="4" fillId="2" borderId="2" xfId="0" applyFont="1" applyFill="1" applyBorder="1" applyAlignment="1" applyProtection="1">
      <alignment horizontal="center"/>
    </xf>
    <xf numFmtId="1" fontId="4" fillId="2" borderId="2" xfId="0" applyNumberFormat="1" applyFont="1" applyFill="1" applyBorder="1" applyAlignment="1" applyProtection="1">
      <alignment horizontal="center"/>
    </xf>
    <xf numFmtId="1" fontId="4" fillId="2" borderId="2" xfId="0" applyNumberFormat="1" applyFont="1" applyFill="1" applyBorder="1" applyProtection="1"/>
    <xf numFmtId="165" fontId="4" fillId="2" borderId="2" xfId="0" applyNumberFormat="1" applyFont="1" applyFill="1" applyBorder="1" applyAlignment="1" applyProtection="1">
      <alignment horizontal="center"/>
    </xf>
    <xf numFmtId="1" fontId="4" fillId="4" borderId="2" xfId="0" applyNumberFormat="1" applyFont="1" applyFill="1" applyBorder="1" applyAlignment="1" applyProtection="1">
      <alignment horizontal="center"/>
    </xf>
    <xf numFmtId="9" fontId="4" fillId="4" borderId="2" xfId="2" applyFont="1" applyFill="1" applyBorder="1" applyAlignment="1" applyProtection="1">
      <alignment horizontal="center"/>
    </xf>
    <xf numFmtId="1" fontId="4" fillId="5" borderId="2" xfId="0" applyNumberFormat="1" applyFont="1" applyFill="1" applyBorder="1" applyAlignment="1" applyProtection="1">
      <alignment horizontal="center"/>
    </xf>
    <xf numFmtId="49" fontId="4" fillId="0" borderId="2" xfId="0" applyNumberFormat="1" applyFont="1" applyBorder="1" applyAlignment="1" applyProtection="1">
      <alignment horizontal="left"/>
    </xf>
    <xf numFmtId="0" fontId="4" fillId="0" borderId="2" xfId="0" applyFont="1" applyFill="1" applyBorder="1" applyProtection="1"/>
    <xf numFmtId="0" fontId="4" fillId="0" borderId="2" xfId="0" applyFont="1" applyFill="1" applyBorder="1" applyAlignment="1" applyProtection="1">
      <alignment horizontal="center"/>
    </xf>
    <xf numFmtId="1" fontId="4" fillId="0" borderId="2" xfId="0" applyNumberFormat="1" applyFont="1" applyFill="1" applyBorder="1" applyAlignment="1" applyProtection="1">
      <alignment horizontal="center"/>
    </xf>
    <xf numFmtId="1" fontId="4" fillId="0" borderId="2" xfId="0" applyNumberFormat="1" applyFont="1" applyFill="1" applyBorder="1" applyProtection="1"/>
    <xf numFmtId="165" fontId="4" fillId="0" borderId="2" xfId="0" applyNumberFormat="1" applyFont="1" applyFill="1" applyBorder="1" applyAlignment="1" applyProtection="1">
      <alignment horizontal="center"/>
    </xf>
    <xf numFmtId="1" fontId="4" fillId="3" borderId="2" xfId="0" applyNumberFormat="1" applyFont="1" applyFill="1" applyBorder="1" applyAlignment="1" applyProtection="1">
      <alignment horizontal="center"/>
    </xf>
    <xf numFmtId="1" fontId="4" fillId="0" borderId="2" xfId="2" applyNumberFormat="1" applyFont="1" applyFill="1" applyBorder="1" applyAlignment="1" applyProtection="1">
      <alignment horizontal="center"/>
    </xf>
    <xf numFmtId="0" fontId="4" fillId="0" borderId="2" xfId="0" applyNumberFormat="1" applyFont="1" applyBorder="1" applyAlignment="1" applyProtection="1">
      <alignment horizontal="left"/>
    </xf>
    <xf numFmtId="165" fontId="9" fillId="0" borderId="0" xfId="0" applyNumberFormat="1" applyFont="1" applyAlignment="1" applyProtection="1">
      <alignment horizontal="center" vertical="center"/>
    </xf>
    <xf numFmtId="167" fontId="9" fillId="0" borderId="0" xfId="4" applyNumberFormat="1" applyFont="1" applyAlignment="1" applyProtection="1">
      <alignment horizontal="center" readingOrder="2"/>
    </xf>
    <xf numFmtId="165" fontId="9" fillId="0" borderId="0" xfId="0" applyNumberFormat="1" applyFont="1" applyFill="1" applyBorder="1" applyAlignment="1" applyProtection="1">
      <alignment horizontal="center" vertical="center"/>
    </xf>
    <xf numFmtId="167" fontId="9" fillId="0" borderId="0" xfId="4" applyNumberFormat="1" applyFont="1" applyFill="1" applyBorder="1" applyAlignment="1" applyProtection="1">
      <alignment horizontal="center" readingOrder="2"/>
    </xf>
    <xf numFmtId="165" fontId="9" fillId="2" borderId="0" xfId="0" applyNumberFormat="1" applyFont="1" applyFill="1" applyAlignment="1" applyProtection="1">
      <alignment horizontal="center" vertical="center"/>
    </xf>
    <xf numFmtId="167" fontId="9" fillId="2" borderId="0" xfId="4" applyNumberFormat="1" applyFont="1" applyFill="1" applyAlignment="1" applyProtection="1">
      <alignment horizontal="center" readingOrder="2"/>
    </xf>
    <xf numFmtId="0" fontId="9" fillId="2" borderId="0" xfId="0" applyFont="1" applyFill="1" applyProtection="1"/>
    <xf numFmtId="165" fontId="4" fillId="0" borderId="0" xfId="0" applyNumberFormat="1" applyFont="1" applyFill="1" applyBorder="1" applyAlignment="1" applyProtection="1">
      <alignment horizontal="center" vertical="center" textRotation="90"/>
    </xf>
    <xf numFmtId="0" fontId="9" fillId="0" borderId="0" xfId="0" applyFont="1" applyFill="1" applyBorder="1" applyAlignment="1" applyProtection="1"/>
    <xf numFmtId="165" fontId="4" fillId="0" borderId="0" xfId="0" applyNumberFormat="1" applyFont="1" applyFill="1" applyBorder="1" applyAlignment="1" applyProtection="1">
      <alignment horizontal="center" vertical="center"/>
    </xf>
    <xf numFmtId="167" fontId="4" fillId="0" borderId="0" xfId="4" applyNumberFormat="1" applyFont="1" applyFill="1" applyBorder="1" applyAlignment="1" applyProtection="1">
      <alignment horizontal="center" readingOrder="2"/>
    </xf>
    <xf numFmtId="165" fontId="4" fillId="6" borderId="0" xfId="0" applyNumberFormat="1" applyFont="1" applyFill="1" applyBorder="1" applyAlignment="1" applyProtection="1">
      <alignment horizontal="center" vertical="center"/>
    </xf>
    <xf numFmtId="167" fontId="4" fillId="6" borderId="0" xfId="4" applyNumberFormat="1" applyFont="1" applyFill="1" applyBorder="1" applyAlignment="1" applyProtection="1">
      <alignment horizontal="center" readingOrder="2"/>
    </xf>
    <xf numFmtId="165" fontId="4" fillId="2" borderId="2" xfId="0" applyNumberFormat="1" applyFont="1" applyFill="1" applyBorder="1" applyAlignment="1" applyProtection="1">
      <alignment horizontal="center" vertical="center"/>
    </xf>
    <xf numFmtId="167" fontId="4" fillId="2" borderId="2" xfId="4" applyNumberFormat="1" applyFont="1" applyFill="1" applyBorder="1" applyAlignment="1" applyProtection="1">
      <alignment horizontal="center" readingOrder="2"/>
    </xf>
    <xf numFmtId="167" fontId="22" fillId="0" borderId="0" xfId="4" applyNumberFormat="1" applyFont="1" applyBorder="1" applyAlignment="1" applyProtection="1">
      <alignment horizontal="center" readingOrder="2"/>
    </xf>
    <xf numFmtId="0" fontId="4" fillId="0" borderId="2" xfId="0" applyFont="1" applyBorder="1" applyProtection="1"/>
    <xf numFmtId="167" fontId="4" fillId="0" borderId="2" xfId="4" applyNumberFormat="1" applyFont="1" applyBorder="1" applyAlignment="1" applyProtection="1">
      <alignment horizontal="center" readingOrder="2"/>
    </xf>
    <xf numFmtId="0" fontId="4" fillId="2" borderId="2" xfId="0" applyNumberFormat="1" applyFont="1" applyFill="1" applyBorder="1" applyAlignment="1" applyProtection="1">
      <alignment horizontal="left"/>
    </xf>
    <xf numFmtId="165" fontId="4" fillId="2" borderId="2" xfId="4" applyNumberFormat="1" applyFont="1" applyFill="1" applyBorder="1" applyAlignment="1" applyProtection="1">
      <alignment horizontal="center" readingOrder="2"/>
    </xf>
    <xf numFmtId="0" fontId="9" fillId="0" borderId="0" xfId="0" applyFont="1" applyAlignment="1" applyProtection="1">
      <alignment horizontal="right" indent="1"/>
    </xf>
    <xf numFmtId="0" fontId="9" fillId="0" borderId="0" xfId="0" applyFont="1" applyAlignment="1" applyProtection="1">
      <alignment horizontal="center"/>
    </xf>
    <xf numFmtId="0" fontId="9" fillId="0" borderId="0" xfId="0" applyNumberFormat="1" applyFont="1" applyProtection="1"/>
    <xf numFmtId="0" fontId="19" fillId="0" borderId="0" xfId="0" applyFont="1" applyAlignment="1" applyProtection="1">
      <alignment horizontal="center"/>
    </xf>
    <xf numFmtId="165" fontId="9" fillId="0" borderId="0" xfId="0" applyNumberFormat="1" applyFont="1" applyAlignment="1" applyProtection="1">
      <alignment horizontal="center"/>
    </xf>
    <xf numFmtId="0" fontId="4" fillId="0" borderId="2" xfId="0" applyFont="1" applyBorder="1" applyAlignment="1" applyProtection="1">
      <alignment horizontal="center" vertical="center"/>
      <protection locked="0"/>
    </xf>
    <xf numFmtId="20" fontId="4" fillId="0" borderId="2" xfId="0" applyNumberFormat="1" applyFont="1" applyBorder="1" applyAlignment="1" applyProtection="1">
      <alignment horizontal="center" vertical="center"/>
      <protection locked="0"/>
    </xf>
    <xf numFmtId="167" fontId="22" fillId="0" borderId="5" xfId="4" applyNumberFormat="1" applyFont="1" applyBorder="1" applyAlignment="1" applyProtection="1">
      <alignment horizontal="center"/>
      <protection locked="0"/>
    </xf>
    <xf numFmtId="9" fontId="4" fillId="0" borderId="5" xfId="2" applyFont="1" applyFill="1" applyBorder="1" applyAlignment="1" applyProtection="1">
      <alignment horizontal="center" vertical="center" wrapText="1"/>
      <protection locked="0"/>
    </xf>
    <xf numFmtId="20" fontId="4" fillId="0" borderId="2" xfId="0" applyNumberFormat="1" applyFont="1" applyBorder="1" applyProtection="1"/>
    <xf numFmtId="0" fontId="15" fillId="0" borderId="0" xfId="0" applyNumberFormat="1" applyFont="1" applyFill="1" applyBorder="1" applyAlignment="1" applyProtection="1">
      <alignment horizontal="center" vertical="center"/>
    </xf>
    <xf numFmtId="0" fontId="15" fillId="0" borderId="0" xfId="0" applyNumberFormat="1" applyFont="1" applyFill="1" applyBorder="1" applyAlignment="1" applyProtection="1">
      <alignment horizontal="right" vertical="center"/>
    </xf>
    <xf numFmtId="14" fontId="12" fillId="0" borderId="0" xfId="0" applyNumberFormat="1" applyFont="1" applyBorder="1" applyAlignment="1" applyProtection="1">
      <alignment horizontal="left"/>
    </xf>
    <xf numFmtId="0" fontId="12" fillId="0" borderId="2" xfId="0" applyFont="1" applyFill="1" applyBorder="1" applyAlignment="1" applyProtection="1">
      <alignment horizontal="right" wrapText="1" indent="1"/>
      <protection locked="0"/>
    </xf>
    <xf numFmtId="0" fontId="10" fillId="0" borderId="0" xfId="0" applyFont="1" applyAlignment="1" applyProtection="1">
      <alignment horizontal="right" wrapText="1" indent="1"/>
    </xf>
    <xf numFmtId="0" fontId="4" fillId="0" borderId="2" xfId="0" applyFont="1" applyBorder="1" applyAlignment="1" applyProtection="1">
      <alignment horizontal="right" indent="1"/>
    </xf>
    <xf numFmtId="0" fontId="6" fillId="9" borderId="0" xfId="0" applyFont="1" applyFill="1" applyAlignment="1" applyProtection="1">
      <alignment vertical="center"/>
    </xf>
    <xf numFmtId="49" fontId="4" fillId="0" borderId="2" xfId="0" applyNumberFormat="1" applyFont="1" applyFill="1" applyBorder="1" applyAlignment="1" applyProtection="1">
      <alignment horizontal="left"/>
    </xf>
    <xf numFmtId="0" fontId="4" fillId="0" borderId="2" xfId="0" applyFont="1" applyFill="1" applyBorder="1" applyAlignment="1">
      <alignment horizontal="center" vertical="center"/>
    </xf>
    <xf numFmtId="165" fontId="4" fillId="0" borderId="2" xfId="0" applyNumberFormat="1" applyFont="1" applyFill="1" applyBorder="1" applyAlignment="1" applyProtection="1">
      <alignment horizontal="center" vertical="center"/>
      <protection locked="0"/>
    </xf>
    <xf numFmtId="167" fontId="4" fillId="0" borderId="2" xfId="4" applyNumberFormat="1" applyFont="1" applyFill="1" applyBorder="1" applyAlignment="1">
      <alignment horizontal="center" readingOrder="2"/>
    </xf>
    <xf numFmtId="1" fontId="4" fillId="10" borderId="2" xfId="0" applyNumberFormat="1" applyFont="1" applyFill="1" applyBorder="1" applyAlignment="1">
      <alignment horizontal="center"/>
    </xf>
    <xf numFmtId="9" fontId="4" fillId="10" borderId="2" xfId="2" applyFont="1" applyFill="1" applyBorder="1" applyAlignment="1" applyProtection="1">
      <alignment horizontal="center"/>
      <protection locked="0"/>
    </xf>
    <xf numFmtId="0" fontId="4" fillId="0" borderId="2" xfId="0" applyNumberFormat="1" applyFont="1" applyFill="1" applyBorder="1" applyAlignment="1">
      <alignment horizontal="left"/>
    </xf>
    <xf numFmtId="165" fontId="4" fillId="0" borderId="2" xfId="0" applyNumberFormat="1" applyFont="1" applyFill="1" applyBorder="1" applyAlignment="1">
      <alignment horizontal="center" vertical="center"/>
    </xf>
    <xf numFmtId="165" fontId="4" fillId="0" borderId="2" xfId="4" applyNumberFormat="1" applyFont="1" applyFill="1" applyBorder="1" applyAlignment="1" applyProtection="1">
      <alignment horizontal="center" readingOrder="2"/>
      <protection locked="0"/>
    </xf>
    <xf numFmtId="20" fontId="4" fillId="0" borderId="2" xfId="0" applyNumberFormat="1" applyFont="1" applyFill="1" applyBorder="1" applyProtection="1">
      <protection locked="0"/>
    </xf>
    <xf numFmtId="167" fontId="4" fillId="0" borderId="2" xfId="4" applyNumberFormat="1" applyFont="1" applyFill="1" applyBorder="1" applyAlignment="1" applyProtection="1">
      <alignment horizontal="center" readingOrder="2"/>
    </xf>
    <xf numFmtId="165" fontId="4" fillId="0" borderId="2" xfId="0" applyNumberFormat="1" applyFont="1" applyFill="1" applyBorder="1" applyProtection="1">
      <protection locked="0"/>
    </xf>
    <xf numFmtId="1" fontId="4" fillId="8" borderId="2" xfId="0" applyNumberFormat="1" applyFont="1" applyFill="1" applyBorder="1" applyAlignment="1" applyProtection="1">
      <alignment horizontal="center"/>
    </xf>
    <xf numFmtId="1" fontId="4" fillId="10" borderId="2" xfId="0" applyNumberFormat="1" applyFont="1" applyFill="1" applyBorder="1" applyAlignment="1" applyProtection="1">
      <alignment horizontal="center"/>
    </xf>
    <xf numFmtId="0" fontId="4" fillId="0" borderId="2" xfId="0" applyNumberFormat="1" applyFont="1" applyFill="1" applyBorder="1" applyAlignment="1" applyProtection="1">
      <alignment horizontal="left"/>
    </xf>
    <xf numFmtId="0" fontId="4" fillId="8" borderId="2" xfId="0" applyNumberFormat="1" applyFont="1" applyFill="1" applyBorder="1" applyAlignment="1">
      <alignment horizontal="left"/>
    </xf>
    <xf numFmtId="0" fontId="4" fillId="8" borderId="2" xfId="0" applyFont="1" applyFill="1" applyBorder="1" applyAlignment="1" applyProtection="1">
      <alignment horizontal="right" wrapText="1" indent="1"/>
      <protection locked="0"/>
    </xf>
    <xf numFmtId="0" fontId="4" fillId="8" borderId="2" xfId="0" applyFont="1" applyFill="1" applyBorder="1" applyProtection="1">
      <protection locked="0"/>
    </xf>
    <xf numFmtId="1" fontId="4" fillId="8" borderId="2" xfId="0" applyNumberFormat="1" applyFont="1" applyFill="1" applyBorder="1" applyAlignment="1">
      <alignment horizontal="center"/>
    </xf>
    <xf numFmtId="0" fontId="4" fillId="8" borderId="2" xfId="0" applyFont="1" applyFill="1" applyBorder="1"/>
    <xf numFmtId="165" fontId="4" fillId="8" borderId="2" xfId="0" applyNumberFormat="1" applyFont="1" applyFill="1" applyBorder="1" applyAlignment="1">
      <alignment horizontal="center" vertical="center"/>
    </xf>
    <xf numFmtId="165" fontId="4" fillId="8" borderId="2" xfId="0" applyNumberFormat="1" applyFont="1" applyFill="1" applyBorder="1" applyAlignment="1" applyProtection="1">
      <alignment horizontal="center" vertical="center"/>
    </xf>
    <xf numFmtId="167" fontId="4" fillId="8" borderId="2" xfId="4" applyNumberFormat="1" applyFont="1" applyFill="1" applyBorder="1" applyAlignment="1" applyProtection="1">
      <alignment horizontal="center" readingOrder="2"/>
    </xf>
    <xf numFmtId="0" fontId="4" fillId="8" borderId="2" xfId="0" applyFont="1" applyFill="1" applyBorder="1" applyProtection="1"/>
    <xf numFmtId="1" fontId="4" fillId="11" borderId="2" xfId="0" applyNumberFormat="1" applyFont="1" applyFill="1" applyBorder="1" applyAlignment="1">
      <alignment horizontal="center"/>
    </xf>
    <xf numFmtId="9" fontId="4" fillId="11" borderId="2" xfId="2" applyFont="1" applyFill="1" applyBorder="1" applyAlignment="1" applyProtection="1">
      <alignment horizontal="center"/>
    </xf>
    <xf numFmtId="0" fontId="4" fillId="12" borderId="2" xfId="0" applyFont="1" applyFill="1" applyBorder="1"/>
    <xf numFmtId="1" fontId="4" fillId="12" borderId="2" xfId="0" applyNumberFormat="1" applyFont="1" applyFill="1" applyBorder="1"/>
    <xf numFmtId="1" fontId="4" fillId="12" borderId="2" xfId="0" applyNumberFormat="1" applyFont="1" applyFill="1" applyBorder="1" applyAlignment="1">
      <alignment horizontal="center"/>
    </xf>
    <xf numFmtId="165" fontId="4" fillId="12" borderId="2" xfId="0" applyNumberFormat="1" applyFont="1" applyFill="1" applyBorder="1" applyAlignment="1">
      <alignment horizontal="center"/>
    </xf>
    <xf numFmtId="1" fontId="4" fillId="12" borderId="2" xfId="2" applyNumberFormat="1" applyFont="1" applyFill="1" applyBorder="1" applyAlignment="1">
      <alignment horizontal="center"/>
    </xf>
    <xf numFmtId="0" fontId="4" fillId="12" borderId="2" xfId="0" applyNumberFormat="1" applyFont="1" applyFill="1" applyBorder="1" applyAlignment="1">
      <alignment horizontal="left"/>
    </xf>
    <xf numFmtId="0" fontId="4" fillId="12" borderId="2" xfId="0" applyFont="1" applyFill="1" applyBorder="1" applyAlignment="1" applyProtection="1">
      <alignment horizontal="right" wrapText="1" indent="1"/>
      <protection locked="0"/>
    </xf>
    <xf numFmtId="0" fontId="4" fillId="12" borderId="2" xfId="0" applyFont="1" applyFill="1" applyBorder="1" applyProtection="1">
      <protection locked="0"/>
    </xf>
    <xf numFmtId="1" fontId="4" fillId="12" borderId="2" xfId="0" applyNumberFormat="1" applyFont="1" applyFill="1" applyBorder="1" applyProtection="1">
      <protection locked="0"/>
    </xf>
    <xf numFmtId="0" fontId="4" fillId="12" borderId="2" xfId="0" applyNumberFormat="1" applyFont="1" applyFill="1" applyBorder="1" applyProtection="1">
      <protection locked="0"/>
    </xf>
    <xf numFmtId="9" fontId="4" fillId="12" borderId="2" xfId="2" applyFont="1" applyFill="1" applyBorder="1" applyAlignment="1" applyProtection="1">
      <alignment horizontal="center"/>
      <protection locked="0"/>
    </xf>
    <xf numFmtId="1" fontId="4" fillId="12" borderId="2" xfId="0" applyNumberFormat="1" applyFont="1" applyFill="1" applyBorder="1" applyAlignment="1" applyProtection="1">
      <alignment horizontal="center"/>
      <protection locked="0"/>
    </xf>
    <xf numFmtId="167" fontId="4" fillId="12" borderId="2" xfId="4" applyNumberFormat="1" applyFont="1" applyFill="1" applyBorder="1" applyAlignment="1">
      <alignment horizontal="center" readingOrder="2"/>
    </xf>
    <xf numFmtId="14" fontId="4" fillId="0" borderId="3" xfId="0" applyNumberFormat="1" applyFont="1" applyBorder="1" applyAlignment="1" applyProtection="1">
      <alignment horizontal="center" textRotation="90"/>
    </xf>
    <xf numFmtId="0" fontId="4" fillId="0" borderId="1" xfId="0" applyFont="1" applyBorder="1" applyAlignment="1" applyProtection="1">
      <alignment horizontal="center" textRotation="90"/>
    </xf>
    <xf numFmtId="0" fontId="4" fillId="0" borderId="4" xfId="0" applyFont="1" applyBorder="1" applyAlignment="1" applyProtection="1">
      <alignment horizontal="center" textRotation="90"/>
    </xf>
    <xf numFmtId="14" fontId="9" fillId="0" borderId="0" xfId="0" applyNumberFormat="1" applyFont="1" applyBorder="1" applyAlignment="1" applyProtection="1">
      <alignment horizontal="center"/>
    </xf>
    <xf numFmtId="0" fontId="9" fillId="0" borderId="0" xfId="0" applyFont="1" applyBorder="1" applyAlignment="1" applyProtection="1">
      <alignment horizontal="center"/>
    </xf>
    <xf numFmtId="0" fontId="22" fillId="0" borderId="5" xfId="0" applyFont="1" applyBorder="1" applyAlignment="1">
      <alignment horizontal="center"/>
    </xf>
    <xf numFmtId="0" fontId="22" fillId="0" borderId="17" xfId="0" applyFont="1" applyBorder="1" applyAlignment="1">
      <alignment horizontal="center"/>
    </xf>
    <xf numFmtId="0" fontId="4" fillId="0" borderId="6" xfId="0" applyFont="1" applyFill="1" applyBorder="1" applyAlignment="1">
      <alignment horizontal="center"/>
    </xf>
    <xf numFmtId="0" fontId="4" fillId="0" borderId="7" xfId="0" applyFont="1" applyFill="1" applyBorder="1" applyAlignment="1">
      <alignment horizontal="center"/>
    </xf>
    <xf numFmtId="0" fontId="19" fillId="0" borderId="8" xfId="0" applyFont="1" applyBorder="1" applyAlignment="1">
      <alignment horizontal="center"/>
    </xf>
    <xf numFmtId="0" fontId="19" fillId="0" borderId="9" xfId="0" applyFont="1" applyBorder="1" applyAlignment="1">
      <alignment horizontal="center"/>
    </xf>
    <xf numFmtId="0" fontId="22" fillId="0" borderId="5" xfId="0" applyFont="1" applyBorder="1" applyAlignment="1">
      <alignment horizontal="center" vertical="center"/>
    </xf>
    <xf numFmtId="167" fontId="22" fillId="0" borderId="5" xfId="4" applyNumberFormat="1" applyFont="1" applyBorder="1" applyAlignment="1">
      <alignment horizontal="center" vertical="center"/>
    </xf>
    <xf numFmtId="0" fontId="22" fillId="0" borderId="6" xfId="0" applyFont="1" applyBorder="1" applyAlignment="1">
      <alignment horizontal="center"/>
    </xf>
    <xf numFmtId="0" fontId="22" fillId="0" borderId="7" xfId="0" applyFont="1" applyBorder="1" applyAlignment="1">
      <alignment horizontal="center"/>
    </xf>
    <xf numFmtId="166" fontId="22" fillId="0" borderId="6" xfId="4" applyNumberFormat="1" applyFont="1" applyBorder="1" applyAlignment="1">
      <alignment horizontal="center"/>
    </xf>
    <xf numFmtId="166" fontId="22" fillId="0" borderId="7" xfId="4" applyNumberFormat="1" applyFont="1" applyBorder="1" applyAlignment="1">
      <alignment horizontal="center"/>
    </xf>
    <xf numFmtId="166" fontId="22" fillId="0" borderId="6" xfId="4" applyNumberFormat="1" applyFont="1" applyBorder="1" applyAlignment="1" applyProtection="1">
      <alignment horizontal="center"/>
      <protection locked="0"/>
    </xf>
    <xf numFmtId="166" fontId="22" fillId="0" borderId="7" xfId="4" applyNumberFormat="1" applyFont="1" applyBorder="1" applyAlignment="1" applyProtection="1">
      <alignment horizontal="center"/>
      <protection locked="0"/>
    </xf>
    <xf numFmtId="165" fontId="24" fillId="0" borderId="2" xfId="0" applyNumberFormat="1" applyFont="1" applyFill="1" applyBorder="1" applyAlignment="1">
      <alignment horizontal="center" vertical="center" wrapText="1"/>
    </xf>
    <xf numFmtId="165" fontId="24" fillId="0" borderId="1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4" fillId="0" borderId="13" xfId="0" applyFont="1" applyFill="1" applyBorder="1" applyAlignment="1">
      <alignment horizontal="center" vertical="center" wrapText="1"/>
    </xf>
    <xf numFmtId="0" fontId="4" fillId="0" borderId="14" xfId="0" applyFont="1" applyFill="1" applyBorder="1" applyAlignment="1">
      <alignment horizontal="center" vertical="center" wrapText="1"/>
    </xf>
    <xf numFmtId="165" fontId="4" fillId="0" borderId="15" xfId="0" applyNumberFormat="1" applyFont="1" applyFill="1" applyBorder="1" applyAlignment="1">
      <alignment horizontal="center" wrapText="1"/>
    </xf>
    <xf numFmtId="169" fontId="4" fillId="0" borderId="13" xfId="0" applyNumberFormat="1" applyFont="1" applyFill="1" applyBorder="1" applyAlignment="1" applyProtection="1">
      <alignment horizontal="center" vertical="center" textRotation="90" wrapText="1" readingOrder="2"/>
      <protection locked="0"/>
    </xf>
    <xf numFmtId="169" fontId="4" fillId="0" borderId="14" xfId="0" applyNumberFormat="1" applyFont="1" applyFill="1" applyBorder="1" applyAlignment="1" applyProtection="1">
      <alignment horizontal="center" vertical="center" textRotation="90" wrapText="1" readingOrder="2"/>
      <protection locked="0"/>
    </xf>
    <xf numFmtId="9" fontId="4" fillId="0" borderId="13" xfId="2" applyFont="1" applyFill="1" applyBorder="1" applyAlignment="1">
      <alignment horizontal="center" vertical="center" textRotation="90" wrapText="1"/>
    </xf>
    <xf numFmtId="9" fontId="4" fillId="0" borderId="14" xfId="2" applyFont="1" applyFill="1" applyBorder="1" applyAlignment="1">
      <alignment horizontal="center" vertical="center" textRotation="90" wrapText="1"/>
    </xf>
    <xf numFmtId="0" fontId="4" fillId="0" borderId="13" xfId="0" applyFont="1" applyFill="1" applyBorder="1" applyAlignment="1">
      <alignment horizontal="center" vertical="center" textRotation="90" wrapText="1"/>
    </xf>
    <xf numFmtId="0" fontId="4" fillId="0" borderId="14" xfId="0" applyFont="1" applyFill="1" applyBorder="1" applyAlignment="1">
      <alignment horizontal="center" vertical="center" textRotation="90" wrapText="1"/>
    </xf>
    <xf numFmtId="169" fontId="4" fillId="0" borderId="13" xfId="0" applyNumberFormat="1" applyFont="1" applyFill="1" applyBorder="1" applyAlignment="1">
      <alignment horizontal="center" vertical="center" textRotation="90" wrapText="1" readingOrder="2"/>
    </xf>
    <xf numFmtId="169" fontId="4" fillId="0" borderId="14" xfId="0" applyNumberFormat="1" applyFont="1" applyFill="1" applyBorder="1" applyAlignment="1">
      <alignment horizontal="center" vertical="center" textRotation="90" wrapText="1" readingOrder="2"/>
    </xf>
  </cellXfs>
  <cellStyles count="8">
    <cellStyle name="Currency" xfId="4" builtinId="4"/>
    <cellStyle name="Hyperlink" xfId="1" builtinId="8"/>
    <cellStyle name="Normal" xfId="0" builtinId="0"/>
    <cellStyle name="Normal 2" xfId="3"/>
    <cellStyle name="Normal 2 2" xfId="7"/>
    <cellStyle name="Percent" xfId="2" builtinId="5"/>
    <cellStyle name="فراپیوند 2" xfId="6"/>
    <cellStyle name="معمولی 2" xfId="5"/>
  </cellStyles>
  <dxfs count="2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>
          <bgColor theme="1" tint="0.24994659260841701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indexed="63"/>
        </patternFill>
      </fill>
    </dxf>
    <dxf>
      <fill>
        <patternFill>
          <bgColor indexed="4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ill>
        <patternFill>
          <bgColor indexed="23"/>
        </patternFill>
      </fill>
    </dxf>
    <dxf>
      <fill>
        <patternFill>
          <bgColor indexed="44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99FF99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EAEAEA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D7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C0C0C0"/>
      <rgbColor rgb="00003366"/>
      <rgbColor rgb="00339966"/>
      <rgbColor rgb="00003300"/>
      <rgbColor rgb="00333300"/>
      <rgbColor rgb="00993300"/>
      <rgbColor rgb="00993366"/>
      <rgbColor rgb="00333399"/>
      <rgbColor rgb="005F5F5F"/>
    </indexedColors>
    <mruColors>
      <color rgb="FF99FF99"/>
      <color rgb="FF66FF66"/>
      <color rgb="FF99FF66"/>
      <color rgb="FF00FF00"/>
      <color rgb="FFEAEAEA"/>
      <color rgb="FFC0C0C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Scroll" dx="16" fmlaLink="$R$5" horiz="1" max="100" page="4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171450</xdr:colOff>
          <xdr:row>3</xdr:row>
          <xdr:rowOff>209550</xdr:rowOff>
        </xdr:from>
        <xdr:to>
          <xdr:col>132</xdr:col>
          <xdr:colOff>0</xdr:colOff>
          <xdr:row>5</xdr:row>
          <xdr:rowOff>238125</xdr:rowOff>
        </xdr:to>
        <xdr:sp macro="" textlink="">
          <xdr:nvSpPr>
            <xdr:cNvPr id="6145" name="Scroll Bar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=""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Holieday" displayName="Holieday" ref="A1:F28" totalsRowCount="1" headerRowDxfId="13" dataDxfId="12" headerRowCellStyle="Normal 2" dataCellStyle="Normal 2">
  <autoFilter ref="A1:F27"/>
  <tableColumns count="6">
    <tableColumn id="1" name="date" totalsRowLabel="مجموع" dataDxfId="11" totalsRowDxfId="10" dataCellStyle="Normal 2"/>
    <tableColumn id="2" name="year" dataDxfId="9" totalsRowDxfId="8" dataCellStyle="Normal 2">
      <calculatedColumnFormula>LEFT(A2,4)</calculatedColumnFormula>
    </tableColumn>
    <tableColumn id="6" name="month" dataDxfId="7" totalsRowDxfId="6" dataCellStyle="Normal 2">
      <calculatedColumnFormula>MID(A2,6,2)</calculatedColumnFormula>
    </tableColumn>
    <tableColumn id="3" name="ok" totalsRowFunction="sum" dataDxfId="5" totalsRowDxfId="4" dataCellStyle="Normal 2"/>
    <tableColumn id="4" name="Friday" totalsRowFunction="sum" dataDxfId="3" totalsRowDxfId="2" dataCellStyle="Normal 2"/>
    <tableColumn id="5" name="مناسبت" dataDxfId="1" totalsRow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ورقه1" filterMode="1">
    <tabColor rgb="FF92D050"/>
  </sheetPr>
  <dimension ref="A1:XFD243"/>
  <sheetViews>
    <sheetView showGridLines="0" rightToLeft="1" tabSelected="1" topLeftCell="A34" zoomScale="106" zoomScaleNormal="106" workbookViewId="0">
      <selection activeCell="N78" sqref="N78"/>
    </sheetView>
  </sheetViews>
  <sheetFormatPr defaultColWidth="9.140625" defaultRowHeight="21" x14ac:dyDescent="0.6"/>
  <cols>
    <col min="1" max="1" width="4.42578125" style="137" bestFit="1" customWidth="1"/>
    <col min="2" max="2" width="85" style="230" customWidth="1"/>
    <col min="3" max="3" width="8.7109375" style="136" customWidth="1"/>
    <col min="4" max="4" width="9.85546875" style="231" customWidth="1"/>
    <col min="5" max="5" width="7.85546875" style="136" customWidth="1"/>
    <col min="6" max="6" width="9.28515625" style="231" customWidth="1"/>
    <col min="7" max="7" width="7.85546875" style="136" customWidth="1"/>
    <col min="8" max="8" width="4.7109375" style="136" customWidth="1"/>
    <col min="9" max="9" width="4.42578125" style="232" customWidth="1"/>
    <col min="10" max="10" width="5.28515625" style="233" customWidth="1"/>
    <col min="11" max="11" width="6.7109375" style="234" customWidth="1"/>
    <col min="12" max="12" width="4.42578125" style="136" bestFit="1" customWidth="1"/>
    <col min="13" max="13" width="9" style="136" customWidth="1"/>
    <col min="14" max="14" width="3.5703125" style="136" customWidth="1"/>
    <col min="15" max="15" width="3.85546875" style="136" customWidth="1"/>
    <col min="16" max="16" width="7.85546875" style="136" customWidth="1"/>
    <col min="17" max="17" width="5.85546875" style="136" customWidth="1"/>
    <col min="18" max="18" width="2.7109375" style="136" customWidth="1"/>
    <col min="19" max="234" width="0.42578125" style="136" customWidth="1"/>
    <col min="235" max="258" width="0.42578125" style="137" customWidth="1"/>
    <col min="259" max="259" width="4.42578125" style="25" customWidth="1"/>
    <col min="260" max="260" width="20.7109375" style="37" customWidth="1"/>
    <col min="261" max="261" width="4.7109375" style="212" bestFit="1" customWidth="1"/>
    <col min="262" max="263" width="5.5703125" style="212" bestFit="1" customWidth="1"/>
    <col min="264" max="264" width="20.5703125" style="213" customWidth="1"/>
    <col min="265" max="16384" width="9.140625" style="137"/>
  </cols>
  <sheetData>
    <row r="1" spans="1:264" s="136" customFormat="1" ht="26.25" x14ac:dyDescent="0.55000000000000004">
      <c r="A1" s="1"/>
      <c r="B1" s="129" t="str">
        <f>CONCATENATE("برنامه زمانبندی ",B8)</f>
        <v>برنامه زمانبندی طراحی و پیاده سازی پورتال اینترنتی و زیر پورتال های بیمه سامان</v>
      </c>
      <c r="C1" s="130"/>
      <c r="D1" s="131"/>
      <c r="E1" s="130"/>
      <c r="F1" s="131"/>
      <c r="G1" s="130"/>
      <c r="H1" s="130"/>
      <c r="I1" s="132"/>
      <c r="J1" s="133"/>
      <c r="K1" s="134"/>
      <c r="L1" s="246"/>
      <c r="M1" s="45"/>
      <c r="N1" s="135"/>
      <c r="IY1" s="24"/>
      <c r="IZ1" s="36"/>
      <c r="JA1" s="210"/>
      <c r="JB1" s="210"/>
      <c r="JC1" s="210"/>
      <c r="JD1" s="211"/>
    </row>
    <row r="2" spans="1:264" x14ac:dyDescent="0.6">
      <c r="B2" s="138" t="s">
        <v>7</v>
      </c>
      <c r="C2" s="290" t="s">
        <v>109</v>
      </c>
      <c r="D2" s="290"/>
      <c r="E2" s="290"/>
      <c r="F2" s="290"/>
      <c r="G2" s="139"/>
      <c r="H2" s="139"/>
      <c r="I2" s="140"/>
      <c r="J2" s="141"/>
      <c r="K2" s="142"/>
      <c r="L2" s="143"/>
      <c r="M2" s="143"/>
    </row>
    <row r="3" spans="1:264" x14ac:dyDescent="0.6">
      <c r="B3" s="144"/>
      <c r="C3" s="242"/>
      <c r="D3" s="146" t="e">
        <f>VALUE(J_normdate(C3))</f>
        <v>#VALUE!</v>
      </c>
      <c r="E3" s="147"/>
      <c r="F3" s="148"/>
      <c r="G3" s="147"/>
      <c r="H3" s="147"/>
      <c r="I3" s="149"/>
      <c r="J3" s="150"/>
      <c r="K3" s="151"/>
      <c r="L3" s="143"/>
      <c r="M3" s="143"/>
    </row>
    <row r="4" spans="1:264" hidden="1" x14ac:dyDescent="0.6">
      <c r="B4" s="152"/>
      <c r="C4" s="145"/>
      <c r="D4" s="145"/>
      <c r="E4" s="145"/>
      <c r="F4" s="153"/>
      <c r="G4" s="154"/>
      <c r="H4" s="154"/>
      <c r="I4" s="155"/>
      <c r="J4" s="156"/>
      <c r="K4" s="157"/>
      <c r="L4" s="143"/>
      <c r="M4" s="143"/>
      <c r="S4" s="136">
        <f t="shared" ref="S4:CD4" ca="1" si="0">VALUE(S5)</f>
        <v>13980630</v>
      </c>
      <c r="T4" s="136">
        <f t="shared" ca="1" si="0"/>
        <v>13980631</v>
      </c>
      <c r="U4" s="136">
        <f t="shared" ca="1" si="0"/>
        <v>13980701</v>
      </c>
      <c r="V4" s="136">
        <f t="shared" ca="1" si="0"/>
        <v>13980702</v>
      </c>
      <c r="W4" s="136">
        <f t="shared" ca="1" si="0"/>
        <v>13980703</v>
      </c>
      <c r="X4" s="136">
        <f t="shared" ca="1" si="0"/>
        <v>13980704</v>
      </c>
      <c r="Y4" s="136">
        <f t="shared" ca="1" si="0"/>
        <v>13980705</v>
      </c>
      <c r="Z4" s="136">
        <f t="shared" ca="1" si="0"/>
        <v>13980706</v>
      </c>
      <c r="AA4" s="136">
        <f t="shared" ca="1" si="0"/>
        <v>13980707</v>
      </c>
      <c r="AB4" s="136">
        <f t="shared" ca="1" si="0"/>
        <v>13980708</v>
      </c>
      <c r="AC4" s="136">
        <f t="shared" ca="1" si="0"/>
        <v>13980709</v>
      </c>
      <c r="AD4" s="136">
        <f t="shared" ca="1" si="0"/>
        <v>13980710</v>
      </c>
      <c r="AE4" s="136">
        <f t="shared" ca="1" si="0"/>
        <v>13980711</v>
      </c>
      <c r="AF4" s="136">
        <f t="shared" ca="1" si="0"/>
        <v>13980712</v>
      </c>
      <c r="AG4" s="136">
        <f t="shared" ca="1" si="0"/>
        <v>13980713</v>
      </c>
      <c r="AH4" s="136">
        <f t="shared" ca="1" si="0"/>
        <v>13980714</v>
      </c>
      <c r="AI4" s="136">
        <f t="shared" ca="1" si="0"/>
        <v>13980715</v>
      </c>
      <c r="AJ4" s="136">
        <f t="shared" ca="1" si="0"/>
        <v>13980716</v>
      </c>
      <c r="AK4" s="136">
        <f t="shared" ca="1" si="0"/>
        <v>13980717</v>
      </c>
      <c r="AL4" s="136">
        <f t="shared" ca="1" si="0"/>
        <v>13980718</v>
      </c>
      <c r="AM4" s="136">
        <f t="shared" ca="1" si="0"/>
        <v>13980719</v>
      </c>
      <c r="AN4" s="136">
        <f t="shared" ca="1" si="0"/>
        <v>13980720</v>
      </c>
      <c r="AO4" s="136">
        <f t="shared" ca="1" si="0"/>
        <v>13980721</v>
      </c>
      <c r="AP4" s="136">
        <f t="shared" ca="1" si="0"/>
        <v>13980722</v>
      </c>
      <c r="AQ4" s="136">
        <f t="shared" ca="1" si="0"/>
        <v>13980723</v>
      </c>
      <c r="AR4" s="136">
        <f t="shared" ca="1" si="0"/>
        <v>13980724</v>
      </c>
      <c r="AS4" s="136">
        <f t="shared" ca="1" si="0"/>
        <v>13980725</v>
      </c>
      <c r="AT4" s="136">
        <f t="shared" ca="1" si="0"/>
        <v>13980726</v>
      </c>
      <c r="AU4" s="136">
        <f t="shared" ca="1" si="0"/>
        <v>13980727</v>
      </c>
      <c r="AV4" s="136">
        <f t="shared" ca="1" si="0"/>
        <v>13980728</v>
      </c>
      <c r="AW4" s="136">
        <f t="shared" ca="1" si="0"/>
        <v>13980729</v>
      </c>
      <c r="AX4" s="136">
        <f t="shared" ca="1" si="0"/>
        <v>13980730</v>
      </c>
      <c r="AY4" s="136">
        <f t="shared" ca="1" si="0"/>
        <v>13980801</v>
      </c>
      <c r="AZ4" s="136">
        <f t="shared" ca="1" si="0"/>
        <v>13980802</v>
      </c>
      <c r="BA4" s="136">
        <f t="shared" ca="1" si="0"/>
        <v>13980803</v>
      </c>
      <c r="BB4" s="136">
        <f t="shared" ca="1" si="0"/>
        <v>13980804</v>
      </c>
      <c r="BC4" s="136">
        <f t="shared" ca="1" si="0"/>
        <v>13980805</v>
      </c>
      <c r="BD4" s="136">
        <f t="shared" ca="1" si="0"/>
        <v>13980806</v>
      </c>
      <c r="BE4" s="136">
        <f t="shared" ca="1" si="0"/>
        <v>13980807</v>
      </c>
      <c r="BF4" s="136">
        <f t="shared" ca="1" si="0"/>
        <v>13980808</v>
      </c>
      <c r="BG4" s="136">
        <f t="shared" ca="1" si="0"/>
        <v>13980809</v>
      </c>
      <c r="BH4" s="136">
        <f t="shared" ca="1" si="0"/>
        <v>13980810</v>
      </c>
      <c r="BI4" s="136">
        <f t="shared" ca="1" si="0"/>
        <v>13980811</v>
      </c>
      <c r="BJ4" s="136">
        <f t="shared" ca="1" si="0"/>
        <v>13980812</v>
      </c>
      <c r="BK4" s="136">
        <f t="shared" ca="1" si="0"/>
        <v>13980813</v>
      </c>
      <c r="BL4" s="136">
        <f t="shared" ca="1" si="0"/>
        <v>13980814</v>
      </c>
      <c r="BM4" s="136">
        <f t="shared" ca="1" si="0"/>
        <v>13980815</v>
      </c>
      <c r="BN4" s="136">
        <f t="shared" ca="1" si="0"/>
        <v>13980816</v>
      </c>
      <c r="BO4" s="136">
        <f t="shared" ca="1" si="0"/>
        <v>13980817</v>
      </c>
      <c r="BP4" s="136">
        <f t="shared" ca="1" si="0"/>
        <v>13980818</v>
      </c>
      <c r="BQ4" s="136">
        <f t="shared" ca="1" si="0"/>
        <v>13980819</v>
      </c>
      <c r="BR4" s="136">
        <f t="shared" ca="1" si="0"/>
        <v>13980820</v>
      </c>
      <c r="BS4" s="136">
        <f t="shared" ca="1" si="0"/>
        <v>13980821</v>
      </c>
      <c r="BT4" s="136">
        <f t="shared" ca="1" si="0"/>
        <v>13980822</v>
      </c>
      <c r="BU4" s="136">
        <f t="shared" ca="1" si="0"/>
        <v>13980823</v>
      </c>
      <c r="BV4" s="136">
        <f t="shared" ca="1" si="0"/>
        <v>13980824</v>
      </c>
      <c r="BW4" s="136">
        <f t="shared" ca="1" si="0"/>
        <v>13980825</v>
      </c>
      <c r="BX4" s="136">
        <f t="shared" ca="1" si="0"/>
        <v>13980826</v>
      </c>
      <c r="BY4" s="136">
        <f t="shared" ca="1" si="0"/>
        <v>13980827</v>
      </c>
      <c r="BZ4" s="136">
        <f t="shared" ca="1" si="0"/>
        <v>13980828</v>
      </c>
      <c r="CA4" s="136">
        <f t="shared" ca="1" si="0"/>
        <v>13980829</v>
      </c>
      <c r="CB4" s="136">
        <f t="shared" ca="1" si="0"/>
        <v>13980830</v>
      </c>
      <c r="CC4" s="136">
        <f t="shared" ca="1" si="0"/>
        <v>13980901</v>
      </c>
      <c r="CD4" s="136">
        <f t="shared" ca="1" si="0"/>
        <v>13980902</v>
      </c>
      <c r="CE4" s="136">
        <f t="shared" ref="CE4:EP4" ca="1" si="1">VALUE(CE5)</f>
        <v>13980903</v>
      </c>
      <c r="CF4" s="136">
        <f t="shared" ca="1" si="1"/>
        <v>13980904</v>
      </c>
      <c r="CG4" s="136">
        <f t="shared" ca="1" si="1"/>
        <v>13980905</v>
      </c>
      <c r="CH4" s="136">
        <f t="shared" ca="1" si="1"/>
        <v>13980906</v>
      </c>
      <c r="CI4" s="136">
        <f t="shared" ca="1" si="1"/>
        <v>13980907</v>
      </c>
      <c r="CJ4" s="136">
        <f t="shared" ca="1" si="1"/>
        <v>13980908</v>
      </c>
      <c r="CK4" s="136">
        <f t="shared" ca="1" si="1"/>
        <v>13980909</v>
      </c>
      <c r="CL4" s="136">
        <f t="shared" ca="1" si="1"/>
        <v>13980910</v>
      </c>
      <c r="CM4" s="136">
        <f t="shared" ca="1" si="1"/>
        <v>13980911</v>
      </c>
      <c r="CN4" s="136">
        <f t="shared" ca="1" si="1"/>
        <v>13980912</v>
      </c>
      <c r="CO4" s="136">
        <f t="shared" ca="1" si="1"/>
        <v>13980913</v>
      </c>
      <c r="CP4" s="136">
        <f t="shared" ca="1" si="1"/>
        <v>13980914</v>
      </c>
      <c r="CQ4" s="136">
        <f t="shared" ca="1" si="1"/>
        <v>13980915</v>
      </c>
      <c r="CR4" s="136">
        <f t="shared" ca="1" si="1"/>
        <v>13980916</v>
      </c>
      <c r="CS4" s="136">
        <f t="shared" ca="1" si="1"/>
        <v>13980917</v>
      </c>
      <c r="CT4" s="136">
        <f t="shared" ca="1" si="1"/>
        <v>13980918</v>
      </c>
      <c r="CU4" s="136">
        <f t="shared" ca="1" si="1"/>
        <v>13980919</v>
      </c>
      <c r="CV4" s="136">
        <f t="shared" ca="1" si="1"/>
        <v>13980920</v>
      </c>
      <c r="CW4" s="136">
        <f t="shared" ca="1" si="1"/>
        <v>13980921</v>
      </c>
      <c r="CX4" s="136">
        <f t="shared" ca="1" si="1"/>
        <v>13980922</v>
      </c>
      <c r="CY4" s="136">
        <f t="shared" ca="1" si="1"/>
        <v>13980923</v>
      </c>
      <c r="CZ4" s="136">
        <f t="shared" ca="1" si="1"/>
        <v>13980924</v>
      </c>
      <c r="DA4" s="136">
        <f t="shared" ca="1" si="1"/>
        <v>13980925</v>
      </c>
      <c r="DB4" s="136">
        <f t="shared" ca="1" si="1"/>
        <v>13980926</v>
      </c>
      <c r="DC4" s="136">
        <f t="shared" ca="1" si="1"/>
        <v>13980927</v>
      </c>
      <c r="DD4" s="136">
        <f t="shared" ca="1" si="1"/>
        <v>13980928</v>
      </c>
      <c r="DE4" s="136">
        <f t="shared" ca="1" si="1"/>
        <v>13980929</v>
      </c>
      <c r="DF4" s="136">
        <f t="shared" ca="1" si="1"/>
        <v>13980930</v>
      </c>
      <c r="DG4" s="136">
        <f t="shared" ca="1" si="1"/>
        <v>13981001</v>
      </c>
      <c r="DH4" s="136">
        <f t="shared" ca="1" si="1"/>
        <v>13981002</v>
      </c>
      <c r="DI4" s="136">
        <f t="shared" ca="1" si="1"/>
        <v>13981003</v>
      </c>
      <c r="DJ4" s="136">
        <f t="shared" ca="1" si="1"/>
        <v>13981004</v>
      </c>
      <c r="DK4" s="136">
        <f t="shared" ca="1" si="1"/>
        <v>13981005</v>
      </c>
      <c r="DL4" s="136">
        <f t="shared" ca="1" si="1"/>
        <v>13981006</v>
      </c>
      <c r="DM4" s="136">
        <f t="shared" ca="1" si="1"/>
        <v>13981007</v>
      </c>
      <c r="DN4" s="136">
        <f t="shared" ca="1" si="1"/>
        <v>13981008</v>
      </c>
      <c r="DO4" s="136">
        <f t="shared" ca="1" si="1"/>
        <v>13981009</v>
      </c>
      <c r="DP4" s="136">
        <f t="shared" ca="1" si="1"/>
        <v>13981010</v>
      </c>
      <c r="DQ4" s="136">
        <f t="shared" ca="1" si="1"/>
        <v>13981011</v>
      </c>
      <c r="DR4" s="136">
        <f t="shared" ca="1" si="1"/>
        <v>13981012</v>
      </c>
      <c r="DS4" s="136">
        <f t="shared" ca="1" si="1"/>
        <v>13981013</v>
      </c>
      <c r="DT4" s="136">
        <f t="shared" ca="1" si="1"/>
        <v>13981014</v>
      </c>
      <c r="DU4" s="136">
        <f t="shared" ca="1" si="1"/>
        <v>13981015</v>
      </c>
      <c r="DV4" s="136">
        <f t="shared" ca="1" si="1"/>
        <v>13981016</v>
      </c>
      <c r="DW4" s="136">
        <f t="shared" ca="1" si="1"/>
        <v>13981017</v>
      </c>
      <c r="DX4" s="136">
        <f t="shared" ca="1" si="1"/>
        <v>13981018</v>
      </c>
      <c r="DY4" s="136">
        <f t="shared" ca="1" si="1"/>
        <v>13981019</v>
      </c>
      <c r="DZ4" s="136">
        <f t="shared" ca="1" si="1"/>
        <v>13981020</v>
      </c>
      <c r="EA4" s="136">
        <f t="shared" ca="1" si="1"/>
        <v>13981021</v>
      </c>
      <c r="EB4" s="136">
        <f t="shared" ca="1" si="1"/>
        <v>13981022</v>
      </c>
      <c r="EC4" s="136">
        <f t="shared" ca="1" si="1"/>
        <v>13981023</v>
      </c>
      <c r="ED4" s="136">
        <f t="shared" ca="1" si="1"/>
        <v>13981024</v>
      </c>
      <c r="EE4" s="136">
        <f t="shared" ca="1" si="1"/>
        <v>13981025</v>
      </c>
      <c r="EF4" s="136">
        <f t="shared" ca="1" si="1"/>
        <v>13981026</v>
      </c>
      <c r="EG4" s="136">
        <f t="shared" ca="1" si="1"/>
        <v>13981027</v>
      </c>
      <c r="EH4" s="136">
        <f t="shared" ca="1" si="1"/>
        <v>13981028</v>
      </c>
      <c r="EI4" s="136">
        <f t="shared" ca="1" si="1"/>
        <v>13981029</v>
      </c>
      <c r="EJ4" s="136">
        <f t="shared" ca="1" si="1"/>
        <v>13981030</v>
      </c>
      <c r="EK4" s="136">
        <f t="shared" ca="1" si="1"/>
        <v>13981101</v>
      </c>
      <c r="EL4" s="136">
        <f t="shared" ca="1" si="1"/>
        <v>13981102</v>
      </c>
      <c r="EM4" s="136">
        <f t="shared" ca="1" si="1"/>
        <v>13981103</v>
      </c>
      <c r="EN4" s="136">
        <f t="shared" ca="1" si="1"/>
        <v>13981104</v>
      </c>
      <c r="EO4" s="136">
        <f t="shared" ca="1" si="1"/>
        <v>13981105</v>
      </c>
      <c r="EP4" s="136">
        <f t="shared" ca="1" si="1"/>
        <v>13981106</v>
      </c>
      <c r="EQ4" s="136">
        <f t="shared" ref="EQ4:HB4" ca="1" si="2">VALUE(EQ5)</f>
        <v>13981107</v>
      </c>
      <c r="ER4" s="136">
        <f t="shared" ca="1" si="2"/>
        <v>13981108</v>
      </c>
      <c r="ES4" s="136">
        <f t="shared" ca="1" si="2"/>
        <v>13981109</v>
      </c>
      <c r="ET4" s="136">
        <f t="shared" ca="1" si="2"/>
        <v>13981110</v>
      </c>
      <c r="EU4" s="136">
        <f t="shared" ca="1" si="2"/>
        <v>13981111</v>
      </c>
      <c r="EV4" s="136">
        <f t="shared" ca="1" si="2"/>
        <v>13981112</v>
      </c>
      <c r="EW4" s="136">
        <f t="shared" ca="1" si="2"/>
        <v>13981113</v>
      </c>
      <c r="EX4" s="136">
        <f t="shared" ca="1" si="2"/>
        <v>13981114</v>
      </c>
      <c r="EY4" s="136">
        <f t="shared" ca="1" si="2"/>
        <v>13981115</v>
      </c>
      <c r="EZ4" s="136">
        <f t="shared" ca="1" si="2"/>
        <v>13981116</v>
      </c>
      <c r="FA4" s="136">
        <f t="shared" ca="1" si="2"/>
        <v>13981117</v>
      </c>
      <c r="FB4" s="136">
        <f t="shared" ca="1" si="2"/>
        <v>13981118</v>
      </c>
      <c r="FC4" s="136">
        <f t="shared" ca="1" si="2"/>
        <v>13981119</v>
      </c>
      <c r="FD4" s="136">
        <f t="shared" ca="1" si="2"/>
        <v>13981120</v>
      </c>
      <c r="FE4" s="136">
        <f t="shared" ca="1" si="2"/>
        <v>13981121</v>
      </c>
      <c r="FF4" s="136">
        <f t="shared" ca="1" si="2"/>
        <v>13981122</v>
      </c>
      <c r="FG4" s="136">
        <f t="shared" ca="1" si="2"/>
        <v>13981123</v>
      </c>
      <c r="FH4" s="136">
        <f t="shared" ca="1" si="2"/>
        <v>13981124</v>
      </c>
      <c r="FI4" s="136">
        <f t="shared" ca="1" si="2"/>
        <v>13981125</v>
      </c>
      <c r="FJ4" s="136">
        <f t="shared" ca="1" si="2"/>
        <v>13981126</v>
      </c>
      <c r="FK4" s="136">
        <f t="shared" ca="1" si="2"/>
        <v>13981127</v>
      </c>
      <c r="FL4" s="136">
        <f t="shared" ca="1" si="2"/>
        <v>13981128</v>
      </c>
      <c r="FM4" s="136">
        <f t="shared" ca="1" si="2"/>
        <v>13981129</v>
      </c>
      <c r="FN4" s="136">
        <f t="shared" ca="1" si="2"/>
        <v>13981130</v>
      </c>
      <c r="FO4" s="136">
        <f t="shared" ca="1" si="2"/>
        <v>13981201</v>
      </c>
      <c r="FP4" s="136">
        <f t="shared" ca="1" si="2"/>
        <v>13981202</v>
      </c>
      <c r="FQ4" s="136">
        <f t="shared" ca="1" si="2"/>
        <v>13981203</v>
      </c>
      <c r="FR4" s="136">
        <f t="shared" ca="1" si="2"/>
        <v>13981204</v>
      </c>
      <c r="FS4" s="136">
        <f t="shared" ca="1" si="2"/>
        <v>13981205</v>
      </c>
      <c r="FT4" s="136">
        <f t="shared" ca="1" si="2"/>
        <v>13981206</v>
      </c>
      <c r="FU4" s="136">
        <f t="shared" ca="1" si="2"/>
        <v>13981207</v>
      </c>
      <c r="FV4" s="136">
        <f t="shared" ca="1" si="2"/>
        <v>13981208</v>
      </c>
      <c r="FW4" s="136">
        <f t="shared" ca="1" si="2"/>
        <v>13981209</v>
      </c>
      <c r="FX4" s="136">
        <f t="shared" ca="1" si="2"/>
        <v>13981210</v>
      </c>
      <c r="FY4" s="136">
        <f t="shared" ca="1" si="2"/>
        <v>13981211</v>
      </c>
      <c r="FZ4" s="136">
        <f t="shared" ca="1" si="2"/>
        <v>13981212</v>
      </c>
      <c r="GA4" s="136">
        <f t="shared" ca="1" si="2"/>
        <v>13981213</v>
      </c>
      <c r="GB4" s="136">
        <f t="shared" ca="1" si="2"/>
        <v>13981214</v>
      </c>
      <c r="GC4" s="136">
        <f t="shared" ca="1" si="2"/>
        <v>13981215</v>
      </c>
      <c r="GD4" s="136">
        <f t="shared" ca="1" si="2"/>
        <v>13981216</v>
      </c>
      <c r="GE4" s="136">
        <f t="shared" ca="1" si="2"/>
        <v>13981217</v>
      </c>
      <c r="GF4" s="136">
        <f t="shared" ca="1" si="2"/>
        <v>13981218</v>
      </c>
      <c r="GG4" s="136">
        <f t="shared" ca="1" si="2"/>
        <v>13981219</v>
      </c>
      <c r="GH4" s="136">
        <f t="shared" ca="1" si="2"/>
        <v>13981220</v>
      </c>
      <c r="GI4" s="136">
        <f t="shared" ca="1" si="2"/>
        <v>13981221</v>
      </c>
      <c r="GJ4" s="136">
        <f t="shared" ca="1" si="2"/>
        <v>13981222</v>
      </c>
      <c r="GK4" s="136">
        <f t="shared" ca="1" si="2"/>
        <v>13981223</v>
      </c>
      <c r="GL4" s="136">
        <f t="shared" ca="1" si="2"/>
        <v>13981224</v>
      </c>
      <c r="GM4" s="136">
        <f t="shared" ca="1" si="2"/>
        <v>13981225</v>
      </c>
      <c r="GN4" s="136">
        <f t="shared" ca="1" si="2"/>
        <v>13981226</v>
      </c>
      <c r="GO4" s="136">
        <f t="shared" ca="1" si="2"/>
        <v>13981227</v>
      </c>
      <c r="GP4" s="136">
        <f t="shared" ca="1" si="2"/>
        <v>13981228</v>
      </c>
      <c r="GQ4" s="136">
        <f t="shared" ca="1" si="2"/>
        <v>13981229</v>
      </c>
      <c r="GR4" s="136">
        <f t="shared" ca="1" si="2"/>
        <v>13990101</v>
      </c>
      <c r="GS4" s="136">
        <f t="shared" ca="1" si="2"/>
        <v>13990102</v>
      </c>
      <c r="GT4" s="136">
        <f t="shared" ca="1" si="2"/>
        <v>13990103</v>
      </c>
      <c r="GU4" s="136">
        <f t="shared" ca="1" si="2"/>
        <v>13990104</v>
      </c>
      <c r="GV4" s="136">
        <f t="shared" ca="1" si="2"/>
        <v>13990105</v>
      </c>
      <c r="GW4" s="136">
        <f t="shared" ca="1" si="2"/>
        <v>13990106</v>
      </c>
      <c r="GX4" s="136">
        <f t="shared" ca="1" si="2"/>
        <v>13990107</v>
      </c>
      <c r="GY4" s="136">
        <f t="shared" ca="1" si="2"/>
        <v>13990108</v>
      </c>
      <c r="GZ4" s="136">
        <f t="shared" ca="1" si="2"/>
        <v>13990109</v>
      </c>
      <c r="HA4" s="136">
        <f t="shared" ca="1" si="2"/>
        <v>13990110</v>
      </c>
      <c r="HB4" s="136">
        <f t="shared" ca="1" si="2"/>
        <v>13990111</v>
      </c>
      <c r="HC4" s="136">
        <f t="shared" ref="HC4:IW4" ca="1" si="3">VALUE(HC5)</f>
        <v>13990112</v>
      </c>
      <c r="HD4" s="136">
        <f t="shared" ca="1" si="3"/>
        <v>13990113</v>
      </c>
      <c r="HE4" s="136">
        <f t="shared" ca="1" si="3"/>
        <v>13990114</v>
      </c>
      <c r="HF4" s="136">
        <f t="shared" ca="1" si="3"/>
        <v>13990115</v>
      </c>
      <c r="HG4" s="136">
        <f t="shared" ca="1" si="3"/>
        <v>13990116</v>
      </c>
      <c r="HH4" s="136">
        <f t="shared" ca="1" si="3"/>
        <v>13990117</v>
      </c>
      <c r="HI4" s="136">
        <f t="shared" ca="1" si="3"/>
        <v>13990118</v>
      </c>
      <c r="HJ4" s="136">
        <f t="shared" ca="1" si="3"/>
        <v>13990119</v>
      </c>
      <c r="HK4" s="136">
        <f t="shared" ca="1" si="3"/>
        <v>13990120</v>
      </c>
      <c r="HL4" s="136">
        <f t="shared" ca="1" si="3"/>
        <v>13990121</v>
      </c>
      <c r="HM4" s="136">
        <f t="shared" ca="1" si="3"/>
        <v>13990122</v>
      </c>
      <c r="HN4" s="136">
        <f t="shared" ca="1" si="3"/>
        <v>13990123</v>
      </c>
      <c r="HO4" s="136">
        <f t="shared" ca="1" si="3"/>
        <v>13990124</v>
      </c>
      <c r="HP4" s="136">
        <f t="shared" ca="1" si="3"/>
        <v>13990125</v>
      </c>
      <c r="HQ4" s="136">
        <f t="shared" ca="1" si="3"/>
        <v>13990126</v>
      </c>
      <c r="HR4" s="136">
        <f t="shared" ca="1" si="3"/>
        <v>13990127</v>
      </c>
      <c r="HS4" s="136">
        <f t="shared" ca="1" si="3"/>
        <v>13990128</v>
      </c>
      <c r="HT4" s="136">
        <f t="shared" ca="1" si="3"/>
        <v>13990129</v>
      </c>
      <c r="HU4" s="136">
        <f t="shared" ca="1" si="3"/>
        <v>13990130</v>
      </c>
      <c r="HV4" s="136">
        <f t="shared" ca="1" si="3"/>
        <v>13990131</v>
      </c>
      <c r="HW4" s="136">
        <f t="shared" ca="1" si="3"/>
        <v>13990201</v>
      </c>
      <c r="HX4" s="136">
        <f t="shared" ca="1" si="3"/>
        <v>13990202</v>
      </c>
      <c r="HY4" s="136">
        <f t="shared" ca="1" si="3"/>
        <v>13990203</v>
      </c>
      <c r="HZ4" s="136">
        <f t="shared" ca="1" si="3"/>
        <v>13990204</v>
      </c>
      <c r="IA4" s="136">
        <f t="shared" ca="1" si="3"/>
        <v>13990205</v>
      </c>
      <c r="IB4" s="136">
        <f t="shared" ca="1" si="3"/>
        <v>13990206</v>
      </c>
      <c r="IC4" s="136">
        <f t="shared" ca="1" si="3"/>
        <v>13990207</v>
      </c>
      <c r="ID4" s="136">
        <f t="shared" ca="1" si="3"/>
        <v>13990208</v>
      </c>
      <c r="IE4" s="136">
        <f t="shared" ca="1" si="3"/>
        <v>13990209</v>
      </c>
      <c r="IF4" s="136">
        <f t="shared" ca="1" si="3"/>
        <v>13990210</v>
      </c>
      <c r="IG4" s="136">
        <f t="shared" ca="1" si="3"/>
        <v>13990211</v>
      </c>
      <c r="IH4" s="136">
        <f t="shared" ca="1" si="3"/>
        <v>13990212</v>
      </c>
      <c r="II4" s="136">
        <f t="shared" ca="1" si="3"/>
        <v>13990213</v>
      </c>
      <c r="IJ4" s="136">
        <f t="shared" ca="1" si="3"/>
        <v>13990214</v>
      </c>
      <c r="IK4" s="136">
        <f t="shared" ca="1" si="3"/>
        <v>13990215</v>
      </c>
      <c r="IL4" s="136">
        <f t="shared" ca="1" si="3"/>
        <v>13990216</v>
      </c>
      <c r="IM4" s="136">
        <f t="shared" ca="1" si="3"/>
        <v>13990217</v>
      </c>
      <c r="IN4" s="136">
        <f t="shared" ca="1" si="3"/>
        <v>13990218</v>
      </c>
      <c r="IO4" s="136">
        <f t="shared" ca="1" si="3"/>
        <v>13990219</v>
      </c>
      <c r="IP4" s="136">
        <f t="shared" ca="1" si="3"/>
        <v>13990220</v>
      </c>
      <c r="IQ4" s="136">
        <f t="shared" ca="1" si="3"/>
        <v>13990221</v>
      </c>
      <c r="IR4" s="136">
        <f t="shared" ca="1" si="3"/>
        <v>13990222</v>
      </c>
      <c r="IS4" s="136">
        <f t="shared" ca="1" si="3"/>
        <v>13990223</v>
      </c>
      <c r="IT4" s="136">
        <f t="shared" ca="1" si="3"/>
        <v>13990224</v>
      </c>
      <c r="IU4" s="136">
        <f t="shared" ca="1" si="3"/>
        <v>13990225</v>
      </c>
      <c r="IV4" s="136">
        <f t="shared" ca="1" si="3"/>
        <v>13990226</v>
      </c>
      <c r="IW4" s="136">
        <f t="shared" ca="1" si="3"/>
        <v>13990227</v>
      </c>
    </row>
    <row r="5" spans="1:264" s="216" customFormat="1" ht="18.75" hidden="1" x14ac:dyDescent="0.55000000000000004">
      <c r="A5" s="137"/>
      <c r="B5" s="158" t="s">
        <v>72</v>
      </c>
      <c r="C5" s="289" t="str">
        <f ca="1">S6&amp;" - "&amp;IT6</f>
        <v>1398/06/30 - 1399/02/24</v>
      </c>
      <c r="D5" s="289"/>
      <c r="E5" s="289"/>
      <c r="F5" s="289"/>
      <c r="G5" s="289"/>
      <c r="H5" s="289"/>
      <c r="I5" s="140"/>
      <c r="J5" s="160"/>
      <c r="K5" s="142"/>
      <c r="L5" s="159"/>
      <c r="M5" s="143"/>
      <c r="N5" s="136"/>
      <c r="O5" s="143"/>
      <c r="P5" s="143"/>
      <c r="Q5" s="136"/>
      <c r="R5" s="161">
        <v>0</v>
      </c>
      <c r="S5" s="162" t="str">
        <f ca="1">J_normdate(J_ADDDAY(J_SUBDAY(FDate(MIN(OFFSET(E6,0,0,500,1))),j_WEEKDAY(FDate(MIN(OFFSET(E6,0,0,500,1))),0),1),7*R5,1))</f>
        <v>13980630</v>
      </c>
      <c r="T5" s="162" t="str">
        <f ca="1">J_normdate(J_ADDDAY(FDate(S5),1,1))</f>
        <v>13980631</v>
      </c>
      <c r="U5" s="162" t="str">
        <f ca="1">J_normdate(J_ADDDAY(FDate(T5),1,1))</f>
        <v>13980701</v>
      </c>
      <c r="V5" s="162" t="str">
        <f ca="1">J_normdate(J_ADDDAY(FDate(U5),1,1))</f>
        <v>13980702</v>
      </c>
      <c r="W5" s="162" t="str">
        <f ca="1">J_normdate(J_ADDDAY(FDate(V5),1,1))</f>
        <v>13980703</v>
      </c>
      <c r="X5" s="162" t="str">
        <f ca="1">J_normdate(J_ADDDAY(FDate(W5),1,1))</f>
        <v>13980704</v>
      </c>
      <c r="Y5" s="162" t="str">
        <f ca="1">J_normdate(J_ADDDAY(FDate(X5),1,1))</f>
        <v>13980705</v>
      </c>
      <c r="Z5" s="162" t="str">
        <f ca="1">J_normdate(J_ADDDAY(FDate(Y5),1,1))</f>
        <v>13980706</v>
      </c>
      <c r="AA5" s="162" t="str">
        <f ca="1">J_normdate(J_ADDDAY(FDate(Z5),1,1))</f>
        <v>13980707</v>
      </c>
      <c r="AB5" s="162" t="str">
        <f ca="1">J_normdate(J_ADDDAY(FDate(AA5),1,1))</f>
        <v>13980708</v>
      </c>
      <c r="AC5" s="162" t="str">
        <f ca="1">J_normdate(J_ADDDAY(FDate(AB5),1,1))</f>
        <v>13980709</v>
      </c>
      <c r="AD5" s="162" t="str">
        <f ca="1">J_normdate(J_ADDDAY(FDate(AC5),1,1))</f>
        <v>13980710</v>
      </c>
      <c r="AE5" s="162" t="str">
        <f ca="1">J_normdate(J_ADDDAY(FDate(AD5),1,1))</f>
        <v>13980711</v>
      </c>
      <c r="AF5" s="162" t="str">
        <f ca="1">J_normdate(J_ADDDAY(FDate(AE5),1,1))</f>
        <v>13980712</v>
      </c>
      <c r="AG5" s="162" t="str">
        <f ca="1">J_normdate(J_ADDDAY(FDate(AF5),1,1))</f>
        <v>13980713</v>
      </c>
      <c r="AH5" s="162" t="str">
        <f ca="1">J_normdate(J_ADDDAY(FDate(AG5),1,1))</f>
        <v>13980714</v>
      </c>
      <c r="AI5" s="162" t="str">
        <f ca="1">J_normdate(J_ADDDAY(FDate(AH5),1,1))</f>
        <v>13980715</v>
      </c>
      <c r="AJ5" s="162" t="str">
        <f ca="1">J_normdate(J_ADDDAY(FDate(AI5),1,1))</f>
        <v>13980716</v>
      </c>
      <c r="AK5" s="162" t="str">
        <f ca="1">J_normdate(J_ADDDAY(FDate(AJ5),1,1))</f>
        <v>13980717</v>
      </c>
      <c r="AL5" s="162" t="str">
        <f ca="1">J_normdate(J_ADDDAY(FDate(AK5),1,1))</f>
        <v>13980718</v>
      </c>
      <c r="AM5" s="162" t="str">
        <f ca="1">J_normdate(J_ADDDAY(FDate(AL5),1,1))</f>
        <v>13980719</v>
      </c>
      <c r="AN5" s="162" t="str">
        <f ca="1">J_normdate(J_ADDDAY(FDate(AM5),1,1))</f>
        <v>13980720</v>
      </c>
      <c r="AO5" s="162" t="str">
        <f ca="1">J_normdate(J_ADDDAY(FDate(AN5),1,1))</f>
        <v>13980721</v>
      </c>
      <c r="AP5" s="162" t="str">
        <f ca="1">J_normdate(J_ADDDAY(FDate(AO5),1,1))</f>
        <v>13980722</v>
      </c>
      <c r="AQ5" s="162" t="str">
        <f ca="1">J_normdate(J_ADDDAY(FDate(AP5),1,1))</f>
        <v>13980723</v>
      </c>
      <c r="AR5" s="162" t="str">
        <f ca="1">J_normdate(J_ADDDAY(FDate(AQ5),1,1))</f>
        <v>13980724</v>
      </c>
      <c r="AS5" s="162" t="str">
        <f ca="1">J_normdate(J_ADDDAY(FDate(AR5),1,1))</f>
        <v>13980725</v>
      </c>
      <c r="AT5" s="162" t="str">
        <f ca="1">J_normdate(J_ADDDAY(FDate(AS5),1,1))</f>
        <v>13980726</v>
      </c>
      <c r="AU5" s="162" t="str">
        <f ca="1">J_normdate(J_ADDDAY(FDate(AT5),1,1))</f>
        <v>13980727</v>
      </c>
      <c r="AV5" s="162" t="str">
        <f ca="1">J_normdate(J_ADDDAY(FDate(AU5),1,1))</f>
        <v>13980728</v>
      </c>
      <c r="AW5" s="162" t="str">
        <f ca="1">J_normdate(J_ADDDAY(FDate(AV5),1,1))</f>
        <v>13980729</v>
      </c>
      <c r="AX5" s="162" t="str">
        <f ca="1">J_normdate(J_ADDDAY(FDate(AW5),1,1))</f>
        <v>13980730</v>
      </c>
      <c r="AY5" s="162" t="str">
        <f ca="1">J_normdate(J_ADDDAY(FDate(AX5),1,1))</f>
        <v>13980801</v>
      </c>
      <c r="AZ5" s="162" t="str">
        <f ca="1">J_normdate(J_ADDDAY(FDate(AY5),1,1))</f>
        <v>13980802</v>
      </c>
      <c r="BA5" s="162" t="str">
        <f ca="1">J_normdate(J_ADDDAY(FDate(AZ5),1,1))</f>
        <v>13980803</v>
      </c>
      <c r="BB5" s="162" t="str">
        <f ca="1">J_normdate(J_ADDDAY(FDate(BA5),1,1))</f>
        <v>13980804</v>
      </c>
      <c r="BC5" s="162" t="str">
        <f ca="1">J_normdate(J_ADDDAY(FDate(BB5),1,1))</f>
        <v>13980805</v>
      </c>
      <c r="BD5" s="162" t="str">
        <f ca="1">J_normdate(J_ADDDAY(FDate(BC5),1,1))</f>
        <v>13980806</v>
      </c>
      <c r="BE5" s="162" t="str">
        <f ca="1">J_normdate(J_ADDDAY(FDate(BD5),1,1))</f>
        <v>13980807</v>
      </c>
      <c r="BF5" s="162" t="str">
        <f ca="1">J_normdate(J_ADDDAY(FDate(BE5),1,1))</f>
        <v>13980808</v>
      </c>
      <c r="BG5" s="162" t="str">
        <f ca="1">J_normdate(J_ADDDAY(FDate(BF5),1,1))</f>
        <v>13980809</v>
      </c>
      <c r="BH5" s="162" t="str">
        <f ca="1">J_normdate(J_ADDDAY(FDate(BG5),1,1))</f>
        <v>13980810</v>
      </c>
      <c r="BI5" s="162" t="str">
        <f ca="1">J_normdate(J_ADDDAY(FDate(BH5),1,1))</f>
        <v>13980811</v>
      </c>
      <c r="BJ5" s="162" t="str">
        <f ca="1">J_normdate(J_ADDDAY(FDate(BI5),1,1))</f>
        <v>13980812</v>
      </c>
      <c r="BK5" s="162" t="str">
        <f ca="1">J_normdate(J_ADDDAY(FDate(BJ5),1,1))</f>
        <v>13980813</v>
      </c>
      <c r="BL5" s="162" t="str">
        <f ca="1">J_normdate(J_ADDDAY(FDate(BK5),1,1))</f>
        <v>13980814</v>
      </c>
      <c r="BM5" s="162" t="str">
        <f ca="1">J_normdate(J_ADDDAY(FDate(BL5),1,1))</f>
        <v>13980815</v>
      </c>
      <c r="BN5" s="162" t="str">
        <f ca="1">J_normdate(J_ADDDAY(FDate(BM5),1,1))</f>
        <v>13980816</v>
      </c>
      <c r="BO5" s="162" t="str">
        <f ca="1">J_normdate(J_ADDDAY(FDate(BN5),1,1))</f>
        <v>13980817</v>
      </c>
      <c r="BP5" s="162" t="str">
        <f ca="1">J_normdate(J_ADDDAY(FDate(BO5),1,1))</f>
        <v>13980818</v>
      </c>
      <c r="BQ5" s="162" t="str">
        <f ca="1">J_normdate(J_ADDDAY(FDate(BP5),1,1))</f>
        <v>13980819</v>
      </c>
      <c r="BR5" s="162" t="str">
        <f ca="1">J_normdate(J_ADDDAY(FDate(BQ5),1,1))</f>
        <v>13980820</v>
      </c>
      <c r="BS5" s="162" t="str">
        <f ca="1">J_normdate(J_ADDDAY(FDate(BR5),1,1))</f>
        <v>13980821</v>
      </c>
      <c r="BT5" s="162" t="str">
        <f ca="1">J_normdate(J_ADDDAY(FDate(BS5),1,1))</f>
        <v>13980822</v>
      </c>
      <c r="BU5" s="162" t="str">
        <f ca="1">J_normdate(J_ADDDAY(FDate(BT5),1,1))</f>
        <v>13980823</v>
      </c>
      <c r="BV5" s="162" t="str">
        <f ca="1">J_normdate(J_ADDDAY(FDate(BU5),1,1))</f>
        <v>13980824</v>
      </c>
      <c r="BW5" s="162" t="str">
        <f ca="1">J_normdate(J_ADDDAY(FDate(BV5),1,1))</f>
        <v>13980825</v>
      </c>
      <c r="BX5" s="162" t="str">
        <f ca="1">J_normdate(J_ADDDAY(FDate(BW5),1,1))</f>
        <v>13980826</v>
      </c>
      <c r="BY5" s="162" t="str">
        <f ca="1">J_normdate(J_ADDDAY(FDate(BX5),1,1))</f>
        <v>13980827</v>
      </c>
      <c r="BZ5" s="162" t="str">
        <f ca="1">J_normdate(J_ADDDAY(FDate(BY5),1,1))</f>
        <v>13980828</v>
      </c>
      <c r="CA5" s="162" t="str">
        <f ca="1">J_normdate(J_ADDDAY(FDate(BZ5),1,1))</f>
        <v>13980829</v>
      </c>
      <c r="CB5" s="162" t="str">
        <f ca="1">J_normdate(J_ADDDAY(FDate(CA5),1,1))</f>
        <v>13980830</v>
      </c>
      <c r="CC5" s="162" t="str">
        <f ca="1">J_normdate(J_ADDDAY(FDate(CB5),1,1))</f>
        <v>13980901</v>
      </c>
      <c r="CD5" s="162" t="str">
        <f ca="1">J_normdate(J_ADDDAY(FDate(CC5),1,1))</f>
        <v>13980902</v>
      </c>
      <c r="CE5" s="162" t="str">
        <f ca="1">J_normdate(J_ADDDAY(FDate(CD5),1,1))</f>
        <v>13980903</v>
      </c>
      <c r="CF5" s="162" t="str">
        <f ca="1">J_normdate(J_ADDDAY(FDate(CE5),1,1))</f>
        <v>13980904</v>
      </c>
      <c r="CG5" s="162" t="str">
        <f ca="1">J_normdate(J_ADDDAY(FDate(CF5),1,1))</f>
        <v>13980905</v>
      </c>
      <c r="CH5" s="162" t="str">
        <f ca="1">J_normdate(J_ADDDAY(FDate(CG5),1,1))</f>
        <v>13980906</v>
      </c>
      <c r="CI5" s="162" t="str">
        <f ca="1">J_normdate(J_ADDDAY(FDate(CH5),1,1))</f>
        <v>13980907</v>
      </c>
      <c r="CJ5" s="162" t="str">
        <f ca="1">J_normdate(J_ADDDAY(FDate(CI5),1,1))</f>
        <v>13980908</v>
      </c>
      <c r="CK5" s="162" t="str">
        <f ca="1">J_normdate(J_ADDDAY(FDate(CJ5),1,1))</f>
        <v>13980909</v>
      </c>
      <c r="CL5" s="162" t="str">
        <f ca="1">J_normdate(J_ADDDAY(FDate(CK5),1,1))</f>
        <v>13980910</v>
      </c>
      <c r="CM5" s="162" t="str">
        <f ca="1">J_normdate(J_ADDDAY(FDate(CL5),1,1))</f>
        <v>13980911</v>
      </c>
      <c r="CN5" s="162" t="str">
        <f ca="1">J_normdate(J_ADDDAY(FDate(CM5),1,1))</f>
        <v>13980912</v>
      </c>
      <c r="CO5" s="162" t="str">
        <f ca="1">J_normdate(J_ADDDAY(FDate(CN5),1,1))</f>
        <v>13980913</v>
      </c>
      <c r="CP5" s="162" t="str">
        <f ca="1">J_normdate(J_ADDDAY(FDate(CO5),1,1))</f>
        <v>13980914</v>
      </c>
      <c r="CQ5" s="162" t="str">
        <f ca="1">J_normdate(J_ADDDAY(FDate(CP5),1,1))</f>
        <v>13980915</v>
      </c>
      <c r="CR5" s="162" t="str">
        <f ca="1">J_normdate(J_ADDDAY(FDate(CQ5),1,1))</f>
        <v>13980916</v>
      </c>
      <c r="CS5" s="162" t="str">
        <f ca="1">J_normdate(J_ADDDAY(FDate(CR5),1,1))</f>
        <v>13980917</v>
      </c>
      <c r="CT5" s="162" t="str">
        <f ca="1">J_normdate(J_ADDDAY(FDate(CS5),1,1))</f>
        <v>13980918</v>
      </c>
      <c r="CU5" s="162" t="str">
        <f ca="1">J_normdate(J_ADDDAY(FDate(CT5),1,1))</f>
        <v>13980919</v>
      </c>
      <c r="CV5" s="162" t="str">
        <f ca="1">J_normdate(J_ADDDAY(FDate(CU5),1,1))</f>
        <v>13980920</v>
      </c>
      <c r="CW5" s="162" t="str">
        <f ca="1">J_normdate(J_ADDDAY(FDate(CV5),1,1))</f>
        <v>13980921</v>
      </c>
      <c r="CX5" s="162" t="str">
        <f ca="1">J_normdate(J_ADDDAY(FDate(CW5),1,1))</f>
        <v>13980922</v>
      </c>
      <c r="CY5" s="162" t="str">
        <f ca="1">J_normdate(J_ADDDAY(FDate(CX5),1,1))</f>
        <v>13980923</v>
      </c>
      <c r="CZ5" s="162" t="str">
        <f ca="1">J_normdate(J_ADDDAY(FDate(CY5),1,1))</f>
        <v>13980924</v>
      </c>
      <c r="DA5" s="162" t="str">
        <f ca="1">J_normdate(J_ADDDAY(FDate(CZ5),1,1))</f>
        <v>13980925</v>
      </c>
      <c r="DB5" s="162" t="str">
        <f ca="1">J_normdate(J_ADDDAY(FDate(DA5),1,1))</f>
        <v>13980926</v>
      </c>
      <c r="DC5" s="162" t="str">
        <f ca="1">J_normdate(J_ADDDAY(FDate(DB5),1,1))</f>
        <v>13980927</v>
      </c>
      <c r="DD5" s="162" t="str">
        <f ca="1">J_normdate(J_ADDDAY(FDate(DC5),1,1))</f>
        <v>13980928</v>
      </c>
      <c r="DE5" s="162" t="str">
        <f ca="1">J_normdate(J_ADDDAY(FDate(DD5),1,1))</f>
        <v>13980929</v>
      </c>
      <c r="DF5" s="162" t="str">
        <f ca="1">J_normdate(J_ADDDAY(FDate(DE5),1,1))</f>
        <v>13980930</v>
      </c>
      <c r="DG5" s="162" t="str">
        <f ca="1">J_normdate(J_ADDDAY(FDate(DF5),1,1))</f>
        <v>13981001</v>
      </c>
      <c r="DH5" s="162" t="str">
        <f ca="1">J_normdate(J_ADDDAY(FDate(DG5),1,1))</f>
        <v>13981002</v>
      </c>
      <c r="DI5" s="162" t="str">
        <f ca="1">J_normdate(J_ADDDAY(FDate(DH5),1,1))</f>
        <v>13981003</v>
      </c>
      <c r="DJ5" s="162" t="str">
        <f ca="1">J_normdate(J_ADDDAY(FDate(DI5),1,1))</f>
        <v>13981004</v>
      </c>
      <c r="DK5" s="162" t="str">
        <f ca="1">J_normdate(J_ADDDAY(FDate(DJ5),1,1))</f>
        <v>13981005</v>
      </c>
      <c r="DL5" s="162" t="str">
        <f ca="1">J_normdate(J_ADDDAY(FDate(DK5),1,1))</f>
        <v>13981006</v>
      </c>
      <c r="DM5" s="162" t="str">
        <f ca="1">J_normdate(J_ADDDAY(FDate(DL5),1,1))</f>
        <v>13981007</v>
      </c>
      <c r="DN5" s="162" t="str">
        <f ca="1">J_normdate(J_ADDDAY(FDate(DM5),1,1))</f>
        <v>13981008</v>
      </c>
      <c r="DO5" s="162" t="str">
        <f ca="1">J_normdate(J_ADDDAY(FDate(DN5),1,1))</f>
        <v>13981009</v>
      </c>
      <c r="DP5" s="162" t="str">
        <f ca="1">J_normdate(J_ADDDAY(FDate(DO5),1,1))</f>
        <v>13981010</v>
      </c>
      <c r="DQ5" s="162" t="str">
        <f ca="1">J_normdate(J_ADDDAY(FDate(DP5),1,1))</f>
        <v>13981011</v>
      </c>
      <c r="DR5" s="162" t="str">
        <f ca="1">J_normdate(J_ADDDAY(FDate(DQ5),1,1))</f>
        <v>13981012</v>
      </c>
      <c r="DS5" s="162" t="str">
        <f ca="1">J_normdate(J_ADDDAY(FDate(DR5),1,1))</f>
        <v>13981013</v>
      </c>
      <c r="DT5" s="162" t="str">
        <f ca="1">J_normdate(J_ADDDAY(FDate(DS5),1,1))</f>
        <v>13981014</v>
      </c>
      <c r="DU5" s="162" t="str">
        <f ca="1">J_normdate(J_ADDDAY(FDate(DT5),1,1))</f>
        <v>13981015</v>
      </c>
      <c r="DV5" s="162" t="str">
        <f ca="1">J_normdate(J_ADDDAY(FDate(DU5),1,1))</f>
        <v>13981016</v>
      </c>
      <c r="DW5" s="162" t="str">
        <f ca="1">J_normdate(J_ADDDAY(FDate(DV5),1,1))</f>
        <v>13981017</v>
      </c>
      <c r="DX5" s="162" t="str">
        <f ca="1">J_normdate(J_ADDDAY(FDate(DW5),1,1))</f>
        <v>13981018</v>
      </c>
      <c r="DY5" s="162" t="str">
        <f ca="1">J_normdate(J_ADDDAY(FDate(DX5),1,1))</f>
        <v>13981019</v>
      </c>
      <c r="DZ5" s="162" t="str">
        <f ca="1">J_normdate(J_ADDDAY(FDate(DY5),1,1))</f>
        <v>13981020</v>
      </c>
      <c r="EA5" s="162" t="str">
        <f ca="1">J_normdate(J_ADDDAY(FDate(DZ5),1,1))</f>
        <v>13981021</v>
      </c>
      <c r="EB5" s="162" t="str">
        <f ca="1">J_normdate(J_ADDDAY(FDate(EA5),1,1))</f>
        <v>13981022</v>
      </c>
      <c r="EC5" s="162" t="str">
        <f ca="1">J_normdate(J_ADDDAY(FDate(EB5),1,1))</f>
        <v>13981023</v>
      </c>
      <c r="ED5" s="162" t="str">
        <f ca="1">J_normdate(J_ADDDAY(FDate(EC5),1,1))</f>
        <v>13981024</v>
      </c>
      <c r="EE5" s="162" t="str">
        <f ca="1">J_normdate(J_ADDDAY(FDate(ED5),1,1))</f>
        <v>13981025</v>
      </c>
      <c r="EF5" s="162" t="str">
        <f ca="1">J_normdate(J_ADDDAY(FDate(EE5),1,1))</f>
        <v>13981026</v>
      </c>
      <c r="EG5" s="162" t="str">
        <f ca="1">J_normdate(J_ADDDAY(FDate(EF5),1,1))</f>
        <v>13981027</v>
      </c>
      <c r="EH5" s="162" t="str">
        <f ca="1">J_normdate(J_ADDDAY(FDate(EG5),1,1))</f>
        <v>13981028</v>
      </c>
      <c r="EI5" s="162" t="str">
        <f ca="1">J_normdate(J_ADDDAY(FDate(EH5),1,1))</f>
        <v>13981029</v>
      </c>
      <c r="EJ5" s="162" t="str">
        <f ca="1">J_normdate(J_ADDDAY(FDate(EI5),1,1))</f>
        <v>13981030</v>
      </c>
      <c r="EK5" s="162" t="str">
        <f ca="1">J_normdate(J_ADDDAY(FDate(EJ5),1,1))</f>
        <v>13981101</v>
      </c>
      <c r="EL5" s="162" t="str">
        <f ca="1">J_normdate(J_ADDDAY(FDate(EK5),1,1))</f>
        <v>13981102</v>
      </c>
      <c r="EM5" s="162" t="str">
        <f ca="1">J_normdate(J_ADDDAY(FDate(EL5),1,1))</f>
        <v>13981103</v>
      </c>
      <c r="EN5" s="162" t="str">
        <f ca="1">J_normdate(J_ADDDAY(FDate(EM5),1,1))</f>
        <v>13981104</v>
      </c>
      <c r="EO5" s="162" t="str">
        <f ca="1">J_normdate(J_ADDDAY(FDate(EN5),1,1))</f>
        <v>13981105</v>
      </c>
      <c r="EP5" s="162" t="str">
        <f ca="1">J_normdate(J_ADDDAY(FDate(EO5),1,1))</f>
        <v>13981106</v>
      </c>
      <c r="EQ5" s="162" t="str">
        <f ca="1">J_normdate(J_ADDDAY(FDate(EP5),1,1))</f>
        <v>13981107</v>
      </c>
      <c r="ER5" s="162" t="str">
        <f ca="1">J_normdate(J_ADDDAY(FDate(EQ5),1,1))</f>
        <v>13981108</v>
      </c>
      <c r="ES5" s="162" t="str">
        <f ca="1">J_normdate(J_ADDDAY(FDate(ER5),1,1))</f>
        <v>13981109</v>
      </c>
      <c r="ET5" s="162" t="str">
        <f ca="1">J_normdate(J_ADDDAY(FDate(ES5),1,1))</f>
        <v>13981110</v>
      </c>
      <c r="EU5" s="162" t="str">
        <f ca="1">J_normdate(J_ADDDAY(FDate(ET5),1,1))</f>
        <v>13981111</v>
      </c>
      <c r="EV5" s="162" t="str">
        <f ca="1">J_normdate(J_ADDDAY(FDate(EU5),1,1))</f>
        <v>13981112</v>
      </c>
      <c r="EW5" s="162" t="str">
        <f ca="1">J_normdate(J_ADDDAY(FDate(EV5),1,1))</f>
        <v>13981113</v>
      </c>
      <c r="EX5" s="162" t="str">
        <f ca="1">J_normdate(J_ADDDAY(FDate(EW5),1,1))</f>
        <v>13981114</v>
      </c>
      <c r="EY5" s="162" t="str">
        <f ca="1">J_normdate(J_ADDDAY(FDate(EX5),1,1))</f>
        <v>13981115</v>
      </c>
      <c r="EZ5" s="162" t="str">
        <f ca="1">J_normdate(J_ADDDAY(FDate(EY5),1,1))</f>
        <v>13981116</v>
      </c>
      <c r="FA5" s="162" t="str">
        <f ca="1">J_normdate(J_ADDDAY(FDate(EZ5),1,1))</f>
        <v>13981117</v>
      </c>
      <c r="FB5" s="162" t="str">
        <f ca="1">J_normdate(J_ADDDAY(FDate(FA5),1,1))</f>
        <v>13981118</v>
      </c>
      <c r="FC5" s="162" t="str">
        <f ca="1">J_normdate(J_ADDDAY(FDate(FB5),1,1))</f>
        <v>13981119</v>
      </c>
      <c r="FD5" s="162" t="str">
        <f ca="1">J_normdate(J_ADDDAY(FDate(FC5),1,1))</f>
        <v>13981120</v>
      </c>
      <c r="FE5" s="162" t="str">
        <f ca="1">J_normdate(J_ADDDAY(FDate(FD5),1,1))</f>
        <v>13981121</v>
      </c>
      <c r="FF5" s="162" t="str">
        <f ca="1">J_normdate(J_ADDDAY(FDate(FE5),1,1))</f>
        <v>13981122</v>
      </c>
      <c r="FG5" s="162" t="str">
        <f ca="1">J_normdate(J_ADDDAY(FDate(FF5),1,1))</f>
        <v>13981123</v>
      </c>
      <c r="FH5" s="162" t="str">
        <f ca="1">J_normdate(J_ADDDAY(FDate(FG5),1,1))</f>
        <v>13981124</v>
      </c>
      <c r="FI5" s="162" t="str">
        <f ca="1">J_normdate(J_ADDDAY(FDate(FH5),1,1))</f>
        <v>13981125</v>
      </c>
      <c r="FJ5" s="162" t="str">
        <f ca="1">J_normdate(J_ADDDAY(FDate(FI5),1,1))</f>
        <v>13981126</v>
      </c>
      <c r="FK5" s="162" t="str">
        <f ca="1">J_normdate(J_ADDDAY(FDate(FJ5),1,1))</f>
        <v>13981127</v>
      </c>
      <c r="FL5" s="162" t="str">
        <f ca="1">J_normdate(J_ADDDAY(FDate(FK5),1,1))</f>
        <v>13981128</v>
      </c>
      <c r="FM5" s="162" t="str">
        <f ca="1">J_normdate(J_ADDDAY(FDate(FL5),1,1))</f>
        <v>13981129</v>
      </c>
      <c r="FN5" s="162" t="str">
        <f ca="1">J_normdate(J_ADDDAY(FDate(FM5),1,1))</f>
        <v>13981130</v>
      </c>
      <c r="FO5" s="162" t="str">
        <f ca="1">J_normdate(J_ADDDAY(FDate(FN5),1,1))</f>
        <v>13981201</v>
      </c>
      <c r="FP5" s="162" t="str">
        <f ca="1">J_normdate(J_ADDDAY(FDate(FO5),1,1))</f>
        <v>13981202</v>
      </c>
      <c r="FQ5" s="162" t="str">
        <f ca="1">J_normdate(J_ADDDAY(FDate(FP5),1,1))</f>
        <v>13981203</v>
      </c>
      <c r="FR5" s="162" t="str">
        <f ca="1">J_normdate(J_ADDDAY(FDate(FQ5),1,1))</f>
        <v>13981204</v>
      </c>
      <c r="FS5" s="162" t="str">
        <f ca="1">J_normdate(J_ADDDAY(FDate(FR5),1,1))</f>
        <v>13981205</v>
      </c>
      <c r="FT5" s="162" t="str">
        <f ca="1">J_normdate(J_ADDDAY(FDate(FS5),1,1))</f>
        <v>13981206</v>
      </c>
      <c r="FU5" s="162" t="str">
        <f ca="1">J_normdate(J_ADDDAY(FDate(FT5),1,1))</f>
        <v>13981207</v>
      </c>
      <c r="FV5" s="162" t="str">
        <f ca="1">J_normdate(J_ADDDAY(FDate(FU5),1,1))</f>
        <v>13981208</v>
      </c>
      <c r="FW5" s="162" t="str">
        <f ca="1">J_normdate(J_ADDDAY(FDate(FV5),1,1))</f>
        <v>13981209</v>
      </c>
      <c r="FX5" s="162" t="str">
        <f ca="1">J_normdate(J_ADDDAY(FDate(FW5),1,1))</f>
        <v>13981210</v>
      </c>
      <c r="FY5" s="162" t="str">
        <f ca="1">J_normdate(J_ADDDAY(FDate(FX5),1,1))</f>
        <v>13981211</v>
      </c>
      <c r="FZ5" s="162" t="str">
        <f ca="1">J_normdate(J_ADDDAY(FDate(FY5),1,1))</f>
        <v>13981212</v>
      </c>
      <c r="GA5" s="162" t="str">
        <f ca="1">J_normdate(J_ADDDAY(FDate(FZ5),1,1))</f>
        <v>13981213</v>
      </c>
      <c r="GB5" s="162" t="str">
        <f ca="1">J_normdate(J_ADDDAY(FDate(GA5),1,1))</f>
        <v>13981214</v>
      </c>
      <c r="GC5" s="162" t="str">
        <f ca="1">J_normdate(J_ADDDAY(FDate(GB5),1,1))</f>
        <v>13981215</v>
      </c>
      <c r="GD5" s="162" t="str">
        <f ca="1">J_normdate(J_ADDDAY(FDate(GC5),1,1))</f>
        <v>13981216</v>
      </c>
      <c r="GE5" s="162" t="str">
        <f ca="1">J_normdate(J_ADDDAY(FDate(GD5),1,1))</f>
        <v>13981217</v>
      </c>
      <c r="GF5" s="162" t="str">
        <f ca="1">J_normdate(J_ADDDAY(FDate(GE5),1,1))</f>
        <v>13981218</v>
      </c>
      <c r="GG5" s="162" t="str">
        <f ca="1">J_normdate(J_ADDDAY(FDate(GF5),1,1))</f>
        <v>13981219</v>
      </c>
      <c r="GH5" s="162" t="str">
        <f ca="1">J_normdate(J_ADDDAY(FDate(GG5),1,1))</f>
        <v>13981220</v>
      </c>
      <c r="GI5" s="162" t="str">
        <f ca="1">J_normdate(J_ADDDAY(FDate(GH5),1,1))</f>
        <v>13981221</v>
      </c>
      <c r="GJ5" s="162" t="str">
        <f ca="1">J_normdate(J_ADDDAY(FDate(GI5),1,1))</f>
        <v>13981222</v>
      </c>
      <c r="GK5" s="162" t="str">
        <f ca="1">J_normdate(J_ADDDAY(FDate(GJ5),1,1))</f>
        <v>13981223</v>
      </c>
      <c r="GL5" s="162" t="str">
        <f ca="1">J_normdate(J_ADDDAY(FDate(GK5),1,1))</f>
        <v>13981224</v>
      </c>
      <c r="GM5" s="162" t="str">
        <f ca="1">J_normdate(J_ADDDAY(FDate(GL5),1,1))</f>
        <v>13981225</v>
      </c>
      <c r="GN5" s="162" t="str">
        <f ca="1">J_normdate(J_ADDDAY(FDate(GM5),1,1))</f>
        <v>13981226</v>
      </c>
      <c r="GO5" s="162" t="str">
        <f ca="1">J_normdate(J_ADDDAY(FDate(GN5),1,1))</f>
        <v>13981227</v>
      </c>
      <c r="GP5" s="162" t="str">
        <f ca="1">J_normdate(J_ADDDAY(FDate(GO5),1,1))</f>
        <v>13981228</v>
      </c>
      <c r="GQ5" s="162" t="str">
        <f ca="1">J_normdate(J_ADDDAY(FDate(GP5),1,1))</f>
        <v>13981229</v>
      </c>
      <c r="GR5" s="162" t="str">
        <f ca="1">J_normdate(J_ADDDAY(FDate(GQ5),1,1))</f>
        <v>13990101</v>
      </c>
      <c r="GS5" s="162" t="str">
        <f ca="1">J_normdate(J_ADDDAY(FDate(GR5),1,1))</f>
        <v>13990102</v>
      </c>
      <c r="GT5" s="162" t="str">
        <f ca="1">J_normdate(J_ADDDAY(FDate(GS5),1,1))</f>
        <v>13990103</v>
      </c>
      <c r="GU5" s="162" t="str">
        <f ca="1">J_normdate(J_ADDDAY(FDate(GT5),1,1))</f>
        <v>13990104</v>
      </c>
      <c r="GV5" s="162" t="str">
        <f ca="1">J_normdate(J_ADDDAY(FDate(GU5),1,1))</f>
        <v>13990105</v>
      </c>
      <c r="GW5" s="162" t="str">
        <f ca="1">J_normdate(J_ADDDAY(FDate(GV5),1,1))</f>
        <v>13990106</v>
      </c>
      <c r="GX5" s="162" t="str">
        <f ca="1">J_normdate(J_ADDDAY(FDate(GW5),1,1))</f>
        <v>13990107</v>
      </c>
      <c r="GY5" s="162" t="str">
        <f ca="1">J_normdate(J_ADDDAY(FDate(GX5),1,1))</f>
        <v>13990108</v>
      </c>
      <c r="GZ5" s="162" t="str">
        <f ca="1">J_normdate(J_ADDDAY(FDate(GY5),1,1))</f>
        <v>13990109</v>
      </c>
      <c r="HA5" s="162" t="str">
        <f ca="1">J_normdate(J_ADDDAY(FDate(GZ5),1,1))</f>
        <v>13990110</v>
      </c>
      <c r="HB5" s="162" t="str">
        <f ca="1">J_normdate(J_ADDDAY(FDate(HA5),1,1))</f>
        <v>13990111</v>
      </c>
      <c r="HC5" s="162" t="str">
        <f ca="1">J_normdate(J_ADDDAY(FDate(HB5),1,1))</f>
        <v>13990112</v>
      </c>
      <c r="HD5" s="162" t="str">
        <f ca="1">J_normdate(J_ADDDAY(FDate(HC5),1,1))</f>
        <v>13990113</v>
      </c>
      <c r="HE5" s="162" t="str">
        <f ca="1">J_normdate(J_ADDDAY(FDate(HD5),1,1))</f>
        <v>13990114</v>
      </c>
      <c r="HF5" s="162" t="str">
        <f ca="1">J_normdate(J_ADDDAY(FDate(HE5),1,1))</f>
        <v>13990115</v>
      </c>
      <c r="HG5" s="162" t="str">
        <f ca="1">J_normdate(J_ADDDAY(FDate(HF5),1,1))</f>
        <v>13990116</v>
      </c>
      <c r="HH5" s="162" t="str">
        <f ca="1">J_normdate(J_ADDDAY(FDate(HG5),1,1))</f>
        <v>13990117</v>
      </c>
      <c r="HI5" s="162" t="str">
        <f ca="1">J_normdate(J_ADDDAY(FDate(HH5),1,1))</f>
        <v>13990118</v>
      </c>
      <c r="HJ5" s="162" t="str">
        <f ca="1">J_normdate(J_ADDDAY(FDate(HI5),1,1))</f>
        <v>13990119</v>
      </c>
      <c r="HK5" s="162" t="str">
        <f ca="1">J_normdate(J_ADDDAY(FDate(HJ5),1,1))</f>
        <v>13990120</v>
      </c>
      <c r="HL5" s="162" t="str">
        <f ca="1">J_normdate(J_ADDDAY(FDate(HK5),1,1))</f>
        <v>13990121</v>
      </c>
      <c r="HM5" s="162" t="str">
        <f ca="1">J_normdate(J_ADDDAY(FDate(HL5),1,1))</f>
        <v>13990122</v>
      </c>
      <c r="HN5" s="162" t="str">
        <f ca="1">J_normdate(J_ADDDAY(FDate(HM5),1,1))</f>
        <v>13990123</v>
      </c>
      <c r="HO5" s="162" t="str">
        <f ca="1">J_normdate(J_ADDDAY(FDate(HN5),1,1))</f>
        <v>13990124</v>
      </c>
      <c r="HP5" s="162" t="str">
        <f ca="1">J_normdate(J_ADDDAY(FDate(HO5),1,1))</f>
        <v>13990125</v>
      </c>
      <c r="HQ5" s="162" t="str">
        <f ca="1">J_normdate(J_ADDDAY(FDate(HP5),1,1))</f>
        <v>13990126</v>
      </c>
      <c r="HR5" s="162" t="str">
        <f ca="1">J_normdate(J_ADDDAY(FDate(HQ5),1,1))</f>
        <v>13990127</v>
      </c>
      <c r="HS5" s="162" t="str">
        <f ca="1">J_normdate(J_ADDDAY(FDate(HR5),1,1))</f>
        <v>13990128</v>
      </c>
      <c r="HT5" s="162" t="str">
        <f ca="1">J_normdate(J_ADDDAY(FDate(HS5),1,1))</f>
        <v>13990129</v>
      </c>
      <c r="HU5" s="162" t="str">
        <f ca="1">J_normdate(J_ADDDAY(FDate(HT5),1,1))</f>
        <v>13990130</v>
      </c>
      <c r="HV5" s="162" t="str">
        <f ca="1">J_normdate(J_ADDDAY(FDate(HU5),1,1))</f>
        <v>13990131</v>
      </c>
      <c r="HW5" s="162" t="str">
        <f ca="1">J_normdate(J_ADDDAY(FDate(HV5),1,1))</f>
        <v>13990201</v>
      </c>
      <c r="HX5" s="162" t="str">
        <f ca="1">J_normdate(J_ADDDAY(FDate(HW5),1,1))</f>
        <v>13990202</v>
      </c>
      <c r="HY5" s="162" t="str">
        <f ca="1">J_normdate(J_ADDDAY(FDate(HX5),1,1))</f>
        <v>13990203</v>
      </c>
      <c r="HZ5" s="162" t="str">
        <f ca="1">J_normdate(J_ADDDAY(FDate(HY5),1,1))</f>
        <v>13990204</v>
      </c>
      <c r="IA5" s="162" t="str">
        <f ca="1">J_normdate(J_ADDDAY(FDate(HZ5),1,1))</f>
        <v>13990205</v>
      </c>
      <c r="IB5" s="162" t="str">
        <f ca="1">J_normdate(J_ADDDAY(FDate(IA5),1,1))</f>
        <v>13990206</v>
      </c>
      <c r="IC5" s="162" t="str">
        <f ca="1">J_normdate(J_ADDDAY(FDate(IB5),1,1))</f>
        <v>13990207</v>
      </c>
      <c r="ID5" s="162" t="str">
        <f ca="1">J_normdate(J_ADDDAY(FDate(IC5),1,1))</f>
        <v>13990208</v>
      </c>
      <c r="IE5" s="162" t="str">
        <f ca="1">J_normdate(J_ADDDAY(FDate(ID5),1,1))</f>
        <v>13990209</v>
      </c>
      <c r="IF5" s="162" t="str">
        <f ca="1">J_normdate(J_ADDDAY(FDate(IE5),1,1))</f>
        <v>13990210</v>
      </c>
      <c r="IG5" s="162" t="str">
        <f ca="1">J_normdate(J_ADDDAY(FDate(IF5),1,1))</f>
        <v>13990211</v>
      </c>
      <c r="IH5" s="162" t="str">
        <f ca="1">J_normdate(J_ADDDAY(FDate(IG5),1,1))</f>
        <v>13990212</v>
      </c>
      <c r="II5" s="162" t="str">
        <f ca="1">J_normdate(J_ADDDAY(FDate(IH5),1,1))</f>
        <v>13990213</v>
      </c>
      <c r="IJ5" s="162" t="str">
        <f ca="1">J_normdate(J_ADDDAY(FDate(II5),1,1))</f>
        <v>13990214</v>
      </c>
      <c r="IK5" s="162" t="str">
        <f ca="1">J_normdate(J_ADDDAY(FDate(IJ5),1,1))</f>
        <v>13990215</v>
      </c>
      <c r="IL5" s="162" t="str">
        <f ca="1">J_normdate(J_ADDDAY(FDate(IK5),1,1))</f>
        <v>13990216</v>
      </c>
      <c r="IM5" s="162" t="str">
        <f ca="1">J_normdate(J_ADDDAY(FDate(IL5),1,1))</f>
        <v>13990217</v>
      </c>
      <c r="IN5" s="162" t="str">
        <f ca="1">J_normdate(J_ADDDAY(FDate(IM5),1,1))</f>
        <v>13990218</v>
      </c>
      <c r="IO5" s="162" t="str">
        <f ca="1">J_normdate(J_ADDDAY(FDate(IN5),1,1))</f>
        <v>13990219</v>
      </c>
      <c r="IP5" s="162" t="str">
        <f ca="1">J_normdate(J_ADDDAY(FDate(IO5),1,1))</f>
        <v>13990220</v>
      </c>
      <c r="IQ5" s="162" t="str">
        <f ca="1">J_normdate(J_ADDDAY(FDate(IP5),1,1))</f>
        <v>13990221</v>
      </c>
      <c r="IR5" s="162" t="str">
        <f ca="1">J_normdate(J_ADDDAY(FDate(IQ5),1,1))</f>
        <v>13990222</v>
      </c>
      <c r="IS5" s="162" t="str">
        <f ca="1">J_normdate(J_ADDDAY(FDate(IR5),1,1))</f>
        <v>13990223</v>
      </c>
      <c r="IT5" s="162" t="str">
        <f ca="1">J_normdate(J_ADDDAY(FDate(IS5),1,1))</f>
        <v>13990224</v>
      </c>
      <c r="IU5" s="162" t="str">
        <f ca="1">J_normdate(J_ADDDAY(FDate(IT5),1,1))</f>
        <v>13990225</v>
      </c>
      <c r="IV5" s="162" t="str">
        <f ca="1">J_normdate(J_ADDDAY(FDate(IU5),1,1))</f>
        <v>13990226</v>
      </c>
      <c r="IW5" s="162" t="str">
        <f ca="1">J_normdate(J_ADDDAY(FDate(IV5),1,1))</f>
        <v>13990227</v>
      </c>
      <c r="IX5" s="162">
        <f ca="1">IW5+1</f>
        <v>13990228</v>
      </c>
      <c r="IY5" s="26"/>
      <c r="IZ5" s="38"/>
      <c r="JA5" s="214"/>
      <c r="JB5" s="214"/>
      <c r="JC5" s="214"/>
      <c r="JD5" s="215"/>
    </row>
    <row r="6" spans="1:264" s="218" customFormat="1" ht="81.75" customHeight="1" thickBot="1" x14ac:dyDescent="0.6">
      <c r="A6" s="163" t="s">
        <v>0</v>
      </c>
      <c r="B6" s="164" t="s">
        <v>8</v>
      </c>
      <c r="C6" s="165" t="s">
        <v>9</v>
      </c>
      <c r="D6" s="165" t="s">
        <v>1</v>
      </c>
      <c r="E6" s="165" t="s">
        <v>1</v>
      </c>
      <c r="F6" s="165" t="s">
        <v>2</v>
      </c>
      <c r="G6" s="165" t="s">
        <v>2</v>
      </c>
      <c r="H6" s="166" t="s">
        <v>41</v>
      </c>
      <c r="I6" s="167" t="s">
        <v>42</v>
      </c>
      <c r="J6" s="166" t="s">
        <v>40</v>
      </c>
      <c r="K6" s="168" t="s">
        <v>43</v>
      </c>
      <c r="L6" s="169" t="s">
        <v>3</v>
      </c>
      <c r="M6" s="170" t="s">
        <v>4</v>
      </c>
      <c r="N6" s="169" t="s">
        <v>5</v>
      </c>
      <c r="O6" s="171" t="s">
        <v>10</v>
      </c>
      <c r="P6" s="172" t="s">
        <v>44</v>
      </c>
      <c r="Q6" s="170" t="s">
        <v>6</v>
      </c>
      <c r="R6" s="173"/>
      <c r="S6" s="286" t="str">
        <f ca="1">FDate(S5)</f>
        <v>1398/06/30</v>
      </c>
      <c r="T6" s="287"/>
      <c r="U6" s="287"/>
      <c r="V6" s="287"/>
      <c r="W6" s="288"/>
      <c r="X6" s="286" t="str">
        <f ca="1">FDate(X5)</f>
        <v>1398/07/04</v>
      </c>
      <c r="Y6" s="287"/>
      <c r="Z6" s="287"/>
      <c r="AA6" s="287"/>
      <c r="AB6" s="288"/>
      <c r="AC6" s="286" t="str">
        <f ca="1">FDate(AC5)</f>
        <v>1398/07/09</v>
      </c>
      <c r="AD6" s="287"/>
      <c r="AE6" s="287"/>
      <c r="AF6" s="287"/>
      <c r="AG6" s="288"/>
      <c r="AH6" s="286" t="str">
        <f ca="1">FDate(AH5)</f>
        <v>1398/07/14</v>
      </c>
      <c r="AI6" s="287"/>
      <c r="AJ6" s="287"/>
      <c r="AK6" s="287"/>
      <c r="AL6" s="288"/>
      <c r="AM6" s="286" t="str">
        <f ca="1">FDate(AM5)</f>
        <v>1398/07/19</v>
      </c>
      <c r="AN6" s="287"/>
      <c r="AO6" s="287"/>
      <c r="AP6" s="287"/>
      <c r="AQ6" s="288"/>
      <c r="AR6" s="286" t="str">
        <f ca="1">FDate(AR5)</f>
        <v>1398/07/24</v>
      </c>
      <c r="AS6" s="287"/>
      <c r="AT6" s="287"/>
      <c r="AU6" s="287"/>
      <c r="AV6" s="288"/>
      <c r="AW6" s="286" t="str">
        <f ca="1">FDate(AW5)</f>
        <v>1398/07/29</v>
      </c>
      <c r="AX6" s="287"/>
      <c r="AY6" s="287"/>
      <c r="AZ6" s="287"/>
      <c r="BA6" s="288"/>
      <c r="BB6" s="286" t="str">
        <f ca="1">FDate(BB5)</f>
        <v>1398/08/04</v>
      </c>
      <c r="BC6" s="287"/>
      <c r="BD6" s="287"/>
      <c r="BE6" s="287"/>
      <c r="BF6" s="288"/>
      <c r="BG6" s="286" t="str">
        <f ca="1">FDate(BG5)</f>
        <v>1398/08/09</v>
      </c>
      <c r="BH6" s="287"/>
      <c r="BI6" s="287"/>
      <c r="BJ6" s="287"/>
      <c r="BK6" s="288"/>
      <c r="BL6" s="286" t="str">
        <f ca="1">FDate(BL5)</f>
        <v>1398/08/14</v>
      </c>
      <c r="BM6" s="287"/>
      <c r="BN6" s="287"/>
      <c r="BO6" s="287"/>
      <c r="BP6" s="288"/>
      <c r="BQ6" s="286" t="str">
        <f ca="1">FDate(BQ5)</f>
        <v>1398/08/19</v>
      </c>
      <c r="BR6" s="287"/>
      <c r="BS6" s="287"/>
      <c r="BT6" s="287"/>
      <c r="BU6" s="288"/>
      <c r="BV6" s="286" t="str">
        <f ca="1">FDate(BV5)</f>
        <v>1398/08/24</v>
      </c>
      <c r="BW6" s="287"/>
      <c r="BX6" s="287"/>
      <c r="BY6" s="287"/>
      <c r="BZ6" s="288"/>
      <c r="CA6" s="286" t="str">
        <f ca="1">FDate(CA5)</f>
        <v>1398/08/29</v>
      </c>
      <c r="CB6" s="287"/>
      <c r="CC6" s="287"/>
      <c r="CD6" s="287"/>
      <c r="CE6" s="288"/>
      <c r="CF6" s="286" t="str">
        <f ca="1">FDate(CF5)</f>
        <v>1398/09/04</v>
      </c>
      <c r="CG6" s="287"/>
      <c r="CH6" s="287"/>
      <c r="CI6" s="287"/>
      <c r="CJ6" s="288"/>
      <c r="CK6" s="286" t="str">
        <f ca="1">FDate(CK5)</f>
        <v>1398/09/09</v>
      </c>
      <c r="CL6" s="287"/>
      <c r="CM6" s="287"/>
      <c r="CN6" s="287"/>
      <c r="CO6" s="288"/>
      <c r="CP6" s="286" t="str">
        <f ca="1">FDate(CP5)</f>
        <v>1398/09/14</v>
      </c>
      <c r="CQ6" s="287"/>
      <c r="CR6" s="287"/>
      <c r="CS6" s="287"/>
      <c r="CT6" s="288"/>
      <c r="CU6" s="286" t="str">
        <f ca="1">FDate(CU5)</f>
        <v>1398/09/19</v>
      </c>
      <c r="CV6" s="287"/>
      <c r="CW6" s="287"/>
      <c r="CX6" s="287"/>
      <c r="CY6" s="288"/>
      <c r="CZ6" s="286" t="str">
        <f ca="1">FDate(CZ5)</f>
        <v>1398/09/24</v>
      </c>
      <c r="DA6" s="287"/>
      <c r="DB6" s="287"/>
      <c r="DC6" s="287"/>
      <c r="DD6" s="288"/>
      <c r="DE6" s="286" t="str">
        <f ca="1">FDate(DE5)</f>
        <v>1398/09/29</v>
      </c>
      <c r="DF6" s="287"/>
      <c r="DG6" s="287"/>
      <c r="DH6" s="287"/>
      <c r="DI6" s="288"/>
      <c r="DJ6" s="286" t="str">
        <f ca="1">FDate(DJ5)</f>
        <v>1398/10/04</v>
      </c>
      <c r="DK6" s="287"/>
      <c r="DL6" s="287"/>
      <c r="DM6" s="287"/>
      <c r="DN6" s="288"/>
      <c r="DO6" s="286" t="str">
        <f ca="1">FDate(DO5)</f>
        <v>1398/10/09</v>
      </c>
      <c r="DP6" s="287"/>
      <c r="DQ6" s="287"/>
      <c r="DR6" s="287"/>
      <c r="DS6" s="288"/>
      <c r="DT6" s="286" t="str">
        <f ca="1">FDate(DT5)</f>
        <v>1398/10/14</v>
      </c>
      <c r="DU6" s="287"/>
      <c r="DV6" s="287"/>
      <c r="DW6" s="287"/>
      <c r="DX6" s="288"/>
      <c r="DY6" s="286" t="str">
        <f ca="1">FDate(DY5)</f>
        <v>1398/10/19</v>
      </c>
      <c r="DZ6" s="287"/>
      <c r="EA6" s="287"/>
      <c r="EB6" s="287"/>
      <c r="EC6" s="288"/>
      <c r="ED6" s="286" t="str">
        <f ca="1">FDate(ED5)</f>
        <v>1398/10/24</v>
      </c>
      <c r="EE6" s="287"/>
      <c r="EF6" s="287"/>
      <c r="EG6" s="287"/>
      <c r="EH6" s="288"/>
      <c r="EI6" s="286" t="str">
        <f ca="1">FDate(EI5)</f>
        <v>1398/10/29</v>
      </c>
      <c r="EJ6" s="287"/>
      <c r="EK6" s="287"/>
      <c r="EL6" s="287"/>
      <c r="EM6" s="288"/>
      <c r="EN6" s="286" t="str">
        <f ca="1">FDate(EN5)</f>
        <v>1398/11/04</v>
      </c>
      <c r="EO6" s="287"/>
      <c r="EP6" s="287"/>
      <c r="EQ6" s="287"/>
      <c r="ER6" s="288"/>
      <c r="ES6" s="286" t="str">
        <f ca="1">FDate(ES5)</f>
        <v>1398/11/09</v>
      </c>
      <c r="ET6" s="287"/>
      <c r="EU6" s="287"/>
      <c r="EV6" s="287"/>
      <c r="EW6" s="288"/>
      <c r="EX6" s="286" t="str">
        <f ca="1">FDate(EX5)</f>
        <v>1398/11/14</v>
      </c>
      <c r="EY6" s="287"/>
      <c r="EZ6" s="287"/>
      <c r="FA6" s="287"/>
      <c r="FB6" s="288"/>
      <c r="FC6" s="286" t="str">
        <f ca="1">FDate(FC5)</f>
        <v>1398/11/19</v>
      </c>
      <c r="FD6" s="287"/>
      <c r="FE6" s="287"/>
      <c r="FF6" s="287"/>
      <c r="FG6" s="288"/>
      <c r="FH6" s="286" t="str">
        <f ca="1">FDate(FH5)</f>
        <v>1398/11/24</v>
      </c>
      <c r="FI6" s="287"/>
      <c r="FJ6" s="287"/>
      <c r="FK6" s="287"/>
      <c r="FL6" s="288"/>
      <c r="FM6" s="286" t="str">
        <f ca="1">FDate(FM5)</f>
        <v>1398/11/29</v>
      </c>
      <c r="FN6" s="287"/>
      <c r="FO6" s="287"/>
      <c r="FP6" s="287"/>
      <c r="FQ6" s="288"/>
      <c r="FR6" s="286" t="str">
        <f ca="1">FDate(FR5)</f>
        <v>1398/12/04</v>
      </c>
      <c r="FS6" s="287"/>
      <c r="FT6" s="287"/>
      <c r="FU6" s="287"/>
      <c r="FV6" s="288"/>
      <c r="FW6" s="286" t="str">
        <f ca="1">FDate(FW5)</f>
        <v>1398/12/09</v>
      </c>
      <c r="FX6" s="287"/>
      <c r="FY6" s="287"/>
      <c r="FZ6" s="287"/>
      <c r="GA6" s="288"/>
      <c r="GB6" s="286" t="str">
        <f ca="1">FDate(GB5)</f>
        <v>1398/12/14</v>
      </c>
      <c r="GC6" s="287"/>
      <c r="GD6" s="287"/>
      <c r="GE6" s="287"/>
      <c r="GF6" s="288"/>
      <c r="GG6" s="286" t="str">
        <f ca="1">FDate(GG5)</f>
        <v>1398/12/19</v>
      </c>
      <c r="GH6" s="287"/>
      <c r="GI6" s="287"/>
      <c r="GJ6" s="287"/>
      <c r="GK6" s="288"/>
      <c r="GL6" s="286" t="str">
        <f ca="1">FDate(GL5)</f>
        <v>1398/12/24</v>
      </c>
      <c r="GM6" s="287"/>
      <c r="GN6" s="287"/>
      <c r="GO6" s="287"/>
      <c r="GP6" s="288"/>
      <c r="GQ6" s="286" t="str">
        <f ca="1">FDate(GQ5)</f>
        <v>1398/12/29</v>
      </c>
      <c r="GR6" s="287"/>
      <c r="GS6" s="287"/>
      <c r="GT6" s="287"/>
      <c r="GU6" s="288"/>
      <c r="GV6" s="286" t="str">
        <f ca="1">FDate(GV5)</f>
        <v>1399/01/05</v>
      </c>
      <c r="GW6" s="287"/>
      <c r="GX6" s="287"/>
      <c r="GY6" s="287"/>
      <c r="GZ6" s="288"/>
      <c r="HA6" s="286" t="str">
        <f ca="1">FDate(HA5)</f>
        <v>1399/01/10</v>
      </c>
      <c r="HB6" s="287"/>
      <c r="HC6" s="287"/>
      <c r="HD6" s="287"/>
      <c r="HE6" s="288"/>
      <c r="HF6" s="286" t="str">
        <f ca="1">FDate(HF5)</f>
        <v>1399/01/15</v>
      </c>
      <c r="HG6" s="287"/>
      <c r="HH6" s="287"/>
      <c r="HI6" s="287"/>
      <c r="HJ6" s="288"/>
      <c r="HK6" s="286" t="str">
        <f ca="1">FDate(HK5)</f>
        <v>1399/01/20</v>
      </c>
      <c r="HL6" s="287"/>
      <c r="HM6" s="287"/>
      <c r="HN6" s="287"/>
      <c r="HO6" s="288"/>
      <c r="HP6" s="286" t="str">
        <f ca="1">FDate(HP5)</f>
        <v>1399/01/25</v>
      </c>
      <c r="HQ6" s="287"/>
      <c r="HR6" s="287"/>
      <c r="HS6" s="287"/>
      <c r="HT6" s="288"/>
      <c r="HU6" s="286" t="str">
        <f ca="1">FDate(HU5)</f>
        <v>1399/01/30</v>
      </c>
      <c r="HV6" s="287"/>
      <c r="HW6" s="287"/>
      <c r="HX6" s="287"/>
      <c r="HY6" s="288"/>
      <c r="HZ6" s="286" t="str">
        <f ca="1">FDate(HZ5)</f>
        <v>1399/02/04</v>
      </c>
      <c r="IA6" s="287"/>
      <c r="IB6" s="287"/>
      <c r="IC6" s="287"/>
      <c r="ID6" s="288"/>
      <c r="IE6" s="286" t="str">
        <f ca="1">FDate(IE5)</f>
        <v>1399/02/09</v>
      </c>
      <c r="IF6" s="287"/>
      <c r="IG6" s="287"/>
      <c r="IH6" s="287"/>
      <c r="II6" s="288"/>
      <c r="IJ6" s="286" t="str">
        <f ca="1">FDate(IJ5)</f>
        <v>1399/02/14</v>
      </c>
      <c r="IK6" s="287"/>
      <c r="IL6" s="287"/>
      <c r="IM6" s="287"/>
      <c r="IN6" s="288"/>
      <c r="IO6" s="286" t="str">
        <f ca="1">FDate(IO5)</f>
        <v>1399/02/19</v>
      </c>
      <c r="IP6" s="287"/>
      <c r="IQ6" s="287"/>
      <c r="IR6" s="287"/>
      <c r="IS6" s="288"/>
      <c r="IT6" s="286" t="str">
        <f ca="1">FDate(IT5)</f>
        <v>1399/02/24</v>
      </c>
      <c r="IU6" s="287"/>
      <c r="IV6" s="287"/>
      <c r="IW6" s="287"/>
      <c r="IX6" s="288"/>
      <c r="IY6" s="27"/>
      <c r="IZ6" s="39"/>
      <c r="JA6" s="217" t="s">
        <v>7</v>
      </c>
      <c r="JB6" s="217" t="s">
        <v>55</v>
      </c>
      <c r="JC6" s="217" t="s">
        <v>56</v>
      </c>
      <c r="JD6" s="213"/>
    </row>
    <row r="7" spans="1:264" s="176" customFormat="1" x14ac:dyDescent="0.6">
      <c r="A7" s="174"/>
      <c r="B7" s="175"/>
      <c r="D7" s="177"/>
      <c r="F7" s="177"/>
      <c r="I7" s="178"/>
      <c r="J7" s="179"/>
      <c r="K7" s="180"/>
      <c r="L7" s="178"/>
      <c r="N7" s="178"/>
      <c r="IY7" s="28"/>
      <c r="IZ7" s="40"/>
      <c r="JA7" s="219"/>
      <c r="JB7" s="219"/>
      <c r="JC7" s="219"/>
      <c r="JD7" s="220"/>
    </row>
    <row r="8" spans="1:264" s="182" customFormat="1" x14ac:dyDescent="0.6">
      <c r="A8" s="181" t="s">
        <v>39</v>
      </c>
      <c r="B8" s="106" t="s">
        <v>160</v>
      </c>
      <c r="C8" s="107"/>
      <c r="D8" s="108" t="s">
        <v>141</v>
      </c>
      <c r="E8" s="183">
        <f t="shared" ref="E8:E39" si="4">VALUE(J_normdate(D8))</f>
        <v>13980631</v>
      </c>
      <c r="F8" s="184" t="str">
        <f>J_SUBDAY(J_ADDDAY(D8,L8,1),1,1)</f>
        <v>1398/10/04</v>
      </c>
      <c r="G8" s="185">
        <f t="shared" ref="G8:G39" si="5">VALUE(J_normdate(F8))</f>
        <v>13981004</v>
      </c>
      <c r="H8" s="110"/>
      <c r="I8" s="111"/>
      <c r="J8" s="186"/>
      <c r="K8" s="187">
        <f>SUM(K9,K31,K53,K87,K109,K131,K219)</f>
        <v>0</v>
      </c>
      <c r="L8" s="188">
        <f>J_DIFF(D8,FDate(MAX(G9:G9865)))+1</f>
        <v>95</v>
      </c>
      <c r="M8" s="189">
        <f>(L9*M9+L31*M31+L53*M53+L87*M87+L109*M109+L131*M131+L153*M153+L175*M175+L197*M197+L219*M219)/SUM(L9,L31,L53,L87,L109,L131,L153,L175,L197,L219)</f>
        <v>9.4062159524114966E-2</v>
      </c>
      <c r="N8" s="109">
        <f>NETWORKDAYS.INTL(J_GregorianDate(D8,1),J_GregorianDate(F8,1),16,1)-SUMIFS(Holieday[ok],Holieday[date],CONCATENATE("&gt;","=",D8),Holieday[date],CONCATENATE("&lt;","=",F8))+SUMIFS(Holieday[Friday],Holieday[date],CONCATENATE("&gt;","=",D8),Holieday[date],CONCATENATE("&lt;","=",F8))</f>
        <v>78</v>
      </c>
      <c r="O8" s="190">
        <f>SUM(O9,O31,O53,O87,O109,O131,O153,O175,O197,O219)</f>
        <v>33</v>
      </c>
      <c r="P8" s="191">
        <f>VALUE(J_normdate(J_ADDDAY($D8,$O8,1)))</f>
        <v>13980803</v>
      </c>
      <c r="Q8" s="184">
        <f t="shared" ref="Q8:Q13" si="6">L8-O8</f>
        <v>62</v>
      </c>
      <c r="IY8" s="29"/>
      <c r="IZ8" s="41"/>
      <c r="JA8" s="221"/>
      <c r="JB8" s="221"/>
      <c r="JC8" s="221"/>
      <c r="JD8" s="222"/>
    </row>
    <row r="9" spans="1:264" s="193" customFormat="1" ht="15.75" x14ac:dyDescent="0.45">
      <c r="A9" s="192">
        <v>1</v>
      </c>
      <c r="B9" s="112" t="s">
        <v>120</v>
      </c>
      <c r="C9" s="113"/>
      <c r="D9" s="194" t="str">
        <f>D8</f>
        <v>1398/06/31</v>
      </c>
      <c r="E9" s="193">
        <f t="shared" si="4"/>
        <v>13980631</v>
      </c>
      <c r="F9" s="195" t="str">
        <f>J_SUBDAY(J_ADDDAY(D9,L9,1),1,1)</f>
        <v>1398/07/10</v>
      </c>
      <c r="G9" s="196">
        <f t="shared" si="5"/>
        <v>13980710</v>
      </c>
      <c r="H9" s="114"/>
      <c r="I9" s="115"/>
      <c r="J9" s="195">
        <f>j_WEEKDAY(D9,2)</f>
        <v>1</v>
      </c>
      <c r="K9" s="197">
        <f>SUM(K10:K30)</f>
        <v>0</v>
      </c>
      <c r="L9" s="198">
        <f>J_DIFF(D9,FDate(MAX(G10:G30)))+1</f>
        <v>11</v>
      </c>
      <c r="M9" s="199">
        <f>IF(SUM(L10:L30)&lt;&gt;0,SUMPRODUCT(L10:L30,M10:M30)/SUM(L10:L30),0)</f>
        <v>0.61538461538461542</v>
      </c>
      <c r="N9" s="200">
        <f>IF(F9&gt;=D9,NETWORKDAYS.INTL(J_GregorianDate(D9,1),J_GregorianDate(F9,1),16,1)-SUMIFS(Holieday[ok],Holieday[date],CONCATENATE("&gt;","=",D9),Holieday[date],CONCATENATE("&lt;","=",F9))+SUMIFS(Holieday[Friday],Holieday[date],CONCATENATE("&gt;","=",D9),Holieday[date],CONCATENATE("&lt;","=",F9)),0)</f>
        <v>10</v>
      </c>
      <c r="O9" s="191">
        <f>ROUNDDOWN(M9*L9,0)</f>
        <v>6</v>
      </c>
      <c r="P9" s="191">
        <f>VALUE(J_normdate(J_ADDDAY($D9,$O9,1)))</f>
        <v>13980706</v>
      </c>
      <c r="Q9" s="195">
        <f t="shared" si="6"/>
        <v>5</v>
      </c>
      <c r="IY9" s="30"/>
      <c r="IZ9" s="42"/>
      <c r="JA9" s="223"/>
      <c r="JB9" s="223"/>
      <c r="JC9" s="223"/>
      <c r="JD9" s="224"/>
    </row>
    <row r="10" spans="1:264" s="226" customFormat="1" ht="18" x14ac:dyDescent="0.45">
      <c r="A10" s="201">
        <v>1.1000000000000001</v>
      </c>
      <c r="B10" s="116" t="s">
        <v>68</v>
      </c>
      <c r="C10" s="117" t="s">
        <v>111</v>
      </c>
      <c r="D10" s="203" t="str">
        <f>D9</f>
        <v>1398/06/31</v>
      </c>
      <c r="E10" s="193">
        <f t="shared" si="4"/>
        <v>13980631</v>
      </c>
      <c r="F10" s="204" t="str">
        <f>IF(N10=0,J_SUBDAY(D10,1,1),IF((N10-(NETWORKDAYS.INTL(J_GregorianDate(D10,1),J_GregorianDate(J_SUBDAY(J_ADDDAY(D10,N10,1),1,1),1),16,1)))+SUMIFS(Holieday[ok],Holieday[date],CONCATENATE("&gt;","=",D10),Holieday[date],CONCATENATE("&lt;","=",J_SUBDAY(J_ADDDAY(D10,N10,1),1,1)))-SUMIFS(Holieday[Friday],Holieday[date],CONCATENATE("&gt;","=",D10),Holieday[date],CONCATENATE("&lt;","=",J_SUBDAY(J_ADDDAY(D10,N10,1),1,1)))=0,J_SUBDAY(J_ADDDAY(D10,N10,1),1,1),IF((N10+1-(NETWORKDAYS.INTL(J_GregorianDate(D10,1),J_GregorianDate(J_SUBDAY(J_ADDDAY(D10,N10+1,1),1,1),1),16,1)))+SUMIFS(Holieday[ok],Holieday[date],CONCATENATE("&gt;","=",D10),Holieday[date],CONCATENATE("&lt;","=",J_SUBDAY(J_ADDDAY(D10,N10+1,1),1,1)))-SUMIFS(Holieday[Friday],Holieday[date],CONCATENATE("&gt;","=",D10),Holieday[date],CONCATENATE("&lt;","=",J_SUBDAY(J_ADDDAY(D10,N10+1,1),1,1)))=1,J_SUBDAY(J_ADDDAY(D10,N10+1,1),1,1),IF((N10+2-(NETWORKDAYS.INTL(J_GregorianDate(D10,1),J_GregorianDate(J_SUBDAY(J_ADDDAY(D10,N10+2,1),1,1),1),16,1)))+SUMIFS(Holieday[ok],Holieday[date],CONCATENATE("&gt;","=",D10),Holieday[date],CONCATENATE("&lt;","=",J_SUBDAY(J_ADDDAY(D10,N10+2,1),1,1)))-SUMIFS(Holieday[Friday],Holieday[date],CONCATENATE("&gt;","=",D10),Holieday[date],CONCATENATE("&lt;","=",J_SUBDAY(J_ADDDAY(D10,N10+2,1),1,1)))=2,J_SUBDAY(J_ADDDAY(D10,N10+2,1),1,1),IF((N10+3-(NETWORKDAYS.INTL(J_GregorianDate(D10,1),J_GregorianDate(J_SUBDAY(J_ADDDAY(D10,N10+3,1),1,1),1),16,1)))+SUMIFS(Holieday[ok],Holieday[date],CONCATENATE("&gt;","=",D10),Holieday[date],CONCATENATE("&lt;","=",J_SUBDAY(J_ADDDAY(D10,N10+3,1),1,1)))-SUMIFS(Holieday[Friday],Holieday[date],CONCATENATE("&gt;","=",D10),Holieday[date],CONCATENATE("&lt;","=",J_SUBDAY(J_ADDDAY(D10,N10+3,1),1,1)))=3,J_SUBDAY(J_ADDDAY(D10,N10+3,1),1,1),IF((N10+4-(NETWORKDAYS.INTL(J_GregorianDate(D10,1),J_GregorianDate(J_SUBDAY(J_ADDDAY(D10,N10+4,1),1,1),1),16,1)))+SUMIFS(Holieday[ok],Holieday[date],CONCATENATE("&gt;","=",D10),Holieday[date],CONCATENATE("&lt;","=",J_SUBDAY(J_ADDDAY(D10,N10+4,1),1,1)))-SUMIFS(Holieday[Friday],Holieday[date],CONCATENATE("&gt;","=",D10),Holieday[date],CONCATENATE("&lt;","=",J_SUBDAY(J_ADDDAY(D10,N10+4,1),1,1)))=4,J_SUBDAY(J_ADDDAY(D10,N10+4,1),1,1),IF((N10+5-(NETWORKDAYS.INTL(J_GregorianDate(D10,1),J_GregorianDate(J_SUBDAY(J_ADDDAY(D10,N10+5,1),1,1),1),16,1)))+SUMIFS(Holieday[ok],Holieday[date],CONCATENATE("&gt;","=",D10),Holieday[date],CONCATENATE("&lt;","=",J_SUBDAY(J_ADDDAY(D10,N10+5,1),1,1)))-SUMIFS(Holieday[Friday],Holieday[date],CONCATENATE("&gt;","=",D10),Holieday[date],CONCATENATE("&lt;","=",J_SUBDAY(J_ADDDAY(D10,N10+5,1),1,1)))=5,J_SUBDAY(J_ADDDAY(D10,N10+5,1),1,1),J_SUBDAY(J_ADDDAY(D10,N10+6,1),1,1))))))))</f>
        <v>1398/06/31</v>
      </c>
      <c r="G10" s="196">
        <f t="shared" si="5"/>
        <v>13980631</v>
      </c>
      <c r="H10" s="119"/>
      <c r="I10" s="120"/>
      <c r="J10" s="204">
        <f>j_WEEKDAY(D10,2)</f>
        <v>1</v>
      </c>
      <c r="K10" s="206">
        <f t="shared" ref="K10:K30" si="7">SUM(JA10:JC10)</f>
        <v>0</v>
      </c>
      <c r="L10" s="207">
        <f t="shared" ref="L10:L30" si="8">J_DIFF(D10,F10)+1</f>
        <v>1</v>
      </c>
      <c r="M10" s="121">
        <v>1</v>
      </c>
      <c r="N10" s="118">
        <v>1</v>
      </c>
      <c r="O10" s="208">
        <f>ROUNDDOWN(M10*L10,0)</f>
        <v>1</v>
      </c>
      <c r="P10" s="208">
        <f>VALUE(J_normdate(J_ADDDAY($D10,$O10,1)))</f>
        <v>13980701</v>
      </c>
      <c r="Q10" s="204">
        <f t="shared" si="6"/>
        <v>0</v>
      </c>
      <c r="R10" s="202"/>
      <c r="S10" s="202"/>
      <c r="T10" s="202"/>
      <c r="U10" s="202"/>
      <c r="V10" s="202"/>
      <c r="W10" s="202"/>
      <c r="X10" s="202"/>
      <c r="Y10" s="202"/>
      <c r="Z10" s="202"/>
      <c r="AA10" s="202"/>
      <c r="AB10" s="202"/>
      <c r="AC10" s="202"/>
      <c r="AD10" s="202"/>
      <c r="AE10" s="202"/>
      <c r="AF10" s="202"/>
      <c r="AG10" s="202"/>
      <c r="AH10" s="202"/>
      <c r="AI10" s="202"/>
      <c r="AJ10" s="202"/>
      <c r="AK10" s="202"/>
      <c r="AL10" s="202"/>
      <c r="AM10" s="202"/>
      <c r="AN10" s="202"/>
      <c r="AO10" s="202"/>
      <c r="AP10" s="202"/>
      <c r="AQ10" s="202"/>
      <c r="AR10" s="202"/>
      <c r="AS10" s="202"/>
      <c r="AT10" s="202"/>
      <c r="AU10" s="202"/>
      <c r="AV10" s="202"/>
      <c r="AW10" s="202"/>
      <c r="AX10" s="202"/>
      <c r="AY10" s="202"/>
      <c r="AZ10" s="202"/>
      <c r="BA10" s="202"/>
      <c r="BB10" s="202"/>
      <c r="BC10" s="202"/>
      <c r="BD10" s="202"/>
      <c r="BE10" s="202"/>
      <c r="BF10" s="202"/>
      <c r="BG10" s="202"/>
      <c r="BH10" s="202"/>
      <c r="BI10" s="202"/>
      <c r="BJ10" s="202"/>
      <c r="BK10" s="202"/>
      <c r="BL10" s="202"/>
      <c r="BM10" s="202"/>
      <c r="BN10" s="202"/>
      <c r="BO10" s="202"/>
      <c r="BP10" s="202"/>
      <c r="BQ10" s="202"/>
      <c r="BR10" s="202"/>
      <c r="BS10" s="202"/>
      <c r="BT10" s="202"/>
      <c r="BU10" s="202"/>
      <c r="BV10" s="202"/>
      <c r="BW10" s="202"/>
      <c r="BX10" s="202"/>
      <c r="BY10" s="202"/>
      <c r="BZ10" s="202"/>
      <c r="CA10" s="202"/>
      <c r="CB10" s="202"/>
      <c r="CC10" s="202"/>
      <c r="CD10" s="202"/>
      <c r="CE10" s="202"/>
      <c r="CF10" s="202"/>
      <c r="CG10" s="202"/>
      <c r="CH10" s="202"/>
      <c r="CI10" s="202"/>
      <c r="CJ10" s="202"/>
      <c r="CK10" s="202"/>
      <c r="CL10" s="202"/>
      <c r="CM10" s="202"/>
      <c r="CN10" s="202"/>
      <c r="CO10" s="202"/>
      <c r="CP10" s="202"/>
      <c r="CQ10" s="202"/>
      <c r="CR10" s="202"/>
      <c r="CS10" s="202"/>
      <c r="CT10" s="202"/>
      <c r="CU10" s="202"/>
      <c r="CV10" s="202"/>
      <c r="CW10" s="202"/>
      <c r="CX10" s="202"/>
      <c r="CY10" s="202"/>
      <c r="CZ10" s="202"/>
      <c r="DA10" s="202"/>
      <c r="DB10" s="202"/>
      <c r="DC10" s="202"/>
      <c r="DD10" s="202"/>
      <c r="DE10" s="202"/>
      <c r="DF10" s="202"/>
      <c r="DG10" s="202"/>
      <c r="DH10" s="202"/>
      <c r="DI10" s="202"/>
      <c r="DJ10" s="202"/>
      <c r="DK10" s="202"/>
      <c r="DL10" s="202"/>
      <c r="DM10" s="202"/>
      <c r="DN10" s="202"/>
      <c r="DO10" s="202"/>
      <c r="DP10" s="202"/>
      <c r="DQ10" s="202"/>
      <c r="DR10" s="202"/>
      <c r="DS10" s="202"/>
      <c r="DT10" s="202"/>
      <c r="DU10" s="202"/>
      <c r="DV10" s="202"/>
      <c r="DW10" s="202"/>
      <c r="DX10" s="202"/>
      <c r="DY10" s="202"/>
      <c r="DZ10" s="202"/>
      <c r="EA10" s="202"/>
      <c r="EB10" s="202"/>
      <c r="EC10" s="202"/>
      <c r="ED10" s="202"/>
      <c r="EE10" s="202"/>
      <c r="EF10" s="202"/>
      <c r="EG10" s="202"/>
      <c r="EH10" s="202"/>
      <c r="EI10" s="202"/>
      <c r="EJ10" s="202"/>
      <c r="EK10" s="202"/>
      <c r="EL10" s="202"/>
      <c r="EM10" s="202"/>
      <c r="EN10" s="202"/>
      <c r="EO10" s="202"/>
      <c r="EP10" s="202"/>
      <c r="EQ10" s="202"/>
      <c r="ER10" s="202"/>
      <c r="ES10" s="202"/>
      <c r="ET10" s="202"/>
      <c r="EU10" s="202"/>
      <c r="EV10" s="202"/>
      <c r="EW10" s="202"/>
      <c r="EX10" s="202"/>
      <c r="EY10" s="202"/>
      <c r="EZ10" s="202"/>
      <c r="FA10" s="202"/>
      <c r="FB10" s="202"/>
      <c r="FC10" s="202"/>
      <c r="FD10" s="202"/>
      <c r="FE10" s="202"/>
      <c r="FF10" s="202"/>
      <c r="FG10" s="202"/>
      <c r="FH10" s="202"/>
      <c r="FI10" s="202"/>
      <c r="FJ10" s="202"/>
      <c r="FK10" s="202"/>
      <c r="FL10" s="202"/>
      <c r="FM10" s="202"/>
      <c r="FN10" s="202"/>
      <c r="FO10" s="202"/>
      <c r="FP10" s="202"/>
      <c r="FQ10" s="202"/>
      <c r="FR10" s="202"/>
      <c r="FS10" s="202"/>
      <c r="FT10" s="202"/>
      <c r="FU10" s="202"/>
      <c r="FV10" s="202"/>
      <c r="FW10" s="202"/>
      <c r="FX10" s="202"/>
      <c r="FY10" s="202"/>
      <c r="FZ10" s="202"/>
      <c r="GA10" s="202"/>
      <c r="GB10" s="202"/>
      <c r="GC10" s="202"/>
      <c r="GD10" s="202"/>
      <c r="GE10" s="202"/>
      <c r="GF10" s="202"/>
      <c r="GG10" s="202"/>
      <c r="GH10" s="202"/>
      <c r="GI10" s="202"/>
      <c r="GJ10" s="202"/>
      <c r="GK10" s="202"/>
      <c r="GL10" s="202"/>
      <c r="GM10" s="202"/>
      <c r="GN10" s="202"/>
      <c r="GO10" s="202"/>
      <c r="GP10" s="202"/>
      <c r="GQ10" s="202"/>
      <c r="GR10" s="202"/>
      <c r="GS10" s="202"/>
      <c r="GT10" s="202"/>
      <c r="GU10" s="202"/>
      <c r="GV10" s="202"/>
      <c r="GW10" s="202"/>
      <c r="GX10" s="202"/>
      <c r="GY10" s="202"/>
      <c r="GZ10" s="202"/>
      <c r="HA10" s="202"/>
      <c r="HB10" s="202"/>
      <c r="HC10" s="202"/>
      <c r="HD10" s="202"/>
      <c r="HE10" s="202"/>
      <c r="HF10" s="202"/>
      <c r="HG10" s="202"/>
      <c r="HH10" s="202"/>
      <c r="HI10" s="202"/>
      <c r="HJ10" s="202"/>
      <c r="HK10" s="202"/>
      <c r="HL10" s="202"/>
      <c r="HM10" s="202"/>
      <c r="HN10" s="202"/>
      <c r="HO10" s="202"/>
      <c r="HP10" s="202"/>
      <c r="HQ10" s="202"/>
      <c r="HR10" s="202"/>
      <c r="HS10" s="202"/>
      <c r="HT10" s="202"/>
      <c r="HU10" s="202"/>
      <c r="HV10" s="202"/>
      <c r="HW10" s="202"/>
      <c r="HX10" s="202"/>
      <c r="HY10" s="202"/>
      <c r="HZ10" s="202"/>
      <c r="IA10" s="202"/>
      <c r="IB10" s="202"/>
      <c r="IC10" s="202"/>
      <c r="ID10" s="202"/>
      <c r="IE10" s="202"/>
      <c r="IF10" s="202"/>
      <c r="IG10" s="202"/>
      <c r="IH10" s="202"/>
      <c r="II10" s="202"/>
      <c r="IJ10" s="202"/>
      <c r="IK10" s="202"/>
      <c r="IL10" s="202"/>
      <c r="IM10" s="202"/>
      <c r="IN10" s="202"/>
      <c r="IO10" s="202"/>
      <c r="IP10" s="202"/>
      <c r="IQ10" s="202"/>
      <c r="IR10" s="202"/>
      <c r="IS10" s="202"/>
      <c r="IT10" s="202"/>
      <c r="IU10" s="202"/>
      <c r="IV10" s="202"/>
      <c r="IW10" s="202"/>
      <c r="IX10" s="202"/>
      <c r="IY10" s="31">
        <v>1</v>
      </c>
      <c r="IZ10" s="43">
        <f>(TEXT(K10,"[m]")/60)*VLOOKUP(IY10,'Income Person-hours'!A$2:C$5,3,FALSE)</f>
        <v>0</v>
      </c>
      <c r="JA10" s="122"/>
      <c r="JB10" s="122"/>
      <c r="JC10" s="122"/>
      <c r="JD10" s="225">
        <f>SUM((TEXT(JA10,"[M]")/60)*'Income Person-hours'!$D$3,(TEXT(JB10,"[M]")/60)*'Income Person-hours'!$D$4,(TEXT(JC10,"[M]")/60)*'Income Person-hours'!$D$5)</f>
        <v>0</v>
      </c>
    </row>
    <row r="11" spans="1:264" s="226" customFormat="1" ht="15.75" x14ac:dyDescent="0.45">
      <c r="A11" s="201">
        <v>1.2</v>
      </c>
      <c r="B11" s="116" t="s">
        <v>153</v>
      </c>
      <c r="C11" s="117" t="s">
        <v>111</v>
      </c>
      <c r="D11" s="203" t="str">
        <f>IF(OR(j_WEEKDAY(J_ADDDAY(VLOOKUP(I11,A:F,6,FALSE),H11,1),0)=6,SUMIFS(Holieday[ok],Holieday[date],J_ADDDAY(VLOOKUP(I11,A:F,6,FALSE),H11,1)))=FALSE(),J_ADDDAY(VLOOKUP(I11,A:F,6,FALSE),H11,1),IF(OR(j_WEEKDAY(J_ADDDAY(VLOOKUP(I11,A:F,6,FALSE),H11+1,1),0)=6,SUMIFS(Holieday[ok],Holieday[date],J_ADDDAY(VLOOKUP(I11,A:F,6,FALSE),H11+1,1)))=FALSE(),J_ADDDAY(VLOOKUP(I11,A:F,6,FALSE),H11+1,1),IF(OR(j_WEEKDAY(J_ADDDAY(VLOOKUP(I11,A:F,6,FALSE),H11+2,1),0)=6,SUMIFS(Holieday[ok],Holieday[date],J_ADDDAY(VLOOKUP(I11,A:F,6,FALSE),H11+2,1)))=FALSE(),J_ADDDAY(VLOOKUP(I11,A:F,6,FALSE),H11+2,1),IF(OR(j_WEEKDAY(J_ADDDAY(VLOOKUP(I11,A:F,6,FALSE),H11+3,1),0)=6,SUMIFS(Holieday[ok],Holieday[date],J_ADDDAY(VLOOKUP(I11,A:F,6,FALSE),H11+3,1)))=FALSE(),J_ADDDAY(VLOOKUP(I11,A:F,6,FALSE),H11+3,1),IF(OR(j_WEEKDAY(J_ADDDAY(VLOOKUP(I11,A:F,6,FALSE),H11+4,1),0)=6,SUMIFS(Holieday[ok],Holieday[date],J_ADDDAY(VLOOKUP(I11,A:F,6,FALSE),H11+4,1)))=FALSE(),J_ADDDAY(VLOOKUP(I11,A:F,6,FALSE),H11+4,1),J_ADDDAY(VLOOKUP(I11,A:F,6,FALSE),H11+5,1))))))</f>
        <v>1398/06/31</v>
      </c>
      <c r="E11" s="193">
        <f t="shared" si="4"/>
        <v>13980631</v>
      </c>
      <c r="F11" s="204" t="str">
        <f>IF(N11=0,J_SUBDAY(D11,1,1),IF((N11-(NETWORKDAYS.INTL(J_GregorianDate(D11,1),J_GregorianDate(J_SUBDAY(J_ADDDAY(D11,N11,1),1,1),1),16,1)))+SUMIFS(Holieday[ok],Holieday[date],CONCATENATE("&gt;","=",D11),Holieday[date],CONCATENATE("&lt;","=",J_SUBDAY(J_ADDDAY(D11,N11,1),1,1)))-SUMIFS(Holieday[Friday],Holieday[date],CONCATENATE("&gt;","=",D11),Holieday[date],CONCATENATE("&lt;","=",J_SUBDAY(J_ADDDAY(D11,N11,1),1,1)))=0,J_SUBDAY(J_ADDDAY(D11,N11,1),1,1),IF((N11+1-(NETWORKDAYS.INTL(J_GregorianDate(D11,1),J_GregorianDate(J_SUBDAY(J_ADDDAY(D11,N11+1,1),1,1),1),16,1)))+SUMIFS(Holieday[ok],Holieday[date],CONCATENATE("&gt;","=",D11),Holieday[date],CONCATENATE("&lt;","=",J_SUBDAY(J_ADDDAY(D11,N11+1,1),1,1)))-SUMIFS(Holieday[Friday],Holieday[date],CONCATENATE("&gt;","=",D11),Holieday[date],CONCATENATE("&lt;","=",J_SUBDAY(J_ADDDAY(D11,N11+1,1),1,1)))=1,J_SUBDAY(J_ADDDAY(D11,N11+1,1),1,1),IF((N11+2-(NETWORKDAYS.INTL(J_GregorianDate(D11,1),J_GregorianDate(J_SUBDAY(J_ADDDAY(D11,N11+2,1),1,1),1),16,1)))+SUMIFS(Holieday[ok],Holieday[date],CONCATENATE("&gt;","=",D11),Holieday[date],CONCATENATE("&lt;","=",J_SUBDAY(J_ADDDAY(D11,N11+2,1),1,1)))-SUMIFS(Holieday[Friday],Holieday[date],CONCATENATE("&gt;","=",D11),Holieday[date],CONCATENATE("&lt;","=",J_SUBDAY(J_ADDDAY(D11,N11+2,1),1,1)))=2,J_SUBDAY(J_ADDDAY(D11,N11+2,1),1,1),IF((N11+3-(NETWORKDAYS.INTL(J_GregorianDate(D11,1),J_GregorianDate(J_SUBDAY(J_ADDDAY(D11,N11+3,1),1,1),1),16,1)))+SUMIFS(Holieday[ok],Holieday[date],CONCATENATE("&gt;","=",D11),Holieday[date],CONCATENATE("&lt;","=",J_SUBDAY(J_ADDDAY(D11,N11+3,1),1,1)))-SUMIFS(Holieday[Friday],Holieday[date],CONCATENATE("&gt;","=",D11),Holieday[date],CONCATENATE("&lt;","=",J_SUBDAY(J_ADDDAY(D11,N11+3,1),1,1)))=3,J_SUBDAY(J_ADDDAY(D11,N11+3,1),1,1),IF((N11+4-(NETWORKDAYS.INTL(J_GregorianDate(D11,1),J_GregorianDate(J_SUBDAY(J_ADDDAY(D11,N11+4,1),1,1),1),16,1)))+SUMIFS(Holieday[ok],Holieday[date],CONCATENATE("&gt;","=",D11),Holieday[date],CONCATENATE("&lt;","=",J_SUBDAY(J_ADDDAY(D11,N11+4,1),1,1)))-SUMIFS(Holieday[Friday],Holieday[date],CONCATENATE("&gt;","=",D11),Holieday[date],CONCATENATE("&lt;","=",J_SUBDAY(J_ADDDAY(D11,N11+4,1),1,1)))=4,J_SUBDAY(J_ADDDAY(D11,N11+4,1),1,1),IF((N11+5-(NETWORKDAYS.INTL(J_GregorianDate(D11,1),J_GregorianDate(J_SUBDAY(J_ADDDAY(D11,N11+5,1),1,1),1),16,1)))+SUMIFS(Holieday[ok],Holieday[date],CONCATENATE("&gt;","=",D11),Holieday[date],CONCATENATE("&lt;","=",J_SUBDAY(J_ADDDAY(D11,N11+5,1),1,1)))-SUMIFS(Holieday[Friday],Holieday[date],CONCATENATE("&gt;","=",D11),Holieday[date],CONCATENATE("&lt;","=",J_SUBDAY(J_ADDDAY(D11,N11+5,1),1,1)))=5,J_SUBDAY(J_ADDDAY(D11,N11+5,1),1,1),J_SUBDAY(J_ADDDAY(D11,N11+6,1),1,1))))))))</f>
        <v>1398/07/02</v>
      </c>
      <c r="G11" s="196">
        <f t="shared" si="5"/>
        <v>13980702</v>
      </c>
      <c r="H11" s="119"/>
      <c r="I11" s="120">
        <v>1.1000000000000001</v>
      </c>
      <c r="J11" s="204">
        <f>j_WEEKDAY(D11,2)</f>
        <v>1</v>
      </c>
      <c r="K11" s="206">
        <f t="shared" si="7"/>
        <v>0</v>
      </c>
      <c r="L11" s="207">
        <f t="shared" si="8"/>
        <v>3</v>
      </c>
      <c r="M11" s="121">
        <v>1</v>
      </c>
      <c r="N11" s="118">
        <v>3</v>
      </c>
      <c r="O11" s="208">
        <f>ROUNDDOWN(M11*L11,0)</f>
        <v>3</v>
      </c>
      <c r="P11" s="208">
        <f>VALUE(J_normdate(J_ADDDAY($D11,$O11,1)))</f>
        <v>13980703</v>
      </c>
      <c r="Q11" s="204">
        <f t="shared" si="6"/>
        <v>0</v>
      </c>
      <c r="R11" s="202"/>
      <c r="S11" s="202"/>
      <c r="T11" s="202"/>
      <c r="U11" s="202"/>
      <c r="V11" s="202"/>
      <c r="W11" s="202"/>
      <c r="X11" s="202"/>
      <c r="Y11" s="202"/>
      <c r="Z11" s="202"/>
      <c r="AA11" s="202"/>
      <c r="AB11" s="202"/>
      <c r="AC11" s="202"/>
      <c r="AD11" s="202"/>
      <c r="AE11" s="202"/>
      <c r="AF11" s="202"/>
      <c r="AG11" s="202"/>
      <c r="AH11" s="202"/>
      <c r="AI11" s="202"/>
      <c r="AJ11" s="202"/>
      <c r="AK11" s="202"/>
      <c r="AL11" s="202"/>
      <c r="AM11" s="202"/>
      <c r="AN11" s="202"/>
      <c r="AO11" s="202"/>
      <c r="AP11" s="202"/>
      <c r="AQ11" s="202"/>
      <c r="AR11" s="202"/>
      <c r="AS11" s="202"/>
      <c r="AT11" s="202"/>
      <c r="AU11" s="202"/>
      <c r="AV11" s="202"/>
      <c r="AW11" s="202"/>
      <c r="AX11" s="202"/>
      <c r="AY11" s="202"/>
      <c r="AZ11" s="202"/>
      <c r="BA11" s="202"/>
      <c r="BB11" s="202"/>
      <c r="BC11" s="202"/>
      <c r="BD11" s="202"/>
      <c r="BE11" s="202"/>
      <c r="BF11" s="202"/>
      <c r="BG11" s="202"/>
      <c r="BH11" s="202"/>
      <c r="BI11" s="202"/>
      <c r="BJ11" s="202"/>
      <c r="BK11" s="202"/>
      <c r="BL11" s="202"/>
      <c r="BM11" s="202"/>
      <c r="BN11" s="202"/>
      <c r="BO11" s="202"/>
      <c r="BP11" s="202"/>
      <c r="BQ11" s="202"/>
      <c r="BR11" s="202"/>
      <c r="BS11" s="202"/>
      <c r="BT11" s="202"/>
      <c r="BU11" s="202"/>
      <c r="BV11" s="202"/>
      <c r="BW11" s="202"/>
      <c r="BX11" s="202"/>
      <c r="BY11" s="202"/>
      <c r="BZ11" s="202"/>
      <c r="CA11" s="202"/>
      <c r="CB11" s="202"/>
      <c r="CC11" s="202"/>
      <c r="CD11" s="202"/>
      <c r="CE11" s="202"/>
      <c r="CF11" s="202"/>
      <c r="CG11" s="202"/>
      <c r="CH11" s="202"/>
      <c r="CI11" s="202"/>
      <c r="CJ11" s="202"/>
      <c r="CK11" s="202"/>
      <c r="CL11" s="202"/>
      <c r="CM11" s="202"/>
      <c r="CN11" s="202"/>
      <c r="CO11" s="202"/>
      <c r="CP11" s="202"/>
      <c r="CQ11" s="202"/>
      <c r="CR11" s="202"/>
      <c r="CS11" s="202"/>
      <c r="CT11" s="202"/>
      <c r="CU11" s="202"/>
      <c r="CV11" s="202"/>
      <c r="CW11" s="202"/>
      <c r="CX11" s="202"/>
      <c r="CY11" s="202"/>
      <c r="CZ11" s="202"/>
      <c r="DA11" s="202"/>
      <c r="DB11" s="202"/>
      <c r="DC11" s="202"/>
      <c r="DD11" s="202"/>
      <c r="DE11" s="202"/>
      <c r="DF11" s="202"/>
      <c r="DG11" s="202"/>
      <c r="DH11" s="202"/>
      <c r="DI11" s="202"/>
      <c r="DJ11" s="202"/>
      <c r="DK11" s="202"/>
      <c r="DL11" s="202"/>
      <c r="DM11" s="202"/>
      <c r="DN11" s="202"/>
      <c r="DO11" s="202"/>
      <c r="DP11" s="202"/>
      <c r="DQ11" s="202"/>
      <c r="DR11" s="202"/>
      <c r="DS11" s="202"/>
      <c r="DT11" s="202"/>
      <c r="DU11" s="202"/>
      <c r="DV11" s="202"/>
      <c r="DW11" s="202"/>
      <c r="DX11" s="202"/>
      <c r="DY11" s="202"/>
      <c r="DZ11" s="202"/>
      <c r="EA11" s="202"/>
      <c r="EB11" s="202"/>
      <c r="EC11" s="202"/>
      <c r="ED11" s="202"/>
      <c r="EE11" s="202"/>
      <c r="EF11" s="202"/>
      <c r="EG11" s="202"/>
      <c r="EH11" s="202"/>
      <c r="EI11" s="202"/>
      <c r="EJ11" s="202"/>
      <c r="EK11" s="202"/>
      <c r="EL11" s="202"/>
      <c r="EM11" s="202"/>
      <c r="EN11" s="202"/>
      <c r="EO11" s="202"/>
      <c r="EP11" s="202"/>
      <c r="EQ11" s="202"/>
      <c r="ER11" s="202"/>
      <c r="ES11" s="202"/>
      <c r="ET11" s="202"/>
      <c r="EU11" s="202"/>
      <c r="EV11" s="202"/>
      <c r="EW11" s="202"/>
      <c r="EX11" s="202"/>
      <c r="EY11" s="202"/>
      <c r="EZ11" s="202"/>
      <c r="FA11" s="202"/>
      <c r="FB11" s="202"/>
      <c r="FC11" s="202"/>
      <c r="FD11" s="202"/>
      <c r="FE11" s="202"/>
      <c r="FF11" s="202"/>
      <c r="FG11" s="202"/>
      <c r="FH11" s="202"/>
      <c r="FI11" s="202"/>
      <c r="FJ11" s="202"/>
      <c r="FK11" s="202"/>
      <c r="FL11" s="202"/>
      <c r="FM11" s="202"/>
      <c r="FN11" s="202"/>
      <c r="FO11" s="202"/>
      <c r="FP11" s="202"/>
      <c r="FQ11" s="202"/>
      <c r="FR11" s="202"/>
      <c r="FS11" s="202"/>
      <c r="FT11" s="202"/>
      <c r="FU11" s="202"/>
      <c r="FV11" s="202"/>
      <c r="FW11" s="202"/>
      <c r="FX11" s="202"/>
      <c r="FY11" s="202"/>
      <c r="FZ11" s="202"/>
      <c r="GA11" s="202"/>
      <c r="GB11" s="202"/>
      <c r="GC11" s="202"/>
      <c r="GD11" s="202"/>
      <c r="GE11" s="202"/>
      <c r="GF11" s="202"/>
      <c r="GG11" s="202"/>
      <c r="GH11" s="202"/>
      <c r="GI11" s="202"/>
      <c r="GJ11" s="202"/>
      <c r="GK11" s="202"/>
      <c r="GL11" s="202"/>
      <c r="GM11" s="202"/>
      <c r="GN11" s="202"/>
      <c r="GO11" s="202"/>
      <c r="GP11" s="202"/>
      <c r="GQ11" s="202"/>
      <c r="GR11" s="202"/>
      <c r="GS11" s="202"/>
      <c r="GT11" s="202"/>
      <c r="GU11" s="202"/>
      <c r="GV11" s="202"/>
      <c r="GW11" s="202"/>
      <c r="GX11" s="202"/>
      <c r="GY11" s="202"/>
      <c r="GZ11" s="202"/>
      <c r="HA11" s="202"/>
      <c r="HB11" s="202"/>
      <c r="HC11" s="202"/>
      <c r="HD11" s="202"/>
      <c r="HE11" s="202"/>
      <c r="HF11" s="202"/>
      <c r="HG11" s="202"/>
      <c r="HH11" s="202"/>
      <c r="HI11" s="202"/>
      <c r="HJ11" s="202"/>
      <c r="HK11" s="202"/>
      <c r="HL11" s="202"/>
      <c r="HM11" s="202"/>
      <c r="HN11" s="202"/>
      <c r="HO11" s="202"/>
      <c r="HP11" s="202"/>
      <c r="HQ11" s="202"/>
      <c r="HR11" s="202"/>
      <c r="HS11" s="202"/>
      <c r="HT11" s="202"/>
      <c r="HU11" s="202"/>
      <c r="HV11" s="202"/>
      <c r="HW11" s="202"/>
      <c r="HX11" s="202"/>
      <c r="HY11" s="202"/>
      <c r="HZ11" s="202"/>
      <c r="IA11" s="202"/>
      <c r="IB11" s="202"/>
      <c r="IC11" s="202"/>
      <c r="ID11" s="202"/>
      <c r="IE11" s="202"/>
      <c r="IF11" s="202"/>
      <c r="IG11" s="202"/>
      <c r="IH11" s="202"/>
      <c r="II11" s="202"/>
      <c r="IJ11" s="202"/>
      <c r="IK11" s="202"/>
      <c r="IL11" s="202"/>
      <c r="IM11" s="202"/>
      <c r="IN11" s="202"/>
      <c r="IO11" s="202"/>
      <c r="IP11" s="202"/>
      <c r="IQ11" s="202"/>
      <c r="IR11" s="202"/>
      <c r="IS11" s="202"/>
      <c r="IT11" s="202"/>
      <c r="IU11" s="202"/>
      <c r="IV11" s="202"/>
      <c r="IW11" s="202"/>
      <c r="IX11" s="202"/>
      <c r="IY11" s="31">
        <v>2</v>
      </c>
      <c r="IZ11" s="43">
        <f>(TEXT(K11,"[m]")/60)*VLOOKUP(IY11,'Income Person-hours'!A$2:C$5,3,FALSE)</f>
        <v>0</v>
      </c>
      <c r="JA11" s="122"/>
      <c r="JB11" s="122"/>
      <c r="JC11" s="122"/>
      <c r="JD11" s="227">
        <f>SUM((TEXT(JA11,"[M]")/60)*'Income Person-hours'!$D$3,(TEXT(JB11,"[M]")/60)*'Income Person-hours'!$D$4,(TEXT(JC11,"[M]")/60)*'Income Person-hours'!$D$5)</f>
        <v>0</v>
      </c>
    </row>
    <row r="12" spans="1:264" s="226" customFormat="1" ht="15.75" x14ac:dyDescent="0.45">
      <c r="A12" s="201">
        <v>1.3</v>
      </c>
      <c r="B12" s="116" t="s">
        <v>117</v>
      </c>
      <c r="C12" s="117" t="s">
        <v>79</v>
      </c>
      <c r="D12" s="203" t="str">
        <f>IF(OR(j_WEEKDAY(J_ADDDAY(VLOOKUP(I12,A:F,6,FALSE),H12,1),0)=6,SUMIFS(Holieday[ok],Holieday[date],J_ADDDAY(VLOOKUP(I12,A:F,6,FALSE),H12,1)))=FALSE(),J_ADDDAY(VLOOKUP(I12,A:F,6,FALSE),H12,1),IF(OR(j_WEEKDAY(J_ADDDAY(VLOOKUP(I12,A:F,6,FALSE),H12+1,1),0)=6,SUMIFS(Holieday[ok],Holieday[date],J_ADDDAY(VLOOKUP(I12,A:F,6,FALSE),H12+1,1)))=FALSE(),J_ADDDAY(VLOOKUP(I12,A:F,6,FALSE),H12+1,1),IF(OR(j_WEEKDAY(J_ADDDAY(VLOOKUP(I12,A:F,6,FALSE),H12+2,1),0)=6,SUMIFS(Holieday[ok],Holieday[date],J_ADDDAY(VLOOKUP(I12,A:F,6,FALSE),H12+2,1)))=FALSE(),J_ADDDAY(VLOOKUP(I12,A:F,6,FALSE),H12+2,1),IF(OR(j_WEEKDAY(J_ADDDAY(VLOOKUP(I12,A:F,6,FALSE),H12+3,1),0)=6,SUMIFS(Holieday[ok],Holieday[date],J_ADDDAY(VLOOKUP(I12,A:F,6,FALSE),H12+3,1)))=FALSE(),J_ADDDAY(VLOOKUP(I12,A:F,6,FALSE),H12+3,1),IF(OR(j_WEEKDAY(J_ADDDAY(VLOOKUP(I12,A:F,6,FALSE),H12+4,1),0)=6,SUMIFS(Holieday[ok],Holieday[date],J_ADDDAY(VLOOKUP(I12,A:F,6,FALSE),H12+4,1)))=FALSE(),J_ADDDAY(VLOOKUP(I12,A:F,6,FALSE),H12+4,1),J_ADDDAY(VLOOKUP(I12,A:F,6,FALSE),H12+5,1))))))</f>
        <v>1398/06/31</v>
      </c>
      <c r="E12" s="193">
        <f t="shared" si="4"/>
        <v>13980631</v>
      </c>
      <c r="F12" s="204" t="str">
        <f>IF(N12=0,J_SUBDAY(D12,1,1),IF((N12-(NETWORKDAYS.INTL(J_GregorianDate(D12,1),J_GregorianDate(J_SUBDAY(J_ADDDAY(D12,N12,1),1,1),1),16,1)))+SUMIFS(Holieday[ok],Holieday[date],CONCATENATE("&gt;","=",D12),Holieday[date],CONCATENATE("&lt;","=",J_SUBDAY(J_ADDDAY(D12,N12,1),1,1)))-SUMIFS(Holieday[Friday],Holieday[date],CONCATENATE("&gt;","=",D12),Holieday[date],CONCATENATE("&lt;","=",J_SUBDAY(J_ADDDAY(D12,N12,1),1,1)))=0,J_SUBDAY(J_ADDDAY(D12,N12,1),1,1),IF((N12+1-(NETWORKDAYS.INTL(J_GregorianDate(D12,1),J_GregorianDate(J_SUBDAY(J_ADDDAY(D12,N12+1,1),1,1),1),16,1)))+SUMIFS(Holieday[ok],Holieday[date],CONCATENATE("&gt;","=",D12),Holieday[date],CONCATENATE("&lt;","=",J_SUBDAY(J_ADDDAY(D12,N12+1,1),1,1)))-SUMIFS(Holieday[Friday],Holieday[date],CONCATENATE("&gt;","=",D12),Holieday[date],CONCATENATE("&lt;","=",J_SUBDAY(J_ADDDAY(D12,N12+1,1),1,1)))=1,J_SUBDAY(J_ADDDAY(D12,N12+1,1),1,1),IF((N12+2-(NETWORKDAYS.INTL(J_GregorianDate(D12,1),J_GregorianDate(J_SUBDAY(J_ADDDAY(D12,N12+2,1),1,1),1),16,1)))+SUMIFS(Holieday[ok],Holieday[date],CONCATENATE("&gt;","=",D12),Holieday[date],CONCATENATE("&lt;","=",J_SUBDAY(J_ADDDAY(D12,N12+2,1),1,1)))-SUMIFS(Holieday[Friday],Holieday[date],CONCATENATE("&gt;","=",D12),Holieday[date],CONCATENATE("&lt;","=",J_SUBDAY(J_ADDDAY(D12,N12+2,1),1,1)))=2,J_SUBDAY(J_ADDDAY(D12,N12+2,1),1,1),IF((N12+3-(NETWORKDAYS.INTL(J_GregorianDate(D12,1),J_GregorianDate(J_SUBDAY(J_ADDDAY(D12,N12+3,1),1,1),1),16,1)))+SUMIFS(Holieday[ok],Holieday[date],CONCATENATE("&gt;","=",D12),Holieday[date],CONCATENATE("&lt;","=",J_SUBDAY(J_ADDDAY(D12,N12+3,1),1,1)))-SUMIFS(Holieday[Friday],Holieday[date],CONCATENATE("&gt;","=",D12),Holieday[date],CONCATENATE("&lt;","=",J_SUBDAY(J_ADDDAY(D12,N12+3,1),1,1)))=3,J_SUBDAY(J_ADDDAY(D12,N12+3,1),1,1),IF((N12+4-(NETWORKDAYS.INTL(J_GregorianDate(D12,1),J_GregorianDate(J_SUBDAY(J_ADDDAY(D12,N12+4,1),1,1),1),16,1)))+SUMIFS(Holieday[ok],Holieday[date],CONCATENATE("&gt;","=",D12),Holieday[date],CONCATENATE("&lt;","=",J_SUBDAY(J_ADDDAY(D12,N12+4,1),1,1)))-SUMIFS(Holieday[Friday],Holieday[date],CONCATENATE("&gt;","=",D12),Holieday[date],CONCATENATE("&lt;","=",J_SUBDAY(J_ADDDAY(D12,N12+4,1),1,1)))=4,J_SUBDAY(J_ADDDAY(D12,N12+4,1),1,1),IF((N12+5-(NETWORKDAYS.INTL(J_GregorianDate(D12,1),J_GregorianDate(J_SUBDAY(J_ADDDAY(D12,N12+5,1),1,1),1),16,1)))+SUMIFS(Holieday[ok],Holieday[date],CONCATENATE("&gt;","=",D12),Holieday[date],CONCATENATE("&lt;","=",J_SUBDAY(J_ADDDAY(D12,N12+5,1),1,1)))-SUMIFS(Holieday[Friday],Holieday[date],CONCATENATE("&gt;","=",D12),Holieday[date],CONCATENATE("&lt;","=",J_SUBDAY(J_ADDDAY(D12,N12+5,1),1,1)))=5,J_SUBDAY(J_ADDDAY(D12,N12+5,1),1,1),J_SUBDAY(J_ADDDAY(D12,N12+6,1),1,1))))))))</f>
        <v>1398/07/02</v>
      </c>
      <c r="G12" s="196">
        <f t="shared" si="5"/>
        <v>13980702</v>
      </c>
      <c r="H12" s="119"/>
      <c r="I12" s="120">
        <v>1.1000000000000001</v>
      </c>
      <c r="J12" s="204">
        <f>j_WEEKDAY(D12,2)</f>
        <v>1</v>
      </c>
      <c r="K12" s="206">
        <f t="shared" si="7"/>
        <v>0</v>
      </c>
      <c r="L12" s="207">
        <f t="shared" si="8"/>
        <v>3</v>
      </c>
      <c r="M12" s="121">
        <v>1</v>
      </c>
      <c r="N12" s="118">
        <v>3</v>
      </c>
      <c r="O12" s="208">
        <f>ROUNDDOWN(M12*L12,0)</f>
        <v>3</v>
      </c>
      <c r="P12" s="208">
        <f>VALUE(J_normdate(J_ADDDAY($D12,$O12,1)))</f>
        <v>13980703</v>
      </c>
      <c r="Q12" s="204">
        <f t="shared" si="6"/>
        <v>0</v>
      </c>
      <c r="R12" s="202"/>
      <c r="S12" s="202"/>
      <c r="T12" s="202"/>
      <c r="U12" s="202"/>
      <c r="V12" s="202"/>
      <c r="W12" s="202"/>
      <c r="X12" s="202"/>
      <c r="Y12" s="202"/>
      <c r="Z12" s="202"/>
      <c r="AA12" s="202"/>
      <c r="AB12" s="202"/>
      <c r="AC12" s="202"/>
      <c r="AD12" s="202"/>
      <c r="AE12" s="202"/>
      <c r="AF12" s="202"/>
      <c r="AG12" s="202"/>
      <c r="AH12" s="202"/>
      <c r="AI12" s="202"/>
      <c r="AJ12" s="202"/>
      <c r="AK12" s="202"/>
      <c r="AL12" s="202"/>
      <c r="AM12" s="202"/>
      <c r="AN12" s="202"/>
      <c r="AO12" s="202"/>
      <c r="AP12" s="202"/>
      <c r="AQ12" s="202"/>
      <c r="AR12" s="202"/>
      <c r="AS12" s="202"/>
      <c r="AT12" s="202"/>
      <c r="AU12" s="202"/>
      <c r="AV12" s="202"/>
      <c r="AW12" s="202"/>
      <c r="AX12" s="202"/>
      <c r="AY12" s="202"/>
      <c r="AZ12" s="202"/>
      <c r="BA12" s="202"/>
      <c r="BB12" s="202"/>
      <c r="BC12" s="202"/>
      <c r="BD12" s="202"/>
      <c r="BE12" s="202"/>
      <c r="BF12" s="202"/>
      <c r="BG12" s="202"/>
      <c r="BH12" s="202"/>
      <c r="BI12" s="202"/>
      <c r="BJ12" s="202"/>
      <c r="BK12" s="202"/>
      <c r="BL12" s="202"/>
      <c r="BM12" s="202"/>
      <c r="BN12" s="202"/>
      <c r="BO12" s="202"/>
      <c r="BP12" s="202"/>
      <c r="BQ12" s="202"/>
      <c r="BR12" s="202"/>
      <c r="BS12" s="202"/>
      <c r="BT12" s="202"/>
      <c r="BU12" s="202"/>
      <c r="BV12" s="202"/>
      <c r="BW12" s="202"/>
      <c r="BX12" s="202"/>
      <c r="BY12" s="202"/>
      <c r="BZ12" s="202"/>
      <c r="CA12" s="202"/>
      <c r="CB12" s="202"/>
      <c r="CC12" s="202"/>
      <c r="CD12" s="202"/>
      <c r="CE12" s="202"/>
      <c r="CF12" s="202"/>
      <c r="CG12" s="202"/>
      <c r="CH12" s="202"/>
      <c r="CI12" s="202"/>
      <c r="CJ12" s="202"/>
      <c r="CK12" s="202"/>
      <c r="CL12" s="202"/>
      <c r="CM12" s="202"/>
      <c r="CN12" s="202"/>
      <c r="CO12" s="202"/>
      <c r="CP12" s="202"/>
      <c r="CQ12" s="202"/>
      <c r="CR12" s="202"/>
      <c r="CS12" s="202"/>
      <c r="CT12" s="202"/>
      <c r="CU12" s="202"/>
      <c r="CV12" s="202"/>
      <c r="CW12" s="202"/>
      <c r="CX12" s="202"/>
      <c r="CY12" s="202"/>
      <c r="CZ12" s="202"/>
      <c r="DA12" s="202"/>
      <c r="DB12" s="202"/>
      <c r="DC12" s="202"/>
      <c r="DD12" s="202"/>
      <c r="DE12" s="202"/>
      <c r="DF12" s="202"/>
      <c r="DG12" s="202"/>
      <c r="DH12" s="202"/>
      <c r="DI12" s="202"/>
      <c r="DJ12" s="202"/>
      <c r="DK12" s="202"/>
      <c r="DL12" s="202"/>
      <c r="DM12" s="202"/>
      <c r="DN12" s="202"/>
      <c r="DO12" s="202"/>
      <c r="DP12" s="202"/>
      <c r="DQ12" s="202"/>
      <c r="DR12" s="202"/>
      <c r="DS12" s="202"/>
      <c r="DT12" s="202"/>
      <c r="DU12" s="202"/>
      <c r="DV12" s="202"/>
      <c r="DW12" s="202"/>
      <c r="DX12" s="202"/>
      <c r="DY12" s="202"/>
      <c r="DZ12" s="202"/>
      <c r="EA12" s="202"/>
      <c r="EB12" s="202"/>
      <c r="EC12" s="202"/>
      <c r="ED12" s="202"/>
      <c r="EE12" s="202"/>
      <c r="EF12" s="202"/>
      <c r="EG12" s="202"/>
      <c r="EH12" s="202"/>
      <c r="EI12" s="202"/>
      <c r="EJ12" s="202"/>
      <c r="EK12" s="202"/>
      <c r="EL12" s="202"/>
      <c r="EM12" s="202"/>
      <c r="EN12" s="202"/>
      <c r="EO12" s="202"/>
      <c r="EP12" s="202"/>
      <c r="EQ12" s="202"/>
      <c r="ER12" s="202"/>
      <c r="ES12" s="202"/>
      <c r="ET12" s="202"/>
      <c r="EU12" s="202"/>
      <c r="EV12" s="202"/>
      <c r="EW12" s="202"/>
      <c r="EX12" s="202"/>
      <c r="EY12" s="202"/>
      <c r="EZ12" s="202"/>
      <c r="FA12" s="202"/>
      <c r="FB12" s="202"/>
      <c r="FC12" s="202"/>
      <c r="FD12" s="202"/>
      <c r="FE12" s="202"/>
      <c r="FF12" s="202"/>
      <c r="FG12" s="202"/>
      <c r="FH12" s="202"/>
      <c r="FI12" s="202"/>
      <c r="FJ12" s="202"/>
      <c r="FK12" s="202"/>
      <c r="FL12" s="202"/>
      <c r="FM12" s="202"/>
      <c r="FN12" s="202"/>
      <c r="FO12" s="202"/>
      <c r="FP12" s="202"/>
      <c r="FQ12" s="202"/>
      <c r="FR12" s="202"/>
      <c r="FS12" s="202"/>
      <c r="FT12" s="202"/>
      <c r="FU12" s="202"/>
      <c r="FV12" s="202"/>
      <c r="FW12" s="202"/>
      <c r="FX12" s="202"/>
      <c r="FY12" s="202"/>
      <c r="FZ12" s="202"/>
      <c r="GA12" s="202"/>
      <c r="GB12" s="202"/>
      <c r="GC12" s="202"/>
      <c r="GD12" s="202"/>
      <c r="GE12" s="202"/>
      <c r="GF12" s="202"/>
      <c r="GG12" s="202"/>
      <c r="GH12" s="202"/>
      <c r="GI12" s="202"/>
      <c r="GJ12" s="202"/>
      <c r="GK12" s="202"/>
      <c r="GL12" s="202"/>
      <c r="GM12" s="202"/>
      <c r="GN12" s="202"/>
      <c r="GO12" s="202"/>
      <c r="GP12" s="202"/>
      <c r="GQ12" s="202"/>
      <c r="GR12" s="202"/>
      <c r="GS12" s="202"/>
      <c r="GT12" s="202"/>
      <c r="GU12" s="202"/>
      <c r="GV12" s="202"/>
      <c r="GW12" s="202"/>
      <c r="GX12" s="202"/>
      <c r="GY12" s="202"/>
      <c r="GZ12" s="202"/>
      <c r="HA12" s="202"/>
      <c r="HB12" s="202"/>
      <c r="HC12" s="202"/>
      <c r="HD12" s="202"/>
      <c r="HE12" s="202"/>
      <c r="HF12" s="202"/>
      <c r="HG12" s="202"/>
      <c r="HH12" s="202"/>
      <c r="HI12" s="202"/>
      <c r="HJ12" s="202"/>
      <c r="HK12" s="202"/>
      <c r="HL12" s="202"/>
      <c r="HM12" s="202"/>
      <c r="HN12" s="202"/>
      <c r="HO12" s="202"/>
      <c r="HP12" s="202"/>
      <c r="HQ12" s="202"/>
      <c r="HR12" s="202"/>
      <c r="HS12" s="202"/>
      <c r="HT12" s="202"/>
      <c r="HU12" s="202"/>
      <c r="HV12" s="202"/>
      <c r="HW12" s="202"/>
      <c r="HX12" s="202"/>
      <c r="HY12" s="202"/>
      <c r="HZ12" s="202"/>
      <c r="IA12" s="202"/>
      <c r="IB12" s="202"/>
      <c r="IC12" s="202"/>
      <c r="ID12" s="202"/>
      <c r="IE12" s="202"/>
      <c r="IF12" s="202"/>
      <c r="IG12" s="202"/>
      <c r="IH12" s="202"/>
      <c r="II12" s="202"/>
      <c r="IJ12" s="202"/>
      <c r="IK12" s="202"/>
      <c r="IL12" s="202"/>
      <c r="IM12" s="202"/>
      <c r="IN12" s="202"/>
      <c r="IO12" s="202"/>
      <c r="IP12" s="202"/>
      <c r="IQ12" s="202"/>
      <c r="IR12" s="202"/>
      <c r="IS12" s="202"/>
      <c r="IT12" s="202"/>
      <c r="IU12" s="202"/>
      <c r="IV12" s="202"/>
      <c r="IW12" s="202"/>
      <c r="IX12" s="202"/>
      <c r="IY12" s="31">
        <v>2</v>
      </c>
      <c r="IZ12" s="43">
        <f>(TEXT(K12,"[m]")/60)*VLOOKUP(IY12,'Income Person-hours'!A$2:C$5,3,FALSE)</f>
        <v>0</v>
      </c>
      <c r="JA12" s="122"/>
      <c r="JB12" s="122"/>
      <c r="JC12" s="122"/>
      <c r="JD12" s="227">
        <f>SUM((TEXT(JA12,"[M]")/60)*'Income Person-hours'!$D$3,(TEXT(JB12,"[M]")/60)*'Income Person-hours'!$D$4,(TEXT(JC12,"[M]")/60)*'Income Person-hours'!$D$5)</f>
        <v>0</v>
      </c>
    </row>
    <row r="13" spans="1:264" s="226" customFormat="1" ht="15.75" x14ac:dyDescent="0.45">
      <c r="A13" s="201">
        <v>1.4</v>
      </c>
      <c r="B13" s="116" t="s">
        <v>152</v>
      </c>
      <c r="C13" s="117" t="s">
        <v>110</v>
      </c>
      <c r="D13" s="202" t="str">
        <f>IF(OR(j_WEEKDAY(J_ADDDAY(VLOOKUP(I13,A:F,6,FALSE),H13,1),0)=6,SUMIFS(Holieday[ok],Holieday[date],J_ADDDAY(VLOOKUP(I13,A:F,6,FALSE),H13,1)))=FALSE(),J_ADDDAY(VLOOKUP(I13,A:F,6,FALSE),H13,1),IF(OR(j_WEEKDAY(J_ADDDAY(VLOOKUP(I13,A:F,6,FALSE),H13+1,1),0)=6,SUMIFS(Holieday[ok],Holieday[date],J_ADDDAY(VLOOKUP(I13,A:F,6,FALSE),H13+1,1)))=FALSE(),J_ADDDAY(VLOOKUP(I13,A:F,6,FALSE),H13+1,1),IF(OR(j_WEEKDAY(J_ADDDAY(VLOOKUP(I13,A:F,6,FALSE),H13+2,1),0)=6,SUMIFS(Holieday[ok],Holieday[date],J_ADDDAY(VLOOKUP(I13,A:F,6,FALSE),H13+2,1)))=FALSE(),J_ADDDAY(VLOOKUP(I13,A:F,6,FALSE),H13+2,1),IF(OR(j_WEEKDAY(J_ADDDAY(VLOOKUP(I13,A:F,6,FALSE),H13+3,1),0)=6,SUMIFS(Holieday[ok],Holieday[date],J_ADDDAY(VLOOKUP(I13,A:F,6,FALSE),H13+3,1)))=FALSE(),J_ADDDAY(VLOOKUP(I13,A:F,6,FALSE),H13+3,1),IF(OR(j_WEEKDAY(J_ADDDAY(VLOOKUP(I13,A:F,6,FALSE),H13+4,1),0)=6,SUMIFS(Holieday[ok],Holieday[date],J_ADDDAY(VLOOKUP(I13,A:F,6,FALSE),H13+4,1)))=FALSE(),J_ADDDAY(VLOOKUP(I13,A:F,6,FALSE),H13+4,1),J_ADDDAY(VLOOKUP(I13,A:F,6,FALSE),H13+5,1))))))</f>
        <v>1398/07/06</v>
      </c>
      <c r="E13" s="193">
        <f t="shared" si="4"/>
        <v>13980706</v>
      </c>
      <c r="F13" s="205" t="str">
        <f>IF(N13=0,J_SUBDAY(D13,1,1),IF((N13-(NETWORKDAYS.INTL(J_GregorianDate(D13,1),J_GregorianDate(J_SUBDAY(J_ADDDAY(D13,N13,1),1,1),1),16,1)))+SUMIFS(Holieday[ok],Holieday[date],CONCATENATE("&gt;","=",D13),Holieday[date],CONCATENATE("&lt;","=",J_SUBDAY(J_ADDDAY(D13,N13,1),1,1)))-SUMIFS(Holieday[Friday],Holieday[date],CONCATENATE("&gt;","=",D13),Holieday[date],CONCATENATE("&lt;","=",J_SUBDAY(J_ADDDAY(D13,N13,1),1,1)))=0,J_SUBDAY(J_ADDDAY(D13,N13,1),1,1),IF((N13+1-(NETWORKDAYS.INTL(J_GregorianDate(D13,1),J_GregorianDate(J_SUBDAY(J_ADDDAY(D13,N13+1,1),1,1),1),16,1)))+SUMIFS(Holieday[ok],Holieday[date],CONCATENATE("&gt;","=",D13),Holieday[date],CONCATENATE("&lt;","=",J_SUBDAY(J_ADDDAY(D13,N13+1,1),1,1)))-SUMIFS(Holieday[Friday],Holieday[date],CONCATENATE("&gt;","=",D13),Holieday[date],CONCATENATE("&lt;","=",J_SUBDAY(J_ADDDAY(D13,N13+1,1),1,1)))=1,J_SUBDAY(J_ADDDAY(D13,N13+1,1),1,1),IF((N13+2-(NETWORKDAYS.INTL(J_GregorianDate(D13,1),J_GregorianDate(J_SUBDAY(J_ADDDAY(D13,N13+2,1),1,1),1),16,1)))+SUMIFS(Holieday[ok],Holieday[date],CONCATENATE("&gt;","=",D13),Holieday[date],CONCATENATE("&lt;","=",J_SUBDAY(J_ADDDAY(D13,N13+2,1),1,1)))-SUMIFS(Holieday[Friday],Holieday[date],CONCATENATE("&gt;","=",D13),Holieday[date],CONCATENATE("&lt;","=",J_SUBDAY(J_ADDDAY(D13,N13+2,1),1,1)))=2,J_SUBDAY(J_ADDDAY(D13,N13+2,1),1,1),IF((N13+3-(NETWORKDAYS.INTL(J_GregorianDate(D13,1),J_GregorianDate(J_SUBDAY(J_ADDDAY(D13,N13+3,1),1,1),1),16,1)))+SUMIFS(Holieday[ok],Holieday[date],CONCATENATE("&gt;","=",D13),Holieday[date],CONCATENATE("&lt;","=",J_SUBDAY(J_ADDDAY(D13,N13+3,1),1,1)))-SUMIFS(Holieday[Friday],Holieday[date],CONCATENATE("&gt;","=",D13),Holieday[date],CONCATENATE("&lt;","=",J_SUBDAY(J_ADDDAY(D13,N13+3,1),1,1)))=3,J_SUBDAY(J_ADDDAY(D13,N13+3,1),1,1),IF((N13+4-(NETWORKDAYS.INTL(J_GregorianDate(D13,1),J_GregorianDate(J_SUBDAY(J_ADDDAY(D13,N13+4,1),1,1),1),16,1)))+SUMIFS(Holieday[ok],Holieday[date],CONCATENATE("&gt;","=",D13),Holieday[date],CONCATENATE("&lt;","=",J_SUBDAY(J_ADDDAY(D13,N13+4,1),1,1)))-SUMIFS(Holieday[Friday],Holieday[date],CONCATENATE("&gt;","=",D13),Holieday[date],CONCATENATE("&lt;","=",J_SUBDAY(J_ADDDAY(D13,N13+4,1),1,1)))=4,J_SUBDAY(J_ADDDAY(D13,N13+4,1),1,1),IF((N13+5-(NETWORKDAYS.INTL(J_GregorianDate(D13,1),J_GregorianDate(J_SUBDAY(J_ADDDAY(D13,N13+5,1),1,1),1),16,1)))+SUMIFS(Holieday[ok],Holieday[date],CONCATENATE("&gt;","=",D13),Holieday[date],CONCATENATE("&lt;","=",J_SUBDAY(J_ADDDAY(D13,N13+5,1),1,1)))-SUMIFS(Holieday[Friday],Holieday[date],CONCATENATE("&gt;","=",D13),Holieday[date],CONCATENATE("&lt;","=",J_SUBDAY(J_ADDDAY(D13,N13+5,1),1,1)))=5,J_SUBDAY(J_ADDDAY(D13,N13+5,1),1,1),J_SUBDAY(J_ADDDAY(D13,N13+6,1),1,1))))))))</f>
        <v>1398/07/06</v>
      </c>
      <c r="G13" s="196">
        <f t="shared" si="5"/>
        <v>13980706</v>
      </c>
      <c r="H13" s="119">
        <v>5</v>
      </c>
      <c r="I13" s="120">
        <v>1.1000000000000001</v>
      </c>
      <c r="J13" s="204">
        <f>j_WEEKDAY(D13,2)</f>
        <v>0</v>
      </c>
      <c r="K13" s="206">
        <f t="shared" si="7"/>
        <v>0</v>
      </c>
      <c r="L13" s="207">
        <f t="shared" si="8"/>
        <v>1</v>
      </c>
      <c r="M13" s="121">
        <v>1</v>
      </c>
      <c r="N13" s="118">
        <v>1</v>
      </c>
      <c r="O13" s="208">
        <f>ROUNDDOWN(M13*L13,0)</f>
        <v>1</v>
      </c>
      <c r="P13" s="208">
        <f>VALUE(J_normdate(J_ADDDAY($D13,$O13,1)))</f>
        <v>13980707</v>
      </c>
      <c r="Q13" s="204">
        <f t="shared" si="6"/>
        <v>0</v>
      </c>
      <c r="R13" s="202"/>
      <c r="S13" s="202"/>
      <c r="T13" s="202"/>
      <c r="U13" s="202"/>
      <c r="V13" s="202"/>
      <c r="W13" s="202"/>
      <c r="X13" s="202"/>
      <c r="Y13" s="202"/>
      <c r="Z13" s="202"/>
      <c r="AA13" s="202"/>
      <c r="AB13" s="202"/>
      <c r="AC13" s="202"/>
      <c r="AD13" s="202"/>
      <c r="AE13" s="202"/>
      <c r="AF13" s="202"/>
      <c r="AG13" s="202"/>
      <c r="AH13" s="202"/>
      <c r="AI13" s="202"/>
      <c r="AJ13" s="202"/>
      <c r="AK13" s="202"/>
      <c r="AL13" s="202"/>
      <c r="AM13" s="202"/>
      <c r="AN13" s="202"/>
      <c r="AO13" s="202"/>
      <c r="AP13" s="202"/>
      <c r="AQ13" s="202"/>
      <c r="AR13" s="202"/>
      <c r="AS13" s="202"/>
      <c r="AT13" s="202"/>
      <c r="AU13" s="202"/>
      <c r="AV13" s="202"/>
      <c r="AW13" s="202"/>
      <c r="AX13" s="202"/>
      <c r="AY13" s="202"/>
      <c r="AZ13" s="202"/>
      <c r="BA13" s="202"/>
      <c r="BB13" s="202"/>
      <c r="BC13" s="202"/>
      <c r="BD13" s="202"/>
      <c r="BE13" s="202"/>
      <c r="BF13" s="202"/>
      <c r="BG13" s="202"/>
      <c r="BH13" s="202"/>
      <c r="BI13" s="202"/>
      <c r="BJ13" s="202"/>
      <c r="BK13" s="202"/>
      <c r="BL13" s="202"/>
      <c r="BM13" s="202"/>
      <c r="BN13" s="202"/>
      <c r="BO13" s="202"/>
      <c r="BP13" s="202"/>
      <c r="BQ13" s="202"/>
      <c r="BR13" s="202"/>
      <c r="BS13" s="202"/>
      <c r="BT13" s="202"/>
      <c r="BU13" s="202"/>
      <c r="BV13" s="202"/>
      <c r="BW13" s="202"/>
      <c r="BX13" s="202"/>
      <c r="BY13" s="202"/>
      <c r="BZ13" s="202"/>
      <c r="CA13" s="202"/>
      <c r="CB13" s="202"/>
      <c r="CC13" s="202"/>
      <c r="CD13" s="202"/>
      <c r="CE13" s="202"/>
      <c r="CF13" s="202"/>
      <c r="CG13" s="202"/>
      <c r="CH13" s="202"/>
      <c r="CI13" s="202"/>
      <c r="CJ13" s="202"/>
      <c r="CK13" s="202"/>
      <c r="CL13" s="202"/>
      <c r="CM13" s="202"/>
      <c r="CN13" s="202"/>
      <c r="CO13" s="202"/>
      <c r="CP13" s="202"/>
      <c r="CQ13" s="202"/>
      <c r="CR13" s="202"/>
      <c r="CS13" s="202"/>
      <c r="CT13" s="202"/>
      <c r="CU13" s="202"/>
      <c r="CV13" s="202"/>
      <c r="CW13" s="202"/>
      <c r="CX13" s="202"/>
      <c r="CY13" s="202"/>
      <c r="CZ13" s="202"/>
      <c r="DA13" s="202"/>
      <c r="DB13" s="202"/>
      <c r="DC13" s="202"/>
      <c r="DD13" s="202"/>
      <c r="DE13" s="202"/>
      <c r="DF13" s="202"/>
      <c r="DG13" s="202"/>
      <c r="DH13" s="202"/>
      <c r="DI13" s="202"/>
      <c r="DJ13" s="202"/>
      <c r="DK13" s="202"/>
      <c r="DL13" s="202"/>
      <c r="DM13" s="202"/>
      <c r="DN13" s="202"/>
      <c r="DO13" s="202"/>
      <c r="DP13" s="202"/>
      <c r="DQ13" s="202"/>
      <c r="DR13" s="202"/>
      <c r="DS13" s="202"/>
      <c r="DT13" s="202"/>
      <c r="DU13" s="202"/>
      <c r="DV13" s="202"/>
      <c r="DW13" s="202"/>
      <c r="DX13" s="202"/>
      <c r="DY13" s="202"/>
      <c r="DZ13" s="202"/>
      <c r="EA13" s="202"/>
      <c r="EB13" s="202"/>
      <c r="EC13" s="202"/>
      <c r="ED13" s="202"/>
      <c r="EE13" s="202"/>
      <c r="EF13" s="202"/>
      <c r="EG13" s="202"/>
      <c r="EH13" s="202"/>
      <c r="EI13" s="202"/>
      <c r="EJ13" s="202"/>
      <c r="EK13" s="202"/>
      <c r="EL13" s="202"/>
      <c r="EM13" s="202"/>
      <c r="EN13" s="202"/>
      <c r="EO13" s="202"/>
      <c r="EP13" s="202"/>
      <c r="EQ13" s="202"/>
      <c r="ER13" s="202"/>
      <c r="ES13" s="202"/>
      <c r="ET13" s="202"/>
      <c r="EU13" s="202"/>
      <c r="EV13" s="202"/>
      <c r="EW13" s="202"/>
      <c r="EX13" s="202"/>
      <c r="EY13" s="202"/>
      <c r="EZ13" s="202"/>
      <c r="FA13" s="202"/>
      <c r="FB13" s="202"/>
      <c r="FC13" s="202"/>
      <c r="FD13" s="202"/>
      <c r="FE13" s="202"/>
      <c r="FF13" s="202"/>
      <c r="FG13" s="202"/>
      <c r="FH13" s="202"/>
      <c r="FI13" s="202"/>
      <c r="FJ13" s="202"/>
      <c r="FK13" s="202"/>
      <c r="FL13" s="202"/>
      <c r="FM13" s="202"/>
      <c r="FN13" s="202"/>
      <c r="FO13" s="202"/>
      <c r="FP13" s="202"/>
      <c r="FQ13" s="202"/>
      <c r="FR13" s="202"/>
      <c r="FS13" s="202"/>
      <c r="FT13" s="202"/>
      <c r="FU13" s="202"/>
      <c r="FV13" s="202"/>
      <c r="FW13" s="202"/>
      <c r="FX13" s="202"/>
      <c r="FY13" s="202"/>
      <c r="FZ13" s="202"/>
      <c r="GA13" s="202"/>
      <c r="GB13" s="202"/>
      <c r="GC13" s="202"/>
      <c r="GD13" s="202"/>
      <c r="GE13" s="202"/>
      <c r="GF13" s="202"/>
      <c r="GG13" s="202"/>
      <c r="GH13" s="202"/>
      <c r="GI13" s="202"/>
      <c r="GJ13" s="202"/>
      <c r="GK13" s="202"/>
      <c r="GL13" s="202"/>
      <c r="GM13" s="202"/>
      <c r="GN13" s="202"/>
      <c r="GO13" s="202"/>
      <c r="GP13" s="202"/>
      <c r="GQ13" s="202"/>
      <c r="GR13" s="202"/>
      <c r="GS13" s="202"/>
      <c r="GT13" s="202"/>
      <c r="GU13" s="202"/>
      <c r="GV13" s="202"/>
      <c r="GW13" s="202"/>
      <c r="GX13" s="202"/>
      <c r="GY13" s="202"/>
      <c r="GZ13" s="202"/>
      <c r="HA13" s="202"/>
      <c r="HB13" s="202"/>
      <c r="HC13" s="202"/>
      <c r="HD13" s="202"/>
      <c r="HE13" s="202"/>
      <c r="HF13" s="202"/>
      <c r="HG13" s="202"/>
      <c r="HH13" s="202"/>
      <c r="HI13" s="202"/>
      <c r="HJ13" s="202"/>
      <c r="HK13" s="202"/>
      <c r="HL13" s="202"/>
      <c r="HM13" s="202"/>
      <c r="HN13" s="202"/>
      <c r="HO13" s="202"/>
      <c r="HP13" s="202"/>
      <c r="HQ13" s="202"/>
      <c r="HR13" s="202"/>
      <c r="HS13" s="202"/>
      <c r="HT13" s="202"/>
      <c r="HU13" s="202"/>
      <c r="HV13" s="202"/>
      <c r="HW13" s="202"/>
      <c r="HX13" s="202"/>
      <c r="HY13" s="202"/>
      <c r="HZ13" s="202"/>
      <c r="IA13" s="202"/>
      <c r="IB13" s="202"/>
      <c r="IC13" s="202"/>
      <c r="ID13" s="202"/>
      <c r="IE13" s="202"/>
      <c r="IF13" s="202"/>
      <c r="IG13" s="202"/>
      <c r="IH13" s="202"/>
      <c r="II13" s="202"/>
      <c r="IJ13" s="202"/>
      <c r="IK13" s="202"/>
      <c r="IL13" s="202"/>
      <c r="IM13" s="202"/>
      <c r="IN13" s="202"/>
      <c r="IO13" s="202"/>
      <c r="IP13" s="202"/>
      <c r="IQ13" s="202"/>
      <c r="IR13" s="202"/>
      <c r="IS13" s="202"/>
      <c r="IT13" s="202"/>
      <c r="IU13" s="202"/>
      <c r="IV13" s="202"/>
      <c r="IW13" s="202"/>
      <c r="IX13" s="202"/>
      <c r="IY13" s="31">
        <v>1</v>
      </c>
      <c r="IZ13" s="43">
        <f>(TEXT(K13,"[m]")/60)*VLOOKUP(IY13,'Income Person-hours'!A$2:C$5,3,FALSE)</f>
        <v>0</v>
      </c>
      <c r="JA13" s="122"/>
      <c r="JB13" s="122"/>
      <c r="JC13" s="122"/>
      <c r="JD13" s="227">
        <f>SUM((TEXT(JA13,"[M]")/60)*'Income Person-hours'!$D$3,(TEXT(JB13,"[M]")/60)*'Income Person-hours'!$D$4,(TEXT(JC13,"[M]")/60)*'Income Person-hours'!$D$5)</f>
        <v>0</v>
      </c>
    </row>
    <row r="14" spans="1:264" s="226" customFormat="1" ht="15.75" x14ac:dyDescent="0.45">
      <c r="A14" s="201">
        <v>1.5</v>
      </c>
      <c r="B14" s="116" t="s">
        <v>125</v>
      </c>
      <c r="C14" s="117" t="s">
        <v>79</v>
      </c>
      <c r="D14" s="202" t="str">
        <f>IF(OR(j_WEEKDAY(J_ADDDAY(VLOOKUP(I14,A:F,6,FALSE),H14,1),0)=6,SUMIFS(Holieday[ok],Holieday[date],J_ADDDAY(VLOOKUP(I14,A:F,6,FALSE),H14,1)))=FALSE(),J_ADDDAY(VLOOKUP(I14,A:F,6,FALSE),H14,1),IF(OR(j_WEEKDAY(J_ADDDAY(VLOOKUP(I14,A:F,6,FALSE),H14+1,1),0)=6,SUMIFS(Holieday[ok],Holieday[date],J_ADDDAY(VLOOKUP(I14,A:F,6,FALSE),H14+1,1)))=FALSE(),J_ADDDAY(VLOOKUP(I14,A:F,6,FALSE),H14+1,1),IF(OR(j_WEEKDAY(J_ADDDAY(VLOOKUP(I14,A:F,6,FALSE),H14+2,1),0)=6,SUMIFS(Holieday[ok],Holieday[date],J_ADDDAY(VLOOKUP(I14,A:F,6,FALSE),H14+2,1)))=FALSE(),J_ADDDAY(VLOOKUP(I14,A:F,6,FALSE),H14+2,1),IF(OR(j_WEEKDAY(J_ADDDAY(VLOOKUP(I14,A:F,6,FALSE),H14+3,1),0)=6,SUMIFS(Holieday[ok],Holieday[date],J_ADDDAY(VLOOKUP(I14,A:F,6,FALSE),H14+3,1)))=FALSE(),J_ADDDAY(VLOOKUP(I14,A:F,6,FALSE),H14+3,1),IF(OR(j_WEEKDAY(J_ADDDAY(VLOOKUP(I14,A:F,6,FALSE),H14+4,1),0)=6,SUMIFS(Holieday[ok],Holieday[date],J_ADDDAY(VLOOKUP(I14,A:F,6,FALSE),H14+4,1)))=FALSE(),J_ADDDAY(VLOOKUP(I14,A:F,6,FALSE),H14+4,1),J_ADDDAY(VLOOKUP(I14,A:F,6,FALSE),H14+5,1))))))</f>
        <v>1398/07/06</v>
      </c>
      <c r="E14" s="193">
        <f t="shared" si="4"/>
        <v>13980706</v>
      </c>
      <c r="F14" s="205" t="str">
        <f>IF(N14=0,J_SUBDAY(D14,1,1),IF((N14-(NETWORKDAYS.INTL(J_GregorianDate(D14,1),J_GregorianDate(J_SUBDAY(J_ADDDAY(D14,N14,1),1,1),1),16,1)))+SUMIFS(Holieday[ok],Holieday[date],CONCATENATE("&gt;","=",D14),Holieday[date],CONCATENATE("&lt;","=",J_SUBDAY(J_ADDDAY(D14,N14,1),1,1)))-SUMIFS(Holieday[Friday],Holieday[date],CONCATENATE("&gt;","=",D14),Holieday[date],CONCATENATE("&lt;","=",J_SUBDAY(J_ADDDAY(D14,N14,1),1,1)))=0,J_SUBDAY(J_ADDDAY(D14,N14,1),1,1),IF((N14+1-(NETWORKDAYS.INTL(J_GregorianDate(D14,1),J_GregorianDate(J_SUBDAY(J_ADDDAY(D14,N14+1,1),1,1),1),16,1)))+SUMIFS(Holieday[ok],Holieday[date],CONCATENATE("&gt;","=",D14),Holieday[date],CONCATENATE("&lt;","=",J_SUBDAY(J_ADDDAY(D14,N14+1,1),1,1)))-SUMIFS(Holieday[Friday],Holieday[date],CONCATENATE("&gt;","=",D14),Holieday[date],CONCATENATE("&lt;","=",J_SUBDAY(J_ADDDAY(D14,N14+1,1),1,1)))=1,J_SUBDAY(J_ADDDAY(D14,N14+1,1),1,1),IF((N14+2-(NETWORKDAYS.INTL(J_GregorianDate(D14,1),J_GregorianDate(J_SUBDAY(J_ADDDAY(D14,N14+2,1),1,1),1),16,1)))+SUMIFS(Holieday[ok],Holieday[date],CONCATENATE("&gt;","=",D14),Holieday[date],CONCATENATE("&lt;","=",J_SUBDAY(J_ADDDAY(D14,N14+2,1),1,1)))-SUMIFS(Holieday[Friday],Holieday[date],CONCATENATE("&gt;","=",D14),Holieday[date],CONCATENATE("&lt;","=",J_SUBDAY(J_ADDDAY(D14,N14+2,1),1,1)))=2,J_SUBDAY(J_ADDDAY(D14,N14+2,1),1,1),IF((N14+3-(NETWORKDAYS.INTL(J_GregorianDate(D14,1),J_GregorianDate(J_SUBDAY(J_ADDDAY(D14,N14+3,1),1,1),1),16,1)))+SUMIFS(Holieday[ok],Holieday[date],CONCATENATE("&gt;","=",D14),Holieday[date],CONCATENATE("&lt;","=",J_SUBDAY(J_ADDDAY(D14,N14+3,1),1,1)))-SUMIFS(Holieday[Friday],Holieday[date],CONCATENATE("&gt;","=",D14),Holieday[date],CONCATENATE("&lt;","=",J_SUBDAY(J_ADDDAY(D14,N14+3,1),1,1)))=3,J_SUBDAY(J_ADDDAY(D14,N14+3,1),1,1),IF((N14+4-(NETWORKDAYS.INTL(J_GregorianDate(D14,1),J_GregorianDate(J_SUBDAY(J_ADDDAY(D14,N14+4,1),1,1),1),16,1)))+SUMIFS(Holieday[ok],Holieday[date],CONCATENATE("&gt;","=",D14),Holieday[date],CONCATENATE("&lt;","=",J_SUBDAY(J_ADDDAY(D14,N14+4,1),1,1)))-SUMIFS(Holieday[Friday],Holieday[date],CONCATENATE("&gt;","=",D14),Holieday[date],CONCATENATE("&lt;","=",J_SUBDAY(J_ADDDAY(D14,N14+4,1),1,1)))=4,J_SUBDAY(J_ADDDAY(D14,N14+4,1),1,1),IF((N14+5-(NETWORKDAYS.INTL(J_GregorianDate(D14,1),J_GregorianDate(J_SUBDAY(J_ADDDAY(D14,N14+5,1),1,1),1),16,1)))+SUMIFS(Holieday[ok],Holieday[date],CONCATENATE("&gt;","=",D14),Holieday[date],CONCATENATE("&lt;","=",J_SUBDAY(J_ADDDAY(D14,N14+5,1),1,1)))-SUMIFS(Holieday[Friday],Holieday[date],CONCATENATE("&gt;","=",D14),Holieday[date],CONCATENATE("&lt;","=",J_SUBDAY(J_ADDDAY(D14,N14+5,1),1,1)))=5,J_SUBDAY(J_ADDDAY(D14,N14+5,1),1,1),J_SUBDAY(J_ADDDAY(D14,N14+6,1),1,1))))))))</f>
        <v>1398/07/10</v>
      </c>
      <c r="G14" s="196">
        <f t="shared" si="5"/>
        <v>13980710</v>
      </c>
      <c r="H14" s="119"/>
      <c r="I14" s="120">
        <v>1.4</v>
      </c>
      <c r="J14" s="204">
        <f>j_WEEKDAY(D14,2)</f>
        <v>0</v>
      </c>
      <c r="K14" s="206">
        <f t="shared" si="7"/>
        <v>0</v>
      </c>
      <c r="L14" s="207">
        <f t="shared" si="8"/>
        <v>5</v>
      </c>
      <c r="M14" s="121">
        <v>0</v>
      </c>
      <c r="N14" s="118">
        <v>5</v>
      </c>
      <c r="O14" s="208">
        <f t="shared" ref="O14:O30" si="9">ROUNDDOWN(M14*L14,0)</f>
        <v>0</v>
      </c>
      <c r="P14" s="208">
        <f>VALUE(J_normdate(J_ADDDAY($D14,$O14,1)))</f>
        <v>13980706</v>
      </c>
      <c r="Q14" s="204">
        <f t="shared" ref="Q14:Q30" si="10">L14-O14</f>
        <v>5</v>
      </c>
      <c r="R14" s="202"/>
      <c r="S14" s="202"/>
      <c r="T14" s="202"/>
      <c r="U14" s="202"/>
      <c r="V14" s="202"/>
      <c r="W14" s="202"/>
      <c r="X14" s="202"/>
      <c r="Y14" s="202"/>
      <c r="Z14" s="202"/>
      <c r="AA14" s="202"/>
      <c r="AB14" s="202"/>
      <c r="AC14" s="202"/>
      <c r="AD14" s="202"/>
      <c r="AE14" s="202"/>
      <c r="AF14" s="202"/>
      <c r="AG14" s="202"/>
      <c r="AH14" s="202"/>
      <c r="AI14" s="202"/>
      <c r="AJ14" s="202"/>
      <c r="AK14" s="202"/>
      <c r="AL14" s="202"/>
      <c r="AM14" s="202"/>
      <c r="AN14" s="202"/>
      <c r="AO14" s="202"/>
      <c r="AP14" s="202"/>
      <c r="AQ14" s="202"/>
      <c r="AR14" s="202"/>
      <c r="AS14" s="202"/>
      <c r="AT14" s="202"/>
      <c r="AU14" s="202"/>
      <c r="AV14" s="202"/>
      <c r="AW14" s="202"/>
      <c r="AX14" s="202"/>
      <c r="AY14" s="202"/>
      <c r="AZ14" s="202"/>
      <c r="BA14" s="202"/>
      <c r="BB14" s="202"/>
      <c r="BC14" s="202"/>
      <c r="BD14" s="202"/>
      <c r="BE14" s="202"/>
      <c r="BF14" s="202"/>
      <c r="BG14" s="202"/>
      <c r="BH14" s="202"/>
      <c r="BI14" s="202"/>
      <c r="BJ14" s="202"/>
      <c r="BK14" s="202"/>
      <c r="BL14" s="202"/>
      <c r="BM14" s="202"/>
      <c r="BN14" s="202"/>
      <c r="BO14" s="202"/>
      <c r="BP14" s="202"/>
      <c r="BQ14" s="202"/>
      <c r="BR14" s="202"/>
      <c r="BS14" s="202"/>
      <c r="BT14" s="202"/>
      <c r="BU14" s="202"/>
      <c r="BV14" s="202"/>
      <c r="BW14" s="202"/>
      <c r="BX14" s="202"/>
      <c r="BY14" s="202"/>
      <c r="BZ14" s="202"/>
      <c r="CA14" s="202"/>
      <c r="CB14" s="202"/>
      <c r="CC14" s="202"/>
      <c r="CD14" s="202"/>
      <c r="CE14" s="202"/>
      <c r="CF14" s="202"/>
      <c r="CG14" s="202"/>
      <c r="CH14" s="202"/>
      <c r="CI14" s="202"/>
      <c r="CJ14" s="202"/>
      <c r="CK14" s="202"/>
      <c r="CL14" s="202"/>
      <c r="CM14" s="202"/>
      <c r="CN14" s="202"/>
      <c r="CO14" s="202"/>
      <c r="CP14" s="202"/>
      <c r="CQ14" s="202"/>
      <c r="CR14" s="202"/>
      <c r="CS14" s="202"/>
      <c r="CT14" s="202"/>
      <c r="CU14" s="202"/>
      <c r="CV14" s="202"/>
      <c r="CW14" s="202"/>
      <c r="CX14" s="202"/>
      <c r="CY14" s="202"/>
      <c r="CZ14" s="202"/>
      <c r="DA14" s="202"/>
      <c r="DB14" s="202"/>
      <c r="DC14" s="202"/>
      <c r="DD14" s="202"/>
      <c r="DE14" s="202"/>
      <c r="DF14" s="202"/>
      <c r="DG14" s="202"/>
      <c r="DH14" s="202"/>
      <c r="DI14" s="202"/>
      <c r="DJ14" s="202"/>
      <c r="DK14" s="202"/>
      <c r="DL14" s="202"/>
      <c r="DM14" s="202"/>
      <c r="DN14" s="202"/>
      <c r="DO14" s="202"/>
      <c r="DP14" s="202"/>
      <c r="DQ14" s="202"/>
      <c r="DR14" s="202"/>
      <c r="DS14" s="202"/>
      <c r="DT14" s="202"/>
      <c r="DU14" s="202"/>
      <c r="DV14" s="202"/>
      <c r="DW14" s="202"/>
      <c r="DX14" s="202"/>
      <c r="DY14" s="202"/>
      <c r="DZ14" s="202"/>
      <c r="EA14" s="202"/>
      <c r="EB14" s="202"/>
      <c r="EC14" s="202"/>
      <c r="ED14" s="202"/>
      <c r="EE14" s="202"/>
      <c r="EF14" s="202"/>
      <c r="EG14" s="202"/>
      <c r="EH14" s="202"/>
      <c r="EI14" s="202"/>
      <c r="EJ14" s="202"/>
      <c r="EK14" s="202"/>
      <c r="EL14" s="202"/>
      <c r="EM14" s="202"/>
      <c r="EN14" s="202"/>
      <c r="EO14" s="202"/>
      <c r="EP14" s="202"/>
      <c r="EQ14" s="202"/>
      <c r="ER14" s="202"/>
      <c r="ES14" s="202"/>
      <c r="ET14" s="202"/>
      <c r="EU14" s="202"/>
      <c r="EV14" s="202"/>
      <c r="EW14" s="202"/>
      <c r="EX14" s="202"/>
      <c r="EY14" s="202"/>
      <c r="EZ14" s="202"/>
      <c r="FA14" s="202"/>
      <c r="FB14" s="202"/>
      <c r="FC14" s="202"/>
      <c r="FD14" s="202"/>
      <c r="FE14" s="202"/>
      <c r="FF14" s="202"/>
      <c r="FG14" s="202"/>
      <c r="FH14" s="202"/>
      <c r="FI14" s="202"/>
      <c r="FJ14" s="202"/>
      <c r="FK14" s="202"/>
      <c r="FL14" s="202"/>
      <c r="FM14" s="202"/>
      <c r="FN14" s="202"/>
      <c r="FO14" s="202"/>
      <c r="FP14" s="202"/>
      <c r="FQ14" s="202"/>
      <c r="FR14" s="202"/>
      <c r="FS14" s="202"/>
      <c r="FT14" s="202"/>
      <c r="FU14" s="202"/>
      <c r="FV14" s="202"/>
      <c r="FW14" s="202"/>
      <c r="FX14" s="202"/>
      <c r="FY14" s="202"/>
      <c r="FZ14" s="202"/>
      <c r="GA14" s="202"/>
      <c r="GB14" s="202"/>
      <c r="GC14" s="202"/>
      <c r="GD14" s="202"/>
      <c r="GE14" s="202"/>
      <c r="GF14" s="202"/>
      <c r="GG14" s="202"/>
      <c r="GH14" s="202"/>
      <c r="GI14" s="202"/>
      <c r="GJ14" s="202"/>
      <c r="GK14" s="202"/>
      <c r="GL14" s="202"/>
      <c r="GM14" s="202"/>
      <c r="GN14" s="202"/>
      <c r="GO14" s="202"/>
      <c r="GP14" s="202"/>
      <c r="GQ14" s="202"/>
      <c r="GR14" s="202"/>
      <c r="GS14" s="202"/>
      <c r="GT14" s="202"/>
      <c r="GU14" s="202"/>
      <c r="GV14" s="202"/>
      <c r="GW14" s="202"/>
      <c r="GX14" s="202"/>
      <c r="GY14" s="202"/>
      <c r="GZ14" s="202"/>
      <c r="HA14" s="202"/>
      <c r="HB14" s="202"/>
      <c r="HC14" s="202"/>
      <c r="HD14" s="202"/>
      <c r="HE14" s="202"/>
      <c r="HF14" s="202"/>
      <c r="HG14" s="202"/>
      <c r="HH14" s="202"/>
      <c r="HI14" s="202"/>
      <c r="HJ14" s="202"/>
      <c r="HK14" s="202"/>
      <c r="HL14" s="202"/>
      <c r="HM14" s="202"/>
      <c r="HN14" s="202"/>
      <c r="HO14" s="202"/>
      <c r="HP14" s="202"/>
      <c r="HQ14" s="202"/>
      <c r="HR14" s="202"/>
      <c r="HS14" s="202"/>
      <c r="HT14" s="202"/>
      <c r="HU14" s="202"/>
      <c r="HV14" s="202"/>
      <c r="HW14" s="202"/>
      <c r="HX14" s="202"/>
      <c r="HY14" s="202"/>
      <c r="HZ14" s="202"/>
      <c r="IA14" s="202"/>
      <c r="IB14" s="202"/>
      <c r="IC14" s="202"/>
      <c r="ID14" s="202"/>
      <c r="IE14" s="202"/>
      <c r="IF14" s="202"/>
      <c r="IG14" s="202"/>
      <c r="IH14" s="202"/>
      <c r="II14" s="202"/>
      <c r="IJ14" s="202"/>
      <c r="IK14" s="202"/>
      <c r="IL14" s="202"/>
      <c r="IM14" s="202"/>
      <c r="IN14" s="202"/>
      <c r="IO14" s="202"/>
      <c r="IP14" s="202"/>
      <c r="IQ14" s="202"/>
      <c r="IR14" s="202"/>
      <c r="IS14" s="202"/>
      <c r="IT14" s="202"/>
      <c r="IU14" s="202"/>
      <c r="IV14" s="202"/>
      <c r="IW14" s="202"/>
      <c r="IX14" s="202"/>
      <c r="IY14" s="31">
        <v>1</v>
      </c>
      <c r="IZ14" s="43">
        <f>(TEXT(K14,"[m]")/60)*VLOOKUP(IY14,'Income Person-hours'!A$2:C$5,3,FALSE)</f>
        <v>0</v>
      </c>
      <c r="JA14" s="122"/>
      <c r="JB14" s="122"/>
      <c r="JC14" s="122"/>
      <c r="JD14" s="227">
        <f>SUM((TEXT(JA14,"[M]")/60)*'Income Person-hours'!$D$3,(TEXT(JB14,"[M]")/60)*'Income Person-hours'!$D$4,(TEXT(JC14,"[M]")/60)*'Income Person-hours'!$D$5)</f>
        <v>0</v>
      </c>
    </row>
    <row r="15" spans="1:264" s="226" customFormat="1" ht="15.75" hidden="1" x14ac:dyDescent="0.45">
      <c r="A15" s="201">
        <v>1.6</v>
      </c>
      <c r="B15" s="116"/>
      <c r="C15" s="117"/>
      <c r="D15" s="202" t="str">
        <f>IF(OR(j_WEEKDAY(J_ADDDAY(VLOOKUP(I15,A:F,6,FALSE),H15,1),0)=6,SUMIFS(Holieday[ok],Holieday[date],J_ADDDAY(VLOOKUP(I15,A:F,6,FALSE),H15,1)))=FALSE(),J_ADDDAY(VLOOKUP(I15,A:F,6,FALSE),H15,1),IF(OR(j_WEEKDAY(J_ADDDAY(VLOOKUP(I15,A:F,6,FALSE),H15+1,1),0)=6,SUMIFS(Holieday[ok],Holieday[date],J_ADDDAY(VLOOKUP(I15,A:F,6,FALSE),H15+1,1)))=FALSE(),J_ADDDAY(VLOOKUP(I15,A:F,6,FALSE),H15+1,1),IF(OR(j_WEEKDAY(J_ADDDAY(VLOOKUP(I15,A:F,6,FALSE),H15+2,1),0)=6,SUMIFS(Holieday[ok],Holieday[date],J_ADDDAY(VLOOKUP(I15,A:F,6,FALSE),H15+2,1)))=FALSE(),J_ADDDAY(VLOOKUP(I15,A:F,6,FALSE),H15+2,1),IF(OR(j_WEEKDAY(J_ADDDAY(VLOOKUP(I15,A:F,6,FALSE),H15+3,1),0)=6,SUMIFS(Holieday[ok],Holieday[date],J_ADDDAY(VLOOKUP(I15,A:F,6,FALSE),H15+3,1)))=FALSE(),J_ADDDAY(VLOOKUP(I15,A:F,6,FALSE),H15+3,1),IF(OR(j_WEEKDAY(J_ADDDAY(VLOOKUP(I15,A:F,6,FALSE),H15+4,1),0)=6,SUMIFS(Holieday[ok],Holieday[date],J_ADDDAY(VLOOKUP(I15,A:F,6,FALSE),H15+4,1)))=FALSE(),J_ADDDAY(VLOOKUP(I15,A:F,6,FALSE),H15+4,1),J_ADDDAY(VLOOKUP(I15,A:F,6,FALSE),H15+5,1))))))</f>
        <v>1398/06/31</v>
      </c>
      <c r="E15" s="193">
        <f t="shared" si="4"/>
        <v>13980631</v>
      </c>
      <c r="F15" s="205" t="str">
        <f>IF(N15=0,J_SUBDAY(D15,1,1),IF((N15-(NETWORKDAYS.INTL(J_GregorianDate(D15,1),J_GregorianDate(J_SUBDAY(J_ADDDAY(D15,N15,1),1,1),1),16,1)))+SUMIFS(Holieday[ok],Holieday[date],CONCATENATE("&gt;","=",D15),Holieday[date],CONCATENATE("&lt;","=",J_SUBDAY(J_ADDDAY(D15,N15,1),1,1)))-SUMIFS(Holieday[Friday],Holieday[date],CONCATENATE("&gt;","=",D15),Holieday[date],CONCATENATE("&lt;","=",J_SUBDAY(J_ADDDAY(D15,N15,1),1,1)))=0,J_SUBDAY(J_ADDDAY(D15,N15,1),1,1),IF((N15+1-(NETWORKDAYS.INTL(J_GregorianDate(D15,1),J_GregorianDate(J_SUBDAY(J_ADDDAY(D15,N15+1,1),1,1),1),16,1)))+SUMIFS(Holieday[ok],Holieday[date],CONCATENATE("&gt;","=",D15),Holieday[date],CONCATENATE("&lt;","=",J_SUBDAY(J_ADDDAY(D15,N15+1,1),1,1)))-SUMIFS(Holieday[Friday],Holieday[date],CONCATENATE("&gt;","=",D15),Holieday[date],CONCATENATE("&lt;","=",J_SUBDAY(J_ADDDAY(D15,N15+1,1),1,1)))=1,J_SUBDAY(J_ADDDAY(D15,N15+1,1),1,1),IF((N15+2-(NETWORKDAYS.INTL(J_GregorianDate(D15,1),J_GregorianDate(J_SUBDAY(J_ADDDAY(D15,N15+2,1),1,1),1),16,1)))+SUMIFS(Holieday[ok],Holieday[date],CONCATENATE("&gt;","=",D15),Holieday[date],CONCATENATE("&lt;","=",J_SUBDAY(J_ADDDAY(D15,N15+2,1),1,1)))-SUMIFS(Holieday[Friday],Holieday[date],CONCATENATE("&gt;","=",D15),Holieday[date],CONCATENATE("&lt;","=",J_SUBDAY(J_ADDDAY(D15,N15+2,1),1,1)))=2,J_SUBDAY(J_ADDDAY(D15,N15+2,1),1,1),IF((N15+3-(NETWORKDAYS.INTL(J_GregorianDate(D15,1),J_GregorianDate(J_SUBDAY(J_ADDDAY(D15,N15+3,1),1,1),1),16,1)))+SUMIFS(Holieday[ok],Holieday[date],CONCATENATE("&gt;","=",D15),Holieday[date],CONCATENATE("&lt;","=",J_SUBDAY(J_ADDDAY(D15,N15+3,1),1,1)))-SUMIFS(Holieday[Friday],Holieday[date],CONCATENATE("&gt;","=",D15),Holieday[date],CONCATENATE("&lt;","=",J_SUBDAY(J_ADDDAY(D15,N15+3,1),1,1)))=3,J_SUBDAY(J_ADDDAY(D15,N15+3,1),1,1),IF((N15+4-(NETWORKDAYS.INTL(J_GregorianDate(D15,1),J_GregorianDate(J_SUBDAY(J_ADDDAY(D15,N15+4,1),1,1),1),16,1)))+SUMIFS(Holieday[ok],Holieday[date],CONCATENATE("&gt;","=",D15),Holieday[date],CONCATENATE("&lt;","=",J_SUBDAY(J_ADDDAY(D15,N15+4,1),1,1)))-SUMIFS(Holieday[Friday],Holieday[date],CONCATENATE("&gt;","=",D15),Holieday[date],CONCATENATE("&lt;","=",J_SUBDAY(J_ADDDAY(D15,N15+4,1),1,1)))=4,J_SUBDAY(J_ADDDAY(D15,N15+4,1),1,1),IF((N15+5-(NETWORKDAYS.INTL(J_GregorianDate(D15,1),J_GregorianDate(J_SUBDAY(J_ADDDAY(D15,N15+5,1),1,1),1),16,1)))+SUMIFS(Holieday[ok],Holieday[date],CONCATENATE("&gt;","=",D15),Holieday[date],CONCATENATE("&lt;","=",J_SUBDAY(J_ADDDAY(D15,N15+5,1),1,1)))-SUMIFS(Holieday[Friday],Holieday[date],CONCATENATE("&gt;","=",D15),Holieday[date],CONCATENATE("&lt;","=",J_SUBDAY(J_ADDDAY(D15,N15+5,1),1,1)))=5,J_SUBDAY(J_ADDDAY(D15,N15+5,1),1,1),J_SUBDAY(J_ADDDAY(D15,N15+6,1),1,1))))))))</f>
        <v>1398/06/30</v>
      </c>
      <c r="G15" s="196">
        <f t="shared" si="5"/>
        <v>13980630</v>
      </c>
      <c r="H15" s="119"/>
      <c r="I15" s="120">
        <v>1.1000000000000001</v>
      </c>
      <c r="J15" s="204">
        <f>j_WEEKDAY(D15,2)</f>
        <v>1</v>
      </c>
      <c r="K15" s="206">
        <f t="shared" si="7"/>
        <v>0</v>
      </c>
      <c r="L15" s="207">
        <f t="shared" si="8"/>
        <v>0</v>
      </c>
      <c r="M15" s="121">
        <v>1</v>
      </c>
      <c r="N15" s="118">
        <v>0</v>
      </c>
      <c r="O15" s="208">
        <f t="shared" si="9"/>
        <v>0</v>
      </c>
      <c r="P15" s="208">
        <f>VALUE(J_normdate(J_ADDDAY($D15,$O15,1)))</f>
        <v>13980631</v>
      </c>
      <c r="Q15" s="204">
        <f t="shared" si="10"/>
        <v>0</v>
      </c>
      <c r="R15" s="202"/>
      <c r="S15" s="202"/>
      <c r="T15" s="202"/>
      <c r="U15" s="202"/>
      <c r="V15" s="202"/>
      <c r="W15" s="202"/>
      <c r="X15" s="202"/>
      <c r="Y15" s="202"/>
      <c r="Z15" s="202"/>
      <c r="AA15" s="202"/>
      <c r="AB15" s="202"/>
      <c r="AC15" s="202"/>
      <c r="AD15" s="202"/>
      <c r="AE15" s="202"/>
      <c r="AF15" s="202"/>
      <c r="AG15" s="202"/>
      <c r="AH15" s="202"/>
      <c r="AI15" s="202"/>
      <c r="AJ15" s="202"/>
      <c r="AK15" s="202"/>
      <c r="AL15" s="202"/>
      <c r="AM15" s="202"/>
      <c r="AN15" s="202"/>
      <c r="AO15" s="202"/>
      <c r="AP15" s="202"/>
      <c r="AQ15" s="202"/>
      <c r="AR15" s="202"/>
      <c r="AS15" s="202"/>
      <c r="AT15" s="202"/>
      <c r="AU15" s="202"/>
      <c r="AV15" s="202"/>
      <c r="AW15" s="202"/>
      <c r="AX15" s="202"/>
      <c r="AY15" s="202"/>
      <c r="AZ15" s="202"/>
      <c r="BA15" s="202"/>
      <c r="BB15" s="202"/>
      <c r="BC15" s="202"/>
      <c r="BD15" s="202"/>
      <c r="BE15" s="202"/>
      <c r="BF15" s="202"/>
      <c r="BG15" s="202"/>
      <c r="BH15" s="202"/>
      <c r="BI15" s="202"/>
      <c r="BJ15" s="202"/>
      <c r="BK15" s="202"/>
      <c r="BL15" s="202"/>
      <c r="BM15" s="202"/>
      <c r="BN15" s="202"/>
      <c r="BO15" s="202"/>
      <c r="BP15" s="202"/>
      <c r="BQ15" s="202"/>
      <c r="BR15" s="202"/>
      <c r="BS15" s="202"/>
      <c r="BT15" s="202"/>
      <c r="BU15" s="202"/>
      <c r="BV15" s="202"/>
      <c r="BW15" s="202"/>
      <c r="BX15" s="202"/>
      <c r="BY15" s="202"/>
      <c r="BZ15" s="202"/>
      <c r="CA15" s="202"/>
      <c r="CB15" s="202"/>
      <c r="CC15" s="202"/>
      <c r="CD15" s="202"/>
      <c r="CE15" s="202"/>
      <c r="CF15" s="202"/>
      <c r="CG15" s="202"/>
      <c r="CH15" s="202"/>
      <c r="CI15" s="202"/>
      <c r="CJ15" s="202"/>
      <c r="CK15" s="202"/>
      <c r="CL15" s="202"/>
      <c r="CM15" s="202"/>
      <c r="CN15" s="202"/>
      <c r="CO15" s="202"/>
      <c r="CP15" s="202"/>
      <c r="CQ15" s="202"/>
      <c r="CR15" s="202"/>
      <c r="CS15" s="202"/>
      <c r="CT15" s="202"/>
      <c r="CU15" s="202"/>
      <c r="CV15" s="202"/>
      <c r="CW15" s="202"/>
      <c r="CX15" s="202"/>
      <c r="CY15" s="202"/>
      <c r="CZ15" s="202"/>
      <c r="DA15" s="202"/>
      <c r="DB15" s="202"/>
      <c r="DC15" s="202"/>
      <c r="DD15" s="202"/>
      <c r="DE15" s="202"/>
      <c r="DF15" s="202"/>
      <c r="DG15" s="202"/>
      <c r="DH15" s="202"/>
      <c r="DI15" s="202"/>
      <c r="DJ15" s="202"/>
      <c r="DK15" s="202"/>
      <c r="DL15" s="202"/>
      <c r="DM15" s="202"/>
      <c r="DN15" s="202"/>
      <c r="DO15" s="202"/>
      <c r="DP15" s="202"/>
      <c r="DQ15" s="202"/>
      <c r="DR15" s="202"/>
      <c r="DS15" s="202"/>
      <c r="DT15" s="202"/>
      <c r="DU15" s="202"/>
      <c r="DV15" s="202"/>
      <c r="DW15" s="202"/>
      <c r="DX15" s="202"/>
      <c r="DY15" s="202"/>
      <c r="DZ15" s="202"/>
      <c r="EA15" s="202"/>
      <c r="EB15" s="202"/>
      <c r="EC15" s="202"/>
      <c r="ED15" s="202"/>
      <c r="EE15" s="202"/>
      <c r="EF15" s="202"/>
      <c r="EG15" s="202"/>
      <c r="EH15" s="202"/>
      <c r="EI15" s="202"/>
      <c r="EJ15" s="202"/>
      <c r="EK15" s="202"/>
      <c r="EL15" s="202"/>
      <c r="EM15" s="202"/>
      <c r="EN15" s="202"/>
      <c r="EO15" s="202"/>
      <c r="EP15" s="202"/>
      <c r="EQ15" s="202"/>
      <c r="ER15" s="202"/>
      <c r="ES15" s="202"/>
      <c r="ET15" s="202"/>
      <c r="EU15" s="202"/>
      <c r="EV15" s="202"/>
      <c r="EW15" s="202"/>
      <c r="EX15" s="202"/>
      <c r="EY15" s="202"/>
      <c r="EZ15" s="202"/>
      <c r="FA15" s="202"/>
      <c r="FB15" s="202"/>
      <c r="FC15" s="202"/>
      <c r="FD15" s="202"/>
      <c r="FE15" s="202"/>
      <c r="FF15" s="202"/>
      <c r="FG15" s="202"/>
      <c r="FH15" s="202"/>
      <c r="FI15" s="202"/>
      <c r="FJ15" s="202"/>
      <c r="FK15" s="202"/>
      <c r="FL15" s="202"/>
      <c r="FM15" s="202"/>
      <c r="FN15" s="202"/>
      <c r="FO15" s="202"/>
      <c r="FP15" s="202"/>
      <c r="FQ15" s="202"/>
      <c r="FR15" s="202"/>
      <c r="FS15" s="202"/>
      <c r="FT15" s="202"/>
      <c r="FU15" s="202"/>
      <c r="FV15" s="202"/>
      <c r="FW15" s="202"/>
      <c r="FX15" s="202"/>
      <c r="FY15" s="202"/>
      <c r="FZ15" s="202"/>
      <c r="GA15" s="202"/>
      <c r="GB15" s="202"/>
      <c r="GC15" s="202"/>
      <c r="GD15" s="202"/>
      <c r="GE15" s="202"/>
      <c r="GF15" s="202"/>
      <c r="GG15" s="202"/>
      <c r="GH15" s="202"/>
      <c r="GI15" s="202"/>
      <c r="GJ15" s="202"/>
      <c r="GK15" s="202"/>
      <c r="GL15" s="202"/>
      <c r="GM15" s="202"/>
      <c r="GN15" s="202"/>
      <c r="GO15" s="202"/>
      <c r="GP15" s="202"/>
      <c r="GQ15" s="202"/>
      <c r="GR15" s="202"/>
      <c r="GS15" s="202"/>
      <c r="GT15" s="202"/>
      <c r="GU15" s="202"/>
      <c r="GV15" s="202"/>
      <c r="GW15" s="202"/>
      <c r="GX15" s="202"/>
      <c r="GY15" s="202"/>
      <c r="GZ15" s="202"/>
      <c r="HA15" s="202"/>
      <c r="HB15" s="202"/>
      <c r="HC15" s="202"/>
      <c r="HD15" s="202"/>
      <c r="HE15" s="202"/>
      <c r="HF15" s="202"/>
      <c r="HG15" s="202"/>
      <c r="HH15" s="202"/>
      <c r="HI15" s="202"/>
      <c r="HJ15" s="202"/>
      <c r="HK15" s="202"/>
      <c r="HL15" s="202"/>
      <c r="HM15" s="202"/>
      <c r="HN15" s="202"/>
      <c r="HO15" s="202"/>
      <c r="HP15" s="202"/>
      <c r="HQ15" s="202"/>
      <c r="HR15" s="202"/>
      <c r="HS15" s="202"/>
      <c r="HT15" s="202"/>
      <c r="HU15" s="202"/>
      <c r="HV15" s="202"/>
      <c r="HW15" s="202"/>
      <c r="HX15" s="202"/>
      <c r="HY15" s="202"/>
      <c r="HZ15" s="202"/>
      <c r="IA15" s="202"/>
      <c r="IB15" s="202"/>
      <c r="IC15" s="202"/>
      <c r="ID15" s="202"/>
      <c r="IE15" s="202"/>
      <c r="IF15" s="202"/>
      <c r="IG15" s="202"/>
      <c r="IH15" s="202"/>
      <c r="II15" s="202"/>
      <c r="IJ15" s="202"/>
      <c r="IK15" s="202"/>
      <c r="IL15" s="202"/>
      <c r="IM15" s="202"/>
      <c r="IN15" s="202"/>
      <c r="IO15" s="202"/>
      <c r="IP15" s="202"/>
      <c r="IQ15" s="202"/>
      <c r="IR15" s="202"/>
      <c r="IS15" s="202"/>
      <c r="IT15" s="202"/>
      <c r="IU15" s="202"/>
      <c r="IV15" s="202"/>
      <c r="IW15" s="202"/>
      <c r="IX15" s="202"/>
      <c r="IY15" s="31">
        <v>1</v>
      </c>
      <c r="IZ15" s="43">
        <f>(TEXT(K15,"[m]")/60)*VLOOKUP(IY15,'Income Person-hours'!A$2:C$5,3,FALSE)</f>
        <v>0</v>
      </c>
      <c r="JA15" s="122"/>
      <c r="JB15" s="122"/>
      <c r="JC15" s="122"/>
      <c r="JD15" s="227">
        <f>SUM((TEXT(JA15,"[M]")/60)*'Income Person-hours'!$D$3,(TEXT(JB15,"[M]")/60)*'Income Person-hours'!$D$4,(TEXT(JC15,"[M]")/60)*'Income Person-hours'!$D$5)</f>
        <v>0</v>
      </c>
    </row>
    <row r="16" spans="1:264" s="226" customFormat="1" ht="15.75" hidden="1" x14ac:dyDescent="0.45">
      <c r="A16" s="209">
        <v>1.7</v>
      </c>
      <c r="B16" s="116"/>
      <c r="C16" s="117"/>
      <c r="D16" s="203" t="str">
        <f>IF(OR(j_WEEKDAY(J_ADDDAY(VLOOKUP(I16,A:F,6,FALSE),H16,1),0)=6,SUMIFS(Holieday[ok],Holieday[date],J_ADDDAY(VLOOKUP(I16,A:F,6,FALSE),H16,1)))=FALSE(),J_ADDDAY(VLOOKUP(I16,A:F,6,FALSE),H16,1),IF(OR(j_WEEKDAY(J_ADDDAY(VLOOKUP(I16,A:F,6,FALSE),H16+1,1),0)=6,SUMIFS(Holieday[ok],Holieday[date],J_ADDDAY(VLOOKUP(I16,A:F,6,FALSE),H16+1,1)))=FALSE(),J_ADDDAY(VLOOKUP(I16,A:F,6,FALSE),H16+1,1),IF(OR(j_WEEKDAY(J_ADDDAY(VLOOKUP(I16,A:F,6,FALSE),H16+2,1),0)=6,SUMIFS(Holieday[ok],Holieday[date],J_ADDDAY(VLOOKUP(I16,A:F,6,FALSE),H16+2,1)))=FALSE(),J_ADDDAY(VLOOKUP(I16,A:F,6,FALSE),H16+2,1),IF(OR(j_WEEKDAY(J_ADDDAY(VLOOKUP(I16,A:F,6,FALSE),H16+3,1),0)=6,SUMIFS(Holieday[ok],Holieday[date],J_ADDDAY(VLOOKUP(I16,A:F,6,FALSE),H16+3,1)))=FALSE(),J_ADDDAY(VLOOKUP(I16,A:F,6,FALSE),H16+3,1),IF(OR(j_WEEKDAY(J_ADDDAY(VLOOKUP(I16,A:F,6,FALSE),H16+4,1),0)=6,SUMIFS(Holieday[ok],Holieday[date],J_ADDDAY(VLOOKUP(I16,A:F,6,FALSE),H16+4,1)))=FALSE(),J_ADDDAY(VLOOKUP(I16,A:F,6,FALSE),H16+4,1),J_ADDDAY(VLOOKUP(I16,A:F,6,FALSE),H16+5,1))))))</f>
        <v>1398/06/31</v>
      </c>
      <c r="E16" s="193">
        <f t="shared" si="4"/>
        <v>13980631</v>
      </c>
      <c r="F16" s="204" t="str">
        <f>IF(N16=0,J_SUBDAY(D16,1,1),IF((N16-(NETWORKDAYS.INTL(J_GregorianDate(D16,1),J_GregorianDate(J_SUBDAY(J_ADDDAY(D16,N16,1),1,1),1),16,1)))+SUMIFS(Holieday[ok],Holieday[date],CONCATENATE("&gt;","=",D16),Holieday[date],CONCATENATE("&lt;","=",J_SUBDAY(J_ADDDAY(D16,N16,1),1,1)))-SUMIFS(Holieday[Friday],Holieday[date],CONCATENATE("&gt;","=",D16),Holieday[date],CONCATENATE("&lt;","=",J_SUBDAY(J_ADDDAY(D16,N16,1),1,1)))=0,J_SUBDAY(J_ADDDAY(D16,N16,1),1,1),IF((N16+1-(NETWORKDAYS.INTL(J_GregorianDate(D16,1),J_GregorianDate(J_SUBDAY(J_ADDDAY(D16,N16+1,1),1,1),1),16,1)))+SUMIFS(Holieday[ok],Holieday[date],CONCATENATE("&gt;","=",D16),Holieday[date],CONCATENATE("&lt;","=",J_SUBDAY(J_ADDDAY(D16,N16+1,1),1,1)))-SUMIFS(Holieday[Friday],Holieday[date],CONCATENATE("&gt;","=",D16),Holieday[date],CONCATENATE("&lt;","=",J_SUBDAY(J_ADDDAY(D16,N16+1,1),1,1)))=1,J_SUBDAY(J_ADDDAY(D16,N16+1,1),1,1),IF((N16+2-(NETWORKDAYS.INTL(J_GregorianDate(D16,1),J_GregorianDate(J_SUBDAY(J_ADDDAY(D16,N16+2,1),1,1),1),16,1)))+SUMIFS(Holieday[ok],Holieday[date],CONCATENATE("&gt;","=",D16),Holieday[date],CONCATENATE("&lt;","=",J_SUBDAY(J_ADDDAY(D16,N16+2,1),1,1)))-SUMIFS(Holieday[Friday],Holieday[date],CONCATENATE("&gt;","=",D16),Holieday[date],CONCATENATE("&lt;","=",J_SUBDAY(J_ADDDAY(D16,N16+2,1),1,1)))=2,J_SUBDAY(J_ADDDAY(D16,N16+2,1),1,1),IF((N16+3-(NETWORKDAYS.INTL(J_GregorianDate(D16,1),J_GregorianDate(J_SUBDAY(J_ADDDAY(D16,N16+3,1),1,1),1),16,1)))+SUMIFS(Holieday[ok],Holieday[date],CONCATENATE("&gt;","=",D16),Holieday[date],CONCATENATE("&lt;","=",J_SUBDAY(J_ADDDAY(D16,N16+3,1),1,1)))-SUMIFS(Holieday[Friday],Holieday[date],CONCATENATE("&gt;","=",D16),Holieday[date],CONCATENATE("&lt;","=",J_SUBDAY(J_ADDDAY(D16,N16+3,1),1,1)))=3,J_SUBDAY(J_ADDDAY(D16,N16+3,1),1,1),IF((N16+4-(NETWORKDAYS.INTL(J_GregorianDate(D16,1),J_GregorianDate(J_SUBDAY(J_ADDDAY(D16,N16+4,1),1,1),1),16,1)))+SUMIFS(Holieday[ok],Holieday[date],CONCATENATE("&gt;","=",D16),Holieday[date],CONCATENATE("&lt;","=",J_SUBDAY(J_ADDDAY(D16,N16+4,1),1,1)))-SUMIFS(Holieday[Friday],Holieday[date],CONCATENATE("&gt;","=",D16),Holieday[date],CONCATENATE("&lt;","=",J_SUBDAY(J_ADDDAY(D16,N16+4,1),1,1)))=4,J_SUBDAY(J_ADDDAY(D16,N16+4,1),1,1),IF((N16+5-(NETWORKDAYS.INTL(J_GregorianDate(D16,1),J_GregorianDate(J_SUBDAY(J_ADDDAY(D16,N16+5,1),1,1),1),16,1)))+SUMIFS(Holieday[ok],Holieday[date],CONCATENATE("&gt;","=",D16),Holieday[date],CONCATENATE("&lt;","=",J_SUBDAY(J_ADDDAY(D16,N16+5,1),1,1)))-SUMIFS(Holieday[Friday],Holieday[date],CONCATENATE("&gt;","=",D16),Holieday[date],CONCATENATE("&lt;","=",J_SUBDAY(J_ADDDAY(D16,N16+5,1),1,1)))=5,J_SUBDAY(J_ADDDAY(D16,N16+5,1),1,1),J_SUBDAY(J_ADDDAY(D16,N16+6,1),1,1))))))))</f>
        <v>1398/06/30</v>
      </c>
      <c r="G16" s="196">
        <f t="shared" si="5"/>
        <v>13980630</v>
      </c>
      <c r="H16" s="119"/>
      <c r="I16" s="120">
        <v>1.1000000000000001</v>
      </c>
      <c r="J16" s="204">
        <f>j_WEEKDAY(D16,2)</f>
        <v>1</v>
      </c>
      <c r="K16" s="206">
        <f t="shared" si="7"/>
        <v>0</v>
      </c>
      <c r="L16" s="207">
        <f t="shared" si="8"/>
        <v>0</v>
      </c>
      <c r="M16" s="121">
        <v>1</v>
      </c>
      <c r="N16" s="118">
        <v>0</v>
      </c>
      <c r="O16" s="208">
        <f t="shared" si="9"/>
        <v>0</v>
      </c>
      <c r="P16" s="208">
        <f>VALUE(J_normdate(J_ADDDAY($D16,$O16,1)))</f>
        <v>13980631</v>
      </c>
      <c r="Q16" s="204">
        <f t="shared" si="10"/>
        <v>0</v>
      </c>
      <c r="R16" s="202"/>
      <c r="S16" s="202"/>
      <c r="T16" s="202"/>
      <c r="U16" s="202"/>
      <c r="V16" s="202"/>
      <c r="W16" s="202"/>
      <c r="X16" s="202"/>
      <c r="Y16" s="202"/>
      <c r="Z16" s="202"/>
      <c r="AA16" s="202"/>
      <c r="AB16" s="202"/>
      <c r="AC16" s="202"/>
      <c r="AD16" s="202"/>
      <c r="AE16" s="202"/>
      <c r="AF16" s="202"/>
      <c r="AG16" s="202"/>
      <c r="AH16" s="202"/>
      <c r="AI16" s="202"/>
      <c r="AJ16" s="202"/>
      <c r="AK16" s="202"/>
      <c r="AL16" s="202"/>
      <c r="AM16" s="202"/>
      <c r="AN16" s="202"/>
      <c r="AO16" s="202"/>
      <c r="AP16" s="202"/>
      <c r="AQ16" s="202"/>
      <c r="AR16" s="202"/>
      <c r="AS16" s="202"/>
      <c r="AT16" s="202"/>
      <c r="AU16" s="202"/>
      <c r="AV16" s="202"/>
      <c r="AW16" s="202"/>
      <c r="AX16" s="202"/>
      <c r="AY16" s="202"/>
      <c r="AZ16" s="202"/>
      <c r="BA16" s="202"/>
      <c r="BB16" s="202"/>
      <c r="BC16" s="202"/>
      <c r="BD16" s="202"/>
      <c r="BE16" s="202"/>
      <c r="BF16" s="202"/>
      <c r="BG16" s="202"/>
      <c r="BH16" s="202"/>
      <c r="BI16" s="202"/>
      <c r="BJ16" s="202"/>
      <c r="BK16" s="202"/>
      <c r="BL16" s="202"/>
      <c r="BM16" s="202"/>
      <c r="BN16" s="202"/>
      <c r="BO16" s="202"/>
      <c r="BP16" s="202"/>
      <c r="BQ16" s="202"/>
      <c r="BR16" s="202"/>
      <c r="BS16" s="202"/>
      <c r="BT16" s="202"/>
      <c r="BU16" s="202"/>
      <c r="BV16" s="202"/>
      <c r="BW16" s="202"/>
      <c r="BX16" s="202"/>
      <c r="BY16" s="202"/>
      <c r="BZ16" s="202"/>
      <c r="CA16" s="202"/>
      <c r="CB16" s="202"/>
      <c r="CC16" s="202"/>
      <c r="CD16" s="202"/>
      <c r="CE16" s="202"/>
      <c r="CF16" s="202"/>
      <c r="CG16" s="202"/>
      <c r="CH16" s="202"/>
      <c r="CI16" s="202"/>
      <c r="CJ16" s="202"/>
      <c r="CK16" s="202"/>
      <c r="CL16" s="202"/>
      <c r="CM16" s="202"/>
      <c r="CN16" s="202"/>
      <c r="CO16" s="202"/>
      <c r="CP16" s="202"/>
      <c r="CQ16" s="202"/>
      <c r="CR16" s="202"/>
      <c r="CS16" s="202"/>
      <c r="CT16" s="202"/>
      <c r="CU16" s="202"/>
      <c r="CV16" s="202"/>
      <c r="CW16" s="202"/>
      <c r="CX16" s="202"/>
      <c r="CY16" s="202"/>
      <c r="CZ16" s="202"/>
      <c r="DA16" s="202"/>
      <c r="DB16" s="202"/>
      <c r="DC16" s="202"/>
      <c r="DD16" s="202"/>
      <c r="DE16" s="202"/>
      <c r="DF16" s="202"/>
      <c r="DG16" s="202"/>
      <c r="DH16" s="202"/>
      <c r="DI16" s="202"/>
      <c r="DJ16" s="202"/>
      <c r="DK16" s="202"/>
      <c r="DL16" s="202"/>
      <c r="DM16" s="202"/>
      <c r="DN16" s="202"/>
      <c r="DO16" s="202"/>
      <c r="DP16" s="202"/>
      <c r="DQ16" s="202"/>
      <c r="DR16" s="202"/>
      <c r="DS16" s="202"/>
      <c r="DT16" s="202"/>
      <c r="DU16" s="202"/>
      <c r="DV16" s="202"/>
      <c r="DW16" s="202"/>
      <c r="DX16" s="202"/>
      <c r="DY16" s="202"/>
      <c r="DZ16" s="202"/>
      <c r="EA16" s="202"/>
      <c r="EB16" s="202"/>
      <c r="EC16" s="202"/>
      <c r="ED16" s="202"/>
      <c r="EE16" s="202"/>
      <c r="EF16" s="202"/>
      <c r="EG16" s="202"/>
      <c r="EH16" s="202"/>
      <c r="EI16" s="202"/>
      <c r="EJ16" s="202"/>
      <c r="EK16" s="202"/>
      <c r="EL16" s="202"/>
      <c r="EM16" s="202"/>
      <c r="EN16" s="202"/>
      <c r="EO16" s="202"/>
      <c r="EP16" s="202"/>
      <c r="EQ16" s="202"/>
      <c r="ER16" s="202"/>
      <c r="ES16" s="202"/>
      <c r="ET16" s="202"/>
      <c r="EU16" s="202"/>
      <c r="EV16" s="202"/>
      <c r="EW16" s="202"/>
      <c r="EX16" s="202"/>
      <c r="EY16" s="202"/>
      <c r="EZ16" s="202"/>
      <c r="FA16" s="202"/>
      <c r="FB16" s="202"/>
      <c r="FC16" s="202"/>
      <c r="FD16" s="202"/>
      <c r="FE16" s="202"/>
      <c r="FF16" s="202"/>
      <c r="FG16" s="202"/>
      <c r="FH16" s="202"/>
      <c r="FI16" s="202"/>
      <c r="FJ16" s="202"/>
      <c r="FK16" s="202"/>
      <c r="FL16" s="202"/>
      <c r="FM16" s="202"/>
      <c r="FN16" s="202"/>
      <c r="FO16" s="202"/>
      <c r="FP16" s="202"/>
      <c r="FQ16" s="202"/>
      <c r="FR16" s="202"/>
      <c r="FS16" s="202"/>
      <c r="FT16" s="202"/>
      <c r="FU16" s="202"/>
      <c r="FV16" s="202"/>
      <c r="FW16" s="202"/>
      <c r="FX16" s="202"/>
      <c r="FY16" s="202"/>
      <c r="FZ16" s="202"/>
      <c r="GA16" s="202"/>
      <c r="GB16" s="202"/>
      <c r="GC16" s="202"/>
      <c r="GD16" s="202"/>
      <c r="GE16" s="202"/>
      <c r="GF16" s="202"/>
      <c r="GG16" s="202"/>
      <c r="GH16" s="202"/>
      <c r="GI16" s="202"/>
      <c r="GJ16" s="202"/>
      <c r="GK16" s="202"/>
      <c r="GL16" s="202"/>
      <c r="GM16" s="202"/>
      <c r="GN16" s="202"/>
      <c r="GO16" s="202"/>
      <c r="GP16" s="202"/>
      <c r="GQ16" s="202"/>
      <c r="GR16" s="202"/>
      <c r="GS16" s="202"/>
      <c r="GT16" s="202"/>
      <c r="GU16" s="202"/>
      <c r="GV16" s="202"/>
      <c r="GW16" s="202"/>
      <c r="GX16" s="202"/>
      <c r="GY16" s="202"/>
      <c r="GZ16" s="202"/>
      <c r="HA16" s="202"/>
      <c r="HB16" s="202"/>
      <c r="HC16" s="202"/>
      <c r="HD16" s="202"/>
      <c r="HE16" s="202"/>
      <c r="HF16" s="202"/>
      <c r="HG16" s="202"/>
      <c r="HH16" s="202"/>
      <c r="HI16" s="202"/>
      <c r="HJ16" s="202"/>
      <c r="HK16" s="202"/>
      <c r="HL16" s="202"/>
      <c r="HM16" s="202"/>
      <c r="HN16" s="202"/>
      <c r="HO16" s="202"/>
      <c r="HP16" s="202"/>
      <c r="HQ16" s="202"/>
      <c r="HR16" s="202"/>
      <c r="HS16" s="202"/>
      <c r="HT16" s="202"/>
      <c r="HU16" s="202"/>
      <c r="HV16" s="202"/>
      <c r="HW16" s="202"/>
      <c r="HX16" s="202"/>
      <c r="HY16" s="202"/>
      <c r="HZ16" s="202"/>
      <c r="IA16" s="202"/>
      <c r="IB16" s="202"/>
      <c r="IC16" s="202"/>
      <c r="ID16" s="202"/>
      <c r="IE16" s="202"/>
      <c r="IF16" s="202"/>
      <c r="IG16" s="202"/>
      <c r="IH16" s="202"/>
      <c r="II16" s="202"/>
      <c r="IJ16" s="202"/>
      <c r="IK16" s="202"/>
      <c r="IL16" s="202"/>
      <c r="IM16" s="202"/>
      <c r="IN16" s="202"/>
      <c r="IO16" s="202"/>
      <c r="IP16" s="202"/>
      <c r="IQ16" s="202"/>
      <c r="IR16" s="202"/>
      <c r="IS16" s="202"/>
      <c r="IT16" s="202"/>
      <c r="IU16" s="202"/>
      <c r="IV16" s="202"/>
      <c r="IW16" s="202"/>
      <c r="IX16" s="202"/>
      <c r="IY16" s="31">
        <v>1</v>
      </c>
      <c r="IZ16" s="43">
        <f>(TEXT(K16,"[m]")/60)*VLOOKUP(IY16,'Income Person-hours'!A$2:C$5,3,FALSE)</f>
        <v>0</v>
      </c>
      <c r="JA16" s="122"/>
      <c r="JB16" s="122"/>
      <c r="JC16" s="122"/>
      <c r="JD16" s="227">
        <f>SUM((TEXT(JA16,"[M]")/60)*'Income Person-hours'!$D$3,(TEXT(JB16,"[M]")/60)*'Income Person-hours'!$D$4,(TEXT(JC16,"[M]")/60)*'Income Person-hours'!$D$5)</f>
        <v>0</v>
      </c>
    </row>
    <row r="17" spans="1:264" s="226" customFormat="1" ht="15.75" hidden="1" x14ac:dyDescent="0.45">
      <c r="A17" s="209">
        <v>1.8</v>
      </c>
      <c r="B17" s="116"/>
      <c r="C17" s="117"/>
      <c r="D17" s="203" t="str">
        <f>IF(OR(j_WEEKDAY(J_ADDDAY(VLOOKUP(I17,A:F,6,FALSE),H17,1),0)=6,SUMIFS(Holieday[ok],Holieday[date],J_ADDDAY(VLOOKUP(I17,A:F,6,FALSE),H17,1)))=FALSE(),J_ADDDAY(VLOOKUP(I17,A:F,6,FALSE),H17,1),IF(OR(j_WEEKDAY(J_ADDDAY(VLOOKUP(I17,A:F,6,FALSE),H17+1,1),0)=6,SUMIFS(Holieday[ok],Holieday[date],J_ADDDAY(VLOOKUP(I17,A:F,6,FALSE),H17+1,1)))=FALSE(),J_ADDDAY(VLOOKUP(I17,A:F,6,FALSE),H17+1,1),IF(OR(j_WEEKDAY(J_ADDDAY(VLOOKUP(I17,A:F,6,FALSE),H17+2,1),0)=6,SUMIFS(Holieday[ok],Holieday[date],J_ADDDAY(VLOOKUP(I17,A:F,6,FALSE),H17+2,1)))=FALSE(),J_ADDDAY(VLOOKUP(I17,A:F,6,FALSE),H17+2,1),IF(OR(j_WEEKDAY(J_ADDDAY(VLOOKUP(I17,A:F,6,FALSE),H17+3,1),0)=6,SUMIFS(Holieday[ok],Holieday[date],J_ADDDAY(VLOOKUP(I17,A:F,6,FALSE),H17+3,1)))=FALSE(),J_ADDDAY(VLOOKUP(I17,A:F,6,FALSE),H17+3,1),IF(OR(j_WEEKDAY(J_ADDDAY(VLOOKUP(I17,A:F,6,FALSE),H17+4,1),0)=6,SUMIFS(Holieday[ok],Holieday[date],J_ADDDAY(VLOOKUP(I17,A:F,6,FALSE),H17+4,1)))=FALSE(),J_ADDDAY(VLOOKUP(I17,A:F,6,FALSE),H17+4,1),J_ADDDAY(VLOOKUP(I17,A:F,6,FALSE),H17+5,1))))))</f>
        <v>1398/06/31</v>
      </c>
      <c r="E17" s="193">
        <f t="shared" si="4"/>
        <v>13980631</v>
      </c>
      <c r="F17" s="204" t="str">
        <f>IF(N17=0,J_SUBDAY(D17,1,1),IF((N17-(NETWORKDAYS.INTL(J_GregorianDate(D17,1),J_GregorianDate(J_SUBDAY(J_ADDDAY(D17,N17,1),1,1),1),16,1)))+SUMIFS(Holieday[ok],Holieday[date],CONCATENATE("&gt;","=",D17),Holieday[date],CONCATENATE("&lt;","=",J_SUBDAY(J_ADDDAY(D17,N17,1),1,1)))-SUMIFS(Holieday[Friday],Holieday[date],CONCATENATE("&gt;","=",D17),Holieday[date],CONCATENATE("&lt;","=",J_SUBDAY(J_ADDDAY(D17,N17,1),1,1)))=0,J_SUBDAY(J_ADDDAY(D17,N17,1),1,1),IF((N17+1-(NETWORKDAYS.INTL(J_GregorianDate(D17,1),J_GregorianDate(J_SUBDAY(J_ADDDAY(D17,N17+1,1),1,1),1),16,1)))+SUMIFS(Holieday[ok],Holieday[date],CONCATENATE("&gt;","=",D17),Holieday[date],CONCATENATE("&lt;","=",J_SUBDAY(J_ADDDAY(D17,N17+1,1),1,1)))-SUMIFS(Holieday[Friday],Holieday[date],CONCATENATE("&gt;","=",D17),Holieday[date],CONCATENATE("&lt;","=",J_SUBDAY(J_ADDDAY(D17,N17+1,1),1,1)))=1,J_SUBDAY(J_ADDDAY(D17,N17+1,1),1,1),IF((N17+2-(NETWORKDAYS.INTL(J_GregorianDate(D17,1),J_GregorianDate(J_SUBDAY(J_ADDDAY(D17,N17+2,1),1,1),1),16,1)))+SUMIFS(Holieday[ok],Holieday[date],CONCATENATE("&gt;","=",D17),Holieday[date],CONCATENATE("&lt;","=",J_SUBDAY(J_ADDDAY(D17,N17+2,1),1,1)))-SUMIFS(Holieday[Friday],Holieday[date],CONCATENATE("&gt;","=",D17),Holieday[date],CONCATENATE("&lt;","=",J_SUBDAY(J_ADDDAY(D17,N17+2,1),1,1)))=2,J_SUBDAY(J_ADDDAY(D17,N17+2,1),1,1),IF((N17+3-(NETWORKDAYS.INTL(J_GregorianDate(D17,1),J_GregorianDate(J_SUBDAY(J_ADDDAY(D17,N17+3,1),1,1),1),16,1)))+SUMIFS(Holieday[ok],Holieday[date],CONCATENATE("&gt;","=",D17),Holieday[date],CONCATENATE("&lt;","=",J_SUBDAY(J_ADDDAY(D17,N17+3,1),1,1)))-SUMIFS(Holieday[Friday],Holieday[date],CONCATENATE("&gt;","=",D17),Holieday[date],CONCATENATE("&lt;","=",J_SUBDAY(J_ADDDAY(D17,N17+3,1),1,1)))=3,J_SUBDAY(J_ADDDAY(D17,N17+3,1),1,1),IF((N17+4-(NETWORKDAYS.INTL(J_GregorianDate(D17,1),J_GregorianDate(J_SUBDAY(J_ADDDAY(D17,N17+4,1),1,1),1),16,1)))+SUMIFS(Holieday[ok],Holieday[date],CONCATENATE("&gt;","=",D17),Holieday[date],CONCATENATE("&lt;","=",J_SUBDAY(J_ADDDAY(D17,N17+4,1),1,1)))-SUMIFS(Holieday[Friday],Holieday[date],CONCATENATE("&gt;","=",D17),Holieday[date],CONCATENATE("&lt;","=",J_SUBDAY(J_ADDDAY(D17,N17+4,1),1,1)))=4,J_SUBDAY(J_ADDDAY(D17,N17+4,1),1,1),IF((N17+5-(NETWORKDAYS.INTL(J_GregorianDate(D17,1),J_GregorianDate(J_SUBDAY(J_ADDDAY(D17,N17+5,1),1,1),1),16,1)))+SUMIFS(Holieday[ok],Holieday[date],CONCATENATE("&gt;","=",D17),Holieday[date],CONCATENATE("&lt;","=",J_SUBDAY(J_ADDDAY(D17,N17+5,1),1,1)))-SUMIFS(Holieday[Friday],Holieday[date],CONCATENATE("&gt;","=",D17),Holieday[date],CONCATENATE("&lt;","=",J_SUBDAY(J_ADDDAY(D17,N17+5,1),1,1)))=5,J_SUBDAY(J_ADDDAY(D17,N17+5,1),1,1),J_SUBDAY(J_ADDDAY(D17,N17+6,1),1,1))))))))</f>
        <v>1398/06/30</v>
      </c>
      <c r="G17" s="196">
        <f t="shared" si="5"/>
        <v>13980630</v>
      </c>
      <c r="H17" s="119"/>
      <c r="I17" s="120">
        <v>1.1000000000000001</v>
      </c>
      <c r="J17" s="204">
        <f>j_WEEKDAY(D17,2)</f>
        <v>1</v>
      </c>
      <c r="K17" s="206">
        <f t="shared" si="7"/>
        <v>0</v>
      </c>
      <c r="L17" s="207">
        <f t="shared" si="8"/>
        <v>0</v>
      </c>
      <c r="M17" s="121">
        <v>1</v>
      </c>
      <c r="N17" s="118">
        <v>0</v>
      </c>
      <c r="O17" s="208">
        <f t="shared" si="9"/>
        <v>0</v>
      </c>
      <c r="P17" s="208">
        <f>VALUE(J_normdate(J_ADDDAY($D17,$O17,1)))</f>
        <v>13980631</v>
      </c>
      <c r="Q17" s="204">
        <f t="shared" si="10"/>
        <v>0</v>
      </c>
      <c r="R17" s="202"/>
      <c r="S17" s="202"/>
      <c r="T17" s="202"/>
      <c r="U17" s="202"/>
      <c r="V17" s="202"/>
      <c r="W17" s="202"/>
      <c r="X17" s="202"/>
      <c r="Y17" s="202"/>
      <c r="Z17" s="202"/>
      <c r="AA17" s="202"/>
      <c r="AB17" s="202"/>
      <c r="AC17" s="202"/>
      <c r="AD17" s="202"/>
      <c r="AE17" s="202"/>
      <c r="AF17" s="202"/>
      <c r="AG17" s="202"/>
      <c r="AH17" s="202"/>
      <c r="AI17" s="202"/>
      <c r="AJ17" s="202"/>
      <c r="AK17" s="202"/>
      <c r="AL17" s="202"/>
      <c r="AM17" s="202"/>
      <c r="AN17" s="202"/>
      <c r="AO17" s="202"/>
      <c r="AP17" s="202"/>
      <c r="AQ17" s="202"/>
      <c r="AR17" s="202"/>
      <c r="AS17" s="202"/>
      <c r="AT17" s="202"/>
      <c r="AU17" s="202"/>
      <c r="AV17" s="202"/>
      <c r="AW17" s="202"/>
      <c r="AX17" s="202"/>
      <c r="AY17" s="202"/>
      <c r="AZ17" s="202"/>
      <c r="BA17" s="202"/>
      <c r="BB17" s="202"/>
      <c r="BC17" s="202"/>
      <c r="BD17" s="202"/>
      <c r="BE17" s="202"/>
      <c r="BF17" s="202"/>
      <c r="BG17" s="202"/>
      <c r="BH17" s="202"/>
      <c r="BI17" s="202"/>
      <c r="BJ17" s="202"/>
      <c r="BK17" s="202"/>
      <c r="BL17" s="202"/>
      <c r="BM17" s="202"/>
      <c r="BN17" s="202"/>
      <c r="BO17" s="202"/>
      <c r="BP17" s="202"/>
      <c r="BQ17" s="202"/>
      <c r="BR17" s="202"/>
      <c r="BS17" s="202"/>
      <c r="BT17" s="202"/>
      <c r="BU17" s="202"/>
      <c r="BV17" s="202"/>
      <c r="BW17" s="202"/>
      <c r="BX17" s="202"/>
      <c r="BY17" s="202"/>
      <c r="BZ17" s="202"/>
      <c r="CA17" s="202"/>
      <c r="CB17" s="202"/>
      <c r="CC17" s="202"/>
      <c r="CD17" s="202"/>
      <c r="CE17" s="202"/>
      <c r="CF17" s="202"/>
      <c r="CG17" s="202"/>
      <c r="CH17" s="202"/>
      <c r="CI17" s="202"/>
      <c r="CJ17" s="202"/>
      <c r="CK17" s="202"/>
      <c r="CL17" s="202"/>
      <c r="CM17" s="202"/>
      <c r="CN17" s="202"/>
      <c r="CO17" s="202"/>
      <c r="CP17" s="202"/>
      <c r="CQ17" s="202"/>
      <c r="CR17" s="202"/>
      <c r="CS17" s="202"/>
      <c r="CT17" s="202"/>
      <c r="CU17" s="202"/>
      <c r="CV17" s="202"/>
      <c r="CW17" s="202"/>
      <c r="CX17" s="202"/>
      <c r="CY17" s="202"/>
      <c r="CZ17" s="202"/>
      <c r="DA17" s="202"/>
      <c r="DB17" s="202"/>
      <c r="DC17" s="202"/>
      <c r="DD17" s="202"/>
      <c r="DE17" s="202"/>
      <c r="DF17" s="202"/>
      <c r="DG17" s="202"/>
      <c r="DH17" s="202"/>
      <c r="DI17" s="202"/>
      <c r="DJ17" s="202"/>
      <c r="DK17" s="202"/>
      <c r="DL17" s="202"/>
      <c r="DM17" s="202"/>
      <c r="DN17" s="202"/>
      <c r="DO17" s="202"/>
      <c r="DP17" s="202"/>
      <c r="DQ17" s="202"/>
      <c r="DR17" s="202"/>
      <c r="DS17" s="202"/>
      <c r="DT17" s="202"/>
      <c r="DU17" s="202"/>
      <c r="DV17" s="202"/>
      <c r="DW17" s="202"/>
      <c r="DX17" s="202"/>
      <c r="DY17" s="202"/>
      <c r="DZ17" s="202"/>
      <c r="EA17" s="202"/>
      <c r="EB17" s="202"/>
      <c r="EC17" s="202"/>
      <c r="ED17" s="202"/>
      <c r="EE17" s="202"/>
      <c r="EF17" s="202"/>
      <c r="EG17" s="202"/>
      <c r="EH17" s="202"/>
      <c r="EI17" s="202"/>
      <c r="EJ17" s="202"/>
      <c r="EK17" s="202"/>
      <c r="EL17" s="202"/>
      <c r="EM17" s="202"/>
      <c r="EN17" s="202"/>
      <c r="EO17" s="202"/>
      <c r="EP17" s="202"/>
      <c r="EQ17" s="202"/>
      <c r="ER17" s="202"/>
      <c r="ES17" s="202"/>
      <c r="ET17" s="202"/>
      <c r="EU17" s="202"/>
      <c r="EV17" s="202"/>
      <c r="EW17" s="202"/>
      <c r="EX17" s="202"/>
      <c r="EY17" s="202"/>
      <c r="EZ17" s="202"/>
      <c r="FA17" s="202"/>
      <c r="FB17" s="202"/>
      <c r="FC17" s="202"/>
      <c r="FD17" s="202"/>
      <c r="FE17" s="202"/>
      <c r="FF17" s="202"/>
      <c r="FG17" s="202"/>
      <c r="FH17" s="202"/>
      <c r="FI17" s="202"/>
      <c r="FJ17" s="202"/>
      <c r="FK17" s="202"/>
      <c r="FL17" s="202"/>
      <c r="FM17" s="202"/>
      <c r="FN17" s="202"/>
      <c r="FO17" s="202"/>
      <c r="FP17" s="202"/>
      <c r="FQ17" s="202"/>
      <c r="FR17" s="202"/>
      <c r="FS17" s="202"/>
      <c r="FT17" s="202"/>
      <c r="FU17" s="202"/>
      <c r="FV17" s="202"/>
      <c r="FW17" s="202"/>
      <c r="FX17" s="202"/>
      <c r="FY17" s="202"/>
      <c r="FZ17" s="202"/>
      <c r="GA17" s="202"/>
      <c r="GB17" s="202"/>
      <c r="GC17" s="202"/>
      <c r="GD17" s="202"/>
      <c r="GE17" s="202"/>
      <c r="GF17" s="202"/>
      <c r="GG17" s="202"/>
      <c r="GH17" s="202"/>
      <c r="GI17" s="202"/>
      <c r="GJ17" s="202"/>
      <c r="GK17" s="202"/>
      <c r="GL17" s="202"/>
      <c r="GM17" s="202"/>
      <c r="GN17" s="202"/>
      <c r="GO17" s="202"/>
      <c r="GP17" s="202"/>
      <c r="GQ17" s="202"/>
      <c r="GR17" s="202"/>
      <c r="GS17" s="202"/>
      <c r="GT17" s="202"/>
      <c r="GU17" s="202"/>
      <c r="GV17" s="202"/>
      <c r="GW17" s="202"/>
      <c r="GX17" s="202"/>
      <c r="GY17" s="202"/>
      <c r="GZ17" s="202"/>
      <c r="HA17" s="202"/>
      <c r="HB17" s="202"/>
      <c r="HC17" s="202"/>
      <c r="HD17" s="202"/>
      <c r="HE17" s="202"/>
      <c r="HF17" s="202"/>
      <c r="HG17" s="202"/>
      <c r="HH17" s="202"/>
      <c r="HI17" s="202"/>
      <c r="HJ17" s="202"/>
      <c r="HK17" s="202"/>
      <c r="HL17" s="202"/>
      <c r="HM17" s="202"/>
      <c r="HN17" s="202"/>
      <c r="HO17" s="202"/>
      <c r="HP17" s="202"/>
      <c r="HQ17" s="202"/>
      <c r="HR17" s="202"/>
      <c r="HS17" s="202"/>
      <c r="HT17" s="202"/>
      <c r="HU17" s="202"/>
      <c r="HV17" s="202"/>
      <c r="HW17" s="202"/>
      <c r="HX17" s="202"/>
      <c r="HY17" s="202"/>
      <c r="HZ17" s="202"/>
      <c r="IA17" s="202"/>
      <c r="IB17" s="202"/>
      <c r="IC17" s="202"/>
      <c r="ID17" s="202"/>
      <c r="IE17" s="202"/>
      <c r="IF17" s="202"/>
      <c r="IG17" s="202"/>
      <c r="IH17" s="202"/>
      <c r="II17" s="202"/>
      <c r="IJ17" s="202"/>
      <c r="IK17" s="202"/>
      <c r="IL17" s="202"/>
      <c r="IM17" s="202"/>
      <c r="IN17" s="202"/>
      <c r="IO17" s="202"/>
      <c r="IP17" s="202"/>
      <c r="IQ17" s="202"/>
      <c r="IR17" s="202"/>
      <c r="IS17" s="202"/>
      <c r="IT17" s="202"/>
      <c r="IU17" s="202"/>
      <c r="IV17" s="202"/>
      <c r="IW17" s="202"/>
      <c r="IX17" s="202"/>
      <c r="IY17" s="31">
        <v>1</v>
      </c>
      <c r="IZ17" s="43">
        <f>(TEXT(K17,"[m]")/60)*VLOOKUP(IY17,'Income Person-hours'!A$2:C$5,3,FALSE)</f>
        <v>0</v>
      </c>
      <c r="JA17" s="122"/>
      <c r="JB17" s="122"/>
      <c r="JC17" s="122"/>
      <c r="JD17" s="227">
        <f>SUM((TEXT(JA17,"[M]")/60)*'Income Person-hours'!$D$3,(TEXT(JB17,"[M]")/60)*'Income Person-hours'!$D$4,(TEXT(JC17,"[M]")/60)*'Income Person-hours'!$D$5)</f>
        <v>0</v>
      </c>
    </row>
    <row r="18" spans="1:264" s="12" customFormat="1" ht="15.75" hidden="1" x14ac:dyDescent="0.45">
      <c r="A18" s="32">
        <v>1.9</v>
      </c>
      <c r="B18" s="116"/>
      <c r="C18" s="117"/>
      <c r="D18" s="8" t="str">
        <f>IF(OR(j_WEEKDAY(J_ADDDAY(VLOOKUP(I18,A:F,6,FALSE),H18,1),0)=6,SUMIFS(Holieday[ok],Holieday[date],J_ADDDAY(VLOOKUP(I18,A:F,6,FALSE),H18,1)))=FALSE(),J_ADDDAY(VLOOKUP(I18,A:F,6,FALSE),H18,1),IF(OR(j_WEEKDAY(J_ADDDAY(VLOOKUP(I18,A:F,6,FALSE),H18+1,1),0)=6,SUMIFS(Holieday[ok],Holieday[date],J_ADDDAY(VLOOKUP(I18,A:F,6,FALSE),H18+1,1)))=FALSE(),J_ADDDAY(VLOOKUP(I18,A:F,6,FALSE),H18+1,1),IF(OR(j_WEEKDAY(J_ADDDAY(VLOOKUP(I18,A:F,6,FALSE),H18+2,1),0)=6,SUMIFS(Holieday[ok],Holieday[date],J_ADDDAY(VLOOKUP(I18,A:F,6,FALSE),H18+2,1)))=FALSE(),J_ADDDAY(VLOOKUP(I18,A:F,6,FALSE),H18+2,1),IF(OR(j_WEEKDAY(J_ADDDAY(VLOOKUP(I18,A:F,6,FALSE),H18+3,1),0)=6,SUMIFS(Holieday[ok],Holieday[date],J_ADDDAY(VLOOKUP(I18,A:F,6,FALSE),H18+3,1)))=FALSE(),J_ADDDAY(VLOOKUP(I18,A:F,6,FALSE),H18+3,1),IF(OR(j_WEEKDAY(J_ADDDAY(VLOOKUP(I18,A:F,6,FALSE),H18+4,1),0)=6,SUMIFS(Holieday[ok],Holieday[date],J_ADDDAY(VLOOKUP(I18,A:F,6,FALSE),H18+4,1)))=FALSE(),J_ADDDAY(VLOOKUP(I18,A:F,6,FALSE),H18+4,1),J_ADDDAY(VLOOKUP(I18,A:F,6,FALSE),H18+5,1))))))</f>
        <v>1398/06/31</v>
      </c>
      <c r="E18" s="2">
        <f t="shared" si="4"/>
        <v>13980631</v>
      </c>
      <c r="F18" s="13" t="str">
        <f>IF(N18=0,J_SUBDAY(D18,1,1),IF((N18-(NETWORKDAYS.INTL(J_GregorianDate(D18,1),J_GregorianDate(J_SUBDAY(J_ADDDAY(D18,N18,1),1,1),1),16,1)))+SUMIFS(Holieday[ok],Holieday[date],CONCATENATE("&gt;","=",D18),Holieday[date],CONCATENATE("&lt;","=",J_SUBDAY(J_ADDDAY(D18,N18,1),1,1)))-SUMIFS(Holieday[Friday],Holieday[date],CONCATENATE("&gt;","=",D18),Holieday[date],CONCATENATE("&lt;","=",J_SUBDAY(J_ADDDAY(D18,N18,1),1,1)))=0,J_SUBDAY(J_ADDDAY(D18,N18,1),1,1),IF((N18+1-(NETWORKDAYS.INTL(J_GregorianDate(D18,1),J_GregorianDate(J_SUBDAY(J_ADDDAY(D18,N18+1,1),1,1),1),16,1)))+SUMIFS(Holieday[ok],Holieday[date],CONCATENATE("&gt;","=",D18),Holieday[date],CONCATENATE("&lt;","=",J_SUBDAY(J_ADDDAY(D18,N18+1,1),1,1)))-SUMIFS(Holieday[Friday],Holieday[date],CONCATENATE("&gt;","=",D18),Holieday[date],CONCATENATE("&lt;","=",J_SUBDAY(J_ADDDAY(D18,N18+1,1),1,1)))=1,J_SUBDAY(J_ADDDAY(D18,N18+1,1),1,1),IF((N18+2-(NETWORKDAYS.INTL(J_GregorianDate(D18,1),J_GregorianDate(J_SUBDAY(J_ADDDAY(D18,N18+2,1),1,1),1),16,1)))+SUMIFS(Holieday[ok],Holieday[date],CONCATENATE("&gt;","=",D18),Holieday[date],CONCATENATE("&lt;","=",J_SUBDAY(J_ADDDAY(D18,N18+2,1),1,1)))-SUMIFS(Holieday[Friday],Holieday[date],CONCATENATE("&gt;","=",D18),Holieday[date],CONCATENATE("&lt;","=",J_SUBDAY(J_ADDDAY(D18,N18+2,1),1,1)))=2,J_SUBDAY(J_ADDDAY(D18,N18+2,1),1,1),IF((N18+3-(NETWORKDAYS.INTL(J_GregorianDate(D18,1),J_GregorianDate(J_SUBDAY(J_ADDDAY(D18,N18+3,1),1,1),1),16,1)))+SUMIFS(Holieday[ok],Holieday[date],CONCATENATE("&gt;","=",D18),Holieday[date],CONCATENATE("&lt;","=",J_SUBDAY(J_ADDDAY(D18,N18+3,1),1,1)))-SUMIFS(Holieday[Friday],Holieday[date],CONCATENATE("&gt;","=",D18),Holieday[date],CONCATENATE("&lt;","=",J_SUBDAY(J_ADDDAY(D18,N18+3,1),1,1)))=3,J_SUBDAY(J_ADDDAY(D18,N18+3,1),1,1),IF((N18+4-(NETWORKDAYS.INTL(J_GregorianDate(D18,1),J_GregorianDate(J_SUBDAY(J_ADDDAY(D18,N18+4,1),1,1),1),16,1)))+SUMIFS(Holieday[ok],Holieday[date],CONCATENATE("&gt;","=",D18),Holieday[date],CONCATENATE("&lt;","=",J_SUBDAY(J_ADDDAY(D18,N18+4,1),1,1)))-SUMIFS(Holieday[Friday],Holieday[date],CONCATENATE("&gt;","=",D18),Holieday[date],CONCATENATE("&lt;","=",J_SUBDAY(J_ADDDAY(D18,N18+4,1),1,1)))=4,J_SUBDAY(J_ADDDAY(D18,N18+4,1),1,1),IF((N18+5-(NETWORKDAYS.INTL(J_GregorianDate(D18,1),J_GregorianDate(J_SUBDAY(J_ADDDAY(D18,N18+5,1),1,1),1),16,1)))+SUMIFS(Holieday[ok],Holieday[date],CONCATENATE("&gt;","=",D18),Holieday[date],CONCATENATE("&lt;","=",J_SUBDAY(J_ADDDAY(D18,N18+5,1),1,1)))-SUMIFS(Holieday[Friday],Holieday[date],CONCATENATE("&gt;","=",D18),Holieday[date],CONCATENATE("&lt;","=",J_SUBDAY(J_ADDDAY(D18,N18+5,1),1,1)))=5,J_SUBDAY(J_ADDDAY(D18,N18+5,1),1,1),J_SUBDAY(J_ADDDAY(D18,N18+6,1),1,1))))))))</f>
        <v>1398/06/30</v>
      </c>
      <c r="G18" s="3">
        <f t="shared" si="5"/>
        <v>13980630</v>
      </c>
      <c r="H18" s="119"/>
      <c r="I18" s="120">
        <v>1.1000000000000001</v>
      </c>
      <c r="J18" s="10">
        <f>j_WEEKDAY(D18,2)</f>
        <v>1</v>
      </c>
      <c r="K18" s="22">
        <f t="shared" si="7"/>
        <v>0</v>
      </c>
      <c r="L18" s="9">
        <f t="shared" si="8"/>
        <v>0</v>
      </c>
      <c r="M18" s="121">
        <v>1</v>
      </c>
      <c r="N18" s="118">
        <v>0</v>
      </c>
      <c r="O18" s="11">
        <f t="shared" si="9"/>
        <v>0</v>
      </c>
      <c r="P18" s="11">
        <f>VALUE(J_normdate(J_ADDDAY($D18,$O18,1)))</f>
        <v>13980631</v>
      </c>
      <c r="Q18" s="10">
        <f t="shared" si="10"/>
        <v>0</v>
      </c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G18" s="8"/>
      <c r="HH18" s="8"/>
      <c r="HI18" s="8"/>
      <c r="HJ18" s="8"/>
      <c r="HK18" s="8"/>
      <c r="HL18" s="8"/>
      <c r="HM18" s="8"/>
      <c r="HN18" s="8"/>
      <c r="HO18" s="8"/>
      <c r="HP18" s="8"/>
      <c r="HQ18" s="8"/>
      <c r="HR18" s="8"/>
      <c r="HS18" s="8"/>
      <c r="HT18" s="8"/>
      <c r="HU18" s="8"/>
      <c r="HV18" s="8"/>
      <c r="HW18" s="8"/>
      <c r="HX18" s="8"/>
      <c r="HY18" s="8"/>
      <c r="HZ18" s="8"/>
      <c r="IA18" s="8"/>
      <c r="IB18" s="8"/>
      <c r="IC18" s="8"/>
      <c r="ID18" s="8"/>
      <c r="IE18" s="8"/>
      <c r="IF18" s="8"/>
      <c r="IG18" s="8"/>
      <c r="IH18" s="8"/>
      <c r="II18" s="8"/>
      <c r="IJ18" s="8"/>
      <c r="IK18" s="8"/>
      <c r="IL18" s="8"/>
      <c r="IM18" s="8"/>
      <c r="IN18" s="8"/>
      <c r="IO18" s="8"/>
      <c r="IP18" s="8"/>
      <c r="IQ18" s="8"/>
      <c r="IR18" s="8"/>
      <c r="IS18" s="8"/>
      <c r="IT18" s="8"/>
      <c r="IU18" s="8"/>
      <c r="IV18" s="8"/>
      <c r="IW18" s="8"/>
      <c r="IX18" s="8"/>
      <c r="IY18" s="31">
        <v>1</v>
      </c>
      <c r="IZ18" s="43">
        <f>(TEXT(K18,"[m]")/60)*VLOOKUP(IY18,'Income Person-hours'!A$2:C$5,3,FALSE)</f>
        <v>0</v>
      </c>
      <c r="JA18" s="123"/>
      <c r="JB18" s="123"/>
      <c r="JC18" s="123"/>
      <c r="JD18" s="70">
        <f>SUM((TEXT(JA18,"[M]")/60)*'Income Person-hours'!$D$3,(TEXT(JB18,"[M]")/60)*'Income Person-hours'!$D$4,(TEXT(JC18,"[M]")/60)*'Income Person-hours'!$D$5)</f>
        <v>0</v>
      </c>
    </row>
    <row r="19" spans="1:264" s="12" customFormat="1" ht="15.75" hidden="1" x14ac:dyDescent="0.45">
      <c r="A19" s="32">
        <v>1.1100000000000001</v>
      </c>
      <c r="B19" s="116"/>
      <c r="C19" s="117"/>
      <c r="D19" s="8" t="str">
        <f>IF(OR(j_WEEKDAY(J_ADDDAY(VLOOKUP(I19,A:F,6,FALSE),H19,1),0)=6,SUMIFS(Holieday[ok],Holieday[date],J_ADDDAY(VLOOKUP(I19,A:F,6,FALSE),H19,1)))=FALSE(),J_ADDDAY(VLOOKUP(I19,A:F,6,FALSE),H19,1),IF(OR(j_WEEKDAY(J_ADDDAY(VLOOKUP(I19,A:F,6,FALSE),H19+1,1),0)=6,SUMIFS(Holieday[ok],Holieday[date],J_ADDDAY(VLOOKUP(I19,A:F,6,FALSE),H19+1,1)))=FALSE(),J_ADDDAY(VLOOKUP(I19,A:F,6,FALSE),H19+1,1),IF(OR(j_WEEKDAY(J_ADDDAY(VLOOKUP(I19,A:F,6,FALSE),H19+2,1),0)=6,SUMIFS(Holieday[ok],Holieday[date],J_ADDDAY(VLOOKUP(I19,A:F,6,FALSE),H19+2,1)))=FALSE(),J_ADDDAY(VLOOKUP(I19,A:F,6,FALSE),H19+2,1),IF(OR(j_WEEKDAY(J_ADDDAY(VLOOKUP(I19,A:F,6,FALSE),H19+3,1),0)=6,SUMIFS(Holieday[ok],Holieday[date],J_ADDDAY(VLOOKUP(I19,A:F,6,FALSE),H19+3,1)))=FALSE(),J_ADDDAY(VLOOKUP(I19,A:F,6,FALSE),H19+3,1),IF(OR(j_WEEKDAY(J_ADDDAY(VLOOKUP(I19,A:F,6,FALSE),H19+4,1),0)=6,SUMIFS(Holieday[ok],Holieday[date],J_ADDDAY(VLOOKUP(I19,A:F,6,FALSE),H19+4,1)))=FALSE(),J_ADDDAY(VLOOKUP(I19,A:F,6,FALSE),H19+4,1),J_ADDDAY(VLOOKUP(I19,A:F,6,FALSE),H19+5,1))))))</f>
        <v>1398/06/31</v>
      </c>
      <c r="E19" s="2">
        <f t="shared" si="4"/>
        <v>13980631</v>
      </c>
      <c r="F19" s="13" t="str">
        <f>IF(N19=0,J_SUBDAY(D19,1,1),IF((N19-(NETWORKDAYS.INTL(J_GregorianDate(D19,1),J_GregorianDate(J_SUBDAY(J_ADDDAY(D19,N19,1),1,1),1),16,1)))+SUMIFS(Holieday[ok],Holieday[date],CONCATENATE("&gt;","=",D19),Holieday[date],CONCATENATE("&lt;","=",J_SUBDAY(J_ADDDAY(D19,N19,1),1,1)))-SUMIFS(Holieday[Friday],Holieday[date],CONCATENATE("&gt;","=",D19),Holieday[date],CONCATENATE("&lt;","=",J_SUBDAY(J_ADDDAY(D19,N19,1),1,1)))=0,J_SUBDAY(J_ADDDAY(D19,N19,1),1,1),IF((N19+1-(NETWORKDAYS.INTL(J_GregorianDate(D19,1),J_GregorianDate(J_SUBDAY(J_ADDDAY(D19,N19+1,1),1,1),1),16,1)))+SUMIFS(Holieday[ok],Holieday[date],CONCATENATE("&gt;","=",D19),Holieday[date],CONCATENATE("&lt;","=",J_SUBDAY(J_ADDDAY(D19,N19+1,1),1,1)))-SUMIFS(Holieday[Friday],Holieday[date],CONCATENATE("&gt;","=",D19),Holieday[date],CONCATENATE("&lt;","=",J_SUBDAY(J_ADDDAY(D19,N19+1,1),1,1)))=1,J_SUBDAY(J_ADDDAY(D19,N19+1,1),1,1),IF((N19+2-(NETWORKDAYS.INTL(J_GregorianDate(D19,1),J_GregorianDate(J_SUBDAY(J_ADDDAY(D19,N19+2,1),1,1),1),16,1)))+SUMIFS(Holieday[ok],Holieday[date],CONCATENATE("&gt;","=",D19),Holieday[date],CONCATENATE("&lt;","=",J_SUBDAY(J_ADDDAY(D19,N19+2,1),1,1)))-SUMIFS(Holieday[Friday],Holieday[date],CONCATENATE("&gt;","=",D19),Holieday[date],CONCATENATE("&lt;","=",J_SUBDAY(J_ADDDAY(D19,N19+2,1),1,1)))=2,J_SUBDAY(J_ADDDAY(D19,N19+2,1),1,1),IF((N19+3-(NETWORKDAYS.INTL(J_GregorianDate(D19,1),J_GregorianDate(J_SUBDAY(J_ADDDAY(D19,N19+3,1),1,1),1),16,1)))+SUMIFS(Holieday[ok],Holieday[date],CONCATENATE("&gt;","=",D19),Holieday[date],CONCATENATE("&lt;","=",J_SUBDAY(J_ADDDAY(D19,N19+3,1),1,1)))-SUMIFS(Holieday[Friday],Holieday[date],CONCATENATE("&gt;","=",D19),Holieday[date],CONCATENATE("&lt;","=",J_SUBDAY(J_ADDDAY(D19,N19+3,1),1,1)))=3,J_SUBDAY(J_ADDDAY(D19,N19+3,1),1,1),IF((N19+4-(NETWORKDAYS.INTL(J_GregorianDate(D19,1),J_GregorianDate(J_SUBDAY(J_ADDDAY(D19,N19+4,1),1,1),1),16,1)))+SUMIFS(Holieday[ok],Holieday[date],CONCATENATE("&gt;","=",D19),Holieday[date],CONCATENATE("&lt;","=",J_SUBDAY(J_ADDDAY(D19,N19+4,1),1,1)))-SUMIFS(Holieday[Friday],Holieday[date],CONCATENATE("&gt;","=",D19),Holieday[date],CONCATENATE("&lt;","=",J_SUBDAY(J_ADDDAY(D19,N19+4,1),1,1)))=4,J_SUBDAY(J_ADDDAY(D19,N19+4,1),1,1),IF((N19+5-(NETWORKDAYS.INTL(J_GregorianDate(D19,1),J_GregorianDate(J_SUBDAY(J_ADDDAY(D19,N19+5,1),1,1),1),16,1)))+SUMIFS(Holieday[ok],Holieday[date],CONCATENATE("&gt;","=",D19),Holieday[date],CONCATENATE("&lt;","=",J_SUBDAY(J_ADDDAY(D19,N19+5,1),1,1)))-SUMIFS(Holieday[Friday],Holieday[date],CONCATENATE("&gt;","=",D19),Holieday[date],CONCATENATE("&lt;","=",J_SUBDAY(J_ADDDAY(D19,N19+5,1),1,1)))=5,J_SUBDAY(J_ADDDAY(D19,N19+5,1),1,1),J_SUBDAY(J_ADDDAY(D19,N19+6,1),1,1))))))))</f>
        <v>1398/06/30</v>
      </c>
      <c r="G19" s="3">
        <f t="shared" si="5"/>
        <v>13980630</v>
      </c>
      <c r="H19" s="119"/>
      <c r="I19" s="120">
        <v>1.1000000000000001</v>
      </c>
      <c r="J19" s="10">
        <f>j_WEEKDAY(D19,2)</f>
        <v>1</v>
      </c>
      <c r="K19" s="22">
        <f t="shared" si="7"/>
        <v>0</v>
      </c>
      <c r="L19" s="9">
        <f t="shared" si="8"/>
        <v>0</v>
      </c>
      <c r="M19" s="121">
        <v>1</v>
      </c>
      <c r="N19" s="118">
        <v>0</v>
      </c>
      <c r="O19" s="11">
        <f t="shared" si="9"/>
        <v>0</v>
      </c>
      <c r="P19" s="11">
        <f>VALUE(J_normdate(J_ADDDAY($D19,$O19,1)))</f>
        <v>13980631</v>
      </c>
      <c r="Q19" s="10">
        <f t="shared" si="10"/>
        <v>0</v>
      </c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U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8"/>
      <c r="HH19" s="8"/>
      <c r="HI19" s="8"/>
      <c r="HJ19" s="8"/>
      <c r="HK19" s="8"/>
      <c r="HL19" s="8"/>
      <c r="HM19" s="8"/>
      <c r="HN19" s="8"/>
      <c r="HO19" s="8"/>
      <c r="HP19" s="8"/>
      <c r="HQ19" s="8"/>
      <c r="HR19" s="8"/>
      <c r="HS19" s="8"/>
      <c r="HT19" s="8"/>
      <c r="HU19" s="8"/>
      <c r="HV19" s="8"/>
      <c r="HW19" s="8"/>
      <c r="HX19" s="8"/>
      <c r="HY19" s="8"/>
      <c r="HZ19" s="8"/>
      <c r="IA19" s="8"/>
      <c r="IB19" s="8"/>
      <c r="IC19" s="8"/>
      <c r="ID19" s="8"/>
      <c r="IE19" s="8"/>
      <c r="IF19" s="8"/>
      <c r="IG19" s="8"/>
      <c r="IH19" s="8"/>
      <c r="II19" s="8"/>
      <c r="IJ19" s="8"/>
      <c r="IK19" s="8"/>
      <c r="IL19" s="8"/>
      <c r="IM19" s="8"/>
      <c r="IN19" s="8"/>
      <c r="IO19" s="8"/>
      <c r="IP19" s="8"/>
      <c r="IQ19" s="8"/>
      <c r="IR19" s="8"/>
      <c r="IS19" s="8"/>
      <c r="IT19" s="8"/>
      <c r="IU19" s="8"/>
      <c r="IV19" s="8"/>
      <c r="IW19" s="8"/>
      <c r="IX19" s="8"/>
      <c r="IY19" s="31">
        <v>1</v>
      </c>
      <c r="IZ19" s="31"/>
      <c r="JA19" s="123"/>
      <c r="JB19" s="123"/>
      <c r="JC19" s="123"/>
      <c r="JD19" s="70">
        <f>SUM((TEXT(JA19,"[M]")/60)*'Income Person-hours'!$D$3,(TEXT(JB19,"[M]")/60)*'Income Person-hours'!$D$4,(TEXT(JC19,"[M]")/60)*'Income Person-hours'!$D$5)</f>
        <v>0</v>
      </c>
    </row>
    <row r="20" spans="1:264" s="12" customFormat="1" ht="15.75" hidden="1" x14ac:dyDescent="0.45">
      <c r="A20" s="32">
        <v>1.1200000000000001</v>
      </c>
      <c r="B20" s="116"/>
      <c r="C20" s="117"/>
      <c r="D20" s="8" t="str">
        <f>IF(OR(j_WEEKDAY(J_ADDDAY(VLOOKUP(I20,A:F,6,FALSE),H20,1),0)=6,SUMIFS(Holieday[ok],Holieday[date],J_ADDDAY(VLOOKUP(I20,A:F,6,FALSE),H20,1)))=FALSE(),J_ADDDAY(VLOOKUP(I20,A:F,6,FALSE),H20,1),IF(OR(j_WEEKDAY(J_ADDDAY(VLOOKUP(I20,A:F,6,FALSE),H20+1,1),0)=6,SUMIFS(Holieday[ok],Holieday[date],J_ADDDAY(VLOOKUP(I20,A:F,6,FALSE),H20+1,1)))=FALSE(),J_ADDDAY(VLOOKUP(I20,A:F,6,FALSE),H20+1,1),IF(OR(j_WEEKDAY(J_ADDDAY(VLOOKUP(I20,A:F,6,FALSE),H20+2,1),0)=6,SUMIFS(Holieday[ok],Holieday[date],J_ADDDAY(VLOOKUP(I20,A:F,6,FALSE),H20+2,1)))=FALSE(),J_ADDDAY(VLOOKUP(I20,A:F,6,FALSE),H20+2,1),IF(OR(j_WEEKDAY(J_ADDDAY(VLOOKUP(I20,A:F,6,FALSE),H20+3,1),0)=6,SUMIFS(Holieday[ok],Holieday[date],J_ADDDAY(VLOOKUP(I20,A:F,6,FALSE),H20+3,1)))=FALSE(),J_ADDDAY(VLOOKUP(I20,A:F,6,FALSE),H20+3,1),IF(OR(j_WEEKDAY(J_ADDDAY(VLOOKUP(I20,A:F,6,FALSE),H20+4,1),0)=6,SUMIFS(Holieday[ok],Holieday[date],J_ADDDAY(VLOOKUP(I20,A:F,6,FALSE),H20+4,1)))=FALSE(),J_ADDDAY(VLOOKUP(I20,A:F,6,FALSE),H20+4,1),J_ADDDAY(VLOOKUP(I20,A:F,6,FALSE),H20+5,1))))))</f>
        <v>1398/06/31</v>
      </c>
      <c r="E20" s="2">
        <f t="shared" si="4"/>
        <v>13980631</v>
      </c>
      <c r="F20" s="13" t="str">
        <f>IF(N20=0,J_SUBDAY(D20,1,1),IF((N20-(NETWORKDAYS.INTL(J_GregorianDate(D20,1),J_GregorianDate(J_SUBDAY(J_ADDDAY(D20,N20,1),1,1),1),16,1)))+SUMIFS(Holieday[ok],Holieday[date],CONCATENATE("&gt;","=",D20),Holieday[date],CONCATENATE("&lt;","=",J_SUBDAY(J_ADDDAY(D20,N20,1),1,1)))-SUMIFS(Holieday[Friday],Holieday[date],CONCATENATE("&gt;","=",D20),Holieday[date],CONCATENATE("&lt;","=",J_SUBDAY(J_ADDDAY(D20,N20,1),1,1)))=0,J_SUBDAY(J_ADDDAY(D20,N20,1),1,1),IF((N20+1-(NETWORKDAYS.INTL(J_GregorianDate(D20,1),J_GregorianDate(J_SUBDAY(J_ADDDAY(D20,N20+1,1),1,1),1),16,1)))+SUMIFS(Holieday[ok],Holieday[date],CONCATENATE("&gt;","=",D20),Holieday[date],CONCATENATE("&lt;","=",J_SUBDAY(J_ADDDAY(D20,N20+1,1),1,1)))-SUMIFS(Holieday[Friday],Holieday[date],CONCATENATE("&gt;","=",D20),Holieday[date],CONCATENATE("&lt;","=",J_SUBDAY(J_ADDDAY(D20,N20+1,1),1,1)))=1,J_SUBDAY(J_ADDDAY(D20,N20+1,1),1,1),IF((N20+2-(NETWORKDAYS.INTL(J_GregorianDate(D20,1),J_GregorianDate(J_SUBDAY(J_ADDDAY(D20,N20+2,1),1,1),1),16,1)))+SUMIFS(Holieday[ok],Holieday[date],CONCATENATE("&gt;","=",D20),Holieday[date],CONCATENATE("&lt;","=",J_SUBDAY(J_ADDDAY(D20,N20+2,1),1,1)))-SUMIFS(Holieday[Friday],Holieday[date],CONCATENATE("&gt;","=",D20),Holieday[date],CONCATENATE("&lt;","=",J_SUBDAY(J_ADDDAY(D20,N20+2,1),1,1)))=2,J_SUBDAY(J_ADDDAY(D20,N20+2,1),1,1),IF((N20+3-(NETWORKDAYS.INTL(J_GregorianDate(D20,1),J_GregorianDate(J_SUBDAY(J_ADDDAY(D20,N20+3,1),1,1),1),16,1)))+SUMIFS(Holieday[ok],Holieday[date],CONCATENATE("&gt;","=",D20),Holieday[date],CONCATENATE("&lt;","=",J_SUBDAY(J_ADDDAY(D20,N20+3,1),1,1)))-SUMIFS(Holieday[Friday],Holieday[date],CONCATENATE("&gt;","=",D20),Holieday[date],CONCATENATE("&lt;","=",J_SUBDAY(J_ADDDAY(D20,N20+3,1),1,1)))=3,J_SUBDAY(J_ADDDAY(D20,N20+3,1),1,1),IF((N20+4-(NETWORKDAYS.INTL(J_GregorianDate(D20,1),J_GregorianDate(J_SUBDAY(J_ADDDAY(D20,N20+4,1),1,1),1),16,1)))+SUMIFS(Holieday[ok],Holieday[date],CONCATENATE("&gt;","=",D20),Holieday[date],CONCATENATE("&lt;","=",J_SUBDAY(J_ADDDAY(D20,N20+4,1),1,1)))-SUMIFS(Holieday[Friday],Holieday[date],CONCATENATE("&gt;","=",D20),Holieday[date],CONCATENATE("&lt;","=",J_SUBDAY(J_ADDDAY(D20,N20+4,1),1,1)))=4,J_SUBDAY(J_ADDDAY(D20,N20+4,1),1,1),IF((N20+5-(NETWORKDAYS.INTL(J_GregorianDate(D20,1),J_GregorianDate(J_SUBDAY(J_ADDDAY(D20,N20+5,1),1,1),1),16,1)))+SUMIFS(Holieday[ok],Holieday[date],CONCATENATE("&gt;","=",D20),Holieday[date],CONCATENATE("&lt;","=",J_SUBDAY(J_ADDDAY(D20,N20+5,1),1,1)))-SUMIFS(Holieday[Friday],Holieday[date],CONCATENATE("&gt;","=",D20),Holieday[date],CONCATENATE("&lt;","=",J_SUBDAY(J_ADDDAY(D20,N20+5,1),1,1)))=5,J_SUBDAY(J_ADDDAY(D20,N20+5,1),1,1),J_SUBDAY(J_ADDDAY(D20,N20+6,1),1,1))))))))</f>
        <v>1398/06/30</v>
      </c>
      <c r="G20" s="3">
        <f t="shared" si="5"/>
        <v>13980630</v>
      </c>
      <c r="H20" s="119"/>
      <c r="I20" s="120">
        <v>1.1000000000000001</v>
      </c>
      <c r="J20" s="10">
        <f>j_WEEKDAY(D20,2)</f>
        <v>1</v>
      </c>
      <c r="K20" s="22">
        <f t="shared" si="7"/>
        <v>0</v>
      </c>
      <c r="L20" s="9">
        <f t="shared" si="8"/>
        <v>0</v>
      </c>
      <c r="M20" s="121">
        <v>0</v>
      </c>
      <c r="N20" s="118">
        <v>0</v>
      </c>
      <c r="O20" s="11">
        <f t="shared" si="9"/>
        <v>0</v>
      </c>
      <c r="P20" s="11">
        <f>VALUE(J_normdate(J_ADDDAY($D20,$O20,1)))</f>
        <v>13980631</v>
      </c>
      <c r="Q20" s="10">
        <f t="shared" si="10"/>
        <v>0</v>
      </c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31">
        <v>1</v>
      </c>
      <c r="IZ20" s="31"/>
      <c r="JA20" s="123"/>
      <c r="JB20" s="123"/>
      <c r="JC20" s="123"/>
      <c r="JD20" s="70">
        <f>SUM((TEXT(JA20,"[M]")/60)*'Income Person-hours'!$D$3,(TEXT(JB20,"[M]")/60)*'Income Person-hours'!$D$4,(TEXT(JC20,"[M]")/60)*'Income Person-hours'!$D$5)</f>
        <v>0</v>
      </c>
    </row>
    <row r="21" spans="1:264" s="12" customFormat="1" ht="15.75" hidden="1" x14ac:dyDescent="0.45">
      <c r="A21" s="32">
        <v>1.1299999999999999</v>
      </c>
      <c r="B21" s="116"/>
      <c r="C21" s="117"/>
      <c r="D21" s="8" t="str">
        <f>IF(OR(j_WEEKDAY(J_ADDDAY(VLOOKUP(I21,A:F,6,FALSE),H21,1),0)=6,SUMIFS(Holieday[ok],Holieday[date],J_ADDDAY(VLOOKUP(I21,A:F,6,FALSE),H21,1)))=FALSE(),J_ADDDAY(VLOOKUP(I21,A:F,6,FALSE),H21,1),IF(OR(j_WEEKDAY(J_ADDDAY(VLOOKUP(I21,A:F,6,FALSE),H21+1,1),0)=6,SUMIFS(Holieday[ok],Holieday[date],J_ADDDAY(VLOOKUP(I21,A:F,6,FALSE),H21+1,1)))=FALSE(),J_ADDDAY(VLOOKUP(I21,A:F,6,FALSE),H21+1,1),IF(OR(j_WEEKDAY(J_ADDDAY(VLOOKUP(I21,A:F,6,FALSE),H21+2,1),0)=6,SUMIFS(Holieday[ok],Holieday[date],J_ADDDAY(VLOOKUP(I21,A:F,6,FALSE),H21+2,1)))=FALSE(),J_ADDDAY(VLOOKUP(I21,A:F,6,FALSE),H21+2,1),IF(OR(j_WEEKDAY(J_ADDDAY(VLOOKUP(I21,A:F,6,FALSE),H21+3,1),0)=6,SUMIFS(Holieday[ok],Holieday[date],J_ADDDAY(VLOOKUP(I21,A:F,6,FALSE),H21+3,1)))=FALSE(),J_ADDDAY(VLOOKUP(I21,A:F,6,FALSE),H21+3,1),IF(OR(j_WEEKDAY(J_ADDDAY(VLOOKUP(I21,A:F,6,FALSE),H21+4,1),0)=6,SUMIFS(Holieday[ok],Holieday[date],J_ADDDAY(VLOOKUP(I21,A:F,6,FALSE),H21+4,1)))=FALSE(),J_ADDDAY(VLOOKUP(I21,A:F,6,FALSE),H21+4,1),J_ADDDAY(VLOOKUP(I21,A:F,6,FALSE),H21+5,1))))))</f>
        <v>1398/06/31</v>
      </c>
      <c r="E21" s="2">
        <f t="shared" si="4"/>
        <v>13980631</v>
      </c>
      <c r="F21" s="13" t="str">
        <f>IF(N21=0,J_SUBDAY(D21,1,1),IF((N21-(NETWORKDAYS.INTL(J_GregorianDate(D21,1),J_GregorianDate(J_SUBDAY(J_ADDDAY(D21,N21,1),1,1),1),16,1)))+SUMIFS(Holieday[ok],Holieday[date],CONCATENATE("&gt;","=",D21),Holieday[date],CONCATENATE("&lt;","=",J_SUBDAY(J_ADDDAY(D21,N21,1),1,1)))-SUMIFS(Holieday[Friday],Holieday[date],CONCATENATE("&gt;","=",D21),Holieday[date],CONCATENATE("&lt;","=",J_SUBDAY(J_ADDDAY(D21,N21,1),1,1)))=0,J_SUBDAY(J_ADDDAY(D21,N21,1),1,1),IF((N21+1-(NETWORKDAYS.INTL(J_GregorianDate(D21,1),J_GregorianDate(J_SUBDAY(J_ADDDAY(D21,N21+1,1),1,1),1),16,1)))+SUMIFS(Holieday[ok],Holieday[date],CONCATENATE("&gt;","=",D21),Holieday[date],CONCATENATE("&lt;","=",J_SUBDAY(J_ADDDAY(D21,N21+1,1),1,1)))-SUMIFS(Holieday[Friday],Holieday[date],CONCATENATE("&gt;","=",D21),Holieday[date],CONCATENATE("&lt;","=",J_SUBDAY(J_ADDDAY(D21,N21+1,1),1,1)))=1,J_SUBDAY(J_ADDDAY(D21,N21+1,1),1,1),IF((N21+2-(NETWORKDAYS.INTL(J_GregorianDate(D21,1),J_GregorianDate(J_SUBDAY(J_ADDDAY(D21,N21+2,1),1,1),1),16,1)))+SUMIFS(Holieday[ok],Holieday[date],CONCATENATE("&gt;","=",D21),Holieday[date],CONCATENATE("&lt;","=",J_SUBDAY(J_ADDDAY(D21,N21+2,1),1,1)))-SUMIFS(Holieday[Friday],Holieday[date],CONCATENATE("&gt;","=",D21),Holieday[date],CONCATENATE("&lt;","=",J_SUBDAY(J_ADDDAY(D21,N21+2,1),1,1)))=2,J_SUBDAY(J_ADDDAY(D21,N21+2,1),1,1),IF((N21+3-(NETWORKDAYS.INTL(J_GregorianDate(D21,1),J_GregorianDate(J_SUBDAY(J_ADDDAY(D21,N21+3,1),1,1),1),16,1)))+SUMIFS(Holieday[ok],Holieday[date],CONCATENATE("&gt;","=",D21),Holieday[date],CONCATENATE("&lt;","=",J_SUBDAY(J_ADDDAY(D21,N21+3,1),1,1)))-SUMIFS(Holieday[Friday],Holieday[date],CONCATENATE("&gt;","=",D21),Holieday[date],CONCATENATE("&lt;","=",J_SUBDAY(J_ADDDAY(D21,N21+3,1),1,1)))=3,J_SUBDAY(J_ADDDAY(D21,N21+3,1),1,1),IF((N21+4-(NETWORKDAYS.INTL(J_GregorianDate(D21,1),J_GregorianDate(J_SUBDAY(J_ADDDAY(D21,N21+4,1),1,1),1),16,1)))+SUMIFS(Holieday[ok],Holieday[date],CONCATENATE("&gt;","=",D21),Holieday[date],CONCATENATE("&lt;","=",J_SUBDAY(J_ADDDAY(D21,N21+4,1),1,1)))-SUMIFS(Holieday[Friday],Holieday[date],CONCATENATE("&gt;","=",D21),Holieday[date],CONCATENATE("&lt;","=",J_SUBDAY(J_ADDDAY(D21,N21+4,1),1,1)))=4,J_SUBDAY(J_ADDDAY(D21,N21+4,1),1,1),IF((N21+5-(NETWORKDAYS.INTL(J_GregorianDate(D21,1),J_GregorianDate(J_SUBDAY(J_ADDDAY(D21,N21+5,1),1,1),1),16,1)))+SUMIFS(Holieday[ok],Holieday[date],CONCATENATE("&gt;","=",D21),Holieday[date],CONCATENATE("&lt;","=",J_SUBDAY(J_ADDDAY(D21,N21+5,1),1,1)))-SUMIFS(Holieday[Friday],Holieday[date],CONCATENATE("&gt;","=",D21),Holieday[date],CONCATENATE("&lt;","=",J_SUBDAY(J_ADDDAY(D21,N21+5,1),1,1)))=5,J_SUBDAY(J_ADDDAY(D21,N21+5,1),1,1),J_SUBDAY(J_ADDDAY(D21,N21+6,1),1,1))))))))</f>
        <v>1398/06/30</v>
      </c>
      <c r="G21" s="3">
        <f t="shared" si="5"/>
        <v>13980630</v>
      </c>
      <c r="H21" s="119"/>
      <c r="I21" s="120">
        <v>1.1000000000000001</v>
      </c>
      <c r="J21" s="10">
        <f>j_WEEKDAY(D21,2)</f>
        <v>1</v>
      </c>
      <c r="K21" s="22">
        <f t="shared" si="7"/>
        <v>0</v>
      </c>
      <c r="L21" s="9">
        <f t="shared" si="8"/>
        <v>0</v>
      </c>
      <c r="M21" s="121">
        <v>0</v>
      </c>
      <c r="N21" s="118">
        <v>0</v>
      </c>
      <c r="O21" s="11">
        <f t="shared" si="9"/>
        <v>0</v>
      </c>
      <c r="P21" s="11">
        <f>VALUE(J_normdate(J_ADDDAY($D21,$O21,1)))</f>
        <v>13980631</v>
      </c>
      <c r="Q21" s="10">
        <f t="shared" si="10"/>
        <v>0</v>
      </c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U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G21" s="8"/>
      <c r="HH21" s="8"/>
      <c r="HI21" s="8"/>
      <c r="HJ21" s="8"/>
      <c r="HK21" s="8"/>
      <c r="HL21" s="8"/>
      <c r="HM21" s="8"/>
      <c r="HN21" s="8"/>
      <c r="HO21" s="8"/>
      <c r="HP21" s="8"/>
      <c r="HQ21" s="8"/>
      <c r="HR21" s="8"/>
      <c r="HS21" s="8"/>
      <c r="HT21" s="8"/>
      <c r="HU21" s="8"/>
      <c r="HV21" s="8"/>
      <c r="HW21" s="8"/>
      <c r="HX21" s="8"/>
      <c r="HY21" s="8"/>
      <c r="HZ21" s="8"/>
      <c r="IA21" s="8"/>
      <c r="IB21" s="8"/>
      <c r="IC21" s="8"/>
      <c r="ID21" s="8"/>
      <c r="IE21" s="8"/>
      <c r="IF21" s="8"/>
      <c r="IG21" s="8"/>
      <c r="IH21" s="8"/>
      <c r="II21" s="8"/>
      <c r="IJ21" s="8"/>
      <c r="IK21" s="8"/>
      <c r="IL21" s="8"/>
      <c r="IM21" s="8"/>
      <c r="IN21" s="8"/>
      <c r="IO21" s="8"/>
      <c r="IP21" s="8"/>
      <c r="IQ21" s="8"/>
      <c r="IR21" s="8"/>
      <c r="IS21" s="8"/>
      <c r="IT21" s="8"/>
      <c r="IU21" s="8"/>
      <c r="IV21" s="8"/>
      <c r="IW21" s="8"/>
      <c r="IX21" s="8"/>
      <c r="IY21" s="31">
        <v>1</v>
      </c>
      <c r="IZ21" s="31"/>
      <c r="JA21" s="123"/>
      <c r="JB21" s="123"/>
      <c r="JC21" s="123"/>
      <c r="JD21" s="70">
        <f>SUM((TEXT(JA21,"[M]")/60)*'Income Person-hours'!$D$3,(TEXT(JB21,"[M]")/60)*'Income Person-hours'!$D$4,(TEXT(JC21,"[M]")/60)*'Income Person-hours'!$D$5)</f>
        <v>0</v>
      </c>
    </row>
    <row r="22" spans="1:264" s="12" customFormat="1" ht="15.75" hidden="1" x14ac:dyDescent="0.45">
      <c r="A22" s="32">
        <v>1.1399999999999999</v>
      </c>
      <c r="B22" s="116"/>
      <c r="C22" s="117"/>
      <c r="D22" s="8" t="str">
        <f>IF(OR(j_WEEKDAY(J_ADDDAY(VLOOKUP(I22,A:F,6,FALSE),H22,1),0)=6,SUMIFS(Holieday[ok],Holieday[date],J_ADDDAY(VLOOKUP(I22,A:F,6,FALSE),H22,1)))=FALSE(),J_ADDDAY(VLOOKUP(I22,A:F,6,FALSE),H22,1),IF(OR(j_WEEKDAY(J_ADDDAY(VLOOKUP(I22,A:F,6,FALSE),H22+1,1),0)=6,SUMIFS(Holieday[ok],Holieday[date],J_ADDDAY(VLOOKUP(I22,A:F,6,FALSE),H22+1,1)))=FALSE(),J_ADDDAY(VLOOKUP(I22,A:F,6,FALSE),H22+1,1),IF(OR(j_WEEKDAY(J_ADDDAY(VLOOKUP(I22,A:F,6,FALSE),H22+2,1),0)=6,SUMIFS(Holieday[ok],Holieday[date],J_ADDDAY(VLOOKUP(I22,A:F,6,FALSE),H22+2,1)))=FALSE(),J_ADDDAY(VLOOKUP(I22,A:F,6,FALSE),H22+2,1),IF(OR(j_WEEKDAY(J_ADDDAY(VLOOKUP(I22,A:F,6,FALSE),H22+3,1),0)=6,SUMIFS(Holieday[ok],Holieday[date],J_ADDDAY(VLOOKUP(I22,A:F,6,FALSE),H22+3,1)))=FALSE(),J_ADDDAY(VLOOKUP(I22,A:F,6,FALSE),H22+3,1),IF(OR(j_WEEKDAY(J_ADDDAY(VLOOKUP(I22,A:F,6,FALSE),H22+4,1),0)=6,SUMIFS(Holieday[ok],Holieday[date],J_ADDDAY(VLOOKUP(I22,A:F,6,FALSE),H22+4,1)))=FALSE(),J_ADDDAY(VLOOKUP(I22,A:F,6,FALSE),H22+4,1),J_ADDDAY(VLOOKUP(I22,A:F,6,FALSE),H22+5,1))))))</f>
        <v>1398/06/31</v>
      </c>
      <c r="E22" s="2">
        <f t="shared" si="4"/>
        <v>13980631</v>
      </c>
      <c r="F22" s="13" t="str">
        <f>IF(N22=0,J_SUBDAY(D22,1,1),IF((N22-(NETWORKDAYS.INTL(J_GregorianDate(D22,1),J_GregorianDate(J_SUBDAY(J_ADDDAY(D22,N22,1),1,1),1),16,1)))+SUMIFS(Holieday[ok],Holieday[date],CONCATENATE("&gt;","=",D22),Holieday[date],CONCATENATE("&lt;","=",J_SUBDAY(J_ADDDAY(D22,N22,1),1,1)))-SUMIFS(Holieday[Friday],Holieday[date],CONCATENATE("&gt;","=",D22),Holieday[date],CONCATENATE("&lt;","=",J_SUBDAY(J_ADDDAY(D22,N22,1),1,1)))=0,J_SUBDAY(J_ADDDAY(D22,N22,1),1,1),IF((N22+1-(NETWORKDAYS.INTL(J_GregorianDate(D22,1),J_GregorianDate(J_SUBDAY(J_ADDDAY(D22,N22+1,1),1,1),1),16,1)))+SUMIFS(Holieday[ok],Holieday[date],CONCATENATE("&gt;","=",D22),Holieday[date],CONCATENATE("&lt;","=",J_SUBDAY(J_ADDDAY(D22,N22+1,1),1,1)))-SUMIFS(Holieday[Friday],Holieday[date],CONCATENATE("&gt;","=",D22),Holieday[date],CONCATENATE("&lt;","=",J_SUBDAY(J_ADDDAY(D22,N22+1,1),1,1)))=1,J_SUBDAY(J_ADDDAY(D22,N22+1,1),1,1),IF((N22+2-(NETWORKDAYS.INTL(J_GregorianDate(D22,1),J_GregorianDate(J_SUBDAY(J_ADDDAY(D22,N22+2,1),1,1),1),16,1)))+SUMIFS(Holieday[ok],Holieday[date],CONCATENATE("&gt;","=",D22),Holieday[date],CONCATENATE("&lt;","=",J_SUBDAY(J_ADDDAY(D22,N22+2,1),1,1)))-SUMIFS(Holieday[Friday],Holieday[date],CONCATENATE("&gt;","=",D22),Holieday[date],CONCATENATE("&lt;","=",J_SUBDAY(J_ADDDAY(D22,N22+2,1),1,1)))=2,J_SUBDAY(J_ADDDAY(D22,N22+2,1),1,1),IF((N22+3-(NETWORKDAYS.INTL(J_GregorianDate(D22,1),J_GregorianDate(J_SUBDAY(J_ADDDAY(D22,N22+3,1),1,1),1),16,1)))+SUMIFS(Holieday[ok],Holieday[date],CONCATENATE("&gt;","=",D22),Holieday[date],CONCATENATE("&lt;","=",J_SUBDAY(J_ADDDAY(D22,N22+3,1),1,1)))-SUMIFS(Holieday[Friday],Holieday[date],CONCATENATE("&gt;","=",D22),Holieday[date],CONCATENATE("&lt;","=",J_SUBDAY(J_ADDDAY(D22,N22+3,1),1,1)))=3,J_SUBDAY(J_ADDDAY(D22,N22+3,1),1,1),IF((N22+4-(NETWORKDAYS.INTL(J_GregorianDate(D22,1),J_GregorianDate(J_SUBDAY(J_ADDDAY(D22,N22+4,1),1,1),1),16,1)))+SUMIFS(Holieday[ok],Holieday[date],CONCATENATE("&gt;","=",D22),Holieday[date],CONCATENATE("&lt;","=",J_SUBDAY(J_ADDDAY(D22,N22+4,1),1,1)))-SUMIFS(Holieday[Friday],Holieday[date],CONCATENATE("&gt;","=",D22),Holieday[date],CONCATENATE("&lt;","=",J_SUBDAY(J_ADDDAY(D22,N22+4,1),1,1)))=4,J_SUBDAY(J_ADDDAY(D22,N22+4,1),1,1),IF((N22+5-(NETWORKDAYS.INTL(J_GregorianDate(D22,1),J_GregorianDate(J_SUBDAY(J_ADDDAY(D22,N22+5,1),1,1),1),16,1)))+SUMIFS(Holieday[ok],Holieday[date],CONCATENATE("&gt;","=",D22),Holieday[date],CONCATENATE("&lt;","=",J_SUBDAY(J_ADDDAY(D22,N22+5,1),1,1)))-SUMIFS(Holieday[Friday],Holieday[date],CONCATENATE("&gt;","=",D22),Holieday[date],CONCATENATE("&lt;","=",J_SUBDAY(J_ADDDAY(D22,N22+5,1),1,1)))=5,J_SUBDAY(J_ADDDAY(D22,N22+5,1),1,1),J_SUBDAY(J_ADDDAY(D22,N22+6,1),1,1))))))))</f>
        <v>1398/06/30</v>
      </c>
      <c r="G22" s="3">
        <f t="shared" si="5"/>
        <v>13980630</v>
      </c>
      <c r="H22" s="119"/>
      <c r="I22" s="120">
        <v>1.1000000000000001</v>
      </c>
      <c r="J22" s="10">
        <f>j_WEEKDAY(D22,2)</f>
        <v>1</v>
      </c>
      <c r="K22" s="22">
        <f t="shared" si="7"/>
        <v>0</v>
      </c>
      <c r="L22" s="9">
        <f t="shared" si="8"/>
        <v>0</v>
      </c>
      <c r="M22" s="121">
        <v>0</v>
      </c>
      <c r="N22" s="118">
        <v>0</v>
      </c>
      <c r="O22" s="11">
        <f t="shared" si="9"/>
        <v>0</v>
      </c>
      <c r="P22" s="11">
        <f>VALUE(J_normdate(J_ADDDAY($D22,$O22,1)))</f>
        <v>13980631</v>
      </c>
      <c r="Q22" s="10">
        <f t="shared" si="10"/>
        <v>0</v>
      </c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8"/>
      <c r="GI22" s="8"/>
      <c r="GJ22" s="8"/>
      <c r="GK22" s="8"/>
      <c r="GL22" s="8"/>
      <c r="GM22" s="8"/>
      <c r="GN22" s="8"/>
      <c r="GO22" s="8"/>
      <c r="GP22" s="8"/>
      <c r="GQ22" s="8"/>
      <c r="GR22" s="8"/>
      <c r="GS22" s="8"/>
      <c r="GT22" s="8"/>
      <c r="GU22" s="8"/>
      <c r="GV22" s="8"/>
      <c r="GW22" s="8"/>
      <c r="GX22" s="8"/>
      <c r="GY22" s="8"/>
      <c r="GZ22" s="8"/>
      <c r="HA22" s="8"/>
      <c r="HB22" s="8"/>
      <c r="HC22" s="8"/>
      <c r="HD22" s="8"/>
      <c r="HE22" s="8"/>
      <c r="HF22" s="8"/>
      <c r="HG22" s="8"/>
      <c r="HH22" s="8"/>
      <c r="HI22" s="8"/>
      <c r="HJ22" s="8"/>
      <c r="HK22" s="8"/>
      <c r="HL22" s="8"/>
      <c r="HM22" s="8"/>
      <c r="HN22" s="8"/>
      <c r="HO22" s="8"/>
      <c r="HP22" s="8"/>
      <c r="HQ22" s="8"/>
      <c r="HR22" s="8"/>
      <c r="HS22" s="8"/>
      <c r="HT22" s="8"/>
      <c r="HU22" s="8"/>
      <c r="HV22" s="8"/>
      <c r="HW22" s="8"/>
      <c r="HX22" s="8"/>
      <c r="HY22" s="8"/>
      <c r="HZ22" s="8"/>
      <c r="IA22" s="8"/>
      <c r="IB22" s="8"/>
      <c r="IC22" s="8"/>
      <c r="ID22" s="8"/>
      <c r="IE22" s="8"/>
      <c r="IF22" s="8"/>
      <c r="IG22" s="8"/>
      <c r="IH22" s="8"/>
      <c r="II22" s="8"/>
      <c r="IJ22" s="8"/>
      <c r="IK22" s="8"/>
      <c r="IL22" s="8"/>
      <c r="IM22" s="8"/>
      <c r="IN22" s="8"/>
      <c r="IO22" s="8"/>
      <c r="IP22" s="8"/>
      <c r="IQ22" s="8"/>
      <c r="IR22" s="8"/>
      <c r="IS22" s="8"/>
      <c r="IT22" s="8"/>
      <c r="IU22" s="8"/>
      <c r="IV22" s="8"/>
      <c r="IW22" s="8"/>
      <c r="IX22" s="8"/>
      <c r="IY22" s="31">
        <v>1</v>
      </c>
      <c r="IZ22" s="31"/>
      <c r="JA22" s="123"/>
      <c r="JB22" s="123"/>
      <c r="JC22" s="123"/>
      <c r="JD22" s="70">
        <f>SUM((TEXT(JA22,"[M]")/60)*'Income Person-hours'!$D$3,(TEXT(JB22,"[M]")/60)*'Income Person-hours'!$D$4,(TEXT(JC22,"[M]")/60)*'Income Person-hours'!$D$5)</f>
        <v>0</v>
      </c>
    </row>
    <row r="23" spans="1:264" s="12" customFormat="1" ht="15.75" hidden="1" x14ac:dyDescent="0.45">
      <c r="A23" s="32">
        <v>1.1499999999999999</v>
      </c>
      <c r="B23" s="116"/>
      <c r="C23" s="117"/>
      <c r="D23" s="8" t="str">
        <f>IF(OR(j_WEEKDAY(J_ADDDAY(VLOOKUP(I23,A:F,6,FALSE),H23,1),0)=6,SUMIFS(Holieday[ok],Holieday[date],J_ADDDAY(VLOOKUP(I23,A:F,6,FALSE),H23,1)))=FALSE(),J_ADDDAY(VLOOKUP(I23,A:F,6,FALSE),H23,1),IF(OR(j_WEEKDAY(J_ADDDAY(VLOOKUP(I23,A:F,6,FALSE),H23+1,1),0)=6,SUMIFS(Holieday[ok],Holieday[date],J_ADDDAY(VLOOKUP(I23,A:F,6,FALSE),H23+1,1)))=FALSE(),J_ADDDAY(VLOOKUP(I23,A:F,6,FALSE),H23+1,1),IF(OR(j_WEEKDAY(J_ADDDAY(VLOOKUP(I23,A:F,6,FALSE),H23+2,1),0)=6,SUMIFS(Holieday[ok],Holieday[date],J_ADDDAY(VLOOKUP(I23,A:F,6,FALSE),H23+2,1)))=FALSE(),J_ADDDAY(VLOOKUP(I23,A:F,6,FALSE),H23+2,1),IF(OR(j_WEEKDAY(J_ADDDAY(VLOOKUP(I23,A:F,6,FALSE),H23+3,1),0)=6,SUMIFS(Holieday[ok],Holieday[date],J_ADDDAY(VLOOKUP(I23,A:F,6,FALSE),H23+3,1)))=FALSE(),J_ADDDAY(VLOOKUP(I23,A:F,6,FALSE),H23+3,1),IF(OR(j_WEEKDAY(J_ADDDAY(VLOOKUP(I23,A:F,6,FALSE),H23+4,1),0)=6,SUMIFS(Holieday[ok],Holieday[date],J_ADDDAY(VLOOKUP(I23,A:F,6,FALSE),H23+4,1)))=FALSE(),J_ADDDAY(VLOOKUP(I23,A:F,6,FALSE),H23+4,1),J_ADDDAY(VLOOKUP(I23,A:F,6,FALSE),H23+5,1))))))</f>
        <v>1398/06/31</v>
      </c>
      <c r="E23" s="2">
        <f t="shared" si="4"/>
        <v>13980631</v>
      </c>
      <c r="F23" s="13" t="str">
        <f>IF(N23=0,J_SUBDAY(D23,1,1),IF((N23-(NETWORKDAYS.INTL(J_GregorianDate(D23,1),J_GregorianDate(J_SUBDAY(J_ADDDAY(D23,N23,1),1,1),1),16,1)))+SUMIFS(Holieday[ok],Holieday[date],CONCATENATE("&gt;","=",D23),Holieday[date],CONCATENATE("&lt;","=",J_SUBDAY(J_ADDDAY(D23,N23,1),1,1)))-SUMIFS(Holieday[Friday],Holieday[date],CONCATENATE("&gt;","=",D23),Holieday[date],CONCATENATE("&lt;","=",J_SUBDAY(J_ADDDAY(D23,N23,1),1,1)))=0,J_SUBDAY(J_ADDDAY(D23,N23,1),1,1),IF((N23+1-(NETWORKDAYS.INTL(J_GregorianDate(D23,1),J_GregorianDate(J_SUBDAY(J_ADDDAY(D23,N23+1,1),1,1),1),16,1)))+SUMIFS(Holieday[ok],Holieday[date],CONCATENATE("&gt;","=",D23),Holieday[date],CONCATENATE("&lt;","=",J_SUBDAY(J_ADDDAY(D23,N23+1,1),1,1)))-SUMIFS(Holieday[Friday],Holieday[date],CONCATENATE("&gt;","=",D23),Holieday[date],CONCATENATE("&lt;","=",J_SUBDAY(J_ADDDAY(D23,N23+1,1),1,1)))=1,J_SUBDAY(J_ADDDAY(D23,N23+1,1),1,1),IF((N23+2-(NETWORKDAYS.INTL(J_GregorianDate(D23,1),J_GregorianDate(J_SUBDAY(J_ADDDAY(D23,N23+2,1),1,1),1),16,1)))+SUMIFS(Holieday[ok],Holieday[date],CONCATENATE("&gt;","=",D23),Holieday[date],CONCATENATE("&lt;","=",J_SUBDAY(J_ADDDAY(D23,N23+2,1),1,1)))-SUMIFS(Holieday[Friday],Holieday[date],CONCATENATE("&gt;","=",D23),Holieday[date],CONCATENATE("&lt;","=",J_SUBDAY(J_ADDDAY(D23,N23+2,1),1,1)))=2,J_SUBDAY(J_ADDDAY(D23,N23+2,1),1,1),IF((N23+3-(NETWORKDAYS.INTL(J_GregorianDate(D23,1),J_GregorianDate(J_SUBDAY(J_ADDDAY(D23,N23+3,1),1,1),1),16,1)))+SUMIFS(Holieday[ok],Holieday[date],CONCATENATE("&gt;","=",D23),Holieday[date],CONCATENATE("&lt;","=",J_SUBDAY(J_ADDDAY(D23,N23+3,1),1,1)))-SUMIFS(Holieday[Friday],Holieday[date],CONCATENATE("&gt;","=",D23),Holieday[date],CONCATENATE("&lt;","=",J_SUBDAY(J_ADDDAY(D23,N23+3,1),1,1)))=3,J_SUBDAY(J_ADDDAY(D23,N23+3,1),1,1),IF((N23+4-(NETWORKDAYS.INTL(J_GregorianDate(D23,1),J_GregorianDate(J_SUBDAY(J_ADDDAY(D23,N23+4,1),1,1),1),16,1)))+SUMIFS(Holieday[ok],Holieday[date],CONCATENATE("&gt;","=",D23),Holieday[date],CONCATENATE("&lt;","=",J_SUBDAY(J_ADDDAY(D23,N23+4,1),1,1)))-SUMIFS(Holieday[Friday],Holieday[date],CONCATENATE("&gt;","=",D23),Holieday[date],CONCATENATE("&lt;","=",J_SUBDAY(J_ADDDAY(D23,N23+4,1),1,1)))=4,J_SUBDAY(J_ADDDAY(D23,N23+4,1),1,1),IF((N23+5-(NETWORKDAYS.INTL(J_GregorianDate(D23,1),J_GregorianDate(J_SUBDAY(J_ADDDAY(D23,N23+5,1),1,1),1),16,1)))+SUMIFS(Holieday[ok],Holieday[date],CONCATENATE("&gt;","=",D23),Holieday[date],CONCATENATE("&lt;","=",J_SUBDAY(J_ADDDAY(D23,N23+5,1),1,1)))-SUMIFS(Holieday[Friday],Holieday[date],CONCATENATE("&gt;","=",D23),Holieday[date],CONCATENATE("&lt;","=",J_SUBDAY(J_ADDDAY(D23,N23+5,1),1,1)))=5,J_SUBDAY(J_ADDDAY(D23,N23+5,1),1,1),J_SUBDAY(J_ADDDAY(D23,N23+6,1),1,1))))))))</f>
        <v>1398/06/30</v>
      </c>
      <c r="G23" s="3">
        <f t="shared" si="5"/>
        <v>13980630</v>
      </c>
      <c r="H23" s="119"/>
      <c r="I23" s="120">
        <v>1.1000000000000001</v>
      </c>
      <c r="J23" s="10">
        <f>j_WEEKDAY(D23,2)</f>
        <v>1</v>
      </c>
      <c r="K23" s="22">
        <f t="shared" si="7"/>
        <v>0</v>
      </c>
      <c r="L23" s="9">
        <f t="shared" si="8"/>
        <v>0</v>
      </c>
      <c r="M23" s="121">
        <v>0</v>
      </c>
      <c r="N23" s="118">
        <v>0</v>
      </c>
      <c r="O23" s="11">
        <f t="shared" si="9"/>
        <v>0</v>
      </c>
      <c r="P23" s="11">
        <f>VALUE(J_normdate(J_ADDDAY($D23,$O23,1)))</f>
        <v>13980631</v>
      </c>
      <c r="Q23" s="10">
        <f t="shared" si="10"/>
        <v>0</v>
      </c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I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U23" s="8"/>
      <c r="GV23" s="8"/>
      <c r="GW23" s="8"/>
      <c r="GX23" s="8"/>
      <c r="GY23" s="8"/>
      <c r="GZ23" s="8"/>
      <c r="HA23" s="8"/>
      <c r="HB23" s="8"/>
      <c r="HC23" s="8"/>
      <c r="HD23" s="8"/>
      <c r="HE23" s="8"/>
      <c r="HF23" s="8"/>
      <c r="HG23" s="8"/>
      <c r="HH23" s="8"/>
      <c r="HI23" s="8"/>
      <c r="HJ23" s="8"/>
      <c r="HK23" s="8"/>
      <c r="HL23" s="8"/>
      <c r="HM23" s="8"/>
      <c r="HN23" s="8"/>
      <c r="HO23" s="8"/>
      <c r="HP23" s="8"/>
      <c r="HQ23" s="8"/>
      <c r="HR23" s="8"/>
      <c r="HS23" s="8"/>
      <c r="HT23" s="8"/>
      <c r="HU23" s="8"/>
      <c r="HV23" s="8"/>
      <c r="HW23" s="8"/>
      <c r="HX23" s="8"/>
      <c r="HY23" s="8"/>
      <c r="HZ23" s="8"/>
      <c r="IA23" s="8"/>
      <c r="IB23" s="8"/>
      <c r="IC23" s="8"/>
      <c r="ID23" s="8"/>
      <c r="IE23" s="8"/>
      <c r="IF23" s="8"/>
      <c r="IG23" s="8"/>
      <c r="IH23" s="8"/>
      <c r="II23" s="8"/>
      <c r="IJ23" s="8"/>
      <c r="IK23" s="8"/>
      <c r="IL23" s="8"/>
      <c r="IM23" s="8"/>
      <c r="IN23" s="8"/>
      <c r="IO23" s="8"/>
      <c r="IP23" s="8"/>
      <c r="IQ23" s="8"/>
      <c r="IR23" s="8"/>
      <c r="IS23" s="8"/>
      <c r="IT23" s="8"/>
      <c r="IU23" s="8"/>
      <c r="IV23" s="8"/>
      <c r="IW23" s="8"/>
      <c r="IX23" s="8"/>
      <c r="IY23" s="31">
        <v>1</v>
      </c>
      <c r="IZ23" s="31"/>
      <c r="JA23" s="123"/>
      <c r="JB23" s="123"/>
      <c r="JC23" s="123"/>
      <c r="JD23" s="70">
        <f>SUM((TEXT(JA23,"[M]")/60)*'Income Person-hours'!$D$3,(TEXT(JB23,"[M]")/60)*'Income Person-hours'!$D$4,(TEXT(JC23,"[M]")/60)*'Income Person-hours'!$D$5)</f>
        <v>0</v>
      </c>
    </row>
    <row r="24" spans="1:264" s="12" customFormat="1" ht="15.75" hidden="1" x14ac:dyDescent="0.45">
      <c r="A24" s="32">
        <v>1.1599999999999999</v>
      </c>
      <c r="B24" s="116"/>
      <c r="C24" s="117"/>
      <c r="D24" s="8" t="str">
        <f>IF(OR(j_WEEKDAY(J_ADDDAY(VLOOKUP(I24,A:F,6,FALSE),H24,1),0)=6,SUMIFS(Holieday[ok],Holieday[date],J_ADDDAY(VLOOKUP(I24,A:F,6,FALSE),H24,1)))=FALSE(),J_ADDDAY(VLOOKUP(I24,A:F,6,FALSE),H24,1),IF(OR(j_WEEKDAY(J_ADDDAY(VLOOKUP(I24,A:F,6,FALSE),H24+1,1),0)=6,SUMIFS(Holieday[ok],Holieday[date],J_ADDDAY(VLOOKUP(I24,A:F,6,FALSE),H24+1,1)))=FALSE(),J_ADDDAY(VLOOKUP(I24,A:F,6,FALSE),H24+1,1),IF(OR(j_WEEKDAY(J_ADDDAY(VLOOKUP(I24,A:F,6,FALSE),H24+2,1),0)=6,SUMIFS(Holieday[ok],Holieday[date],J_ADDDAY(VLOOKUP(I24,A:F,6,FALSE),H24+2,1)))=FALSE(),J_ADDDAY(VLOOKUP(I24,A:F,6,FALSE),H24+2,1),IF(OR(j_WEEKDAY(J_ADDDAY(VLOOKUP(I24,A:F,6,FALSE),H24+3,1),0)=6,SUMIFS(Holieday[ok],Holieday[date],J_ADDDAY(VLOOKUP(I24,A:F,6,FALSE),H24+3,1)))=FALSE(),J_ADDDAY(VLOOKUP(I24,A:F,6,FALSE),H24+3,1),IF(OR(j_WEEKDAY(J_ADDDAY(VLOOKUP(I24,A:F,6,FALSE),H24+4,1),0)=6,SUMIFS(Holieday[ok],Holieday[date],J_ADDDAY(VLOOKUP(I24,A:F,6,FALSE),H24+4,1)))=FALSE(),J_ADDDAY(VLOOKUP(I24,A:F,6,FALSE),H24+4,1),J_ADDDAY(VLOOKUP(I24,A:F,6,FALSE),H24+5,1))))))</f>
        <v>1398/06/31</v>
      </c>
      <c r="E24" s="2">
        <f t="shared" si="4"/>
        <v>13980631</v>
      </c>
      <c r="F24" s="13" t="str">
        <f>IF(N24=0,J_SUBDAY(D24,1,1),IF((N24-(NETWORKDAYS.INTL(J_GregorianDate(D24,1),J_GregorianDate(J_SUBDAY(J_ADDDAY(D24,N24,1),1,1),1),16,1)))+SUMIFS(Holieday[ok],Holieday[date],CONCATENATE("&gt;","=",D24),Holieday[date],CONCATENATE("&lt;","=",J_SUBDAY(J_ADDDAY(D24,N24,1),1,1)))-SUMIFS(Holieday[Friday],Holieday[date],CONCATENATE("&gt;","=",D24),Holieday[date],CONCATENATE("&lt;","=",J_SUBDAY(J_ADDDAY(D24,N24,1),1,1)))=0,J_SUBDAY(J_ADDDAY(D24,N24,1),1,1),IF((N24+1-(NETWORKDAYS.INTL(J_GregorianDate(D24,1),J_GregorianDate(J_SUBDAY(J_ADDDAY(D24,N24+1,1),1,1),1),16,1)))+SUMIFS(Holieday[ok],Holieday[date],CONCATENATE("&gt;","=",D24),Holieday[date],CONCATENATE("&lt;","=",J_SUBDAY(J_ADDDAY(D24,N24+1,1),1,1)))-SUMIFS(Holieday[Friday],Holieday[date],CONCATENATE("&gt;","=",D24),Holieday[date],CONCATENATE("&lt;","=",J_SUBDAY(J_ADDDAY(D24,N24+1,1),1,1)))=1,J_SUBDAY(J_ADDDAY(D24,N24+1,1),1,1),IF((N24+2-(NETWORKDAYS.INTL(J_GregorianDate(D24,1),J_GregorianDate(J_SUBDAY(J_ADDDAY(D24,N24+2,1),1,1),1),16,1)))+SUMIFS(Holieday[ok],Holieday[date],CONCATENATE("&gt;","=",D24),Holieday[date],CONCATENATE("&lt;","=",J_SUBDAY(J_ADDDAY(D24,N24+2,1),1,1)))-SUMIFS(Holieday[Friday],Holieday[date],CONCATENATE("&gt;","=",D24),Holieday[date],CONCATENATE("&lt;","=",J_SUBDAY(J_ADDDAY(D24,N24+2,1),1,1)))=2,J_SUBDAY(J_ADDDAY(D24,N24+2,1),1,1),IF((N24+3-(NETWORKDAYS.INTL(J_GregorianDate(D24,1),J_GregorianDate(J_SUBDAY(J_ADDDAY(D24,N24+3,1),1,1),1),16,1)))+SUMIFS(Holieday[ok],Holieday[date],CONCATENATE("&gt;","=",D24),Holieday[date],CONCATENATE("&lt;","=",J_SUBDAY(J_ADDDAY(D24,N24+3,1),1,1)))-SUMIFS(Holieday[Friday],Holieday[date],CONCATENATE("&gt;","=",D24),Holieday[date],CONCATENATE("&lt;","=",J_SUBDAY(J_ADDDAY(D24,N24+3,1),1,1)))=3,J_SUBDAY(J_ADDDAY(D24,N24+3,1),1,1),IF((N24+4-(NETWORKDAYS.INTL(J_GregorianDate(D24,1),J_GregorianDate(J_SUBDAY(J_ADDDAY(D24,N24+4,1),1,1),1),16,1)))+SUMIFS(Holieday[ok],Holieday[date],CONCATENATE("&gt;","=",D24),Holieday[date],CONCATENATE("&lt;","=",J_SUBDAY(J_ADDDAY(D24,N24+4,1),1,1)))-SUMIFS(Holieday[Friday],Holieday[date],CONCATENATE("&gt;","=",D24),Holieday[date],CONCATENATE("&lt;","=",J_SUBDAY(J_ADDDAY(D24,N24+4,1),1,1)))=4,J_SUBDAY(J_ADDDAY(D24,N24+4,1),1,1),IF((N24+5-(NETWORKDAYS.INTL(J_GregorianDate(D24,1),J_GregorianDate(J_SUBDAY(J_ADDDAY(D24,N24+5,1),1,1),1),16,1)))+SUMIFS(Holieday[ok],Holieday[date],CONCATENATE("&gt;","=",D24),Holieday[date],CONCATENATE("&lt;","=",J_SUBDAY(J_ADDDAY(D24,N24+5,1),1,1)))-SUMIFS(Holieday[Friday],Holieday[date],CONCATENATE("&gt;","=",D24),Holieday[date],CONCATENATE("&lt;","=",J_SUBDAY(J_ADDDAY(D24,N24+5,1),1,1)))=5,J_SUBDAY(J_ADDDAY(D24,N24+5,1),1,1),J_SUBDAY(J_ADDDAY(D24,N24+6,1),1,1))))))))</f>
        <v>1398/06/30</v>
      </c>
      <c r="G24" s="3">
        <f t="shared" si="5"/>
        <v>13980630</v>
      </c>
      <c r="H24" s="119"/>
      <c r="I24" s="120">
        <v>1.1000000000000001</v>
      </c>
      <c r="J24" s="10">
        <f>j_WEEKDAY(D24,2)</f>
        <v>1</v>
      </c>
      <c r="K24" s="22">
        <f t="shared" si="7"/>
        <v>0</v>
      </c>
      <c r="L24" s="9">
        <f t="shared" si="8"/>
        <v>0</v>
      </c>
      <c r="M24" s="121">
        <v>0</v>
      </c>
      <c r="N24" s="118">
        <v>0</v>
      </c>
      <c r="O24" s="11">
        <f t="shared" si="9"/>
        <v>0</v>
      </c>
      <c r="P24" s="11">
        <f>VALUE(J_normdate(J_ADDDAY($D24,$O24,1)))</f>
        <v>13980631</v>
      </c>
      <c r="Q24" s="10">
        <f t="shared" si="10"/>
        <v>0</v>
      </c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W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8"/>
      <c r="GI24" s="8"/>
      <c r="GJ24" s="8"/>
      <c r="GK24" s="8"/>
      <c r="GL24" s="8"/>
      <c r="GM24" s="8"/>
      <c r="GN24" s="8"/>
      <c r="GO24" s="8"/>
      <c r="GP24" s="8"/>
      <c r="GQ24" s="8"/>
      <c r="GR24" s="8"/>
      <c r="GS24" s="8"/>
      <c r="GT24" s="8"/>
      <c r="GU24" s="8"/>
      <c r="GV24" s="8"/>
      <c r="GW24" s="8"/>
      <c r="GX24" s="8"/>
      <c r="GY24" s="8"/>
      <c r="GZ24" s="8"/>
      <c r="HA24" s="8"/>
      <c r="HB24" s="8"/>
      <c r="HC24" s="8"/>
      <c r="HD24" s="8"/>
      <c r="HE24" s="8"/>
      <c r="HF24" s="8"/>
      <c r="HG24" s="8"/>
      <c r="HH24" s="8"/>
      <c r="HI24" s="8"/>
      <c r="HJ24" s="8"/>
      <c r="HK24" s="8"/>
      <c r="HL24" s="8"/>
      <c r="HM24" s="8"/>
      <c r="HN24" s="8"/>
      <c r="HO24" s="8"/>
      <c r="HP24" s="8"/>
      <c r="HQ24" s="8"/>
      <c r="HR24" s="8"/>
      <c r="HS24" s="8"/>
      <c r="HT24" s="8"/>
      <c r="HU24" s="8"/>
      <c r="HV24" s="8"/>
      <c r="HW24" s="8"/>
      <c r="HX24" s="8"/>
      <c r="HY24" s="8"/>
      <c r="HZ24" s="8"/>
      <c r="IA24" s="8"/>
      <c r="IB24" s="8"/>
      <c r="IC24" s="8"/>
      <c r="ID24" s="8"/>
      <c r="IE24" s="8"/>
      <c r="IF24" s="8"/>
      <c r="IG24" s="8"/>
      <c r="IH24" s="8"/>
      <c r="II24" s="8"/>
      <c r="IJ24" s="8"/>
      <c r="IK24" s="8"/>
      <c r="IL24" s="8"/>
      <c r="IM24" s="8"/>
      <c r="IN24" s="8"/>
      <c r="IO24" s="8"/>
      <c r="IP24" s="8"/>
      <c r="IQ24" s="8"/>
      <c r="IR24" s="8"/>
      <c r="IS24" s="8"/>
      <c r="IT24" s="8"/>
      <c r="IU24" s="8"/>
      <c r="IV24" s="8"/>
      <c r="IW24" s="8"/>
      <c r="IX24" s="8"/>
      <c r="IY24" s="31">
        <v>1</v>
      </c>
      <c r="IZ24" s="31"/>
      <c r="JA24" s="123"/>
      <c r="JB24" s="123"/>
      <c r="JC24" s="123"/>
      <c r="JD24" s="70">
        <f>SUM((TEXT(JA24,"[M]")/60)*'Income Person-hours'!$D$3,(TEXT(JB24,"[M]")/60)*'Income Person-hours'!$D$4,(TEXT(JC24,"[M]")/60)*'Income Person-hours'!$D$5)</f>
        <v>0</v>
      </c>
    </row>
    <row r="25" spans="1:264" s="12" customFormat="1" ht="15.75" hidden="1" x14ac:dyDescent="0.45">
      <c r="A25" s="32">
        <v>1.17</v>
      </c>
      <c r="B25" s="116"/>
      <c r="C25" s="117"/>
      <c r="D25" s="8" t="str">
        <f>IF(OR(j_WEEKDAY(J_ADDDAY(VLOOKUP(I25,A:F,6,FALSE),H25,1),0)=6,SUMIFS(Holieday[ok],Holieday[date],J_ADDDAY(VLOOKUP(I25,A:F,6,FALSE),H25,1)))=FALSE(),J_ADDDAY(VLOOKUP(I25,A:F,6,FALSE),H25,1),IF(OR(j_WEEKDAY(J_ADDDAY(VLOOKUP(I25,A:F,6,FALSE),H25+1,1),0)=6,SUMIFS(Holieday[ok],Holieday[date],J_ADDDAY(VLOOKUP(I25,A:F,6,FALSE),H25+1,1)))=FALSE(),J_ADDDAY(VLOOKUP(I25,A:F,6,FALSE),H25+1,1),IF(OR(j_WEEKDAY(J_ADDDAY(VLOOKUP(I25,A:F,6,FALSE),H25+2,1),0)=6,SUMIFS(Holieday[ok],Holieday[date],J_ADDDAY(VLOOKUP(I25,A:F,6,FALSE),H25+2,1)))=FALSE(),J_ADDDAY(VLOOKUP(I25,A:F,6,FALSE),H25+2,1),IF(OR(j_WEEKDAY(J_ADDDAY(VLOOKUP(I25,A:F,6,FALSE),H25+3,1),0)=6,SUMIFS(Holieday[ok],Holieday[date],J_ADDDAY(VLOOKUP(I25,A:F,6,FALSE),H25+3,1)))=FALSE(),J_ADDDAY(VLOOKUP(I25,A:F,6,FALSE),H25+3,1),IF(OR(j_WEEKDAY(J_ADDDAY(VLOOKUP(I25,A:F,6,FALSE),H25+4,1),0)=6,SUMIFS(Holieday[ok],Holieday[date],J_ADDDAY(VLOOKUP(I25,A:F,6,FALSE),H25+4,1)))=FALSE(),J_ADDDAY(VLOOKUP(I25,A:F,6,FALSE),H25+4,1),J_ADDDAY(VLOOKUP(I25,A:F,6,FALSE),H25+5,1))))))</f>
        <v>1398/06/31</v>
      </c>
      <c r="E25" s="2">
        <f t="shared" si="4"/>
        <v>13980631</v>
      </c>
      <c r="F25" s="13" t="str">
        <f>IF(N25=0,J_SUBDAY(D25,1,1),IF((N25-NETWORKDAYS.INTL(J_GregorianDate(D25,1),J_GregorianDate(J_SUBDAY(J_ADDDAY(D25,N25,1),1,1),1),16,1)-SUMIFS(Holieday[ok],Holieday[date],CONCATENATE("&gt;","=",D25),Holieday[date],CONCATENATE("&lt;","=",J_SUBDAY(J_ADDDAY(D25,N25,1),1,1)))+SUMIFS(Holieday[Friday],Holieday[date],CONCATENATE("&gt;","=",D25),Holieday[date],CONCATENATE("&lt;","=",J_SUBDAY(J_ADDDAY(D25,N25,1),1,1))))=0,J_SUBDAY(J_ADDDAY(D25,N25,1),1,1),IF((N25-NETWORKDAYS.INTL(J_GregorianDate(D25,1),J_GregorianDate(J_SUBDAY(J_ADDDAY(D25,N25,1),1,1),1),16,1)-SUMIFS(Holieday[ok],Holieday[date],CONCATENATE("&gt;","=",D25),Holieday[date],CONCATENATE("&lt;","=",J_SUBDAY(J_ADDDAY(D25,N25,1),1,1)))+SUMIFS(Holieday[Friday],Holieday[date],CONCATENATE("&gt;","=",D25),Holieday[date],CONCATENATE("&lt;","=",J_SUBDAY(J_ADDDAY(D25,N25,1),1,1))))=1,J_SUBDAY(J_ADDDAY(D25,N25+1,1),1,1),IF((N25-NETWORKDAYS.INTL(J_GregorianDate(D25,1),J_GregorianDate(J_SUBDAY(J_ADDDAY(D25,N25,1),1,1),1),16,1)-SUMIFS(Holieday[ok],Holieday[date],CONCATENATE("&gt;","=",D25),Holieday[date],CONCATENATE("&lt;","=",J_SUBDAY(J_ADDDAY(D25,N25,1),1,1)))+SUMIFS(Holieday[Friday],Holieday[date],CONCATENATE("&gt;","=",D25),Holieday[date],CONCATENATE("&lt;","=",J_SUBDAY(J_ADDDAY(D25,N25,1),1,1))))=2,J_SUBDAY(J_ADDDAY(D25,N25+2,1),1,1),J_SUBDAY(J_ADDDAY(D25,N25+3,1),1,1)))))</f>
        <v>1398/06/30</v>
      </c>
      <c r="G25" s="3">
        <f t="shared" si="5"/>
        <v>13980630</v>
      </c>
      <c r="H25" s="119"/>
      <c r="I25" s="120">
        <v>1.1000000000000001</v>
      </c>
      <c r="J25" s="20">
        <f>j_WEEKDAY(D25,2)</f>
        <v>1</v>
      </c>
      <c r="K25" s="22">
        <f t="shared" si="7"/>
        <v>0</v>
      </c>
      <c r="L25" s="9">
        <f t="shared" si="8"/>
        <v>0</v>
      </c>
      <c r="M25" s="121">
        <v>0</v>
      </c>
      <c r="N25" s="118">
        <v>0</v>
      </c>
      <c r="O25" s="11">
        <f t="shared" si="9"/>
        <v>0</v>
      </c>
      <c r="P25" s="11">
        <f>VALUE(J_normdate(J_ADDDAY($D25,$O25,1)))</f>
        <v>13980631</v>
      </c>
      <c r="Q25" s="10">
        <f t="shared" si="10"/>
        <v>0</v>
      </c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W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I25" s="8"/>
      <c r="GJ25" s="8"/>
      <c r="GK25" s="8"/>
      <c r="GL25" s="8"/>
      <c r="GM25" s="8"/>
      <c r="GN25" s="8"/>
      <c r="GO25" s="8"/>
      <c r="GP25" s="8"/>
      <c r="GQ25" s="8"/>
      <c r="GR25" s="8"/>
      <c r="GS25" s="8"/>
      <c r="GT25" s="8"/>
      <c r="GU25" s="8"/>
      <c r="GV25" s="8"/>
      <c r="GW25" s="8"/>
      <c r="GX25" s="8"/>
      <c r="GY25" s="8"/>
      <c r="GZ25" s="8"/>
      <c r="HA25" s="8"/>
      <c r="HB25" s="8"/>
      <c r="HC25" s="8"/>
      <c r="HD25" s="8"/>
      <c r="HE25" s="8"/>
      <c r="HF25" s="8"/>
      <c r="HG25" s="8"/>
      <c r="HH25" s="8"/>
      <c r="HI25" s="8"/>
      <c r="HJ25" s="8"/>
      <c r="HK25" s="8"/>
      <c r="HL25" s="8"/>
      <c r="HM25" s="8"/>
      <c r="HN25" s="8"/>
      <c r="HO25" s="8"/>
      <c r="HP25" s="8"/>
      <c r="HQ25" s="8"/>
      <c r="HR25" s="8"/>
      <c r="HS25" s="8"/>
      <c r="HT25" s="8"/>
      <c r="HU25" s="8"/>
      <c r="HV25" s="8"/>
      <c r="HW25" s="8"/>
      <c r="HX25" s="8"/>
      <c r="HY25" s="8"/>
      <c r="HZ25" s="8"/>
      <c r="IA25" s="8"/>
      <c r="IB25" s="8"/>
      <c r="IC25" s="8"/>
      <c r="ID25" s="8"/>
      <c r="IE25" s="8"/>
      <c r="IF25" s="8"/>
      <c r="IG25" s="8"/>
      <c r="IH25" s="8"/>
      <c r="II25" s="8"/>
      <c r="IJ25" s="8"/>
      <c r="IK25" s="8"/>
      <c r="IL25" s="8"/>
      <c r="IM25" s="8"/>
      <c r="IN25" s="8"/>
      <c r="IO25" s="8"/>
      <c r="IP25" s="8"/>
      <c r="IQ25" s="8"/>
      <c r="IR25" s="8"/>
      <c r="IS25" s="8"/>
      <c r="IT25" s="8"/>
      <c r="IU25" s="8"/>
      <c r="IV25" s="8"/>
      <c r="IW25" s="8"/>
      <c r="IX25" s="8"/>
      <c r="JA25" s="123"/>
      <c r="JB25" s="123"/>
      <c r="JC25" s="123"/>
      <c r="JD25" s="70">
        <f>SUM((TEXT(JA25,"[M]")/60)*'Income Person-hours'!$D$3,(TEXT(JB25,"[M]")/60)*'Income Person-hours'!$D$4,(TEXT(JC25,"[M]")/60)*'Income Person-hours'!$D$5)</f>
        <v>0</v>
      </c>
    </row>
    <row r="26" spans="1:264" s="12" customFormat="1" ht="15.75" hidden="1" x14ac:dyDescent="0.45">
      <c r="A26" s="32">
        <v>1.18</v>
      </c>
      <c r="B26" s="116"/>
      <c r="C26" s="117"/>
      <c r="D26" s="8" t="str">
        <f>IF(OR(j_WEEKDAY(J_ADDDAY(VLOOKUP(I26,A:F,6,FALSE),H26,1),0)=6,SUMIFS(Holieday[ok],Holieday[date],J_ADDDAY(VLOOKUP(I26,A:F,6,FALSE),H26,1)))=FALSE(),J_ADDDAY(VLOOKUP(I26,A:F,6,FALSE),H26,1),IF(OR(j_WEEKDAY(J_ADDDAY(VLOOKUP(I26,A:F,6,FALSE),H26+1,1),0)=6,SUMIFS(Holieday[ok],Holieday[date],J_ADDDAY(VLOOKUP(I26,A:F,6,FALSE),H26+1,1)))=FALSE(),J_ADDDAY(VLOOKUP(I26,A:F,6,FALSE),H26+1,1),IF(OR(j_WEEKDAY(J_ADDDAY(VLOOKUP(I26,A:F,6,FALSE),H26+2,1),0)=6,SUMIFS(Holieday[ok],Holieday[date],J_ADDDAY(VLOOKUP(I26,A:F,6,FALSE),H26+2,1)))=FALSE(),J_ADDDAY(VLOOKUP(I26,A:F,6,FALSE),H26+2,1),IF(OR(j_WEEKDAY(J_ADDDAY(VLOOKUP(I26,A:F,6,FALSE),H26+3,1),0)=6,SUMIFS(Holieday[ok],Holieday[date],J_ADDDAY(VLOOKUP(I26,A:F,6,FALSE),H26+3,1)))=FALSE(),J_ADDDAY(VLOOKUP(I26,A:F,6,FALSE),H26+3,1),IF(OR(j_WEEKDAY(J_ADDDAY(VLOOKUP(I26,A:F,6,FALSE),H26+4,1),0)=6,SUMIFS(Holieday[ok],Holieday[date],J_ADDDAY(VLOOKUP(I26,A:F,6,FALSE),H26+4,1)))=FALSE(),J_ADDDAY(VLOOKUP(I26,A:F,6,FALSE),H26+4,1),J_ADDDAY(VLOOKUP(I26,A:F,6,FALSE),H26+5,1))))))</f>
        <v>1398/06/31</v>
      </c>
      <c r="E26" s="2">
        <f t="shared" si="4"/>
        <v>13980631</v>
      </c>
      <c r="F26" s="13" t="str">
        <f>IF(N26=0,J_SUBDAY(D26,1,1),IF((N26-NETWORKDAYS.INTL(J_GregorianDate(D26,1),J_GregorianDate(J_SUBDAY(J_ADDDAY(D26,N26,1),1,1),1),16,1)-SUMIFS(Holieday[ok],Holieday[date],CONCATENATE("&gt;","=",D26),Holieday[date],CONCATENATE("&lt;","=",J_SUBDAY(J_ADDDAY(D26,N26,1),1,1)))+SUMIFS(Holieday[Friday],Holieday[date],CONCATENATE("&gt;","=",D26),Holieday[date],CONCATENATE("&lt;","=",J_SUBDAY(J_ADDDAY(D26,N26,1),1,1))))=0,J_SUBDAY(J_ADDDAY(D26,N26,1),1,1),IF((N26-NETWORKDAYS.INTL(J_GregorianDate(D26,1),J_GregorianDate(J_SUBDAY(J_ADDDAY(D26,N26,1),1,1),1),16,1)-SUMIFS(Holieday[ok],Holieday[date],CONCATENATE("&gt;","=",D26),Holieday[date],CONCATENATE("&lt;","=",J_SUBDAY(J_ADDDAY(D26,N26,1),1,1)))+SUMIFS(Holieday[Friday],Holieday[date],CONCATENATE("&gt;","=",D26),Holieday[date],CONCATENATE("&lt;","=",J_SUBDAY(J_ADDDAY(D26,N26,1),1,1))))=1,J_SUBDAY(J_ADDDAY(D26,N26+1,1),1,1),IF((N26-NETWORKDAYS.INTL(J_GregorianDate(D26,1),J_GregorianDate(J_SUBDAY(J_ADDDAY(D26,N26,1),1,1),1),16,1)-SUMIFS(Holieday[ok],Holieday[date],CONCATENATE("&gt;","=",D26),Holieday[date],CONCATENATE("&lt;","=",J_SUBDAY(J_ADDDAY(D26,N26,1),1,1)))+SUMIFS(Holieday[Friday],Holieday[date],CONCATENATE("&gt;","=",D26),Holieday[date],CONCATENATE("&lt;","=",J_SUBDAY(J_ADDDAY(D26,N26,1),1,1))))=2,J_SUBDAY(J_ADDDAY(D26,N26+2,1),1,1),J_SUBDAY(J_ADDDAY(D26,N26+3,1),1,1)))))</f>
        <v>1398/06/30</v>
      </c>
      <c r="G26" s="3">
        <f t="shared" si="5"/>
        <v>13980630</v>
      </c>
      <c r="H26" s="119"/>
      <c r="I26" s="120">
        <v>1.1000000000000001</v>
      </c>
      <c r="J26" s="20">
        <f>j_WEEKDAY(D26,2)</f>
        <v>1</v>
      </c>
      <c r="K26" s="22">
        <f t="shared" si="7"/>
        <v>0</v>
      </c>
      <c r="L26" s="9">
        <f t="shared" si="8"/>
        <v>0</v>
      </c>
      <c r="M26" s="121">
        <v>0</v>
      </c>
      <c r="N26" s="118">
        <v>0</v>
      </c>
      <c r="O26" s="11">
        <f t="shared" si="9"/>
        <v>0</v>
      </c>
      <c r="P26" s="11">
        <f>VALUE(J_normdate(J_ADDDAY($D26,$O26,1)))</f>
        <v>13980631</v>
      </c>
      <c r="Q26" s="10">
        <f t="shared" si="10"/>
        <v>0</v>
      </c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/>
      <c r="HJ26" s="8"/>
      <c r="HK26" s="8"/>
      <c r="HL26" s="8"/>
      <c r="HM26" s="8"/>
      <c r="HN26" s="8"/>
      <c r="HO26" s="8"/>
      <c r="HP26" s="8"/>
      <c r="HQ26" s="8"/>
      <c r="HR26" s="8"/>
      <c r="HS26" s="8"/>
      <c r="HT26" s="8"/>
      <c r="HU26" s="8"/>
      <c r="HV26" s="8"/>
      <c r="HW26" s="8"/>
      <c r="HX26" s="8"/>
      <c r="HY26" s="8"/>
      <c r="HZ26" s="8"/>
      <c r="IA26" s="8"/>
      <c r="IB26" s="8"/>
      <c r="IC26" s="8"/>
      <c r="ID26" s="8"/>
      <c r="IE26" s="8"/>
      <c r="IF26" s="8"/>
      <c r="IG26" s="8"/>
      <c r="IH26" s="8"/>
      <c r="II26" s="8"/>
      <c r="IJ26" s="8"/>
      <c r="IK26" s="8"/>
      <c r="IL26" s="8"/>
      <c r="IM26" s="8"/>
      <c r="IN26" s="8"/>
      <c r="IO26" s="8"/>
      <c r="IP26" s="8"/>
      <c r="IQ26" s="8"/>
      <c r="IR26" s="8"/>
      <c r="IS26" s="8"/>
      <c r="IT26" s="8"/>
      <c r="IU26" s="8"/>
      <c r="IV26" s="8"/>
      <c r="IW26" s="8"/>
      <c r="IX26" s="8"/>
      <c r="JA26" s="123"/>
      <c r="JB26" s="123"/>
      <c r="JC26" s="123"/>
      <c r="JD26" s="70">
        <f>SUM((TEXT(JA26,"[M]")/60)*'Income Person-hours'!$D$3,(TEXT(JB26,"[M]")/60)*'Income Person-hours'!$D$4,(TEXT(JC26,"[M]")/60)*'Income Person-hours'!$D$5)</f>
        <v>0</v>
      </c>
    </row>
    <row r="27" spans="1:264" s="12" customFormat="1" ht="15.75" hidden="1" x14ac:dyDescent="0.45">
      <c r="A27" s="32">
        <v>1.19</v>
      </c>
      <c r="B27" s="126"/>
      <c r="C27" s="117"/>
      <c r="D27" s="8" t="str">
        <f>IF(OR(j_WEEKDAY(J_ADDDAY(VLOOKUP(I27,A:F,6,FALSE),H27,1),0)=6,SUMIFS(Holieday[ok],Holieday[date],J_ADDDAY(VLOOKUP(I27,A:F,6,FALSE),H27,1)))=FALSE(),J_ADDDAY(VLOOKUP(I27,A:F,6,FALSE),H27,1),IF(OR(j_WEEKDAY(J_ADDDAY(VLOOKUP(I27,A:F,6,FALSE),H27+1,1),0)=6,SUMIFS(Holieday[ok],Holieday[date],J_ADDDAY(VLOOKUP(I27,A:F,6,FALSE),H27+1,1)))=FALSE(),J_ADDDAY(VLOOKUP(I27,A:F,6,FALSE),H27+1,1),IF(OR(j_WEEKDAY(J_ADDDAY(VLOOKUP(I27,A:F,6,FALSE),H27+2,1),0)=6,SUMIFS(Holieday[ok],Holieday[date],J_ADDDAY(VLOOKUP(I27,A:F,6,FALSE),H27+2,1)))=FALSE(),J_ADDDAY(VLOOKUP(I27,A:F,6,FALSE),H27+2,1),IF(OR(j_WEEKDAY(J_ADDDAY(VLOOKUP(I27,A:F,6,FALSE),H27+3,1),0)=6,SUMIFS(Holieday[ok],Holieday[date],J_ADDDAY(VLOOKUP(I27,A:F,6,FALSE),H27+3,1)))=FALSE(),J_ADDDAY(VLOOKUP(I27,A:F,6,FALSE),H27+3,1),IF(OR(j_WEEKDAY(J_ADDDAY(VLOOKUP(I27,A:F,6,FALSE),H27+4,1),0)=6,SUMIFS(Holieday[ok],Holieday[date],J_ADDDAY(VLOOKUP(I27,A:F,6,FALSE),H27+4,1)))=FALSE(),J_ADDDAY(VLOOKUP(I27,A:F,6,FALSE),H27+4,1),J_ADDDAY(VLOOKUP(I27,A:F,6,FALSE),H27+5,1))))))</f>
        <v>1398/06/31</v>
      </c>
      <c r="E27" s="2">
        <f t="shared" si="4"/>
        <v>13980631</v>
      </c>
      <c r="F27" s="13" t="str">
        <f>IF(N27=0,J_SUBDAY(D27,1,1),IF((N27-NETWORKDAYS.INTL(J_GregorianDate(D27,1),J_GregorianDate(J_SUBDAY(J_ADDDAY(D27,N27,1),1,1),1),16,1)-SUMIFS(Holieday[ok],Holieday[date],CONCATENATE("&gt;","=",D27),Holieday[date],CONCATENATE("&lt;","=",J_SUBDAY(J_ADDDAY(D27,N27,1),1,1)))+SUMIFS(Holieday[Friday],Holieday[date],CONCATENATE("&gt;","=",D27),Holieday[date],CONCATENATE("&lt;","=",J_SUBDAY(J_ADDDAY(D27,N27,1),1,1))))=0,J_SUBDAY(J_ADDDAY(D27,N27,1),1,1),IF((N27-NETWORKDAYS.INTL(J_GregorianDate(D27,1),J_GregorianDate(J_SUBDAY(J_ADDDAY(D27,N27,1),1,1),1),16,1)-SUMIFS(Holieday[ok],Holieday[date],CONCATENATE("&gt;","=",D27),Holieday[date],CONCATENATE("&lt;","=",J_SUBDAY(J_ADDDAY(D27,N27,1),1,1)))+SUMIFS(Holieday[Friday],Holieday[date],CONCATENATE("&gt;","=",D27),Holieday[date],CONCATENATE("&lt;","=",J_SUBDAY(J_ADDDAY(D27,N27,1),1,1))))=1,J_SUBDAY(J_ADDDAY(D27,N27+1,1),1,1),IF((N27-NETWORKDAYS.INTL(J_GregorianDate(D27,1),J_GregorianDate(J_SUBDAY(J_ADDDAY(D27,N27,1),1,1),1),16,1)-SUMIFS(Holieday[ok],Holieday[date],CONCATENATE("&gt;","=",D27),Holieday[date],CONCATENATE("&lt;","=",J_SUBDAY(J_ADDDAY(D27,N27,1),1,1)))+SUMIFS(Holieday[Friday],Holieday[date],CONCATENATE("&gt;","=",D27),Holieday[date],CONCATENATE("&lt;","=",J_SUBDAY(J_ADDDAY(D27,N27,1),1,1))))=2,J_SUBDAY(J_ADDDAY(D27,N27+2,1),1,1),J_SUBDAY(J_ADDDAY(D27,N27+3,1),1,1)))))</f>
        <v>1398/06/30</v>
      </c>
      <c r="G27" s="3">
        <f t="shared" si="5"/>
        <v>13980630</v>
      </c>
      <c r="H27" s="119"/>
      <c r="I27" s="120">
        <v>1.1000000000000001</v>
      </c>
      <c r="J27" s="20">
        <f>j_WEEKDAY(D27,2)</f>
        <v>1</v>
      </c>
      <c r="K27" s="22">
        <f t="shared" si="7"/>
        <v>0</v>
      </c>
      <c r="L27" s="9">
        <f t="shared" si="8"/>
        <v>0</v>
      </c>
      <c r="M27" s="121">
        <v>0</v>
      </c>
      <c r="N27" s="118">
        <v>0</v>
      </c>
      <c r="O27" s="11">
        <f t="shared" si="9"/>
        <v>0</v>
      </c>
      <c r="P27" s="11">
        <f>VALUE(J_normdate(J_ADDDAY($D27,$O27,1)))</f>
        <v>13980631</v>
      </c>
      <c r="Q27" s="10">
        <f t="shared" si="10"/>
        <v>0</v>
      </c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U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G27" s="8"/>
      <c r="HH27" s="8"/>
      <c r="HI27" s="8"/>
      <c r="HJ27" s="8"/>
      <c r="HK27" s="8"/>
      <c r="HL27" s="8"/>
      <c r="HM27" s="8"/>
      <c r="HN27" s="8"/>
      <c r="HO27" s="8"/>
      <c r="HP27" s="8"/>
      <c r="HQ27" s="8"/>
      <c r="HR27" s="8"/>
      <c r="HS27" s="8"/>
      <c r="HT27" s="8"/>
      <c r="HU27" s="8"/>
      <c r="HV27" s="8"/>
      <c r="HW27" s="8"/>
      <c r="HX27" s="8"/>
      <c r="HY27" s="8"/>
      <c r="HZ27" s="8"/>
      <c r="IA27" s="8"/>
      <c r="IB27" s="8"/>
      <c r="IC27" s="8"/>
      <c r="ID27" s="8"/>
      <c r="IE27" s="8"/>
      <c r="IF27" s="8"/>
      <c r="IG27" s="8"/>
      <c r="IH27" s="8"/>
      <c r="II27" s="8"/>
      <c r="IJ27" s="8"/>
      <c r="IK27" s="8"/>
      <c r="IL27" s="8"/>
      <c r="IM27" s="8"/>
      <c r="IN27" s="8"/>
      <c r="IO27" s="8"/>
      <c r="IP27" s="8"/>
      <c r="IQ27" s="8"/>
      <c r="IR27" s="8"/>
      <c r="IS27" s="8"/>
      <c r="IT27" s="8"/>
      <c r="IU27" s="8"/>
      <c r="IV27" s="8"/>
      <c r="IW27" s="8"/>
      <c r="IX27" s="8"/>
      <c r="JA27" s="123"/>
      <c r="JB27" s="123"/>
      <c r="JC27" s="123"/>
      <c r="JD27" s="70">
        <f>SUM((TEXT(JA27,"[M]")/60)*'Income Person-hours'!$D$3,(TEXT(JB27,"[M]")/60)*'Income Person-hours'!$D$4,(TEXT(JC27,"[M]")/60)*'Income Person-hours'!$D$5)</f>
        <v>0</v>
      </c>
    </row>
    <row r="28" spans="1:264" s="12" customFormat="1" ht="15.75" hidden="1" x14ac:dyDescent="0.45">
      <c r="A28" s="32">
        <v>1.21</v>
      </c>
      <c r="B28" s="126"/>
      <c r="C28" s="117"/>
      <c r="D28" s="8" t="str">
        <f>IF(OR(j_WEEKDAY(J_ADDDAY(VLOOKUP(I28,A:F,6,FALSE),H28,1),0)=6,SUMIFS(Holieday[ok],Holieday[date],J_ADDDAY(VLOOKUP(I28,A:F,6,FALSE),H28,1)))=FALSE(),J_ADDDAY(VLOOKUP(I28,A:F,6,FALSE),H28,1),IF(OR(j_WEEKDAY(J_ADDDAY(VLOOKUP(I28,A:F,6,FALSE),H28+1,1),0)=6,SUMIFS(Holieday[ok],Holieday[date],J_ADDDAY(VLOOKUP(I28,A:F,6,FALSE),H28+1,1)))=FALSE(),J_ADDDAY(VLOOKUP(I28,A:F,6,FALSE),H28+1,1),IF(OR(j_WEEKDAY(J_ADDDAY(VLOOKUP(I28,A:F,6,FALSE),H28+2,1),0)=6,SUMIFS(Holieday[ok],Holieday[date],J_ADDDAY(VLOOKUP(I28,A:F,6,FALSE),H28+2,1)))=FALSE(),J_ADDDAY(VLOOKUP(I28,A:F,6,FALSE),H28+2,1),IF(OR(j_WEEKDAY(J_ADDDAY(VLOOKUP(I28,A:F,6,FALSE),H28+3,1),0)=6,SUMIFS(Holieday[ok],Holieday[date],J_ADDDAY(VLOOKUP(I28,A:F,6,FALSE),H28+3,1)))=FALSE(),J_ADDDAY(VLOOKUP(I28,A:F,6,FALSE),H28+3,1),IF(OR(j_WEEKDAY(J_ADDDAY(VLOOKUP(I28,A:F,6,FALSE),H28+4,1),0)=6,SUMIFS(Holieday[ok],Holieday[date],J_ADDDAY(VLOOKUP(I28,A:F,6,FALSE),H28+4,1)))=FALSE(),J_ADDDAY(VLOOKUP(I28,A:F,6,FALSE),H28+4,1),J_ADDDAY(VLOOKUP(I28,A:F,6,FALSE),H28+5,1))))))</f>
        <v>1398/06/31</v>
      </c>
      <c r="E28" s="2">
        <f t="shared" si="4"/>
        <v>13980631</v>
      </c>
      <c r="F28" s="13" t="str">
        <f>IF(N28=0,J_SUBDAY(D28,1,1),IF((N28-NETWORKDAYS.INTL(J_GregorianDate(D28,1),J_GregorianDate(J_SUBDAY(J_ADDDAY(D28,N28,1),1,1),1),16,1)-SUMIFS(Holieday[ok],Holieday[date],CONCATENATE("&gt;","=",D28),Holieday[date],CONCATENATE("&lt;","=",J_SUBDAY(J_ADDDAY(D28,N28,1),1,1)))+SUMIFS(Holieday[Friday],Holieday[date],CONCATENATE("&gt;","=",D28),Holieday[date],CONCATENATE("&lt;","=",J_SUBDAY(J_ADDDAY(D28,N28,1),1,1))))=0,J_SUBDAY(J_ADDDAY(D28,N28,1),1,1),IF((N28-NETWORKDAYS.INTL(J_GregorianDate(D28,1),J_GregorianDate(J_SUBDAY(J_ADDDAY(D28,N28,1),1,1),1),16,1)-SUMIFS(Holieday[ok],Holieday[date],CONCATENATE("&gt;","=",D28),Holieday[date],CONCATENATE("&lt;","=",J_SUBDAY(J_ADDDAY(D28,N28,1),1,1)))+SUMIFS(Holieday[Friday],Holieday[date],CONCATENATE("&gt;","=",D28),Holieday[date],CONCATENATE("&lt;","=",J_SUBDAY(J_ADDDAY(D28,N28,1),1,1))))=1,J_SUBDAY(J_ADDDAY(D28,N28+1,1),1,1),IF((N28-NETWORKDAYS.INTL(J_GregorianDate(D28,1),J_GregorianDate(J_SUBDAY(J_ADDDAY(D28,N28,1),1,1),1),16,1)-SUMIFS(Holieday[ok],Holieday[date],CONCATENATE("&gt;","=",D28),Holieday[date],CONCATENATE("&lt;","=",J_SUBDAY(J_ADDDAY(D28,N28,1),1,1)))+SUMIFS(Holieday[Friday],Holieday[date],CONCATENATE("&gt;","=",D28),Holieday[date],CONCATENATE("&lt;","=",J_SUBDAY(J_ADDDAY(D28,N28,1),1,1))))=2,J_SUBDAY(J_ADDDAY(D28,N28+2,1),1,1),J_SUBDAY(J_ADDDAY(D28,N28+3,1),1,1)))))</f>
        <v>1398/06/30</v>
      </c>
      <c r="G28" s="3">
        <f t="shared" si="5"/>
        <v>13980630</v>
      </c>
      <c r="H28" s="119"/>
      <c r="I28" s="120">
        <v>1.1000000000000001</v>
      </c>
      <c r="J28" s="20">
        <f>j_WEEKDAY(D28,2)</f>
        <v>1</v>
      </c>
      <c r="K28" s="22">
        <f t="shared" si="7"/>
        <v>0</v>
      </c>
      <c r="L28" s="9">
        <f t="shared" si="8"/>
        <v>0</v>
      </c>
      <c r="M28" s="121">
        <v>0</v>
      </c>
      <c r="N28" s="118">
        <v>0</v>
      </c>
      <c r="O28" s="11">
        <f t="shared" si="9"/>
        <v>0</v>
      </c>
      <c r="P28" s="11">
        <f>VALUE(J_normdate(J_ADDDAY($D28,$O28,1)))</f>
        <v>13980631</v>
      </c>
      <c r="Q28" s="10">
        <f t="shared" si="10"/>
        <v>0</v>
      </c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W28" s="8"/>
      <c r="FX28" s="8"/>
      <c r="FY28" s="8"/>
      <c r="FZ28" s="8"/>
      <c r="GA28" s="8"/>
      <c r="GB28" s="8"/>
      <c r="GC28" s="8"/>
      <c r="GD28" s="8"/>
      <c r="GE28" s="8"/>
      <c r="GF28" s="8"/>
      <c r="GG28" s="8"/>
      <c r="GH28" s="8"/>
      <c r="GI28" s="8"/>
      <c r="GJ28" s="8"/>
      <c r="GK28" s="8"/>
      <c r="GL28" s="8"/>
      <c r="GM28" s="8"/>
      <c r="GN28" s="8"/>
      <c r="GO28" s="8"/>
      <c r="GP28" s="8"/>
      <c r="GQ28" s="8"/>
      <c r="GR28" s="8"/>
      <c r="GS28" s="8"/>
      <c r="GT28" s="8"/>
      <c r="GU28" s="8"/>
      <c r="GV28" s="8"/>
      <c r="GW28" s="8"/>
      <c r="GX28" s="8"/>
      <c r="GY28" s="8"/>
      <c r="GZ28" s="8"/>
      <c r="HA28" s="8"/>
      <c r="HB28" s="8"/>
      <c r="HC28" s="8"/>
      <c r="HD28" s="8"/>
      <c r="HE28" s="8"/>
      <c r="HF28" s="8"/>
      <c r="HG28" s="8"/>
      <c r="HH28" s="8"/>
      <c r="HI28" s="8"/>
      <c r="HJ28" s="8"/>
      <c r="HK28" s="8"/>
      <c r="HL28" s="8"/>
      <c r="HM28" s="8"/>
      <c r="HN28" s="8"/>
      <c r="HO28" s="8"/>
      <c r="HP28" s="8"/>
      <c r="HQ28" s="8"/>
      <c r="HR28" s="8"/>
      <c r="HS28" s="8"/>
      <c r="HT28" s="8"/>
      <c r="HU28" s="8"/>
      <c r="HV28" s="8"/>
      <c r="HW28" s="8"/>
      <c r="HX28" s="8"/>
      <c r="HY28" s="8"/>
      <c r="HZ28" s="8"/>
      <c r="IA28" s="8"/>
      <c r="IB28" s="8"/>
      <c r="IC28" s="8"/>
      <c r="ID28" s="8"/>
      <c r="IE28" s="8"/>
      <c r="IF28" s="8"/>
      <c r="IG28" s="8"/>
      <c r="IH28" s="8"/>
      <c r="II28" s="8"/>
      <c r="IJ28" s="8"/>
      <c r="IK28" s="8"/>
      <c r="IL28" s="8"/>
      <c r="IM28" s="8"/>
      <c r="IN28" s="8"/>
      <c r="IO28" s="8"/>
      <c r="IP28" s="8"/>
      <c r="IQ28" s="8"/>
      <c r="IR28" s="8"/>
      <c r="IS28" s="8"/>
      <c r="IT28" s="8"/>
      <c r="IU28" s="8"/>
      <c r="IV28" s="8"/>
      <c r="IW28" s="8"/>
      <c r="IX28" s="8"/>
      <c r="JA28" s="123"/>
      <c r="JB28" s="123"/>
      <c r="JC28" s="123"/>
      <c r="JD28" s="70">
        <f>SUM((TEXT(JA28,"[M]")/60)*'Income Person-hours'!$D$3,(TEXT(JB28,"[M]")/60)*'Income Person-hours'!$D$4,(TEXT(JC28,"[M]")/60)*'Income Person-hours'!$D$5)</f>
        <v>0</v>
      </c>
    </row>
    <row r="29" spans="1:264" s="12" customFormat="1" ht="15.75" hidden="1" x14ac:dyDescent="0.45">
      <c r="A29" s="32">
        <v>1.22</v>
      </c>
      <c r="B29" s="126"/>
      <c r="C29" s="117"/>
      <c r="D29" s="8" t="str">
        <f>IF(OR(j_WEEKDAY(J_ADDDAY(VLOOKUP(I29,A:F,6,FALSE),H29,1),0)=6,SUMIFS(Holieday[ok],Holieday[date],J_ADDDAY(VLOOKUP(I29,A:F,6,FALSE),H29,1)))=FALSE(),J_ADDDAY(VLOOKUP(I29,A:F,6,FALSE),H29,1),IF(OR(j_WEEKDAY(J_ADDDAY(VLOOKUP(I29,A:F,6,FALSE),H29+1,1),0)=6,SUMIFS(Holieday[ok],Holieday[date],J_ADDDAY(VLOOKUP(I29,A:F,6,FALSE),H29+1,1)))=FALSE(),J_ADDDAY(VLOOKUP(I29,A:F,6,FALSE),H29+1,1),IF(OR(j_WEEKDAY(J_ADDDAY(VLOOKUP(I29,A:F,6,FALSE),H29+2,1),0)=6,SUMIFS(Holieday[ok],Holieday[date],J_ADDDAY(VLOOKUP(I29,A:F,6,FALSE),H29+2,1)))=FALSE(),J_ADDDAY(VLOOKUP(I29,A:F,6,FALSE),H29+2,1),IF(OR(j_WEEKDAY(J_ADDDAY(VLOOKUP(I29,A:F,6,FALSE),H29+3,1),0)=6,SUMIFS(Holieday[ok],Holieday[date],J_ADDDAY(VLOOKUP(I29,A:F,6,FALSE),H29+3,1)))=FALSE(),J_ADDDAY(VLOOKUP(I29,A:F,6,FALSE),H29+3,1),IF(OR(j_WEEKDAY(J_ADDDAY(VLOOKUP(I29,A:F,6,FALSE),H29+4,1),0)=6,SUMIFS(Holieday[ok],Holieday[date],J_ADDDAY(VLOOKUP(I29,A:F,6,FALSE),H29+4,1)))=FALSE(),J_ADDDAY(VLOOKUP(I29,A:F,6,FALSE),H29+4,1),J_ADDDAY(VLOOKUP(I29,A:F,6,FALSE),H29+5,1))))))</f>
        <v>1398/06/31</v>
      </c>
      <c r="E29" s="2">
        <f t="shared" si="4"/>
        <v>13980631</v>
      </c>
      <c r="F29" s="13" t="str">
        <f>IF(N29=0,J_SUBDAY(D29,1,1),IF((N29-NETWORKDAYS.INTL(J_GregorianDate(D29,1),J_GregorianDate(J_SUBDAY(J_ADDDAY(D29,N29,1),1,1),1),16,1)-SUMIFS(Holieday[ok],Holieday[date],CONCATENATE("&gt;","=",D29),Holieday[date],CONCATENATE("&lt;","=",J_SUBDAY(J_ADDDAY(D29,N29,1),1,1)))+SUMIFS(Holieday[Friday],Holieday[date],CONCATENATE("&gt;","=",D29),Holieday[date],CONCATENATE("&lt;","=",J_SUBDAY(J_ADDDAY(D29,N29,1),1,1))))=0,J_SUBDAY(J_ADDDAY(D29,N29,1),1,1),IF((N29-NETWORKDAYS.INTL(J_GregorianDate(D29,1),J_GregorianDate(J_SUBDAY(J_ADDDAY(D29,N29,1),1,1),1),16,1)-SUMIFS(Holieday[ok],Holieday[date],CONCATENATE("&gt;","=",D29),Holieday[date],CONCATENATE("&lt;","=",J_SUBDAY(J_ADDDAY(D29,N29,1),1,1)))+SUMIFS(Holieday[Friday],Holieday[date],CONCATENATE("&gt;","=",D29),Holieday[date],CONCATENATE("&lt;","=",J_SUBDAY(J_ADDDAY(D29,N29,1),1,1))))=1,J_SUBDAY(J_ADDDAY(D29,N29+1,1),1,1),IF((N29-NETWORKDAYS.INTL(J_GregorianDate(D29,1),J_GregorianDate(J_SUBDAY(J_ADDDAY(D29,N29,1),1,1),1),16,1)-SUMIFS(Holieday[ok],Holieday[date],CONCATENATE("&gt;","=",D29),Holieday[date],CONCATENATE("&lt;","=",J_SUBDAY(J_ADDDAY(D29,N29,1),1,1)))+SUMIFS(Holieday[Friday],Holieday[date],CONCATENATE("&gt;","=",D29),Holieday[date],CONCATENATE("&lt;","=",J_SUBDAY(J_ADDDAY(D29,N29,1),1,1))))=2,J_SUBDAY(J_ADDDAY(D29,N29+2,1),1,1),J_SUBDAY(J_ADDDAY(D29,N29+3,1),1,1)))))</f>
        <v>1398/06/30</v>
      </c>
      <c r="G29" s="3">
        <f t="shared" si="5"/>
        <v>13980630</v>
      </c>
      <c r="H29" s="119"/>
      <c r="I29" s="120">
        <v>1.1000000000000001</v>
      </c>
      <c r="J29" s="20">
        <f>j_WEEKDAY(D29,2)</f>
        <v>1</v>
      </c>
      <c r="K29" s="22">
        <f t="shared" si="7"/>
        <v>0</v>
      </c>
      <c r="L29" s="9">
        <f t="shared" si="8"/>
        <v>0</v>
      </c>
      <c r="M29" s="121">
        <v>0</v>
      </c>
      <c r="N29" s="118">
        <v>0</v>
      </c>
      <c r="O29" s="11">
        <f t="shared" si="9"/>
        <v>0</v>
      </c>
      <c r="P29" s="11">
        <f>VALUE(J_normdate(J_ADDDAY($D29,$O29,1)))</f>
        <v>13980631</v>
      </c>
      <c r="Q29" s="10">
        <f t="shared" si="10"/>
        <v>0</v>
      </c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/>
      <c r="FO29" s="8"/>
      <c r="FP29" s="8"/>
      <c r="FQ29" s="8"/>
      <c r="FR29" s="8"/>
      <c r="FS29" s="8"/>
      <c r="FT29" s="8"/>
      <c r="FU29" s="8"/>
      <c r="FV29" s="8"/>
      <c r="FW29" s="8"/>
      <c r="FX29" s="8"/>
      <c r="FY29" s="8"/>
      <c r="FZ29" s="8"/>
      <c r="GA29" s="8"/>
      <c r="GB29" s="8"/>
      <c r="GC29" s="8"/>
      <c r="GD29" s="8"/>
      <c r="GE29" s="8"/>
      <c r="GF29" s="8"/>
      <c r="GG29" s="8"/>
      <c r="GH29" s="8"/>
      <c r="GI29" s="8"/>
      <c r="GJ29" s="8"/>
      <c r="GK29" s="8"/>
      <c r="GL29" s="8"/>
      <c r="GM29" s="8"/>
      <c r="GN29" s="8"/>
      <c r="GO29" s="8"/>
      <c r="GP29" s="8"/>
      <c r="GQ29" s="8"/>
      <c r="GR29" s="8"/>
      <c r="GS29" s="8"/>
      <c r="GT29" s="8"/>
      <c r="GU29" s="8"/>
      <c r="GV29" s="8"/>
      <c r="GW29" s="8"/>
      <c r="GX29" s="8"/>
      <c r="GY29" s="8"/>
      <c r="GZ29" s="8"/>
      <c r="HA29" s="8"/>
      <c r="HB29" s="8"/>
      <c r="HC29" s="8"/>
      <c r="HD29" s="8"/>
      <c r="HE29" s="8"/>
      <c r="HF29" s="8"/>
      <c r="HG29" s="8"/>
      <c r="HH29" s="8"/>
      <c r="HI29" s="8"/>
      <c r="HJ29" s="8"/>
      <c r="HK29" s="8"/>
      <c r="HL29" s="8"/>
      <c r="HM29" s="8"/>
      <c r="HN29" s="8"/>
      <c r="HO29" s="8"/>
      <c r="HP29" s="8"/>
      <c r="HQ29" s="8"/>
      <c r="HR29" s="8"/>
      <c r="HS29" s="8"/>
      <c r="HT29" s="8"/>
      <c r="HU29" s="8"/>
      <c r="HV29" s="8"/>
      <c r="HW29" s="8"/>
      <c r="HX29" s="8"/>
      <c r="HY29" s="8"/>
      <c r="HZ29" s="8"/>
      <c r="IA29" s="8"/>
      <c r="IB29" s="8"/>
      <c r="IC29" s="8"/>
      <c r="ID29" s="8"/>
      <c r="IE29" s="8"/>
      <c r="IF29" s="8"/>
      <c r="IG29" s="8"/>
      <c r="IH29" s="8"/>
      <c r="II29" s="8"/>
      <c r="IJ29" s="8"/>
      <c r="IK29" s="8"/>
      <c r="IL29" s="8"/>
      <c r="IM29" s="8"/>
      <c r="IN29" s="8"/>
      <c r="IO29" s="8"/>
      <c r="IP29" s="8"/>
      <c r="IQ29" s="8"/>
      <c r="IR29" s="8"/>
      <c r="IS29" s="8"/>
      <c r="IT29" s="8"/>
      <c r="IU29" s="8"/>
      <c r="IV29" s="8"/>
      <c r="IW29" s="8"/>
      <c r="IX29" s="8"/>
      <c r="JA29" s="123"/>
      <c r="JB29" s="123"/>
      <c r="JC29" s="123"/>
      <c r="JD29" s="70">
        <f>SUM((TEXT(JA29,"[M]")/60)*'Income Person-hours'!$D$3,(TEXT(JB29,"[M]")/60)*'Income Person-hours'!$D$4,(TEXT(JC29,"[M]")/60)*'Income Person-hours'!$D$5)</f>
        <v>0</v>
      </c>
    </row>
    <row r="30" spans="1:264" s="12" customFormat="1" ht="15.75" hidden="1" x14ac:dyDescent="0.45">
      <c r="A30" s="32">
        <v>1.23</v>
      </c>
      <c r="B30" s="126"/>
      <c r="C30" s="117"/>
      <c r="D30" s="8" t="str">
        <f>IF(OR(j_WEEKDAY(J_ADDDAY(VLOOKUP(I30,A:F,6,FALSE),H30,1),0)=6,SUMIFS(Holieday[ok],Holieday[date],J_ADDDAY(VLOOKUP(I30,A:F,6,FALSE),H30,1)))=FALSE(),J_ADDDAY(VLOOKUP(I30,A:F,6,FALSE),H30,1),IF(OR(j_WEEKDAY(J_ADDDAY(VLOOKUP(I30,A:F,6,FALSE),H30+1,1),0)=6,SUMIFS(Holieday[ok],Holieday[date],J_ADDDAY(VLOOKUP(I30,A:F,6,FALSE),H30+1,1)))=FALSE(),J_ADDDAY(VLOOKUP(I30,A:F,6,FALSE),H30+1,1),IF(OR(j_WEEKDAY(J_ADDDAY(VLOOKUP(I30,A:F,6,FALSE),H30+2,1),0)=6,SUMIFS(Holieday[ok],Holieday[date],J_ADDDAY(VLOOKUP(I30,A:F,6,FALSE),H30+2,1)))=FALSE(),J_ADDDAY(VLOOKUP(I30,A:F,6,FALSE),H30+2,1),IF(OR(j_WEEKDAY(J_ADDDAY(VLOOKUP(I30,A:F,6,FALSE),H30+3,1),0)=6,SUMIFS(Holieday[ok],Holieday[date],J_ADDDAY(VLOOKUP(I30,A:F,6,FALSE),H30+3,1)))=FALSE(),J_ADDDAY(VLOOKUP(I30,A:F,6,FALSE),H30+3,1),IF(OR(j_WEEKDAY(J_ADDDAY(VLOOKUP(I30,A:F,6,FALSE),H30+4,1),0)=6,SUMIFS(Holieday[ok],Holieday[date],J_ADDDAY(VLOOKUP(I30,A:F,6,FALSE),H30+4,1)))=FALSE(),J_ADDDAY(VLOOKUP(I30,A:F,6,FALSE),H30+4,1),J_ADDDAY(VLOOKUP(I30,A:F,6,FALSE),H30+5,1))))))</f>
        <v>1398/06/31</v>
      </c>
      <c r="E30" s="2">
        <f t="shared" si="4"/>
        <v>13980631</v>
      </c>
      <c r="F30" s="13" t="str">
        <f>IF(N30=0,J_SUBDAY(D30,1,1),IF((N30-NETWORKDAYS.INTL(J_GregorianDate(D30,1),J_GregorianDate(J_SUBDAY(J_ADDDAY(D30,N30,1),1,1),1),16,1)-SUMIFS(Holieday[ok],Holieday[date],CONCATENATE("&gt;","=",D30),Holieday[date],CONCATENATE("&lt;","=",J_SUBDAY(J_ADDDAY(D30,N30,1),1,1)))+SUMIFS(Holieday[Friday],Holieday[date],CONCATENATE("&gt;","=",D30),Holieday[date],CONCATENATE("&lt;","=",J_SUBDAY(J_ADDDAY(D30,N30,1),1,1))))=0,J_SUBDAY(J_ADDDAY(D30,N30,1),1,1),IF((N30-NETWORKDAYS.INTL(J_GregorianDate(D30,1),J_GregorianDate(J_SUBDAY(J_ADDDAY(D30,N30,1),1,1),1),16,1)-SUMIFS(Holieday[ok],Holieday[date],CONCATENATE("&gt;","=",D30),Holieday[date],CONCATENATE("&lt;","=",J_SUBDAY(J_ADDDAY(D30,N30,1),1,1)))+SUMIFS(Holieday[Friday],Holieday[date],CONCATENATE("&gt;","=",D30),Holieday[date],CONCATENATE("&lt;","=",J_SUBDAY(J_ADDDAY(D30,N30,1),1,1))))=1,J_SUBDAY(J_ADDDAY(D30,N30+1,1),1,1),IF((N30-NETWORKDAYS.INTL(J_GregorianDate(D30,1),J_GregorianDate(J_SUBDAY(J_ADDDAY(D30,N30,1),1,1),1),16,1)-SUMIFS(Holieday[ok],Holieday[date],CONCATENATE("&gt;","=",D30),Holieday[date],CONCATENATE("&lt;","=",J_SUBDAY(J_ADDDAY(D30,N30,1),1,1)))+SUMIFS(Holieday[Friday],Holieday[date],CONCATENATE("&gt;","=",D30),Holieday[date],CONCATENATE("&lt;","=",J_SUBDAY(J_ADDDAY(D30,N30,1),1,1))))=2,J_SUBDAY(J_ADDDAY(D30,N30+2,1),1,1),J_SUBDAY(J_ADDDAY(D30,N30+3,1),1,1)))))</f>
        <v>1398/06/30</v>
      </c>
      <c r="G30" s="3">
        <f t="shared" si="5"/>
        <v>13980630</v>
      </c>
      <c r="H30" s="119"/>
      <c r="I30" s="120">
        <v>1.1000000000000001</v>
      </c>
      <c r="J30" s="20">
        <f>j_WEEKDAY(D30,2)</f>
        <v>1</v>
      </c>
      <c r="K30" s="22">
        <f t="shared" si="7"/>
        <v>0</v>
      </c>
      <c r="L30" s="9">
        <f t="shared" si="8"/>
        <v>0</v>
      </c>
      <c r="M30" s="121">
        <v>0</v>
      </c>
      <c r="N30" s="118">
        <v>0</v>
      </c>
      <c r="O30" s="11">
        <f t="shared" si="9"/>
        <v>0</v>
      </c>
      <c r="P30" s="11">
        <f>VALUE(J_normdate(J_ADDDAY($D30,$O30,1)))</f>
        <v>13980631</v>
      </c>
      <c r="Q30" s="10">
        <f t="shared" si="10"/>
        <v>0</v>
      </c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Y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K30" s="8"/>
      <c r="FL30" s="8"/>
      <c r="FM30" s="8"/>
      <c r="FN30" s="8"/>
      <c r="FO30" s="8"/>
      <c r="FP30" s="8"/>
      <c r="FQ30" s="8"/>
      <c r="FR30" s="8"/>
      <c r="FS30" s="8"/>
      <c r="FT30" s="8"/>
      <c r="FU30" s="8"/>
      <c r="FV30" s="8"/>
      <c r="FW30" s="8"/>
      <c r="FX30" s="8"/>
      <c r="FY30" s="8"/>
      <c r="FZ30" s="8"/>
      <c r="GA30" s="8"/>
      <c r="GB30" s="8"/>
      <c r="GC30" s="8"/>
      <c r="GD30" s="8"/>
      <c r="GE30" s="8"/>
      <c r="GF30" s="8"/>
      <c r="GG30" s="8"/>
      <c r="GH30" s="8"/>
      <c r="GI30" s="8"/>
      <c r="GJ30" s="8"/>
      <c r="GK30" s="8"/>
      <c r="GL30" s="8"/>
      <c r="GM30" s="8"/>
      <c r="GN30" s="8"/>
      <c r="GO30" s="8"/>
      <c r="GP30" s="8"/>
      <c r="GQ30" s="8"/>
      <c r="GR30" s="8"/>
      <c r="GS30" s="8"/>
      <c r="GT30" s="8"/>
      <c r="GU30" s="8"/>
      <c r="GV30" s="8"/>
      <c r="GW30" s="8"/>
      <c r="GX30" s="8"/>
      <c r="GY30" s="8"/>
      <c r="GZ30" s="8"/>
      <c r="HA30" s="8"/>
      <c r="HB30" s="8"/>
      <c r="HC30" s="8"/>
      <c r="HD30" s="8"/>
      <c r="HE30" s="8"/>
      <c r="HF30" s="8"/>
      <c r="HG30" s="8"/>
      <c r="HH30" s="8"/>
      <c r="HI30" s="8"/>
      <c r="HJ30" s="8"/>
      <c r="HK30" s="8"/>
      <c r="HL30" s="8"/>
      <c r="HM30" s="8"/>
      <c r="HN30" s="8"/>
      <c r="HO30" s="8"/>
      <c r="HP30" s="8"/>
      <c r="HQ30" s="8"/>
      <c r="HR30" s="8"/>
      <c r="HS30" s="8"/>
      <c r="HT30" s="8"/>
      <c r="HU30" s="8"/>
      <c r="HV30" s="8"/>
      <c r="HW30" s="8"/>
      <c r="HX30" s="8"/>
      <c r="HY30" s="8"/>
      <c r="HZ30" s="8"/>
      <c r="IA30" s="8"/>
      <c r="IB30" s="8"/>
      <c r="IC30" s="8"/>
      <c r="ID30" s="8"/>
      <c r="IE30" s="8"/>
      <c r="IF30" s="8"/>
      <c r="IG30" s="8"/>
      <c r="IH30" s="8"/>
      <c r="II30" s="8"/>
      <c r="IJ30" s="8"/>
      <c r="IK30" s="8"/>
      <c r="IL30" s="8"/>
      <c r="IM30" s="8"/>
      <c r="IN30" s="8"/>
      <c r="IO30" s="8"/>
      <c r="IP30" s="8"/>
      <c r="IQ30" s="8"/>
      <c r="IR30" s="8"/>
      <c r="IS30" s="8"/>
      <c r="IT30" s="8"/>
      <c r="IU30" s="8"/>
      <c r="IV30" s="8"/>
      <c r="IW30" s="8"/>
      <c r="IX30" s="8"/>
      <c r="JA30" s="123"/>
      <c r="JB30" s="123"/>
      <c r="JC30" s="123"/>
      <c r="JD30" s="70">
        <f>SUM((TEXT(JA30,"[M]")/60)*'Income Person-hours'!$D$3,(TEXT(JB30,"[M]")/60)*'Income Person-hours'!$D$4,(TEXT(JC30,"[M]")/60)*'Income Person-hours'!$D$5)</f>
        <v>0</v>
      </c>
    </row>
    <row r="31" spans="1:264" s="193" customFormat="1" ht="15.75" x14ac:dyDescent="0.45">
      <c r="A31" s="192">
        <v>2</v>
      </c>
      <c r="B31" s="112" t="s">
        <v>126</v>
      </c>
      <c r="C31" s="113"/>
      <c r="D31" s="195" t="str">
        <f>FDate(MIN(E32:E52))</f>
        <v>1398/06/31</v>
      </c>
      <c r="E31" s="193">
        <f t="shared" si="4"/>
        <v>13980631</v>
      </c>
      <c r="F31" s="195" t="str">
        <f>J_SUBDAY(J_ADDDAY(D31,L31,1),1,1)</f>
        <v>1398/10/04</v>
      </c>
      <c r="G31" s="196">
        <f t="shared" si="5"/>
        <v>13981004</v>
      </c>
      <c r="H31" s="114"/>
      <c r="I31" s="115"/>
      <c r="J31" s="195">
        <f>j_WEEKDAY(D31,2)</f>
        <v>1</v>
      </c>
      <c r="K31" s="197">
        <f>SUM(K32:K52)</f>
        <v>0</v>
      </c>
      <c r="L31" s="198">
        <f>J_DIFF(D31,FDate(MAX(G32:G52)))+1</f>
        <v>95</v>
      </c>
      <c r="M31" s="199">
        <f>IF(SUM(L32:L52)&lt;&gt;0,SUMPRODUCT(L32:L52,M32:M52)/SUM(L32:L52),0)</f>
        <v>9.8591549295774641E-2</v>
      </c>
      <c r="N31" s="200">
        <f>IF(F31&gt;=D31,NETWORKDAYS.INTL(J_GregorianDate(D31,1),J_GregorianDate(F31,1),16,1)-SUMIFS(Holieday[ok],Holieday[date],CONCATENATE("&gt;","=",D31),Holieday[date],CONCATENATE("&lt;","=",F31))+SUMIFS(Holieday[Friday],Holieday[date],CONCATENATE("&gt;","=",D31),Holieday[date],CONCATENATE("&lt;","=",F31)),0)</f>
        <v>78</v>
      </c>
      <c r="O31" s="191">
        <f>ROUNDDOWN(M31*L31,0)</f>
        <v>9</v>
      </c>
      <c r="P31" s="191">
        <f>VALUE(J_normdate(J_ADDDAY($D31,$O31,1)))</f>
        <v>13980709</v>
      </c>
      <c r="Q31" s="195">
        <f>L31-O31</f>
        <v>86</v>
      </c>
      <c r="IY31" s="30"/>
      <c r="IZ31" s="42"/>
      <c r="JA31" s="223"/>
      <c r="JB31" s="223"/>
      <c r="JC31" s="223"/>
      <c r="JD31" s="224"/>
    </row>
    <row r="32" spans="1:264" s="226" customFormat="1" ht="15.75" x14ac:dyDescent="0.45">
      <c r="A32" s="209">
        <v>2.1</v>
      </c>
      <c r="B32" s="116" t="s">
        <v>81</v>
      </c>
      <c r="C32" s="117" t="s">
        <v>111</v>
      </c>
      <c r="D32" s="204" t="str">
        <f>IF(OR(j_WEEKDAY(J_ADDDAY(VLOOKUP(I32,A:F,6,FALSE),H32,1),0)=6,SUMIFS(Holieday[ok],Holieday[date],J_ADDDAY(VLOOKUP(I32,A:F,6,FALSE),H32,1)))=FALSE(),J_ADDDAY(VLOOKUP(I32,A:F,6,FALSE),H32,1),IF(OR(j_WEEKDAY(J_ADDDAY(VLOOKUP(I32,A:F,6,FALSE),H32+1,1),0)=6,SUMIFS(Holieday[ok],Holieday[date],J_ADDDAY(VLOOKUP(I32,A:F,6,FALSE),H32+1,1)))=FALSE(),J_ADDDAY(VLOOKUP(I32,A:F,6,FALSE),H32+1,1),IF(OR(j_WEEKDAY(J_ADDDAY(VLOOKUP(I32,A:F,6,FALSE),H32+2,1),0)=6,SUMIFS(Holieday[ok],Holieday[date],J_ADDDAY(VLOOKUP(I32,A:F,6,FALSE),H32+2,1)))=FALSE(),J_ADDDAY(VLOOKUP(I32,A:F,6,FALSE),H32+2,1),IF(OR(j_WEEKDAY(J_ADDDAY(VLOOKUP(I32,A:F,6,FALSE),H32+3,1),0)=6,SUMIFS(Holieday[ok],Holieday[date],J_ADDDAY(VLOOKUP(I32,A:F,6,FALSE),H32+3,1)))=FALSE(),J_ADDDAY(VLOOKUP(I32,A:F,6,FALSE),H32+3,1),IF(OR(j_WEEKDAY(J_ADDDAY(VLOOKUP(I32,A:F,6,FALSE),H32+4,1),0)=6,SUMIFS(Holieday[ok],Holieday[date],J_ADDDAY(VLOOKUP(I32,A:F,6,FALSE),H32+4,1)))=FALSE(),J_ADDDAY(VLOOKUP(I32,A:F,6,FALSE),H32+4,1),J_ADDDAY(VLOOKUP(I32,A:F,6,FALSE),H32+5,1))))))</f>
        <v>1398/06/31</v>
      </c>
      <c r="E32" s="193">
        <f t="shared" si="4"/>
        <v>13980631</v>
      </c>
      <c r="F32" s="204" t="str">
        <f>IF(N32=0,J_SUBDAY(D32,1,1),IF((N32-(NETWORKDAYS.INTL(J_GregorianDate(D32,1),J_GregorianDate(J_SUBDAY(J_ADDDAY(D32,N32,1),1,1),1),16,1)))+SUMIFS(Holieday[ok],Holieday[date],CONCATENATE("&gt;","=",D32),Holieday[date],CONCATENATE("&lt;","=",J_SUBDAY(J_ADDDAY(D32,N32,1),1,1)))-SUMIFS(Holieday[Friday],Holieday[date],CONCATENATE("&gt;","=",D32),Holieday[date],CONCATENATE("&lt;","=",J_SUBDAY(J_ADDDAY(D32,N32,1),1,1)))=0,J_SUBDAY(J_ADDDAY(D32,N32,1),1,1),IF((N32+1-(NETWORKDAYS.INTL(J_GregorianDate(D32,1),J_GregorianDate(J_SUBDAY(J_ADDDAY(D32,N32+1,1),1,1),1),16,1)))+SUMIFS(Holieday[ok],Holieday[date],CONCATENATE("&gt;","=",D32),Holieday[date],CONCATENATE("&lt;","=",J_SUBDAY(J_ADDDAY(D32,N32+1,1),1,1)))-SUMIFS(Holieday[Friday],Holieday[date],CONCATENATE("&gt;","=",D32),Holieday[date],CONCATENATE("&lt;","=",J_SUBDAY(J_ADDDAY(D32,N32+1,1),1,1)))=1,J_SUBDAY(J_ADDDAY(D32,N32+1,1),1,1),IF((N32+2-(NETWORKDAYS.INTL(J_GregorianDate(D32,1),J_GregorianDate(J_SUBDAY(J_ADDDAY(D32,N32+2,1),1,1),1),16,1)))+SUMIFS(Holieday[ok],Holieday[date],CONCATENATE("&gt;","=",D32),Holieday[date],CONCATENATE("&lt;","=",J_SUBDAY(J_ADDDAY(D32,N32+2,1),1,1)))-SUMIFS(Holieday[Friday],Holieday[date],CONCATENATE("&gt;","=",D32),Holieday[date],CONCATENATE("&lt;","=",J_SUBDAY(J_ADDDAY(D32,N32+2,1),1,1)))=2,J_SUBDAY(J_ADDDAY(D32,N32+2,1),1,1),IF((N32+3-(NETWORKDAYS.INTL(J_GregorianDate(D32,1),J_GregorianDate(J_SUBDAY(J_ADDDAY(D32,N32+3,1),1,1),1),16,1)))+SUMIFS(Holieday[ok],Holieday[date],CONCATENATE("&gt;","=",D32),Holieday[date],CONCATENATE("&lt;","=",J_SUBDAY(J_ADDDAY(D32,N32+3,1),1,1)))-SUMIFS(Holieday[Friday],Holieday[date],CONCATENATE("&gt;","=",D32),Holieday[date],CONCATENATE("&lt;","=",J_SUBDAY(J_ADDDAY(D32,N32+3,1),1,1)))=3,J_SUBDAY(J_ADDDAY(D32,N32+3,1),1,1),IF((N32+4-(NETWORKDAYS.INTL(J_GregorianDate(D32,1),J_GregorianDate(J_SUBDAY(J_ADDDAY(D32,N32+4,1),1,1),1),16,1)))+SUMIFS(Holieday[ok],Holieday[date],CONCATENATE("&gt;","=",D32),Holieday[date],CONCATENATE("&lt;","=",J_SUBDAY(J_ADDDAY(D32,N32+4,1),1,1)))-SUMIFS(Holieday[Friday],Holieday[date],CONCATENATE("&gt;","=",D32),Holieday[date],CONCATENATE("&lt;","=",J_SUBDAY(J_ADDDAY(D32,N32+4,1),1,1)))=4,J_SUBDAY(J_ADDDAY(D32,N32+4,1),1,1),IF((N32+5-(NETWORKDAYS.INTL(J_GregorianDate(D32,1),J_GregorianDate(J_SUBDAY(J_ADDDAY(D32,N32+5,1),1,1),1),16,1)))+SUMIFS(Holieday[ok],Holieday[date],CONCATENATE("&gt;","=",D32),Holieday[date],CONCATENATE("&lt;","=",J_SUBDAY(J_ADDDAY(D32,N32+5,1),1,1)))-SUMIFS(Holieday[Friday],Holieday[date],CONCATENATE("&gt;","=",D32),Holieday[date],CONCATENATE("&lt;","=",J_SUBDAY(J_ADDDAY(D32,N32+5,1),1,1)))=5,J_SUBDAY(J_ADDDAY(D32,N32+5,1),1,1),J_SUBDAY(J_ADDDAY(D32,N32+6,1),1,1))))))))</f>
        <v>1398/06/31</v>
      </c>
      <c r="G32" s="196">
        <f t="shared" si="5"/>
        <v>13980631</v>
      </c>
      <c r="H32" s="119"/>
      <c r="I32" s="120">
        <v>1.1000000000000001</v>
      </c>
      <c r="J32" s="204">
        <f>j_WEEKDAY(D32,2)</f>
        <v>1</v>
      </c>
      <c r="K32" s="206">
        <f t="shared" ref="K32:K52" si="11">SUM(JA32:JC32)</f>
        <v>0</v>
      </c>
      <c r="L32" s="207">
        <f t="shared" ref="L32:L52" si="12">J_DIFF(D32,F32)+1</f>
        <v>1</v>
      </c>
      <c r="M32" s="121">
        <v>1</v>
      </c>
      <c r="N32" s="118">
        <v>1</v>
      </c>
      <c r="O32" s="208">
        <f>ROUNDDOWN(M32*L32,0)</f>
        <v>1</v>
      </c>
      <c r="P32" s="208">
        <f>VALUE(J_normdate(J_ADDDAY($D32,$O32,1)))</f>
        <v>13980701</v>
      </c>
      <c r="Q32" s="204">
        <f>L32-O32</f>
        <v>0</v>
      </c>
      <c r="R32" s="202"/>
      <c r="S32" s="202"/>
      <c r="T32" s="202"/>
      <c r="U32" s="202"/>
      <c r="V32" s="202"/>
      <c r="W32" s="202"/>
      <c r="X32" s="202"/>
      <c r="Y32" s="202"/>
      <c r="Z32" s="202"/>
      <c r="AA32" s="202"/>
      <c r="AB32" s="202"/>
      <c r="AC32" s="202"/>
      <c r="AD32" s="202"/>
      <c r="AE32" s="202"/>
      <c r="AF32" s="202"/>
      <c r="AG32" s="202"/>
      <c r="AH32" s="202"/>
      <c r="AI32" s="202"/>
      <c r="AJ32" s="202"/>
      <c r="AK32" s="202"/>
      <c r="AL32" s="202"/>
      <c r="AM32" s="202"/>
      <c r="AN32" s="202"/>
      <c r="AO32" s="202"/>
      <c r="AP32" s="202"/>
      <c r="AQ32" s="202"/>
      <c r="AR32" s="202"/>
      <c r="AS32" s="202"/>
      <c r="AT32" s="202"/>
      <c r="AU32" s="202"/>
      <c r="AV32" s="202"/>
      <c r="AW32" s="202"/>
      <c r="AX32" s="202"/>
      <c r="AY32" s="202"/>
      <c r="AZ32" s="202"/>
      <c r="BA32" s="202"/>
      <c r="BB32" s="202"/>
      <c r="BC32" s="202"/>
      <c r="BD32" s="202"/>
      <c r="BE32" s="202"/>
      <c r="BF32" s="202"/>
      <c r="BG32" s="202"/>
      <c r="BH32" s="202"/>
      <c r="BI32" s="202"/>
      <c r="BJ32" s="202"/>
      <c r="BK32" s="202"/>
      <c r="BL32" s="202"/>
      <c r="BM32" s="202"/>
      <c r="BN32" s="202"/>
      <c r="BO32" s="202"/>
      <c r="BP32" s="202"/>
      <c r="BQ32" s="202"/>
      <c r="BR32" s="202"/>
      <c r="BS32" s="202"/>
      <c r="BT32" s="202"/>
      <c r="BU32" s="202"/>
      <c r="BV32" s="202"/>
      <c r="BW32" s="202"/>
      <c r="BX32" s="202"/>
      <c r="BY32" s="202"/>
      <c r="BZ32" s="202"/>
      <c r="CA32" s="202"/>
      <c r="CB32" s="202"/>
      <c r="CC32" s="202"/>
      <c r="CD32" s="202"/>
      <c r="CE32" s="202"/>
      <c r="CF32" s="202"/>
      <c r="CG32" s="202"/>
      <c r="CH32" s="202"/>
      <c r="CI32" s="202"/>
      <c r="CJ32" s="202"/>
      <c r="CK32" s="202"/>
      <c r="CL32" s="202"/>
      <c r="CM32" s="202"/>
      <c r="CN32" s="202"/>
      <c r="CO32" s="202"/>
      <c r="CP32" s="202"/>
      <c r="CQ32" s="202"/>
      <c r="CR32" s="202"/>
      <c r="CS32" s="202"/>
      <c r="CT32" s="202"/>
      <c r="CU32" s="202"/>
      <c r="CV32" s="202"/>
      <c r="CW32" s="202"/>
      <c r="CX32" s="202"/>
      <c r="CY32" s="202"/>
      <c r="CZ32" s="202"/>
      <c r="DA32" s="202"/>
      <c r="DB32" s="202"/>
      <c r="DC32" s="202"/>
      <c r="DD32" s="202"/>
      <c r="DE32" s="202"/>
      <c r="DF32" s="202"/>
      <c r="DG32" s="202"/>
      <c r="DH32" s="202"/>
      <c r="DI32" s="202"/>
      <c r="DJ32" s="202"/>
      <c r="DK32" s="202"/>
      <c r="DL32" s="202"/>
      <c r="DM32" s="202"/>
      <c r="DN32" s="202"/>
      <c r="DO32" s="202"/>
      <c r="DP32" s="202"/>
      <c r="DQ32" s="202"/>
      <c r="DR32" s="202"/>
      <c r="DS32" s="202"/>
      <c r="DT32" s="202"/>
      <c r="DU32" s="202"/>
      <c r="DV32" s="202"/>
      <c r="DW32" s="202"/>
      <c r="DX32" s="202"/>
      <c r="DY32" s="202"/>
      <c r="DZ32" s="202"/>
      <c r="EA32" s="202"/>
      <c r="EB32" s="202"/>
      <c r="EC32" s="202"/>
      <c r="ED32" s="202"/>
      <c r="EE32" s="202"/>
      <c r="EF32" s="202"/>
      <c r="EG32" s="202"/>
      <c r="EH32" s="202"/>
      <c r="EI32" s="202"/>
      <c r="EJ32" s="202"/>
      <c r="EK32" s="202"/>
      <c r="EL32" s="202"/>
      <c r="EM32" s="202"/>
      <c r="EN32" s="202"/>
      <c r="EO32" s="202"/>
      <c r="EP32" s="202"/>
      <c r="EQ32" s="202"/>
      <c r="ER32" s="202"/>
      <c r="ES32" s="202"/>
      <c r="ET32" s="202"/>
      <c r="EU32" s="202"/>
      <c r="EV32" s="202"/>
      <c r="EW32" s="202"/>
      <c r="EX32" s="202"/>
      <c r="EY32" s="202"/>
      <c r="EZ32" s="202"/>
      <c r="FA32" s="202"/>
      <c r="FB32" s="202"/>
      <c r="FC32" s="202"/>
      <c r="FD32" s="202"/>
      <c r="FE32" s="202"/>
      <c r="FF32" s="202"/>
      <c r="FG32" s="202"/>
      <c r="FH32" s="202"/>
      <c r="FI32" s="202"/>
      <c r="FJ32" s="202"/>
      <c r="FK32" s="202"/>
      <c r="FL32" s="202"/>
      <c r="FM32" s="202"/>
      <c r="FN32" s="202"/>
      <c r="FO32" s="202"/>
      <c r="FP32" s="202"/>
      <c r="FQ32" s="202"/>
      <c r="FR32" s="202"/>
      <c r="FS32" s="202"/>
      <c r="FT32" s="202"/>
      <c r="FU32" s="202"/>
      <c r="FV32" s="202"/>
      <c r="FW32" s="202"/>
      <c r="FX32" s="202"/>
      <c r="FY32" s="202"/>
      <c r="FZ32" s="202"/>
      <c r="GA32" s="202"/>
      <c r="GB32" s="202"/>
      <c r="GC32" s="202"/>
      <c r="GD32" s="202"/>
      <c r="GE32" s="202"/>
      <c r="GF32" s="202"/>
      <c r="GG32" s="202"/>
      <c r="GH32" s="202"/>
      <c r="GI32" s="202"/>
      <c r="GJ32" s="202"/>
      <c r="GK32" s="202"/>
      <c r="GL32" s="202"/>
      <c r="GM32" s="202"/>
      <c r="GN32" s="202"/>
      <c r="GO32" s="202"/>
      <c r="GP32" s="202"/>
      <c r="GQ32" s="202"/>
      <c r="GR32" s="202"/>
      <c r="GS32" s="202"/>
      <c r="GT32" s="202"/>
      <c r="GU32" s="202"/>
      <c r="GV32" s="202"/>
      <c r="GW32" s="202"/>
      <c r="GX32" s="202"/>
      <c r="GY32" s="202"/>
      <c r="GZ32" s="202"/>
      <c r="HA32" s="202"/>
      <c r="HB32" s="202"/>
      <c r="HC32" s="202"/>
      <c r="HD32" s="202"/>
      <c r="HE32" s="202"/>
      <c r="HF32" s="202"/>
      <c r="HG32" s="202"/>
      <c r="HH32" s="202"/>
      <c r="HI32" s="202"/>
      <c r="HJ32" s="202"/>
      <c r="HK32" s="202"/>
      <c r="HL32" s="202"/>
      <c r="HM32" s="202"/>
      <c r="HN32" s="202"/>
      <c r="HO32" s="202"/>
      <c r="HP32" s="202"/>
      <c r="HQ32" s="202"/>
      <c r="HR32" s="202"/>
      <c r="HS32" s="202"/>
      <c r="HT32" s="202"/>
      <c r="HU32" s="202"/>
      <c r="HV32" s="202"/>
      <c r="HW32" s="202"/>
      <c r="HX32" s="202"/>
      <c r="HY32" s="202"/>
      <c r="HZ32" s="202"/>
      <c r="IA32" s="202"/>
      <c r="IB32" s="202"/>
      <c r="IC32" s="202"/>
      <c r="ID32" s="202"/>
      <c r="IE32" s="202"/>
      <c r="IF32" s="202"/>
      <c r="IG32" s="202"/>
      <c r="IH32" s="202"/>
      <c r="II32" s="202"/>
      <c r="IJ32" s="202"/>
      <c r="IK32" s="202"/>
      <c r="IL32" s="202"/>
      <c r="IM32" s="202"/>
      <c r="IN32" s="202"/>
      <c r="IO32" s="202"/>
      <c r="IP32" s="202"/>
      <c r="IQ32" s="202"/>
      <c r="IR32" s="202"/>
      <c r="IS32" s="202"/>
      <c r="IT32" s="202"/>
      <c r="IU32" s="202"/>
      <c r="IV32" s="202"/>
      <c r="IW32" s="202"/>
      <c r="IX32" s="202"/>
      <c r="IY32" s="31">
        <v>1</v>
      </c>
      <c r="IZ32" s="43">
        <f>(TEXT(K32,"[m]")/60)*VLOOKUP(IY32,'Income Person-hours'!A$2:C$5,3,FALSE)</f>
        <v>0</v>
      </c>
      <c r="JA32" s="122"/>
      <c r="JB32" s="122"/>
      <c r="JC32" s="122"/>
      <c r="JD32" s="227">
        <f>SUM((TEXT(JA32,"[M]")/60)*'Income Person-hours'!$D$3,(TEXT(JB32,"[M]")/60)*'Income Person-hours'!$D$4,(TEXT(JC32,"[M]")/60)*'Income Person-hours'!$D$5)</f>
        <v>0</v>
      </c>
    </row>
    <row r="33" spans="1:264" s="226" customFormat="1" ht="15.75" x14ac:dyDescent="0.45">
      <c r="A33" s="209">
        <v>2.2000000000000002</v>
      </c>
      <c r="B33" s="116" t="s">
        <v>124</v>
      </c>
      <c r="C33" s="117" t="s">
        <v>79</v>
      </c>
      <c r="D33" s="204" t="str">
        <f>IF(OR(j_WEEKDAY(J_ADDDAY(VLOOKUP(I33,A:F,6,FALSE),H33,1),0)=6,SUMIFS(Holieday[ok],Holieday[date],J_ADDDAY(VLOOKUP(I33,A:F,6,FALSE),H33,1)))=FALSE(),J_ADDDAY(VLOOKUP(I33,A:F,6,FALSE),H33,1),IF(OR(j_WEEKDAY(J_ADDDAY(VLOOKUP(I33,A:F,6,FALSE),H33+1,1),0)=6,SUMIFS(Holieday[ok],Holieday[date],J_ADDDAY(VLOOKUP(I33,A:F,6,FALSE),H33+1,1)))=FALSE(),J_ADDDAY(VLOOKUP(I33,A:F,6,FALSE),H33+1,1),IF(OR(j_WEEKDAY(J_ADDDAY(VLOOKUP(I33,A:F,6,FALSE),H33+2,1),0)=6,SUMIFS(Holieday[ok],Holieday[date],J_ADDDAY(VLOOKUP(I33,A:F,6,FALSE),H33+2,1)))=FALSE(),J_ADDDAY(VLOOKUP(I33,A:F,6,FALSE),H33+2,1),IF(OR(j_WEEKDAY(J_ADDDAY(VLOOKUP(I33,A:F,6,FALSE),H33+3,1),0)=6,SUMIFS(Holieday[ok],Holieday[date],J_ADDDAY(VLOOKUP(I33,A:F,6,FALSE),H33+3,1)))=FALSE(),J_ADDDAY(VLOOKUP(I33,A:F,6,FALSE),H33+3,1),IF(OR(j_WEEKDAY(J_ADDDAY(VLOOKUP(I33,A:F,6,FALSE),H33+4,1),0)=6,SUMIFS(Holieday[ok],Holieday[date],J_ADDDAY(VLOOKUP(I33,A:F,6,FALSE),H33+4,1)))=FALSE(),J_ADDDAY(VLOOKUP(I33,A:F,6,FALSE),H33+4,1),J_ADDDAY(VLOOKUP(I33,A:F,6,FALSE),H33+5,1))))))</f>
        <v>1398/06/31</v>
      </c>
      <c r="E33" s="193">
        <f t="shared" si="4"/>
        <v>13980631</v>
      </c>
      <c r="F33" s="204" t="str">
        <f>IF(N33=0,J_SUBDAY(D33,1,1),IF((N33-(NETWORKDAYS.INTL(J_GregorianDate(D33,1),J_GregorianDate(J_SUBDAY(J_ADDDAY(D33,N33,1),1,1),1),16,1)))+SUMIFS(Holieday[ok],Holieday[date],CONCATENATE("&gt;","=",D33),Holieday[date],CONCATENATE("&lt;","=",J_SUBDAY(J_ADDDAY(D33,N33,1),1,1)))-SUMIFS(Holieday[Friday],Holieday[date],CONCATENATE("&gt;","=",D33),Holieday[date],CONCATENATE("&lt;","=",J_SUBDAY(J_ADDDAY(D33,N33,1),1,1)))=0,J_SUBDAY(J_ADDDAY(D33,N33,1),1,1),IF((N33+1-(NETWORKDAYS.INTL(J_GregorianDate(D33,1),J_GregorianDate(J_SUBDAY(J_ADDDAY(D33,N33+1,1),1,1),1),16,1)))+SUMIFS(Holieday[ok],Holieday[date],CONCATENATE("&gt;","=",D33),Holieday[date],CONCATENATE("&lt;","=",J_SUBDAY(J_ADDDAY(D33,N33+1,1),1,1)))-SUMIFS(Holieday[Friday],Holieday[date],CONCATENATE("&gt;","=",D33),Holieday[date],CONCATENATE("&lt;","=",J_SUBDAY(J_ADDDAY(D33,N33+1,1),1,1)))=1,J_SUBDAY(J_ADDDAY(D33,N33+1,1),1,1),IF((N33+2-(NETWORKDAYS.INTL(J_GregorianDate(D33,1),J_GregorianDate(J_SUBDAY(J_ADDDAY(D33,N33+2,1),1,1),1),16,1)))+SUMIFS(Holieday[ok],Holieday[date],CONCATENATE("&gt;","=",D33),Holieday[date],CONCATENATE("&lt;","=",J_SUBDAY(J_ADDDAY(D33,N33+2,1),1,1)))-SUMIFS(Holieday[Friday],Holieday[date],CONCATENATE("&gt;","=",D33),Holieday[date],CONCATENATE("&lt;","=",J_SUBDAY(J_ADDDAY(D33,N33+2,1),1,1)))=2,J_SUBDAY(J_ADDDAY(D33,N33+2,1),1,1),IF((N33+3-(NETWORKDAYS.INTL(J_GregorianDate(D33,1),J_GregorianDate(J_SUBDAY(J_ADDDAY(D33,N33+3,1),1,1),1),16,1)))+SUMIFS(Holieday[ok],Holieday[date],CONCATENATE("&gt;","=",D33),Holieday[date],CONCATENATE("&lt;","=",J_SUBDAY(J_ADDDAY(D33,N33+3,1),1,1)))-SUMIFS(Holieday[Friday],Holieday[date],CONCATENATE("&gt;","=",D33),Holieday[date],CONCATENATE("&lt;","=",J_SUBDAY(J_ADDDAY(D33,N33+3,1),1,1)))=3,J_SUBDAY(J_ADDDAY(D33,N33+3,1),1,1),IF((N33+4-(NETWORKDAYS.INTL(J_GregorianDate(D33,1),J_GregorianDate(J_SUBDAY(J_ADDDAY(D33,N33+4,1),1,1),1),16,1)))+SUMIFS(Holieday[ok],Holieday[date],CONCATENATE("&gt;","=",D33),Holieday[date],CONCATENATE("&lt;","=",J_SUBDAY(J_ADDDAY(D33,N33+4,1),1,1)))-SUMIFS(Holieday[Friday],Holieday[date],CONCATENATE("&gt;","=",D33),Holieday[date],CONCATENATE("&lt;","=",J_SUBDAY(J_ADDDAY(D33,N33+4,1),1,1)))=4,J_SUBDAY(J_ADDDAY(D33,N33+4,1),1,1),IF((N33+5-(NETWORKDAYS.INTL(J_GregorianDate(D33,1),J_GregorianDate(J_SUBDAY(J_ADDDAY(D33,N33+5,1),1,1),1),16,1)))+SUMIFS(Holieday[ok],Holieday[date],CONCATENATE("&gt;","=",D33),Holieday[date],CONCATENATE("&lt;","=",J_SUBDAY(J_ADDDAY(D33,N33+5,1),1,1)))-SUMIFS(Holieday[Friday],Holieday[date],CONCATENATE("&gt;","=",D33),Holieday[date],CONCATENATE("&lt;","=",J_SUBDAY(J_ADDDAY(D33,N33+5,1),1,1)))=5,J_SUBDAY(J_ADDDAY(D33,N33+5,1),1,1),J_SUBDAY(J_ADDDAY(D33,N33+6,1),1,1))))))))</f>
        <v>1398/06/31</v>
      </c>
      <c r="G33" s="196">
        <f t="shared" si="5"/>
        <v>13980631</v>
      </c>
      <c r="H33" s="119"/>
      <c r="I33" s="120">
        <v>2.1</v>
      </c>
      <c r="J33" s="204">
        <v>1</v>
      </c>
      <c r="K33" s="206">
        <f t="shared" si="11"/>
        <v>0</v>
      </c>
      <c r="L33" s="207">
        <f t="shared" si="12"/>
        <v>1</v>
      </c>
      <c r="M33" s="121">
        <v>1</v>
      </c>
      <c r="N33" s="118">
        <v>1</v>
      </c>
      <c r="O33" s="208">
        <f t="shared" ref="O33:O52" si="13">ROUNDDOWN(M33*L33,0)</f>
        <v>1</v>
      </c>
      <c r="P33" s="208">
        <f>VALUE(J_normdate(J_ADDDAY($D33,$O33,1)))</f>
        <v>13980701</v>
      </c>
      <c r="Q33" s="204">
        <f t="shared" ref="Q33:Q73" si="14">L33-O33</f>
        <v>0</v>
      </c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202"/>
      <c r="AG33" s="202"/>
      <c r="AH33" s="202"/>
      <c r="AI33" s="202"/>
      <c r="AJ33" s="202"/>
      <c r="AK33" s="202"/>
      <c r="AL33" s="202"/>
      <c r="AM33" s="202"/>
      <c r="AN33" s="202"/>
      <c r="AO33" s="202"/>
      <c r="AP33" s="202"/>
      <c r="AQ33" s="202"/>
      <c r="AR33" s="202"/>
      <c r="AS33" s="202"/>
      <c r="AT33" s="202"/>
      <c r="AU33" s="202"/>
      <c r="AV33" s="202"/>
      <c r="AW33" s="202"/>
      <c r="AX33" s="202"/>
      <c r="AY33" s="202"/>
      <c r="AZ33" s="202"/>
      <c r="BA33" s="202"/>
      <c r="BB33" s="202"/>
      <c r="BC33" s="202"/>
      <c r="BD33" s="202"/>
      <c r="BE33" s="202"/>
      <c r="BF33" s="202"/>
      <c r="BG33" s="202"/>
      <c r="BH33" s="202"/>
      <c r="BI33" s="202"/>
      <c r="BJ33" s="202"/>
      <c r="BK33" s="202"/>
      <c r="BL33" s="202"/>
      <c r="BM33" s="202"/>
      <c r="BN33" s="202"/>
      <c r="BO33" s="202"/>
      <c r="BP33" s="202"/>
      <c r="BQ33" s="202"/>
      <c r="BR33" s="202"/>
      <c r="BS33" s="202"/>
      <c r="BT33" s="202"/>
      <c r="BU33" s="202"/>
      <c r="BV33" s="202"/>
      <c r="BW33" s="202"/>
      <c r="BX33" s="202"/>
      <c r="BY33" s="202"/>
      <c r="BZ33" s="202"/>
      <c r="CA33" s="202"/>
      <c r="CB33" s="202"/>
      <c r="CC33" s="202"/>
      <c r="CD33" s="202"/>
      <c r="CE33" s="202"/>
      <c r="CF33" s="202"/>
      <c r="CG33" s="202"/>
      <c r="CH33" s="202"/>
      <c r="CI33" s="202"/>
      <c r="CJ33" s="202"/>
      <c r="CK33" s="202"/>
      <c r="CL33" s="202"/>
      <c r="CM33" s="202"/>
      <c r="CN33" s="202"/>
      <c r="CO33" s="202"/>
      <c r="CP33" s="202"/>
      <c r="CQ33" s="202"/>
      <c r="CR33" s="202"/>
      <c r="CS33" s="202"/>
      <c r="CT33" s="202"/>
      <c r="CU33" s="202"/>
      <c r="CV33" s="202"/>
      <c r="CW33" s="202"/>
      <c r="CX33" s="202"/>
      <c r="CY33" s="202"/>
      <c r="CZ33" s="202"/>
      <c r="DA33" s="202"/>
      <c r="DB33" s="202"/>
      <c r="DC33" s="202"/>
      <c r="DD33" s="202"/>
      <c r="DE33" s="202"/>
      <c r="DF33" s="202"/>
      <c r="DG33" s="202"/>
      <c r="DH33" s="202"/>
      <c r="DI33" s="202"/>
      <c r="DJ33" s="202"/>
      <c r="DK33" s="202"/>
      <c r="DL33" s="202"/>
      <c r="DM33" s="202"/>
      <c r="DN33" s="202"/>
      <c r="DO33" s="202"/>
      <c r="DP33" s="202"/>
      <c r="DQ33" s="202"/>
      <c r="DR33" s="202"/>
      <c r="DS33" s="202"/>
      <c r="DT33" s="202"/>
      <c r="DU33" s="202"/>
      <c r="DV33" s="202"/>
      <c r="DW33" s="202"/>
      <c r="DX33" s="202"/>
      <c r="DY33" s="202"/>
      <c r="DZ33" s="202"/>
      <c r="EA33" s="202"/>
      <c r="EB33" s="202"/>
      <c r="EC33" s="202"/>
      <c r="ED33" s="202"/>
      <c r="EE33" s="202"/>
      <c r="EF33" s="202"/>
      <c r="EG33" s="202"/>
      <c r="EH33" s="202"/>
      <c r="EI33" s="202"/>
      <c r="EJ33" s="202"/>
      <c r="EK33" s="202"/>
      <c r="EL33" s="202"/>
      <c r="EM33" s="202"/>
      <c r="EN33" s="202"/>
      <c r="EO33" s="202"/>
      <c r="EP33" s="202"/>
      <c r="EQ33" s="202"/>
      <c r="ER33" s="202"/>
      <c r="ES33" s="202"/>
      <c r="ET33" s="202"/>
      <c r="EU33" s="202"/>
      <c r="EV33" s="202"/>
      <c r="EW33" s="202"/>
      <c r="EX33" s="202"/>
      <c r="EY33" s="202"/>
      <c r="EZ33" s="202"/>
      <c r="FA33" s="202"/>
      <c r="FB33" s="202"/>
      <c r="FC33" s="202"/>
      <c r="FD33" s="202"/>
      <c r="FE33" s="202"/>
      <c r="FF33" s="202"/>
      <c r="FG33" s="202"/>
      <c r="FH33" s="202"/>
      <c r="FI33" s="202"/>
      <c r="FJ33" s="202"/>
      <c r="FK33" s="202"/>
      <c r="FL33" s="202"/>
      <c r="FM33" s="202"/>
      <c r="FN33" s="202"/>
      <c r="FO33" s="202"/>
      <c r="FP33" s="202"/>
      <c r="FQ33" s="202"/>
      <c r="FR33" s="202"/>
      <c r="FS33" s="202"/>
      <c r="FT33" s="202"/>
      <c r="FU33" s="202"/>
      <c r="FV33" s="202"/>
      <c r="FW33" s="202"/>
      <c r="FX33" s="202"/>
      <c r="FY33" s="202"/>
      <c r="FZ33" s="202"/>
      <c r="GA33" s="202"/>
      <c r="GB33" s="202"/>
      <c r="GC33" s="202"/>
      <c r="GD33" s="202"/>
      <c r="GE33" s="202"/>
      <c r="GF33" s="202"/>
      <c r="GG33" s="202"/>
      <c r="GH33" s="202"/>
      <c r="GI33" s="202"/>
      <c r="GJ33" s="202"/>
      <c r="GK33" s="202"/>
      <c r="GL33" s="202"/>
      <c r="GM33" s="202"/>
      <c r="GN33" s="202"/>
      <c r="GO33" s="202"/>
      <c r="GP33" s="202"/>
      <c r="GQ33" s="202"/>
      <c r="GR33" s="202"/>
      <c r="GS33" s="202"/>
      <c r="GT33" s="202"/>
      <c r="GU33" s="202"/>
      <c r="GV33" s="202"/>
      <c r="GW33" s="202"/>
      <c r="GX33" s="202"/>
      <c r="GY33" s="202"/>
      <c r="GZ33" s="202"/>
      <c r="HA33" s="202"/>
      <c r="HB33" s="202"/>
      <c r="HC33" s="202"/>
      <c r="HD33" s="202"/>
      <c r="HE33" s="202"/>
      <c r="HF33" s="202"/>
      <c r="HG33" s="202"/>
      <c r="HH33" s="202"/>
      <c r="HI33" s="202"/>
      <c r="HJ33" s="202"/>
      <c r="HK33" s="202"/>
      <c r="HL33" s="202"/>
      <c r="HM33" s="202"/>
      <c r="HN33" s="202"/>
      <c r="HO33" s="202"/>
      <c r="HP33" s="202"/>
      <c r="HQ33" s="202"/>
      <c r="HR33" s="202"/>
      <c r="HS33" s="202"/>
      <c r="HT33" s="202"/>
      <c r="HU33" s="202"/>
      <c r="HV33" s="202"/>
      <c r="HW33" s="202"/>
      <c r="HX33" s="202"/>
      <c r="HY33" s="202"/>
      <c r="HZ33" s="202"/>
      <c r="IA33" s="202"/>
      <c r="IB33" s="202"/>
      <c r="IC33" s="202"/>
      <c r="ID33" s="202"/>
      <c r="IE33" s="202"/>
      <c r="IF33" s="202"/>
      <c r="IG33" s="202"/>
      <c r="IH33" s="202"/>
      <c r="II33" s="202"/>
      <c r="IJ33" s="202"/>
      <c r="IK33" s="202"/>
      <c r="IL33" s="202"/>
      <c r="IM33" s="202"/>
      <c r="IN33" s="202"/>
      <c r="IO33" s="202"/>
      <c r="IP33" s="202"/>
      <c r="IQ33" s="202"/>
      <c r="IR33" s="202"/>
      <c r="IS33" s="202"/>
      <c r="IT33" s="202"/>
      <c r="IU33" s="202"/>
      <c r="IV33" s="202"/>
      <c r="IW33" s="202"/>
      <c r="IX33" s="202"/>
      <c r="IY33" s="31">
        <v>1</v>
      </c>
      <c r="IZ33" s="43">
        <f>(TEXT(K33,"[m]")/60)*VLOOKUP(IY33,'Income Person-hours'!A$2:C$5,3,FALSE)</f>
        <v>0</v>
      </c>
      <c r="JA33" s="122"/>
      <c r="JB33" s="122"/>
      <c r="JC33" s="122"/>
      <c r="JD33" s="227">
        <f>SUM((TEXT(JA33,"[M]")/60)*'Income Person-hours'!$D$3,(TEXT(JB33,"[M]")/60)*'Income Person-hours'!$D$4,(TEXT(JC33,"[M]")/60)*'Income Person-hours'!$D$5)</f>
        <v>0</v>
      </c>
    </row>
    <row r="34" spans="1:264" s="226" customFormat="1" ht="15.75" x14ac:dyDescent="0.45">
      <c r="A34" s="209">
        <v>2.2999999999999998</v>
      </c>
      <c r="B34" s="116" t="s">
        <v>139</v>
      </c>
      <c r="C34" s="117" t="s">
        <v>79</v>
      </c>
      <c r="D34" s="203" t="str">
        <f>IF(OR(j_WEEKDAY(J_ADDDAY(VLOOKUP(I34,A:F,6,FALSE),H34,1),0)=6,SUMIFS(Holieday[ok],Holieday[date],J_ADDDAY(VLOOKUP(I34,A:F,6,FALSE),H34,1)))=FALSE(),J_ADDDAY(VLOOKUP(I34,A:F,6,FALSE),H34,1),IF(OR(j_WEEKDAY(J_ADDDAY(VLOOKUP(I34,A:F,6,FALSE),H34+1,1),0)=6,SUMIFS(Holieday[ok],Holieday[date],J_ADDDAY(VLOOKUP(I34,A:F,6,FALSE),H34+1,1)))=FALSE(),J_ADDDAY(VLOOKUP(I34,A:F,6,FALSE),H34+1,1),IF(OR(j_WEEKDAY(J_ADDDAY(VLOOKUP(I34,A:F,6,FALSE),H34+2,1),0)=6,SUMIFS(Holieday[ok],Holieday[date],J_ADDDAY(VLOOKUP(I34,A:F,6,FALSE),H34+2,1)))=FALSE(),J_ADDDAY(VLOOKUP(I34,A:F,6,FALSE),H34+2,1),IF(OR(j_WEEKDAY(J_ADDDAY(VLOOKUP(I34,A:F,6,FALSE),H34+3,1),0)=6,SUMIFS(Holieday[ok],Holieday[date],J_ADDDAY(VLOOKUP(I34,A:F,6,FALSE),H34+3,1)))=FALSE(),J_ADDDAY(VLOOKUP(I34,A:F,6,FALSE),H34+3,1),IF(OR(j_WEEKDAY(J_ADDDAY(VLOOKUP(I34,A:F,6,FALSE),H34+4,1),0)=6,SUMIFS(Holieday[ok],Holieday[date],J_ADDDAY(VLOOKUP(I34,A:F,6,FALSE),H34+4,1)))=FALSE(),J_ADDDAY(VLOOKUP(I34,A:F,6,FALSE),H34+4,1),J_ADDDAY(VLOOKUP(I34,A:F,6,FALSE),H34+5,1))))))</f>
        <v>1398/06/31</v>
      </c>
      <c r="E34" s="193">
        <f t="shared" si="4"/>
        <v>13980631</v>
      </c>
      <c r="F34" s="204" t="str">
        <f>IF(N34=0,J_SUBDAY(D34,1,1),IF((N34-(NETWORKDAYS.INTL(J_GregorianDate(D34,1),J_GregorianDate(J_SUBDAY(J_ADDDAY(D34,N34,1),1,1),1),16,1)))+SUMIFS(Holieday[ok],Holieday[date],CONCATENATE("&gt;","=",D34),Holieday[date],CONCATENATE("&lt;","=",J_SUBDAY(J_ADDDAY(D34,N34,1),1,1)))-SUMIFS(Holieday[Friday],Holieday[date],CONCATENATE("&gt;","=",D34),Holieday[date],CONCATENATE("&lt;","=",J_SUBDAY(J_ADDDAY(D34,N34,1),1,1)))=0,J_SUBDAY(J_ADDDAY(D34,N34,1),1,1),IF((N34+1-(NETWORKDAYS.INTL(J_GregorianDate(D34,1),J_GregorianDate(J_SUBDAY(J_ADDDAY(D34,N34+1,1),1,1),1),16,1)))+SUMIFS(Holieday[ok],Holieday[date],CONCATENATE("&gt;","=",D34),Holieday[date],CONCATENATE("&lt;","=",J_SUBDAY(J_ADDDAY(D34,N34+1,1),1,1)))-SUMIFS(Holieday[Friday],Holieday[date],CONCATENATE("&gt;","=",D34),Holieday[date],CONCATENATE("&lt;","=",J_SUBDAY(J_ADDDAY(D34,N34+1,1),1,1)))=1,J_SUBDAY(J_ADDDAY(D34,N34+1,1),1,1),IF((N34+2-(NETWORKDAYS.INTL(J_GregorianDate(D34,1),J_GregorianDate(J_SUBDAY(J_ADDDAY(D34,N34+2,1),1,1),1),16,1)))+SUMIFS(Holieday[ok],Holieday[date],CONCATENATE("&gt;","=",D34),Holieday[date],CONCATENATE("&lt;","=",J_SUBDAY(J_ADDDAY(D34,N34+2,1),1,1)))-SUMIFS(Holieday[Friday],Holieday[date],CONCATENATE("&gt;","=",D34),Holieday[date],CONCATENATE("&lt;","=",J_SUBDAY(J_ADDDAY(D34,N34+2,1),1,1)))=2,J_SUBDAY(J_ADDDAY(D34,N34+2,1),1,1),IF((N34+3-(NETWORKDAYS.INTL(J_GregorianDate(D34,1),J_GregorianDate(J_SUBDAY(J_ADDDAY(D34,N34+3,1),1,1),1),16,1)))+SUMIFS(Holieday[ok],Holieday[date],CONCATENATE("&gt;","=",D34),Holieday[date],CONCATENATE("&lt;","=",J_SUBDAY(J_ADDDAY(D34,N34+3,1),1,1)))-SUMIFS(Holieday[Friday],Holieday[date],CONCATENATE("&gt;","=",D34),Holieday[date],CONCATENATE("&lt;","=",J_SUBDAY(J_ADDDAY(D34,N34+3,1),1,1)))=3,J_SUBDAY(J_ADDDAY(D34,N34+3,1),1,1),IF((N34+4-(NETWORKDAYS.INTL(J_GregorianDate(D34,1),J_GregorianDate(J_SUBDAY(J_ADDDAY(D34,N34+4,1),1,1),1),16,1)))+SUMIFS(Holieday[ok],Holieday[date],CONCATENATE("&gt;","=",D34),Holieday[date],CONCATENATE("&lt;","=",J_SUBDAY(J_ADDDAY(D34,N34+4,1),1,1)))-SUMIFS(Holieday[Friday],Holieday[date],CONCATENATE("&gt;","=",D34),Holieday[date],CONCATENATE("&lt;","=",J_SUBDAY(J_ADDDAY(D34,N34+4,1),1,1)))=4,J_SUBDAY(J_ADDDAY(D34,N34+4,1),1,1),IF((N34+5-(NETWORKDAYS.INTL(J_GregorianDate(D34,1),J_GregorianDate(J_SUBDAY(J_ADDDAY(D34,N34+5,1),1,1),1),16,1)))+SUMIFS(Holieday[ok],Holieday[date],CONCATENATE("&gt;","=",D34),Holieday[date],CONCATENATE("&lt;","=",J_SUBDAY(J_ADDDAY(D34,N34+5,1),1,1)))-SUMIFS(Holieday[Friday],Holieday[date],CONCATENATE("&gt;","=",D34),Holieday[date],CONCATENATE("&lt;","=",J_SUBDAY(J_ADDDAY(D34,N34+5,1),1,1)))=5,J_SUBDAY(J_ADDDAY(D34,N34+5,1),1,1),J_SUBDAY(J_ADDDAY(D34,N34+6,1),1,1))))))))</f>
        <v>1398/06/31</v>
      </c>
      <c r="G34" s="196">
        <f t="shared" si="5"/>
        <v>13980631</v>
      </c>
      <c r="H34" s="119"/>
      <c r="I34" s="120">
        <v>2.2000000000000002</v>
      </c>
      <c r="J34" s="204">
        <f>j_WEEKDAY(D34,2)</f>
        <v>1</v>
      </c>
      <c r="K34" s="206">
        <f t="shared" si="11"/>
        <v>0</v>
      </c>
      <c r="L34" s="207">
        <f t="shared" si="12"/>
        <v>1</v>
      </c>
      <c r="M34" s="121">
        <v>1</v>
      </c>
      <c r="N34" s="118">
        <v>1</v>
      </c>
      <c r="O34" s="208">
        <f t="shared" si="13"/>
        <v>1</v>
      </c>
      <c r="P34" s="208">
        <f>VALUE(J_normdate(J_ADDDAY($D34,$O34,1)))</f>
        <v>13980701</v>
      </c>
      <c r="Q34" s="204">
        <f t="shared" si="14"/>
        <v>0</v>
      </c>
      <c r="R34" s="202"/>
      <c r="S34" s="202"/>
      <c r="T34" s="202"/>
      <c r="U34" s="202"/>
      <c r="V34" s="202"/>
      <c r="W34" s="202"/>
      <c r="X34" s="202"/>
      <c r="Y34" s="202"/>
      <c r="Z34" s="202"/>
      <c r="AA34" s="202"/>
      <c r="AB34" s="202"/>
      <c r="AC34" s="202"/>
      <c r="AD34" s="202"/>
      <c r="AE34" s="202"/>
      <c r="AF34" s="202"/>
      <c r="AG34" s="202"/>
      <c r="AH34" s="202"/>
      <c r="AI34" s="202"/>
      <c r="AJ34" s="202"/>
      <c r="AK34" s="202"/>
      <c r="AL34" s="202"/>
      <c r="AM34" s="202"/>
      <c r="AN34" s="202"/>
      <c r="AO34" s="202"/>
      <c r="AP34" s="202"/>
      <c r="AQ34" s="202"/>
      <c r="AR34" s="202"/>
      <c r="AS34" s="202"/>
      <c r="AT34" s="202"/>
      <c r="AU34" s="202"/>
      <c r="AV34" s="202"/>
      <c r="AW34" s="202"/>
      <c r="AX34" s="202"/>
      <c r="AY34" s="202"/>
      <c r="AZ34" s="202"/>
      <c r="BA34" s="202"/>
      <c r="BB34" s="202"/>
      <c r="BC34" s="202"/>
      <c r="BD34" s="202"/>
      <c r="BE34" s="202"/>
      <c r="BF34" s="202"/>
      <c r="BG34" s="202"/>
      <c r="BH34" s="202"/>
      <c r="BI34" s="202"/>
      <c r="BJ34" s="202"/>
      <c r="BK34" s="202"/>
      <c r="BL34" s="202"/>
      <c r="BM34" s="202"/>
      <c r="BN34" s="202"/>
      <c r="BO34" s="202"/>
      <c r="BP34" s="202"/>
      <c r="BQ34" s="202"/>
      <c r="BR34" s="202"/>
      <c r="BS34" s="202"/>
      <c r="BT34" s="202"/>
      <c r="BU34" s="202"/>
      <c r="BV34" s="202"/>
      <c r="BW34" s="202"/>
      <c r="BX34" s="202"/>
      <c r="BY34" s="202"/>
      <c r="BZ34" s="202"/>
      <c r="CA34" s="202"/>
      <c r="CB34" s="202"/>
      <c r="CC34" s="202"/>
      <c r="CD34" s="202"/>
      <c r="CE34" s="202"/>
      <c r="CF34" s="202"/>
      <c r="CG34" s="202"/>
      <c r="CH34" s="202"/>
      <c r="CI34" s="202"/>
      <c r="CJ34" s="202"/>
      <c r="CK34" s="202"/>
      <c r="CL34" s="202"/>
      <c r="CM34" s="202"/>
      <c r="CN34" s="202"/>
      <c r="CO34" s="202"/>
      <c r="CP34" s="202"/>
      <c r="CQ34" s="202"/>
      <c r="CR34" s="202"/>
      <c r="CS34" s="202"/>
      <c r="CT34" s="202"/>
      <c r="CU34" s="202"/>
      <c r="CV34" s="202"/>
      <c r="CW34" s="202"/>
      <c r="CX34" s="202"/>
      <c r="CY34" s="202"/>
      <c r="CZ34" s="202"/>
      <c r="DA34" s="202"/>
      <c r="DB34" s="202"/>
      <c r="DC34" s="202"/>
      <c r="DD34" s="202"/>
      <c r="DE34" s="202"/>
      <c r="DF34" s="202"/>
      <c r="DG34" s="202"/>
      <c r="DH34" s="202"/>
      <c r="DI34" s="202"/>
      <c r="DJ34" s="202"/>
      <c r="DK34" s="202"/>
      <c r="DL34" s="202"/>
      <c r="DM34" s="202"/>
      <c r="DN34" s="202"/>
      <c r="DO34" s="202"/>
      <c r="DP34" s="202"/>
      <c r="DQ34" s="202"/>
      <c r="DR34" s="202"/>
      <c r="DS34" s="202"/>
      <c r="DT34" s="202"/>
      <c r="DU34" s="202"/>
      <c r="DV34" s="202"/>
      <c r="DW34" s="202"/>
      <c r="DX34" s="202"/>
      <c r="DY34" s="202"/>
      <c r="DZ34" s="202"/>
      <c r="EA34" s="202"/>
      <c r="EB34" s="202"/>
      <c r="EC34" s="202"/>
      <c r="ED34" s="202"/>
      <c r="EE34" s="202"/>
      <c r="EF34" s="202"/>
      <c r="EG34" s="202"/>
      <c r="EH34" s="202"/>
      <c r="EI34" s="202"/>
      <c r="EJ34" s="202"/>
      <c r="EK34" s="202"/>
      <c r="EL34" s="202"/>
      <c r="EM34" s="202"/>
      <c r="EN34" s="202"/>
      <c r="EO34" s="202"/>
      <c r="EP34" s="202"/>
      <c r="EQ34" s="202"/>
      <c r="ER34" s="202"/>
      <c r="ES34" s="202"/>
      <c r="ET34" s="202"/>
      <c r="EU34" s="202"/>
      <c r="EV34" s="202"/>
      <c r="EW34" s="202"/>
      <c r="EX34" s="202"/>
      <c r="EY34" s="202"/>
      <c r="EZ34" s="202"/>
      <c r="FA34" s="202"/>
      <c r="FB34" s="202"/>
      <c r="FC34" s="202"/>
      <c r="FD34" s="202"/>
      <c r="FE34" s="202"/>
      <c r="FF34" s="202"/>
      <c r="FG34" s="202"/>
      <c r="FH34" s="202"/>
      <c r="FI34" s="202"/>
      <c r="FJ34" s="202"/>
      <c r="FK34" s="202"/>
      <c r="FL34" s="202"/>
      <c r="FM34" s="202"/>
      <c r="FN34" s="202"/>
      <c r="FO34" s="202"/>
      <c r="FP34" s="202"/>
      <c r="FQ34" s="202"/>
      <c r="FR34" s="202"/>
      <c r="FS34" s="202"/>
      <c r="FT34" s="202"/>
      <c r="FU34" s="202"/>
      <c r="FV34" s="202"/>
      <c r="FW34" s="202"/>
      <c r="FX34" s="202"/>
      <c r="FY34" s="202"/>
      <c r="FZ34" s="202"/>
      <c r="GA34" s="202"/>
      <c r="GB34" s="202"/>
      <c r="GC34" s="202"/>
      <c r="GD34" s="202"/>
      <c r="GE34" s="202"/>
      <c r="GF34" s="202"/>
      <c r="GG34" s="202"/>
      <c r="GH34" s="202"/>
      <c r="GI34" s="202"/>
      <c r="GJ34" s="202"/>
      <c r="GK34" s="202"/>
      <c r="GL34" s="202"/>
      <c r="GM34" s="202"/>
      <c r="GN34" s="202"/>
      <c r="GO34" s="202"/>
      <c r="GP34" s="202"/>
      <c r="GQ34" s="202"/>
      <c r="GR34" s="202"/>
      <c r="GS34" s="202"/>
      <c r="GT34" s="202"/>
      <c r="GU34" s="202"/>
      <c r="GV34" s="202"/>
      <c r="GW34" s="202"/>
      <c r="GX34" s="202"/>
      <c r="GY34" s="202"/>
      <c r="GZ34" s="202"/>
      <c r="HA34" s="202"/>
      <c r="HB34" s="202"/>
      <c r="HC34" s="202"/>
      <c r="HD34" s="202"/>
      <c r="HE34" s="202"/>
      <c r="HF34" s="202"/>
      <c r="HG34" s="202"/>
      <c r="HH34" s="202"/>
      <c r="HI34" s="202"/>
      <c r="HJ34" s="202"/>
      <c r="HK34" s="202"/>
      <c r="HL34" s="202"/>
      <c r="HM34" s="202"/>
      <c r="HN34" s="202"/>
      <c r="HO34" s="202"/>
      <c r="HP34" s="202"/>
      <c r="HQ34" s="202"/>
      <c r="HR34" s="202"/>
      <c r="HS34" s="202"/>
      <c r="HT34" s="202"/>
      <c r="HU34" s="202"/>
      <c r="HV34" s="202"/>
      <c r="HW34" s="202"/>
      <c r="HX34" s="202"/>
      <c r="HY34" s="202"/>
      <c r="HZ34" s="202"/>
      <c r="IA34" s="202"/>
      <c r="IB34" s="202"/>
      <c r="IC34" s="202"/>
      <c r="ID34" s="202"/>
      <c r="IE34" s="202"/>
      <c r="IF34" s="202"/>
      <c r="IG34" s="202"/>
      <c r="IH34" s="202"/>
      <c r="II34" s="202"/>
      <c r="IJ34" s="202"/>
      <c r="IK34" s="202"/>
      <c r="IL34" s="202"/>
      <c r="IM34" s="202"/>
      <c r="IN34" s="202"/>
      <c r="IO34" s="202"/>
      <c r="IP34" s="202"/>
      <c r="IQ34" s="202"/>
      <c r="IR34" s="202"/>
      <c r="IS34" s="202"/>
      <c r="IT34" s="202"/>
      <c r="IU34" s="202"/>
      <c r="IV34" s="202"/>
      <c r="IW34" s="202"/>
      <c r="IX34" s="202"/>
      <c r="IY34" s="31">
        <v>2</v>
      </c>
      <c r="IZ34" s="43">
        <f>(TEXT(K34,"[m]")/60)*VLOOKUP(IY34,'Income Person-hours'!A$2:C$5,3,FALSE)</f>
        <v>0</v>
      </c>
      <c r="JA34" s="122"/>
      <c r="JB34" s="122"/>
      <c r="JC34" s="122"/>
      <c r="JD34" s="227">
        <f>SUM((TEXT(JA34,"[M]")/60)*'Income Person-hours'!$D$3,(TEXT(JB34,"[M]")/60)*'Income Person-hours'!$D$4,(TEXT(JC34,"[M]")/60)*'Income Person-hours'!$D$5)</f>
        <v>0</v>
      </c>
    </row>
    <row r="35" spans="1:264" s="226" customFormat="1" ht="15.75" x14ac:dyDescent="0.45">
      <c r="A35" s="209">
        <v>2.4</v>
      </c>
      <c r="B35" s="243" t="s">
        <v>140</v>
      </c>
      <c r="C35" s="117" t="s">
        <v>111</v>
      </c>
      <c r="D35" s="203" t="str">
        <f>IF(OR(j_WEEKDAY(J_ADDDAY(VLOOKUP(I35,A:F,6,FALSE),H35,1),0)=6,SUMIFS(Holieday[ok],Holieday[date],J_ADDDAY(VLOOKUP(I35,A:F,6,FALSE),H35,1)))=FALSE(),J_ADDDAY(VLOOKUP(I35,A:F,6,FALSE),H35,1),IF(OR(j_WEEKDAY(J_ADDDAY(VLOOKUP(I35,A:F,6,FALSE),H35+1,1),0)=6,SUMIFS(Holieday[ok],Holieday[date],J_ADDDAY(VLOOKUP(I35,A:F,6,FALSE),H35+1,1)))=FALSE(),J_ADDDAY(VLOOKUP(I35,A:F,6,FALSE),H35+1,1),IF(OR(j_WEEKDAY(J_ADDDAY(VLOOKUP(I35,A:F,6,FALSE),H35+2,1),0)=6,SUMIFS(Holieday[ok],Holieday[date],J_ADDDAY(VLOOKUP(I35,A:F,6,FALSE),H35+2,1)))=FALSE(),J_ADDDAY(VLOOKUP(I35,A:F,6,FALSE),H35+2,1),IF(OR(j_WEEKDAY(J_ADDDAY(VLOOKUP(I35,A:F,6,FALSE),H35+3,1),0)=6,SUMIFS(Holieday[ok],Holieday[date],J_ADDDAY(VLOOKUP(I35,A:F,6,FALSE),H35+3,1)))=FALSE(),J_ADDDAY(VLOOKUP(I35,A:F,6,FALSE),H35+3,1),IF(OR(j_WEEKDAY(J_ADDDAY(VLOOKUP(I35,A:F,6,FALSE),H35+4,1),0)=6,SUMIFS(Holieday[ok],Holieday[date],J_ADDDAY(VLOOKUP(I35,A:F,6,FALSE),H35+4,1)))=FALSE(),J_ADDDAY(VLOOKUP(I35,A:F,6,FALSE),H35+4,1),J_ADDDAY(VLOOKUP(I35,A:F,6,FALSE),H35+5,1))))))</f>
        <v>1398/07/01</v>
      </c>
      <c r="E35" s="193">
        <f t="shared" si="4"/>
        <v>13980701</v>
      </c>
      <c r="F35" s="204" t="str">
        <f>IF(N35=0,J_SUBDAY(D35,1,1),IF((N35-(NETWORKDAYS.INTL(J_GregorianDate(D35,1),J_GregorianDate(J_SUBDAY(J_ADDDAY(D35,N35,1),1,1),1),16,1)))+SUMIFS(Holieday[ok],Holieday[date],CONCATENATE("&gt;","=",D35),Holieday[date],CONCATENATE("&lt;","=",J_SUBDAY(J_ADDDAY(D35,N35,1),1,1)))-SUMIFS(Holieday[Friday],Holieday[date],CONCATENATE("&gt;","=",D35),Holieday[date],CONCATENATE("&lt;","=",J_SUBDAY(J_ADDDAY(D35,N35,1),1,1)))=0,J_SUBDAY(J_ADDDAY(D35,N35,1),1,1),IF((N35+1-(NETWORKDAYS.INTL(J_GregorianDate(D35,1),J_GregorianDate(J_SUBDAY(J_ADDDAY(D35,N35+1,1),1,1),1),16,1)))+SUMIFS(Holieday[ok],Holieday[date],CONCATENATE("&gt;","=",D35),Holieday[date],CONCATENATE("&lt;","=",J_SUBDAY(J_ADDDAY(D35,N35+1,1),1,1)))-SUMIFS(Holieday[Friday],Holieday[date],CONCATENATE("&gt;","=",D35),Holieday[date],CONCATENATE("&lt;","=",J_SUBDAY(J_ADDDAY(D35,N35+1,1),1,1)))=1,J_SUBDAY(J_ADDDAY(D35,N35+1,1),1,1),IF((N35+2-(NETWORKDAYS.INTL(J_GregorianDate(D35,1),J_GregorianDate(J_SUBDAY(J_ADDDAY(D35,N35+2,1),1,1),1),16,1)))+SUMIFS(Holieday[ok],Holieday[date],CONCATENATE("&gt;","=",D35),Holieday[date],CONCATENATE("&lt;","=",J_SUBDAY(J_ADDDAY(D35,N35+2,1),1,1)))-SUMIFS(Holieday[Friday],Holieday[date],CONCATENATE("&gt;","=",D35),Holieday[date],CONCATENATE("&lt;","=",J_SUBDAY(J_ADDDAY(D35,N35+2,1),1,1)))=2,J_SUBDAY(J_ADDDAY(D35,N35+2,1),1,1),IF((N35+3-(NETWORKDAYS.INTL(J_GregorianDate(D35,1),J_GregorianDate(J_SUBDAY(J_ADDDAY(D35,N35+3,1),1,1),1),16,1)))+SUMIFS(Holieday[ok],Holieday[date],CONCATENATE("&gt;","=",D35),Holieday[date],CONCATENATE("&lt;","=",J_SUBDAY(J_ADDDAY(D35,N35+3,1),1,1)))-SUMIFS(Holieday[Friday],Holieday[date],CONCATENATE("&gt;","=",D35),Holieday[date],CONCATENATE("&lt;","=",J_SUBDAY(J_ADDDAY(D35,N35+3,1),1,1)))=3,J_SUBDAY(J_ADDDAY(D35,N35+3,1),1,1),IF((N35+4-(NETWORKDAYS.INTL(J_GregorianDate(D35,1),J_GregorianDate(J_SUBDAY(J_ADDDAY(D35,N35+4,1),1,1),1),16,1)))+SUMIFS(Holieday[ok],Holieday[date],CONCATENATE("&gt;","=",D35),Holieday[date],CONCATENATE("&lt;","=",J_SUBDAY(J_ADDDAY(D35,N35+4,1),1,1)))-SUMIFS(Holieday[Friday],Holieday[date],CONCATENATE("&gt;","=",D35),Holieday[date],CONCATENATE("&lt;","=",J_SUBDAY(J_ADDDAY(D35,N35+4,1),1,1)))=4,J_SUBDAY(J_ADDDAY(D35,N35+4,1),1,1),IF((N35+5-(NETWORKDAYS.INTL(J_GregorianDate(D35,1),J_GregorianDate(J_SUBDAY(J_ADDDAY(D35,N35+5,1),1,1),1),16,1)))+SUMIFS(Holieday[ok],Holieday[date],CONCATENATE("&gt;","=",D35),Holieday[date],CONCATENATE("&lt;","=",J_SUBDAY(J_ADDDAY(D35,N35+5,1),1,1)))-SUMIFS(Holieday[Friday],Holieday[date],CONCATENATE("&gt;","=",D35),Holieday[date],CONCATENATE("&lt;","=",J_SUBDAY(J_ADDDAY(D35,N35+5,1),1,1)))=5,J_SUBDAY(J_ADDDAY(D35,N35+5,1),1,1),J_SUBDAY(J_ADDDAY(D35,N35+6,1),1,1))))))))</f>
        <v>1398/07/02</v>
      </c>
      <c r="G35" s="196">
        <f t="shared" si="5"/>
        <v>13980702</v>
      </c>
      <c r="H35" s="119">
        <v>1</v>
      </c>
      <c r="I35" s="120">
        <v>2.2999999999999998</v>
      </c>
      <c r="J35" s="204">
        <f>j_WEEKDAY(D35,2)</f>
        <v>2</v>
      </c>
      <c r="K35" s="206">
        <f t="shared" si="11"/>
        <v>0</v>
      </c>
      <c r="L35" s="207">
        <f t="shared" si="12"/>
        <v>2</v>
      </c>
      <c r="M35" s="121">
        <v>1</v>
      </c>
      <c r="N35" s="118">
        <v>2</v>
      </c>
      <c r="O35" s="208">
        <f t="shared" si="13"/>
        <v>2</v>
      </c>
      <c r="P35" s="208">
        <f>VALUE(J_normdate(J_ADDDAY($D35,$O35,1)))</f>
        <v>13980703</v>
      </c>
      <c r="Q35" s="204">
        <f t="shared" si="14"/>
        <v>0</v>
      </c>
      <c r="R35" s="202"/>
      <c r="S35" s="202"/>
      <c r="T35" s="202"/>
      <c r="U35" s="202"/>
      <c r="V35" s="202"/>
      <c r="W35" s="202"/>
      <c r="X35" s="202"/>
      <c r="Y35" s="202"/>
      <c r="Z35" s="202"/>
      <c r="AA35" s="202"/>
      <c r="AB35" s="202"/>
      <c r="AC35" s="202"/>
      <c r="AD35" s="202"/>
      <c r="AE35" s="202"/>
      <c r="AF35" s="202"/>
      <c r="AG35" s="202"/>
      <c r="AH35" s="202"/>
      <c r="AI35" s="202"/>
      <c r="AJ35" s="202"/>
      <c r="AK35" s="202"/>
      <c r="AL35" s="202"/>
      <c r="AM35" s="202"/>
      <c r="AN35" s="202"/>
      <c r="AO35" s="202"/>
      <c r="AP35" s="202"/>
      <c r="AQ35" s="202"/>
      <c r="AR35" s="202"/>
      <c r="AS35" s="202"/>
      <c r="AT35" s="202"/>
      <c r="AU35" s="202"/>
      <c r="AV35" s="202"/>
      <c r="AW35" s="202"/>
      <c r="AX35" s="202"/>
      <c r="AY35" s="202"/>
      <c r="AZ35" s="202"/>
      <c r="BA35" s="202"/>
      <c r="BB35" s="202"/>
      <c r="BC35" s="202"/>
      <c r="BD35" s="202"/>
      <c r="BE35" s="202"/>
      <c r="BF35" s="202"/>
      <c r="BG35" s="202"/>
      <c r="BH35" s="202"/>
      <c r="BI35" s="202"/>
      <c r="BJ35" s="202"/>
      <c r="BK35" s="202"/>
      <c r="BL35" s="202"/>
      <c r="BM35" s="202"/>
      <c r="BN35" s="202"/>
      <c r="BO35" s="202"/>
      <c r="BP35" s="202"/>
      <c r="BQ35" s="202"/>
      <c r="BR35" s="202"/>
      <c r="BS35" s="202"/>
      <c r="BT35" s="202"/>
      <c r="BU35" s="202"/>
      <c r="BV35" s="202"/>
      <c r="BW35" s="202"/>
      <c r="BX35" s="202"/>
      <c r="BY35" s="202"/>
      <c r="BZ35" s="202"/>
      <c r="CA35" s="202"/>
      <c r="CB35" s="202"/>
      <c r="CC35" s="202"/>
      <c r="CD35" s="202"/>
      <c r="CE35" s="202"/>
      <c r="CF35" s="202"/>
      <c r="CG35" s="202"/>
      <c r="CH35" s="202"/>
      <c r="CI35" s="202"/>
      <c r="CJ35" s="202"/>
      <c r="CK35" s="202"/>
      <c r="CL35" s="202"/>
      <c r="CM35" s="202"/>
      <c r="CN35" s="202"/>
      <c r="CO35" s="202"/>
      <c r="CP35" s="202"/>
      <c r="CQ35" s="202"/>
      <c r="CR35" s="202"/>
      <c r="CS35" s="202"/>
      <c r="CT35" s="202"/>
      <c r="CU35" s="202"/>
      <c r="CV35" s="202"/>
      <c r="CW35" s="202"/>
      <c r="CX35" s="202"/>
      <c r="CY35" s="202"/>
      <c r="CZ35" s="202"/>
      <c r="DA35" s="202"/>
      <c r="DB35" s="202"/>
      <c r="DC35" s="202"/>
      <c r="DD35" s="202"/>
      <c r="DE35" s="202"/>
      <c r="DF35" s="202"/>
      <c r="DG35" s="202"/>
      <c r="DH35" s="202"/>
      <c r="DI35" s="202"/>
      <c r="DJ35" s="202"/>
      <c r="DK35" s="202"/>
      <c r="DL35" s="202"/>
      <c r="DM35" s="202"/>
      <c r="DN35" s="202"/>
      <c r="DO35" s="202"/>
      <c r="DP35" s="202"/>
      <c r="DQ35" s="202"/>
      <c r="DR35" s="202"/>
      <c r="DS35" s="202"/>
      <c r="DT35" s="202"/>
      <c r="DU35" s="202"/>
      <c r="DV35" s="202"/>
      <c r="DW35" s="202"/>
      <c r="DX35" s="202"/>
      <c r="DY35" s="202"/>
      <c r="DZ35" s="202"/>
      <c r="EA35" s="202"/>
      <c r="EB35" s="202"/>
      <c r="EC35" s="202"/>
      <c r="ED35" s="202"/>
      <c r="EE35" s="202"/>
      <c r="EF35" s="202"/>
      <c r="EG35" s="202"/>
      <c r="EH35" s="202"/>
      <c r="EI35" s="202"/>
      <c r="EJ35" s="202"/>
      <c r="EK35" s="202"/>
      <c r="EL35" s="202"/>
      <c r="EM35" s="202"/>
      <c r="EN35" s="202"/>
      <c r="EO35" s="202"/>
      <c r="EP35" s="202"/>
      <c r="EQ35" s="202"/>
      <c r="ER35" s="202"/>
      <c r="ES35" s="202"/>
      <c r="ET35" s="202"/>
      <c r="EU35" s="202"/>
      <c r="EV35" s="202"/>
      <c r="EW35" s="202"/>
      <c r="EX35" s="202"/>
      <c r="EY35" s="202"/>
      <c r="EZ35" s="202"/>
      <c r="FA35" s="202"/>
      <c r="FB35" s="202"/>
      <c r="FC35" s="202"/>
      <c r="FD35" s="202"/>
      <c r="FE35" s="202"/>
      <c r="FF35" s="202"/>
      <c r="FG35" s="202"/>
      <c r="FH35" s="202"/>
      <c r="FI35" s="202"/>
      <c r="FJ35" s="202"/>
      <c r="FK35" s="202"/>
      <c r="FL35" s="202"/>
      <c r="FM35" s="202"/>
      <c r="FN35" s="202"/>
      <c r="FO35" s="202"/>
      <c r="FP35" s="202"/>
      <c r="FQ35" s="202"/>
      <c r="FR35" s="202"/>
      <c r="FS35" s="202"/>
      <c r="FT35" s="202"/>
      <c r="FU35" s="202"/>
      <c r="FV35" s="202"/>
      <c r="FW35" s="202"/>
      <c r="FX35" s="202"/>
      <c r="FY35" s="202"/>
      <c r="FZ35" s="202"/>
      <c r="GA35" s="202"/>
      <c r="GB35" s="202"/>
      <c r="GC35" s="202"/>
      <c r="GD35" s="202"/>
      <c r="GE35" s="202"/>
      <c r="GF35" s="202"/>
      <c r="GG35" s="202"/>
      <c r="GH35" s="202"/>
      <c r="GI35" s="202"/>
      <c r="GJ35" s="202"/>
      <c r="GK35" s="202"/>
      <c r="GL35" s="202"/>
      <c r="GM35" s="202"/>
      <c r="GN35" s="202"/>
      <c r="GO35" s="202"/>
      <c r="GP35" s="202"/>
      <c r="GQ35" s="202"/>
      <c r="GR35" s="202"/>
      <c r="GS35" s="202"/>
      <c r="GT35" s="202"/>
      <c r="GU35" s="202"/>
      <c r="GV35" s="202"/>
      <c r="GW35" s="202"/>
      <c r="GX35" s="202"/>
      <c r="GY35" s="202"/>
      <c r="GZ35" s="202"/>
      <c r="HA35" s="202"/>
      <c r="HB35" s="202"/>
      <c r="HC35" s="202"/>
      <c r="HD35" s="202"/>
      <c r="HE35" s="202"/>
      <c r="HF35" s="202"/>
      <c r="HG35" s="202"/>
      <c r="HH35" s="202"/>
      <c r="HI35" s="202"/>
      <c r="HJ35" s="202"/>
      <c r="HK35" s="202"/>
      <c r="HL35" s="202"/>
      <c r="HM35" s="202"/>
      <c r="HN35" s="202"/>
      <c r="HO35" s="202"/>
      <c r="HP35" s="202"/>
      <c r="HQ35" s="202"/>
      <c r="HR35" s="202"/>
      <c r="HS35" s="202"/>
      <c r="HT35" s="202"/>
      <c r="HU35" s="202"/>
      <c r="HV35" s="202"/>
      <c r="HW35" s="202"/>
      <c r="HX35" s="202"/>
      <c r="HY35" s="202"/>
      <c r="HZ35" s="202"/>
      <c r="IA35" s="202"/>
      <c r="IB35" s="202"/>
      <c r="IC35" s="202"/>
      <c r="ID35" s="202"/>
      <c r="IE35" s="202"/>
      <c r="IF35" s="202"/>
      <c r="IG35" s="202"/>
      <c r="IH35" s="202"/>
      <c r="II35" s="202"/>
      <c r="IJ35" s="202"/>
      <c r="IK35" s="202"/>
      <c r="IL35" s="202"/>
      <c r="IM35" s="202"/>
      <c r="IN35" s="202"/>
      <c r="IO35" s="202"/>
      <c r="IP35" s="202"/>
      <c r="IQ35" s="202"/>
      <c r="IR35" s="202"/>
      <c r="IS35" s="202"/>
      <c r="IT35" s="202"/>
      <c r="IU35" s="202"/>
      <c r="IV35" s="202"/>
      <c r="IW35" s="202"/>
      <c r="IX35" s="202"/>
      <c r="IY35" s="31">
        <v>1</v>
      </c>
      <c r="IZ35" s="43">
        <f>(TEXT(K35,"[m]")/60)*VLOOKUP(IY35,'Income Person-hours'!A$2:C$5,3,FALSE)</f>
        <v>0</v>
      </c>
      <c r="JA35" s="122"/>
      <c r="JB35" s="122"/>
      <c r="JC35" s="122"/>
      <c r="JD35" s="227">
        <f>SUM((TEXT(JA35,"[M]")/60)*'Income Person-hours'!$D$3,(TEXT(JB35,"[M]")/60)*'Income Person-hours'!$D$4,(TEXT(JC35,"[M]")/60)*'Income Person-hours'!$D$5)</f>
        <v>0</v>
      </c>
    </row>
    <row r="36" spans="1:264" s="226" customFormat="1" ht="15.75" x14ac:dyDescent="0.45">
      <c r="A36" s="209">
        <v>2.5</v>
      </c>
      <c r="B36" s="243" t="s">
        <v>154</v>
      </c>
      <c r="C36" s="117" t="s">
        <v>111</v>
      </c>
      <c r="D36" s="203" t="str">
        <f>IF(OR(j_WEEKDAY(J_ADDDAY(VLOOKUP(I36,A:F,6,FALSE),H36,1),0)=6,SUMIFS(Holieday[ok],Holieday[date],J_ADDDAY(VLOOKUP(I36,A:F,6,FALSE),H36,1)))=FALSE(),J_ADDDAY(VLOOKUP(I36,A:F,6,FALSE),H36,1),IF(OR(j_WEEKDAY(J_ADDDAY(VLOOKUP(I36,A:F,6,FALSE),H36+1,1),0)=6,SUMIFS(Holieday[ok],Holieday[date],J_ADDDAY(VLOOKUP(I36,A:F,6,FALSE),H36+1,1)))=FALSE(),J_ADDDAY(VLOOKUP(I36,A:F,6,FALSE),H36+1,1),IF(OR(j_WEEKDAY(J_ADDDAY(VLOOKUP(I36,A:F,6,FALSE),H36+2,1),0)=6,SUMIFS(Holieday[ok],Holieday[date],J_ADDDAY(VLOOKUP(I36,A:F,6,FALSE),H36+2,1)))=FALSE(),J_ADDDAY(VLOOKUP(I36,A:F,6,FALSE),H36+2,1),IF(OR(j_WEEKDAY(J_ADDDAY(VLOOKUP(I36,A:F,6,FALSE),H36+3,1),0)=6,SUMIFS(Holieday[ok],Holieday[date],J_ADDDAY(VLOOKUP(I36,A:F,6,FALSE),H36+3,1)))=FALSE(),J_ADDDAY(VLOOKUP(I36,A:F,6,FALSE),H36+3,1),IF(OR(j_WEEKDAY(J_ADDDAY(VLOOKUP(I36,A:F,6,FALSE),H36+4,1),0)=6,SUMIFS(Holieday[ok],Holieday[date],J_ADDDAY(VLOOKUP(I36,A:F,6,FALSE),H36+4,1)))=FALSE(),J_ADDDAY(VLOOKUP(I36,A:F,6,FALSE),H36+4,1),J_ADDDAY(VLOOKUP(I36,A:F,6,FALSE),H36+5,1))))))</f>
        <v>1398/07/03</v>
      </c>
      <c r="E36" s="193">
        <f t="shared" si="4"/>
        <v>13980703</v>
      </c>
      <c r="F36" s="204" t="str">
        <f>IF(N36=0,J_SUBDAY(D36,1,1),IF((N36-(NETWORKDAYS.INTL(J_GregorianDate(D36,1),J_GregorianDate(J_SUBDAY(J_ADDDAY(D36,N36,1),1,1),1),16,1)))+SUMIFS(Holieday[ok],Holieday[date],CONCATENATE("&gt;","=",D36),Holieday[date],CONCATENATE("&lt;","=",J_SUBDAY(J_ADDDAY(D36,N36,1),1,1)))-SUMIFS(Holieday[Friday],Holieday[date],CONCATENATE("&gt;","=",D36),Holieday[date],CONCATENATE("&lt;","=",J_SUBDAY(J_ADDDAY(D36,N36,1),1,1)))=0,J_SUBDAY(J_ADDDAY(D36,N36,1),1,1),IF((N36+1-(NETWORKDAYS.INTL(J_GregorianDate(D36,1),J_GregorianDate(J_SUBDAY(J_ADDDAY(D36,N36+1,1),1,1),1),16,1)))+SUMIFS(Holieday[ok],Holieday[date],CONCATENATE("&gt;","=",D36),Holieday[date],CONCATENATE("&lt;","=",J_SUBDAY(J_ADDDAY(D36,N36+1,1),1,1)))-SUMIFS(Holieday[Friday],Holieday[date],CONCATENATE("&gt;","=",D36),Holieday[date],CONCATENATE("&lt;","=",J_SUBDAY(J_ADDDAY(D36,N36+1,1),1,1)))=1,J_SUBDAY(J_ADDDAY(D36,N36+1,1),1,1),IF((N36+2-(NETWORKDAYS.INTL(J_GregorianDate(D36,1),J_GregorianDate(J_SUBDAY(J_ADDDAY(D36,N36+2,1),1,1),1),16,1)))+SUMIFS(Holieday[ok],Holieday[date],CONCATENATE("&gt;","=",D36),Holieday[date],CONCATENATE("&lt;","=",J_SUBDAY(J_ADDDAY(D36,N36+2,1),1,1)))-SUMIFS(Holieday[Friday],Holieday[date],CONCATENATE("&gt;","=",D36),Holieday[date],CONCATENATE("&lt;","=",J_SUBDAY(J_ADDDAY(D36,N36+2,1),1,1)))=2,J_SUBDAY(J_ADDDAY(D36,N36+2,1),1,1),IF((N36+3-(NETWORKDAYS.INTL(J_GregorianDate(D36,1),J_GregorianDate(J_SUBDAY(J_ADDDAY(D36,N36+3,1),1,1),1),16,1)))+SUMIFS(Holieday[ok],Holieday[date],CONCATENATE("&gt;","=",D36),Holieday[date],CONCATENATE("&lt;","=",J_SUBDAY(J_ADDDAY(D36,N36+3,1),1,1)))-SUMIFS(Holieday[Friday],Holieday[date],CONCATENATE("&gt;","=",D36),Holieday[date],CONCATENATE("&lt;","=",J_SUBDAY(J_ADDDAY(D36,N36+3,1),1,1)))=3,J_SUBDAY(J_ADDDAY(D36,N36+3,1),1,1),IF((N36+4-(NETWORKDAYS.INTL(J_GregorianDate(D36,1),J_GregorianDate(J_SUBDAY(J_ADDDAY(D36,N36+4,1),1,1),1),16,1)))+SUMIFS(Holieday[ok],Holieday[date],CONCATENATE("&gt;","=",D36),Holieday[date],CONCATENATE("&lt;","=",J_SUBDAY(J_ADDDAY(D36,N36+4,1),1,1)))-SUMIFS(Holieday[Friday],Holieday[date],CONCATENATE("&gt;","=",D36),Holieday[date],CONCATENATE("&lt;","=",J_SUBDAY(J_ADDDAY(D36,N36+4,1),1,1)))=4,J_SUBDAY(J_ADDDAY(D36,N36+4,1),1,1),IF((N36+5-(NETWORKDAYS.INTL(J_GregorianDate(D36,1),J_GregorianDate(J_SUBDAY(J_ADDDAY(D36,N36+5,1),1,1),1),16,1)))+SUMIFS(Holieday[ok],Holieday[date],CONCATENATE("&gt;","=",D36),Holieday[date],CONCATENATE("&lt;","=",J_SUBDAY(J_ADDDAY(D36,N36+5,1),1,1)))-SUMIFS(Holieday[Friday],Holieday[date],CONCATENATE("&gt;","=",D36),Holieday[date],CONCATENATE("&lt;","=",J_SUBDAY(J_ADDDAY(D36,N36+5,1),1,1)))=5,J_SUBDAY(J_ADDDAY(D36,N36+5,1),1,1),J_SUBDAY(J_ADDDAY(D36,N36+6,1),1,1))))))))</f>
        <v>1398/07/04</v>
      </c>
      <c r="G36" s="196">
        <f t="shared" si="5"/>
        <v>13980704</v>
      </c>
      <c r="H36" s="119">
        <v>1</v>
      </c>
      <c r="I36" s="120">
        <v>2.4</v>
      </c>
      <c r="J36" s="204">
        <f>j_WEEKDAY(D36,2)</f>
        <v>4</v>
      </c>
      <c r="K36" s="206">
        <f t="shared" si="11"/>
        <v>0</v>
      </c>
      <c r="L36" s="207">
        <f t="shared" si="12"/>
        <v>2</v>
      </c>
      <c r="M36" s="121">
        <v>1</v>
      </c>
      <c r="N36" s="118">
        <v>2</v>
      </c>
      <c r="O36" s="208">
        <f t="shared" si="13"/>
        <v>2</v>
      </c>
      <c r="P36" s="208">
        <f>VALUE(J_normdate(J_ADDDAY($D36,$O36,1)))</f>
        <v>13980705</v>
      </c>
      <c r="Q36" s="204">
        <f t="shared" si="14"/>
        <v>0</v>
      </c>
      <c r="R36" s="202"/>
      <c r="S36" s="202"/>
      <c r="T36" s="202"/>
      <c r="U36" s="202"/>
      <c r="V36" s="202"/>
      <c r="W36" s="202"/>
      <c r="X36" s="202"/>
      <c r="Y36" s="202"/>
      <c r="Z36" s="202"/>
      <c r="AA36" s="202"/>
      <c r="AB36" s="202"/>
      <c r="AC36" s="202"/>
      <c r="AD36" s="202"/>
      <c r="AE36" s="202"/>
      <c r="AF36" s="202"/>
      <c r="AG36" s="202"/>
      <c r="AH36" s="202"/>
      <c r="AI36" s="202"/>
      <c r="AJ36" s="202"/>
      <c r="AK36" s="202"/>
      <c r="AL36" s="202"/>
      <c r="AM36" s="202"/>
      <c r="AN36" s="202"/>
      <c r="AO36" s="202"/>
      <c r="AP36" s="202"/>
      <c r="AQ36" s="202"/>
      <c r="AR36" s="202"/>
      <c r="AS36" s="202"/>
      <c r="AT36" s="202"/>
      <c r="AU36" s="202"/>
      <c r="AV36" s="202"/>
      <c r="AW36" s="202"/>
      <c r="AX36" s="202"/>
      <c r="AY36" s="202"/>
      <c r="AZ36" s="202"/>
      <c r="BA36" s="202"/>
      <c r="BB36" s="202"/>
      <c r="BC36" s="202"/>
      <c r="BD36" s="202"/>
      <c r="BE36" s="202"/>
      <c r="BF36" s="202"/>
      <c r="BG36" s="202"/>
      <c r="BH36" s="202"/>
      <c r="BI36" s="202"/>
      <c r="BJ36" s="202"/>
      <c r="BK36" s="202"/>
      <c r="BL36" s="202"/>
      <c r="BM36" s="202"/>
      <c r="BN36" s="202"/>
      <c r="BO36" s="202"/>
      <c r="BP36" s="202"/>
      <c r="BQ36" s="202"/>
      <c r="BR36" s="202"/>
      <c r="BS36" s="202"/>
      <c r="BT36" s="202"/>
      <c r="BU36" s="202"/>
      <c r="BV36" s="202"/>
      <c r="BW36" s="202"/>
      <c r="BX36" s="202"/>
      <c r="BY36" s="202"/>
      <c r="BZ36" s="202"/>
      <c r="CA36" s="202"/>
      <c r="CB36" s="202"/>
      <c r="CC36" s="202"/>
      <c r="CD36" s="202"/>
      <c r="CE36" s="202"/>
      <c r="CF36" s="202"/>
      <c r="CG36" s="202"/>
      <c r="CH36" s="202"/>
      <c r="CI36" s="202"/>
      <c r="CJ36" s="202"/>
      <c r="CK36" s="202"/>
      <c r="CL36" s="202"/>
      <c r="CM36" s="202"/>
      <c r="CN36" s="202"/>
      <c r="CO36" s="202"/>
      <c r="CP36" s="202"/>
      <c r="CQ36" s="202"/>
      <c r="CR36" s="202"/>
      <c r="CS36" s="202"/>
      <c r="CT36" s="202"/>
      <c r="CU36" s="202"/>
      <c r="CV36" s="202"/>
      <c r="CW36" s="202"/>
      <c r="CX36" s="202"/>
      <c r="CY36" s="202"/>
      <c r="CZ36" s="202"/>
      <c r="DA36" s="202"/>
      <c r="DB36" s="202"/>
      <c r="DC36" s="202"/>
      <c r="DD36" s="202"/>
      <c r="DE36" s="202"/>
      <c r="DF36" s="202"/>
      <c r="DG36" s="202"/>
      <c r="DH36" s="202"/>
      <c r="DI36" s="202"/>
      <c r="DJ36" s="202"/>
      <c r="DK36" s="202"/>
      <c r="DL36" s="202"/>
      <c r="DM36" s="202"/>
      <c r="DN36" s="202"/>
      <c r="DO36" s="202"/>
      <c r="DP36" s="202"/>
      <c r="DQ36" s="202"/>
      <c r="DR36" s="202"/>
      <c r="DS36" s="202"/>
      <c r="DT36" s="202"/>
      <c r="DU36" s="202"/>
      <c r="DV36" s="202"/>
      <c r="DW36" s="202"/>
      <c r="DX36" s="202"/>
      <c r="DY36" s="202"/>
      <c r="DZ36" s="202"/>
      <c r="EA36" s="202"/>
      <c r="EB36" s="202"/>
      <c r="EC36" s="202"/>
      <c r="ED36" s="202"/>
      <c r="EE36" s="202"/>
      <c r="EF36" s="202"/>
      <c r="EG36" s="202"/>
      <c r="EH36" s="202"/>
      <c r="EI36" s="202"/>
      <c r="EJ36" s="202"/>
      <c r="EK36" s="202"/>
      <c r="EL36" s="202"/>
      <c r="EM36" s="202"/>
      <c r="EN36" s="202"/>
      <c r="EO36" s="202"/>
      <c r="EP36" s="202"/>
      <c r="EQ36" s="202"/>
      <c r="ER36" s="202"/>
      <c r="ES36" s="202"/>
      <c r="ET36" s="202"/>
      <c r="EU36" s="202"/>
      <c r="EV36" s="202"/>
      <c r="EW36" s="202"/>
      <c r="EX36" s="202"/>
      <c r="EY36" s="202"/>
      <c r="EZ36" s="202"/>
      <c r="FA36" s="202"/>
      <c r="FB36" s="202"/>
      <c r="FC36" s="202"/>
      <c r="FD36" s="202"/>
      <c r="FE36" s="202"/>
      <c r="FF36" s="202"/>
      <c r="FG36" s="202"/>
      <c r="FH36" s="202"/>
      <c r="FI36" s="202"/>
      <c r="FJ36" s="202"/>
      <c r="FK36" s="202"/>
      <c r="FL36" s="202"/>
      <c r="FM36" s="202"/>
      <c r="FN36" s="202"/>
      <c r="FO36" s="202"/>
      <c r="FP36" s="202"/>
      <c r="FQ36" s="202"/>
      <c r="FR36" s="202"/>
      <c r="FS36" s="202"/>
      <c r="FT36" s="202"/>
      <c r="FU36" s="202"/>
      <c r="FV36" s="202"/>
      <c r="FW36" s="202"/>
      <c r="FX36" s="202"/>
      <c r="FY36" s="202"/>
      <c r="FZ36" s="202"/>
      <c r="GA36" s="202"/>
      <c r="GB36" s="202"/>
      <c r="GC36" s="202"/>
      <c r="GD36" s="202"/>
      <c r="GE36" s="202"/>
      <c r="GF36" s="202"/>
      <c r="GG36" s="202"/>
      <c r="GH36" s="202"/>
      <c r="GI36" s="202"/>
      <c r="GJ36" s="202"/>
      <c r="GK36" s="202"/>
      <c r="GL36" s="202"/>
      <c r="GM36" s="202"/>
      <c r="GN36" s="202"/>
      <c r="GO36" s="202"/>
      <c r="GP36" s="202"/>
      <c r="GQ36" s="202"/>
      <c r="GR36" s="202"/>
      <c r="GS36" s="202"/>
      <c r="GT36" s="202"/>
      <c r="GU36" s="202"/>
      <c r="GV36" s="202"/>
      <c r="GW36" s="202"/>
      <c r="GX36" s="202"/>
      <c r="GY36" s="202"/>
      <c r="GZ36" s="202"/>
      <c r="HA36" s="202"/>
      <c r="HB36" s="202"/>
      <c r="HC36" s="202"/>
      <c r="HD36" s="202"/>
      <c r="HE36" s="202"/>
      <c r="HF36" s="202"/>
      <c r="HG36" s="202"/>
      <c r="HH36" s="202"/>
      <c r="HI36" s="202"/>
      <c r="HJ36" s="202"/>
      <c r="HK36" s="202"/>
      <c r="HL36" s="202"/>
      <c r="HM36" s="202"/>
      <c r="HN36" s="202"/>
      <c r="HO36" s="202"/>
      <c r="HP36" s="202"/>
      <c r="HQ36" s="202"/>
      <c r="HR36" s="202"/>
      <c r="HS36" s="202"/>
      <c r="HT36" s="202"/>
      <c r="HU36" s="202"/>
      <c r="HV36" s="202"/>
      <c r="HW36" s="202"/>
      <c r="HX36" s="202"/>
      <c r="HY36" s="202"/>
      <c r="HZ36" s="202"/>
      <c r="IA36" s="202"/>
      <c r="IB36" s="202"/>
      <c r="IC36" s="202"/>
      <c r="ID36" s="202"/>
      <c r="IE36" s="202"/>
      <c r="IF36" s="202"/>
      <c r="IG36" s="202"/>
      <c r="IH36" s="202"/>
      <c r="II36" s="202"/>
      <c r="IJ36" s="202"/>
      <c r="IK36" s="202"/>
      <c r="IL36" s="202"/>
      <c r="IM36" s="202"/>
      <c r="IN36" s="202"/>
      <c r="IO36" s="202"/>
      <c r="IP36" s="202"/>
      <c r="IQ36" s="202"/>
      <c r="IR36" s="202"/>
      <c r="IS36" s="202"/>
      <c r="IT36" s="202"/>
      <c r="IU36" s="202"/>
      <c r="IV36" s="202"/>
      <c r="IW36" s="202"/>
      <c r="IX36" s="202"/>
      <c r="IY36" s="31">
        <v>1</v>
      </c>
      <c r="IZ36" s="43">
        <f>(TEXT(K36,"[m]")/60)*VLOOKUP(IY36,'Income Person-hours'!A$2:C$5,3,FALSE)</f>
        <v>0</v>
      </c>
      <c r="JA36" s="122"/>
      <c r="JB36" s="122"/>
      <c r="JC36" s="122"/>
      <c r="JD36" s="227">
        <f>SUM((TEXT(JA36,"[M]")/60)*'Income Person-hours'!$D$3,(TEXT(JB36,"[M]")/60)*'Income Person-hours'!$D$4,(TEXT(JC36,"[M]")/60)*'Income Person-hours'!$D$5)</f>
        <v>0</v>
      </c>
    </row>
    <row r="37" spans="1:264" s="226" customFormat="1" ht="15.75" x14ac:dyDescent="0.45">
      <c r="A37" s="261">
        <v>2.6</v>
      </c>
      <c r="B37" s="116" t="s">
        <v>155</v>
      </c>
      <c r="C37" s="117" t="s">
        <v>111</v>
      </c>
      <c r="D37" s="203" t="str">
        <f>IF(OR(j_WEEKDAY(J_ADDDAY(VLOOKUP(I37,A:F,6,FALSE),H37,1),0)=6,SUMIFS(Holieday[ok],Holieday[date],J_ADDDAY(VLOOKUP(I37,A:F,6,FALSE),H37,1)))=FALSE(),J_ADDDAY(VLOOKUP(I37,A:F,6,FALSE),H37,1),IF(OR(j_WEEKDAY(J_ADDDAY(VLOOKUP(I37,A:F,6,FALSE),H37+1,1),0)=6,SUMIFS(Holieday[ok],Holieday[date],J_ADDDAY(VLOOKUP(I37,A:F,6,FALSE),H37+1,1)))=FALSE(),J_ADDDAY(VLOOKUP(I37,A:F,6,FALSE),H37+1,1),IF(OR(j_WEEKDAY(J_ADDDAY(VLOOKUP(I37,A:F,6,FALSE),H37+2,1),0)=6,SUMIFS(Holieday[ok],Holieday[date],J_ADDDAY(VLOOKUP(I37,A:F,6,FALSE),H37+2,1)))=FALSE(),J_ADDDAY(VLOOKUP(I37,A:F,6,FALSE),H37+2,1),IF(OR(j_WEEKDAY(J_ADDDAY(VLOOKUP(I37,A:F,6,FALSE),H37+3,1),0)=6,SUMIFS(Holieday[ok],Holieday[date],J_ADDDAY(VLOOKUP(I37,A:F,6,FALSE),H37+3,1)))=FALSE(),J_ADDDAY(VLOOKUP(I37,A:F,6,FALSE),H37+3,1),IF(OR(j_WEEKDAY(J_ADDDAY(VLOOKUP(I37,A:F,6,FALSE),H37+4,1),0)=6,SUMIFS(Holieday[ok],Holieday[date],J_ADDDAY(VLOOKUP(I37,A:F,6,FALSE),H37+4,1)))=FALSE(),J_ADDDAY(VLOOKUP(I37,A:F,6,FALSE),H37+4,1),J_ADDDAY(VLOOKUP(I37,A:F,6,FALSE),H37+5,1))))))</f>
        <v>1398/07/20</v>
      </c>
      <c r="E37" s="193">
        <f t="shared" si="4"/>
        <v>13980720</v>
      </c>
      <c r="F37" s="204" t="str">
        <f>IF(N37=0,J_SUBDAY(D37,1,1),IF((N37-(NETWORKDAYS.INTL(J_GregorianDate(D37,1),J_GregorianDate(J_SUBDAY(J_ADDDAY(D37,N37,1),1,1),1),16,1)))+SUMIFS(Holieday[ok],Holieday[date],CONCATENATE("&gt;","=",D37),Holieday[date],CONCATENATE("&lt;","=",J_SUBDAY(J_ADDDAY(D37,N37,1),1,1)))-SUMIFS(Holieday[Friday],Holieday[date],CONCATENATE("&gt;","=",D37),Holieday[date],CONCATENATE("&lt;","=",J_SUBDAY(J_ADDDAY(D37,N37,1),1,1)))=0,J_SUBDAY(J_ADDDAY(D37,N37,1),1,1),IF((N37+1-(NETWORKDAYS.INTL(J_GregorianDate(D37,1),J_GregorianDate(J_SUBDAY(J_ADDDAY(D37,N37+1,1),1,1),1),16,1)))+SUMIFS(Holieday[ok],Holieday[date],CONCATENATE("&gt;","=",D37),Holieday[date],CONCATENATE("&lt;","=",J_SUBDAY(J_ADDDAY(D37,N37+1,1),1,1)))-SUMIFS(Holieday[Friday],Holieday[date],CONCATENATE("&gt;","=",D37),Holieday[date],CONCATENATE("&lt;","=",J_SUBDAY(J_ADDDAY(D37,N37+1,1),1,1)))=1,J_SUBDAY(J_ADDDAY(D37,N37+1,1),1,1),IF((N37+2-(NETWORKDAYS.INTL(J_GregorianDate(D37,1),J_GregorianDate(J_SUBDAY(J_ADDDAY(D37,N37+2,1),1,1),1),16,1)))+SUMIFS(Holieday[ok],Holieday[date],CONCATENATE("&gt;","=",D37),Holieday[date],CONCATENATE("&lt;","=",J_SUBDAY(J_ADDDAY(D37,N37+2,1),1,1)))-SUMIFS(Holieday[Friday],Holieday[date],CONCATENATE("&gt;","=",D37),Holieday[date],CONCATENATE("&lt;","=",J_SUBDAY(J_ADDDAY(D37,N37+2,1),1,1)))=2,J_SUBDAY(J_ADDDAY(D37,N37+2,1),1,1),IF((N37+3-(NETWORKDAYS.INTL(J_GregorianDate(D37,1),J_GregorianDate(J_SUBDAY(J_ADDDAY(D37,N37+3,1),1,1),1),16,1)))+SUMIFS(Holieday[ok],Holieday[date],CONCATENATE("&gt;","=",D37),Holieday[date],CONCATENATE("&lt;","=",J_SUBDAY(J_ADDDAY(D37,N37+3,1),1,1)))-SUMIFS(Holieday[Friday],Holieday[date],CONCATENATE("&gt;","=",D37),Holieday[date],CONCATENATE("&lt;","=",J_SUBDAY(J_ADDDAY(D37,N37+3,1),1,1)))=3,J_SUBDAY(J_ADDDAY(D37,N37+3,1),1,1),IF((N37+4-(NETWORKDAYS.INTL(J_GregorianDate(D37,1),J_GregorianDate(J_SUBDAY(J_ADDDAY(D37,N37+4,1),1,1),1),16,1)))+SUMIFS(Holieday[ok],Holieday[date],CONCATENATE("&gt;","=",D37),Holieday[date],CONCATENATE("&lt;","=",J_SUBDAY(J_ADDDAY(D37,N37+4,1),1,1)))-SUMIFS(Holieday[Friday],Holieday[date],CONCATENATE("&gt;","=",D37),Holieday[date],CONCATENATE("&lt;","=",J_SUBDAY(J_ADDDAY(D37,N37+4,1),1,1)))=4,J_SUBDAY(J_ADDDAY(D37,N37+4,1),1,1),IF((N37+5-(NETWORKDAYS.INTL(J_GregorianDate(D37,1),J_GregorianDate(J_SUBDAY(J_ADDDAY(D37,N37+5,1),1,1),1),16,1)))+SUMIFS(Holieday[ok],Holieday[date],CONCATENATE("&gt;","=",D37),Holieday[date],CONCATENATE("&lt;","=",J_SUBDAY(J_ADDDAY(D37,N37+5,1),1,1)))-SUMIFS(Holieday[Friday],Holieday[date],CONCATENATE("&gt;","=",D37),Holieday[date],CONCATENATE("&lt;","=",J_SUBDAY(J_ADDDAY(D37,N37+5,1),1,1)))=5,J_SUBDAY(J_ADDDAY(D37,N37+5,1),1,1),J_SUBDAY(J_ADDDAY(D37,N37+6,1),1,1))))))))</f>
        <v>1398/07/20</v>
      </c>
      <c r="G37" s="196">
        <f t="shared" si="5"/>
        <v>13980720</v>
      </c>
      <c r="H37" s="119">
        <v>15</v>
      </c>
      <c r="I37" s="120">
        <v>2.5</v>
      </c>
      <c r="J37" s="204">
        <f>j_WEEKDAY(D37,2)</f>
        <v>0</v>
      </c>
      <c r="K37" s="206">
        <f t="shared" si="11"/>
        <v>0</v>
      </c>
      <c r="L37" s="207">
        <f t="shared" si="12"/>
        <v>1</v>
      </c>
      <c r="M37" s="121">
        <v>0</v>
      </c>
      <c r="N37" s="118">
        <v>1</v>
      </c>
      <c r="O37" s="208">
        <f t="shared" si="13"/>
        <v>0</v>
      </c>
      <c r="P37" s="208">
        <f>VALUE(J_normdate(J_ADDDAY($D37,$O37,1)))</f>
        <v>13980720</v>
      </c>
      <c r="Q37" s="204">
        <f t="shared" si="14"/>
        <v>1</v>
      </c>
      <c r="R37" s="202"/>
      <c r="S37" s="202"/>
      <c r="T37" s="202"/>
      <c r="U37" s="202"/>
      <c r="V37" s="202"/>
      <c r="W37" s="202"/>
      <c r="X37" s="202"/>
      <c r="Y37" s="202"/>
      <c r="Z37" s="202"/>
      <c r="AA37" s="202"/>
      <c r="AB37" s="202"/>
      <c r="AC37" s="202"/>
      <c r="AD37" s="202"/>
      <c r="AE37" s="202"/>
      <c r="AF37" s="202"/>
      <c r="AG37" s="202"/>
      <c r="AH37" s="202"/>
      <c r="AI37" s="202"/>
      <c r="AJ37" s="202"/>
      <c r="AK37" s="202"/>
      <c r="AL37" s="202"/>
      <c r="AM37" s="202"/>
      <c r="AN37" s="202"/>
      <c r="AO37" s="202"/>
      <c r="AP37" s="202"/>
      <c r="AQ37" s="202"/>
      <c r="AR37" s="202"/>
      <c r="AS37" s="202"/>
      <c r="AT37" s="202"/>
      <c r="AU37" s="202"/>
      <c r="AV37" s="202"/>
      <c r="AW37" s="202"/>
      <c r="AX37" s="202"/>
      <c r="AY37" s="202"/>
      <c r="AZ37" s="202"/>
      <c r="BA37" s="202"/>
      <c r="BB37" s="202"/>
      <c r="BC37" s="202"/>
      <c r="BD37" s="202"/>
      <c r="BE37" s="202"/>
      <c r="BF37" s="202"/>
      <c r="BG37" s="202"/>
      <c r="BH37" s="202"/>
      <c r="BI37" s="202"/>
      <c r="BJ37" s="202"/>
      <c r="BK37" s="202"/>
      <c r="BL37" s="202"/>
      <c r="BM37" s="202"/>
      <c r="BN37" s="202"/>
      <c r="BO37" s="202"/>
      <c r="BP37" s="202"/>
      <c r="BQ37" s="202"/>
      <c r="BR37" s="202"/>
      <c r="BS37" s="202"/>
      <c r="BT37" s="202"/>
      <c r="BU37" s="202"/>
      <c r="BV37" s="202"/>
      <c r="BW37" s="202"/>
      <c r="BX37" s="202"/>
      <c r="BY37" s="202"/>
      <c r="BZ37" s="202"/>
      <c r="CA37" s="202"/>
      <c r="CB37" s="202"/>
      <c r="CC37" s="202"/>
      <c r="CD37" s="202"/>
      <c r="CE37" s="202"/>
      <c r="CF37" s="202"/>
      <c r="CG37" s="202"/>
      <c r="CH37" s="202"/>
      <c r="CI37" s="202"/>
      <c r="CJ37" s="202"/>
      <c r="CK37" s="202"/>
      <c r="CL37" s="202"/>
      <c r="CM37" s="202"/>
      <c r="CN37" s="202"/>
      <c r="CO37" s="202"/>
      <c r="CP37" s="202"/>
      <c r="CQ37" s="202"/>
      <c r="CR37" s="202"/>
      <c r="CS37" s="202"/>
      <c r="CT37" s="202"/>
      <c r="CU37" s="202"/>
      <c r="CV37" s="202"/>
      <c r="CW37" s="202"/>
      <c r="CX37" s="202"/>
      <c r="CY37" s="202"/>
      <c r="CZ37" s="202"/>
      <c r="DA37" s="202"/>
      <c r="DB37" s="202"/>
      <c r="DC37" s="202"/>
      <c r="DD37" s="202"/>
      <c r="DE37" s="202"/>
      <c r="DF37" s="202"/>
      <c r="DG37" s="202"/>
      <c r="DH37" s="202"/>
      <c r="DI37" s="202"/>
      <c r="DJ37" s="202"/>
      <c r="DK37" s="202"/>
      <c r="DL37" s="202"/>
      <c r="DM37" s="202"/>
      <c r="DN37" s="202"/>
      <c r="DO37" s="202"/>
      <c r="DP37" s="202"/>
      <c r="DQ37" s="202"/>
      <c r="DR37" s="202"/>
      <c r="DS37" s="202"/>
      <c r="DT37" s="202"/>
      <c r="DU37" s="202"/>
      <c r="DV37" s="202"/>
      <c r="DW37" s="202"/>
      <c r="DX37" s="202"/>
      <c r="DY37" s="202"/>
      <c r="DZ37" s="202"/>
      <c r="EA37" s="202"/>
      <c r="EB37" s="202"/>
      <c r="EC37" s="202"/>
      <c r="ED37" s="202"/>
      <c r="EE37" s="202"/>
      <c r="EF37" s="202"/>
      <c r="EG37" s="202"/>
      <c r="EH37" s="202"/>
      <c r="EI37" s="202"/>
      <c r="EJ37" s="202"/>
      <c r="EK37" s="202"/>
      <c r="EL37" s="202"/>
      <c r="EM37" s="202"/>
      <c r="EN37" s="202"/>
      <c r="EO37" s="202"/>
      <c r="EP37" s="202"/>
      <c r="EQ37" s="202"/>
      <c r="ER37" s="202"/>
      <c r="ES37" s="202"/>
      <c r="ET37" s="202"/>
      <c r="EU37" s="202"/>
      <c r="EV37" s="202"/>
      <c r="EW37" s="202"/>
      <c r="EX37" s="202"/>
      <c r="EY37" s="202"/>
      <c r="EZ37" s="202"/>
      <c r="FA37" s="202"/>
      <c r="FB37" s="202"/>
      <c r="FC37" s="202"/>
      <c r="FD37" s="202"/>
      <c r="FE37" s="202"/>
      <c r="FF37" s="202"/>
      <c r="FG37" s="202"/>
      <c r="FH37" s="202"/>
      <c r="FI37" s="202"/>
      <c r="FJ37" s="202"/>
      <c r="FK37" s="202"/>
      <c r="FL37" s="202"/>
      <c r="FM37" s="202"/>
      <c r="FN37" s="202"/>
      <c r="FO37" s="202"/>
      <c r="FP37" s="202"/>
      <c r="FQ37" s="202"/>
      <c r="FR37" s="202"/>
      <c r="FS37" s="202"/>
      <c r="FT37" s="202"/>
      <c r="FU37" s="202"/>
      <c r="FV37" s="202"/>
      <c r="FW37" s="202"/>
      <c r="FX37" s="202"/>
      <c r="FY37" s="202"/>
      <c r="FZ37" s="202"/>
      <c r="GA37" s="202"/>
      <c r="GB37" s="202"/>
      <c r="GC37" s="202"/>
      <c r="GD37" s="202"/>
      <c r="GE37" s="202"/>
      <c r="GF37" s="202"/>
      <c r="GG37" s="202"/>
      <c r="GH37" s="202"/>
      <c r="GI37" s="202"/>
      <c r="GJ37" s="202"/>
      <c r="GK37" s="202"/>
      <c r="GL37" s="202"/>
      <c r="GM37" s="202"/>
      <c r="GN37" s="202"/>
      <c r="GO37" s="202"/>
      <c r="GP37" s="202"/>
      <c r="GQ37" s="202"/>
      <c r="GR37" s="202"/>
      <c r="GS37" s="202"/>
      <c r="GT37" s="202"/>
      <c r="GU37" s="202"/>
      <c r="GV37" s="202"/>
      <c r="GW37" s="202"/>
      <c r="GX37" s="202"/>
      <c r="GY37" s="202"/>
      <c r="GZ37" s="202"/>
      <c r="HA37" s="202"/>
      <c r="HB37" s="202"/>
      <c r="HC37" s="202"/>
      <c r="HD37" s="202"/>
      <c r="HE37" s="202"/>
      <c r="HF37" s="202"/>
      <c r="HG37" s="202"/>
      <c r="HH37" s="202"/>
      <c r="HI37" s="202"/>
      <c r="HJ37" s="202"/>
      <c r="HK37" s="202"/>
      <c r="HL37" s="202"/>
      <c r="HM37" s="202"/>
      <c r="HN37" s="202"/>
      <c r="HO37" s="202"/>
      <c r="HP37" s="202"/>
      <c r="HQ37" s="202"/>
      <c r="HR37" s="202"/>
      <c r="HS37" s="202"/>
      <c r="HT37" s="202"/>
      <c r="HU37" s="202"/>
      <c r="HV37" s="202"/>
      <c r="HW37" s="202"/>
      <c r="HX37" s="202"/>
      <c r="HY37" s="202"/>
      <c r="HZ37" s="202"/>
      <c r="IA37" s="202"/>
      <c r="IB37" s="202"/>
      <c r="IC37" s="202"/>
      <c r="ID37" s="202"/>
      <c r="IE37" s="202"/>
      <c r="IF37" s="202"/>
      <c r="IG37" s="202"/>
      <c r="IH37" s="202"/>
      <c r="II37" s="202"/>
      <c r="IJ37" s="202"/>
      <c r="IK37" s="202"/>
      <c r="IL37" s="202"/>
      <c r="IM37" s="202"/>
      <c r="IN37" s="202"/>
      <c r="IO37" s="202"/>
      <c r="IP37" s="202"/>
      <c r="IQ37" s="202"/>
      <c r="IR37" s="202"/>
      <c r="IS37" s="202"/>
      <c r="IT37" s="202"/>
      <c r="IU37" s="202"/>
      <c r="IV37" s="202"/>
      <c r="IW37" s="202"/>
      <c r="IX37" s="202"/>
      <c r="IY37" s="31">
        <v>1</v>
      </c>
      <c r="IZ37" s="35">
        <f>(TEXT(K37,"[m]")/60)*VLOOKUP(IY37,'Income Person-hours'!A$2:C$5,3,FALSE)</f>
        <v>0</v>
      </c>
      <c r="JA37" s="122"/>
      <c r="JB37" s="122"/>
      <c r="JC37" s="122"/>
      <c r="JD37" s="227">
        <f>SUM((TEXT(JA37,"[M]")/60)*'Income Person-hours'!$D$3,(TEXT(JB37,"[M]")/60)*'Income Person-hours'!$D$4,(TEXT(JC37,"[M]")/60)*'Income Person-hours'!$D$5)</f>
        <v>0</v>
      </c>
    </row>
    <row r="38" spans="1:264" s="12" customFormat="1" ht="15.75" x14ac:dyDescent="0.45">
      <c r="A38" s="209">
        <v>2.7</v>
      </c>
      <c r="B38" s="116" t="s">
        <v>157</v>
      </c>
      <c r="C38" s="117" t="s">
        <v>110</v>
      </c>
      <c r="D38" s="44" t="str">
        <f>IF(OR(j_WEEKDAY(J_ADDDAY(VLOOKUP(I38,A:F,6,FALSE),H38,1),0)=6,SUMIFS(Holieday[ok],Holieday[date],J_ADDDAY(VLOOKUP(I38,A:F,6,FALSE),H38,1)))=FALSE(),J_ADDDAY(VLOOKUP(I38,A:F,6,FALSE),H38,1),IF(OR(j_WEEKDAY(J_ADDDAY(VLOOKUP(I38,A:F,6,FALSE),H38+1,1),0)=6,SUMIFS(Holieday[ok],Holieday[date],J_ADDDAY(VLOOKUP(I38,A:F,6,FALSE),H38+1,1)))=FALSE(),J_ADDDAY(VLOOKUP(I38,A:F,6,FALSE),H38+1,1),IF(OR(j_WEEKDAY(J_ADDDAY(VLOOKUP(I38,A:F,6,FALSE),H38+2,1),0)=6,SUMIFS(Holieday[ok],Holieday[date],J_ADDDAY(VLOOKUP(I38,A:F,6,FALSE),H38+2,1)))=FALSE(),J_ADDDAY(VLOOKUP(I38,A:F,6,FALSE),H38+2,1),IF(OR(j_WEEKDAY(J_ADDDAY(VLOOKUP(I38,A:F,6,FALSE),H38+3,1),0)=6,SUMIFS(Holieday[ok],Holieday[date],J_ADDDAY(VLOOKUP(I38,A:F,6,FALSE),H38+3,1)))=FALSE(),J_ADDDAY(VLOOKUP(I38,A:F,6,FALSE),H38+3,1),IF(OR(j_WEEKDAY(J_ADDDAY(VLOOKUP(I38,A:F,6,FALSE),H38+4,1),0)=6,SUMIFS(Holieday[ok],Holieday[date],J_ADDDAY(VLOOKUP(I38,A:F,6,FALSE),H38+4,1)))=FALSE(),J_ADDDAY(VLOOKUP(I38,A:F,6,FALSE),H38+4,1),J_ADDDAY(VLOOKUP(I38,A:F,6,FALSE),H38+5,1))))))</f>
        <v>1398/07/06</v>
      </c>
      <c r="E38" s="2">
        <f t="shared" si="4"/>
        <v>13980706</v>
      </c>
      <c r="F38" s="10" t="str">
        <f>IF(N38=0,J_SUBDAY(D38,1,1),IF((N38-(NETWORKDAYS.INTL(J_GregorianDate(D38,1),J_GregorianDate(J_SUBDAY(J_ADDDAY(D38,N38,1),1,1),1),16,1)))+SUMIFS(Holieday[ok],Holieday[date],CONCATENATE("&gt;","=",D38),Holieday[date],CONCATENATE("&lt;","=",J_SUBDAY(J_ADDDAY(D38,N38,1),1,1)))-SUMIFS(Holieday[Friday],Holieday[date],CONCATENATE("&gt;","=",D38),Holieday[date],CONCATENATE("&lt;","=",J_SUBDAY(J_ADDDAY(D38,N38,1),1,1)))=0,J_SUBDAY(J_ADDDAY(D38,N38,1),1,1),IF((N38+1-(NETWORKDAYS.INTL(J_GregorianDate(D38,1),J_GregorianDate(J_SUBDAY(J_ADDDAY(D38,N38+1,1),1,1),1),16,1)))+SUMIFS(Holieday[ok],Holieday[date],CONCATENATE("&gt;","=",D38),Holieday[date],CONCATENATE("&lt;","=",J_SUBDAY(J_ADDDAY(D38,N38+1,1),1,1)))-SUMIFS(Holieday[Friday],Holieday[date],CONCATENATE("&gt;","=",D38),Holieday[date],CONCATENATE("&lt;","=",J_SUBDAY(J_ADDDAY(D38,N38+1,1),1,1)))=1,J_SUBDAY(J_ADDDAY(D38,N38+1,1),1,1),IF((N38+2-(NETWORKDAYS.INTL(J_GregorianDate(D38,1),J_GregorianDate(J_SUBDAY(J_ADDDAY(D38,N38+2,1),1,1),1),16,1)))+SUMIFS(Holieday[ok],Holieday[date],CONCATENATE("&gt;","=",D38),Holieday[date],CONCATENATE("&lt;","=",J_SUBDAY(J_ADDDAY(D38,N38+2,1),1,1)))-SUMIFS(Holieday[Friday],Holieday[date],CONCATENATE("&gt;","=",D38),Holieday[date],CONCATENATE("&lt;","=",J_SUBDAY(J_ADDDAY(D38,N38+2,1),1,1)))=2,J_SUBDAY(J_ADDDAY(D38,N38+2,1),1,1),IF((N38+3-(NETWORKDAYS.INTL(J_GregorianDate(D38,1),J_GregorianDate(J_SUBDAY(J_ADDDAY(D38,N38+3,1),1,1),1),16,1)))+SUMIFS(Holieday[ok],Holieday[date],CONCATENATE("&gt;","=",D38),Holieday[date],CONCATENATE("&lt;","=",J_SUBDAY(J_ADDDAY(D38,N38+3,1),1,1)))-SUMIFS(Holieday[Friday],Holieday[date],CONCATENATE("&gt;","=",D38),Holieday[date],CONCATENATE("&lt;","=",J_SUBDAY(J_ADDDAY(D38,N38+3,1),1,1)))=3,J_SUBDAY(J_ADDDAY(D38,N38+3,1),1,1),IF((N38+4-(NETWORKDAYS.INTL(J_GregorianDate(D38,1),J_GregorianDate(J_SUBDAY(J_ADDDAY(D38,N38+4,1),1,1),1),16,1)))+SUMIFS(Holieday[ok],Holieday[date],CONCATENATE("&gt;","=",D38),Holieday[date],CONCATENATE("&lt;","=",J_SUBDAY(J_ADDDAY(D38,N38+4,1),1,1)))-SUMIFS(Holieday[Friday],Holieday[date],CONCATENATE("&gt;","=",D38),Holieday[date],CONCATENATE("&lt;","=",J_SUBDAY(J_ADDDAY(D38,N38+4,1),1,1)))=4,J_SUBDAY(J_ADDDAY(D38,N38+4,1),1,1),IF((N38+5-(NETWORKDAYS.INTL(J_GregorianDate(D38,1),J_GregorianDate(J_SUBDAY(J_ADDDAY(D38,N38+5,1),1,1),1),16,1)))+SUMIFS(Holieday[ok],Holieday[date],CONCATENATE("&gt;","=",D38),Holieday[date],CONCATENATE("&lt;","=",J_SUBDAY(J_ADDDAY(D38,N38+5,1),1,1)))-SUMIFS(Holieday[Friday],Holieday[date],CONCATENATE("&gt;","=",D38),Holieday[date],CONCATENATE("&lt;","=",J_SUBDAY(J_ADDDAY(D38,N38+5,1),1,1)))=5,J_SUBDAY(J_ADDDAY(D38,N38+5,1),1,1),J_SUBDAY(J_ADDDAY(D38,N38+6,1),1,1))))))))</f>
        <v>1398/07/06</v>
      </c>
      <c r="G38" s="3">
        <f t="shared" si="5"/>
        <v>13980706</v>
      </c>
      <c r="H38" s="119">
        <v>1</v>
      </c>
      <c r="I38" s="120">
        <v>2.5</v>
      </c>
      <c r="J38" s="10">
        <f>j_WEEKDAY(D38,2)</f>
        <v>0</v>
      </c>
      <c r="K38" s="22">
        <f t="shared" si="11"/>
        <v>0</v>
      </c>
      <c r="L38" s="9">
        <f t="shared" si="12"/>
        <v>1</v>
      </c>
      <c r="M38" s="121">
        <v>0</v>
      </c>
      <c r="N38" s="118">
        <v>1</v>
      </c>
      <c r="O38" s="11">
        <f t="shared" si="13"/>
        <v>0</v>
      </c>
      <c r="P38" s="11">
        <f>VALUE(J_normdate(J_ADDDAY($D38,$O38,1)))</f>
        <v>13980706</v>
      </c>
      <c r="Q38" s="10">
        <f t="shared" si="14"/>
        <v>1</v>
      </c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 s="8"/>
      <c r="EX38" s="8"/>
      <c r="EY38" s="8"/>
      <c r="EZ38" s="8"/>
      <c r="FA38" s="8"/>
      <c r="FB38" s="8"/>
      <c r="FC38" s="8"/>
      <c r="FD38" s="8"/>
      <c r="FE38" s="8"/>
      <c r="FF38" s="8"/>
      <c r="FG38" s="8"/>
      <c r="FH38" s="8"/>
      <c r="FI38" s="8"/>
      <c r="FJ38" s="8"/>
      <c r="FK38" s="8"/>
      <c r="FL38" s="8"/>
      <c r="FM38" s="8"/>
      <c r="FN38" s="8"/>
      <c r="FO38" s="8"/>
      <c r="FP38" s="8"/>
      <c r="FQ38" s="8"/>
      <c r="FR38" s="8"/>
      <c r="FS38" s="8"/>
      <c r="FT38" s="8"/>
      <c r="FU38" s="8"/>
      <c r="FV38" s="8"/>
      <c r="FW38" s="8"/>
      <c r="FX38" s="8"/>
      <c r="FY38" s="8"/>
      <c r="FZ38" s="8"/>
      <c r="GA38" s="8"/>
      <c r="GB38" s="8"/>
      <c r="GC38" s="8"/>
      <c r="GD38" s="8"/>
      <c r="GE38" s="8"/>
      <c r="GF38" s="8"/>
      <c r="GG38" s="8"/>
      <c r="GH38" s="8"/>
      <c r="GI38" s="8"/>
      <c r="GJ38" s="8"/>
      <c r="GK38" s="8"/>
      <c r="GL38" s="8"/>
      <c r="GM38" s="8"/>
      <c r="GN38" s="8"/>
      <c r="GO38" s="8"/>
      <c r="GP38" s="8"/>
      <c r="GQ38" s="8"/>
      <c r="GR38" s="8"/>
      <c r="GS38" s="8"/>
      <c r="GT38" s="8"/>
      <c r="GU38" s="8"/>
      <c r="GV38" s="8"/>
      <c r="GW38" s="8"/>
      <c r="GX38" s="8"/>
      <c r="GY38" s="8"/>
      <c r="GZ38" s="8"/>
      <c r="HA38" s="8"/>
      <c r="HB38" s="8"/>
      <c r="HC38" s="8"/>
      <c r="HD38" s="8"/>
      <c r="HE38" s="8"/>
      <c r="HF38" s="8"/>
      <c r="HG38" s="8"/>
      <c r="HH38" s="8"/>
      <c r="HI38" s="8"/>
      <c r="HJ38" s="8"/>
      <c r="HK38" s="8"/>
      <c r="HL38" s="8"/>
      <c r="HM38" s="8"/>
      <c r="HN38" s="8"/>
      <c r="HO38" s="8"/>
      <c r="HP38" s="8"/>
      <c r="HQ38" s="8"/>
      <c r="HR38" s="8"/>
      <c r="HS38" s="8"/>
      <c r="HT38" s="8"/>
      <c r="HU38" s="8"/>
      <c r="HV38" s="8"/>
      <c r="HW38" s="8"/>
      <c r="HX38" s="8"/>
      <c r="HY38" s="8"/>
      <c r="HZ38" s="8"/>
      <c r="IA38" s="8"/>
      <c r="IB38" s="8"/>
      <c r="IC38" s="8"/>
      <c r="ID38" s="8"/>
      <c r="IE38" s="8"/>
      <c r="IF38" s="8"/>
      <c r="IG38" s="8"/>
      <c r="IH38" s="8"/>
      <c r="II38" s="8"/>
      <c r="IJ38" s="8"/>
      <c r="IK38" s="8"/>
      <c r="IL38" s="8"/>
      <c r="IM38" s="8"/>
      <c r="IN38" s="8"/>
      <c r="IO38" s="8"/>
      <c r="IP38" s="8"/>
      <c r="IQ38" s="8"/>
      <c r="IR38" s="8"/>
      <c r="IS38" s="8"/>
      <c r="IT38" s="8"/>
      <c r="IU38" s="8"/>
      <c r="IV38" s="8"/>
      <c r="IW38" s="8"/>
      <c r="IX38" s="8"/>
      <c r="IY38" s="31">
        <v>1</v>
      </c>
      <c r="IZ38" s="35">
        <f>(TEXT(K38,"[m]")/60)*VLOOKUP(IY38,'Income Person-hours'!A$2:C$5,3,FALSE)</f>
        <v>0</v>
      </c>
      <c r="JA38" s="122"/>
      <c r="JB38" s="122"/>
      <c r="JC38" s="122"/>
      <c r="JD38" s="70">
        <f>SUM((TEXT(JA38,"[M]")/60)*'Income Person-hours'!$D$3,(TEXT(JB38,"[M]")/60)*'Income Person-hours'!$D$4,(TEXT(JC38,"[M]")/60)*'Income Person-hours'!$D$5)</f>
        <v>0</v>
      </c>
    </row>
    <row r="39" spans="1:264" s="12" customFormat="1" ht="15.75" x14ac:dyDescent="0.45">
      <c r="A39" s="209">
        <v>2.8</v>
      </c>
      <c r="B39" s="116" t="s">
        <v>156</v>
      </c>
      <c r="C39" s="117" t="s">
        <v>79</v>
      </c>
      <c r="D39" s="44" t="str">
        <f>IF(OR(j_WEEKDAY(J_ADDDAY(VLOOKUP(I39,A:F,6,FALSE),H39,1),0)=6,SUMIFS(Holieday[ok],Holieday[date],J_ADDDAY(VLOOKUP(I39,A:F,6,FALSE),H39,1)))=FALSE(),J_ADDDAY(VLOOKUP(I39,A:F,6,FALSE),H39,1),IF(OR(j_WEEKDAY(J_ADDDAY(VLOOKUP(I39,A:F,6,FALSE),H39+1,1),0)=6,SUMIFS(Holieday[ok],Holieday[date],J_ADDDAY(VLOOKUP(I39,A:F,6,FALSE),H39+1,1)))=FALSE(),J_ADDDAY(VLOOKUP(I39,A:F,6,FALSE),H39+1,1),IF(OR(j_WEEKDAY(J_ADDDAY(VLOOKUP(I39,A:F,6,FALSE),H39+2,1),0)=6,SUMIFS(Holieday[ok],Holieday[date],J_ADDDAY(VLOOKUP(I39,A:F,6,FALSE),H39+2,1)))=FALSE(),J_ADDDAY(VLOOKUP(I39,A:F,6,FALSE),H39+2,1),IF(OR(j_WEEKDAY(J_ADDDAY(VLOOKUP(I39,A:F,6,FALSE),H39+3,1),0)=6,SUMIFS(Holieday[ok],Holieday[date],J_ADDDAY(VLOOKUP(I39,A:F,6,FALSE),H39+3,1)))=FALSE(),J_ADDDAY(VLOOKUP(I39,A:F,6,FALSE),H39+3,1),IF(OR(j_WEEKDAY(J_ADDDAY(VLOOKUP(I39,A:F,6,FALSE),H39+4,1),0)=6,SUMIFS(Holieday[ok],Holieday[date],J_ADDDAY(VLOOKUP(I39,A:F,6,FALSE),H39+4,1)))=FALSE(),J_ADDDAY(VLOOKUP(I39,A:F,6,FALSE),H39+4,1),J_ADDDAY(VLOOKUP(I39,A:F,6,FALSE),H39+5,1))))))</f>
        <v>1398/07/20</v>
      </c>
      <c r="E39" s="2">
        <f t="shared" si="4"/>
        <v>13980720</v>
      </c>
      <c r="F39" s="10" t="str">
        <f>IF(N39=0,J_SUBDAY(D39,1,1),IF((N39-(NETWORKDAYS.INTL(J_GregorianDate(D39,1),J_GregorianDate(J_SUBDAY(J_ADDDAY(D39,N39,1),1,1),1),16,1)))+SUMIFS(Holieday[ok],Holieday[date],CONCATENATE("&gt;","=",D39),Holieday[date],CONCATENATE("&lt;","=",J_SUBDAY(J_ADDDAY(D39,N39,1),1,1)))-SUMIFS(Holieday[Friday],Holieday[date],CONCATENATE("&gt;","=",D39),Holieday[date],CONCATENATE("&lt;","=",J_SUBDAY(J_ADDDAY(D39,N39,1),1,1)))=0,J_SUBDAY(J_ADDDAY(D39,N39,1),1,1),IF((N39+1-(NETWORKDAYS.INTL(J_GregorianDate(D39,1),J_GregorianDate(J_SUBDAY(J_ADDDAY(D39,N39+1,1),1,1),1),16,1)))+SUMIFS(Holieday[ok],Holieday[date],CONCATENATE("&gt;","=",D39),Holieday[date],CONCATENATE("&lt;","=",J_SUBDAY(J_ADDDAY(D39,N39+1,1),1,1)))-SUMIFS(Holieday[Friday],Holieday[date],CONCATENATE("&gt;","=",D39),Holieday[date],CONCATENATE("&lt;","=",J_SUBDAY(J_ADDDAY(D39,N39+1,1),1,1)))=1,J_SUBDAY(J_ADDDAY(D39,N39+1,1),1,1),IF((N39+2-(NETWORKDAYS.INTL(J_GregorianDate(D39,1),J_GregorianDate(J_SUBDAY(J_ADDDAY(D39,N39+2,1),1,1),1),16,1)))+SUMIFS(Holieday[ok],Holieday[date],CONCATENATE("&gt;","=",D39),Holieday[date],CONCATENATE("&lt;","=",J_SUBDAY(J_ADDDAY(D39,N39+2,1),1,1)))-SUMIFS(Holieday[Friday],Holieday[date],CONCATENATE("&gt;","=",D39),Holieday[date],CONCATENATE("&lt;","=",J_SUBDAY(J_ADDDAY(D39,N39+2,1),1,1)))=2,J_SUBDAY(J_ADDDAY(D39,N39+2,1),1,1),IF((N39+3-(NETWORKDAYS.INTL(J_GregorianDate(D39,1),J_GregorianDate(J_SUBDAY(J_ADDDAY(D39,N39+3,1),1,1),1),16,1)))+SUMIFS(Holieday[ok],Holieday[date],CONCATENATE("&gt;","=",D39),Holieday[date],CONCATENATE("&lt;","=",J_SUBDAY(J_ADDDAY(D39,N39+3,1),1,1)))-SUMIFS(Holieday[Friday],Holieday[date],CONCATENATE("&gt;","=",D39),Holieday[date],CONCATENATE("&lt;","=",J_SUBDAY(J_ADDDAY(D39,N39+3,1),1,1)))=3,J_SUBDAY(J_ADDDAY(D39,N39+3,1),1,1),IF((N39+4-(NETWORKDAYS.INTL(J_GregorianDate(D39,1),J_GregorianDate(J_SUBDAY(J_ADDDAY(D39,N39+4,1),1,1),1),16,1)))+SUMIFS(Holieday[ok],Holieday[date],CONCATENATE("&gt;","=",D39),Holieday[date],CONCATENATE("&lt;","=",J_SUBDAY(J_ADDDAY(D39,N39+4,1),1,1)))-SUMIFS(Holieday[Friday],Holieday[date],CONCATENATE("&gt;","=",D39),Holieday[date],CONCATENATE("&lt;","=",J_SUBDAY(J_ADDDAY(D39,N39+4,1),1,1)))=4,J_SUBDAY(J_ADDDAY(D39,N39+4,1),1,1),IF((N39+5-(NETWORKDAYS.INTL(J_GregorianDate(D39,1),J_GregorianDate(J_SUBDAY(J_ADDDAY(D39,N39+5,1),1,1),1),16,1)))+SUMIFS(Holieday[ok],Holieday[date],CONCATENATE("&gt;","=",D39),Holieday[date],CONCATENATE("&lt;","=",J_SUBDAY(J_ADDDAY(D39,N39+5,1),1,1)))-SUMIFS(Holieday[Friday],Holieday[date],CONCATENATE("&gt;","=",D39),Holieday[date],CONCATENATE("&lt;","=",J_SUBDAY(J_ADDDAY(D39,N39+5,1),1,1)))=5,J_SUBDAY(J_ADDDAY(D39,N39+5,1),1,1),J_SUBDAY(J_ADDDAY(D39,N39+6,1),1,1))))))))</f>
        <v>1398/09/20</v>
      </c>
      <c r="G39" s="3">
        <f t="shared" si="5"/>
        <v>13980920</v>
      </c>
      <c r="H39" s="119"/>
      <c r="I39" s="120">
        <v>2.6</v>
      </c>
      <c r="J39" s="10">
        <f>j_WEEKDAY(D39,2)</f>
        <v>0</v>
      </c>
      <c r="K39" s="22">
        <f t="shared" si="11"/>
        <v>0</v>
      </c>
      <c r="L39" s="9">
        <f t="shared" si="12"/>
        <v>61</v>
      </c>
      <c r="M39" s="121">
        <v>0</v>
      </c>
      <c r="N39" s="118">
        <v>55</v>
      </c>
      <c r="O39" s="11">
        <f t="shared" si="13"/>
        <v>0</v>
      </c>
      <c r="P39" s="11">
        <f>VALUE(J_normdate(J_ADDDAY($D39,$O39,1)))</f>
        <v>13980720</v>
      </c>
      <c r="Q39" s="10">
        <f t="shared" si="14"/>
        <v>61</v>
      </c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8"/>
      <c r="FH39" s="8"/>
      <c r="FI39" s="8"/>
      <c r="FJ39" s="8"/>
      <c r="FK39" s="8"/>
      <c r="FL39" s="8"/>
      <c r="FM39" s="8"/>
      <c r="FN39" s="8"/>
      <c r="FO39" s="8"/>
      <c r="FP39" s="8"/>
      <c r="FQ39" s="8"/>
      <c r="FR39" s="8"/>
      <c r="FS39" s="8"/>
      <c r="FT39" s="8"/>
      <c r="FU39" s="8"/>
      <c r="FV39" s="8"/>
      <c r="FW39" s="8"/>
      <c r="FX39" s="8"/>
      <c r="FY39" s="8"/>
      <c r="FZ39" s="8"/>
      <c r="GA39" s="8"/>
      <c r="GB39" s="8"/>
      <c r="GC39" s="8"/>
      <c r="GD39" s="8"/>
      <c r="GE39" s="8"/>
      <c r="GF39" s="8"/>
      <c r="GG39" s="8"/>
      <c r="GH39" s="8"/>
      <c r="GI39" s="8"/>
      <c r="GJ39" s="8"/>
      <c r="GK39" s="8"/>
      <c r="GL39" s="8"/>
      <c r="GM39" s="8"/>
      <c r="GN39" s="8"/>
      <c r="GO39" s="8"/>
      <c r="GP39" s="8"/>
      <c r="GQ39" s="8"/>
      <c r="GR39" s="8"/>
      <c r="GS39" s="8"/>
      <c r="GT39" s="8"/>
      <c r="GU39" s="8"/>
      <c r="GV39" s="8"/>
      <c r="GW39" s="8"/>
      <c r="GX39" s="8"/>
      <c r="GY39" s="8"/>
      <c r="GZ39" s="8"/>
      <c r="HA39" s="8"/>
      <c r="HB39" s="8"/>
      <c r="HC39" s="8"/>
      <c r="HD39" s="8"/>
      <c r="HE39" s="8"/>
      <c r="HF39" s="8"/>
      <c r="HG39" s="8"/>
      <c r="HH39" s="8"/>
      <c r="HI39" s="8"/>
      <c r="HJ39" s="8"/>
      <c r="HK39" s="8"/>
      <c r="HL39" s="8"/>
      <c r="HM39" s="8"/>
      <c r="HN39" s="8"/>
      <c r="HO39" s="8"/>
      <c r="HP39" s="8"/>
      <c r="HQ39" s="8"/>
      <c r="HR39" s="8"/>
      <c r="HS39" s="8"/>
      <c r="HT39" s="8"/>
      <c r="HU39" s="8"/>
      <c r="HV39" s="8"/>
      <c r="HW39" s="8"/>
      <c r="HX39" s="8"/>
      <c r="HY39" s="8"/>
      <c r="HZ39" s="8"/>
      <c r="IA39" s="8"/>
      <c r="IB39" s="8"/>
      <c r="IC39" s="8"/>
      <c r="ID39" s="8"/>
      <c r="IE39" s="8"/>
      <c r="IF39" s="8"/>
      <c r="IG39" s="8"/>
      <c r="IH39" s="8"/>
      <c r="II39" s="8"/>
      <c r="IJ39" s="8"/>
      <c r="IK39" s="8"/>
      <c r="IL39" s="8"/>
      <c r="IM39" s="8"/>
      <c r="IN39" s="8"/>
      <c r="IO39" s="8"/>
      <c r="IP39" s="8"/>
      <c r="IQ39" s="8"/>
      <c r="IR39" s="8"/>
      <c r="IS39" s="8"/>
      <c r="IT39" s="8"/>
      <c r="IU39" s="8"/>
      <c r="IV39" s="8"/>
      <c r="IW39" s="8"/>
      <c r="IX39" s="8"/>
      <c r="IY39" s="31">
        <v>1</v>
      </c>
      <c r="IZ39" s="35">
        <f>(TEXT(K39,"[m]")/60)*VLOOKUP(IY39,'Income Person-hours'!A$2:C$5,3,FALSE)</f>
        <v>0</v>
      </c>
      <c r="JA39" s="122"/>
      <c r="JB39" s="122"/>
      <c r="JC39" s="122"/>
      <c r="JD39" s="70">
        <f>SUM((TEXT(JA39,"[M]")/60)*'Income Person-hours'!$D$3,(TEXT(JB39,"[M]")/60)*'Income Person-hours'!$D$4,(TEXT(JC39,"[M]")/60)*'Income Person-hours'!$D$5)</f>
        <v>0</v>
      </c>
    </row>
    <row r="40" spans="1:264" s="12" customFormat="1" ht="15.75" x14ac:dyDescent="0.45">
      <c r="A40" s="209">
        <v>2.9</v>
      </c>
      <c r="B40" s="116" t="s">
        <v>121</v>
      </c>
      <c r="C40" s="117" t="s">
        <v>110</v>
      </c>
      <c r="D40" s="44" t="str">
        <f>IF(OR(j_WEEKDAY(J_ADDDAY(VLOOKUP(I40,A:F,6,FALSE),H40,1),0)=6,SUMIFS(Holieday[ok],Holieday[date],J_ADDDAY(VLOOKUP(I40,A:F,6,FALSE),H40,1)))=FALSE(),J_ADDDAY(VLOOKUP(I40,A:F,6,FALSE),H40,1),IF(OR(j_WEEKDAY(J_ADDDAY(VLOOKUP(I40,A:F,6,FALSE),H40+1,1),0)=6,SUMIFS(Holieday[ok],Holieday[date],J_ADDDAY(VLOOKUP(I40,A:F,6,FALSE),H40+1,1)))=FALSE(),J_ADDDAY(VLOOKUP(I40,A:F,6,FALSE),H40+1,1),IF(OR(j_WEEKDAY(J_ADDDAY(VLOOKUP(I40,A:F,6,FALSE),H40+2,1),0)=6,SUMIFS(Holieday[ok],Holieday[date],J_ADDDAY(VLOOKUP(I40,A:F,6,FALSE),H40+2,1)))=FALSE(),J_ADDDAY(VLOOKUP(I40,A:F,6,FALSE),H40+2,1),IF(OR(j_WEEKDAY(J_ADDDAY(VLOOKUP(I40,A:F,6,FALSE),H40+3,1),0)=6,SUMIFS(Holieday[ok],Holieday[date],J_ADDDAY(VLOOKUP(I40,A:F,6,FALSE),H40+3,1)))=FALSE(),J_ADDDAY(VLOOKUP(I40,A:F,6,FALSE),H40+3,1),IF(OR(j_WEEKDAY(J_ADDDAY(VLOOKUP(I40,A:F,6,FALSE),H40+4,1),0)=6,SUMIFS(Holieday[ok],Holieday[date],J_ADDDAY(VLOOKUP(I40,A:F,6,FALSE),H40+4,1)))=FALSE(),J_ADDDAY(VLOOKUP(I40,A:F,6,FALSE),H40+4,1),J_ADDDAY(VLOOKUP(I40,A:F,6,FALSE),H40+5,1))))))</f>
        <v>1398/10/04</v>
      </c>
      <c r="E40" s="2">
        <f t="shared" ref="E40:E63" si="15">VALUE(J_normdate(D40))</f>
        <v>13981004</v>
      </c>
      <c r="F40" s="10" t="str">
        <f>IF(N40=0,J_SUBDAY(D40,1,1),IF((N40-(NETWORKDAYS.INTL(J_GregorianDate(D40,1),J_GregorianDate(J_SUBDAY(J_ADDDAY(D40,N40,1),1,1),1),16,1)))+SUMIFS(Holieday[ok],Holieday[date],CONCATENATE("&gt;","=",D40),Holieday[date],CONCATENATE("&lt;","=",J_SUBDAY(J_ADDDAY(D40,N40,1),1,1)))-SUMIFS(Holieday[Friday],Holieday[date],CONCATENATE("&gt;","=",D40),Holieday[date],CONCATENATE("&lt;","=",J_SUBDAY(J_ADDDAY(D40,N40,1),1,1)))=0,J_SUBDAY(J_ADDDAY(D40,N40,1),1,1),IF((N40+1-(NETWORKDAYS.INTL(J_GregorianDate(D40,1),J_GregorianDate(J_SUBDAY(J_ADDDAY(D40,N40+1,1),1,1),1),16,1)))+SUMIFS(Holieday[ok],Holieday[date],CONCATENATE("&gt;","=",D40),Holieday[date],CONCATENATE("&lt;","=",J_SUBDAY(J_ADDDAY(D40,N40+1,1),1,1)))-SUMIFS(Holieday[Friday],Holieday[date],CONCATENATE("&gt;","=",D40),Holieday[date],CONCATENATE("&lt;","=",J_SUBDAY(J_ADDDAY(D40,N40+1,1),1,1)))=1,J_SUBDAY(J_ADDDAY(D40,N40+1,1),1,1),IF((N40+2-(NETWORKDAYS.INTL(J_GregorianDate(D40,1),J_GregorianDate(J_SUBDAY(J_ADDDAY(D40,N40+2,1),1,1),1),16,1)))+SUMIFS(Holieday[ok],Holieday[date],CONCATENATE("&gt;","=",D40),Holieday[date],CONCATENATE("&lt;","=",J_SUBDAY(J_ADDDAY(D40,N40+2,1),1,1)))-SUMIFS(Holieday[Friday],Holieday[date],CONCATENATE("&gt;","=",D40),Holieday[date],CONCATENATE("&lt;","=",J_SUBDAY(J_ADDDAY(D40,N40+2,1),1,1)))=2,J_SUBDAY(J_ADDDAY(D40,N40+2,1),1,1),IF((N40+3-(NETWORKDAYS.INTL(J_GregorianDate(D40,1),J_GregorianDate(J_SUBDAY(J_ADDDAY(D40,N40+3,1),1,1),1),16,1)))+SUMIFS(Holieday[ok],Holieday[date],CONCATENATE("&gt;","=",D40),Holieday[date],CONCATENATE("&lt;","=",J_SUBDAY(J_ADDDAY(D40,N40+3,1),1,1)))-SUMIFS(Holieday[Friday],Holieday[date],CONCATENATE("&gt;","=",D40),Holieday[date],CONCATENATE("&lt;","=",J_SUBDAY(J_ADDDAY(D40,N40+3,1),1,1)))=3,J_SUBDAY(J_ADDDAY(D40,N40+3,1),1,1),IF((N40+4-(NETWORKDAYS.INTL(J_GregorianDate(D40,1),J_GregorianDate(J_SUBDAY(J_ADDDAY(D40,N40+4,1),1,1),1),16,1)))+SUMIFS(Holieday[ok],Holieday[date],CONCATENATE("&gt;","=",D40),Holieday[date],CONCATENATE("&lt;","=",J_SUBDAY(J_ADDDAY(D40,N40+4,1),1,1)))-SUMIFS(Holieday[Friday],Holieday[date],CONCATENATE("&gt;","=",D40),Holieday[date],CONCATENATE("&lt;","=",J_SUBDAY(J_ADDDAY(D40,N40+4,1),1,1)))=4,J_SUBDAY(J_ADDDAY(D40,N40+4,1),1,1),IF((N40+5-(NETWORKDAYS.INTL(J_GregorianDate(D40,1),J_GregorianDate(J_SUBDAY(J_ADDDAY(D40,N40+5,1),1,1),1),16,1)))+SUMIFS(Holieday[ok],Holieday[date],CONCATENATE("&gt;","=",D40),Holieday[date],CONCATENATE("&lt;","=",J_SUBDAY(J_ADDDAY(D40,N40+5,1),1,1)))-SUMIFS(Holieday[Friday],Holieday[date],CONCATENATE("&gt;","=",D40),Holieday[date],CONCATENATE("&lt;","=",J_SUBDAY(J_ADDDAY(D40,N40+5,1),1,1)))=5,J_SUBDAY(J_ADDDAY(D40,N40+5,1),1,1),J_SUBDAY(J_ADDDAY(D40,N40+6,1),1,1))))))))</f>
        <v>1398/10/04</v>
      </c>
      <c r="G40" s="3">
        <f t="shared" ref="G40:G63" si="16">VALUE(J_normdate(F40))</f>
        <v>13981004</v>
      </c>
      <c r="H40" s="119"/>
      <c r="I40" s="120">
        <v>7.2</v>
      </c>
      <c r="J40" s="10">
        <f>j_WEEKDAY(D40,2)</f>
        <v>4</v>
      </c>
      <c r="K40" s="22">
        <f t="shared" si="11"/>
        <v>0</v>
      </c>
      <c r="L40" s="9">
        <f t="shared" si="12"/>
        <v>1</v>
      </c>
      <c r="M40" s="121">
        <v>0</v>
      </c>
      <c r="N40" s="118">
        <v>1</v>
      </c>
      <c r="O40" s="11">
        <f t="shared" si="13"/>
        <v>0</v>
      </c>
      <c r="P40" s="11">
        <f>VALUE(J_normdate(J_ADDDAY($D40,$O40,1)))</f>
        <v>13981004</v>
      </c>
      <c r="Q40" s="10">
        <f t="shared" si="14"/>
        <v>1</v>
      </c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8"/>
      <c r="FK40" s="8"/>
      <c r="FL40" s="8"/>
      <c r="FM40" s="8"/>
      <c r="FN40" s="8"/>
      <c r="FO40" s="8"/>
      <c r="FP40" s="8"/>
      <c r="FQ40" s="8"/>
      <c r="FR40" s="8"/>
      <c r="FS40" s="8"/>
      <c r="FT40" s="8"/>
      <c r="FU40" s="8"/>
      <c r="FV40" s="8"/>
      <c r="FW40" s="8"/>
      <c r="FX40" s="8"/>
      <c r="FY40" s="8"/>
      <c r="FZ40" s="8"/>
      <c r="GA40" s="8"/>
      <c r="GB40" s="8"/>
      <c r="GC40" s="8"/>
      <c r="GD40" s="8"/>
      <c r="GE40" s="8"/>
      <c r="GF40" s="8"/>
      <c r="GG40" s="8"/>
      <c r="GH40" s="8"/>
      <c r="GI40" s="8"/>
      <c r="GJ40" s="8"/>
      <c r="GK40" s="8"/>
      <c r="GL40" s="8"/>
      <c r="GM40" s="8"/>
      <c r="GN40" s="8"/>
      <c r="GO40" s="8"/>
      <c r="GP40" s="8"/>
      <c r="GQ40" s="8"/>
      <c r="GR40" s="8"/>
      <c r="GS40" s="8"/>
      <c r="GT40" s="8"/>
      <c r="GU40" s="8"/>
      <c r="GV40" s="8"/>
      <c r="GW40" s="8"/>
      <c r="GX40" s="8"/>
      <c r="GY40" s="8"/>
      <c r="GZ40" s="8"/>
      <c r="HA40" s="8"/>
      <c r="HB40" s="8"/>
      <c r="HC40" s="8"/>
      <c r="HD40" s="8"/>
      <c r="HE40" s="8"/>
      <c r="HF40" s="8"/>
      <c r="HG40" s="8"/>
      <c r="HH40" s="8"/>
      <c r="HI40" s="8"/>
      <c r="HJ40" s="8"/>
      <c r="HK40" s="8"/>
      <c r="HL40" s="8"/>
      <c r="HM40" s="8"/>
      <c r="HN40" s="8"/>
      <c r="HO40" s="8"/>
      <c r="HP40" s="8"/>
      <c r="HQ40" s="8"/>
      <c r="HR40" s="8"/>
      <c r="HS40" s="8"/>
      <c r="HT40" s="8"/>
      <c r="HU40" s="8"/>
      <c r="HV40" s="8"/>
      <c r="HW40" s="8"/>
      <c r="HX40" s="8"/>
      <c r="HY40" s="8"/>
      <c r="HZ40" s="8"/>
      <c r="IA40" s="8"/>
      <c r="IB40" s="8"/>
      <c r="IC40" s="8"/>
      <c r="ID40" s="8"/>
      <c r="IE40" s="8"/>
      <c r="IF40" s="8"/>
      <c r="IG40" s="8"/>
      <c r="IH40" s="8"/>
      <c r="II40" s="8"/>
      <c r="IJ40" s="8"/>
      <c r="IK40" s="8"/>
      <c r="IL40" s="8"/>
      <c r="IM40" s="8"/>
      <c r="IN40" s="8"/>
      <c r="IO40" s="8"/>
      <c r="IP40" s="8"/>
      <c r="IQ40" s="8"/>
      <c r="IR40" s="8"/>
      <c r="IS40" s="8"/>
      <c r="IT40" s="8"/>
      <c r="IU40" s="8"/>
      <c r="IV40" s="8"/>
      <c r="IW40" s="8"/>
      <c r="IX40" s="8"/>
      <c r="IY40" s="31">
        <v>1</v>
      </c>
      <c r="IZ40" s="35">
        <f>(TEXT(K40,"[m]")/60)*VLOOKUP(IY40,'Income Person-hours'!A$2:C$5,3,FALSE)</f>
        <v>0</v>
      </c>
      <c r="JA40" s="122"/>
      <c r="JB40" s="122"/>
      <c r="JC40" s="122"/>
      <c r="JD40" s="70">
        <f>SUM((TEXT(JA40,"[M]")/60)*'Income Person-hours'!$D$3,(TEXT(JB40,"[M]")/60)*'Income Person-hours'!$D$4,(TEXT(JC40,"[M]")/60)*'Income Person-hours'!$D$5)</f>
        <v>0</v>
      </c>
    </row>
    <row r="41" spans="1:264" s="12" customFormat="1" ht="15.75" hidden="1" x14ac:dyDescent="0.45">
      <c r="A41" s="32">
        <v>2.11</v>
      </c>
      <c r="B41" s="116"/>
      <c r="C41" s="117"/>
      <c r="D41" s="44" t="str">
        <f>IF(OR(j_WEEKDAY(J_ADDDAY(VLOOKUP(I41,A:F,6,FALSE),H41,1),0)=6,SUMIFS(Holieday[ok],Holieday[date],J_ADDDAY(VLOOKUP(I41,A:F,6,FALSE),H41,1)))=FALSE(),J_ADDDAY(VLOOKUP(I41,A:F,6,FALSE),H41,1),IF(OR(j_WEEKDAY(J_ADDDAY(VLOOKUP(I41,A:F,6,FALSE),H41+1,1),0)=6,SUMIFS(Holieday[ok],Holieday[date],J_ADDDAY(VLOOKUP(I41,A:F,6,FALSE),H41+1,1)))=FALSE(),J_ADDDAY(VLOOKUP(I41,A:F,6,FALSE),H41+1,1),IF(OR(j_WEEKDAY(J_ADDDAY(VLOOKUP(I41,A:F,6,FALSE),H41+2,1),0)=6,SUMIFS(Holieday[ok],Holieday[date],J_ADDDAY(VLOOKUP(I41,A:F,6,FALSE),H41+2,1)))=FALSE(),J_ADDDAY(VLOOKUP(I41,A:F,6,FALSE),H41+2,1),IF(OR(j_WEEKDAY(J_ADDDAY(VLOOKUP(I41,A:F,6,FALSE),H41+3,1),0)=6,SUMIFS(Holieday[ok],Holieday[date],J_ADDDAY(VLOOKUP(I41,A:F,6,FALSE),H41+3,1)))=FALSE(),J_ADDDAY(VLOOKUP(I41,A:F,6,FALSE),H41+3,1),IF(OR(j_WEEKDAY(J_ADDDAY(VLOOKUP(I41,A:F,6,FALSE),H41+4,1),0)=6,SUMIFS(Holieday[ok],Holieday[date],J_ADDDAY(VLOOKUP(I41,A:F,6,FALSE),H41+4,1)))=FALSE(),J_ADDDAY(VLOOKUP(I41,A:F,6,FALSE),H41+4,1),J_ADDDAY(VLOOKUP(I41,A:F,6,FALSE),H41+5,1))))))</f>
        <v>1398/09/20</v>
      </c>
      <c r="E41" s="2">
        <f t="shared" si="15"/>
        <v>13980920</v>
      </c>
      <c r="F41" s="10" t="str">
        <f>IF(N41=0,J_SUBDAY(D41,1,1),IF((N41-NETWORKDAYS.INTL(J_GregorianDate(D41,1),J_GregorianDate(J_SUBDAY(J_ADDDAY(D41,N41,1),1,1),1),16,1)-SUMIFS(Holieday[ok],Holieday[date],CONCATENATE("&gt;","=",D41),Holieday[date],CONCATENATE("&lt;","=",J_SUBDAY(J_ADDDAY(D41,N41,1),1,1)))+SUMIFS(Holieday[Friday],Holieday[date],CONCATENATE("&gt;","=",D41),Holieday[date],CONCATENATE("&lt;","=",J_SUBDAY(J_ADDDAY(D41,N41,1),1,1))))=0,J_SUBDAY(J_ADDDAY(D41,N41,1),1,1),IF((N41-NETWORKDAYS.INTL(J_GregorianDate(D41,1),J_GregorianDate(J_SUBDAY(J_ADDDAY(D41,N41,1),1,1),1),16,1)-SUMIFS(Holieday[ok],Holieday[date],CONCATENATE("&gt;","=",D41),Holieday[date],CONCATENATE("&lt;","=",J_SUBDAY(J_ADDDAY(D41,N41,1),1,1)))+SUMIFS(Holieday[Friday],Holieday[date],CONCATENATE("&gt;","=",D41),Holieday[date],CONCATENATE("&lt;","=",J_SUBDAY(J_ADDDAY(D41,N41,1),1,1))))=1,J_SUBDAY(J_ADDDAY(D41,N41+1,1),1,1),IF((N41-NETWORKDAYS.INTL(J_GregorianDate(D41,1),J_GregorianDate(J_SUBDAY(J_ADDDAY(D41,N41,1),1,1),1),16,1)-SUMIFS(Holieday[ok],Holieday[date],CONCATENATE("&gt;","=",D41),Holieday[date],CONCATENATE("&lt;","=",J_SUBDAY(J_ADDDAY(D41,N41,1),1,1)))+SUMIFS(Holieday[Friday],Holieday[date],CONCATENATE("&gt;","=",D41),Holieday[date],CONCATENATE("&lt;","=",J_SUBDAY(J_ADDDAY(D41,N41,1),1,1))))=2,J_SUBDAY(J_ADDDAY(D41,N41+2,1),1,1),J_SUBDAY(J_ADDDAY(D41,N41+3,1),1,1)))))</f>
        <v>1398/09/19</v>
      </c>
      <c r="G41" s="3">
        <f t="shared" si="16"/>
        <v>13980919</v>
      </c>
      <c r="H41" s="119"/>
      <c r="I41" s="120">
        <v>2.8</v>
      </c>
      <c r="J41" s="10">
        <f>j_WEEKDAY(D41,2)</f>
        <v>4</v>
      </c>
      <c r="K41" s="22">
        <f t="shared" si="11"/>
        <v>0</v>
      </c>
      <c r="L41" s="9">
        <f t="shared" si="12"/>
        <v>0</v>
      </c>
      <c r="M41" s="121">
        <v>0</v>
      </c>
      <c r="N41" s="118">
        <v>0</v>
      </c>
      <c r="O41" s="11">
        <f t="shared" si="13"/>
        <v>0</v>
      </c>
      <c r="P41" s="11">
        <f>VALUE(J_normdate(J_ADDDAY($D41,$O41,1)))</f>
        <v>13980920</v>
      </c>
      <c r="Q41" s="10">
        <f t="shared" si="14"/>
        <v>0</v>
      </c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8"/>
      <c r="FH41" s="8"/>
      <c r="FI41" s="8"/>
      <c r="FJ41" s="8"/>
      <c r="FK41" s="8"/>
      <c r="FL41" s="8"/>
      <c r="FM41" s="8"/>
      <c r="FN41" s="8"/>
      <c r="FO41" s="8"/>
      <c r="FP41" s="8"/>
      <c r="FQ41" s="8"/>
      <c r="FR41" s="8"/>
      <c r="FS41" s="8"/>
      <c r="FT41" s="8"/>
      <c r="FU41" s="8"/>
      <c r="FV41" s="8"/>
      <c r="FW41" s="8"/>
      <c r="FX41" s="8"/>
      <c r="FY41" s="8"/>
      <c r="FZ41" s="8"/>
      <c r="GA41" s="8"/>
      <c r="GB41" s="8"/>
      <c r="GC41" s="8"/>
      <c r="GD41" s="8"/>
      <c r="GE41" s="8"/>
      <c r="GF41" s="8"/>
      <c r="GG41" s="8"/>
      <c r="GH41" s="8"/>
      <c r="GI41" s="8"/>
      <c r="GJ41" s="8"/>
      <c r="GK41" s="8"/>
      <c r="GL41" s="8"/>
      <c r="GM41" s="8"/>
      <c r="GN41" s="8"/>
      <c r="GO41" s="8"/>
      <c r="GP41" s="8"/>
      <c r="GQ41" s="8"/>
      <c r="GR41" s="8"/>
      <c r="GS41" s="8"/>
      <c r="GT41" s="8"/>
      <c r="GU41" s="8"/>
      <c r="GV41" s="8"/>
      <c r="GW41" s="8"/>
      <c r="GX41" s="8"/>
      <c r="GY41" s="8"/>
      <c r="GZ41" s="8"/>
      <c r="HA41" s="8"/>
      <c r="HB41" s="8"/>
      <c r="HC41" s="8"/>
      <c r="HD41" s="8"/>
      <c r="HE41" s="8"/>
      <c r="HF41" s="8"/>
      <c r="HG41" s="8"/>
      <c r="HH41" s="8"/>
      <c r="HI41" s="8"/>
      <c r="HJ41" s="8"/>
      <c r="HK41" s="8"/>
      <c r="HL41" s="8"/>
      <c r="HM41" s="8"/>
      <c r="HN41" s="8"/>
      <c r="HO41" s="8"/>
      <c r="HP41" s="8"/>
      <c r="HQ41" s="8"/>
      <c r="HR41" s="8"/>
      <c r="HS41" s="8"/>
      <c r="HT41" s="8"/>
      <c r="HU41" s="8"/>
      <c r="HV41" s="8"/>
      <c r="HW41" s="8"/>
      <c r="HX41" s="8"/>
      <c r="HY41" s="8"/>
      <c r="HZ41" s="8"/>
      <c r="IA41" s="8"/>
      <c r="IB41" s="8"/>
      <c r="IC41" s="8"/>
      <c r="ID41" s="8"/>
      <c r="IE41" s="8"/>
      <c r="IF41" s="8"/>
      <c r="IG41" s="8"/>
      <c r="IH41" s="8"/>
      <c r="II41" s="8"/>
      <c r="IJ41" s="8"/>
      <c r="IK41" s="8"/>
      <c r="IL41" s="8"/>
      <c r="IM41" s="8"/>
      <c r="IN41" s="8"/>
      <c r="IO41" s="8"/>
      <c r="IP41" s="8"/>
      <c r="IQ41" s="8"/>
      <c r="IR41" s="8"/>
      <c r="IS41" s="8"/>
      <c r="IT41" s="8"/>
      <c r="IU41" s="8"/>
      <c r="IV41" s="8"/>
      <c r="IW41" s="8"/>
      <c r="IX41" s="8"/>
      <c r="JA41" s="122"/>
      <c r="JB41" s="122"/>
      <c r="JC41" s="122"/>
      <c r="JD41" s="70">
        <f>SUM((TEXT(JA41,"[M]")/60)*'Income Person-hours'!$D$3,(TEXT(JB41,"[M]")/60)*'Income Person-hours'!$D$4,(TEXT(JC41,"[M]")/60)*'Income Person-hours'!$D$5)</f>
        <v>0</v>
      </c>
    </row>
    <row r="42" spans="1:264" s="12" customFormat="1" ht="15.75" hidden="1" x14ac:dyDescent="0.45">
      <c r="A42" s="32">
        <v>2.12</v>
      </c>
      <c r="B42" s="116"/>
      <c r="C42" s="117"/>
      <c r="D42" s="8" t="str">
        <f>IF(OR(j_WEEKDAY(J_ADDDAY(VLOOKUP(I42,A:F,6,FALSE),H42,1),0)=6,SUMIFS(Holieday[ok],Holieday[date],J_ADDDAY(VLOOKUP(I42,A:F,6,FALSE),H42,1)))=FALSE(),J_ADDDAY(VLOOKUP(I42,A:F,6,FALSE),H42,1),IF(OR(j_WEEKDAY(J_ADDDAY(VLOOKUP(I42,A:F,6,FALSE),H42+1,1),0)=6,SUMIFS(Holieday[ok],Holieday[date],J_ADDDAY(VLOOKUP(I42,A:F,6,FALSE),H42+1,1)))=FALSE(),J_ADDDAY(VLOOKUP(I42,A:F,6,FALSE),H42+1,1),IF(OR(j_WEEKDAY(J_ADDDAY(VLOOKUP(I42,A:F,6,FALSE),H42+2,1),0)=6,SUMIFS(Holieday[ok],Holieday[date],J_ADDDAY(VLOOKUP(I42,A:F,6,FALSE),H42+2,1)))=FALSE(),J_ADDDAY(VLOOKUP(I42,A:F,6,FALSE),H42+2,1),IF(OR(j_WEEKDAY(J_ADDDAY(VLOOKUP(I42,A:F,6,FALSE),H42+3,1),0)=6,SUMIFS(Holieday[ok],Holieday[date],J_ADDDAY(VLOOKUP(I42,A:F,6,FALSE),H42+3,1)))=FALSE(),J_ADDDAY(VLOOKUP(I42,A:F,6,FALSE),H42+3,1),IF(OR(j_WEEKDAY(J_ADDDAY(VLOOKUP(I42,A:F,6,FALSE),H42+4,1),0)=6,SUMIFS(Holieday[ok],Holieday[date],J_ADDDAY(VLOOKUP(I42,A:F,6,FALSE),H42+4,1)))=FALSE(),J_ADDDAY(VLOOKUP(I42,A:F,6,FALSE),H42+4,1),J_ADDDAY(VLOOKUP(I42,A:F,6,FALSE),H42+5,1))))))</f>
        <v>1398/09/20</v>
      </c>
      <c r="E42" s="2">
        <f t="shared" si="15"/>
        <v>13980920</v>
      </c>
      <c r="F42" s="13" t="str">
        <f>IF(N42=0,J_SUBDAY(D42,1,1),IF((N42-NETWORKDAYS.INTL(J_GregorianDate(D42,1),J_GregorianDate(J_SUBDAY(J_ADDDAY(D42,N42,1),1,1),1),16,1)-SUMIFS(Holieday[ok],Holieday[date],CONCATENATE("&gt;","=",D42),Holieday[date],CONCATENATE("&lt;","=",J_SUBDAY(J_ADDDAY(D42,N42,1),1,1)))+SUMIFS(Holieday[Friday],Holieday[date],CONCATENATE("&gt;","=",D42),Holieday[date],CONCATENATE("&lt;","=",J_SUBDAY(J_ADDDAY(D42,N42,1),1,1))))=0,J_SUBDAY(J_ADDDAY(D42,N42,1),1,1),IF((N42-NETWORKDAYS.INTL(J_GregorianDate(D42,1),J_GregorianDate(J_SUBDAY(J_ADDDAY(D42,N42,1),1,1),1),16,1)-SUMIFS(Holieday[ok],Holieday[date],CONCATENATE("&gt;","=",D42),Holieday[date],CONCATENATE("&lt;","=",J_SUBDAY(J_ADDDAY(D42,N42,1),1,1)))+SUMIFS(Holieday[Friday],Holieday[date],CONCATENATE("&gt;","=",D42),Holieday[date],CONCATENATE("&lt;","=",J_SUBDAY(J_ADDDAY(D42,N42,1),1,1))))=1,J_SUBDAY(J_ADDDAY(D42,N42+1,1),1,1),IF((N42-NETWORKDAYS.INTL(J_GregorianDate(D42,1),J_GregorianDate(J_SUBDAY(J_ADDDAY(D42,N42,1),1,1),1),16,1)-SUMIFS(Holieday[ok],Holieday[date],CONCATENATE("&gt;","=",D42),Holieday[date],CONCATENATE("&lt;","=",J_SUBDAY(J_ADDDAY(D42,N42,1),1,1)))+SUMIFS(Holieday[Friday],Holieday[date],CONCATENATE("&gt;","=",D42),Holieday[date],CONCATENATE("&lt;","=",J_SUBDAY(J_ADDDAY(D42,N42,1),1,1))))=2,J_SUBDAY(J_ADDDAY(D42,N42+2,1),1,1),J_SUBDAY(J_ADDDAY(D42,N42+3,1),1,1)))))</f>
        <v>1398/09/19</v>
      </c>
      <c r="G42" s="3">
        <f t="shared" si="16"/>
        <v>13980919</v>
      </c>
      <c r="H42" s="119"/>
      <c r="I42" s="120">
        <v>2.8</v>
      </c>
      <c r="J42" s="10">
        <f>j_WEEKDAY(D42,2)</f>
        <v>4</v>
      </c>
      <c r="K42" s="22">
        <f t="shared" si="11"/>
        <v>0</v>
      </c>
      <c r="L42" s="9">
        <f t="shared" si="12"/>
        <v>0</v>
      </c>
      <c r="M42" s="121">
        <v>0</v>
      </c>
      <c r="N42" s="118">
        <v>0</v>
      </c>
      <c r="O42" s="11">
        <f t="shared" si="13"/>
        <v>0</v>
      </c>
      <c r="P42" s="11">
        <f>VALUE(J_normdate(J_ADDDAY($D42,$O42,1)))</f>
        <v>13980920</v>
      </c>
      <c r="Q42" s="10">
        <f t="shared" si="14"/>
        <v>0</v>
      </c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 s="8"/>
      <c r="EX42" s="8"/>
      <c r="EY42" s="8"/>
      <c r="EZ42" s="8"/>
      <c r="FA42" s="8"/>
      <c r="FB42" s="8"/>
      <c r="FC42" s="8"/>
      <c r="FD42" s="8"/>
      <c r="FE42" s="8"/>
      <c r="FF42" s="8"/>
      <c r="FG42" s="8"/>
      <c r="FH42" s="8"/>
      <c r="FI42" s="8"/>
      <c r="FJ42" s="8"/>
      <c r="FK42" s="8"/>
      <c r="FL42" s="8"/>
      <c r="FM42" s="8"/>
      <c r="FN42" s="8"/>
      <c r="FO42" s="8"/>
      <c r="FP42" s="8"/>
      <c r="FQ42" s="8"/>
      <c r="FR42" s="8"/>
      <c r="FS42" s="8"/>
      <c r="FT42" s="8"/>
      <c r="FU42" s="8"/>
      <c r="FV42" s="8"/>
      <c r="FW42" s="8"/>
      <c r="FX42" s="8"/>
      <c r="FY42" s="8"/>
      <c r="FZ42" s="8"/>
      <c r="GA42" s="8"/>
      <c r="GB42" s="8"/>
      <c r="GC42" s="8"/>
      <c r="GD42" s="8"/>
      <c r="GE42" s="8"/>
      <c r="GF42" s="8"/>
      <c r="GG42" s="8"/>
      <c r="GH42" s="8"/>
      <c r="GI42" s="8"/>
      <c r="GJ42" s="8"/>
      <c r="GK42" s="8"/>
      <c r="GL42" s="8"/>
      <c r="GM42" s="8"/>
      <c r="GN42" s="8"/>
      <c r="GO42" s="8"/>
      <c r="GP42" s="8"/>
      <c r="GQ42" s="8"/>
      <c r="GR42" s="8"/>
      <c r="GS42" s="8"/>
      <c r="GT42" s="8"/>
      <c r="GU42" s="8"/>
      <c r="GV42" s="8"/>
      <c r="GW42" s="8"/>
      <c r="GX42" s="8"/>
      <c r="GY42" s="8"/>
      <c r="GZ42" s="8"/>
      <c r="HA42" s="8"/>
      <c r="HB42" s="8"/>
      <c r="HC42" s="8"/>
      <c r="HD42" s="8"/>
      <c r="HE42" s="8"/>
      <c r="HF42" s="8"/>
      <c r="HG42" s="8"/>
      <c r="HH42" s="8"/>
      <c r="HI42" s="8"/>
      <c r="HJ42" s="8"/>
      <c r="HK42" s="8"/>
      <c r="HL42" s="8"/>
      <c r="HM42" s="8"/>
      <c r="HN42" s="8"/>
      <c r="HO42" s="8"/>
      <c r="HP42" s="8"/>
      <c r="HQ42" s="8"/>
      <c r="HR42" s="8"/>
      <c r="HS42" s="8"/>
      <c r="HT42" s="8"/>
      <c r="HU42" s="8"/>
      <c r="HV42" s="8"/>
      <c r="HW42" s="8"/>
      <c r="HX42" s="8"/>
      <c r="HY42" s="8"/>
      <c r="HZ42" s="8"/>
      <c r="IA42" s="8"/>
      <c r="IB42" s="8"/>
      <c r="IC42" s="8"/>
      <c r="ID42" s="8"/>
      <c r="IE42" s="8"/>
      <c r="IF42" s="8"/>
      <c r="IG42" s="8"/>
      <c r="IH42" s="8"/>
      <c r="II42" s="8"/>
      <c r="IJ42" s="8"/>
      <c r="IK42" s="8"/>
      <c r="IL42" s="8"/>
      <c r="IM42" s="8"/>
      <c r="IN42" s="8"/>
      <c r="IO42" s="8"/>
      <c r="IP42" s="8"/>
      <c r="IQ42" s="8"/>
      <c r="IR42" s="8"/>
      <c r="IS42" s="8"/>
      <c r="IT42" s="8"/>
      <c r="IU42" s="8"/>
      <c r="IV42" s="8"/>
      <c r="IW42" s="8"/>
      <c r="IX42" s="8"/>
      <c r="JA42" s="122"/>
      <c r="JB42" s="122"/>
      <c r="JC42" s="122"/>
      <c r="JD42" s="70">
        <f>SUM((TEXT(JA42,"[M]")/60)*'Income Person-hours'!$D$3,(TEXT(JB42,"[M]")/60)*'Income Person-hours'!$D$4,(TEXT(JC42,"[M]")/60)*'Income Person-hours'!$D$5)</f>
        <v>0</v>
      </c>
    </row>
    <row r="43" spans="1:264" s="12" customFormat="1" ht="15.75" hidden="1" x14ac:dyDescent="0.45">
      <c r="A43" s="32">
        <v>2.13</v>
      </c>
      <c r="B43" s="243"/>
      <c r="C43" s="117"/>
      <c r="D43" s="8" t="str">
        <f>IF(OR(j_WEEKDAY(J_ADDDAY(VLOOKUP(I43,A:F,6,FALSE),H43,1),0)=6,SUMIFS(Holieday[ok],Holieday[date],J_ADDDAY(VLOOKUP(I43,A:F,6,FALSE),H43,1)))=FALSE(),J_ADDDAY(VLOOKUP(I43,A:F,6,FALSE),H43,1),IF(OR(j_WEEKDAY(J_ADDDAY(VLOOKUP(I43,A:F,6,FALSE),H43+1,1),0)=6,SUMIFS(Holieday[ok],Holieday[date],J_ADDDAY(VLOOKUP(I43,A:F,6,FALSE),H43+1,1)))=FALSE(),J_ADDDAY(VLOOKUP(I43,A:F,6,FALSE),H43+1,1),IF(OR(j_WEEKDAY(J_ADDDAY(VLOOKUP(I43,A:F,6,FALSE),H43+2,1),0)=6,SUMIFS(Holieday[ok],Holieday[date],J_ADDDAY(VLOOKUP(I43,A:F,6,FALSE),H43+2,1)))=FALSE(),J_ADDDAY(VLOOKUP(I43,A:F,6,FALSE),H43+2,1),IF(OR(j_WEEKDAY(J_ADDDAY(VLOOKUP(I43,A:F,6,FALSE),H43+3,1),0)=6,SUMIFS(Holieday[ok],Holieday[date],J_ADDDAY(VLOOKUP(I43,A:F,6,FALSE),H43+3,1)))=FALSE(),J_ADDDAY(VLOOKUP(I43,A:F,6,FALSE),H43+3,1),IF(OR(j_WEEKDAY(J_ADDDAY(VLOOKUP(I43,A:F,6,FALSE),H43+4,1),0)=6,SUMIFS(Holieday[ok],Holieday[date],J_ADDDAY(VLOOKUP(I43,A:F,6,FALSE),H43+4,1)))=FALSE(),J_ADDDAY(VLOOKUP(I43,A:F,6,FALSE),H43+4,1),J_ADDDAY(VLOOKUP(I43,A:F,6,FALSE),H43+5,1))))))</f>
        <v>1398/09/20</v>
      </c>
      <c r="E43" s="2">
        <f t="shared" si="15"/>
        <v>13980920</v>
      </c>
      <c r="F43" s="13" t="str">
        <f>IF(N43=0,J_SUBDAY(D43,1,1),IF((N43-NETWORKDAYS.INTL(J_GregorianDate(D43,1),J_GregorianDate(J_SUBDAY(J_ADDDAY(D43,N43,1),1,1),1),16,1)-SUMIFS(Holieday[ok],Holieday[date],CONCATENATE("&gt;","=",D43),Holieday[date],CONCATENATE("&lt;","=",J_SUBDAY(J_ADDDAY(D43,N43,1),1,1)))+SUMIFS(Holieday[Friday],Holieday[date],CONCATENATE("&gt;","=",D43),Holieday[date],CONCATENATE("&lt;","=",J_SUBDAY(J_ADDDAY(D43,N43,1),1,1))))=0,J_SUBDAY(J_ADDDAY(D43,N43,1),1,1),IF((N43-NETWORKDAYS.INTL(J_GregorianDate(D43,1),J_GregorianDate(J_SUBDAY(J_ADDDAY(D43,N43,1),1,1),1),16,1)-SUMIFS(Holieday[ok],Holieday[date],CONCATENATE("&gt;","=",D43),Holieday[date],CONCATENATE("&lt;","=",J_SUBDAY(J_ADDDAY(D43,N43,1),1,1)))+SUMIFS(Holieday[Friday],Holieday[date],CONCATENATE("&gt;","=",D43),Holieday[date],CONCATENATE("&lt;","=",J_SUBDAY(J_ADDDAY(D43,N43,1),1,1))))=1,J_SUBDAY(J_ADDDAY(D43,N43+1,1),1,1),IF((N43-NETWORKDAYS.INTL(J_GregorianDate(D43,1),J_GregorianDate(J_SUBDAY(J_ADDDAY(D43,N43,1),1,1),1),16,1)-SUMIFS(Holieday[ok],Holieday[date],CONCATENATE("&gt;","=",D43),Holieday[date],CONCATENATE("&lt;","=",J_SUBDAY(J_ADDDAY(D43,N43,1),1,1)))+SUMIFS(Holieday[Friday],Holieday[date],CONCATENATE("&gt;","=",D43),Holieday[date],CONCATENATE("&lt;","=",J_SUBDAY(J_ADDDAY(D43,N43,1),1,1))))=2,J_SUBDAY(J_ADDDAY(D43,N43+2,1),1,1),J_SUBDAY(J_ADDDAY(D43,N43+3,1),1,1)))))</f>
        <v>1398/09/19</v>
      </c>
      <c r="G43" s="3">
        <f t="shared" si="16"/>
        <v>13980919</v>
      </c>
      <c r="H43" s="119"/>
      <c r="I43" s="120">
        <v>2.8</v>
      </c>
      <c r="J43" s="10">
        <f>j_WEEKDAY(D43,2)</f>
        <v>4</v>
      </c>
      <c r="K43" s="22">
        <f t="shared" si="11"/>
        <v>0</v>
      </c>
      <c r="L43" s="9">
        <f t="shared" si="12"/>
        <v>0</v>
      </c>
      <c r="M43" s="121">
        <v>0</v>
      </c>
      <c r="N43" s="118">
        <v>0</v>
      </c>
      <c r="O43" s="11">
        <f t="shared" si="13"/>
        <v>0</v>
      </c>
      <c r="P43" s="11">
        <f>VALUE(J_normdate(J_ADDDAY($D43,$O43,1)))</f>
        <v>13980920</v>
      </c>
      <c r="Q43" s="10">
        <f t="shared" si="14"/>
        <v>0</v>
      </c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 s="8"/>
      <c r="EX43" s="8"/>
      <c r="EY43" s="8"/>
      <c r="EZ43" s="8"/>
      <c r="FA43" s="8"/>
      <c r="FB43" s="8"/>
      <c r="FC43" s="8"/>
      <c r="FD43" s="8"/>
      <c r="FE43" s="8"/>
      <c r="FF43" s="8"/>
      <c r="FG43" s="8"/>
      <c r="FH43" s="8"/>
      <c r="FI43" s="8"/>
      <c r="FJ43" s="8"/>
      <c r="FK43" s="8"/>
      <c r="FL43" s="8"/>
      <c r="FM43" s="8"/>
      <c r="FN43" s="8"/>
      <c r="FO43" s="8"/>
      <c r="FP43" s="8"/>
      <c r="FQ43" s="8"/>
      <c r="FR43" s="8"/>
      <c r="FS43" s="8"/>
      <c r="FT43" s="8"/>
      <c r="FU43" s="8"/>
      <c r="FV43" s="8"/>
      <c r="FW43" s="8"/>
      <c r="FX43" s="8"/>
      <c r="FY43" s="8"/>
      <c r="FZ43" s="8"/>
      <c r="GA43" s="8"/>
      <c r="GB43" s="8"/>
      <c r="GC43" s="8"/>
      <c r="GD43" s="8"/>
      <c r="GE43" s="8"/>
      <c r="GF43" s="8"/>
      <c r="GG43" s="8"/>
      <c r="GH43" s="8"/>
      <c r="GI43" s="8"/>
      <c r="GJ43" s="8"/>
      <c r="GK43" s="8"/>
      <c r="GL43" s="8"/>
      <c r="GM43" s="8"/>
      <c r="GN43" s="8"/>
      <c r="GO43" s="8"/>
      <c r="GP43" s="8"/>
      <c r="GQ43" s="8"/>
      <c r="GR43" s="8"/>
      <c r="GS43" s="8"/>
      <c r="GT43" s="8"/>
      <c r="GU43" s="8"/>
      <c r="GV43" s="8"/>
      <c r="GW43" s="8"/>
      <c r="GX43" s="8"/>
      <c r="GY43" s="8"/>
      <c r="GZ43" s="8"/>
      <c r="HA43" s="8"/>
      <c r="HB43" s="8"/>
      <c r="HC43" s="8"/>
      <c r="HD43" s="8"/>
      <c r="HE43" s="8"/>
      <c r="HF43" s="8"/>
      <c r="HG43" s="8"/>
      <c r="HH43" s="8"/>
      <c r="HI43" s="8"/>
      <c r="HJ43" s="8"/>
      <c r="HK43" s="8"/>
      <c r="HL43" s="8"/>
      <c r="HM43" s="8"/>
      <c r="HN43" s="8"/>
      <c r="HO43" s="8"/>
      <c r="HP43" s="8"/>
      <c r="HQ43" s="8"/>
      <c r="HR43" s="8"/>
      <c r="HS43" s="8"/>
      <c r="HT43" s="8"/>
      <c r="HU43" s="8"/>
      <c r="HV43" s="8"/>
      <c r="HW43" s="8"/>
      <c r="HX43" s="8"/>
      <c r="HY43" s="8"/>
      <c r="HZ43" s="8"/>
      <c r="IA43" s="8"/>
      <c r="IB43" s="8"/>
      <c r="IC43" s="8"/>
      <c r="ID43" s="8"/>
      <c r="IE43" s="8"/>
      <c r="IF43" s="8"/>
      <c r="IG43" s="8"/>
      <c r="IH43" s="8"/>
      <c r="II43" s="8"/>
      <c r="IJ43" s="8"/>
      <c r="IK43" s="8"/>
      <c r="IL43" s="8"/>
      <c r="IM43" s="8"/>
      <c r="IN43" s="8"/>
      <c r="IO43" s="8"/>
      <c r="IP43" s="8"/>
      <c r="IQ43" s="8"/>
      <c r="IR43" s="8"/>
      <c r="IS43" s="8"/>
      <c r="IT43" s="8"/>
      <c r="IU43" s="8"/>
      <c r="IV43" s="8"/>
      <c r="IW43" s="8"/>
      <c r="IX43" s="8"/>
      <c r="JA43" s="235"/>
      <c r="JB43" s="235"/>
      <c r="JC43" s="236"/>
      <c r="JD43" s="70">
        <f>SUM((TEXT(JA43,"[M]")/60)*'Income Person-hours'!$D$3,(TEXT(JB43,"[M]")/60)*'Income Person-hours'!$D$4,(TEXT(JC43,"[M]")/60)*'Income Person-hours'!$D$5)</f>
        <v>0</v>
      </c>
    </row>
    <row r="44" spans="1:264" s="12" customFormat="1" ht="15.75" hidden="1" x14ac:dyDescent="0.45">
      <c r="A44" s="32">
        <v>2.14</v>
      </c>
      <c r="B44" s="243"/>
      <c r="C44" s="117"/>
      <c r="D44" s="44" t="str">
        <f>IF(OR(j_WEEKDAY(J_ADDDAY(VLOOKUP(I44,A:F,6,FALSE),H44,1),0)=6,SUMIFS(Holieday[ok],Holieday[date],J_ADDDAY(VLOOKUP(I44,A:F,6,FALSE),H44,1)))=FALSE(),J_ADDDAY(VLOOKUP(I44,A:F,6,FALSE),H44,1),IF(OR(j_WEEKDAY(J_ADDDAY(VLOOKUP(I44,A:F,6,FALSE),H44+1,1),0)=6,SUMIFS(Holieday[ok],Holieday[date],J_ADDDAY(VLOOKUP(I44,A:F,6,FALSE),H44+1,1)))=FALSE(),J_ADDDAY(VLOOKUP(I44,A:F,6,FALSE),H44+1,1),IF(OR(j_WEEKDAY(J_ADDDAY(VLOOKUP(I44,A:F,6,FALSE),H44+2,1),0)=6,SUMIFS(Holieday[ok],Holieday[date],J_ADDDAY(VLOOKUP(I44,A:F,6,FALSE),H44+2,1)))=FALSE(),J_ADDDAY(VLOOKUP(I44,A:F,6,FALSE),H44+2,1),IF(OR(j_WEEKDAY(J_ADDDAY(VLOOKUP(I44,A:F,6,FALSE),H44+3,1),0)=6,SUMIFS(Holieday[ok],Holieday[date],J_ADDDAY(VLOOKUP(I44,A:F,6,FALSE),H44+3,1)))=FALSE(),J_ADDDAY(VLOOKUP(I44,A:F,6,FALSE),H44+3,1),IF(OR(j_WEEKDAY(J_ADDDAY(VLOOKUP(I44,A:F,6,FALSE),H44+4,1),0)=6,SUMIFS(Holieday[ok],Holieday[date],J_ADDDAY(VLOOKUP(I44,A:F,6,FALSE),H44+4,1)))=FALSE(),J_ADDDAY(VLOOKUP(I44,A:F,6,FALSE),H44+4,1),J_ADDDAY(VLOOKUP(I44,A:F,6,FALSE),H44+5,1))))))</f>
        <v>1398/09/20</v>
      </c>
      <c r="E44" s="2">
        <f t="shared" si="15"/>
        <v>13980920</v>
      </c>
      <c r="F44" s="10" t="str">
        <f>IF(N44=0,J_SUBDAY(D44,1,1),IF((N44-NETWORKDAYS.INTL(J_GregorianDate(D44,1),J_GregorianDate(J_SUBDAY(J_ADDDAY(D44,N44,1),1,1),1),16,1)-SUMIFS(Holieday[ok],Holieday[date],CONCATENATE("&gt;","=",D44),Holieday[date],CONCATENATE("&lt;","=",J_SUBDAY(J_ADDDAY(D44,N44,1),1,1)))+SUMIFS(Holieday[Friday],Holieday[date],CONCATENATE("&gt;","=",D44),Holieday[date],CONCATENATE("&lt;","=",J_SUBDAY(J_ADDDAY(D44,N44,1),1,1))))=0,J_SUBDAY(J_ADDDAY(D44,N44,1),1,1),IF((N44-NETWORKDAYS.INTL(J_GregorianDate(D44,1),J_GregorianDate(J_SUBDAY(J_ADDDAY(D44,N44,1),1,1),1),16,1)-SUMIFS(Holieday[ok],Holieday[date],CONCATENATE("&gt;","=",D44),Holieday[date],CONCATENATE("&lt;","=",J_SUBDAY(J_ADDDAY(D44,N44,1),1,1)))+SUMIFS(Holieday[Friday],Holieday[date],CONCATENATE("&gt;","=",D44),Holieday[date],CONCATENATE("&lt;","=",J_SUBDAY(J_ADDDAY(D44,N44,1),1,1))))=1,J_SUBDAY(J_ADDDAY(D44,N44+1,1),1,1),IF((N44-NETWORKDAYS.INTL(J_GregorianDate(D44,1),J_GregorianDate(J_SUBDAY(J_ADDDAY(D44,N44,1),1,1),1),16,1)-SUMIFS(Holieday[ok],Holieday[date],CONCATENATE("&gt;","=",D44),Holieday[date],CONCATENATE("&lt;","=",J_SUBDAY(J_ADDDAY(D44,N44,1),1,1)))+SUMIFS(Holieday[Friday],Holieday[date],CONCATENATE("&gt;","=",D44),Holieday[date],CONCATENATE("&lt;","=",J_SUBDAY(J_ADDDAY(D44,N44,1),1,1))))=2,J_SUBDAY(J_ADDDAY(D44,N44+2,1),1,1),J_SUBDAY(J_ADDDAY(D44,N44+3,1),1,1)))))</f>
        <v>1398/09/19</v>
      </c>
      <c r="G44" s="3">
        <f t="shared" si="16"/>
        <v>13980919</v>
      </c>
      <c r="H44" s="119"/>
      <c r="I44" s="120">
        <v>2.8</v>
      </c>
      <c r="J44" s="10">
        <f>j_WEEKDAY(D44,2)</f>
        <v>4</v>
      </c>
      <c r="K44" s="22">
        <f t="shared" si="11"/>
        <v>0</v>
      </c>
      <c r="L44" s="9">
        <f t="shared" si="12"/>
        <v>0</v>
      </c>
      <c r="M44" s="121">
        <v>0</v>
      </c>
      <c r="N44" s="118">
        <v>0</v>
      </c>
      <c r="O44" s="11">
        <f t="shared" si="13"/>
        <v>0</v>
      </c>
      <c r="P44" s="11">
        <f>VALUE(J_normdate(J_ADDDAY($D44,$O44,1)))</f>
        <v>13980920</v>
      </c>
      <c r="Q44" s="10">
        <f t="shared" si="14"/>
        <v>0</v>
      </c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 s="8"/>
      <c r="EX44" s="8"/>
      <c r="EY44" s="8"/>
      <c r="EZ44" s="8"/>
      <c r="FA44" s="8"/>
      <c r="FB44" s="8"/>
      <c r="FC44" s="8"/>
      <c r="FD44" s="8"/>
      <c r="FE44" s="8"/>
      <c r="FF44" s="8"/>
      <c r="FG44" s="8"/>
      <c r="FH44" s="8"/>
      <c r="FI44" s="8"/>
      <c r="FJ44" s="8"/>
      <c r="FK44" s="8"/>
      <c r="FL44" s="8"/>
      <c r="FM44" s="8"/>
      <c r="FN44" s="8"/>
      <c r="FO44" s="8"/>
      <c r="FP44" s="8"/>
      <c r="FQ44" s="8"/>
      <c r="FR44" s="8"/>
      <c r="FS44" s="8"/>
      <c r="FT44" s="8"/>
      <c r="FU44" s="8"/>
      <c r="FV44" s="8"/>
      <c r="FW44" s="8"/>
      <c r="FX44" s="8"/>
      <c r="FY44" s="8"/>
      <c r="FZ44" s="8"/>
      <c r="GA44" s="8"/>
      <c r="GB44" s="8"/>
      <c r="GC44" s="8"/>
      <c r="GD44" s="8"/>
      <c r="GE44" s="8"/>
      <c r="GF44" s="8"/>
      <c r="GG44" s="8"/>
      <c r="GH44" s="8"/>
      <c r="GI44" s="8"/>
      <c r="GJ44" s="8"/>
      <c r="GK44" s="8"/>
      <c r="GL44" s="8"/>
      <c r="GM44" s="8"/>
      <c r="GN44" s="8"/>
      <c r="GO44" s="8"/>
      <c r="GP44" s="8"/>
      <c r="GQ44" s="8"/>
      <c r="GR44" s="8"/>
      <c r="GS44" s="8"/>
      <c r="GT44" s="8"/>
      <c r="GU44" s="8"/>
      <c r="GV44" s="8"/>
      <c r="GW44" s="8"/>
      <c r="GX44" s="8"/>
      <c r="GY44" s="8"/>
      <c r="GZ44" s="8"/>
      <c r="HA44" s="8"/>
      <c r="HB44" s="8"/>
      <c r="HC44" s="8"/>
      <c r="HD44" s="8"/>
      <c r="HE44" s="8"/>
      <c r="HF44" s="8"/>
      <c r="HG44" s="8"/>
      <c r="HH44" s="8"/>
      <c r="HI44" s="8"/>
      <c r="HJ44" s="8"/>
      <c r="HK44" s="8"/>
      <c r="HL44" s="8"/>
      <c r="HM44" s="8"/>
      <c r="HN44" s="8"/>
      <c r="HO44" s="8"/>
      <c r="HP44" s="8"/>
      <c r="HQ44" s="8"/>
      <c r="HR44" s="8"/>
      <c r="HS44" s="8"/>
      <c r="HT44" s="8"/>
      <c r="HU44" s="8"/>
      <c r="HV44" s="8"/>
      <c r="HW44" s="8"/>
      <c r="HX44" s="8"/>
      <c r="HY44" s="8"/>
      <c r="HZ44" s="8"/>
      <c r="IA44" s="8"/>
      <c r="IB44" s="8"/>
      <c r="IC44" s="8"/>
      <c r="ID44" s="8"/>
      <c r="IE44" s="8"/>
      <c r="IF44" s="8"/>
      <c r="IG44" s="8"/>
      <c r="IH44" s="8"/>
      <c r="II44" s="8"/>
      <c r="IJ44" s="8"/>
      <c r="IK44" s="8"/>
      <c r="IL44" s="8"/>
      <c r="IM44" s="8"/>
      <c r="IN44" s="8"/>
      <c r="IO44" s="8"/>
      <c r="IP44" s="8"/>
      <c r="IQ44" s="8"/>
      <c r="IR44" s="8"/>
      <c r="IS44" s="8"/>
      <c r="IT44" s="8"/>
      <c r="IU44" s="8"/>
      <c r="IV44" s="8"/>
      <c r="IW44" s="8"/>
      <c r="IX44" s="8"/>
      <c r="JA44" s="235"/>
      <c r="JB44" s="235"/>
      <c r="JC44" s="236"/>
      <c r="JD44" s="70">
        <f>SUM((TEXT(JA44,"[M]")/60)*'Income Person-hours'!$D$3,(TEXT(JB44,"[M]")/60)*'Income Person-hours'!$D$4,(TEXT(JC44,"[M]")/60)*'Income Person-hours'!$D$5)</f>
        <v>0</v>
      </c>
    </row>
    <row r="45" spans="1:264" s="12" customFormat="1" ht="15.75" hidden="1" x14ac:dyDescent="0.45">
      <c r="A45" s="32">
        <v>2.15</v>
      </c>
      <c r="B45" s="116"/>
      <c r="C45" s="117"/>
      <c r="D45" s="8" t="str">
        <f>IF(OR(j_WEEKDAY(J_ADDDAY(VLOOKUP(I45,A:F,6,FALSE),H45,1),0)=6,SUMIFS(Holieday[ok],Holieday[date],J_ADDDAY(VLOOKUP(I45,A:F,6,FALSE),H45,1)))=FALSE(),J_ADDDAY(VLOOKUP(I45,A:F,6,FALSE),H45,1),IF(OR(j_WEEKDAY(J_ADDDAY(VLOOKUP(I45,A:F,6,FALSE),H45+1,1),0)=6,SUMIFS(Holieday[ok],Holieday[date],J_ADDDAY(VLOOKUP(I45,A:F,6,FALSE),H45+1,1)))=FALSE(),J_ADDDAY(VLOOKUP(I45,A:F,6,FALSE),H45+1,1),IF(OR(j_WEEKDAY(J_ADDDAY(VLOOKUP(I45,A:F,6,FALSE),H45+2,1),0)=6,SUMIFS(Holieday[ok],Holieday[date],J_ADDDAY(VLOOKUP(I45,A:F,6,FALSE),H45+2,1)))=FALSE(),J_ADDDAY(VLOOKUP(I45,A:F,6,FALSE),H45+2,1),IF(OR(j_WEEKDAY(J_ADDDAY(VLOOKUP(I45,A:F,6,FALSE),H45+3,1),0)=6,SUMIFS(Holieday[ok],Holieday[date],J_ADDDAY(VLOOKUP(I45,A:F,6,FALSE),H45+3,1)))=FALSE(),J_ADDDAY(VLOOKUP(I45,A:F,6,FALSE),H45+3,1),IF(OR(j_WEEKDAY(J_ADDDAY(VLOOKUP(I45,A:F,6,FALSE),H45+4,1),0)=6,SUMIFS(Holieday[ok],Holieday[date],J_ADDDAY(VLOOKUP(I45,A:F,6,FALSE),H45+4,1)))=FALSE(),J_ADDDAY(VLOOKUP(I45,A:F,6,FALSE),H45+4,1),J_ADDDAY(VLOOKUP(I45,A:F,6,FALSE),H45+5,1))))))</f>
        <v>1398/09/20</v>
      </c>
      <c r="E45" s="2">
        <f t="shared" si="15"/>
        <v>13980920</v>
      </c>
      <c r="F45" s="13" t="str">
        <f>IF(N45=0,J_SUBDAY(D45,1,1),IF((N45-NETWORKDAYS.INTL(J_GregorianDate(D45,1),J_GregorianDate(J_SUBDAY(J_ADDDAY(D45,N45,1),1,1),1),16,1)-SUMIFS(Holieday[ok],Holieday[date],CONCATENATE("&gt;","=",D45),Holieday[date],CONCATENATE("&lt;","=",J_SUBDAY(J_ADDDAY(D45,N45,1),1,1)))+SUMIFS(Holieday[Friday],Holieday[date],CONCATENATE("&gt;","=",D45),Holieday[date],CONCATENATE("&lt;","=",J_SUBDAY(J_ADDDAY(D45,N45,1),1,1))))=0,J_SUBDAY(J_ADDDAY(D45,N45,1),1,1),IF((N45-NETWORKDAYS.INTL(J_GregorianDate(D45,1),J_GregorianDate(J_SUBDAY(J_ADDDAY(D45,N45,1),1,1),1),16,1)-SUMIFS(Holieday[ok],Holieday[date],CONCATENATE("&gt;","=",D45),Holieday[date],CONCATENATE("&lt;","=",J_SUBDAY(J_ADDDAY(D45,N45,1),1,1)))+SUMIFS(Holieday[Friday],Holieday[date],CONCATENATE("&gt;","=",D45),Holieday[date],CONCATENATE("&lt;","=",J_SUBDAY(J_ADDDAY(D45,N45,1),1,1))))=1,J_SUBDAY(J_ADDDAY(D45,N45+1,1),1,1),IF((N45-NETWORKDAYS.INTL(J_GregorianDate(D45,1),J_GregorianDate(J_SUBDAY(J_ADDDAY(D45,N45,1),1,1),1),16,1)-SUMIFS(Holieday[ok],Holieday[date],CONCATENATE("&gt;","=",D45),Holieday[date],CONCATENATE("&lt;","=",J_SUBDAY(J_ADDDAY(D45,N45,1),1,1)))+SUMIFS(Holieday[Friday],Holieday[date],CONCATENATE("&gt;","=",D45),Holieday[date],CONCATENATE("&lt;","=",J_SUBDAY(J_ADDDAY(D45,N45,1),1,1))))=2,J_SUBDAY(J_ADDDAY(D45,N45+2,1),1,1),J_SUBDAY(J_ADDDAY(D45,N45+3,1),1,1)))))</f>
        <v>1398/09/19</v>
      </c>
      <c r="G45" s="3">
        <f t="shared" si="16"/>
        <v>13980919</v>
      </c>
      <c r="H45" s="119"/>
      <c r="I45" s="120">
        <v>2.8</v>
      </c>
      <c r="J45" s="10">
        <f>j_WEEKDAY(D45,2)</f>
        <v>4</v>
      </c>
      <c r="K45" s="22">
        <f t="shared" si="11"/>
        <v>0</v>
      </c>
      <c r="L45" s="9">
        <f t="shared" si="12"/>
        <v>0</v>
      </c>
      <c r="M45" s="121">
        <v>1</v>
      </c>
      <c r="N45" s="118">
        <v>0</v>
      </c>
      <c r="O45" s="11">
        <f t="shared" si="13"/>
        <v>0</v>
      </c>
      <c r="P45" s="11">
        <f>VALUE(J_normdate(J_ADDDAY($D45,$O45,1)))</f>
        <v>13980920</v>
      </c>
      <c r="Q45" s="10">
        <f t="shared" si="14"/>
        <v>0</v>
      </c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 s="8"/>
      <c r="EX45" s="8"/>
      <c r="EY45" s="8"/>
      <c r="EZ45" s="8"/>
      <c r="FA45" s="8"/>
      <c r="FB45" s="8"/>
      <c r="FC45" s="8"/>
      <c r="FD45" s="8"/>
      <c r="FE45" s="8"/>
      <c r="FF45" s="8"/>
      <c r="FG45" s="8"/>
      <c r="FH45" s="8"/>
      <c r="FI45" s="8"/>
      <c r="FJ45" s="8"/>
      <c r="FK45" s="8"/>
      <c r="FL45" s="8"/>
      <c r="FM45" s="8"/>
      <c r="FN45" s="8"/>
      <c r="FO45" s="8"/>
      <c r="FP45" s="8"/>
      <c r="FQ45" s="8"/>
      <c r="FR45" s="8"/>
      <c r="FS45" s="8"/>
      <c r="FT45" s="8"/>
      <c r="FU45" s="8"/>
      <c r="FV45" s="8"/>
      <c r="FW45" s="8"/>
      <c r="FX45" s="8"/>
      <c r="FY45" s="8"/>
      <c r="FZ45" s="8"/>
      <c r="GA45" s="8"/>
      <c r="GB45" s="8"/>
      <c r="GC45" s="8"/>
      <c r="GD45" s="8"/>
      <c r="GE45" s="8"/>
      <c r="GF45" s="8"/>
      <c r="GG45" s="8"/>
      <c r="GH45" s="8"/>
      <c r="GI45" s="8"/>
      <c r="GJ45" s="8"/>
      <c r="GK45" s="8"/>
      <c r="GL45" s="8"/>
      <c r="GM45" s="8"/>
      <c r="GN45" s="8"/>
      <c r="GO45" s="8"/>
      <c r="GP45" s="8"/>
      <c r="GQ45" s="8"/>
      <c r="GR45" s="8"/>
      <c r="GS45" s="8"/>
      <c r="GT45" s="8"/>
      <c r="GU45" s="8"/>
      <c r="GV45" s="8"/>
      <c r="GW45" s="8"/>
      <c r="GX45" s="8"/>
      <c r="GY45" s="8"/>
      <c r="GZ45" s="8"/>
      <c r="HA45" s="8"/>
      <c r="HB45" s="8"/>
      <c r="HC45" s="8"/>
      <c r="HD45" s="8"/>
      <c r="HE45" s="8"/>
      <c r="HF45" s="8"/>
      <c r="HG45" s="8"/>
      <c r="HH45" s="8"/>
      <c r="HI45" s="8"/>
      <c r="HJ45" s="8"/>
      <c r="HK45" s="8"/>
      <c r="HL45" s="8"/>
      <c r="HM45" s="8"/>
      <c r="HN45" s="8"/>
      <c r="HO45" s="8"/>
      <c r="HP45" s="8"/>
      <c r="HQ45" s="8"/>
      <c r="HR45" s="8"/>
      <c r="HS45" s="8"/>
      <c r="HT45" s="8"/>
      <c r="HU45" s="8"/>
      <c r="HV45" s="8"/>
      <c r="HW45" s="8"/>
      <c r="HX45" s="8"/>
      <c r="HY45" s="8"/>
      <c r="HZ45" s="8"/>
      <c r="IA45" s="8"/>
      <c r="IB45" s="8"/>
      <c r="IC45" s="8"/>
      <c r="ID45" s="8"/>
      <c r="IE45" s="8"/>
      <c r="IF45" s="8"/>
      <c r="IG45" s="8"/>
      <c r="IH45" s="8"/>
      <c r="II45" s="8"/>
      <c r="IJ45" s="8"/>
      <c r="IK45" s="8"/>
      <c r="IL45" s="8"/>
      <c r="IM45" s="8"/>
      <c r="IN45" s="8"/>
      <c r="IO45" s="8"/>
      <c r="IP45" s="8"/>
      <c r="IQ45" s="8"/>
      <c r="IR45" s="8"/>
      <c r="IS45" s="8"/>
      <c r="IT45" s="8"/>
      <c r="IU45" s="8"/>
      <c r="IV45" s="8"/>
      <c r="IW45" s="8"/>
      <c r="IX45" s="8"/>
      <c r="JA45" s="123"/>
      <c r="JB45" s="123"/>
      <c r="JC45" s="123"/>
      <c r="JD45" s="70">
        <f>SUM((TEXT(JA45,"[M]")/60)*'Income Person-hours'!$D$3,(TEXT(JB45,"[M]")/60)*'Income Person-hours'!$D$4,(TEXT(JC45,"[M]")/60)*'Income Person-hours'!$D$5)</f>
        <v>0</v>
      </c>
    </row>
    <row r="46" spans="1:264" s="12" customFormat="1" ht="15.75" hidden="1" x14ac:dyDescent="0.45">
      <c r="A46" s="32">
        <v>2.16</v>
      </c>
      <c r="B46" s="116"/>
      <c r="C46" s="117"/>
      <c r="D46" s="8" t="str">
        <f>IF(OR(j_WEEKDAY(J_ADDDAY(VLOOKUP(I46,A:F,6,FALSE),H46,1),0)=6,SUMIFS(Holieday[ok],Holieday[date],J_ADDDAY(VLOOKUP(I46,A:F,6,FALSE),H46,1)))=FALSE(),J_ADDDAY(VLOOKUP(I46,A:F,6,FALSE),H46,1),IF(OR(j_WEEKDAY(J_ADDDAY(VLOOKUP(I46,A:F,6,FALSE),H46+1,1),0)=6,SUMIFS(Holieday[ok],Holieday[date],J_ADDDAY(VLOOKUP(I46,A:F,6,FALSE),H46+1,1)))=FALSE(),J_ADDDAY(VLOOKUP(I46,A:F,6,FALSE),H46+1,1),IF(OR(j_WEEKDAY(J_ADDDAY(VLOOKUP(I46,A:F,6,FALSE),H46+2,1),0)=6,SUMIFS(Holieday[ok],Holieday[date],J_ADDDAY(VLOOKUP(I46,A:F,6,FALSE),H46+2,1)))=FALSE(),J_ADDDAY(VLOOKUP(I46,A:F,6,FALSE),H46+2,1),IF(OR(j_WEEKDAY(J_ADDDAY(VLOOKUP(I46,A:F,6,FALSE),H46+3,1),0)=6,SUMIFS(Holieday[ok],Holieday[date],J_ADDDAY(VLOOKUP(I46,A:F,6,FALSE),H46+3,1)))=FALSE(),J_ADDDAY(VLOOKUP(I46,A:F,6,FALSE),H46+3,1),IF(OR(j_WEEKDAY(J_ADDDAY(VLOOKUP(I46,A:F,6,FALSE),H46+4,1),0)=6,SUMIFS(Holieday[ok],Holieday[date],J_ADDDAY(VLOOKUP(I46,A:F,6,FALSE),H46+4,1)))=FALSE(),J_ADDDAY(VLOOKUP(I46,A:F,6,FALSE),H46+4,1),J_ADDDAY(VLOOKUP(I46,A:F,6,FALSE),H46+5,1))))))</f>
        <v>1398/09/20</v>
      </c>
      <c r="E46" s="2">
        <f t="shared" si="15"/>
        <v>13980920</v>
      </c>
      <c r="F46" s="13" t="str">
        <f>IF(N46=0,J_SUBDAY(D46,1,1),IF((N46-NETWORKDAYS.INTL(J_GregorianDate(D46,1),J_GregorianDate(J_SUBDAY(J_ADDDAY(D46,N46,1),1,1),1),16,1)-SUMIFS(Holieday[ok],Holieday[date],CONCATENATE("&gt;","=",D46),Holieday[date],CONCATENATE("&lt;","=",J_SUBDAY(J_ADDDAY(D46,N46,1),1,1)))+SUMIFS(Holieday[Friday],Holieday[date],CONCATENATE("&gt;","=",D46),Holieday[date],CONCATENATE("&lt;","=",J_SUBDAY(J_ADDDAY(D46,N46,1),1,1))))=0,J_SUBDAY(J_ADDDAY(D46,N46,1),1,1),IF((N46-NETWORKDAYS.INTL(J_GregorianDate(D46,1),J_GregorianDate(J_SUBDAY(J_ADDDAY(D46,N46,1),1,1),1),16,1)-SUMIFS(Holieday[ok],Holieday[date],CONCATENATE("&gt;","=",D46),Holieday[date],CONCATENATE("&lt;","=",J_SUBDAY(J_ADDDAY(D46,N46,1),1,1)))+SUMIFS(Holieday[Friday],Holieday[date],CONCATENATE("&gt;","=",D46),Holieday[date],CONCATENATE("&lt;","=",J_SUBDAY(J_ADDDAY(D46,N46,1),1,1))))=1,J_SUBDAY(J_ADDDAY(D46,N46+1,1),1,1),IF((N46-NETWORKDAYS.INTL(J_GregorianDate(D46,1),J_GregorianDate(J_SUBDAY(J_ADDDAY(D46,N46,1),1,1),1),16,1)-SUMIFS(Holieday[ok],Holieday[date],CONCATENATE("&gt;","=",D46),Holieday[date],CONCATENATE("&lt;","=",J_SUBDAY(J_ADDDAY(D46,N46,1),1,1)))+SUMIFS(Holieday[Friday],Holieday[date],CONCATENATE("&gt;","=",D46),Holieday[date],CONCATENATE("&lt;","=",J_SUBDAY(J_ADDDAY(D46,N46,1),1,1))))=2,J_SUBDAY(J_ADDDAY(D46,N46+2,1),1,1),J_SUBDAY(J_ADDDAY(D46,N46+3,1),1,1)))))</f>
        <v>1398/09/19</v>
      </c>
      <c r="G46" s="3">
        <f t="shared" si="16"/>
        <v>13980919</v>
      </c>
      <c r="H46" s="119"/>
      <c r="I46" s="120">
        <v>2.8</v>
      </c>
      <c r="J46" s="10">
        <f>j_WEEKDAY(D46,2)</f>
        <v>4</v>
      </c>
      <c r="K46" s="22">
        <f t="shared" si="11"/>
        <v>0</v>
      </c>
      <c r="L46" s="9">
        <f t="shared" si="12"/>
        <v>0</v>
      </c>
      <c r="M46" s="121">
        <v>1</v>
      </c>
      <c r="N46" s="118">
        <v>0</v>
      </c>
      <c r="O46" s="11">
        <f t="shared" si="13"/>
        <v>0</v>
      </c>
      <c r="P46" s="11">
        <f>VALUE(J_normdate(J_ADDDAY($D46,$O46,1)))</f>
        <v>13980920</v>
      </c>
      <c r="Q46" s="10">
        <f t="shared" si="14"/>
        <v>0</v>
      </c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 s="8"/>
      <c r="EX46" s="8"/>
      <c r="EY46" s="8"/>
      <c r="EZ46" s="8"/>
      <c r="FA46" s="8"/>
      <c r="FB46" s="8"/>
      <c r="FC46" s="8"/>
      <c r="FD46" s="8"/>
      <c r="FE46" s="8"/>
      <c r="FF46" s="8"/>
      <c r="FG46" s="8"/>
      <c r="FH46" s="8"/>
      <c r="FI46" s="8"/>
      <c r="FJ46" s="8"/>
      <c r="FK46" s="8"/>
      <c r="FL46" s="8"/>
      <c r="FM46" s="8"/>
      <c r="FN46" s="8"/>
      <c r="FO46" s="8"/>
      <c r="FP46" s="8"/>
      <c r="FQ46" s="8"/>
      <c r="FR46" s="8"/>
      <c r="FS46" s="8"/>
      <c r="FT46" s="8"/>
      <c r="FU46" s="8"/>
      <c r="FV46" s="8"/>
      <c r="FW46" s="8"/>
      <c r="FX46" s="8"/>
      <c r="FY46" s="8"/>
      <c r="FZ46" s="8"/>
      <c r="GA46" s="8"/>
      <c r="GB46" s="8"/>
      <c r="GC46" s="8"/>
      <c r="GD46" s="8"/>
      <c r="GE46" s="8"/>
      <c r="GF46" s="8"/>
      <c r="GG46" s="8"/>
      <c r="GH46" s="8"/>
      <c r="GI46" s="8"/>
      <c r="GJ46" s="8"/>
      <c r="GK46" s="8"/>
      <c r="GL46" s="8"/>
      <c r="GM46" s="8"/>
      <c r="GN46" s="8"/>
      <c r="GO46" s="8"/>
      <c r="GP46" s="8"/>
      <c r="GQ46" s="8"/>
      <c r="GR46" s="8"/>
      <c r="GS46" s="8"/>
      <c r="GT46" s="8"/>
      <c r="GU46" s="8"/>
      <c r="GV46" s="8"/>
      <c r="GW46" s="8"/>
      <c r="GX46" s="8"/>
      <c r="GY46" s="8"/>
      <c r="GZ46" s="8"/>
      <c r="HA46" s="8"/>
      <c r="HB46" s="8"/>
      <c r="HC46" s="8"/>
      <c r="HD46" s="8"/>
      <c r="HE46" s="8"/>
      <c r="HF46" s="8"/>
      <c r="HG46" s="8"/>
      <c r="HH46" s="8"/>
      <c r="HI46" s="8"/>
      <c r="HJ46" s="8"/>
      <c r="HK46" s="8"/>
      <c r="HL46" s="8"/>
      <c r="HM46" s="8"/>
      <c r="HN46" s="8"/>
      <c r="HO46" s="8"/>
      <c r="HP46" s="8"/>
      <c r="HQ46" s="8"/>
      <c r="HR46" s="8"/>
      <c r="HS46" s="8"/>
      <c r="HT46" s="8"/>
      <c r="HU46" s="8"/>
      <c r="HV46" s="8"/>
      <c r="HW46" s="8"/>
      <c r="HX46" s="8"/>
      <c r="HY46" s="8"/>
      <c r="HZ46" s="8"/>
      <c r="IA46" s="8"/>
      <c r="IB46" s="8"/>
      <c r="IC46" s="8"/>
      <c r="ID46" s="8"/>
      <c r="IE46" s="8"/>
      <c r="IF46" s="8"/>
      <c r="IG46" s="8"/>
      <c r="IH46" s="8"/>
      <c r="II46" s="8"/>
      <c r="IJ46" s="8"/>
      <c r="IK46" s="8"/>
      <c r="IL46" s="8"/>
      <c r="IM46" s="8"/>
      <c r="IN46" s="8"/>
      <c r="IO46" s="8"/>
      <c r="IP46" s="8"/>
      <c r="IQ46" s="8"/>
      <c r="IR46" s="8"/>
      <c r="IS46" s="8"/>
      <c r="IT46" s="8"/>
      <c r="IU46" s="8"/>
      <c r="IV46" s="8"/>
      <c r="IW46" s="8"/>
      <c r="IX46" s="8"/>
      <c r="JA46" s="123"/>
      <c r="JB46" s="123"/>
      <c r="JC46" s="123"/>
      <c r="JD46" s="70">
        <f>SUM((TEXT(JA46,"[M]")/60)*'Income Person-hours'!$D$3,(TEXT(JB46,"[M]")/60)*'Income Person-hours'!$D$4,(TEXT(JC46,"[M]")/60)*'Income Person-hours'!$D$5)</f>
        <v>0</v>
      </c>
    </row>
    <row r="47" spans="1:264" s="12" customFormat="1" ht="15.75" hidden="1" x14ac:dyDescent="0.45">
      <c r="A47" s="32">
        <v>2.17</v>
      </c>
      <c r="B47" s="116"/>
      <c r="C47" s="117"/>
      <c r="D47" s="8" t="str">
        <f>IF(OR(j_WEEKDAY(J_ADDDAY(VLOOKUP(I47,A:F,6,FALSE),H47,1),0)=6,SUMIFS(Holieday[ok],Holieday[date],J_ADDDAY(VLOOKUP(I47,A:F,6,FALSE),H47,1)))=FALSE(),J_ADDDAY(VLOOKUP(I47,A:F,6,FALSE),H47,1),IF(OR(j_WEEKDAY(J_ADDDAY(VLOOKUP(I47,A:F,6,FALSE),H47+1,1),0)=6,SUMIFS(Holieday[ok],Holieday[date],J_ADDDAY(VLOOKUP(I47,A:F,6,FALSE),H47+1,1)))=FALSE(),J_ADDDAY(VLOOKUP(I47,A:F,6,FALSE),H47+1,1),IF(OR(j_WEEKDAY(J_ADDDAY(VLOOKUP(I47,A:F,6,FALSE),H47+2,1),0)=6,SUMIFS(Holieday[ok],Holieday[date],J_ADDDAY(VLOOKUP(I47,A:F,6,FALSE),H47+2,1)))=FALSE(),J_ADDDAY(VLOOKUP(I47,A:F,6,FALSE),H47+2,1),IF(OR(j_WEEKDAY(J_ADDDAY(VLOOKUP(I47,A:F,6,FALSE),H47+3,1),0)=6,SUMIFS(Holieday[ok],Holieday[date],J_ADDDAY(VLOOKUP(I47,A:F,6,FALSE),H47+3,1)))=FALSE(),J_ADDDAY(VLOOKUP(I47,A:F,6,FALSE),H47+3,1),IF(OR(j_WEEKDAY(J_ADDDAY(VLOOKUP(I47,A:F,6,FALSE),H47+4,1),0)=6,SUMIFS(Holieday[ok],Holieday[date],J_ADDDAY(VLOOKUP(I47,A:F,6,FALSE),H47+4,1)))=FALSE(),J_ADDDAY(VLOOKUP(I47,A:F,6,FALSE),H47+4,1),J_ADDDAY(VLOOKUP(I47,A:F,6,FALSE),H47+5,1))))))</f>
        <v>1398/09/20</v>
      </c>
      <c r="E47" s="2">
        <f t="shared" si="15"/>
        <v>13980920</v>
      </c>
      <c r="F47" s="13" t="str">
        <f>IF(N47=0,J_SUBDAY(D47,1,1),IF((N47-NETWORKDAYS.INTL(J_GregorianDate(D47,1),J_GregorianDate(J_SUBDAY(J_ADDDAY(D47,N47,1),1,1),1),16,1)-SUMIFS(Holieday[ok],Holieday[date],CONCATENATE("&gt;","=",D47),Holieday[date],CONCATENATE("&lt;","=",J_SUBDAY(J_ADDDAY(D47,N47,1),1,1)))+SUMIFS(Holieday[Friday],Holieday[date],CONCATENATE("&gt;","=",D47),Holieday[date],CONCATENATE("&lt;","=",J_SUBDAY(J_ADDDAY(D47,N47,1),1,1))))=0,J_SUBDAY(J_ADDDAY(D47,N47,1),1,1),IF((N47-NETWORKDAYS.INTL(J_GregorianDate(D47,1),J_GregorianDate(J_SUBDAY(J_ADDDAY(D47,N47,1),1,1),1),16,1)-SUMIFS(Holieday[ok],Holieday[date],CONCATENATE("&gt;","=",D47),Holieday[date],CONCATENATE("&lt;","=",J_SUBDAY(J_ADDDAY(D47,N47,1),1,1)))+SUMIFS(Holieday[Friday],Holieday[date],CONCATENATE("&gt;","=",D47),Holieday[date],CONCATENATE("&lt;","=",J_SUBDAY(J_ADDDAY(D47,N47,1),1,1))))=1,J_SUBDAY(J_ADDDAY(D47,N47+1,1),1,1),IF((N47-NETWORKDAYS.INTL(J_GregorianDate(D47,1),J_GregorianDate(J_SUBDAY(J_ADDDAY(D47,N47,1),1,1),1),16,1)-SUMIFS(Holieday[ok],Holieday[date],CONCATENATE("&gt;","=",D47),Holieday[date],CONCATENATE("&lt;","=",J_SUBDAY(J_ADDDAY(D47,N47,1),1,1)))+SUMIFS(Holieday[Friday],Holieday[date],CONCATENATE("&gt;","=",D47),Holieday[date],CONCATENATE("&lt;","=",J_SUBDAY(J_ADDDAY(D47,N47,1),1,1))))=2,J_SUBDAY(J_ADDDAY(D47,N47+2,1),1,1),J_SUBDAY(J_ADDDAY(D47,N47+3,1),1,1)))))</f>
        <v>1398/09/19</v>
      </c>
      <c r="G47" s="3">
        <f t="shared" si="16"/>
        <v>13980919</v>
      </c>
      <c r="H47" s="119"/>
      <c r="I47" s="120">
        <v>2.8</v>
      </c>
      <c r="J47" s="10">
        <f>j_WEEKDAY(D47,2)</f>
        <v>4</v>
      </c>
      <c r="K47" s="22">
        <f t="shared" si="11"/>
        <v>0</v>
      </c>
      <c r="L47" s="9">
        <f t="shared" si="12"/>
        <v>0</v>
      </c>
      <c r="M47" s="121">
        <v>0</v>
      </c>
      <c r="N47" s="118">
        <v>0</v>
      </c>
      <c r="O47" s="11">
        <f t="shared" si="13"/>
        <v>0</v>
      </c>
      <c r="P47" s="11">
        <f>VALUE(J_normdate(J_ADDDAY($D47,$O47,1)))</f>
        <v>13980920</v>
      </c>
      <c r="Q47" s="10">
        <f t="shared" si="14"/>
        <v>0</v>
      </c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 s="8"/>
      <c r="EX47" s="8"/>
      <c r="EY47" s="8"/>
      <c r="EZ47" s="8"/>
      <c r="FA47" s="8"/>
      <c r="FB47" s="8"/>
      <c r="FC47" s="8"/>
      <c r="FD47" s="8"/>
      <c r="FE47" s="8"/>
      <c r="FF47" s="8"/>
      <c r="FG47" s="8"/>
      <c r="FH47" s="8"/>
      <c r="FI47" s="8"/>
      <c r="FJ47" s="8"/>
      <c r="FK47" s="8"/>
      <c r="FL47" s="8"/>
      <c r="FM47" s="8"/>
      <c r="FN47" s="8"/>
      <c r="FO47" s="8"/>
      <c r="FP47" s="8"/>
      <c r="FQ47" s="8"/>
      <c r="FR47" s="8"/>
      <c r="FS47" s="8"/>
      <c r="FT47" s="8"/>
      <c r="FU47" s="8"/>
      <c r="FV47" s="8"/>
      <c r="FW47" s="8"/>
      <c r="FX47" s="8"/>
      <c r="FY47" s="8"/>
      <c r="FZ47" s="8"/>
      <c r="GA47" s="8"/>
      <c r="GB47" s="8"/>
      <c r="GC47" s="8"/>
      <c r="GD47" s="8"/>
      <c r="GE47" s="8"/>
      <c r="GF47" s="8"/>
      <c r="GG47" s="8"/>
      <c r="GH47" s="8"/>
      <c r="GI47" s="8"/>
      <c r="GJ47" s="8"/>
      <c r="GK47" s="8"/>
      <c r="GL47" s="8"/>
      <c r="GM47" s="8"/>
      <c r="GN47" s="8"/>
      <c r="GO47" s="8"/>
      <c r="GP47" s="8"/>
      <c r="GQ47" s="8"/>
      <c r="GR47" s="8"/>
      <c r="GS47" s="8"/>
      <c r="GT47" s="8"/>
      <c r="GU47" s="8"/>
      <c r="GV47" s="8"/>
      <c r="GW47" s="8"/>
      <c r="GX47" s="8"/>
      <c r="GY47" s="8"/>
      <c r="GZ47" s="8"/>
      <c r="HA47" s="8"/>
      <c r="HB47" s="8"/>
      <c r="HC47" s="8"/>
      <c r="HD47" s="8"/>
      <c r="HE47" s="8"/>
      <c r="HF47" s="8"/>
      <c r="HG47" s="8"/>
      <c r="HH47" s="8"/>
      <c r="HI47" s="8"/>
      <c r="HJ47" s="8"/>
      <c r="HK47" s="8"/>
      <c r="HL47" s="8"/>
      <c r="HM47" s="8"/>
      <c r="HN47" s="8"/>
      <c r="HO47" s="8"/>
      <c r="HP47" s="8"/>
      <c r="HQ47" s="8"/>
      <c r="HR47" s="8"/>
      <c r="HS47" s="8"/>
      <c r="HT47" s="8"/>
      <c r="HU47" s="8"/>
      <c r="HV47" s="8"/>
      <c r="HW47" s="8"/>
      <c r="HX47" s="8"/>
      <c r="HY47" s="8"/>
      <c r="HZ47" s="8"/>
      <c r="IA47" s="8"/>
      <c r="IB47" s="8"/>
      <c r="IC47" s="8"/>
      <c r="ID47" s="8"/>
      <c r="IE47" s="8"/>
      <c r="IF47" s="8"/>
      <c r="IG47" s="8"/>
      <c r="IH47" s="8"/>
      <c r="II47" s="8"/>
      <c r="IJ47" s="8"/>
      <c r="IK47" s="8"/>
      <c r="IL47" s="8"/>
      <c r="IM47" s="8"/>
      <c r="IN47" s="8"/>
      <c r="IO47" s="8"/>
      <c r="IP47" s="8"/>
      <c r="IQ47" s="8"/>
      <c r="IR47" s="8"/>
      <c r="IS47" s="8"/>
      <c r="IT47" s="8"/>
      <c r="IU47" s="8"/>
      <c r="IV47" s="8"/>
      <c r="IW47" s="8"/>
      <c r="IX47" s="8"/>
      <c r="JA47" s="123"/>
      <c r="JB47" s="123"/>
      <c r="JC47" s="123"/>
      <c r="JD47" s="70">
        <f>SUM((TEXT(JA47,"[M]")/60)*'Income Person-hours'!$D$3,(TEXT(JB47,"[M]")/60)*'Income Person-hours'!$D$4,(TEXT(JC47,"[M]")/60)*'Income Person-hours'!$D$5)</f>
        <v>0</v>
      </c>
    </row>
    <row r="48" spans="1:264" s="12" customFormat="1" ht="15.75" hidden="1" x14ac:dyDescent="0.45">
      <c r="A48" s="32">
        <v>2.1800000000000002</v>
      </c>
      <c r="B48" s="116"/>
      <c r="C48" s="117"/>
      <c r="D48" s="8" t="str">
        <f>IF(OR(j_WEEKDAY(J_ADDDAY(VLOOKUP(I48,A:F,6,FALSE),H48,1),0)=6,SUMIFS(Holieday[ok],Holieday[date],J_ADDDAY(VLOOKUP(I48,A:F,6,FALSE),H48,1)))=FALSE(),J_ADDDAY(VLOOKUP(I48,A:F,6,FALSE),H48,1),IF(OR(j_WEEKDAY(J_ADDDAY(VLOOKUP(I48,A:F,6,FALSE),H48+1,1),0)=6,SUMIFS(Holieday[ok],Holieday[date],J_ADDDAY(VLOOKUP(I48,A:F,6,FALSE),H48+1,1)))=FALSE(),J_ADDDAY(VLOOKUP(I48,A:F,6,FALSE),H48+1,1),IF(OR(j_WEEKDAY(J_ADDDAY(VLOOKUP(I48,A:F,6,FALSE),H48+2,1),0)=6,SUMIFS(Holieday[ok],Holieday[date],J_ADDDAY(VLOOKUP(I48,A:F,6,FALSE),H48+2,1)))=FALSE(),J_ADDDAY(VLOOKUP(I48,A:F,6,FALSE),H48+2,1),IF(OR(j_WEEKDAY(J_ADDDAY(VLOOKUP(I48,A:F,6,FALSE),H48+3,1),0)=6,SUMIFS(Holieday[ok],Holieday[date],J_ADDDAY(VLOOKUP(I48,A:F,6,FALSE),H48+3,1)))=FALSE(),J_ADDDAY(VLOOKUP(I48,A:F,6,FALSE),H48+3,1),IF(OR(j_WEEKDAY(J_ADDDAY(VLOOKUP(I48,A:F,6,FALSE),H48+4,1),0)=6,SUMIFS(Holieday[ok],Holieday[date],J_ADDDAY(VLOOKUP(I48,A:F,6,FALSE),H48+4,1)))=FALSE(),J_ADDDAY(VLOOKUP(I48,A:F,6,FALSE),H48+4,1),J_ADDDAY(VLOOKUP(I48,A:F,6,FALSE),H48+5,1))))))</f>
        <v>1398/09/20</v>
      </c>
      <c r="E48" s="2">
        <f t="shared" si="15"/>
        <v>13980920</v>
      </c>
      <c r="F48" s="13" t="str">
        <f>IF(N48=0,J_SUBDAY(D48,1,1),IF((N48-NETWORKDAYS.INTL(J_GregorianDate(D48,1),J_GregorianDate(J_SUBDAY(J_ADDDAY(D48,N48,1),1,1),1),16,1)-SUMIFS(Holieday[ok],Holieday[date],CONCATENATE("&gt;","=",D48),Holieday[date],CONCATENATE("&lt;","=",J_SUBDAY(J_ADDDAY(D48,N48,1),1,1)))+SUMIFS(Holieday[Friday],Holieday[date],CONCATENATE("&gt;","=",D48),Holieday[date],CONCATENATE("&lt;","=",J_SUBDAY(J_ADDDAY(D48,N48,1),1,1))))=0,J_SUBDAY(J_ADDDAY(D48,N48,1),1,1),IF((N48-NETWORKDAYS.INTL(J_GregorianDate(D48,1),J_GregorianDate(J_SUBDAY(J_ADDDAY(D48,N48,1),1,1),1),16,1)-SUMIFS(Holieday[ok],Holieday[date],CONCATENATE("&gt;","=",D48),Holieday[date],CONCATENATE("&lt;","=",J_SUBDAY(J_ADDDAY(D48,N48,1),1,1)))+SUMIFS(Holieday[Friday],Holieday[date],CONCATENATE("&gt;","=",D48),Holieday[date],CONCATENATE("&lt;","=",J_SUBDAY(J_ADDDAY(D48,N48,1),1,1))))=1,J_SUBDAY(J_ADDDAY(D48,N48+1,1),1,1),IF((N48-NETWORKDAYS.INTL(J_GregorianDate(D48,1),J_GregorianDate(J_SUBDAY(J_ADDDAY(D48,N48,1),1,1),1),16,1)-SUMIFS(Holieday[ok],Holieday[date],CONCATENATE("&gt;","=",D48),Holieday[date],CONCATENATE("&lt;","=",J_SUBDAY(J_ADDDAY(D48,N48,1),1,1)))+SUMIFS(Holieday[Friday],Holieday[date],CONCATENATE("&gt;","=",D48),Holieday[date],CONCATENATE("&lt;","=",J_SUBDAY(J_ADDDAY(D48,N48,1),1,1))))=2,J_SUBDAY(J_ADDDAY(D48,N48+2,1),1,1),J_SUBDAY(J_ADDDAY(D48,N48+3,1),1,1)))))</f>
        <v>1398/09/19</v>
      </c>
      <c r="G48" s="3">
        <f t="shared" si="16"/>
        <v>13980919</v>
      </c>
      <c r="H48" s="119"/>
      <c r="I48" s="120">
        <v>2.8</v>
      </c>
      <c r="J48" s="10">
        <f>j_WEEKDAY(D48,2)</f>
        <v>4</v>
      </c>
      <c r="K48" s="22">
        <f t="shared" si="11"/>
        <v>0</v>
      </c>
      <c r="L48" s="9">
        <f t="shared" si="12"/>
        <v>0</v>
      </c>
      <c r="M48" s="121">
        <v>0</v>
      </c>
      <c r="N48" s="118">
        <v>0</v>
      </c>
      <c r="O48" s="11">
        <f t="shared" si="13"/>
        <v>0</v>
      </c>
      <c r="P48" s="11">
        <f>VALUE(J_normdate(J_ADDDAY($D48,$O48,1)))</f>
        <v>13980920</v>
      </c>
      <c r="Q48" s="10">
        <f t="shared" si="14"/>
        <v>0</v>
      </c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 s="8"/>
      <c r="EX48" s="8"/>
      <c r="EY48" s="8"/>
      <c r="EZ48" s="8"/>
      <c r="FA48" s="8"/>
      <c r="FB48" s="8"/>
      <c r="FC48" s="8"/>
      <c r="FD48" s="8"/>
      <c r="FE48" s="8"/>
      <c r="FF48" s="8"/>
      <c r="FG48" s="8"/>
      <c r="FH48" s="8"/>
      <c r="FI48" s="8"/>
      <c r="FJ48" s="8"/>
      <c r="FK48" s="8"/>
      <c r="FL48" s="8"/>
      <c r="FM48" s="8"/>
      <c r="FN48" s="8"/>
      <c r="FO48" s="8"/>
      <c r="FP48" s="8"/>
      <c r="FQ48" s="8"/>
      <c r="FR48" s="8"/>
      <c r="FS48" s="8"/>
      <c r="FT48" s="8"/>
      <c r="FU48" s="8"/>
      <c r="FV48" s="8"/>
      <c r="FW48" s="8"/>
      <c r="FX48" s="8"/>
      <c r="FY48" s="8"/>
      <c r="FZ48" s="8"/>
      <c r="GA48" s="8"/>
      <c r="GB48" s="8"/>
      <c r="GC48" s="8"/>
      <c r="GD48" s="8"/>
      <c r="GE48" s="8"/>
      <c r="GF48" s="8"/>
      <c r="GG48" s="8"/>
      <c r="GH48" s="8"/>
      <c r="GI48" s="8"/>
      <c r="GJ48" s="8"/>
      <c r="GK48" s="8"/>
      <c r="GL48" s="8"/>
      <c r="GM48" s="8"/>
      <c r="GN48" s="8"/>
      <c r="GO48" s="8"/>
      <c r="GP48" s="8"/>
      <c r="GQ48" s="8"/>
      <c r="GR48" s="8"/>
      <c r="GS48" s="8"/>
      <c r="GT48" s="8"/>
      <c r="GU48" s="8"/>
      <c r="GV48" s="8"/>
      <c r="GW48" s="8"/>
      <c r="GX48" s="8"/>
      <c r="GY48" s="8"/>
      <c r="GZ48" s="8"/>
      <c r="HA48" s="8"/>
      <c r="HB48" s="8"/>
      <c r="HC48" s="8"/>
      <c r="HD48" s="8"/>
      <c r="HE48" s="8"/>
      <c r="HF48" s="8"/>
      <c r="HG48" s="8"/>
      <c r="HH48" s="8"/>
      <c r="HI48" s="8"/>
      <c r="HJ48" s="8"/>
      <c r="HK48" s="8"/>
      <c r="HL48" s="8"/>
      <c r="HM48" s="8"/>
      <c r="HN48" s="8"/>
      <c r="HO48" s="8"/>
      <c r="HP48" s="8"/>
      <c r="HQ48" s="8"/>
      <c r="HR48" s="8"/>
      <c r="HS48" s="8"/>
      <c r="HT48" s="8"/>
      <c r="HU48" s="8"/>
      <c r="HV48" s="8"/>
      <c r="HW48" s="8"/>
      <c r="HX48" s="8"/>
      <c r="HY48" s="8"/>
      <c r="HZ48" s="8"/>
      <c r="IA48" s="8"/>
      <c r="IB48" s="8"/>
      <c r="IC48" s="8"/>
      <c r="ID48" s="8"/>
      <c r="IE48" s="8"/>
      <c r="IF48" s="8"/>
      <c r="IG48" s="8"/>
      <c r="IH48" s="8"/>
      <c r="II48" s="8"/>
      <c r="IJ48" s="8"/>
      <c r="IK48" s="8"/>
      <c r="IL48" s="8"/>
      <c r="IM48" s="8"/>
      <c r="IN48" s="8"/>
      <c r="IO48" s="8"/>
      <c r="IP48" s="8"/>
      <c r="IQ48" s="8"/>
      <c r="IR48" s="8"/>
      <c r="IS48" s="8"/>
      <c r="IT48" s="8"/>
      <c r="IU48" s="8"/>
      <c r="IV48" s="8"/>
      <c r="IW48" s="8"/>
      <c r="IX48" s="8"/>
      <c r="JA48" s="123"/>
      <c r="JB48" s="123"/>
      <c r="JC48" s="123"/>
      <c r="JD48" s="70">
        <f>SUM((TEXT(JA48,"[M]")/60)*'Income Person-hours'!$D$3,(TEXT(JB48,"[M]")/60)*'Income Person-hours'!$D$4,(TEXT(JC48,"[M]")/60)*'Income Person-hours'!$D$5)</f>
        <v>0</v>
      </c>
    </row>
    <row r="49" spans="1:16384" s="12" customFormat="1" ht="15.75" hidden="1" x14ac:dyDescent="0.45">
      <c r="A49" s="32">
        <v>2.19</v>
      </c>
      <c r="B49" s="116"/>
      <c r="C49" s="117"/>
      <c r="D49" s="8" t="str">
        <f>IF(OR(j_WEEKDAY(J_ADDDAY(VLOOKUP(I49,A:F,6,FALSE),H49,1),0)=6,SUMIFS(Holieday[ok],Holieday[date],J_ADDDAY(VLOOKUP(I49,A:F,6,FALSE),H49,1)))=FALSE(),J_ADDDAY(VLOOKUP(I49,A:F,6,FALSE),H49,1),IF(OR(j_WEEKDAY(J_ADDDAY(VLOOKUP(I49,A:F,6,FALSE),H49+1,1),0)=6,SUMIFS(Holieday[ok],Holieday[date],J_ADDDAY(VLOOKUP(I49,A:F,6,FALSE),H49+1,1)))=FALSE(),J_ADDDAY(VLOOKUP(I49,A:F,6,FALSE),H49+1,1),IF(OR(j_WEEKDAY(J_ADDDAY(VLOOKUP(I49,A:F,6,FALSE),H49+2,1),0)=6,SUMIFS(Holieday[ok],Holieday[date],J_ADDDAY(VLOOKUP(I49,A:F,6,FALSE),H49+2,1)))=FALSE(),J_ADDDAY(VLOOKUP(I49,A:F,6,FALSE),H49+2,1),IF(OR(j_WEEKDAY(J_ADDDAY(VLOOKUP(I49,A:F,6,FALSE),H49+3,1),0)=6,SUMIFS(Holieday[ok],Holieday[date],J_ADDDAY(VLOOKUP(I49,A:F,6,FALSE),H49+3,1)))=FALSE(),J_ADDDAY(VLOOKUP(I49,A:F,6,FALSE),H49+3,1),IF(OR(j_WEEKDAY(J_ADDDAY(VLOOKUP(I49,A:F,6,FALSE),H49+4,1),0)=6,SUMIFS(Holieday[ok],Holieday[date],J_ADDDAY(VLOOKUP(I49,A:F,6,FALSE),H49+4,1)))=FALSE(),J_ADDDAY(VLOOKUP(I49,A:F,6,FALSE),H49+4,1),J_ADDDAY(VLOOKUP(I49,A:F,6,FALSE),H49+5,1))))))</f>
        <v>1398/09/20</v>
      </c>
      <c r="E49" s="2">
        <f t="shared" si="15"/>
        <v>13980920</v>
      </c>
      <c r="F49" s="13" t="str">
        <f>IF(N49=0,J_SUBDAY(D49,1,1),IF((N49-NETWORKDAYS.INTL(J_GregorianDate(D49,1),J_GregorianDate(J_SUBDAY(J_ADDDAY(D49,N49,1),1,1),1),16,1)-SUMIFS(Holieday[ok],Holieday[date],CONCATENATE("&gt;","=",D49),Holieday[date],CONCATENATE("&lt;","=",J_SUBDAY(J_ADDDAY(D49,N49,1),1,1)))+SUMIFS(Holieday[Friday],Holieday[date],CONCATENATE("&gt;","=",D49),Holieday[date],CONCATENATE("&lt;","=",J_SUBDAY(J_ADDDAY(D49,N49,1),1,1))))=0,J_SUBDAY(J_ADDDAY(D49,N49,1),1,1),IF((N49-NETWORKDAYS.INTL(J_GregorianDate(D49,1),J_GregorianDate(J_SUBDAY(J_ADDDAY(D49,N49,1),1,1),1),16,1)-SUMIFS(Holieday[ok],Holieday[date],CONCATENATE("&gt;","=",D49),Holieday[date],CONCATENATE("&lt;","=",J_SUBDAY(J_ADDDAY(D49,N49,1),1,1)))+SUMIFS(Holieday[Friday],Holieday[date],CONCATENATE("&gt;","=",D49),Holieday[date],CONCATENATE("&lt;","=",J_SUBDAY(J_ADDDAY(D49,N49,1),1,1))))=1,J_SUBDAY(J_ADDDAY(D49,N49+1,1),1,1),IF((N49-NETWORKDAYS.INTL(J_GregorianDate(D49,1),J_GregorianDate(J_SUBDAY(J_ADDDAY(D49,N49,1),1,1),1),16,1)-SUMIFS(Holieday[ok],Holieday[date],CONCATENATE("&gt;","=",D49),Holieday[date],CONCATENATE("&lt;","=",J_SUBDAY(J_ADDDAY(D49,N49,1),1,1)))+SUMIFS(Holieday[Friday],Holieday[date],CONCATENATE("&gt;","=",D49),Holieday[date],CONCATENATE("&lt;","=",J_SUBDAY(J_ADDDAY(D49,N49,1),1,1))))=2,J_SUBDAY(J_ADDDAY(D49,N49+2,1),1,1),J_SUBDAY(J_ADDDAY(D49,N49+3,1),1,1)))))</f>
        <v>1398/09/19</v>
      </c>
      <c r="G49" s="3">
        <f t="shared" si="16"/>
        <v>13980919</v>
      </c>
      <c r="H49" s="119"/>
      <c r="I49" s="120">
        <v>2.8</v>
      </c>
      <c r="J49" s="10">
        <f>j_WEEKDAY(D49,2)</f>
        <v>4</v>
      </c>
      <c r="K49" s="22">
        <f t="shared" si="11"/>
        <v>0</v>
      </c>
      <c r="L49" s="9">
        <f t="shared" si="12"/>
        <v>0</v>
      </c>
      <c r="M49" s="121">
        <v>0</v>
      </c>
      <c r="N49" s="118">
        <v>0</v>
      </c>
      <c r="O49" s="11">
        <f t="shared" si="13"/>
        <v>0</v>
      </c>
      <c r="P49" s="11">
        <f>VALUE(J_normdate(J_ADDDAY($D49,$O49,1)))</f>
        <v>13980920</v>
      </c>
      <c r="Q49" s="10">
        <f t="shared" si="14"/>
        <v>0</v>
      </c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  <c r="FN49" s="8"/>
      <c r="FO49" s="8"/>
      <c r="FP49" s="8"/>
      <c r="FQ49" s="8"/>
      <c r="FR49" s="8"/>
      <c r="FS49" s="8"/>
      <c r="FT49" s="8"/>
      <c r="FU49" s="8"/>
      <c r="FV49" s="8"/>
      <c r="FW49" s="8"/>
      <c r="FX49" s="8"/>
      <c r="FY49" s="8"/>
      <c r="FZ49" s="8"/>
      <c r="GA49" s="8"/>
      <c r="GB49" s="8"/>
      <c r="GC49" s="8"/>
      <c r="GD49" s="8"/>
      <c r="GE49" s="8"/>
      <c r="GF49" s="8"/>
      <c r="GG49" s="8"/>
      <c r="GH49" s="8"/>
      <c r="GI49" s="8"/>
      <c r="GJ49" s="8"/>
      <c r="GK49" s="8"/>
      <c r="GL49" s="8"/>
      <c r="GM49" s="8"/>
      <c r="GN49" s="8"/>
      <c r="GO49" s="8"/>
      <c r="GP49" s="8"/>
      <c r="GQ49" s="8"/>
      <c r="GR49" s="8"/>
      <c r="GS49" s="8"/>
      <c r="GT49" s="8"/>
      <c r="GU49" s="8"/>
      <c r="GV49" s="8"/>
      <c r="GW49" s="8"/>
      <c r="GX49" s="8"/>
      <c r="GY49" s="8"/>
      <c r="GZ49" s="8"/>
      <c r="HA49" s="8"/>
      <c r="HB49" s="8"/>
      <c r="HC49" s="8"/>
      <c r="HD49" s="8"/>
      <c r="HE49" s="8"/>
      <c r="HF49" s="8"/>
      <c r="HG49" s="8"/>
      <c r="HH49" s="8"/>
      <c r="HI49" s="8"/>
      <c r="HJ49" s="8"/>
      <c r="HK49" s="8"/>
      <c r="HL49" s="8"/>
      <c r="HM49" s="8"/>
      <c r="HN49" s="8"/>
      <c r="HO49" s="8"/>
      <c r="HP49" s="8"/>
      <c r="HQ49" s="8"/>
      <c r="HR49" s="8"/>
      <c r="HS49" s="8"/>
      <c r="HT49" s="8"/>
      <c r="HU49" s="8"/>
      <c r="HV49" s="8"/>
      <c r="HW49" s="8"/>
      <c r="HX49" s="8"/>
      <c r="HY49" s="8"/>
      <c r="HZ49" s="8"/>
      <c r="IA49" s="8"/>
      <c r="IB49" s="8"/>
      <c r="IC49" s="8"/>
      <c r="ID49" s="8"/>
      <c r="IE49" s="8"/>
      <c r="IF49" s="8"/>
      <c r="IG49" s="8"/>
      <c r="IH49" s="8"/>
      <c r="II49" s="8"/>
      <c r="IJ49" s="8"/>
      <c r="IK49" s="8"/>
      <c r="IL49" s="8"/>
      <c r="IM49" s="8"/>
      <c r="IN49" s="8"/>
      <c r="IO49" s="8"/>
      <c r="IP49" s="8"/>
      <c r="IQ49" s="8"/>
      <c r="IR49" s="8"/>
      <c r="IS49" s="8"/>
      <c r="IT49" s="8"/>
      <c r="IU49" s="8"/>
      <c r="IV49" s="8"/>
      <c r="IW49" s="8"/>
      <c r="IX49" s="8"/>
      <c r="JA49" s="123"/>
      <c r="JB49" s="123"/>
      <c r="JC49" s="123"/>
      <c r="JD49" s="70">
        <f>SUM((TEXT(JA49,"[M]")/60)*'Income Person-hours'!$D$3,(TEXT(JB49,"[M]")/60)*'Income Person-hours'!$D$4,(TEXT(JC49,"[M]")/60)*'Income Person-hours'!$D$5)</f>
        <v>0</v>
      </c>
    </row>
    <row r="50" spans="1:16384" s="12" customFormat="1" ht="15.75" hidden="1" x14ac:dyDescent="0.45">
      <c r="A50" s="6" t="s">
        <v>73</v>
      </c>
      <c r="B50" s="116"/>
      <c r="C50" s="117"/>
      <c r="D50" s="8" t="str">
        <f>IF(OR(j_WEEKDAY(J_ADDDAY(VLOOKUP(I50,A:F,6,FALSE),H50,1),0)=6,SUMIFS(Holieday[ok],Holieday[date],J_ADDDAY(VLOOKUP(I50,A:F,6,FALSE),H50,1)))=FALSE(),J_ADDDAY(VLOOKUP(I50,A:F,6,FALSE),H50,1),IF(OR(j_WEEKDAY(J_ADDDAY(VLOOKUP(I50,A:F,6,FALSE),H50+1,1),0)=6,SUMIFS(Holieday[ok],Holieday[date],J_ADDDAY(VLOOKUP(I50,A:F,6,FALSE),H50+1,1)))=FALSE(),J_ADDDAY(VLOOKUP(I50,A:F,6,FALSE),H50+1,1),IF(OR(j_WEEKDAY(J_ADDDAY(VLOOKUP(I50,A:F,6,FALSE),H50+2,1),0)=6,SUMIFS(Holieday[ok],Holieday[date],J_ADDDAY(VLOOKUP(I50,A:F,6,FALSE),H50+2,1)))=FALSE(),J_ADDDAY(VLOOKUP(I50,A:F,6,FALSE),H50+2,1),IF(OR(j_WEEKDAY(J_ADDDAY(VLOOKUP(I50,A:F,6,FALSE),H50+3,1),0)=6,SUMIFS(Holieday[ok],Holieday[date],J_ADDDAY(VLOOKUP(I50,A:F,6,FALSE),H50+3,1)))=FALSE(),J_ADDDAY(VLOOKUP(I50,A:F,6,FALSE),H50+3,1),IF(OR(j_WEEKDAY(J_ADDDAY(VLOOKUP(I50,A:F,6,FALSE),H50+4,1),0)=6,SUMIFS(Holieday[ok],Holieday[date],J_ADDDAY(VLOOKUP(I50,A:F,6,FALSE),H50+4,1)))=FALSE(),J_ADDDAY(VLOOKUP(I50,A:F,6,FALSE),H50+4,1),J_ADDDAY(VLOOKUP(I50,A:F,6,FALSE),H50+5,1))))))</f>
        <v>1398/09/20</v>
      </c>
      <c r="E50" s="2">
        <f t="shared" si="15"/>
        <v>13980920</v>
      </c>
      <c r="F50" s="13" t="str">
        <f>IF(N50=0,J_SUBDAY(D50,1,1),IF((N50-NETWORKDAYS.INTL(J_GregorianDate(D50,1),J_GregorianDate(J_SUBDAY(J_ADDDAY(D50,N50,1),1,1),1),16,1)-SUMIFS(Holieday[ok],Holieday[date],CONCATENATE("&gt;","=",D50),Holieday[date],CONCATENATE("&lt;","=",J_SUBDAY(J_ADDDAY(D50,N50,1),1,1)))+SUMIFS(Holieday[Friday],Holieday[date],CONCATENATE("&gt;","=",D50),Holieday[date],CONCATENATE("&lt;","=",J_SUBDAY(J_ADDDAY(D50,N50,1),1,1))))=0,J_SUBDAY(J_ADDDAY(D50,N50,1),1,1),IF((N50-NETWORKDAYS.INTL(J_GregorianDate(D50,1),J_GregorianDate(J_SUBDAY(J_ADDDAY(D50,N50,1),1,1),1),16,1)-SUMIFS(Holieday[ok],Holieday[date],CONCATENATE("&gt;","=",D50),Holieday[date],CONCATENATE("&lt;","=",J_SUBDAY(J_ADDDAY(D50,N50,1),1,1)))+SUMIFS(Holieday[Friday],Holieday[date],CONCATENATE("&gt;","=",D50),Holieday[date],CONCATENATE("&lt;","=",J_SUBDAY(J_ADDDAY(D50,N50,1),1,1))))=1,J_SUBDAY(J_ADDDAY(D50,N50+1,1),1,1),IF((N50-NETWORKDAYS.INTL(J_GregorianDate(D50,1),J_GregorianDate(J_SUBDAY(J_ADDDAY(D50,N50,1),1,1),1),16,1)-SUMIFS(Holieday[ok],Holieday[date],CONCATENATE("&gt;","=",D50),Holieday[date],CONCATENATE("&lt;","=",J_SUBDAY(J_ADDDAY(D50,N50,1),1,1)))+SUMIFS(Holieday[Friday],Holieday[date],CONCATENATE("&gt;","=",D50),Holieday[date],CONCATENATE("&lt;","=",J_SUBDAY(J_ADDDAY(D50,N50,1),1,1))))=2,J_SUBDAY(J_ADDDAY(D50,N50+2,1),1,1),J_SUBDAY(J_ADDDAY(D50,N50+3,1),1,1)))))</f>
        <v>1398/09/19</v>
      </c>
      <c r="G50" s="3">
        <f t="shared" si="16"/>
        <v>13980919</v>
      </c>
      <c r="H50" s="119"/>
      <c r="I50" s="120">
        <v>2.8</v>
      </c>
      <c r="J50" s="10">
        <f>j_WEEKDAY(D50,2)</f>
        <v>4</v>
      </c>
      <c r="K50" s="22">
        <f t="shared" si="11"/>
        <v>0</v>
      </c>
      <c r="L50" s="9">
        <f t="shared" si="12"/>
        <v>0</v>
      </c>
      <c r="M50" s="121">
        <v>0</v>
      </c>
      <c r="N50" s="118">
        <v>0</v>
      </c>
      <c r="O50" s="11">
        <f t="shared" si="13"/>
        <v>0</v>
      </c>
      <c r="P50" s="11">
        <f>VALUE(J_normdate(J_ADDDAY($D50,$O50,1)))</f>
        <v>13980920</v>
      </c>
      <c r="Q50" s="10">
        <f t="shared" si="14"/>
        <v>0</v>
      </c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 s="8"/>
      <c r="EX50" s="8"/>
      <c r="EY50" s="8"/>
      <c r="EZ50" s="8"/>
      <c r="FA50" s="8"/>
      <c r="FB50" s="8"/>
      <c r="FC50" s="8"/>
      <c r="FD50" s="8"/>
      <c r="FE50" s="8"/>
      <c r="FF50" s="8"/>
      <c r="FG50" s="8"/>
      <c r="FH50" s="8"/>
      <c r="FI50" s="8"/>
      <c r="FJ50" s="8"/>
      <c r="FK50" s="8"/>
      <c r="FL50" s="8"/>
      <c r="FM50" s="8"/>
      <c r="FN50" s="8"/>
      <c r="FO50" s="8"/>
      <c r="FP50" s="8"/>
      <c r="FQ50" s="8"/>
      <c r="FR50" s="8"/>
      <c r="FS50" s="8"/>
      <c r="FT50" s="8"/>
      <c r="FU50" s="8"/>
      <c r="FV50" s="8"/>
      <c r="FW50" s="8"/>
      <c r="FX50" s="8"/>
      <c r="FY50" s="8"/>
      <c r="FZ50" s="8"/>
      <c r="GA50" s="8"/>
      <c r="GB50" s="8"/>
      <c r="GC50" s="8"/>
      <c r="GD50" s="8"/>
      <c r="GE50" s="8"/>
      <c r="GF50" s="8"/>
      <c r="GG50" s="8"/>
      <c r="GH50" s="8"/>
      <c r="GI50" s="8"/>
      <c r="GJ50" s="8"/>
      <c r="GK50" s="8"/>
      <c r="GL50" s="8"/>
      <c r="GM50" s="8"/>
      <c r="GN50" s="8"/>
      <c r="GO50" s="8"/>
      <c r="GP50" s="8"/>
      <c r="GQ50" s="8"/>
      <c r="GR50" s="8"/>
      <c r="GS50" s="8"/>
      <c r="GT50" s="8"/>
      <c r="GU50" s="8"/>
      <c r="GV50" s="8"/>
      <c r="GW50" s="8"/>
      <c r="GX50" s="8"/>
      <c r="GY50" s="8"/>
      <c r="GZ50" s="8"/>
      <c r="HA50" s="8"/>
      <c r="HB50" s="8"/>
      <c r="HC50" s="8"/>
      <c r="HD50" s="8"/>
      <c r="HE50" s="8"/>
      <c r="HF50" s="8"/>
      <c r="HG50" s="8"/>
      <c r="HH50" s="8"/>
      <c r="HI50" s="8"/>
      <c r="HJ50" s="8"/>
      <c r="HK50" s="8"/>
      <c r="HL50" s="8"/>
      <c r="HM50" s="8"/>
      <c r="HN50" s="8"/>
      <c r="HO50" s="8"/>
      <c r="HP50" s="8"/>
      <c r="HQ50" s="8"/>
      <c r="HR50" s="8"/>
      <c r="HS50" s="8"/>
      <c r="HT50" s="8"/>
      <c r="HU50" s="8"/>
      <c r="HV50" s="8"/>
      <c r="HW50" s="8"/>
      <c r="HX50" s="8"/>
      <c r="HY50" s="8"/>
      <c r="HZ50" s="8"/>
      <c r="IA50" s="8"/>
      <c r="IB50" s="8"/>
      <c r="IC50" s="8"/>
      <c r="ID50" s="8"/>
      <c r="IE50" s="8"/>
      <c r="IF50" s="8"/>
      <c r="IG50" s="8"/>
      <c r="IH50" s="8"/>
      <c r="II50" s="8"/>
      <c r="IJ50" s="8"/>
      <c r="IK50" s="8"/>
      <c r="IL50" s="8"/>
      <c r="IM50" s="8"/>
      <c r="IN50" s="8"/>
      <c r="IO50" s="8"/>
      <c r="IP50" s="8"/>
      <c r="IQ50" s="8"/>
      <c r="IR50" s="8"/>
      <c r="IS50" s="8"/>
      <c r="IT50" s="8"/>
      <c r="IU50" s="8"/>
      <c r="IV50" s="8"/>
      <c r="IW50" s="8"/>
      <c r="IX50" s="8"/>
      <c r="JA50" s="123"/>
      <c r="JB50" s="123"/>
      <c r="JC50" s="123"/>
      <c r="JD50" s="70">
        <f>SUM((TEXT(JA50,"[M]")/60)*'Income Person-hours'!$D$3,(TEXT(JB50,"[M]")/60)*'Income Person-hours'!$D$4,(TEXT(JC50,"[M]")/60)*'Income Person-hours'!$D$5)</f>
        <v>0</v>
      </c>
    </row>
    <row r="51" spans="1:16384" s="12" customFormat="1" ht="15.75" hidden="1" x14ac:dyDescent="0.45">
      <c r="A51" s="6" t="s">
        <v>74</v>
      </c>
      <c r="B51" s="126"/>
      <c r="C51" s="117"/>
      <c r="D51" s="8" t="str">
        <f>IF(OR(j_WEEKDAY(J_ADDDAY(VLOOKUP(I51,A:F,6,FALSE),H51,1),0)=6,SUMIFS(Holieday[ok],Holieday[date],J_ADDDAY(VLOOKUP(I51,A:F,6,FALSE),H51,1)))=FALSE(),J_ADDDAY(VLOOKUP(I51,A:F,6,FALSE),H51,1),IF(OR(j_WEEKDAY(J_ADDDAY(VLOOKUP(I51,A:F,6,FALSE),H51+1,1),0)=6,SUMIFS(Holieday[ok],Holieday[date],J_ADDDAY(VLOOKUP(I51,A:F,6,FALSE),H51+1,1)))=FALSE(),J_ADDDAY(VLOOKUP(I51,A:F,6,FALSE),H51+1,1),IF(OR(j_WEEKDAY(J_ADDDAY(VLOOKUP(I51,A:F,6,FALSE),H51+2,1),0)=6,SUMIFS(Holieday[ok],Holieday[date],J_ADDDAY(VLOOKUP(I51,A:F,6,FALSE),H51+2,1)))=FALSE(),J_ADDDAY(VLOOKUP(I51,A:F,6,FALSE),H51+2,1),IF(OR(j_WEEKDAY(J_ADDDAY(VLOOKUP(I51,A:F,6,FALSE),H51+3,1),0)=6,SUMIFS(Holieday[ok],Holieday[date],J_ADDDAY(VLOOKUP(I51,A:F,6,FALSE),H51+3,1)))=FALSE(),J_ADDDAY(VLOOKUP(I51,A:F,6,FALSE),H51+3,1),IF(OR(j_WEEKDAY(J_ADDDAY(VLOOKUP(I51,A:F,6,FALSE),H51+4,1),0)=6,SUMIFS(Holieday[ok],Holieday[date],J_ADDDAY(VLOOKUP(I51,A:F,6,FALSE),H51+4,1)))=FALSE(),J_ADDDAY(VLOOKUP(I51,A:F,6,FALSE),H51+4,1),J_ADDDAY(VLOOKUP(I51,A:F,6,FALSE),H51+5,1))))))</f>
        <v>1398/09/20</v>
      </c>
      <c r="E51" s="2">
        <f t="shared" si="15"/>
        <v>13980920</v>
      </c>
      <c r="F51" s="13" t="str">
        <f>IF(N51=0,J_SUBDAY(D51,1,1),IF((N51-NETWORKDAYS.INTL(J_GregorianDate(D51,1),J_GregorianDate(J_SUBDAY(J_ADDDAY(D51,N51,1),1,1),1),16,1)-SUMIFS(Holieday[ok],Holieday[date],CONCATENATE("&gt;","=",D51),Holieday[date],CONCATENATE("&lt;","=",J_SUBDAY(J_ADDDAY(D51,N51,1),1,1)))+SUMIFS(Holieday[Friday],Holieday[date],CONCATENATE("&gt;","=",D51),Holieday[date],CONCATENATE("&lt;","=",J_SUBDAY(J_ADDDAY(D51,N51,1),1,1))))=0,J_SUBDAY(J_ADDDAY(D51,N51,1),1,1),IF((N51-NETWORKDAYS.INTL(J_GregorianDate(D51,1),J_GregorianDate(J_SUBDAY(J_ADDDAY(D51,N51,1),1,1),1),16,1)-SUMIFS(Holieday[ok],Holieday[date],CONCATENATE("&gt;","=",D51),Holieday[date],CONCATENATE("&lt;","=",J_SUBDAY(J_ADDDAY(D51,N51,1),1,1)))+SUMIFS(Holieday[Friday],Holieday[date],CONCATENATE("&gt;","=",D51),Holieday[date],CONCATENATE("&lt;","=",J_SUBDAY(J_ADDDAY(D51,N51,1),1,1))))=1,J_SUBDAY(J_ADDDAY(D51,N51+1,1),1,1),IF((N51-NETWORKDAYS.INTL(J_GregorianDate(D51,1),J_GregorianDate(J_SUBDAY(J_ADDDAY(D51,N51,1),1,1),1),16,1)-SUMIFS(Holieday[ok],Holieday[date],CONCATENATE("&gt;","=",D51),Holieday[date],CONCATENATE("&lt;","=",J_SUBDAY(J_ADDDAY(D51,N51,1),1,1)))+SUMIFS(Holieday[Friday],Holieday[date],CONCATENATE("&gt;","=",D51),Holieday[date],CONCATENATE("&lt;","=",J_SUBDAY(J_ADDDAY(D51,N51,1),1,1))))=2,J_SUBDAY(J_ADDDAY(D51,N51+2,1),1,1),J_SUBDAY(J_ADDDAY(D51,N51+3,1),1,1)))))</f>
        <v>1398/09/19</v>
      </c>
      <c r="G51" s="3">
        <f t="shared" si="16"/>
        <v>13980919</v>
      </c>
      <c r="H51" s="119"/>
      <c r="I51" s="120">
        <v>2.8</v>
      </c>
      <c r="J51" s="10">
        <f>j_WEEKDAY(D51,2)</f>
        <v>4</v>
      </c>
      <c r="K51" s="22">
        <f t="shared" si="11"/>
        <v>0</v>
      </c>
      <c r="L51" s="9">
        <f t="shared" si="12"/>
        <v>0</v>
      </c>
      <c r="M51" s="121">
        <v>0</v>
      </c>
      <c r="N51" s="118">
        <v>0</v>
      </c>
      <c r="O51" s="11">
        <f t="shared" si="13"/>
        <v>0</v>
      </c>
      <c r="P51" s="11">
        <f>VALUE(J_normdate(J_ADDDAY($D51,$O51,1)))</f>
        <v>13980920</v>
      </c>
      <c r="Q51" s="10">
        <f t="shared" si="14"/>
        <v>0</v>
      </c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  <c r="FN51" s="8"/>
      <c r="FO51" s="8"/>
      <c r="FP51" s="8"/>
      <c r="FQ51" s="8"/>
      <c r="FR51" s="8"/>
      <c r="FS51" s="8"/>
      <c r="FT51" s="8"/>
      <c r="FU51" s="8"/>
      <c r="FV51" s="8"/>
      <c r="FW51" s="8"/>
      <c r="FX51" s="8"/>
      <c r="FY51" s="8"/>
      <c r="FZ51" s="8"/>
      <c r="GA51" s="8"/>
      <c r="GB51" s="8"/>
      <c r="GC51" s="8"/>
      <c r="GD51" s="8"/>
      <c r="GE51" s="8"/>
      <c r="GF51" s="8"/>
      <c r="GG51" s="8"/>
      <c r="GH51" s="8"/>
      <c r="GI51" s="8"/>
      <c r="GJ51" s="8"/>
      <c r="GK51" s="8"/>
      <c r="GL51" s="8"/>
      <c r="GM51" s="8"/>
      <c r="GN51" s="8"/>
      <c r="GO51" s="8"/>
      <c r="GP51" s="8"/>
      <c r="GQ51" s="8"/>
      <c r="GR51" s="8"/>
      <c r="GS51" s="8"/>
      <c r="GT51" s="8"/>
      <c r="GU51" s="8"/>
      <c r="GV51" s="8"/>
      <c r="GW51" s="8"/>
      <c r="GX51" s="8"/>
      <c r="GY51" s="8"/>
      <c r="GZ51" s="8"/>
      <c r="HA51" s="8"/>
      <c r="HB51" s="8"/>
      <c r="HC51" s="8"/>
      <c r="HD51" s="8"/>
      <c r="HE51" s="8"/>
      <c r="HF51" s="8"/>
      <c r="HG51" s="8"/>
      <c r="HH51" s="8"/>
      <c r="HI51" s="8"/>
      <c r="HJ51" s="8"/>
      <c r="HK51" s="8"/>
      <c r="HL51" s="8"/>
      <c r="HM51" s="8"/>
      <c r="HN51" s="8"/>
      <c r="HO51" s="8"/>
      <c r="HP51" s="8"/>
      <c r="HQ51" s="8"/>
      <c r="HR51" s="8"/>
      <c r="HS51" s="8"/>
      <c r="HT51" s="8"/>
      <c r="HU51" s="8"/>
      <c r="HV51" s="8"/>
      <c r="HW51" s="8"/>
      <c r="HX51" s="8"/>
      <c r="HY51" s="8"/>
      <c r="HZ51" s="8"/>
      <c r="IA51" s="8"/>
      <c r="IB51" s="8"/>
      <c r="IC51" s="8"/>
      <c r="ID51" s="8"/>
      <c r="IE51" s="8"/>
      <c r="IF51" s="8"/>
      <c r="IG51" s="8"/>
      <c r="IH51" s="8"/>
      <c r="II51" s="8"/>
      <c r="IJ51" s="8"/>
      <c r="IK51" s="8"/>
      <c r="IL51" s="8"/>
      <c r="IM51" s="8"/>
      <c r="IN51" s="8"/>
      <c r="IO51" s="8"/>
      <c r="IP51" s="8"/>
      <c r="IQ51" s="8"/>
      <c r="IR51" s="8"/>
      <c r="IS51" s="8"/>
      <c r="IT51" s="8"/>
      <c r="IU51" s="8"/>
      <c r="IV51" s="8"/>
      <c r="IW51" s="8"/>
      <c r="IX51" s="8"/>
      <c r="JA51" s="123"/>
      <c r="JB51" s="123"/>
      <c r="JC51" s="123"/>
      <c r="JD51" s="70">
        <f>SUM((TEXT(JA51,"[M]")/60)*'Income Person-hours'!$D$3,(TEXT(JB51,"[M]")/60)*'Income Person-hours'!$D$4,(TEXT(JC51,"[M]")/60)*'Income Person-hours'!$D$5)</f>
        <v>0</v>
      </c>
    </row>
    <row r="52" spans="1:16384" s="12" customFormat="1" ht="15.75" hidden="1" x14ac:dyDescent="0.45">
      <c r="A52" s="6" t="s">
        <v>75</v>
      </c>
      <c r="B52" s="126"/>
      <c r="C52" s="117"/>
      <c r="D52" s="8" t="str">
        <f>IF(OR(j_WEEKDAY(J_ADDDAY(VLOOKUP(I52,A:F,6,FALSE),H52,1),0)=6,SUMIFS(Holieday[ok],Holieday[date],J_ADDDAY(VLOOKUP(I52,A:F,6,FALSE),H52,1)))=FALSE(),J_ADDDAY(VLOOKUP(I52,A:F,6,FALSE),H52,1),IF(OR(j_WEEKDAY(J_ADDDAY(VLOOKUP(I52,A:F,6,FALSE),H52+1,1),0)=6,SUMIFS(Holieday[ok],Holieday[date],J_ADDDAY(VLOOKUP(I52,A:F,6,FALSE),H52+1,1)))=FALSE(),J_ADDDAY(VLOOKUP(I52,A:F,6,FALSE),H52+1,1),IF(OR(j_WEEKDAY(J_ADDDAY(VLOOKUP(I52,A:F,6,FALSE),H52+2,1),0)=6,SUMIFS(Holieday[ok],Holieday[date],J_ADDDAY(VLOOKUP(I52,A:F,6,FALSE),H52+2,1)))=FALSE(),J_ADDDAY(VLOOKUP(I52,A:F,6,FALSE),H52+2,1),IF(OR(j_WEEKDAY(J_ADDDAY(VLOOKUP(I52,A:F,6,FALSE),H52+3,1),0)=6,SUMIFS(Holieday[ok],Holieday[date],J_ADDDAY(VLOOKUP(I52,A:F,6,FALSE),H52+3,1)))=FALSE(),J_ADDDAY(VLOOKUP(I52,A:F,6,FALSE),H52+3,1),IF(OR(j_WEEKDAY(J_ADDDAY(VLOOKUP(I52,A:F,6,FALSE),H52+4,1),0)=6,SUMIFS(Holieday[ok],Holieday[date],J_ADDDAY(VLOOKUP(I52,A:F,6,FALSE),H52+4,1)))=FALSE(),J_ADDDAY(VLOOKUP(I52,A:F,6,FALSE),H52+4,1),J_ADDDAY(VLOOKUP(I52,A:F,6,FALSE),H52+5,1))))))</f>
        <v>1398/09/20</v>
      </c>
      <c r="E52" s="2">
        <f t="shared" si="15"/>
        <v>13980920</v>
      </c>
      <c r="F52" s="13" t="str">
        <f>IF(N52=0,J_SUBDAY(D52,1,1),IF((N52-NETWORKDAYS.INTL(J_GregorianDate(D52,1),J_GregorianDate(J_SUBDAY(J_ADDDAY(D52,N52,1),1,1),1),16,1)-SUMIFS(Holieday[ok],Holieday[date],CONCATENATE("&gt;","=",D52),Holieday[date],CONCATENATE("&lt;","=",J_SUBDAY(J_ADDDAY(D52,N52,1),1,1)))+SUMIFS(Holieday[Friday],Holieday[date],CONCATENATE("&gt;","=",D52),Holieday[date],CONCATENATE("&lt;","=",J_SUBDAY(J_ADDDAY(D52,N52,1),1,1))))=0,J_SUBDAY(J_ADDDAY(D52,N52,1),1,1),IF((N52-NETWORKDAYS.INTL(J_GregorianDate(D52,1),J_GregorianDate(J_SUBDAY(J_ADDDAY(D52,N52,1),1,1),1),16,1)-SUMIFS(Holieday[ok],Holieday[date],CONCATENATE("&gt;","=",D52),Holieday[date],CONCATENATE("&lt;","=",J_SUBDAY(J_ADDDAY(D52,N52,1),1,1)))+SUMIFS(Holieday[Friday],Holieday[date],CONCATENATE("&gt;","=",D52),Holieday[date],CONCATENATE("&lt;","=",J_SUBDAY(J_ADDDAY(D52,N52,1),1,1))))=1,J_SUBDAY(J_ADDDAY(D52,N52+1,1),1,1),IF((N52-NETWORKDAYS.INTL(J_GregorianDate(D52,1),J_GregorianDate(J_SUBDAY(J_ADDDAY(D52,N52,1),1,1),1),16,1)-SUMIFS(Holieday[ok],Holieday[date],CONCATENATE("&gt;","=",D52),Holieday[date],CONCATENATE("&lt;","=",J_SUBDAY(J_ADDDAY(D52,N52,1),1,1)))+SUMIFS(Holieday[Friday],Holieday[date],CONCATENATE("&gt;","=",D52),Holieday[date],CONCATENATE("&lt;","=",J_SUBDAY(J_ADDDAY(D52,N52,1),1,1))))=2,J_SUBDAY(J_ADDDAY(D52,N52+2,1),1,1),J_SUBDAY(J_ADDDAY(D52,N52+3,1),1,1)))))</f>
        <v>1398/09/19</v>
      </c>
      <c r="G52" s="3">
        <f t="shared" si="16"/>
        <v>13980919</v>
      </c>
      <c r="H52" s="119"/>
      <c r="I52" s="120">
        <v>2.8</v>
      </c>
      <c r="J52" s="10">
        <f>j_WEEKDAY(D52,2)</f>
        <v>4</v>
      </c>
      <c r="K52" s="22">
        <f t="shared" si="11"/>
        <v>0</v>
      </c>
      <c r="L52" s="9">
        <f t="shared" si="12"/>
        <v>0</v>
      </c>
      <c r="M52" s="121">
        <v>0</v>
      </c>
      <c r="N52" s="118">
        <v>0</v>
      </c>
      <c r="O52" s="11">
        <f t="shared" si="13"/>
        <v>0</v>
      </c>
      <c r="P52" s="11">
        <f>VALUE(J_normdate(J_ADDDAY($D52,$O52,1)))</f>
        <v>13980920</v>
      </c>
      <c r="Q52" s="10">
        <f t="shared" si="14"/>
        <v>0</v>
      </c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  <c r="FP52" s="8"/>
      <c r="FQ52" s="8"/>
      <c r="FR52" s="8"/>
      <c r="FS52" s="8"/>
      <c r="FT52" s="8"/>
      <c r="FU52" s="8"/>
      <c r="FV52" s="8"/>
      <c r="FW52" s="8"/>
      <c r="FX52" s="8"/>
      <c r="FY52" s="8"/>
      <c r="FZ52" s="8"/>
      <c r="GA52" s="8"/>
      <c r="GB52" s="8"/>
      <c r="GC52" s="8"/>
      <c r="GD52" s="8"/>
      <c r="GE52" s="8"/>
      <c r="GF52" s="8"/>
      <c r="GG52" s="8"/>
      <c r="GH52" s="8"/>
      <c r="GI52" s="8"/>
      <c r="GJ52" s="8"/>
      <c r="GK52" s="8"/>
      <c r="GL52" s="8"/>
      <c r="GM52" s="8"/>
      <c r="GN52" s="8"/>
      <c r="GO52" s="8"/>
      <c r="GP52" s="8"/>
      <c r="GQ52" s="8"/>
      <c r="GR52" s="8"/>
      <c r="GS52" s="8"/>
      <c r="GT52" s="8"/>
      <c r="GU52" s="8"/>
      <c r="GV52" s="8"/>
      <c r="GW52" s="8"/>
      <c r="GX52" s="8"/>
      <c r="GY52" s="8"/>
      <c r="GZ52" s="8"/>
      <c r="HA52" s="8"/>
      <c r="HB52" s="8"/>
      <c r="HC52" s="8"/>
      <c r="HD52" s="8"/>
      <c r="HE52" s="8"/>
      <c r="HF52" s="8"/>
      <c r="HG52" s="8"/>
      <c r="HH52" s="8"/>
      <c r="HI52" s="8"/>
      <c r="HJ52" s="8"/>
      <c r="HK52" s="8"/>
      <c r="HL52" s="8"/>
      <c r="HM52" s="8"/>
      <c r="HN52" s="8"/>
      <c r="HO52" s="8"/>
      <c r="HP52" s="8"/>
      <c r="HQ52" s="8"/>
      <c r="HR52" s="8"/>
      <c r="HS52" s="8"/>
      <c r="HT52" s="8"/>
      <c r="HU52" s="8"/>
      <c r="HV52" s="8"/>
      <c r="HW52" s="8"/>
      <c r="HX52" s="8"/>
      <c r="HY52" s="8"/>
      <c r="HZ52" s="8"/>
      <c r="IA52" s="8"/>
      <c r="IB52" s="8"/>
      <c r="IC52" s="8"/>
      <c r="ID52" s="8"/>
      <c r="IE52" s="8"/>
      <c r="IF52" s="8"/>
      <c r="IG52" s="8"/>
      <c r="IH52" s="8"/>
      <c r="II52" s="8"/>
      <c r="IJ52" s="8"/>
      <c r="IK52" s="8"/>
      <c r="IL52" s="8"/>
      <c r="IM52" s="8"/>
      <c r="IN52" s="8"/>
      <c r="IO52" s="8"/>
      <c r="IP52" s="8"/>
      <c r="IQ52" s="8"/>
      <c r="IR52" s="8"/>
      <c r="IS52" s="8"/>
      <c r="IT52" s="8"/>
      <c r="IU52" s="8"/>
      <c r="IV52" s="8"/>
      <c r="IW52" s="8"/>
      <c r="IX52" s="8"/>
      <c r="JA52" s="123"/>
      <c r="JB52" s="123"/>
      <c r="JC52" s="123"/>
      <c r="JD52" s="70">
        <f>SUM((TEXT(JA52,"[M]")/60)*'Income Person-hours'!$D$3,(TEXT(JB52,"[M]")/60)*'Income Person-hours'!$D$4,(TEXT(JC52,"[M]")/60)*'Income Person-hours'!$D$5)</f>
        <v>0</v>
      </c>
    </row>
    <row r="53" spans="1:16384" s="226" customFormat="1" ht="15.75" x14ac:dyDescent="0.45">
      <c r="A53" s="228">
        <v>3</v>
      </c>
      <c r="B53" s="112" t="s">
        <v>158</v>
      </c>
      <c r="C53" s="113"/>
      <c r="D53" s="195" t="str">
        <f>FDate(MIN(E54:E86))</f>
        <v>1398/06/31</v>
      </c>
      <c r="E53" s="193">
        <f t="shared" si="15"/>
        <v>13980631</v>
      </c>
      <c r="F53" s="195" t="str">
        <f>J_SUBDAY(J_ADDDAY(D53,L53,1),1,1)</f>
        <v>1398/09/20</v>
      </c>
      <c r="G53" s="196">
        <f t="shared" si="16"/>
        <v>13980920</v>
      </c>
      <c r="H53" s="124"/>
      <c r="I53" s="125"/>
      <c r="J53" s="195">
        <f>j_WEEKDAY(D53,2)</f>
        <v>1</v>
      </c>
      <c r="K53" s="197">
        <f>SUM(K54:K86)</f>
        <v>0</v>
      </c>
      <c r="L53" s="198">
        <f>J_DIFF(D53,FDate(MAX(G54:G86)))+1</f>
        <v>81</v>
      </c>
      <c r="M53" s="199">
        <f>IF(SUM(L54:L86)&lt;&gt;0,SUMPRODUCT(L54:L86,M54:M86)/SUM(L54:L86),0)</f>
        <v>0.22465753424657534</v>
      </c>
      <c r="N53" s="200">
        <f>IF(F53&gt;=D53,NETWORKDAYS.INTL(J_GregorianDate(D53,1),J_GregorianDate(F53,1),16,1)-SUMIFS(Holieday[ok],Holieday[date],CONCATENATE("&gt;","=",D53),Holieday[date],CONCATENATE("&lt;","=",F53))+SUMIFS(Holieday[Friday],Holieday[date],CONCATENATE("&gt;","=",D53),Holieday[date],CONCATENATE("&lt;","=",F53)),0)</f>
        <v>66</v>
      </c>
      <c r="O53" s="191">
        <f t="shared" ref="O53:O63" si="17">ROUNDDOWN(M53*L53,0)</f>
        <v>18</v>
      </c>
      <c r="P53" s="195">
        <f>VALUE(J_normdate(J_ADDDAY($D53,$O53,1)))</f>
        <v>13980718</v>
      </c>
      <c r="Q53" s="194">
        <f>L53-O53</f>
        <v>63</v>
      </c>
      <c r="R53" s="193"/>
      <c r="S53" s="193"/>
      <c r="T53" s="193"/>
      <c r="U53" s="193"/>
      <c r="V53" s="193"/>
      <c r="W53" s="193"/>
      <c r="X53" s="193"/>
      <c r="Y53" s="193"/>
      <c r="Z53" s="193"/>
      <c r="AA53" s="193"/>
      <c r="AB53" s="193"/>
      <c r="AC53" s="193"/>
      <c r="AD53" s="193"/>
      <c r="AE53" s="193"/>
      <c r="AF53" s="193"/>
      <c r="AG53" s="193"/>
      <c r="AH53" s="193"/>
      <c r="AI53" s="193"/>
      <c r="AJ53" s="193"/>
      <c r="AK53" s="193"/>
      <c r="AL53" s="193"/>
      <c r="AM53" s="193"/>
      <c r="AN53" s="193"/>
      <c r="AO53" s="193"/>
      <c r="AP53" s="193"/>
      <c r="AQ53" s="193"/>
      <c r="AR53" s="193"/>
      <c r="AS53" s="193"/>
      <c r="AT53" s="193"/>
      <c r="AU53" s="193"/>
      <c r="AV53" s="193"/>
      <c r="AW53" s="193"/>
      <c r="AX53" s="193"/>
      <c r="AY53" s="193"/>
      <c r="AZ53" s="193"/>
      <c r="BA53" s="193"/>
      <c r="BB53" s="193"/>
      <c r="BC53" s="193"/>
      <c r="BD53" s="193"/>
      <c r="BE53" s="193"/>
      <c r="BF53" s="193"/>
      <c r="BG53" s="193"/>
      <c r="BH53" s="193"/>
      <c r="BI53" s="193"/>
      <c r="BJ53" s="193"/>
      <c r="BK53" s="193"/>
      <c r="BL53" s="193"/>
      <c r="BM53" s="193"/>
      <c r="BN53" s="193"/>
      <c r="BO53" s="193"/>
      <c r="BP53" s="193"/>
      <c r="BQ53" s="193"/>
      <c r="BR53" s="193"/>
      <c r="BS53" s="193"/>
      <c r="BT53" s="193"/>
      <c r="BU53" s="193"/>
      <c r="BV53" s="193"/>
      <c r="BW53" s="193"/>
      <c r="BX53" s="193"/>
      <c r="BY53" s="193"/>
      <c r="BZ53" s="193"/>
      <c r="CA53" s="193"/>
      <c r="CB53" s="193"/>
      <c r="CC53" s="193"/>
      <c r="CD53" s="193"/>
      <c r="CE53" s="193"/>
      <c r="CF53" s="193"/>
      <c r="CG53" s="193"/>
      <c r="CH53" s="193"/>
      <c r="CI53" s="193"/>
      <c r="CJ53" s="193"/>
      <c r="CK53" s="193"/>
      <c r="CL53" s="193"/>
      <c r="CM53" s="193"/>
      <c r="CN53" s="193"/>
      <c r="CO53" s="193"/>
      <c r="CP53" s="193"/>
      <c r="CQ53" s="193"/>
      <c r="CR53" s="193"/>
      <c r="CS53" s="193"/>
      <c r="CT53" s="193"/>
      <c r="CU53" s="193"/>
      <c r="CV53" s="193"/>
      <c r="CW53" s="193"/>
      <c r="CX53" s="193"/>
      <c r="CY53" s="193"/>
      <c r="CZ53" s="193"/>
      <c r="DA53" s="193"/>
      <c r="DB53" s="193"/>
      <c r="DC53" s="193"/>
      <c r="DD53" s="193"/>
      <c r="DE53" s="193"/>
      <c r="DF53" s="193"/>
      <c r="DG53" s="193"/>
      <c r="DH53" s="193"/>
      <c r="DI53" s="193"/>
      <c r="DJ53" s="193"/>
      <c r="DK53" s="193"/>
      <c r="DL53" s="193"/>
      <c r="DM53" s="193"/>
      <c r="DN53" s="193"/>
      <c r="DO53" s="193"/>
      <c r="DP53" s="193"/>
      <c r="DQ53" s="193"/>
      <c r="DR53" s="193"/>
      <c r="DS53" s="193"/>
      <c r="DT53" s="193"/>
      <c r="DU53" s="193"/>
      <c r="DV53" s="193"/>
      <c r="DW53" s="193"/>
      <c r="DX53" s="193"/>
      <c r="DY53" s="193"/>
      <c r="DZ53" s="193"/>
      <c r="EA53" s="193"/>
      <c r="EB53" s="193"/>
      <c r="EC53" s="193"/>
      <c r="ED53" s="193"/>
      <c r="EE53" s="193"/>
      <c r="EF53" s="193"/>
      <c r="EG53" s="193"/>
      <c r="EH53" s="193"/>
      <c r="EI53" s="193"/>
      <c r="EJ53" s="193"/>
      <c r="EK53" s="193"/>
      <c r="EL53" s="193"/>
      <c r="EM53" s="193"/>
      <c r="EN53" s="193"/>
      <c r="EO53" s="193"/>
      <c r="EP53" s="193"/>
      <c r="EQ53" s="193"/>
      <c r="ER53" s="193"/>
      <c r="ES53" s="193"/>
      <c r="ET53" s="193"/>
      <c r="EU53" s="193"/>
      <c r="EV53" s="193"/>
      <c r="EW53" s="193"/>
      <c r="EX53" s="193"/>
      <c r="EY53" s="193"/>
      <c r="EZ53" s="193"/>
      <c r="FA53" s="193"/>
      <c r="FB53" s="193"/>
      <c r="FC53" s="193"/>
      <c r="FD53" s="193"/>
      <c r="FE53" s="193"/>
      <c r="FF53" s="193"/>
      <c r="FG53" s="193"/>
      <c r="FH53" s="193"/>
      <c r="FI53" s="193"/>
      <c r="FJ53" s="193"/>
      <c r="FK53" s="193"/>
      <c r="FL53" s="193"/>
      <c r="FM53" s="193"/>
      <c r="FN53" s="193"/>
      <c r="FO53" s="193"/>
      <c r="FP53" s="193"/>
      <c r="FQ53" s="193"/>
      <c r="FR53" s="193"/>
      <c r="FS53" s="193"/>
      <c r="FT53" s="193"/>
      <c r="FU53" s="193"/>
      <c r="FV53" s="193"/>
      <c r="FW53" s="193"/>
      <c r="FX53" s="193"/>
      <c r="FY53" s="193"/>
      <c r="FZ53" s="193"/>
      <c r="GA53" s="193"/>
      <c r="GB53" s="193"/>
      <c r="GC53" s="193"/>
      <c r="GD53" s="193"/>
      <c r="GE53" s="193"/>
      <c r="GF53" s="193"/>
      <c r="GG53" s="193"/>
      <c r="GH53" s="193"/>
      <c r="GI53" s="193"/>
      <c r="GJ53" s="193"/>
      <c r="GK53" s="193"/>
      <c r="GL53" s="193"/>
      <c r="GM53" s="193"/>
      <c r="GN53" s="193"/>
      <c r="GO53" s="193"/>
      <c r="GP53" s="193"/>
      <c r="GQ53" s="193"/>
      <c r="GR53" s="193"/>
      <c r="GS53" s="193"/>
      <c r="GT53" s="193"/>
      <c r="GU53" s="193"/>
      <c r="GV53" s="193"/>
      <c r="GW53" s="193"/>
      <c r="GX53" s="193"/>
      <c r="GY53" s="193"/>
      <c r="GZ53" s="193"/>
      <c r="HA53" s="193"/>
      <c r="HB53" s="193"/>
      <c r="HC53" s="193"/>
      <c r="HD53" s="193"/>
      <c r="HE53" s="193"/>
      <c r="HF53" s="193"/>
      <c r="HG53" s="193"/>
      <c r="HH53" s="193"/>
      <c r="HI53" s="193"/>
      <c r="HJ53" s="193"/>
      <c r="HK53" s="193"/>
      <c r="HL53" s="193"/>
      <c r="HM53" s="193"/>
      <c r="HN53" s="193"/>
      <c r="HO53" s="193"/>
      <c r="HP53" s="193"/>
      <c r="HQ53" s="193"/>
      <c r="HR53" s="193"/>
      <c r="HS53" s="193"/>
      <c r="HT53" s="193"/>
      <c r="HU53" s="193"/>
      <c r="HV53" s="193"/>
      <c r="HW53" s="193"/>
      <c r="HX53" s="193"/>
      <c r="HY53" s="193"/>
      <c r="HZ53" s="193"/>
      <c r="IA53" s="193"/>
      <c r="IB53" s="193"/>
      <c r="IC53" s="193"/>
      <c r="ID53" s="193"/>
      <c r="IE53" s="193"/>
      <c r="IF53" s="193"/>
      <c r="IG53" s="193"/>
      <c r="IH53" s="193"/>
      <c r="II53" s="193"/>
      <c r="IJ53" s="193"/>
      <c r="IK53" s="193"/>
      <c r="IL53" s="193"/>
      <c r="IM53" s="193"/>
      <c r="IN53" s="193"/>
      <c r="IO53" s="193"/>
      <c r="IP53" s="193"/>
      <c r="IQ53" s="193"/>
      <c r="IR53" s="193"/>
      <c r="IS53" s="193"/>
      <c r="IT53" s="193"/>
      <c r="IU53" s="193"/>
      <c r="IV53" s="193"/>
      <c r="IW53" s="193"/>
      <c r="IX53" s="193"/>
      <c r="IY53" s="30"/>
      <c r="IZ53" s="42"/>
      <c r="JA53" s="223"/>
      <c r="JB53" s="223"/>
      <c r="JC53" s="223"/>
      <c r="JD53" s="224"/>
      <c r="JE53" s="193"/>
      <c r="JF53" s="193"/>
      <c r="JG53" s="193"/>
      <c r="JH53" s="193"/>
      <c r="JI53" s="193"/>
      <c r="JJ53" s="193"/>
      <c r="JK53" s="193"/>
      <c r="JL53" s="193"/>
      <c r="JM53" s="193"/>
      <c r="JN53" s="193"/>
      <c r="JO53" s="193"/>
      <c r="JP53" s="193"/>
      <c r="JQ53" s="193"/>
      <c r="JR53" s="193"/>
      <c r="JS53" s="193"/>
      <c r="JT53" s="193"/>
      <c r="JU53" s="193"/>
      <c r="JV53" s="193"/>
      <c r="JW53" s="193"/>
      <c r="JX53" s="193"/>
      <c r="JY53" s="193"/>
      <c r="JZ53" s="193"/>
      <c r="KA53" s="193"/>
      <c r="KB53" s="193"/>
      <c r="KC53" s="193"/>
      <c r="KD53" s="193"/>
      <c r="KE53" s="193"/>
      <c r="KF53" s="193"/>
      <c r="KG53" s="193"/>
      <c r="KH53" s="193"/>
      <c r="KI53" s="193"/>
      <c r="KJ53" s="193"/>
      <c r="KK53" s="193"/>
      <c r="KL53" s="193"/>
      <c r="KM53" s="193"/>
      <c r="KN53" s="193"/>
      <c r="KO53" s="193"/>
      <c r="KP53" s="193"/>
      <c r="KQ53" s="193"/>
      <c r="KR53" s="193"/>
      <c r="KS53" s="193"/>
      <c r="KT53" s="193"/>
      <c r="KU53" s="193"/>
      <c r="KV53" s="193"/>
      <c r="KW53" s="193"/>
      <c r="KX53" s="193"/>
      <c r="KY53" s="193"/>
      <c r="KZ53" s="193"/>
      <c r="LA53" s="193"/>
      <c r="LB53" s="193"/>
      <c r="LC53" s="193"/>
      <c r="LD53" s="193"/>
      <c r="LE53" s="193"/>
      <c r="LF53" s="193"/>
      <c r="LG53" s="193"/>
      <c r="LH53" s="193"/>
      <c r="LI53" s="193"/>
      <c r="LJ53" s="193"/>
      <c r="LK53" s="193"/>
      <c r="LL53" s="193"/>
      <c r="LM53" s="193"/>
      <c r="LN53" s="193"/>
      <c r="LO53" s="193"/>
      <c r="LP53" s="193"/>
      <c r="LQ53" s="193"/>
      <c r="LR53" s="193"/>
      <c r="LS53" s="193"/>
      <c r="LT53" s="193"/>
      <c r="LU53" s="193"/>
      <c r="LV53" s="193"/>
      <c r="LW53" s="193"/>
      <c r="LX53" s="193"/>
      <c r="LY53" s="193"/>
      <c r="LZ53" s="193"/>
      <c r="MA53" s="193"/>
      <c r="MB53" s="193"/>
      <c r="MC53" s="193"/>
      <c r="MD53" s="193"/>
      <c r="ME53" s="193"/>
      <c r="MF53" s="193"/>
      <c r="MG53" s="193"/>
      <c r="MH53" s="193"/>
      <c r="MI53" s="193"/>
      <c r="MJ53" s="193"/>
      <c r="MK53" s="193"/>
      <c r="ML53" s="193"/>
      <c r="MM53" s="193"/>
      <c r="MN53" s="193"/>
      <c r="MO53" s="193"/>
      <c r="MP53" s="193"/>
      <c r="MQ53" s="193"/>
      <c r="MR53" s="193"/>
      <c r="MS53" s="193"/>
      <c r="MT53" s="193"/>
      <c r="MU53" s="193"/>
      <c r="MV53" s="193"/>
      <c r="MW53" s="193"/>
      <c r="MX53" s="193"/>
      <c r="MY53" s="193"/>
      <c r="MZ53" s="193"/>
      <c r="NA53" s="193"/>
      <c r="NB53" s="193"/>
      <c r="NC53" s="193"/>
      <c r="ND53" s="193"/>
      <c r="NE53" s="193"/>
      <c r="NF53" s="193"/>
      <c r="NG53" s="193"/>
      <c r="NH53" s="193"/>
      <c r="NI53" s="193"/>
      <c r="NJ53" s="193"/>
      <c r="NK53" s="193"/>
      <c r="NL53" s="193"/>
      <c r="NM53" s="193"/>
      <c r="NN53" s="193"/>
      <c r="NO53" s="193"/>
      <c r="NP53" s="193"/>
      <c r="NQ53" s="193"/>
      <c r="NR53" s="193"/>
      <c r="NS53" s="193"/>
      <c r="NT53" s="193"/>
      <c r="NU53" s="193"/>
      <c r="NV53" s="193"/>
      <c r="NW53" s="193"/>
      <c r="NX53" s="193"/>
      <c r="NY53" s="193"/>
      <c r="NZ53" s="193"/>
      <c r="OA53" s="193"/>
      <c r="OB53" s="193"/>
      <c r="OC53" s="193"/>
      <c r="OD53" s="193"/>
      <c r="OE53" s="193"/>
      <c r="OF53" s="193"/>
      <c r="OG53" s="193"/>
      <c r="OH53" s="193"/>
      <c r="OI53" s="193"/>
      <c r="OJ53" s="193"/>
      <c r="OK53" s="193"/>
      <c r="OL53" s="193"/>
      <c r="OM53" s="193"/>
      <c r="ON53" s="193"/>
      <c r="OO53" s="193"/>
      <c r="OP53" s="193"/>
      <c r="OQ53" s="193"/>
      <c r="OR53" s="193"/>
      <c r="OS53" s="193"/>
      <c r="OT53" s="193"/>
      <c r="OU53" s="193"/>
      <c r="OV53" s="193"/>
      <c r="OW53" s="193"/>
      <c r="OX53" s="193"/>
      <c r="OY53" s="193"/>
      <c r="OZ53" s="193"/>
      <c r="PA53" s="193"/>
      <c r="PB53" s="193"/>
      <c r="PC53" s="193"/>
      <c r="PD53" s="193"/>
      <c r="PE53" s="193"/>
      <c r="PF53" s="193"/>
      <c r="PG53" s="193"/>
      <c r="PH53" s="193"/>
      <c r="PI53" s="193"/>
      <c r="PJ53" s="193"/>
      <c r="PK53" s="193"/>
      <c r="PL53" s="193"/>
      <c r="PM53" s="193"/>
      <c r="PN53" s="193"/>
      <c r="PO53" s="193"/>
      <c r="PP53" s="193"/>
      <c r="PQ53" s="193"/>
      <c r="PR53" s="193"/>
      <c r="PS53" s="193"/>
      <c r="PT53" s="193"/>
      <c r="PU53" s="193"/>
      <c r="PV53" s="193"/>
      <c r="PW53" s="193"/>
      <c r="PX53" s="193"/>
      <c r="PY53" s="193"/>
      <c r="PZ53" s="193"/>
      <c r="QA53" s="193"/>
      <c r="QB53" s="193"/>
      <c r="QC53" s="193"/>
      <c r="QD53" s="193"/>
      <c r="QE53" s="193"/>
      <c r="QF53" s="193"/>
      <c r="QG53" s="193"/>
      <c r="QH53" s="193"/>
      <c r="QI53" s="193"/>
      <c r="QJ53" s="193"/>
      <c r="QK53" s="193"/>
      <c r="QL53" s="193"/>
      <c r="QM53" s="193"/>
      <c r="QN53" s="193"/>
      <c r="QO53" s="193"/>
      <c r="QP53" s="193"/>
      <c r="QQ53" s="193"/>
      <c r="QR53" s="193"/>
      <c r="QS53" s="193"/>
      <c r="QT53" s="193"/>
      <c r="QU53" s="193"/>
      <c r="QV53" s="193"/>
      <c r="QW53" s="193"/>
      <c r="QX53" s="193"/>
      <c r="QY53" s="193"/>
      <c r="QZ53" s="193"/>
      <c r="RA53" s="193"/>
      <c r="RB53" s="193"/>
      <c r="RC53" s="193"/>
      <c r="RD53" s="193"/>
      <c r="RE53" s="193"/>
      <c r="RF53" s="193"/>
      <c r="RG53" s="193"/>
      <c r="RH53" s="193"/>
      <c r="RI53" s="193"/>
      <c r="RJ53" s="193"/>
      <c r="RK53" s="193"/>
      <c r="RL53" s="193"/>
      <c r="RM53" s="193"/>
      <c r="RN53" s="193"/>
      <c r="RO53" s="193"/>
      <c r="RP53" s="193"/>
      <c r="RQ53" s="193"/>
      <c r="RR53" s="193"/>
      <c r="RS53" s="193"/>
      <c r="RT53" s="193"/>
      <c r="RU53" s="193"/>
      <c r="RV53" s="193"/>
      <c r="RW53" s="193"/>
      <c r="RX53" s="193"/>
      <c r="RY53" s="193"/>
      <c r="RZ53" s="193"/>
      <c r="SA53" s="193"/>
      <c r="SB53" s="193"/>
      <c r="SC53" s="193"/>
      <c r="SD53" s="193"/>
      <c r="SE53" s="193"/>
      <c r="SF53" s="193"/>
      <c r="SG53" s="193"/>
      <c r="SH53" s="193"/>
      <c r="SI53" s="193"/>
      <c r="SJ53" s="193"/>
      <c r="SK53" s="193"/>
      <c r="SL53" s="193"/>
      <c r="SM53" s="193"/>
      <c r="SN53" s="193"/>
      <c r="SO53" s="193"/>
      <c r="SP53" s="193"/>
      <c r="SQ53" s="193"/>
      <c r="SR53" s="193"/>
      <c r="SS53" s="193"/>
      <c r="ST53" s="193"/>
      <c r="SU53" s="193"/>
      <c r="SV53" s="193"/>
      <c r="SW53" s="193"/>
      <c r="SX53" s="193"/>
      <c r="SY53" s="193"/>
      <c r="SZ53" s="193"/>
      <c r="TA53" s="193"/>
      <c r="TB53" s="193"/>
      <c r="TC53" s="193"/>
      <c r="TD53" s="193"/>
      <c r="TE53" s="193"/>
      <c r="TF53" s="193"/>
      <c r="TG53" s="193"/>
      <c r="TH53" s="193"/>
      <c r="TI53" s="193"/>
      <c r="TJ53" s="193"/>
      <c r="TK53" s="193"/>
      <c r="TL53" s="193"/>
      <c r="TM53" s="193"/>
      <c r="TN53" s="193"/>
      <c r="TO53" s="193"/>
      <c r="TP53" s="193"/>
      <c r="TQ53" s="193"/>
      <c r="TR53" s="193"/>
      <c r="TS53" s="193"/>
      <c r="TT53" s="193"/>
      <c r="TU53" s="193"/>
      <c r="TV53" s="193"/>
      <c r="TW53" s="193"/>
      <c r="TX53" s="193"/>
      <c r="TY53" s="193"/>
      <c r="TZ53" s="193"/>
      <c r="UA53" s="193"/>
      <c r="UB53" s="193"/>
      <c r="UC53" s="193"/>
      <c r="UD53" s="193"/>
      <c r="UE53" s="193"/>
      <c r="UF53" s="193"/>
      <c r="UG53" s="193"/>
      <c r="UH53" s="193"/>
      <c r="UI53" s="193"/>
      <c r="UJ53" s="193"/>
      <c r="UK53" s="193"/>
      <c r="UL53" s="193"/>
      <c r="UM53" s="193"/>
      <c r="UN53" s="193"/>
      <c r="UO53" s="193"/>
      <c r="UP53" s="193"/>
      <c r="UQ53" s="193"/>
      <c r="UR53" s="193"/>
      <c r="US53" s="193"/>
      <c r="UT53" s="193"/>
      <c r="UU53" s="193"/>
      <c r="UV53" s="193"/>
      <c r="UW53" s="193"/>
      <c r="UX53" s="193"/>
      <c r="UY53" s="193"/>
      <c r="UZ53" s="193"/>
      <c r="VA53" s="193"/>
      <c r="VB53" s="193"/>
      <c r="VC53" s="193"/>
      <c r="VD53" s="193"/>
      <c r="VE53" s="193"/>
      <c r="VF53" s="193"/>
      <c r="VG53" s="193"/>
      <c r="VH53" s="193"/>
      <c r="VI53" s="193"/>
      <c r="VJ53" s="193"/>
      <c r="VK53" s="193"/>
      <c r="VL53" s="193"/>
      <c r="VM53" s="193"/>
      <c r="VN53" s="193"/>
      <c r="VO53" s="193"/>
      <c r="VP53" s="193"/>
      <c r="VQ53" s="193"/>
      <c r="VR53" s="193"/>
      <c r="VS53" s="193"/>
      <c r="VT53" s="193"/>
      <c r="VU53" s="193"/>
      <c r="VV53" s="193"/>
      <c r="VW53" s="193"/>
      <c r="VX53" s="193"/>
      <c r="VY53" s="193"/>
      <c r="VZ53" s="193"/>
      <c r="WA53" s="193"/>
      <c r="WB53" s="193"/>
      <c r="WC53" s="193"/>
      <c r="WD53" s="193"/>
      <c r="WE53" s="193"/>
      <c r="WF53" s="193"/>
      <c r="WG53" s="193"/>
      <c r="WH53" s="193"/>
      <c r="WI53" s="193"/>
      <c r="WJ53" s="193"/>
      <c r="WK53" s="193"/>
      <c r="WL53" s="193"/>
      <c r="WM53" s="193"/>
      <c r="WN53" s="193"/>
      <c r="WO53" s="193"/>
      <c r="WP53" s="193"/>
      <c r="WQ53" s="193"/>
      <c r="WR53" s="193"/>
      <c r="WS53" s="193"/>
      <c r="WT53" s="193"/>
      <c r="WU53" s="193"/>
      <c r="WV53" s="193"/>
      <c r="WW53" s="193"/>
      <c r="WX53" s="193"/>
      <c r="WY53" s="193"/>
      <c r="WZ53" s="193"/>
      <c r="XA53" s="193"/>
      <c r="XB53" s="193"/>
      <c r="XC53" s="193"/>
      <c r="XD53" s="193"/>
      <c r="XE53" s="193"/>
      <c r="XF53" s="193"/>
      <c r="XG53" s="193"/>
      <c r="XH53" s="193"/>
      <c r="XI53" s="193"/>
      <c r="XJ53" s="193"/>
      <c r="XK53" s="193"/>
      <c r="XL53" s="193"/>
      <c r="XM53" s="193"/>
      <c r="XN53" s="193"/>
      <c r="XO53" s="193"/>
      <c r="XP53" s="193"/>
      <c r="XQ53" s="193"/>
      <c r="XR53" s="193"/>
      <c r="XS53" s="193"/>
      <c r="XT53" s="193"/>
      <c r="XU53" s="193"/>
      <c r="XV53" s="193"/>
      <c r="XW53" s="193"/>
      <c r="XX53" s="193"/>
      <c r="XY53" s="193"/>
      <c r="XZ53" s="193"/>
      <c r="YA53" s="193"/>
      <c r="YB53" s="193"/>
      <c r="YC53" s="193"/>
      <c r="YD53" s="193"/>
      <c r="YE53" s="193"/>
      <c r="YF53" s="193"/>
      <c r="YG53" s="193"/>
      <c r="YH53" s="193"/>
      <c r="YI53" s="193"/>
      <c r="YJ53" s="193"/>
      <c r="YK53" s="193"/>
      <c r="YL53" s="193"/>
      <c r="YM53" s="193"/>
      <c r="YN53" s="193"/>
      <c r="YO53" s="193"/>
      <c r="YP53" s="193"/>
      <c r="YQ53" s="193"/>
      <c r="YR53" s="193"/>
      <c r="YS53" s="193"/>
      <c r="YT53" s="193"/>
      <c r="YU53" s="193"/>
      <c r="YV53" s="193"/>
      <c r="YW53" s="193"/>
      <c r="YX53" s="193"/>
      <c r="YY53" s="193"/>
      <c r="YZ53" s="193"/>
      <c r="ZA53" s="193"/>
      <c r="ZB53" s="193"/>
      <c r="ZC53" s="193"/>
      <c r="ZD53" s="193"/>
      <c r="ZE53" s="193"/>
      <c r="ZF53" s="193"/>
      <c r="ZG53" s="193"/>
      <c r="ZH53" s="193"/>
      <c r="ZI53" s="193"/>
      <c r="ZJ53" s="193"/>
      <c r="ZK53" s="193"/>
      <c r="ZL53" s="193"/>
      <c r="ZM53" s="193"/>
      <c r="ZN53" s="193"/>
      <c r="ZO53" s="193"/>
      <c r="ZP53" s="193"/>
      <c r="ZQ53" s="193"/>
      <c r="ZR53" s="193"/>
      <c r="ZS53" s="193"/>
      <c r="ZT53" s="193"/>
      <c r="ZU53" s="193"/>
      <c r="ZV53" s="193"/>
      <c r="ZW53" s="193"/>
      <c r="ZX53" s="193"/>
      <c r="ZY53" s="193"/>
      <c r="ZZ53" s="193"/>
      <c r="AAA53" s="193"/>
      <c r="AAB53" s="193"/>
      <c r="AAC53" s="193"/>
      <c r="AAD53" s="193"/>
      <c r="AAE53" s="193"/>
      <c r="AAF53" s="193"/>
      <c r="AAG53" s="193"/>
      <c r="AAH53" s="193"/>
      <c r="AAI53" s="193"/>
      <c r="AAJ53" s="193"/>
      <c r="AAK53" s="193"/>
      <c r="AAL53" s="193"/>
      <c r="AAM53" s="193"/>
      <c r="AAN53" s="193"/>
      <c r="AAO53" s="193"/>
      <c r="AAP53" s="193"/>
      <c r="AAQ53" s="193"/>
      <c r="AAR53" s="193"/>
      <c r="AAS53" s="193"/>
      <c r="AAT53" s="193"/>
      <c r="AAU53" s="193"/>
      <c r="AAV53" s="193"/>
      <c r="AAW53" s="193"/>
      <c r="AAX53" s="193"/>
      <c r="AAY53" s="193"/>
      <c r="AAZ53" s="193"/>
      <c r="ABA53" s="193"/>
      <c r="ABB53" s="193"/>
      <c r="ABC53" s="193"/>
      <c r="ABD53" s="193"/>
      <c r="ABE53" s="193"/>
      <c r="ABF53" s="193"/>
      <c r="ABG53" s="193"/>
      <c r="ABH53" s="193"/>
      <c r="ABI53" s="193"/>
      <c r="ABJ53" s="193"/>
      <c r="ABK53" s="193"/>
      <c r="ABL53" s="193"/>
      <c r="ABM53" s="193"/>
      <c r="ABN53" s="193"/>
      <c r="ABO53" s="193"/>
      <c r="ABP53" s="193"/>
      <c r="ABQ53" s="193"/>
      <c r="ABR53" s="193"/>
      <c r="ABS53" s="193"/>
      <c r="ABT53" s="193"/>
      <c r="ABU53" s="193"/>
      <c r="ABV53" s="193"/>
      <c r="ABW53" s="193"/>
      <c r="ABX53" s="193"/>
      <c r="ABY53" s="193"/>
      <c r="ABZ53" s="193"/>
      <c r="ACA53" s="193"/>
      <c r="ACB53" s="193"/>
      <c r="ACC53" s="193"/>
      <c r="ACD53" s="193"/>
      <c r="ACE53" s="193"/>
      <c r="ACF53" s="193"/>
      <c r="ACG53" s="193"/>
      <c r="ACH53" s="193"/>
      <c r="ACI53" s="193"/>
      <c r="ACJ53" s="193"/>
      <c r="ACK53" s="193"/>
      <c r="ACL53" s="193"/>
      <c r="ACM53" s="193"/>
      <c r="ACN53" s="193"/>
      <c r="ACO53" s="193"/>
      <c r="ACP53" s="193"/>
      <c r="ACQ53" s="193"/>
      <c r="ACR53" s="193"/>
      <c r="ACS53" s="193"/>
      <c r="ACT53" s="193"/>
      <c r="ACU53" s="193"/>
      <c r="ACV53" s="193"/>
      <c r="ACW53" s="193"/>
      <c r="ACX53" s="193"/>
      <c r="ACY53" s="193"/>
      <c r="ACZ53" s="193"/>
      <c r="ADA53" s="193"/>
      <c r="ADB53" s="193"/>
      <c r="ADC53" s="193"/>
      <c r="ADD53" s="193"/>
      <c r="ADE53" s="193"/>
      <c r="ADF53" s="193"/>
      <c r="ADG53" s="193"/>
      <c r="ADH53" s="193"/>
      <c r="ADI53" s="193"/>
      <c r="ADJ53" s="193"/>
      <c r="ADK53" s="193"/>
      <c r="ADL53" s="193"/>
      <c r="ADM53" s="193"/>
      <c r="ADN53" s="193"/>
      <c r="ADO53" s="193"/>
      <c r="ADP53" s="193"/>
      <c r="ADQ53" s="193"/>
      <c r="ADR53" s="193"/>
      <c r="ADS53" s="193"/>
      <c r="ADT53" s="193"/>
      <c r="ADU53" s="193"/>
      <c r="ADV53" s="193"/>
      <c r="ADW53" s="193"/>
      <c r="ADX53" s="193"/>
      <c r="ADY53" s="193"/>
      <c r="ADZ53" s="193"/>
      <c r="AEA53" s="193"/>
      <c r="AEB53" s="193"/>
      <c r="AEC53" s="193"/>
      <c r="AED53" s="193"/>
      <c r="AEE53" s="193"/>
      <c r="AEF53" s="193"/>
      <c r="AEG53" s="193"/>
      <c r="AEH53" s="193"/>
      <c r="AEI53" s="193"/>
      <c r="AEJ53" s="193"/>
      <c r="AEK53" s="193"/>
      <c r="AEL53" s="193"/>
      <c r="AEM53" s="193"/>
      <c r="AEN53" s="193"/>
      <c r="AEO53" s="193"/>
      <c r="AEP53" s="193"/>
      <c r="AEQ53" s="193"/>
      <c r="AER53" s="193"/>
      <c r="AES53" s="193"/>
      <c r="AET53" s="193"/>
      <c r="AEU53" s="193"/>
      <c r="AEV53" s="193"/>
      <c r="AEW53" s="193"/>
      <c r="AEX53" s="193"/>
      <c r="AEY53" s="193"/>
      <c r="AEZ53" s="193"/>
      <c r="AFA53" s="193"/>
      <c r="AFB53" s="193"/>
      <c r="AFC53" s="193"/>
      <c r="AFD53" s="193"/>
      <c r="AFE53" s="193"/>
      <c r="AFF53" s="193"/>
      <c r="AFG53" s="193"/>
      <c r="AFH53" s="193"/>
      <c r="AFI53" s="193"/>
      <c r="AFJ53" s="193"/>
      <c r="AFK53" s="193"/>
      <c r="AFL53" s="193"/>
      <c r="AFM53" s="193"/>
      <c r="AFN53" s="193"/>
      <c r="AFO53" s="193"/>
      <c r="AFP53" s="193"/>
      <c r="AFQ53" s="193"/>
      <c r="AFR53" s="193"/>
      <c r="AFS53" s="193"/>
      <c r="AFT53" s="193"/>
      <c r="AFU53" s="193"/>
      <c r="AFV53" s="193"/>
      <c r="AFW53" s="193"/>
      <c r="AFX53" s="193"/>
      <c r="AFY53" s="193"/>
      <c r="AFZ53" s="193"/>
      <c r="AGA53" s="193"/>
      <c r="AGB53" s="193"/>
      <c r="AGC53" s="193"/>
      <c r="AGD53" s="193"/>
      <c r="AGE53" s="193"/>
      <c r="AGF53" s="193"/>
      <c r="AGG53" s="193"/>
      <c r="AGH53" s="193"/>
      <c r="AGI53" s="193"/>
      <c r="AGJ53" s="193"/>
      <c r="AGK53" s="193"/>
      <c r="AGL53" s="193"/>
      <c r="AGM53" s="193"/>
      <c r="AGN53" s="193"/>
      <c r="AGO53" s="193"/>
      <c r="AGP53" s="193"/>
      <c r="AGQ53" s="193"/>
      <c r="AGR53" s="193"/>
      <c r="AGS53" s="193"/>
      <c r="AGT53" s="193"/>
      <c r="AGU53" s="193"/>
      <c r="AGV53" s="193"/>
      <c r="AGW53" s="193"/>
      <c r="AGX53" s="193"/>
      <c r="AGY53" s="193"/>
      <c r="AGZ53" s="193"/>
      <c r="AHA53" s="193"/>
      <c r="AHB53" s="193"/>
      <c r="AHC53" s="193"/>
      <c r="AHD53" s="193"/>
      <c r="AHE53" s="193"/>
      <c r="AHF53" s="193"/>
      <c r="AHG53" s="193"/>
      <c r="AHH53" s="193"/>
      <c r="AHI53" s="193"/>
      <c r="AHJ53" s="193"/>
      <c r="AHK53" s="193"/>
      <c r="AHL53" s="193"/>
      <c r="AHM53" s="193"/>
      <c r="AHN53" s="193"/>
      <c r="AHO53" s="193"/>
      <c r="AHP53" s="193"/>
      <c r="AHQ53" s="193"/>
      <c r="AHR53" s="193"/>
      <c r="AHS53" s="193"/>
      <c r="AHT53" s="193"/>
      <c r="AHU53" s="193"/>
      <c r="AHV53" s="193"/>
      <c r="AHW53" s="193"/>
      <c r="AHX53" s="193"/>
      <c r="AHY53" s="193"/>
      <c r="AHZ53" s="193"/>
      <c r="AIA53" s="193"/>
      <c r="AIB53" s="193"/>
      <c r="AIC53" s="193"/>
      <c r="AID53" s="193"/>
      <c r="AIE53" s="193"/>
      <c r="AIF53" s="193"/>
      <c r="AIG53" s="193"/>
      <c r="AIH53" s="193"/>
      <c r="AII53" s="193"/>
      <c r="AIJ53" s="193"/>
      <c r="AIK53" s="193"/>
      <c r="AIL53" s="193"/>
      <c r="AIM53" s="193"/>
      <c r="AIN53" s="193"/>
      <c r="AIO53" s="193"/>
      <c r="AIP53" s="193"/>
      <c r="AIQ53" s="193"/>
      <c r="AIR53" s="193"/>
      <c r="AIS53" s="193"/>
      <c r="AIT53" s="193"/>
      <c r="AIU53" s="193"/>
      <c r="AIV53" s="193"/>
      <c r="AIW53" s="193"/>
      <c r="AIX53" s="193"/>
      <c r="AIY53" s="193"/>
      <c r="AIZ53" s="193"/>
      <c r="AJA53" s="193"/>
      <c r="AJB53" s="193"/>
      <c r="AJC53" s="193"/>
      <c r="AJD53" s="193"/>
      <c r="AJE53" s="193"/>
      <c r="AJF53" s="193"/>
      <c r="AJG53" s="193"/>
      <c r="AJH53" s="193"/>
      <c r="AJI53" s="193"/>
      <c r="AJJ53" s="193"/>
      <c r="AJK53" s="193"/>
      <c r="AJL53" s="193"/>
      <c r="AJM53" s="193"/>
      <c r="AJN53" s="193"/>
      <c r="AJO53" s="193"/>
      <c r="AJP53" s="193"/>
      <c r="AJQ53" s="193"/>
      <c r="AJR53" s="193"/>
      <c r="AJS53" s="193"/>
      <c r="AJT53" s="193"/>
      <c r="AJU53" s="193"/>
      <c r="AJV53" s="193"/>
      <c r="AJW53" s="193"/>
      <c r="AJX53" s="193"/>
      <c r="AJY53" s="193"/>
      <c r="AJZ53" s="193"/>
      <c r="AKA53" s="193"/>
      <c r="AKB53" s="193"/>
      <c r="AKC53" s="193"/>
      <c r="AKD53" s="193"/>
      <c r="AKE53" s="193"/>
      <c r="AKF53" s="193"/>
      <c r="AKG53" s="193"/>
      <c r="AKH53" s="193"/>
      <c r="AKI53" s="193"/>
      <c r="AKJ53" s="193"/>
      <c r="AKK53" s="193"/>
      <c r="AKL53" s="193"/>
      <c r="AKM53" s="193"/>
      <c r="AKN53" s="193"/>
      <c r="AKO53" s="193"/>
      <c r="AKP53" s="193"/>
      <c r="AKQ53" s="193"/>
      <c r="AKR53" s="193"/>
      <c r="AKS53" s="193"/>
      <c r="AKT53" s="193"/>
      <c r="AKU53" s="193"/>
      <c r="AKV53" s="193"/>
      <c r="AKW53" s="193"/>
      <c r="AKX53" s="193"/>
      <c r="AKY53" s="193"/>
      <c r="AKZ53" s="193"/>
      <c r="ALA53" s="193"/>
      <c r="ALB53" s="193"/>
      <c r="ALC53" s="193"/>
      <c r="ALD53" s="193"/>
      <c r="ALE53" s="193"/>
      <c r="ALF53" s="193"/>
      <c r="ALG53" s="193"/>
      <c r="ALH53" s="193"/>
      <c r="ALI53" s="193"/>
      <c r="ALJ53" s="193"/>
      <c r="ALK53" s="193"/>
      <c r="ALL53" s="193"/>
      <c r="ALM53" s="193"/>
      <c r="ALN53" s="193"/>
      <c r="ALO53" s="193"/>
      <c r="ALP53" s="193"/>
      <c r="ALQ53" s="193"/>
      <c r="ALR53" s="193"/>
      <c r="ALS53" s="193"/>
      <c r="ALT53" s="193"/>
      <c r="ALU53" s="193"/>
      <c r="ALV53" s="193"/>
      <c r="ALW53" s="193"/>
      <c r="ALX53" s="193"/>
      <c r="ALY53" s="193"/>
      <c r="ALZ53" s="193"/>
      <c r="AMA53" s="193"/>
      <c r="AMB53" s="193"/>
      <c r="AMC53" s="193"/>
      <c r="AMD53" s="193"/>
      <c r="AME53" s="193"/>
      <c r="AMF53" s="193"/>
      <c r="AMG53" s="193"/>
      <c r="AMH53" s="193"/>
      <c r="AMI53" s="193"/>
      <c r="AMJ53" s="193"/>
      <c r="AMK53" s="193"/>
      <c r="AML53" s="193"/>
      <c r="AMM53" s="193"/>
      <c r="AMN53" s="193"/>
      <c r="AMO53" s="193"/>
      <c r="AMP53" s="193"/>
      <c r="AMQ53" s="193"/>
      <c r="AMR53" s="193"/>
      <c r="AMS53" s="193"/>
      <c r="AMT53" s="193"/>
      <c r="AMU53" s="193"/>
      <c r="AMV53" s="193"/>
      <c r="AMW53" s="193"/>
      <c r="AMX53" s="193"/>
      <c r="AMY53" s="193"/>
      <c r="AMZ53" s="193"/>
      <c r="ANA53" s="193"/>
      <c r="ANB53" s="193"/>
      <c r="ANC53" s="193"/>
      <c r="AND53" s="193"/>
      <c r="ANE53" s="193"/>
      <c r="ANF53" s="193"/>
      <c r="ANG53" s="193"/>
      <c r="ANH53" s="193"/>
      <c r="ANI53" s="193"/>
      <c r="ANJ53" s="193"/>
      <c r="ANK53" s="193"/>
      <c r="ANL53" s="193"/>
      <c r="ANM53" s="193"/>
      <c r="ANN53" s="193"/>
      <c r="ANO53" s="193"/>
      <c r="ANP53" s="193"/>
      <c r="ANQ53" s="193"/>
      <c r="ANR53" s="193"/>
      <c r="ANS53" s="193"/>
      <c r="ANT53" s="193"/>
      <c r="ANU53" s="193"/>
      <c r="ANV53" s="193"/>
      <c r="ANW53" s="193"/>
      <c r="ANX53" s="193"/>
      <c r="ANY53" s="193"/>
      <c r="ANZ53" s="193"/>
      <c r="AOA53" s="193"/>
      <c r="AOB53" s="193"/>
      <c r="AOC53" s="193"/>
      <c r="AOD53" s="193"/>
      <c r="AOE53" s="193"/>
      <c r="AOF53" s="193"/>
      <c r="AOG53" s="193"/>
      <c r="AOH53" s="193"/>
      <c r="AOI53" s="193"/>
      <c r="AOJ53" s="193"/>
      <c r="AOK53" s="193"/>
      <c r="AOL53" s="193"/>
      <c r="AOM53" s="193"/>
      <c r="AON53" s="193"/>
      <c r="AOO53" s="193"/>
      <c r="AOP53" s="193"/>
      <c r="AOQ53" s="193"/>
      <c r="AOR53" s="193"/>
      <c r="AOS53" s="193"/>
      <c r="AOT53" s="193"/>
      <c r="AOU53" s="193"/>
      <c r="AOV53" s="193"/>
      <c r="AOW53" s="193"/>
      <c r="AOX53" s="193"/>
      <c r="AOY53" s="193"/>
      <c r="AOZ53" s="193"/>
      <c r="APA53" s="193"/>
      <c r="APB53" s="193"/>
      <c r="APC53" s="193"/>
      <c r="APD53" s="193"/>
      <c r="APE53" s="193"/>
      <c r="APF53" s="193"/>
      <c r="APG53" s="193"/>
      <c r="APH53" s="193"/>
      <c r="API53" s="193"/>
      <c r="APJ53" s="193"/>
      <c r="APK53" s="193"/>
      <c r="APL53" s="193"/>
      <c r="APM53" s="193"/>
      <c r="APN53" s="193"/>
      <c r="APO53" s="193"/>
      <c r="APP53" s="193"/>
      <c r="APQ53" s="193"/>
      <c r="APR53" s="193"/>
      <c r="APS53" s="193"/>
      <c r="APT53" s="193"/>
      <c r="APU53" s="193"/>
      <c r="APV53" s="193"/>
      <c r="APW53" s="193"/>
      <c r="APX53" s="193"/>
      <c r="APY53" s="193"/>
      <c r="APZ53" s="193"/>
      <c r="AQA53" s="193"/>
      <c r="AQB53" s="193"/>
      <c r="AQC53" s="193"/>
      <c r="AQD53" s="193"/>
      <c r="AQE53" s="193"/>
      <c r="AQF53" s="193"/>
      <c r="AQG53" s="193"/>
      <c r="AQH53" s="193"/>
      <c r="AQI53" s="193"/>
      <c r="AQJ53" s="193"/>
      <c r="AQK53" s="193"/>
      <c r="AQL53" s="193"/>
      <c r="AQM53" s="193"/>
      <c r="AQN53" s="193"/>
      <c r="AQO53" s="193"/>
      <c r="AQP53" s="193"/>
      <c r="AQQ53" s="193"/>
      <c r="AQR53" s="193"/>
      <c r="AQS53" s="193"/>
      <c r="AQT53" s="193"/>
      <c r="AQU53" s="193"/>
      <c r="AQV53" s="193"/>
      <c r="AQW53" s="193"/>
      <c r="AQX53" s="193"/>
      <c r="AQY53" s="193"/>
      <c r="AQZ53" s="193"/>
      <c r="ARA53" s="193"/>
      <c r="ARB53" s="193"/>
      <c r="ARC53" s="193"/>
      <c r="ARD53" s="193"/>
      <c r="ARE53" s="193"/>
      <c r="ARF53" s="193"/>
      <c r="ARG53" s="193"/>
      <c r="ARH53" s="193"/>
      <c r="ARI53" s="193"/>
      <c r="ARJ53" s="193"/>
      <c r="ARK53" s="193"/>
      <c r="ARL53" s="193"/>
      <c r="ARM53" s="193"/>
      <c r="ARN53" s="193"/>
      <c r="ARO53" s="193"/>
      <c r="ARP53" s="193"/>
      <c r="ARQ53" s="193"/>
      <c r="ARR53" s="193"/>
      <c r="ARS53" s="193"/>
      <c r="ART53" s="193"/>
      <c r="ARU53" s="193"/>
      <c r="ARV53" s="193"/>
      <c r="ARW53" s="193"/>
      <c r="ARX53" s="193"/>
      <c r="ARY53" s="193"/>
      <c r="ARZ53" s="193"/>
      <c r="ASA53" s="193"/>
      <c r="ASB53" s="193"/>
      <c r="ASC53" s="193"/>
      <c r="ASD53" s="193"/>
      <c r="ASE53" s="193"/>
      <c r="ASF53" s="193"/>
      <c r="ASG53" s="193"/>
      <c r="ASH53" s="193"/>
      <c r="ASI53" s="193"/>
      <c r="ASJ53" s="193"/>
      <c r="ASK53" s="193"/>
      <c r="ASL53" s="193"/>
      <c r="ASM53" s="193"/>
      <c r="ASN53" s="193"/>
      <c r="ASO53" s="193"/>
      <c r="ASP53" s="193"/>
      <c r="ASQ53" s="193"/>
      <c r="ASR53" s="193"/>
      <c r="ASS53" s="193"/>
      <c r="AST53" s="193"/>
      <c r="ASU53" s="193"/>
      <c r="ASV53" s="193"/>
      <c r="ASW53" s="193"/>
      <c r="ASX53" s="193"/>
      <c r="ASY53" s="193"/>
      <c r="ASZ53" s="193"/>
      <c r="ATA53" s="193"/>
      <c r="ATB53" s="193"/>
      <c r="ATC53" s="193"/>
      <c r="ATD53" s="193"/>
      <c r="ATE53" s="193"/>
      <c r="ATF53" s="193"/>
      <c r="ATG53" s="193"/>
      <c r="ATH53" s="193"/>
      <c r="ATI53" s="193"/>
      <c r="ATJ53" s="193"/>
      <c r="ATK53" s="193"/>
      <c r="ATL53" s="193"/>
      <c r="ATM53" s="193"/>
      <c r="ATN53" s="193"/>
      <c r="ATO53" s="193"/>
      <c r="ATP53" s="193"/>
      <c r="ATQ53" s="193"/>
      <c r="ATR53" s="193"/>
      <c r="ATS53" s="193"/>
      <c r="ATT53" s="193"/>
      <c r="ATU53" s="193"/>
      <c r="ATV53" s="193"/>
      <c r="ATW53" s="193"/>
      <c r="ATX53" s="193"/>
      <c r="ATY53" s="193"/>
      <c r="ATZ53" s="193"/>
      <c r="AUA53" s="193"/>
      <c r="AUB53" s="193"/>
      <c r="AUC53" s="193"/>
      <c r="AUD53" s="193"/>
      <c r="AUE53" s="193"/>
      <c r="AUF53" s="193"/>
      <c r="AUG53" s="193"/>
      <c r="AUH53" s="193"/>
      <c r="AUI53" s="193"/>
      <c r="AUJ53" s="193"/>
      <c r="AUK53" s="193"/>
      <c r="AUL53" s="193"/>
      <c r="AUM53" s="193"/>
      <c r="AUN53" s="193"/>
      <c r="AUO53" s="193"/>
      <c r="AUP53" s="193"/>
      <c r="AUQ53" s="193"/>
      <c r="AUR53" s="193"/>
      <c r="AUS53" s="193"/>
      <c r="AUT53" s="193"/>
      <c r="AUU53" s="193"/>
      <c r="AUV53" s="193"/>
      <c r="AUW53" s="193"/>
      <c r="AUX53" s="193"/>
      <c r="AUY53" s="193"/>
      <c r="AUZ53" s="193"/>
      <c r="AVA53" s="193"/>
      <c r="AVB53" s="193"/>
      <c r="AVC53" s="193"/>
      <c r="AVD53" s="193"/>
      <c r="AVE53" s="193"/>
      <c r="AVF53" s="193"/>
      <c r="AVG53" s="193"/>
      <c r="AVH53" s="193"/>
      <c r="AVI53" s="193"/>
      <c r="AVJ53" s="193"/>
      <c r="AVK53" s="193"/>
      <c r="AVL53" s="193"/>
      <c r="AVM53" s="193"/>
      <c r="AVN53" s="193"/>
      <c r="AVO53" s="193"/>
      <c r="AVP53" s="193"/>
      <c r="AVQ53" s="193"/>
      <c r="AVR53" s="193"/>
      <c r="AVS53" s="193"/>
      <c r="AVT53" s="193"/>
      <c r="AVU53" s="193"/>
      <c r="AVV53" s="193"/>
      <c r="AVW53" s="193"/>
      <c r="AVX53" s="193"/>
      <c r="AVY53" s="193"/>
      <c r="AVZ53" s="193"/>
      <c r="AWA53" s="193"/>
      <c r="AWB53" s="193"/>
      <c r="AWC53" s="193"/>
      <c r="AWD53" s="193"/>
      <c r="AWE53" s="193"/>
      <c r="AWF53" s="193"/>
      <c r="AWG53" s="193"/>
      <c r="AWH53" s="193"/>
      <c r="AWI53" s="193"/>
      <c r="AWJ53" s="193"/>
      <c r="AWK53" s="193"/>
      <c r="AWL53" s="193"/>
      <c r="AWM53" s="193"/>
      <c r="AWN53" s="193"/>
      <c r="AWO53" s="193"/>
      <c r="AWP53" s="193"/>
      <c r="AWQ53" s="193"/>
      <c r="AWR53" s="193"/>
      <c r="AWS53" s="193"/>
      <c r="AWT53" s="193"/>
      <c r="AWU53" s="193"/>
      <c r="AWV53" s="193"/>
      <c r="AWW53" s="193"/>
      <c r="AWX53" s="193"/>
      <c r="AWY53" s="193"/>
      <c r="AWZ53" s="193"/>
      <c r="AXA53" s="193"/>
      <c r="AXB53" s="193"/>
      <c r="AXC53" s="193"/>
      <c r="AXD53" s="193"/>
      <c r="AXE53" s="193"/>
      <c r="AXF53" s="193"/>
      <c r="AXG53" s="193"/>
      <c r="AXH53" s="193"/>
      <c r="AXI53" s="193"/>
      <c r="AXJ53" s="193"/>
      <c r="AXK53" s="193"/>
      <c r="AXL53" s="193"/>
      <c r="AXM53" s="193"/>
      <c r="AXN53" s="193"/>
      <c r="AXO53" s="193"/>
      <c r="AXP53" s="193"/>
      <c r="AXQ53" s="193"/>
      <c r="AXR53" s="193"/>
      <c r="AXS53" s="193"/>
      <c r="AXT53" s="193"/>
      <c r="AXU53" s="193"/>
      <c r="AXV53" s="193"/>
      <c r="AXW53" s="193"/>
      <c r="AXX53" s="193"/>
      <c r="AXY53" s="193"/>
      <c r="AXZ53" s="193"/>
      <c r="AYA53" s="193"/>
      <c r="AYB53" s="193"/>
      <c r="AYC53" s="193"/>
      <c r="AYD53" s="193"/>
      <c r="AYE53" s="193"/>
      <c r="AYF53" s="193"/>
      <c r="AYG53" s="193"/>
      <c r="AYH53" s="193"/>
      <c r="AYI53" s="193"/>
      <c r="AYJ53" s="193"/>
      <c r="AYK53" s="193"/>
      <c r="AYL53" s="193"/>
      <c r="AYM53" s="193"/>
      <c r="AYN53" s="193"/>
      <c r="AYO53" s="193"/>
      <c r="AYP53" s="193"/>
      <c r="AYQ53" s="193"/>
      <c r="AYR53" s="193"/>
      <c r="AYS53" s="193"/>
      <c r="AYT53" s="193"/>
      <c r="AYU53" s="193"/>
      <c r="AYV53" s="193"/>
      <c r="AYW53" s="193"/>
      <c r="AYX53" s="193"/>
      <c r="AYY53" s="193"/>
      <c r="AYZ53" s="193"/>
      <c r="AZA53" s="193"/>
      <c r="AZB53" s="193"/>
      <c r="AZC53" s="193"/>
      <c r="AZD53" s="193"/>
      <c r="AZE53" s="193"/>
      <c r="AZF53" s="193"/>
      <c r="AZG53" s="193"/>
      <c r="AZH53" s="193"/>
      <c r="AZI53" s="193"/>
      <c r="AZJ53" s="193"/>
      <c r="AZK53" s="193"/>
      <c r="AZL53" s="193"/>
      <c r="AZM53" s="193"/>
      <c r="AZN53" s="193"/>
      <c r="AZO53" s="193"/>
      <c r="AZP53" s="193"/>
      <c r="AZQ53" s="193"/>
      <c r="AZR53" s="193"/>
      <c r="AZS53" s="193"/>
      <c r="AZT53" s="193"/>
      <c r="AZU53" s="193"/>
      <c r="AZV53" s="193"/>
      <c r="AZW53" s="193"/>
      <c r="AZX53" s="193"/>
      <c r="AZY53" s="193"/>
      <c r="AZZ53" s="193"/>
      <c r="BAA53" s="193"/>
      <c r="BAB53" s="193"/>
      <c r="BAC53" s="193"/>
      <c r="BAD53" s="193"/>
      <c r="BAE53" s="193"/>
      <c r="BAF53" s="193"/>
      <c r="BAG53" s="193"/>
      <c r="BAH53" s="193"/>
      <c r="BAI53" s="193"/>
      <c r="BAJ53" s="193"/>
      <c r="BAK53" s="193"/>
      <c r="BAL53" s="193"/>
      <c r="BAM53" s="193"/>
      <c r="BAN53" s="193"/>
      <c r="BAO53" s="193"/>
      <c r="BAP53" s="193"/>
      <c r="BAQ53" s="193"/>
      <c r="BAR53" s="193"/>
      <c r="BAS53" s="193"/>
      <c r="BAT53" s="193"/>
      <c r="BAU53" s="193"/>
      <c r="BAV53" s="193"/>
      <c r="BAW53" s="193"/>
      <c r="BAX53" s="193"/>
      <c r="BAY53" s="193"/>
      <c r="BAZ53" s="193"/>
      <c r="BBA53" s="193"/>
      <c r="BBB53" s="193"/>
      <c r="BBC53" s="193"/>
      <c r="BBD53" s="193"/>
      <c r="BBE53" s="193"/>
      <c r="BBF53" s="193"/>
      <c r="BBG53" s="193"/>
      <c r="BBH53" s="193"/>
      <c r="BBI53" s="193"/>
      <c r="BBJ53" s="193"/>
      <c r="BBK53" s="193"/>
      <c r="BBL53" s="193"/>
      <c r="BBM53" s="193"/>
      <c r="BBN53" s="193"/>
      <c r="BBO53" s="193"/>
      <c r="BBP53" s="193"/>
      <c r="BBQ53" s="193"/>
      <c r="BBR53" s="193"/>
      <c r="BBS53" s="193"/>
      <c r="BBT53" s="193"/>
      <c r="BBU53" s="193"/>
      <c r="BBV53" s="193"/>
      <c r="BBW53" s="193"/>
      <c r="BBX53" s="193"/>
      <c r="BBY53" s="193"/>
      <c r="BBZ53" s="193"/>
      <c r="BCA53" s="193"/>
      <c r="BCB53" s="193"/>
      <c r="BCC53" s="193"/>
      <c r="BCD53" s="193"/>
      <c r="BCE53" s="193"/>
      <c r="BCF53" s="193"/>
      <c r="BCG53" s="193"/>
      <c r="BCH53" s="193"/>
      <c r="BCI53" s="193"/>
      <c r="BCJ53" s="193"/>
      <c r="BCK53" s="193"/>
      <c r="BCL53" s="193"/>
      <c r="BCM53" s="193"/>
      <c r="BCN53" s="193"/>
      <c r="BCO53" s="193"/>
      <c r="BCP53" s="193"/>
      <c r="BCQ53" s="193"/>
      <c r="BCR53" s="193"/>
      <c r="BCS53" s="193"/>
      <c r="BCT53" s="193"/>
      <c r="BCU53" s="193"/>
      <c r="BCV53" s="193"/>
      <c r="BCW53" s="193"/>
      <c r="BCX53" s="193"/>
      <c r="BCY53" s="193"/>
      <c r="BCZ53" s="193"/>
      <c r="BDA53" s="193"/>
      <c r="BDB53" s="193"/>
      <c r="BDC53" s="193"/>
      <c r="BDD53" s="193"/>
      <c r="BDE53" s="193"/>
      <c r="BDF53" s="193"/>
      <c r="BDG53" s="193"/>
      <c r="BDH53" s="193"/>
      <c r="BDI53" s="193"/>
      <c r="BDJ53" s="193"/>
      <c r="BDK53" s="193"/>
      <c r="BDL53" s="193"/>
      <c r="BDM53" s="193"/>
      <c r="BDN53" s="193"/>
      <c r="BDO53" s="193"/>
      <c r="BDP53" s="193"/>
      <c r="BDQ53" s="193"/>
      <c r="BDR53" s="193"/>
      <c r="BDS53" s="193"/>
      <c r="BDT53" s="193"/>
      <c r="BDU53" s="193"/>
      <c r="BDV53" s="193"/>
      <c r="BDW53" s="193"/>
      <c r="BDX53" s="193"/>
      <c r="BDY53" s="193"/>
      <c r="BDZ53" s="193"/>
      <c r="BEA53" s="193"/>
      <c r="BEB53" s="193"/>
      <c r="BEC53" s="193"/>
      <c r="BED53" s="193"/>
      <c r="BEE53" s="193"/>
      <c r="BEF53" s="193"/>
      <c r="BEG53" s="193"/>
      <c r="BEH53" s="193"/>
      <c r="BEI53" s="193"/>
      <c r="BEJ53" s="193"/>
      <c r="BEK53" s="193"/>
      <c r="BEL53" s="193"/>
      <c r="BEM53" s="193"/>
      <c r="BEN53" s="193"/>
      <c r="BEO53" s="193"/>
      <c r="BEP53" s="193"/>
      <c r="BEQ53" s="193"/>
      <c r="BER53" s="193"/>
      <c r="BES53" s="193"/>
      <c r="BET53" s="193"/>
      <c r="BEU53" s="193"/>
      <c r="BEV53" s="193"/>
      <c r="BEW53" s="193"/>
      <c r="BEX53" s="193"/>
      <c r="BEY53" s="193"/>
      <c r="BEZ53" s="193"/>
      <c r="BFA53" s="193"/>
      <c r="BFB53" s="193"/>
      <c r="BFC53" s="193"/>
      <c r="BFD53" s="193"/>
      <c r="BFE53" s="193"/>
      <c r="BFF53" s="193"/>
      <c r="BFG53" s="193"/>
      <c r="BFH53" s="193"/>
      <c r="BFI53" s="193"/>
      <c r="BFJ53" s="193"/>
      <c r="BFK53" s="193"/>
      <c r="BFL53" s="193"/>
      <c r="BFM53" s="193"/>
      <c r="BFN53" s="193"/>
      <c r="BFO53" s="193"/>
      <c r="BFP53" s="193"/>
      <c r="BFQ53" s="193"/>
      <c r="BFR53" s="193"/>
      <c r="BFS53" s="193"/>
      <c r="BFT53" s="193"/>
      <c r="BFU53" s="193"/>
      <c r="BFV53" s="193"/>
      <c r="BFW53" s="193"/>
      <c r="BFX53" s="193"/>
      <c r="BFY53" s="193"/>
      <c r="BFZ53" s="193"/>
      <c r="BGA53" s="193"/>
      <c r="BGB53" s="193"/>
      <c r="BGC53" s="193"/>
      <c r="BGD53" s="193"/>
      <c r="BGE53" s="193"/>
      <c r="BGF53" s="193"/>
      <c r="BGG53" s="193"/>
      <c r="BGH53" s="193"/>
      <c r="BGI53" s="193"/>
      <c r="BGJ53" s="193"/>
      <c r="BGK53" s="193"/>
      <c r="BGL53" s="193"/>
      <c r="BGM53" s="193"/>
      <c r="BGN53" s="193"/>
      <c r="BGO53" s="193"/>
      <c r="BGP53" s="193"/>
      <c r="BGQ53" s="193"/>
      <c r="BGR53" s="193"/>
      <c r="BGS53" s="193"/>
      <c r="BGT53" s="193"/>
      <c r="BGU53" s="193"/>
      <c r="BGV53" s="193"/>
      <c r="BGW53" s="193"/>
      <c r="BGX53" s="193"/>
      <c r="BGY53" s="193"/>
      <c r="BGZ53" s="193"/>
      <c r="BHA53" s="193"/>
      <c r="BHB53" s="193"/>
      <c r="BHC53" s="193"/>
      <c r="BHD53" s="193"/>
      <c r="BHE53" s="193"/>
      <c r="BHF53" s="193"/>
      <c r="BHG53" s="193"/>
      <c r="BHH53" s="193"/>
      <c r="BHI53" s="193"/>
      <c r="BHJ53" s="193"/>
      <c r="BHK53" s="193"/>
      <c r="BHL53" s="193"/>
      <c r="BHM53" s="193"/>
      <c r="BHN53" s="193"/>
      <c r="BHO53" s="193"/>
      <c r="BHP53" s="193"/>
      <c r="BHQ53" s="193"/>
      <c r="BHR53" s="193"/>
      <c r="BHS53" s="193"/>
      <c r="BHT53" s="193"/>
      <c r="BHU53" s="193"/>
      <c r="BHV53" s="193"/>
      <c r="BHW53" s="193"/>
      <c r="BHX53" s="193"/>
      <c r="BHY53" s="193"/>
      <c r="BHZ53" s="193"/>
      <c r="BIA53" s="193"/>
      <c r="BIB53" s="193"/>
      <c r="BIC53" s="193"/>
      <c r="BID53" s="193"/>
      <c r="BIE53" s="193"/>
      <c r="BIF53" s="193"/>
      <c r="BIG53" s="193"/>
      <c r="BIH53" s="193"/>
      <c r="BII53" s="193"/>
      <c r="BIJ53" s="193"/>
      <c r="BIK53" s="193"/>
      <c r="BIL53" s="193"/>
      <c r="BIM53" s="193"/>
      <c r="BIN53" s="193"/>
      <c r="BIO53" s="193"/>
      <c r="BIP53" s="193"/>
      <c r="BIQ53" s="193"/>
      <c r="BIR53" s="193"/>
      <c r="BIS53" s="193"/>
      <c r="BIT53" s="193"/>
      <c r="BIU53" s="193"/>
      <c r="BIV53" s="193"/>
      <c r="BIW53" s="193"/>
      <c r="BIX53" s="193"/>
      <c r="BIY53" s="193"/>
      <c r="BIZ53" s="193"/>
      <c r="BJA53" s="193"/>
      <c r="BJB53" s="193"/>
      <c r="BJC53" s="193"/>
      <c r="BJD53" s="193"/>
      <c r="BJE53" s="193"/>
      <c r="BJF53" s="193"/>
      <c r="BJG53" s="193"/>
      <c r="BJH53" s="193"/>
      <c r="BJI53" s="193"/>
      <c r="BJJ53" s="193"/>
      <c r="BJK53" s="193"/>
      <c r="BJL53" s="193"/>
      <c r="BJM53" s="193"/>
      <c r="BJN53" s="193"/>
      <c r="BJO53" s="193"/>
      <c r="BJP53" s="193"/>
      <c r="BJQ53" s="193"/>
      <c r="BJR53" s="193"/>
      <c r="BJS53" s="193"/>
      <c r="BJT53" s="193"/>
      <c r="BJU53" s="193"/>
      <c r="BJV53" s="193"/>
      <c r="BJW53" s="193"/>
      <c r="BJX53" s="193"/>
      <c r="BJY53" s="193"/>
      <c r="BJZ53" s="193"/>
      <c r="BKA53" s="193"/>
      <c r="BKB53" s="193"/>
      <c r="BKC53" s="193"/>
      <c r="BKD53" s="193"/>
      <c r="BKE53" s="193"/>
      <c r="BKF53" s="193"/>
      <c r="BKG53" s="193"/>
      <c r="BKH53" s="193"/>
      <c r="BKI53" s="193"/>
      <c r="BKJ53" s="193"/>
      <c r="BKK53" s="193"/>
      <c r="BKL53" s="193"/>
      <c r="BKM53" s="193"/>
      <c r="BKN53" s="193"/>
      <c r="BKO53" s="193"/>
      <c r="BKP53" s="193"/>
      <c r="BKQ53" s="193"/>
      <c r="BKR53" s="193"/>
      <c r="BKS53" s="193"/>
      <c r="BKT53" s="193"/>
      <c r="BKU53" s="193"/>
      <c r="BKV53" s="193"/>
      <c r="BKW53" s="193"/>
      <c r="BKX53" s="193"/>
      <c r="BKY53" s="193"/>
      <c r="BKZ53" s="193"/>
      <c r="BLA53" s="193"/>
      <c r="BLB53" s="193"/>
      <c r="BLC53" s="193"/>
      <c r="BLD53" s="193"/>
      <c r="BLE53" s="193"/>
      <c r="BLF53" s="193"/>
      <c r="BLG53" s="193"/>
      <c r="BLH53" s="193"/>
      <c r="BLI53" s="193"/>
      <c r="BLJ53" s="193"/>
      <c r="BLK53" s="193"/>
      <c r="BLL53" s="193"/>
      <c r="BLM53" s="193"/>
      <c r="BLN53" s="193"/>
      <c r="BLO53" s="193"/>
      <c r="BLP53" s="193"/>
      <c r="BLQ53" s="193"/>
      <c r="BLR53" s="193"/>
      <c r="BLS53" s="193"/>
      <c r="BLT53" s="193"/>
      <c r="BLU53" s="193"/>
      <c r="BLV53" s="193"/>
      <c r="BLW53" s="193"/>
      <c r="BLX53" s="193"/>
      <c r="BLY53" s="193"/>
      <c r="BLZ53" s="193"/>
      <c r="BMA53" s="193"/>
      <c r="BMB53" s="193"/>
      <c r="BMC53" s="193"/>
      <c r="BMD53" s="193"/>
      <c r="BME53" s="193"/>
      <c r="BMF53" s="193"/>
      <c r="BMG53" s="193"/>
      <c r="BMH53" s="193"/>
      <c r="BMI53" s="193"/>
      <c r="BMJ53" s="193"/>
      <c r="BMK53" s="193"/>
      <c r="BML53" s="193"/>
      <c r="BMM53" s="193"/>
      <c r="BMN53" s="193"/>
      <c r="BMO53" s="193"/>
      <c r="BMP53" s="193"/>
      <c r="BMQ53" s="193"/>
      <c r="BMR53" s="193"/>
      <c r="BMS53" s="193"/>
      <c r="BMT53" s="193"/>
      <c r="BMU53" s="193"/>
      <c r="BMV53" s="193"/>
      <c r="BMW53" s="193"/>
      <c r="BMX53" s="193"/>
      <c r="BMY53" s="193"/>
      <c r="BMZ53" s="193"/>
      <c r="BNA53" s="193"/>
      <c r="BNB53" s="193"/>
      <c r="BNC53" s="193"/>
      <c r="BND53" s="193"/>
      <c r="BNE53" s="193"/>
      <c r="BNF53" s="193"/>
      <c r="BNG53" s="193"/>
      <c r="BNH53" s="193"/>
      <c r="BNI53" s="193"/>
      <c r="BNJ53" s="193"/>
      <c r="BNK53" s="193"/>
      <c r="BNL53" s="193"/>
      <c r="BNM53" s="193"/>
      <c r="BNN53" s="193"/>
      <c r="BNO53" s="193"/>
      <c r="BNP53" s="193"/>
      <c r="BNQ53" s="193"/>
      <c r="BNR53" s="193"/>
      <c r="BNS53" s="193"/>
      <c r="BNT53" s="193"/>
      <c r="BNU53" s="193"/>
      <c r="BNV53" s="193"/>
      <c r="BNW53" s="193"/>
      <c r="BNX53" s="193"/>
      <c r="BNY53" s="193"/>
      <c r="BNZ53" s="193"/>
      <c r="BOA53" s="193"/>
      <c r="BOB53" s="193"/>
      <c r="BOC53" s="193"/>
      <c r="BOD53" s="193"/>
      <c r="BOE53" s="193"/>
      <c r="BOF53" s="193"/>
      <c r="BOG53" s="193"/>
      <c r="BOH53" s="193"/>
      <c r="BOI53" s="193"/>
      <c r="BOJ53" s="193"/>
      <c r="BOK53" s="193"/>
      <c r="BOL53" s="193"/>
      <c r="BOM53" s="193"/>
      <c r="BON53" s="193"/>
      <c r="BOO53" s="193"/>
      <c r="BOP53" s="193"/>
      <c r="BOQ53" s="193"/>
      <c r="BOR53" s="193"/>
      <c r="BOS53" s="193"/>
      <c r="BOT53" s="193"/>
      <c r="BOU53" s="193"/>
      <c r="BOV53" s="193"/>
      <c r="BOW53" s="193"/>
      <c r="BOX53" s="193"/>
      <c r="BOY53" s="193"/>
      <c r="BOZ53" s="193"/>
      <c r="BPA53" s="193"/>
      <c r="BPB53" s="193"/>
      <c r="BPC53" s="193"/>
      <c r="BPD53" s="193"/>
      <c r="BPE53" s="193"/>
      <c r="BPF53" s="193"/>
      <c r="BPG53" s="193"/>
      <c r="BPH53" s="193"/>
      <c r="BPI53" s="193"/>
      <c r="BPJ53" s="193"/>
      <c r="BPK53" s="193"/>
      <c r="BPL53" s="193"/>
      <c r="BPM53" s="193"/>
      <c r="BPN53" s="193"/>
      <c r="BPO53" s="193"/>
      <c r="BPP53" s="193"/>
      <c r="BPQ53" s="193"/>
      <c r="BPR53" s="193"/>
      <c r="BPS53" s="193"/>
      <c r="BPT53" s="193"/>
      <c r="BPU53" s="193"/>
      <c r="BPV53" s="193"/>
      <c r="BPW53" s="193"/>
      <c r="BPX53" s="193"/>
      <c r="BPY53" s="193"/>
      <c r="BPZ53" s="193"/>
      <c r="BQA53" s="193"/>
      <c r="BQB53" s="193"/>
      <c r="BQC53" s="193"/>
      <c r="BQD53" s="193"/>
      <c r="BQE53" s="193"/>
      <c r="BQF53" s="193"/>
      <c r="BQG53" s="193"/>
      <c r="BQH53" s="193"/>
      <c r="BQI53" s="193"/>
      <c r="BQJ53" s="193"/>
      <c r="BQK53" s="193"/>
      <c r="BQL53" s="193"/>
      <c r="BQM53" s="193"/>
      <c r="BQN53" s="193"/>
      <c r="BQO53" s="193"/>
      <c r="BQP53" s="193"/>
      <c r="BQQ53" s="193"/>
      <c r="BQR53" s="193"/>
      <c r="BQS53" s="193"/>
      <c r="BQT53" s="193"/>
      <c r="BQU53" s="193"/>
      <c r="BQV53" s="193"/>
      <c r="BQW53" s="193"/>
      <c r="BQX53" s="193"/>
      <c r="BQY53" s="193"/>
      <c r="BQZ53" s="193"/>
      <c r="BRA53" s="193"/>
      <c r="BRB53" s="193"/>
      <c r="BRC53" s="193"/>
      <c r="BRD53" s="193"/>
      <c r="BRE53" s="193"/>
      <c r="BRF53" s="193"/>
      <c r="BRG53" s="193"/>
      <c r="BRH53" s="193"/>
      <c r="BRI53" s="193"/>
      <c r="BRJ53" s="193"/>
      <c r="BRK53" s="193"/>
      <c r="BRL53" s="193"/>
      <c r="BRM53" s="193"/>
      <c r="BRN53" s="193"/>
      <c r="BRO53" s="193"/>
      <c r="BRP53" s="193"/>
      <c r="BRQ53" s="193"/>
      <c r="BRR53" s="193"/>
      <c r="BRS53" s="193"/>
      <c r="BRT53" s="193"/>
      <c r="BRU53" s="193"/>
      <c r="BRV53" s="193"/>
      <c r="BRW53" s="193"/>
      <c r="BRX53" s="193"/>
      <c r="BRY53" s="193"/>
      <c r="BRZ53" s="193"/>
      <c r="BSA53" s="193"/>
      <c r="BSB53" s="193"/>
      <c r="BSC53" s="193"/>
      <c r="BSD53" s="193"/>
      <c r="BSE53" s="193"/>
      <c r="BSF53" s="193"/>
      <c r="BSG53" s="193"/>
      <c r="BSH53" s="193"/>
      <c r="BSI53" s="193"/>
      <c r="BSJ53" s="193"/>
      <c r="BSK53" s="193"/>
      <c r="BSL53" s="193"/>
      <c r="BSM53" s="193"/>
      <c r="BSN53" s="193"/>
      <c r="BSO53" s="193"/>
      <c r="BSP53" s="193"/>
      <c r="BSQ53" s="193"/>
      <c r="BSR53" s="193"/>
      <c r="BSS53" s="193"/>
      <c r="BST53" s="193"/>
      <c r="BSU53" s="193"/>
      <c r="BSV53" s="193"/>
      <c r="BSW53" s="193"/>
      <c r="BSX53" s="193"/>
      <c r="BSY53" s="193"/>
      <c r="BSZ53" s="193"/>
      <c r="BTA53" s="193"/>
      <c r="BTB53" s="193"/>
      <c r="BTC53" s="193"/>
      <c r="BTD53" s="193"/>
      <c r="BTE53" s="193"/>
      <c r="BTF53" s="193"/>
      <c r="BTG53" s="193"/>
      <c r="BTH53" s="193"/>
      <c r="BTI53" s="193"/>
      <c r="BTJ53" s="193"/>
      <c r="BTK53" s="193"/>
      <c r="BTL53" s="193"/>
      <c r="BTM53" s="193"/>
      <c r="BTN53" s="193"/>
      <c r="BTO53" s="193"/>
      <c r="BTP53" s="193"/>
      <c r="BTQ53" s="193"/>
      <c r="BTR53" s="193"/>
      <c r="BTS53" s="193"/>
      <c r="BTT53" s="193"/>
      <c r="BTU53" s="193"/>
      <c r="BTV53" s="193"/>
      <c r="BTW53" s="193"/>
      <c r="BTX53" s="193"/>
      <c r="BTY53" s="193"/>
      <c r="BTZ53" s="193"/>
      <c r="BUA53" s="193"/>
      <c r="BUB53" s="193"/>
      <c r="BUC53" s="193"/>
      <c r="BUD53" s="193"/>
      <c r="BUE53" s="193"/>
      <c r="BUF53" s="193"/>
      <c r="BUG53" s="193"/>
      <c r="BUH53" s="193"/>
      <c r="BUI53" s="193"/>
      <c r="BUJ53" s="193"/>
      <c r="BUK53" s="193"/>
      <c r="BUL53" s="193"/>
      <c r="BUM53" s="193"/>
      <c r="BUN53" s="193"/>
      <c r="BUO53" s="193"/>
      <c r="BUP53" s="193"/>
      <c r="BUQ53" s="193"/>
      <c r="BUR53" s="193"/>
      <c r="BUS53" s="193"/>
      <c r="BUT53" s="193"/>
      <c r="BUU53" s="193"/>
      <c r="BUV53" s="193"/>
      <c r="BUW53" s="193"/>
      <c r="BUX53" s="193"/>
      <c r="BUY53" s="193"/>
      <c r="BUZ53" s="193"/>
      <c r="BVA53" s="193"/>
      <c r="BVB53" s="193"/>
      <c r="BVC53" s="193"/>
      <c r="BVD53" s="193"/>
      <c r="BVE53" s="193"/>
      <c r="BVF53" s="193"/>
      <c r="BVG53" s="193"/>
      <c r="BVH53" s="193"/>
      <c r="BVI53" s="193"/>
      <c r="BVJ53" s="193"/>
      <c r="BVK53" s="193"/>
      <c r="BVL53" s="193"/>
      <c r="BVM53" s="193"/>
      <c r="BVN53" s="193"/>
      <c r="BVO53" s="193"/>
      <c r="BVP53" s="193"/>
      <c r="BVQ53" s="193"/>
      <c r="BVR53" s="193"/>
      <c r="BVS53" s="193"/>
      <c r="BVT53" s="193"/>
      <c r="BVU53" s="193"/>
      <c r="BVV53" s="193"/>
      <c r="BVW53" s="193"/>
      <c r="BVX53" s="193"/>
      <c r="BVY53" s="193"/>
      <c r="BVZ53" s="193"/>
      <c r="BWA53" s="193"/>
      <c r="BWB53" s="193"/>
      <c r="BWC53" s="193"/>
      <c r="BWD53" s="193"/>
      <c r="BWE53" s="193"/>
      <c r="BWF53" s="193"/>
      <c r="BWG53" s="193"/>
      <c r="BWH53" s="193"/>
      <c r="BWI53" s="193"/>
      <c r="BWJ53" s="193"/>
      <c r="BWK53" s="193"/>
      <c r="BWL53" s="193"/>
      <c r="BWM53" s="193"/>
      <c r="BWN53" s="193"/>
      <c r="BWO53" s="193"/>
      <c r="BWP53" s="193"/>
      <c r="BWQ53" s="193"/>
      <c r="BWR53" s="193"/>
      <c r="BWS53" s="193"/>
      <c r="BWT53" s="193"/>
      <c r="BWU53" s="193"/>
      <c r="BWV53" s="193"/>
      <c r="BWW53" s="193"/>
      <c r="BWX53" s="193"/>
      <c r="BWY53" s="193"/>
      <c r="BWZ53" s="193"/>
      <c r="BXA53" s="193"/>
      <c r="BXB53" s="193"/>
      <c r="BXC53" s="193"/>
      <c r="BXD53" s="193"/>
      <c r="BXE53" s="193"/>
      <c r="BXF53" s="193"/>
      <c r="BXG53" s="193"/>
      <c r="BXH53" s="193"/>
      <c r="BXI53" s="193"/>
      <c r="BXJ53" s="193"/>
      <c r="BXK53" s="193"/>
      <c r="BXL53" s="193"/>
      <c r="BXM53" s="193"/>
      <c r="BXN53" s="193"/>
      <c r="BXO53" s="193"/>
      <c r="BXP53" s="193"/>
      <c r="BXQ53" s="193"/>
      <c r="BXR53" s="193"/>
      <c r="BXS53" s="193"/>
      <c r="BXT53" s="193"/>
      <c r="BXU53" s="193"/>
      <c r="BXV53" s="193"/>
      <c r="BXW53" s="193"/>
      <c r="BXX53" s="193"/>
      <c r="BXY53" s="193"/>
      <c r="BXZ53" s="193"/>
      <c r="BYA53" s="193"/>
      <c r="BYB53" s="193"/>
      <c r="BYC53" s="193"/>
      <c r="BYD53" s="193"/>
      <c r="BYE53" s="193"/>
      <c r="BYF53" s="193"/>
      <c r="BYG53" s="193"/>
      <c r="BYH53" s="193"/>
      <c r="BYI53" s="193"/>
      <c r="BYJ53" s="193"/>
      <c r="BYK53" s="193"/>
      <c r="BYL53" s="193"/>
      <c r="BYM53" s="193"/>
      <c r="BYN53" s="193"/>
      <c r="BYO53" s="193"/>
      <c r="BYP53" s="193"/>
      <c r="BYQ53" s="193"/>
      <c r="BYR53" s="193"/>
      <c r="BYS53" s="193"/>
      <c r="BYT53" s="193"/>
      <c r="BYU53" s="193"/>
      <c r="BYV53" s="193"/>
      <c r="BYW53" s="193"/>
      <c r="BYX53" s="193"/>
      <c r="BYY53" s="193"/>
      <c r="BYZ53" s="193"/>
      <c r="BZA53" s="193"/>
      <c r="BZB53" s="193"/>
      <c r="BZC53" s="193"/>
      <c r="BZD53" s="193"/>
      <c r="BZE53" s="193"/>
      <c r="BZF53" s="193"/>
      <c r="BZG53" s="193"/>
      <c r="BZH53" s="193"/>
      <c r="BZI53" s="193"/>
      <c r="BZJ53" s="193"/>
      <c r="BZK53" s="193"/>
      <c r="BZL53" s="193"/>
      <c r="BZM53" s="193"/>
      <c r="BZN53" s="193"/>
      <c r="BZO53" s="193"/>
      <c r="BZP53" s="193"/>
      <c r="BZQ53" s="193"/>
      <c r="BZR53" s="193"/>
      <c r="BZS53" s="193"/>
      <c r="BZT53" s="193"/>
      <c r="BZU53" s="193"/>
      <c r="BZV53" s="193"/>
      <c r="BZW53" s="193"/>
      <c r="BZX53" s="193"/>
      <c r="BZY53" s="193"/>
      <c r="BZZ53" s="193"/>
      <c r="CAA53" s="193"/>
      <c r="CAB53" s="193"/>
      <c r="CAC53" s="193"/>
      <c r="CAD53" s="193"/>
      <c r="CAE53" s="193"/>
      <c r="CAF53" s="193"/>
      <c r="CAG53" s="193"/>
      <c r="CAH53" s="193"/>
      <c r="CAI53" s="193"/>
      <c r="CAJ53" s="193"/>
      <c r="CAK53" s="193"/>
      <c r="CAL53" s="193"/>
      <c r="CAM53" s="193"/>
      <c r="CAN53" s="193"/>
      <c r="CAO53" s="193"/>
      <c r="CAP53" s="193"/>
      <c r="CAQ53" s="193"/>
      <c r="CAR53" s="193"/>
      <c r="CAS53" s="193"/>
      <c r="CAT53" s="193"/>
      <c r="CAU53" s="193"/>
      <c r="CAV53" s="193"/>
      <c r="CAW53" s="193"/>
      <c r="CAX53" s="193"/>
      <c r="CAY53" s="193"/>
      <c r="CAZ53" s="193"/>
      <c r="CBA53" s="193"/>
      <c r="CBB53" s="193"/>
      <c r="CBC53" s="193"/>
      <c r="CBD53" s="193"/>
      <c r="CBE53" s="193"/>
      <c r="CBF53" s="193"/>
      <c r="CBG53" s="193"/>
      <c r="CBH53" s="193"/>
      <c r="CBI53" s="193"/>
      <c r="CBJ53" s="193"/>
      <c r="CBK53" s="193"/>
      <c r="CBL53" s="193"/>
      <c r="CBM53" s="193"/>
      <c r="CBN53" s="193"/>
      <c r="CBO53" s="193"/>
      <c r="CBP53" s="193"/>
      <c r="CBQ53" s="193"/>
      <c r="CBR53" s="193"/>
      <c r="CBS53" s="193"/>
      <c r="CBT53" s="193"/>
      <c r="CBU53" s="193"/>
      <c r="CBV53" s="193"/>
      <c r="CBW53" s="193"/>
      <c r="CBX53" s="193"/>
      <c r="CBY53" s="193"/>
      <c r="CBZ53" s="193"/>
      <c r="CCA53" s="193"/>
      <c r="CCB53" s="193"/>
      <c r="CCC53" s="193"/>
      <c r="CCD53" s="193"/>
      <c r="CCE53" s="193"/>
      <c r="CCF53" s="193"/>
      <c r="CCG53" s="193"/>
      <c r="CCH53" s="193"/>
      <c r="CCI53" s="193"/>
      <c r="CCJ53" s="193"/>
      <c r="CCK53" s="193"/>
      <c r="CCL53" s="193"/>
      <c r="CCM53" s="193"/>
      <c r="CCN53" s="193"/>
      <c r="CCO53" s="193"/>
      <c r="CCP53" s="193"/>
      <c r="CCQ53" s="193"/>
      <c r="CCR53" s="193"/>
      <c r="CCS53" s="193"/>
      <c r="CCT53" s="193"/>
      <c r="CCU53" s="193"/>
      <c r="CCV53" s="193"/>
      <c r="CCW53" s="193"/>
      <c r="CCX53" s="193"/>
      <c r="CCY53" s="193"/>
      <c r="CCZ53" s="193"/>
      <c r="CDA53" s="193"/>
      <c r="CDB53" s="193"/>
      <c r="CDC53" s="193"/>
      <c r="CDD53" s="193"/>
      <c r="CDE53" s="193"/>
      <c r="CDF53" s="193"/>
      <c r="CDG53" s="193"/>
      <c r="CDH53" s="193"/>
      <c r="CDI53" s="193"/>
      <c r="CDJ53" s="193"/>
      <c r="CDK53" s="193"/>
      <c r="CDL53" s="193"/>
      <c r="CDM53" s="193"/>
      <c r="CDN53" s="193"/>
      <c r="CDO53" s="193"/>
      <c r="CDP53" s="193"/>
      <c r="CDQ53" s="193"/>
      <c r="CDR53" s="193"/>
      <c r="CDS53" s="193"/>
      <c r="CDT53" s="193"/>
      <c r="CDU53" s="193"/>
      <c r="CDV53" s="193"/>
      <c r="CDW53" s="193"/>
      <c r="CDX53" s="193"/>
      <c r="CDY53" s="193"/>
      <c r="CDZ53" s="193"/>
      <c r="CEA53" s="193"/>
      <c r="CEB53" s="193"/>
      <c r="CEC53" s="193"/>
      <c r="CED53" s="193"/>
      <c r="CEE53" s="193"/>
      <c r="CEF53" s="193"/>
      <c r="CEG53" s="193"/>
      <c r="CEH53" s="193"/>
      <c r="CEI53" s="193"/>
      <c r="CEJ53" s="193"/>
      <c r="CEK53" s="193"/>
      <c r="CEL53" s="193"/>
      <c r="CEM53" s="193"/>
      <c r="CEN53" s="193"/>
      <c r="CEO53" s="193"/>
      <c r="CEP53" s="193"/>
      <c r="CEQ53" s="193"/>
      <c r="CER53" s="193"/>
      <c r="CES53" s="193"/>
      <c r="CET53" s="193"/>
      <c r="CEU53" s="193"/>
      <c r="CEV53" s="193"/>
      <c r="CEW53" s="193"/>
      <c r="CEX53" s="193"/>
      <c r="CEY53" s="193"/>
      <c r="CEZ53" s="193"/>
      <c r="CFA53" s="193"/>
      <c r="CFB53" s="193"/>
      <c r="CFC53" s="193"/>
      <c r="CFD53" s="193"/>
      <c r="CFE53" s="193"/>
      <c r="CFF53" s="193"/>
      <c r="CFG53" s="193"/>
      <c r="CFH53" s="193"/>
      <c r="CFI53" s="193"/>
      <c r="CFJ53" s="193"/>
      <c r="CFK53" s="193"/>
      <c r="CFL53" s="193"/>
      <c r="CFM53" s="193"/>
      <c r="CFN53" s="193"/>
      <c r="CFO53" s="193"/>
      <c r="CFP53" s="193"/>
      <c r="CFQ53" s="193"/>
      <c r="CFR53" s="193"/>
      <c r="CFS53" s="193"/>
      <c r="CFT53" s="193"/>
      <c r="CFU53" s="193"/>
      <c r="CFV53" s="193"/>
      <c r="CFW53" s="193"/>
      <c r="CFX53" s="193"/>
      <c r="CFY53" s="193"/>
      <c r="CFZ53" s="193"/>
      <c r="CGA53" s="193"/>
      <c r="CGB53" s="193"/>
      <c r="CGC53" s="193"/>
      <c r="CGD53" s="193"/>
      <c r="CGE53" s="193"/>
      <c r="CGF53" s="193"/>
      <c r="CGG53" s="193"/>
      <c r="CGH53" s="193"/>
      <c r="CGI53" s="193"/>
      <c r="CGJ53" s="193"/>
      <c r="CGK53" s="193"/>
      <c r="CGL53" s="193"/>
      <c r="CGM53" s="193"/>
      <c r="CGN53" s="193"/>
      <c r="CGO53" s="193"/>
      <c r="CGP53" s="193"/>
      <c r="CGQ53" s="193"/>
      <c r="CGR53" s="193"/>
      <c r="CGS53" s="193"/>
      <c r="CGT53" s="193"/>
      <c r="CGU53" s="193"/>
      <c r="CGV53" s="193"/>
      <c r="CGW53" s="193"/>
      <c r="CGX53" s="193"/>
      <c r="CGY53" s="193"/>
      <c r="CGZ53" s="193"/>
      <c r="CHA53" s="193"/>
      <c r="CHB53" s="193"/>
      <c r="CHC53" s="193"/>
      <c r="CHD53" s="193"/>
      <c r="CHE53" s="193"/>
      <c r="CHF53" s="193"/>
      <c r="CHG53" s="193"/>
      <c r="CHH53" s="193"/>
      <c r="CHI53" s="193"/>
      <c r="CHJ53" s="193"/>
      <c r="CHK53" s="193"/>
      <c r="CHL53" s="193"/>
      <c r="CHM53" s="193"/>
      <c r="CHN53" s="193"/>
      <c r="CHO53" s="193"/>
      <c r="CHP53" s="193"/>
      <c r="CHQ53" s="193"/>
      <c r="CHR53" s="193"/>
      <c r="CHS53" s="193"/>
      <c r="CHT53" s="193"/>
      <c r="CHU53" s="193"/>
      <c r="CHV53" s="193"/>
      <c r="CHW53" s="193"/>
      <c r="CHX53" s="193"/>
      <c r="CHY53" s="193"/>
      <c r="CHZ53" s="193"/>
      <c r="CIA53" s="193"/>
      <c r="CIB53" s="193"/>
      <c r="CIC53" s="193"/>
      <c r="CID53" s="193"/>
      <c r="CIE53" s="193"/>
      <c r="CIF53" s="193"/>
      <c r="CIG53" s="193"/>
      <c r="CIH53" s="193"/>
      <c r="CII53" s="193"/>
      <c r="CIJ53" s="193"/>
      <c r="CIK53" s="193"/>
      <c r="CIL53" s="193"/>
      <c r="CIM53" s="193"/>
      <c r="CIN53" s="193"/>
      <c r="CIO53" s="193"/>
      <c r="CIP53" s="193"/>
      <c r="CIQ53" s="193"/>
      <c r="CIR53" s="193"/>
      <c r="CIS53" s="193"/>
      <c r="CIT53" s="193"/>
      <c r="CIU53" s="193"/>
      <c r="CIV53" s="193"/>
      <c r="CIW53" s="193"/>
      <c r="CIX53" s="193"/>
      <c r="CIY53" s="193"/>
      <c r="CIZ53" s="193"/>
      <c r="CJA53" s="193"/>
      <c r="CJB53" s="193"/>
      <c r="CJC53" s="193"/>
      <c r="CJD53" s="193"/>
      <c r="CJE53" s="193"/>
      <c r="CJF53" s="193"/>
      <c r="CJG53" s="193"/>
      <c r="CJH53" s="193"/>
      <c r="CJI53" s="193"/>
      <c r="CJJ53" s="193"/>
      <c r="CJK53" s="193"/>
      <c r="CJL53" s="193"/>
      <c r="CJM53" s="193"/>
      <c r="CJN53" s="193"/>
      <c r="CJO53" s="193"/>
      <c r="CJP53" s="193"/>
      <c r="CJQ53" s="193"/>
      <c r="CJR53" s="193"/>
      <c r="CJS53" s="193"/>
      <c r="CJT53" s="193"/>
      <c r="CJU53" s="193"/>
      <c r="CJV53" s="193"/>
      <c r="CJW53" s="193"/>
      <c r="CJX53" s="193"/>
      <c r="CJY53" s="193"/>
      <c r="CJZ53" s="193"/>
      <c r="CKA53" s="193"/>
      <c r="CKB53" s="193"/>
      <c r="CKC53" s="193"/>
      <c r="CKD53" s="193"/>
      <c r="CKE53" s="193"/>
      <c r="CKF53" s="193"/>
      <c r="CKG53" s="193"/>
      <c r="CKH53" s="193"/>
      <c r="CKI53" s="193"/>
      <c r="CKJ53" s="193"/>
      <c r="CKK53" s="193"/>
      <c r="CKL53" s="193"/>
      <c r="CKM53" s="193"/>
      <c r="CKN53" s="193"/>
      <c r="CKO53" s="193"/>
      <c r="CKP53" s="193"/>
      <c r="CKQ53" s="193"/>
      <c r="CKR53" s="193"/>
      <c r="CKS53" s="193"/>
      <c r="CKT53" s="193"/>
      <c r="CKU53" s="193"/>
      <c r="CKV53" s="193"/>
      <c r="CKW53" s="193"/>
      <c r="CKX53" s="193"/>
      <c r="CKY53" s="193"/>
      <c r="CKZ53" s="193"/>
      <c r="CLA53" s="193"/>
      <c r="CLB53" s="193"/>
      <c r="CLC53" s="193"/>
      <c r="CLD53" s="193"/>
      <c r="CLE53" s="193"/>
      <c r="CLF53" s="193"/>
      <c r="CLG53" s="193"/>
      <c r="CLH53" s="193"/>
      <c r="CLI53" s="193"/>
      <c r="CLJ53" s="193"/>
      <c r="CLK53" s="193"/>
      <c r="CLL53" s="193"/>
      <c r="CLM53" s="193"/>
      <c r="CLN53" s="193"/>
      <c r="CLO53" s="193"/>
      <c r="CLP53" s="193"/>
      <c r="CLQ53" s="193"/>
      <c r="CLR53" s="193"/>
      <c r="CLS53" s="193"/>
      <c r="CLT53" s="193"/>
      <c r="CLU53" s="193"/>
      <c r="CLV53" s="193"/>
      <c r="CLW53" s="193"/>
      <c r="CLX53" s="193"/>
      <c r="CLY53" s="193"/>
      <c r="CLZ53" s="193"/>
      <c r="CMA53" s="193"/>
      <c r="CMB53" s="193"/>
      <c r="CMC53" s="193"/>
      <c r="CMD53" s="193"/>
      <c r="CME53" s="193"/>
      <c r="CMF53" s="193"/>
      <c r="CMG53" s="193"/>
      <c r="CMH53" s="193"/>
      <c r="CMI53" s="193"/>
      <c r="CMJ53" s="193"/>
      <c r="CMK53" s="193"/>
      <c r="CML53" s="193"/>
      <c r="CMM53" s="193"/>
      <c r="CMN53" s="193"/>
      <c r="CMO53" s="193"/>
      <c r="CMP53" s="193"/>
      <c r="CMQ53" s="193"/>
      <c r="CMR53" s="193"/>
      <c r="CMS53" s="193"/>
      <c r="CMT53" s="193"/>
      <c r="CMU53" s="193"/>
      <c r="CMV53" s="193"/>
      <c r="CMW53" s="193"/>
      <c r="CMX53" s="193"/>
      <c r="CMY53" s="193"/>
      <c r="CMZ53" s="193"/>
      <c r="CNA53" s="193"/>
      <c r="CNB53" s="193"/>
      <c r="CNC53" s="193"/>
      <c r="CND53" s="193"/>
      <c r="CNE53" s="193"/>
      <c r="CNF53" s="193"/>
      <c r="CNG53" s="193"/>
      <c r="CNH53" s="193"/>
      <c r="CNI53" s="193"/>
      <c r="CNJ53" s="193"/>
      <c r="CNK53" s="193"/>
      <c r="CNL53" s="193"/>
      <c r="CNM53" s="193"/>
      <c r="CNN53" s="193"/>
      <c r="CNO53" s="193"/>
      <c r="CNP53" s="193"/>
      <c r="CNQ53" s="193"/>
      <c r="CNR53" s="193"/>
      <c r="CNS53" s="193"/>
      <c r="CNT53" s="193"/>
      <c r="CNU53" s="193"/>
      <c r="CNV53" s="193"/>
      <c r="CNW53" s="193"/>
      <c r="CNX53" s="193"/>
      <c r="CNY53" s="193"/>
      <c r="CNZ53" s="193"/>
      <c r="COA53" s="193"/>
      <c r="COB53" s="193"/>
      <c r="COC53" s="193"/>
      <c r="COD53" s="193"/>
      <c r="COE53" s="193"/>
      <c r="COF53" s="193"/>
      <c r="COG53" s="193"/>
      <c r="COH53" s="193"/>
      <c r="COI53" s="193"/>
      <c r="COJ53" s="193"/>
      <c r="COK53" s="193"/>
      <c r="COL53" s="193"/>
      <c r="COM53" s="193"/>
      <c r="CON53" s="193"/>
      <c r="COO53" s="193"/>
      <c r="COP53" s="193"/>
      <c r="COQ53" s="193"/>
      <c r="COR53" s="193"/>
      <c r="COS53" s="193"/>
      <c r="COT53" s="193"/>
      <c r="COU53" s="193"/>
      <c r="COV53" s="193"/>
      <c r="COW53" s="193"/>
      <c r="COX53" s="193"/>
      <c r="COY53" s="193"/>
      <c r="COZ53" s="193"/>
      <c r="CPA53" s="193"/>
      <c r="CPB53" s="193"/>
      <c r="CPC53" s="193"/>
      <c r="CPD53" s="193"/>
      <c r="CPE53" s="193"/>
      <c r="CPF53" s="193"/>
      <c r="CPG53" s="193"/>
      <c r="CPH53" s="193"/>
      <c r="CPI53" s="193"/>
      <c r="CPJ53" s="193"/>
      <c r="CPK53" s="193"/>
      <c r="CPL53" s="193"/>
      <c r="CPM53" s="193"/>
      <c r="CPN53" s="193"/>
      <c r="CPO53" s="193"/>
      <c r="CPP53" s="193"/>
      <c r="CPQ53" s="193"/>
      <c r="CPR53" s="193"/>
      <c r="CPS53" s="193"/>
      <c r="CPT53" s="193"/>
      <c r="CPU53" s="193"/>
      <c r="CPV53" s="193"/>
      <c r="CPW53" s="193"/>
      <c r="CPX53" s="193"/>
      <c r="CPY53" s="193"/>
      <c r="CPZ53" s="193"/>
      <c r="CQA53" s="193"/>
      <c r="CQB53" s="193"/>
      <c r="CQC53" s="193"/>
      <c r="CQD53" s="193"/>
      <c r="CQE53" s="193"/>
      <c r="CQF53" s="193"/>
      <c r="CQG53" s="193"/>
      <c r="CQH53" s="193"/>
      <c r="CQI53" s="193"/>
      <c r="CQJ53" s="193"/>
      <c r="CQK53" s="193"/>
      <c r="CQL53" s="193"/>
      <c r="CQM53" s="193"/>
      <c r="CQN53" s="193"/>
      <c r="CQO53" s="193"/>
      <c r="CQP53" s="193"/>
      <c r="CQQ53" s="193"/>
      <c r="CQR53" s="193"/>
      <c r="CQS53" s="193"/>
      <c r="CQT53" s="193"/>
      <c r="CQU53" s="193"/>
      <c r="CQV53" s="193"/>
      <c r="CQW53" s="193"/>
      <c r="CQX53" s="193"/>
      <c r="CQY53" s="193"/>
      <c r="CQZ53" s="193"/>
      <c r="CRA53" s="193"/>
      <c r="CRB53" s="193"/>
      <c r="CRC53" s="193"/>
      <c r="CRD53" s="193"/>
      <c r="CRE53" s="193"/>
      <c r="CRF53" s="193"/>
      <c r="CRG53" s="193"/>
      <c r="CRH53" s="193"/>
      <c r="CRI53" s="193"/>
      <c r="CRJ53" s="193"/>
      <c r="CRK53" s="193"/>
      <c r="CRL53" s="193"/>
      <c r="CRM53" s="193"/>
      <c r="CRN53" s="193"/>
      <c r="CRO53" s="193"/>
      <c r="CRP53" s="193"/>
      <c r="CRQ53" s="193"/>
      <c r="CRR53" s="193"/>
      <c r="CRS53" s="193"/>
      <c r="CRT53" s="193"/>
      <c r="CRU53" s="193"/>
      <c r="CRV53" s="193"/>
      <c r="CRW53" s="193"/>
      <c r="CRX53" s="193"/>
      <c r="CRY53" s="193"/>
      <c r="CRZ53" s="193"/>
      <c r="CSA53" s="193"/>
      <c r="CSB53" s="193"/>
      <c r="CSC53" s="193"/>
      <c r="CSD53" s="193"/>
      <c r="CSE53" s="193"/>
      <c r="CSF53" s="193"/>
      <c r="CSG53" s="193"/>
      <c r="CSH53" s="193"/>
      <c r="CSI53" s="193"/>
      <c r="CSJ53" s="193"/>
      <c r="CSK53" s="193"/>
      <c r="CSL53" s="193"/>
      <c r="CSM53" s="193"/>
      <c r="CSN53" s="193"/>
      <c r="CSO53" s="193"/>
      <c r="CSP53" s="193"/>
      <c r="CSQ53" s="193"/>
      <c r="CSR53" s="193"/>
      <c r="CSS53" s="193"/>
      <c r="CST53" s="193"/>
      <c r="CSU53" s="193"/>
      <c r="CSV53" s="193"/>
      <c r="CSW53" s="193"/>
      <c r="CSX53" s="193"/>
      <c r="CSY53" s="193"/>
      <c r="CSZ53" s="193"/>
      <c r="CTA53" s="193"/>
      <c r="CTB53" s="193"/>
      <c r="CTC53" s="193"/>
      <c r="CTD53" s="193"/>
      <c r="CTE53" s="193"/>
      <c r="CTF53" s="193"/>
      <c r="CTG53" s="193"/>
      <c r="CTH53" s="193"/>
      <c r="CTI53" s="193"/>
      <c r="CTJ53" s="193"/>
      <c r="CTK53" s="193"/>
      <c r="CTL53" s="193"/>
      <c r="CTM53" s="193"/>
      <c r="CTN53" s="193"/>
      <c r="CTO53" s="193"/>
      <c r="CTP53" s="193"/>
      <c r="CTQ53" s="193"/>
      <c r="CTR53" s="193"/>
      <c r="CTS53" s="193"/>
      <c r="CTT53" s="193"/>
      <c r="CTU53" s="193"/>
      <c r="CTV53" s="193"/>
      <c r="CTW53" s="193"/>
      <c r="CTX53" s="193"/>
      <c r="CTY53" s="193"/>
      <c r="CTZ53" s="193"/>
      <c r="CUA53" s="193"/>
      <c r="CUB53" s="193"/>
      <c r="CUC53" s="193"/>
      <c r="CUD53" s="193"/>
      <c r="CUE53" s="193"/>
      <c r="CUF53" s="193"/>
      <c r="CUG53" s="193"/>
      <c r="CUH53" s="193"/>
      <c r="CUI53" s="193"/>
      <c r="CUJ53" s="193"/>
      <c r="CUK53" s="193"/>
      <c r="CUL53" s="193"/>
      <c r="CUM53" s="193"/>
      <c r="CUN53" s="193"/>
      <c r="CUO53" s="193"/>
      <c r="CUP53" s="193"/>
      <c r="CUQ53" s="193"/>
      <c r="CUR53" s="193"/>
      <c r="CUS53" s="193"/>
      <c r="CUT53" s="193"/>
      <c r="CUU53" s="193"/>
      <c r="CUV53" s="193"/>
      <c r="CUW53" s="193"/>
      <c r="CUX53" s="193"/>
      <c r="CUY53" s="193"/>
      <c r="CUZ53" s="193"/>
      <c r="CVA53" s="193"/>
      <c r="CVB53" s="193"/>
      <c r="CVC53" s="193"/>
      <c r="CVD53" s="193"/>
      <c r="CVE53" s="193"/>
      <c r="CVF53" s="193"/>
      <c r="CVG53" s="193"/>
      <c r="CVH53" s="193"/>
      <c r="CVI53" s="193"/>
      <c r="CVJ53" s="193"/>
      <c r="CVK53" s="193"/>
      <c r="CVL53" s="193"/>
      <c r="CVM53" s="193"/>
      <c r="CVN53" s="193"/>
      <c r="CVO53" s="193"/>
      <c r="CVP53" s="193"/>
      <c r="CVQ53" s="193"/>
      <c r="CVR53" s="193"/>
      <c r="CVS53" s="193"/>
      <c r="CVT53" s="193"/>
      <c r="CVU53" s="193"/>
      <c r="CVV53" s="193"/>
      <c r="CVW53" s="193"/>
      <c r="CVX53" s="193"/>
      <c r="CVY53" s="193"/>
      <c r="CVZ53" s="193"/>
      <c r="CWA53" s="193"/>
      <c r="CWB53" s="193"/>
      <c r="CWC53" s="193"/>
      <c r="CWD53" s="193"/>
      <c r="CWE53" s="193"/>
      <c r="CWF53" s="193"/>
      <c r="CWG53" s="193"/>
      <c r="CWH53" s="193"/>
      <c r="CWI53" s="193"/>
      <c r="CWJ53" s="193"/>
      <c r="CWK53" s="193"/>
      <c r="CWL53" s="193"/>
      <c r="CWM53" s="193"/>
      <c r="CWN53" s="193"/>
      <c r="CWO53" s="193"/>
      <c r="CWP53" s="193"/>
      <c r="CWQ53" s="193"/>
      <c r="CWR53" s="193"/>
      <c r="CWS53" s="193"/>
      <c r="CWT53" s="193"/>
      <c r="CWU53" s="193"/>
      <c r="CWV53" s="193"/>
      <c r="CWW53" s="193"/>
      <c r="CWX53" s="193"/>
      <c r="CWY53" s="193"/>
      <c r="CWZ53" s="193"/>
      <c r="CXA53" s="193"/>
      <c r="CXB53" s="193"/>
      <c r="CXC53" s="193"/>
      <c r="CXD53" s="193"/>
      <c r="CXE53" s="193"/>
      <c r="CXF53" s="193"/>
      <c r="CXG53" s="193"/>
      <c r="CXH53" s="193"/>
      <c r="CXI53" s="193"/>
      <c r="CXJ53" s="193"/>
      <c r="CXK53" s="193"/>
      <c r="CXL53" s="193"/>
      <c r="CXM53" s="193"/>
      <c r="CXN53" s="193"/>
      <c r="CXO53" s="193"/>
      <c r="CXP53" s="193"/>
      <c r="CXQ53" s="193"/>
      <c r="CXR53" s="193"/>
      <c r="CXS53" s="193"/>
      <c r="CXT53" s="193"/>
      <c r="CXU53" s="193"/>
      <c r="CXV53" s="193"/>
      <c r="CXW53" s="193"/>
      <c r="CXX53" s="193"/>
      <c r="CXY53" s="193"/>
      <c r="CXZ53" s="193"/>
      <c r="CYA53" s="193"/>
      <c r="CYB53" s="193"/>
      <c r="CYC53" s="193"/>
      <c r="CYD53" s="193"/>
      <c r="CYE53" s="193"/>
      <c r="CYF53" s="193"/>
      <c r="CYG53" s="193"/>
      <c r="CYH53" s="193"/>
      <c r="CYI53" s="193"/>
      <c r="CYJ53" s="193"/>
      <c r="CYK53" s="193"/>
      <c r="CYL53" s="193"/>
      <c r="CYM53" s="193"/>
      <c r="CYN53" s="193"/>
      <c r="CYO53" s="193"/>
      <c r="CYP53" s="193"/>
      <c r="CYQ53" s="193"/>
      <c r="CYR53" s="193"/>
      <c r="CYS53" s="193"/>
      <c r="CYT53" s="193"/>
      <c r="CYU53" s="193"/>
      <c r="CYV53" s="193"/>
      <c r="CYW53" s="193"/>
      <c r="CYX53" s="193"/>
      <c r="CYY53" s="193"/>
      <c r="CYZ53" s="193"/>
      <c r="CZA53" s="193"/>
      <c r="CZB53" s="193"/>
      <c r="CZC53" s="193"/>
      <c r="CZD53" s="193"/>
      <c r="CZE53" s="193"/>
      <c r="CZF53" s="193"/>
      <c r="CZG53" s="193"/>
      <c r="CZH53" s="193"/>
      <c r="CZI53" s="193"/>
      <c r="CZJ53" s="193"/>
      <c r="CZK53" s="193"/>
      <c r="CZL53" s="193"/>
      <c r="CZM53" s="193"/>
      <c r="CZN53" s="193"/>
      <c r="CZO53" s="193"/>
      <c r="CZP53" s="193"/>
      <c r="CZQ53" s="193"/>
      <c r="CZR53" s="193"/>
      <c r="CZS53" s="193"/>
      <c r="CZT53" s="193"/>
      <c r="CZU53" s="193"/>
      <c r="CZV53" s="193"/>
      <c r="CZW53" s="193"/>
      <c r="CZX53" s="193"/>
      <c r="CZY53" s="193"/>
      <c r="CZZ53" s="193"/>
      <c r="DAA53" s="193"/>
      <c r="DAB53" s="193"/>
      <c r="DAC53" s="193"/>
      <c r="DAD53" s="193"/>
      <c r="DAE53" s="193"/>
      <c r="DAF53" s="193"/>
      <c r="DAG53" s="193"/>
      <c r="DAH53" s="193"/>
      <c r="DAI53" s="193"/>
      <c r="DAJ53" s="193"/>
      <c r="DAK53" s="193"/>
      <c r="DAL53" s="193"/>
      <c r="DAM53" s="193"/>
      <c r="DAN53" s="193"/>
      <c r="DAO53" s="193"/>
      <c r="DAP53" s="193"/>
      <c r="DAQ53" s="193"/>
      <c r="DAR53" s="193"/>
      <c r="DAS53" s="193"/>
      <c r="DAT53" s="193"/>
      <c r="DAU53" s="193"/>
      <c r="DAV53" s="193"/>
      <c r="DAW53" s="193"/>
      <c r="DAX53" s="193"/>
      <c r="DAY53" s="193"/>
      <c r="DAZ53" s="193"/>
      <c r="DBA53" s="193"/>
      <c r="DBB53" s="193"/>
      <c r="DBC53" s="193"/>
      <c r="DBD53" s="193"/>
      <c r="DBE53" s="193"/>
      <c r="DBF53" s="193"/>
      <c r="DBG53" s="193"/>
      <c r="DBH53" s="193"/>
      <c r="DBI53" s="193"/>
      <c r="DBJ53" s="193"/>
      <c r="DBK53" s="193"/>
      <c r="DBL53" s="193"/>
      <c r="DBM53" s="193"/>
      <c r="DBN53" s="193"/>
      <c r="DBO53" s="193"/>
      <c r="DBP53" s="193"/>
      <c r="DBQ53" s="193"/>
      <c r="DBR53" s="193"/>
      <c r="DBS53" s="193"/>
      <c r="DBT53" s="193"/>
      <c r="DBU53" s="193"/>
      <c r="DBV53" s="193"/>
      <c r="DBW53" s="193"/>
      <c r="DBX53" s="193"/>
      <c r="DBY53" s="193"/>
      <c r="DBZ53" s="193"/>
      <c r="DCA53" s="193"/>
      <c r="DCB53" s="193"/>
      <c r="DCC53" s="193"/>
      <c r="DCD53" s="193"/>
      <c r="DCE53" s="193"/>
      <c r="DCF53" s="193"/>
      <c r="DCG53" s="193"/>
      <c r="DCH53" s="193"/>
      <c r="DCI53" s="193"/>
      <c r="DCJ53" s="193"/>
      <c r="DCK53" s="193"/>
      <c r="DCL53" s="193"/>
      <c r="DCM53" s="193"/>
      <c r="DCN53" s="193"/>
      <c r="DCO53" s="193"/>
      <c r="DCP53" s="193"/>
      <c r="DCQ53" s="193"/>
      <c r="DCR53" s="193"/>
      <c r="DCS53" s="193"/>
      <c r="DCT53" s="193"/>
      <c r="DCU53" s="193"/>
      <c r="DCV53" s="193"/>
      <c r="DCW53" s="193"/>
      <c r="DCX53" s="193"/>
      <c r="DCY53" s="193"/>
      <c r="DCZ53" s="193"/>
      <c r="DDA53" s="193"/>
      <c r="DDB53" s="193"/>
      <c r="DDC53" s="193"/>
      <c r="DDD53" s="193"/>
      <c r="DDE53" s="193"/>
      <c r="DDF53" s="193"/>
      <c r="DDG53" s="193"/>
      <c r="DDH53" s="193"/>
      <c r="DDI53" s="193"/>
      <c r="DDJ53" s="193"/>
      <c r="DDK53" s="193"/>
      <c r="DDL53" s="193"/>
      <c r="DDM53" s="193"/>
      <c r="DDN53" s="193"/>
      <c r="DDO53" s="193"/>
      <c r="DDP53" s="193"/>
      <c r="DDQ53" s="193"/>
      <c r="DDR53" s="193"/>
      <c r="DDS53" s="193"/>
      <c r="DDT53" s="193"/>
      <c r="DDU53" s="193"/>
      <c r="DDV53" s="193"/>
      <c r="DDW53" s="193"/>
      <c r="DDX53" s="193"/>
      <c r="DDY53" s="193"/>
      <c r="DDZ53" s="193"/>
      <c r="DEA53" s="193"/>
      <c r="DEB53" s="193"/>
      <c r="DEC53" s="193"/>
      <c r="DED53" s="193"/>
      <c r="DEE53" s="193"/>
      <c r="DEF53" s="193"/>
      <c r="DEG53" s="193"/>
      <c r="DEH53" s="193"/>
      <c r="DEI53" s="193"/>
      <c r="DEJ53" s="193"/>
      <c r="DEK53" s="193"/>
      <c r="DEL53" s="193"/>
      <c r="DEM53" s="193"/>
      <c r="DEN53" s="193"/>
      <c r="DEO53" s="193"/>
      <c r="DEP53" s="193"/>
      <c r="DEQ53" s="193"/>
      <c r="DER53" s="193"/>
      <c r="DES53" s="193"/>
      <c r="DET53" s="193"/>
      <c r="DEU53" s="193"/>
      <c r="DEV53" s="193"/>
      <c r="DEW53" s="193"/>
      <c r="DEX53" s="193"/>
      <c r="DEY53" s="193"/>
      <c r="DEZ53" s="193"/>
      <c r="DFA53" s="193"/>
      <c r="DFB53" s="193"/>
      <c r="DFC53" s="193"/>
      <c r="DFD53" s="193"/>
      <c r="DFE53" s="193"/>
      <c r="DFF53" s="193"/>
      <c r="DFG53" s="193"/>
      <c r="DFH53" s="193"/>
      <c r="DFI53" s="193"/>
      <c r="DFJ53" s="193"/>
      <c r="DFK53" s="193"/>
      <c r="DFL53" s="193"/>
      <c r="DFM53" s="193"/>
      <c r="DFN53" s="193"/>
      <c r="DFO53" s="193"/>
      <c r="DFP53" s="193"/>
      <c r="DFQ53" s="193"/>
      <c r="DFR53" s="193"/>
      <c r="DFS53" s="193"/>
      <c r="DFT53" s="193"/>
      <c r="DFU53" s="193"/>
      <c r="DFV53" s="193"/>
      <c r="DFW53" s="193"/>
      <c r="DFX53" s="193"/>
      <c r="DFY53" s="193"/>
      <c r="DFZ53" s="193"/>
      <c r="DGA53" s="193"/>
      <c r="DGB53" s="193"/>
      <c r="DGC53" s="193"/>
      <c r="DGD53" s="193"/>
      <c r="DGE53" s="193"/>
      <c r="DGF53" s="193"/>
      <c r="DGG53" s="193"/>
      <c r="DGH53" s="193"/>
      <c r="DGI53" s="193"/>
      <c r="DGJ53" s="193"/>
      <c r="DGK53" s="193"/>
      <c r="DGL53" s="193"/>
      <c r="DGM53" s="193"/>
      <c r="DGN53" s="193"/>
      <c r="DGO53" s="193"/>
      <c r="DGP53" s="193"/>
      <c r="DGQ53" s="193"/>
      <c r="DGR53" s="193"/>
      <c r="DGS53" s="193"/>
      <c r="DGT53" s="193"/>
      <c r="DGU53" s="193"/>
      <c r="DGV53" s="193"/>
      <c r="DGW53" s="193"/>
      <c r="DGX53" s="193"/>
      <c r="DGY53" s="193"/>
      <c r="DGZ53" s="193"/>
      <c r="DHA53" s="193"/>
      <c r="DHB53" s="193"/>
      <c r="DHC53" s="193"/>
      <c r="DHD53" s="193"/>
      <c r="DHE53" s="193"/>
      <c r="DHF53" s="193"/>
      <c r="DHG53" s="193"/>
      <c r="DHH53" s="193"/>
      <c r="DHI53" s="193"/>
      <c r="DHJ53" s="193"/>
      <c r="DHK53" s="193"/>
      <c r="DHL53" s="193"/>
      <c r="DHM53" s="193"/>
      <c r="DHN53" s="193"/>
      <c r="DHO53" s="193"/>
      <c r="DHP53" s="193"/>
      <c r="DHQ53" s="193"/>
      <c r="DHR53" s="193"/>
      <c r="DHS53" s="193"/>
      <c r="DHT53" s="193"/>
      <c r="DHU53" s="193"/>
      <c r="DHV53" s="193"/>
      <c r="DHW53" s="193"/>
      <c r="DHX53" s="193"/>
      <c r="DHY53" s="193"/>
      <c r="DHZ53" s="193"/>
      <c r="DIA53" s="193"/>
      <c r="DIB53" s="193"/>
      <c r="DIC53" s="193"/>
      <c r="DID53" s="193"/>
      <c r="DIE53" s="193"/>
      <c r="DIF53" s="193"/>
      <c r="DIG53" s="193"/>
      <c r="DIH53" s="193"/>
      <c r="DII53" s="193"/>
      <c r="DIJ53" s="193"/>
      <c r="DIK53" s="193"/>
      <c r="DIL53" s="193"/>
      <c r="DIM53" s="193"/>
      <c r="DIN53" s="193"/>
      <c r="DIO53" s="193"/>
      <c r="DIP53" s="193"/>
      <c r="DIQ53" s="193"/>
      <c r="DIR53" s="193"/>
      <c r="DIS53" s="193"/>
      <c r="DIT53" s="193"/>
      <c r="DIU53" s="193"/>
      <c r="DIV53" s="193"/>
      <c r="DIW53" s="193"/>
      <c r="DIX53" s="193"/>
      <c r="DIY53" s="193"/>
      <c r="DIZ53" s="193"/>
      <c r="DJA53" s="193"/>
      <c r="DJB53" s="193"/>
      <c r="DJC53" s="193"/>
      <c r="DJD53" s="193"/>
      <c r="DJE53" s="193"/>
      <c r="DJF53" s="193"/>
      <c r="DJG53" s="193"/>
      <c r="DJH53" s="193"/>
      <c r="DJI53" s="193"/>
      <c r="DJJ53" s="193"/>
      <c r="DJK53" s="193"/>
      <c r="DJL53" s="193"/>
      <c r="DJM53" s="193"/>
      <c r="DJN53" s="193"/>
      <c r="DJO53" s="193"/>
      <c r="DJP53" s="193"/>
      <c r="DJQ53" s="193"/>
      <c r="DJR53" s="193"/>
      <c r="DJS53" s="193"/>
      <c r="DJT53" s="193"/>
      <c r="DJU53" s="193"/>
      <c r="DJV53" s="193"/>
      <c r="DJW53" s="193"/>
      <c r="DJX53" s="193"/>
      <c r="DJY53" s="193"/>
      <c r="DJZ53" s="193"/>
      <c r="DKA53" s="193"/>
      <c r="DKB53" s="193"/>
      <c r="DKC53" s="193"/>
      <c r="DKD53" s="193"/>
      <c r="DKE53" s="193"/>
      <c r="DKF53" s="193"/>
      <c r="DKG53" s="193"/>
      <c r="DKH53" s="193"/>
      <c r="DKI53" s="193"/>
      <c r="DKJ53" s="193"/>
      <c r="DKK53" s="193"/>
      <c r="DKL53" s="193"/>
      <c r="DKM53" s="193"/>
      <c r="DKN53" s="193"/>
      <c r="DKO53" s="193"/>
      <c r="DKP53" s="193"/>
      <c r="DKQ53" s="193"/>
      <c r="DKR53" s="193"/>
      <c r="DKS53" s="193"/>
      <c r="DKT53" s="193"/>
      <c r="DKU53" s="193"/>
      <c r="DKV53" s="193"/>
      <c r="DKW53" s="193"/>
      <c r="DKX53" s="193"/>
      <c r="DKY53" s="193"/>
      <c r="DKZ53" s="193"/>
      <c r="DLA53" s="193"/>
      <c r="DLB53" s="193"/>
      <c r="DLC53" s="193"/>
      <c r="DLD53" s="193"/>
      <c r="DLE53" s="193"/>
      <c r="DLF53" s="193"/>
      <c r="DLG53" s="193"/>
      <c r="DLH53" s="193"/>
      <c r="DLI53" s="193"/>
      <c r="DLJ53" s="193"/>
      <c r="DLK53" s="193"/>
      <c r="DLL53" s="193"/>
      <c r="DLM53" s="193"/>
      <c r="DLN53" s="193"/>
      <c r="DLO53" s="193"/>
      <c r="DLP53" s="193"/>
      <c r="DLQ53" s="193"/>
      <c r="DLR53" s="193"/>
      <c r="DLS53" s="193"/>
      <c r="DLT53" s="193"/>
      <c r="DLU53" s="193"/>
      <c r="DLV53" s="193"/>
      <c r="DLW53" s="193"/>
      <c r="DLX53" s="193"/>
      <c r="DLY53" s="193"/>
      <c r="DLZ53" s="193"/>
      <c r="DMA53" s="193"/>
      <c r="DMB53" s="193"/>
      <c r="DMC53" s="193"/>
      <c r="DMD53" s="193"/>
      <c r="DME53" s="193"/>
      <c r="DMF53" s="193"/>
      <c r="DMG53" s="193"/>
      <c r="DMH53" s="193"/>
      <c r="DMI53" s="193"/>
      <c r="DMJ53" s="193"/>
      <c r="DMK53" s="193"/>
      <c r="DML53" s="193"/>
      <c r="DMM53" s="193"/>
      <c r="DMN53" s="193"/>
      <c r="DMO53" s="193"/>
      <c r="DMP53" s="193"/>
      <c r="DMQ53" s="193"/>
      <c r="DMR53" s="193"/>
      <c r="DMS53" s="193"/>
      <c r="DMT53" s="193"/>
      <c r="DMU53" s="193"/>
      <c r="DMV53" s="193"/>
      <c r="DMW53" s="193"/>
      <c r="DMX53" s="193"/>
      <c r="DMY53" s="193"/>
      <c r="DMZ53" s="193"/>
      <c r="DNA53" s="193"/>
      <c r="DNB53" s="193"/>
      <c r="DNC53" s="193"/>
      <c r="DND53" s="193"/>
      <c r="DNE53" s="193"/>
      <c r="DNF53" s="193"/>
      <c r="DNG53" s="193"/>
      <c r="DNH53" s="193"/>
      <c r="DNI53" s="193"/>
      <c r="DNJ53" s="193"/>
      <c r="DNK53" s="193"/>
      <c r="DNL53" s="193"/>
      <c r="DNM53" s="193"/>
      <c r="DNN53" s="193"/>
      <c r="DNO53" s="193"/>
      <c r="DNP53" s="193"/>
      <c r="DNQ53" s="193"/>
      <c r="DNR53" s="193"/>
      <c r="DNS53" s="193"/>
      <c r="DNT53" s="193"/>
      <c r="DNU53" s="193"/>
      <c r="DNV53" s="193"/>
      <c r="DNW53" s="193"/>
      <c r="DNX53" s="193"/>
      <c r="DNY53" s="193"/>
      <c r="DNZ53" s="193"/>
      <c r="DOA53" s="193"/>
      <c r="DOB53" s="193"/>
      <c r="DOC53" s="193"/>
      <c r="DOD53" s="193"/>
      <c r="DOE53" s="193"/>
      <c r="DOF53" s="193"/>
      <c r="DOG53" s="193"/>
      <c r="DOH53" s="193"/>
      <c r="DOI53" s="193"/>
      <c r="DOJ53" s="193"/>
      <c r="DOK53" s="193"/>
      <c r="DOL53" s="193"/>
      <c r="DOM53" s="193"/>
      <c r="DON53" s="193"/>
      <c r="DOO53" s="193"/>
      <c r="DOP53" s="193"/>
      <c r="DOQ53" s="193"/>
      <c r="DOR53" s="193"/>
      <c r="DOS53" s="193"/>
      <c r="DOT53" s="193"/>
      <c r="DOU53" s="193"/>
      <c r="DOV53" s="193"/>
      <c r="DOW53" s="193"/>
      <c r="DOX53" s="193"/>
      <c r="DOY53" s="193"/>
      <c r="DOZ53" s="193"/>
      <c r="DPA53" s="193"/>
      <c r="DPB53" s="193"/>
      <c r="DPC53" s="193"/>
      <c r="DPD53" s="193"/>
      <c r="DPE53" s="193"/>
      <c r="DPF53" s="193"/>
      <c r="DPG53" s="193"/>
      <c r="DPH53" s="193"/>
      <c r="DPI53" s="193"/>
      <c r="DPJ53" s="193"/>
      <c r="DPK53" s="193"/>
      <c r="DPL53" s="193"/>
      <c r="DPM53" s="193"/>
      <c r="DPN53" s="193"/>
      <c r="DPO53" s="193"/>
      <c r="DPP53" s="193"/>
      <c r="DPQ53" s="193"/>
      <c r="DPR53" s="193"/>
      <c r="DPS53" s="193"/>
      <c r="DPT53" s="193"/>
      <c r="DPU53" s="193"/>
      <c r="DPV53" s="193"/>
      <c r="DPW53" s="193"/>
      <c r="DPX53" s="193"/>
      <c r="DPY53" s="193"/>
      <c r="DPZ53" s="193"/>
      <c r="DQA53" s="193"/>
      <c r="DQB53" s="193"/>
      <c r="DQC53" s="193"/>
      <c r="DQD53" s="193"/>
      <c r="DQE53" s="193"/>
      <c r="DQF53" s="193"/>
      <c r="DQG53" s="193"/>
      <c r="DQH53" s="193"/>
      <c r="DQI53" s="193"/>
      <c r="DQJ53" s="193"/>
      <c r="DQK53" s="193"/>
      <c r="DQL53" s="193"/>
      <c r="DQM53" s="193"/>
      <c r="DQN53" s="193"/>
      <c r="DQO53" s="193"/>
      <c r="DQP53" s="193"/>
      <c r="DQQ53" s="193"/>
      <c r="DQR53" s="193"/>
      <c r="DQS53" s="193"/>
      <c r="DQT53" s="193"/>
      <c r="DQU53" s="193"/>
      <c r="DQV53" s="193"/>
      <c r="DQW53" s="193"/>
      <c r="DQX53" s="193"/>
      <c r="DQY53" s="193"/>
      <c r="DQZ53" s="193"/>
      <c r="DRA53" s="193"/>
      <c r="DRB53" s="193"/>
      <c r="DRC53" s="193"/>
      <c r="DRD53" s="193"/>
      <c r="DRE53" s="193"/>
      <c r="DRF53" s="193"/>
      <c r="DRG53" s="193"/>
      <c r="DRH53" s="193"/>
      <c r="DRI53" s="193"/>
      <c r="DRJ53" s="193"/>
      <c r="DRK53" s="193"/>
      <c r="DRL53" s="193"/>
      <c r="DRM53" s="193"/>
      <c r="DRN53" s="193"/>
      <c r="DRO53" s="193"/>
      <c r="DRP53" s="193"/>
      <c r="DRQ53" s="193"/>
      <c r="DRR53" s="193"/>
      <c r="DRS53" s="193"/>
      <c r="DRT53" s="193"/>
      <c r="DRU53" s="193"/>
      <c r="DRV53" s="193"/>
      <c r="DRW53" s="193"/>
      <c r="DRX53" s="193"/>
      <c r="DRY53" s="193"/>
      <c r="DRZ53" s="193"/>
      <c r="DSA53" s="193"/>
      <c r="DSB53" s="193"/>
      <c r="DSC53" s="193"/>
      <c r="DSD53" s="193"/>
      <c r="DSE53" s="193"/>
      <c r="DSF53" s="193"/>
      <c r="DSG53" s="193"/>
      <c r="DSH53" s="193"/>
      <c r="DSI53" s="193"/>
      <c r="DSJ53" s="193"/>
      <c r="DSK53" s="193"/>
      <c r="DSL53" s="193"/>
      <c r="DSM53" s="193"/>
      <c r="DSN53" s="193"/>
      <c r="DSO53" s="193"/>
      <c r="DSP53" s="193"/>
      <c r="DSQ53" s="193"/>
      <c r="DSR53" s="193"/>
      <c r="DSS53" s="193"/>
      <c r="DST53" s="193"/>
      <c r="DSU53" s="193"/>
      <c r="DSV53" s="193"/>
      <c r="DSW53" s="193"/>
      <c r="DSX53" s="193"/>
      <c r="DSY53" s="193"/>
      <c r="DSZ53" s="193"/>
      <c r="DTA53" s="193"/>
      <c r="DTB53" s="193"/>
      <c r="DTC53" s="193"/>
      <c r="DTD53" s="193"/>
      <c r="DTE53" s="193"/>
      <c r="DTF53" s="193"/>
      <c r="DTG53" s="193"/>
      <c r="DTH53" s="193"/>
      <c r="DTI53" s="193"/>
      <c r="DTJ53" s="193"/>
      <c r="DTK53" s="193"/>
      <c r="DTL53" s="193"/>
      <c r="DTM53" s="193"/>
      <c r="DTN53" s="193"/>
      <c r="DTO53" s="193"/>
      <c r="DTP53" s="193"/>
      <c r="DTQ53" s="193"/>
      <c r="DTR53" s="193"/>
      <c r="DTS53" s="193"/>
      <c r="DTT53" s="193"/>
      <c r="DTU53" s="193"/>
      <c r="DTV53" s="193"/>
      <c r="DTW53" s="193"/>
      <c r="DTX53" s="193"/>
      <c r="DTY53" s="193"/>
      <c r="DTZ53" s="193"/>
      <c r="DUA53" s="193"/>
      <c r="DUB53" s="193"/>
      <c r="DUC53" s="193"/>
      <c r="DUD53" s="193"/>
      <c r="DUE53" s="193"/>
      <c r="DUF53" s="193"/>
      <c r="DUG53" s="193"/>
      <c r="DUH53" s="193"/>
      <c r="DUI53" s="193"/>
      <c r="DUJ53" s="193"/>
      <c r="DUK53" s="193"/>
      <c r="DUL53" s="193"/>
      <c r="DUM53" s="193"/>
      <c r="DUN53" s="193"/>
      <c r="DUO53" s="193"/>
      <c r="DUP53" s="193"/>
      <c r="DUQ53" s="193"/>
      <c r="DUR53" s="193"/>
      <c r="DUS53" s="193"/>
      <c r="DUT53" s="193"/>
      <c r="DUU53" s="193"/>
      <c r="DUV53" s="193"/>
      <c r="DUW53" s="193"/>
      <c r="DUX53" s="193"/>
      <c r="DUY53" s="193"/>
      <c r="DUZ53" s="193"/>
      <c r="DVA53" s="193"/>
      <c r="DVB53" s="193"/>
      <c r="DVC53" s="193"/>
      <c r="DVD53" s="193"/>
      <c r="DVE53" s="193"/>
      <c r="DVF53" s="193"/>
      <c r="DVG53" s="193"/>
      <c r="DVH53" s="193"/>
      <c r="DVI53" s="193"/>
      <c r="DVJ53" s="193"/>
      <c r="DVK53" s="193"/>
      <c r="DVL53" s="193"/>
      <c r="DVM53" s="193"/>
      <c r="DVN53" s="193"/>
      <c r="DVO53" s="193"/>
      <c r="DVP53" s="193"/>
      <c r="DVQ53" s="193"/>
      <c r="DVR53" s="193"/>
      <c r="DVS53" s="193"/>
      <c r="DVT53" s="193"/>
      <c r="DVU53" s="193"/>
      <c r="DVV53" s="193"/>
      <c r="DVW53" s="193"/>
      <c r="DVX53" s="193"/>
      <c r="DVY53" s="193"/>
      <c r="DVZ53" s="193"/>
      <c r="DWA53" s="193"/>
      <c r="DWB53" s="193"/>
      <c r="DWC53" s="193"/>
      <c r="DWD53" s="193"/>
      <c r="DWE53" s="193"/>
      <c r="DWF53" s="193"/>
      <c r="DWG53" s="193"/>
      <c r="DWH53" s="193"/>
      <c r="DWI53" s="193"/>
      <c r="DWJ53" s="193"/>
      <c r="DWK53" s="193"/>
      <c r="DWL53" s="193"/>
      <c r="DWM53" s="193"/>
      <c r="DWN53" s="193"/>
      <c r="DWO53" s="193"/>
      <c r="DWP53" s="193"/>
      <c r="DWQ53" s="193"/>
      <c r="DWR53" s="193"/>
      <c r="DWS53" s="193"/>
      <c r="DWT53" s="193"/>
      <c r="DWU53" s="193"/>
      <c r="DWV53" s="193"/>
      <c r="DWW53" s="193"/>
      <c r="DWX53" s="193"/>
      <c r="DWY53" s="193"/>
      <c r="DWZ53" s="193"/>
      <c r="DXA53" s="193"/>
      <c r="DXB53" s="193"/>
      <c r="DXC53" s="193"/>
      <c r="DXD53" s="193"/>
      <c r="DXE53" s="193"/>
      <c r="DXF53" s="193"/>
      <c r="DXG53" s="193"/>
      <c r="DXH53" s="193"/>
      <c r="DXI53" s="193"/>
      <c r="DXJ53" s="193"/>
      <c r="DXK53" s="193"/>
      <c r="DXL53" s="193"/>
      <c r="DXM53" s="193"/>
      <c r="DXN53" s="193"/>
      <c r="DXO53" s="193"/>
      <c r="DXP53" s="193"/>
      <c r="DXQ53" s="193"/>
      <c r="DXR53" s="193"/>
      <c r="DXS53" s="193"/>
      <c r="DXT53" s="193"/>
      <c r="DXU53" s="193"/>
      <c r="DXV53" s="193"/>
      <c r="DXW53" s="193"/>
      <c r="DXX53" s="193"/>
      <c r="DXY53" s="193"/>
      <c r="DXZ53" s="193"/>
      <c r="DYA53" s="193"/>
      <c r="DYB53" s="193"/>
      <c r="DYC53" s="193"/>
      <c r="DYD53" s="193"/>
      <c r="DYE53" s="193"/>
      <c r="DYF53" s="193"/>
      <c r="DYG53" s="193"/>
      <c r="DYH53" s="193"/>
      <c r="DYI53" s="193"/>
      <c r="DYJ53" s="193"/>
      <c r="DYK53" s="193"/>
      <c r="DYL53" s="193"/>
      <c r="DYM53" s="193"/>
      <c r="DYN53" s="193"/>
      <c r="DYO53" s="193"/>
      <c r="DYP53" s="193"/>
      <c r="DYQ53" s="193"/>
      <c r="DYR53" s="193"/>
      <c r="DYS53" s="193"/>
      <c r="DYT53" s="193"/>
      <c r="DYU53" s="193"/>
      <c r="DYV53" s="193"/>
      <c r="DYW53" s="193"/>
      <c r="DYX53" s="193"/>
      <c r="DYY53" s="193"/>
      <c r="DYZ53" s="193"/>
      <c r="DZA53" s="193"/>
      <c r="DZB53" s="193"/>
      <c r="DZC53" s="193"/>
      <c r="DZD53" s="193"/>
      <c r="DZE53" s="193"/>
      <c r="DZF53" s="193"/>
      <c r="DZG53" s="193"/>
      <c r="DZH53" s="193"/>
      <c r="DZI53" s="193"/>
      <c r="DZJ53" s="193"/>
      <c r="DZK53" s="193"/>
      <c r="DZL53" s="193"/>
      <c r="DZM53" s="193"/>
      <c r="DZN53" s="193"/>
      <c r="DZO53" s="193"/>
      <c r="DZP53" s="193"/>
      <c r="DZQ53" s="193"/>
      <c r="DZR53" s="193"/>
      <c r="DZS53" s="193"/>
      <c r="DZT53" s="193"/>
      <c r="DZU53" s="193"/>
      <c r="DZV53" s="193"/>
      <c r="DZW53" s="193"/>
      <c r="DZX53" s="193"/>
      <c r="DZY53" s="193"/>
      <c r="DZZ53" s="193"/>
      <c r="EAA53" s="193"/>
      <c r="EAB53" s="193"/>
      <c r="EAC53" s="193"/>
      <c r="EAD53" s="193"/>
      <c r="EAE53" s="193"/>
      <c r="EAF53" s="193"/>
      <c r="EAG53" s="193"/>
      <c r="EAH53" s="193"/>
      <c r="EAI53" s="193"/>
      <c r="EAJ53" s="193"/>
      <c r="EAK53" s="193"/>
      <c r="EAL53" s="193"/>
      <c r="EAM53" s="193"/>
      <c r="EAN53" s="193"/>
      <c r="EAO53" s="193"/>
      <c r="EAP53" s="193"/>
      <c r="EAQ53" s="193"/>
      <c r="EAR53" s="193"/>
      <c r="EAS53" s="193"/>
      <c r="EAT53" s="193"/>
      <c r="EAU53" s="193"/>
      <c r="EAV53" s="193"/>
      <c r="EAW53" s="193"/>
      <c r="EAX53" s="193"/>
      <c r="EAY53" s="193"/>
      <c r="EAZ53" s="193"/>
      <c r="EBA53" s="193"/>
      <c r="EBB53" s="193"/>
      <c r="EBC53" s="193"/>
      <c r="EBD53" s="193"/>
      <c r="EBE53" s="193"/>
      <c r="EBF53" s="193"/>
      <c r="EBG53" s="193"/>
      <c r="EBH53" s="193"/>
      <c r="EBI53" s="193"/>
      <c r="EBJ53" s="193"/>
      <c r="EBK53" s="193"/>
      <c r="EBL53" s="193"/>
      <c r="EBM53" s="193"/>
      <c r="EBN53" s="193"/>
      <c r="EBO53" s="193"/>
      <c r="EBP53" s="193"/>
      <c r="EBQ53" s="193"/>
      <c r="EBR53" s="193"/>
      <c r="EBS53" s="193"/>
      <c r="EBT53" s="193"/>
      <c r="EBU53" s="193"/>
      <c r="EBV53" s="193"/>
      <c r="EBW53" s="193"/>
      <c r="EBX53" s="193"/>
      <c r="EBY53" s="193"/>
      <c r="EBZ53" s="193"/>
      <c r="ECA53" s="193"/>
      <c r="ECB53" s="193"/>
      <c r="ECC53" s="193"/>
      <c r="ECD53" s="193"/>
      <c r="ECE53" s="193"/>
      <c r="ECF53" s="193"/>
      <c r="ECG53" s="193"/>
      <c r="ECH53" s="193"/>
      <c r="ECI53" s="193"/>
      <c r="ECJ53" s="193"/>
      <c r="ECK53" s="193"/>
      <c r="ECL53" s="193"/>
      <c r="ECM53" s="193"/>
      <c r="ECN53" s="193"/>
      <c r="ECO53" s="193"/>
      <c r="ECP53" s="193"/>
      <c r="ECQ53" s="193"/>
      <c r="ECR53" s="193"/>
      <c r="ECS53" s="193"/>
      <c r="ECT53" s="193"/>
      <c r="ECU53" s="193"/>
      <c r="ECV53" s="193"/>
      <c r="ECW53" s="193"/>
      <c r="ECX53" s="193"/>
      <c r="ECY53" s="193"/>
      <c r="ECZ53" s="193"/>
      <c r="EDA53" s="193"/>
      <c r="EDB53" s="193"/>
      <c r="EDC53" s="193"/>
      <c r="EDD53" s="193"/>
      <c r="EDE53" s="193"/>
      <c r="EDF53" s="193"/>
      <c r="EDG53" s="193"/>
      <c r="EDH53" s="193"/>
      <c r="EDI53" s="193"/>
      <c r="EDJ53" s="193"/>
      <c r="EDK53" s="193"/>
      <c r="EDL53" s="193"/>
      <c r="EDM53" s="193"/>
      <c r="EDN53" s="193"/>
      <c r="EDO53" s="193"/>
      <c r="EDP53" s="193"/>
      <c r="EDQ53" s="193"/>
      <c r="EDR53" s="193"/>
      <c r="EDS53" s="193"/>
      <c r="EDT53" s="193"/>
      <c r="EDU53" s="193"/>
      <c r="EDV53" s="193"/>
      <c r="EDW53" s="193"/>
      <c r="EDX53" s="193"/>
      <c r="EDY53" s="193"/>
      <c r="EDZ53" s="193"/>
      <c r="EEA53" s="193"/>
      <c r="EEB53" s="193"/>
      <c r="EEC53" s="193"/>
      <c r="EED53" s="193"/>
      <c r="EEE53" s="193"/>
      <c r="EEF53" s="193"/>
      <c r="EEG53" s="193"/>
      <c r="EEH53" s="193"/>
      <c r="EEI53" s="193"/>
      <c r="EEJ53" s="193"/>
      <c r="EEK53" s="193"/>
      <c r="EEL53" s="193"/>
      <c r="EEM53" s="193"/>
      <c r="EEN53" s="193"/>
      <c r="EEO53" s="193"/>
      <c r="EEP53" s="193"/>
      <c r="EEQ53" s="193"/>
      <c r="EER53" s="193"/>
      <c r="EES53" s="193"/>
      <c r="EET53" s="193"/>
      <c r="EEU53" s="193"/>
      <c r="EEV53" s="193"/>
      <c r="EEW53" s="193"/>
      <c r="EEX53" s="193"/>
      <c r="EEY53" s="193"/>
      <c r="EEZ53" s="193"/>
      <c r="EFA53" s="193"/>
      <c r="EFB53" s="193"/>
      <c r="EFC53" s="193"/>
      <c r="EFD53" s="193"/>
      <c r="EFE53" s="193"/>
      <c r="EFF53" s="193"/>
      <c r="EFG53" s="193"/>
      <c r="EFH53" s="193"/>
      <c r="EFI53" s="193"/>
      <c r="EFJ53" s="193"/>
      <c r="EFK53" s="193"/>
      <c r="EFL53" s="193"/>
      <c r="EFM53" s="193"/>
      <c r="EFN53" s="193"/>
      <c r="EFO53" s="193"/>
      <c r="EFP53" s="193"/>
      <c r="EFQ53" s="193"/>
      <c r="EFR53" s="193"/>
      <c r="EFS53" s="193"/>
      <c r="EFT53" s="193"/>
      <c r="EFU53" s="193"/>
      <c r="EFV53" s="193"/>
      <c r="EFW53" s="193"/>
      <c r="EFX53" s="193"/>
      <c r="EFY53" s="193"/>
      <c r="EFZ53" s="193"/>
      <c r="EGA53" s="193"/>
      <c r="EGB53" s="193"/>
      <c r="EGC53" s="193"/>
      <c r="EGD53" s="193"/>
      <c r="EGE53" s="193"/>
      <c r="EGF53" s="193"/>
      <c r="EGG53" s="193"/>
      <c r="EGH53" s="193"/>
      <c r="EGI53" s="193"/>
      <c r="EGJ53" s="193"/>
      <c r="EGK53" s="193"/>
      <c r="EGL53" s="193"/>
      <c r="EGM53" s="193"/>
      <c r="EGN53" s="193"/>
      <c r="EGO53" s="193"/>
      <c r="EGP53" s="193"/>
      <c r="EGQ53" s="193"/>
      <c r="EGR53" s="193"/>
      <c r="EGS53" s="193"/>
      <c r="EGT53" s="193"/>
      <c r="EGU53" s="193"/>
      <c r="EGV53" s="193"/>
      <c r="EGW53" s="193"/>
      <c r="EGX53" s="193"/>
      <c r="EGY53" s="193"/>
      <c r="EGZ53" s="193"/>
      <c r="EHA53" s="193"/>
      <c r="EHB53" s="193"/>
      <c r="EHC53" s="193"/>
      <c r="EHD53" s="193"/>
      <c r="EHE53" s="193"/>
      <c r="EHF53" s="193"/>
      <c r="EHG53" s="193"/>
      <c r="EHH53" s="193"/>
      <c r="EHI53" s="193"/>
      <c r="EHJ53" s="193"/>
      <c r="EHK53" s="193"/>
      <c r="EHL53" s="193"/>
      <c r="EHM53" s="193"/>
      <c r="EHN53" s="193"/>
      <c r="EHO53" s="193"/>
      <c r="EHP53" s="193"/>
      <c r="EHQ53" s="193"/>
      <c r="EHR53" s="193"/>
      <c r="EHS53" s="193"/>
      <c r="EHT53" s="193"/>
      <c r="EHU53" s="193"/>
      <c r="EHV53" s="193"/>
      <c r="EHW53" s="193"/>
      <c r="EHX53" s="193"/>
      <c r="EHY53" s="193"/>
      <c r="EHZ53" s="193"/>
      <c r="EIA53" s="193"/>
      <c r="EIB53" s="193"/>
      <c r="EIC53" s="193"/>
      <c r="EID53" s="193"/>
      <c r="EIE53" s="193"/>
      <c r="EIF53" s="193"/>
      <c r="EIG53" s="193"/>
      <c r="EIH53" s="193"/>
      <c r="EII53" s="193"/>
      <c r="EIJ53" s="193"/>
      <c r="EIK53" s="193"/>
      <c r="EIL53" s="193"/>
      <c r="EIM53" s="193"/>
      <c r="EIN53" s="193"/>
      <c r="EIO53" s="193"/>
      <c r="EIP53" s="193"/>
      <c r="EIQ53" s="193"/>
      <c r="EIR53" s="193"/>
      <c r="EIS53" s="193"/>
      <c r="EIT53" s="193"/>
      <c r="EIU53" s="193"/>
      <c r="EIV53" s="193"/>
      <c r="EIW53" s="193"/>
      <c r="EIX53" s="193"/>
      <c r="EIY53" s="193"/>
      <c r="EIZ53" s="193"/>
      <c r="EJA53" s="193"/>
      <c r="EJB53" s="193"/>
      <c r="EJC53" s="193"/>
      <c r="EJD53" s="193"/>
      <c r="EJE53" s="193"/>
      <c r="EJF53" s="193"/>
      <c r="EJG53" s="193"/>
      <c r="EJH53" s="193"/>
      <c r="EJI53" s="193"/>
      <c r="EJJ53" s="193"/>
      <c r="EJK53" s="193"/>
      <c r="EJL53" s="193"/>
      <c r="EJM53" s="193"/>
      <c r="EJN53" s="193"/>
      <c r="EJO53" s="193"/>
      <c r="EJP53" s="193"/>
      <c r="EJQ53" s="193"/>
      <c r="EJR53" s="193"/>
      <c r="EJS53" s="193"/>
      <c r="EJT53" s="193"/>
      <c r="EJU53" s="193"/>
      <c r="EJV53" s="193"/>
      <c r="EJW53" s="193"/>
      <c r="EJX53" s="193"/>
      <c r="EJY53" s="193"/>
      <c r="EJZ53" s="193"/>
      <c r="EKA53" s="193"/>
      <c r="EKB53" s="193"/>
      <c r="EKC53" s="193"/>
      <c r="EKD53" s="193"/>
      <c r="EKE53" s="193"/>
      <c r="EKF53" s="193"/>
      <c r="EKG53" s="193"/>
      <c r="EKH53" s="193"/>
      <c r="EKI53" s="193"/>
      <c r="EKJ53" s="193"/>
      <c r="EKK53" s="193"/>
      <c r="EKL53" s="193"/>
      <c r="EKM53" s="193"/>
      <c r="EKN53" s="193"/>
      <c r="EKO53" s="193"/>
      <c r="EKP53" s="193"/>
      <c r="EKQ53" s="193"/>
      <c r="EKR53" s="193"/>
      <c r="EKS53" s="193"/>
      <c r="EKT53" s="193"/>
      <c r="EKU53" s="193"/>
      <c r="EKV53" s="193"/>
      <c r="EKW53" s="193"/>
      <c r="EKX53" s="193"/>
      <c r="EKY53" s="193"/>
      <c r="EKZ53" s="193"/>
      <c r="ELA53" s="193"/>
      <c r="ELB53" s="193"/>
      <c r="ELC53" s="193"/>
      <c r="ELD53" s="193"/>
      <c r="ELE53" s="193"/>
      <c r="ELF53" s="193"/>
      <c r="ELG53" s="193"/>
      <c r="ELH53" s="193"/>
      <c r="ELI53" s="193"/>
      <c r="ELJ53" s="193"/>
      <c r="ELK53" s="193"/>
      <c r="ELL53" s="193"/>
      <c r="ELM53" s="193"/>
      <c r="ELN53" s="193"/>
      <c r="ELO53" s="193"/>
      <c r="ELP53" s="193"/>
      <c r="ELQ53" s="193"/>
      <c r="ELR53" s="193"/>
      <c r="ELS53" s="193"/>
      <c r="ELT53" s="193"/>
      <c r="ELU53" s="193"/>
      <c r="ELV53" s="193"/>
      <c r="ELW53" s="193"/>
      <c r="ELX53" s="193"/>
      <c r="ELY53" s="193"/>
      <c r="ELZ53" s="193"/>
      <c r="EMA53" s="193"/>
      <c r="EMB53" s="193"/>
      <c r="EMC53" s="193"/>
      <c r="EMD53" s="193"/>
      <c r="EME53" s="193"/>
      <c r="EMF53" s="193"/>
      <c r="EMG53" s="193"/>
      <c r="EMH53" s="193"/>
      <c r="EMI53" s="193"/>
      <c r="EMJ53" s="193"/>
      <c r="EMK53" s="193"/>
      <c r="EML53" s="193"/>
      <c r="EMM53" s="193"/>
      <c r="EMN53" s="193"/>
      <c r="EMO53" s="193"/>
      <c r="EMP53" s="193"/>
      <c r="EMQ53" s="193"/>
      <c r="EMR53" s="193"/>
      <c r="EMS53" s="193"/>
      <c r="EMT53" s="193"/>
      <c r="EMU53" s="193"/>
      <c r="EMV53" s="193"/>
      <c r="EMW53" s="193"/>
      <c r="EMX53" s="193"/>
      <c r="EMY53" s="193"/>
      <c r="EMZ53" s="193"/>
      <c r="ENA53" s="193"/>
      <c r="ENB53" s="193"/>
      <c r="ENC53" s="193"/>
      <c r="END53" s="193"/>
      <c r="ENE53" s="193"/>
      <c r="ENF53" s="193"/>
      <c r="ENG53" s="193"/>
      <c r="ENH53" s="193"/>
      <c r="ENI53" s="193"/>
      <c r="ENJ53" s="193"/>
      <c r="ENK53" s="193"/>
      <c r="ENL53" s="193"/>
      <c r="ENM53" s="193"/>
      <c r="ENN53" s="193"/>
      <c r="ENO53" s="193"/>
      <c r="ENP53" s="193"/>
      <c r="ENQ53" s="193"/>
      <c r="ENR53" s="193"/>
      <c r="ENS53" s="193"/>
      <c r="ENT53" s="193"/>
      <c r="ENU53" s="193"/>
      <c r="ENV53" s="193"/>
      <c r="ENW53" s="193"/>
      <c r="ENX53" s="193"/>
      <c r="ENY53" s="193"/>
      <c r="ENZ53" s="193"/>
      <c r="EOA53" s="193"/>
      <c r="EOB53" s="193"/>
      <c r="EOC53" s="193"/>
      <c r="EOD53" s="193"/>
      <c r="EOE53" s="193"/>
      <c r="EOF53" s="193"/>
      <c r="EOG53" s="193"/>
      <c r="EOH53" s="193"/>
      <c r="EOI53" s="193"/>
      <c r="EOJ53" s="193"/>
      <c r="EOK53" s="193"/>
      <c r="EOL53" s="193"/>
      <c r="EOM53" s="193"/>
      <c r="EON53" s="193"/>
      <c r="EOO53" s="193"/>
      <c r="EOP53" s="193"/>
      <c r="EOQ53" s="193"/>
      <c r="EOR53" s="193"/>
      <c r="EOS53" s="193"/>
      <c r="EOT53" s="193"/>
      <c r="EOU53" s="193"/>
      <c r="EOV53" s="193"/>
      <c r="EOW53" s="193"/>
      <c r="EOX53" s="193"/>
      <c r="EOY53" s="193"/>
      <c r="EOZ53" s="193"/>
      <c r="EPA53" s="193"/>
      <c r="EPB53" s="193"/>
      <c r="EPC53" s="193"/>
      <c r="EPD53" s="193"/>
      <c r="EPE53" s="193"/>
      <c r="EPF53" s="193"/>
      <c r="EPG53" s="193"/>
      <c r="EPH53" s="193"/>
      <c r="EPI53" s="193"/>
      <c r="EPJ53" s="193"/>
      <c r="EPK53" s="193"/>
      <c r="EPL53" s="193"/>
      <c r="EPM53" s="193"/>
      <c r="EPN53" s="193"/>
      <c r="EPO53" s="193"/>
      <c r="EPP53" s="193"/>
      <c r="EPQ53" s="193"/>
      <c r="EPR53" s="193"/>
      <c r="EPS53" s="193"/>
      <c r="EPT53" s="193"/>
      <c r="EPU53" s="193"/>
      <c r="EPV53" s="193"/>
      <c r="EPW53" s="193"/>
      <c r="EPX53" s="193"/>
      <c r="EPY53" s="193"/>
      <c r="EPZ53" s="193"/>
      <c r="EQA53" s="193"/>
      <c r="EQB53" s="193"/>
      <c r="EQC53" s="193"/>
      <c r="EQD53" s="193"/>
      <c r="EQE53" s="193"/>
      <c r="EQF53" s="193"/>
      <c r="EQG53" s="193"/>
      <c r="EQH53" s="193"/>
      <c r="EQI53" s="193"/>
      <c r="EQJ53" s="193"/>
      <c r="EQK53" s="193"/>
      <c r="EQL53" s="193"/>
      <c r="EQM53" s="193"/>
      <c r="EQN53" s="193"/>
      <c r="EQO53" s="193"/>
      <c r="EQP53" s="193"/>
      <c r="EQQ53" s="193"/>
      <c r="EQR53" s="193"/>
      <c r="EQS53" s="193"/>
      <c r="EQT53" s="193"/>
      <c r="EQU53" s="193"/>
      <c r="EQV53" s="193"/>
      <c r="EQW53" s="193"/>
      <c r="EQX53" s="193"/>
      <c r="EQY53" s="193"/>
      <c r="EQZ53" s="193"/>
      <c r="ERA53" s="193"/>
      <c r="ERB53" s="193"/>
      <c r="ERC53" s="193"/>
      <c r="ERD53" s="193"/>
      <c r="ERE53" s="193"/>
      <c r="ERF53" s="193"/>
      <c r="ERG53" s="193"/>
      <c r="ERH53" s="193"/>
      <c r="ERI53" s="193"/>
      <c r="ERJ53" s="193"/>
      <c r="ERK53" s="193"/>
      <c r="ERL53" s="193"/>
      <c r="ERM53" s="193"/>
      <c r="ERN53" s="193"/>
      <c r="ERO53" s="193"/>
      <c r="ERP53" s="193"/>
      <c r="ERQ53" s="193"/>
      <c r="ERR53" s="193"/>
      <c r="ERS53" s="193"/>
      <c r="ERT53" s="193"/>
      <c r="ERU53" s="193"/>
      <c r="ERV53" s="193"/>
      <c r="ERW53" s="193"/>
      <c r="ERX53" s="193"/>
      <c r="ERY53" s="193"/>
      <c r="ERZ53" s="193"/>
      <c r="ESA53" s="193"/>
      <c r="ESB53" s="193"/>
      <c r="ESC53" s="193"/>
      <c r="ESD53" s="193"/>
      <c r="ESE53" s="193"/>
      <c r="ESF53" s="193"/>
      <c r="ESG53" s="193"/>
      <c r="ESH53" s="193"/>
      <c r="ESI53" s="193"/>
      <c r="ESJ53" s="193"/>
      <c r="ESK53" s="193"/>
      <c r="ESL53" s="193"/>
      <c r="ESM53" s="193"/>
      <c r="ESN53" s="193"/>
      <c r="ESO53" s="193"/>
      <c r="ESP53" s="193"/>
      <c r="ESQ53" s="193"/>
      <c r="ESR53" s="193"/>
      <c r="ESS53" s="193"/>
      <c r="EST53" s="193"/>
      <c r="ESU53" s="193"/>
      <c r="ESV53" s="193"/>
      <c r="ESW53" s="193"/>
      <c r="ESX53" s="193"/>
      <c r="ESY53" s="193"/>
      <c r="ESZ53" s="193"/>
      <c r="ETA53" s="193"/>
      <c r="ETB53" s="193"/>
      <c r="ETC53" s="193"/>
      <c r="ETD53" s="193"/>
      <c r="ETE53" s="193"/>
      <c r="ETF53" s="193"/>
      <c r="ETG53" s="193"/>
      <c r="ETH53" s="193"/>
      <c r="ETI53" s="193"/>
      <c r="ETJ53" s="193"/>
      <c r="ETK53" s="193"/>
      <c r="ETL53" s="193"/>
      <c r="ETM53" s="193"/>
      <c r="ETN53" s="193"/>
      <c r="ETO53" s="193"/>
      <c r="ETP53" s="193"/>
      <c r="ETQ53" s="193"/>
      <c r="ETR53" s="193"/>
      <c r="ETS53" s="193"/>
      <c r="ETT53" s="193"/>
      <c r="ETU53" s="193"/>
      <c r="ETV53" s="193"/>
      <c r="ETW53" s="193"/>
      <c r="ETX53" s="193"/>
      <c r="ETY53" s="193"/>
      <c r="ETZ53" s="193"/>
      <c r="EUA53" s="193"/>
      <c r="EUB53" s="193"/>
      <c r="EUC53" s="193"/>
      <c r="EUD53" s="193"/>
      <c r="EUE53" s="193"/>
      <c r="EUF53" s="193"/>
      <c r="EUG53" s="193"/>
      <c r="EUH53" s="193"/>
      <c r="EUI53" s="193"/>
      <c r="EUJ53" s="193"/>
      <c r="EUK53" s="193"/>
      <c r="EUL53" s="193"/>
      <c r="EUM53" s="193"/>
      <c r="EUN53" s="193"/>
      <c r="EUO53" s="193"/>
      <c r="EUP53" s="193"/>
      <c r="EUQ53" s="193"/>
      <c r="EUR53" s="193"/>
      <c r="EUS53" s="193"/>
      <c r="EUT53" s="193"/>
      <c r="EUU53" s="193"/>
      <c r="EUV53" s="193"/>
      <c r="EUW53" s="193"/>
      <c r="EUX53" s="193"/>
      <c r="EUY53" s="193"/>
      <c r="EUZ53" s="193"/>
      <c r="EVA53" s="193"/>
      <c r="EVB53" s="193"/>
      <c r="EVC53" s="193"/>
      <c r="EVD53" s="193"/>
      <c r="EVE53" s="193"/>
      <c r="EVF53" s="193"/>
      <c r="EVG53" s="193"/>
      <c r="EVH53" s="193"/>
      <c r="EVI53" s="193"/>
      <c r="EVJ53" s="193"/>
      <c r="EVK53" s="193"/>
      <c r="EVL53" s="193"/>
      <c r="EVM53" s="193"/>
      <c r="EVN53" s="193"/>
      <c r="EVO53" s="193"/>
      <c r="EVP53" s="193"/>
      <c r="EVQ53" s="193"/>
      <c r="EVR53" s="193"/>
      <c r="EVS53" s="193"/>
      <c r="EVT53" s="193"/>
      <c r="EVU53" s="193"/>
      <c r="EVV53" s="193"/>
      <c r="EVW53" s="193"/>
      <c r="EVX53" s="193"/>
      <c r="EVY53" s="193"/>
      <c r="EVZ53" s="193"/>
      <c r="EWA53" s="193"/>
      <c r="EWB53" s="193"/>
      <c r="EWC53" s="193"/>
      <c r="EWD53" s="193"/>
      <c r="EWE53" s="193"/>
      <c r="EWF53" s="193"/>
      <c r="EWG53" s="193"/>
      <c r="EWH53" s="193"/>
      <c r="EWI53" s="193"/>
      <c r="EWJ53" s="193"/>
      <c r="EWK53" s="193"/>
      <c r="EWL53" s="193"/>
      <c r="EWM53" s="193"/>
      <c r="EWN53" s="193"/>
      <c r="EWO53" s="193"/>
      <c r="EWP53" s="193"/>
      <c r="EWQ53" s="193"/>
      <c r="EWR53" s="193"/>
      <c r="EWS53" s="193"/>
      <c r="EWT53" s="193"/>
      <c r="EWU53" s="193"/>
      <c r="EWV53" s="193"/>
      <c r="EWW53" s="193"/>
      <c r="EWX53" s="193"/>
      <c r="EWY53" s="193"/>
      <c r="EWZ53" s="193"/>
      <c r="EXA53" s="193"/>
      <c r="EXB53" s="193"/>
      <c r="EXC53" s="193"/>
      <c r="EXD53" s="193"/>
      <c r="EXE53" s="193"/>
      <c r="EXF53" s="193"/>
      <c r="EXG53" s="193"/>
      <c r="EXH53" s="193"/>
      <c r="EXI53" s="193"/>
      <c r="EXJ53" s="193"/>
      <c r="EXK53" s="193"/>
      <c r="EXL53" s="193"/>
      <c r="EXM53" s="193"/>
      <c r="EXN53" s="193"/>
      <c r="EXO53" s="193"/>
      <c r="EXP53" s="193"/>
      <c r="EXQ53" s="193"/>
      <c r="EXR53" s="193"/>
      <c r="EXS53" s="193"/>
      <c r="EXT53" s="193"/>
      <c r="EXU53" s="193"/>
      <c r="EXV53" s="193"/>
      <c r="EXW53" s="193"/>
      <c r="EXX53" s="193"/>
      <c r="EXY53" s="193"/>
      <c r="EXZ53" s="193"/>
      <c r="EYA53" s="193"/>
      <c r="EYB53" s="193"/>
      <c r="EYC53" s="193"/>
      <c r="EYD53" s="193"/>
      <c r="EYE53" s="193"/>
      <c r="EYF53" s="193"/>
      <c r="EYG53" s="193"/>
      <c r="EYH53" s="193"/>
      <c r="EYI53" s="193"/>
      <c r="EYJ53" s="193"/>
      <c r="EYK53" s="193"/>
      <c r="EYL53" s="193"/>
      <c r="EYM53" s="193"/>
      <c r="EYN53" s="193"/>
      <c r="EYO53" s="193"/>
      <c r="EYP53" s="193"/>
      <c r="EYQ53" s="193"/>
      <c r="EYR53" s="193"/>
      <c r="EYS53" s="193"/>
      <c r="EYT53" s="193"/>
      <c r="EYU53" s="193"/>
      <c r="EYV53" s="193"/>
      <c r="EYW53" s="193"/>
      <c r="EYX53" s="193"/>
      <c r="EYY53" s="193"/>
      <c r="EYZ53" s="193"/>
      <c r="EZA53" s="193"/>
      <c r="EZB53" s="193"/>
      <c r="EZC53" s="193"/>
      <c r="EZD53" s="193"/>
      <c r="EZE53" s="193"/>
      <c r="EZF53" s="193"/>
      <c r="EZG53" s="193"/>
      <c r="EZH53" s="193"/>
      <c r="EZI53" s="193"/>
      <c r="EZJ53" s="193"/>
      <c r="EZK53" s="193"/>
      <c r="EZL53" s="193"/>
      <c r="EZM53" s="193"/>
      <c r="EZN53" s="193"/>
      <c r="EZO53" s="193"/>
      <c r="EZP53" s="193"/>
      <c r="EZQ53" s="193"/>
      <c r="EZR53" s="193"/>
      <c r="EZS53" s="193"/>
      <c r="EZT53" s="193"/>
      <c r="EZU53" s="193"/>
      <c r="EZV53" s="193"/>
      <c r="EZW53" s="193"/>
      <c r="EZX53" s="193"/>
      <c r="EZY53" s="193"/>
      <c r="EZZ53" s="193"/>
      <c r="FAA53" s="193"/>
      <c r="FAB53" s="193"/>
      <c r="FAC53" s="193"/>
      <c r="FAD53" s="193"/>
      <c r="FAE53" s="193"/>
      <c r="FAF53" s="193"/>
      <c r="FAG53" s="193"/>
      <c r="FAH53" s="193"/>
      <c r="FAI53" s="193"/>
      <c r="FAJ53" s="193"/>
      <c r="FAK53" s="193"/>
      <c r="FAL53" s="193"/>
      <c r="FAM53" s="193"/>
      <c r="FAN53" s="193"/>
      <c r="FAO53" s="193"/>
      <c r="FAP53" s="193"/>
      <c r="FAQ53" s="193"/>
      <c r="FAR53" s="193"/>
      <c r="FAS53" s="193"/>
      <c r="FAT53" s="193"/>
      <c r="FAU53" s="193"/>
      <c r="FAV53" s="193"/>
      <c r="FAW53" s="193"/>
      <c r="FAX53" s="193"/>
      <c r="FAY53" s="193"/>
      <c r="FAZ53" s="193"/>
      <c r="FBA53" s="193"/>
      <c r="FBB53" s="193"/>
      <c r="FBC53" s="193"/>
      <c r="FBD53" s="193"/>
      <c r="FBE53" s="193"/>
      <c r="FBF53" s="193"/>
      <c r="FBG53" s="193"/>
      <c r="FBH53" s="193"/>
      <c r="FBI53" s="193"/>
      <c r="FBJ53" s="193"/>
      <c r="FBK53" s="193"/>
      <c r="FBL53" s="193"/>
      <c r="FBM53" s="193"/>
      <c r="FBN53" s="193"/>
      <c r="FBO53" s="193"/>
      <c r="FBP53" s="193"/>
      <c r="FBQ53" s="193"/>
      <c r="FBR53" s="193"/>
      <c r="FBS53" s="193"/>
      <c r="FBT53" s="193"/>
      <c r="FBU53" s="193"/>
      <c r="FBV53" s="193"/>
      <c r="FBW53" s="193"/>
      <c r="FBX53" s="193"/>
      <c r="FBY53" s="193"/>
      <c r="FBZ53" s="193"/>
      <c r="FCA53" s="193"/>
      <c r="FCB53" s="193"/>
      <c r="FCC53" s="193"/>
      <c r="FCD53" s="193"/>
      <c r="FCE53" s="193"/>
      <c r="FCF53" s="193"/>
      <c r="FCG53" s="193"/>
      <c r="FCH53" s="193"/>
      <c r="FCI53" s="193"/>
      <c r="FCJ53" s="193"/>
      <c r="FCK53" s="193"/>
      <c r="FCL53" s="193"/>
      <c r="FCM53" s="193"/>
      <c r="FCN53" s="193"/>
      <c r="FCO53" s="193"/>
      <c r="FCP53" s="193"/>
      <c r="FCQ53" s="193"/>
      <c r="FCR53" s="193"/>
      <c r="FCS53" s="193"/>
      <c r="FCT53" s="193"/>
      <c r="FCU53" s="193"/>
      <c r="FCV53" s="193"/>
      <c r="FCW53" s="193"/>
      <c r="FCX53" s="193"/>
      <c r="FCY53" s="193"/>
      <c r="FCZ53" s="193"/>
      <c r="FDA53" s="193"/>
      <c r="FDB53" s="193"/>
      <c r="FDC53" s="193"/>
      <c r="FDD53" s="193"/>
      <c r="FDE53" s="193"/>
      <c r="FDF53" s="193"/>
      <c r="FDG53" s="193"/>
      <c r="FDH53" s="193"/>
      <c r="FDI53" s="193"/>
      <c r="FDJ53" s="193"/>
      <c r="FDK53" s="193"/>
      <c r="FDL53" s="193"/>
      <c r="FDM53" s="193"/>
      <c r="FDN53" s="193"/>
      <c r="FDO53" s="193"/>
      <c r="FDP53" s="193"/>
      <c r="FDQ53" s="193"/>
      <c r="FDR53" s="193"/>
      <c r="FDS53" s="193"/>
      <c r="FDT53" s="193"/>
      <c r="FDU53" s="193"/>
      <c r="FDV53" s="193"/>
      <c r="FDW53" s="193"/>
      <c r="FDX53" s="193"/>
      <c r="FDY53" s="193"/>
      <c r="FDZ53" s="193"/>
      <c r="FEA53" s="193"/>
      <c r="FEB53" s="193"/>
      <c r="FEC53" s="193"/>
      <c r="FED53" s="193"/>
      <c r="FEE53" s="193"/>
      <c r="FEF53" s="193"/>
      <c r="FEG53" s="193"/>
      <c r="FEH53" s="193"/>
      <c r="FEI53" s="193"/>
      <c r="FEJ53" s="193"/>
      <c r="FEK53" s="193"/>
      <c r="FEL53" s="193"/>
      <c r="FEM53" s="193"/>
      <c r="FEN53" s="193"/>
      <c r="FEO53" s="193"/>
      <c r="FEP53" s="193"/>
      <c r="FEQ53" s="193"/>
      <c r="FER53" s="193"/>
      <c r="FES53" s="193"/>
      <c r="FET53" s="193"/>
      <c r="FEU53" s="193"/>
      <c r="FEV53" s="193"/>
      <c r="FEW53" s="193"/>
      <c r="FEX53" s="193"/>
      <c r="FEY53" s="193"/>
      <c r="FEZ53" s="193"/>
      <c r="FFA53" s="193"/>
      <c r="FFB53" s="193"/>
      <c r="FFC53" s="193"/>
      <c r="FFD53" s="193"/>
      <c r="FFE53" s="193"/>
      <c r="FFF53" s="193"/>
      <c r="FFG53" s="193"/>
      <c r="FFH53" s="193"/>
      <c r="FFI53" s="193"/>
      <c r="FFJ53" s="193"/>
      <c r="FFK53" s="193"/>
      <c r="FFL53" s="193"/>
      <c r="FFM53" s="193"/>
      <c r="FFN53" s="193"/>
      <c r="FFO53" s="193"/>
      <c r="FFP53" s="193"/>
      <c r="FFQ53" s="193"/>
      <c r="FFR53" s="193"/>
      <c r="FFS53" s="193"/>
      <c r="FFT53" s="193"/>
      <c r="FFU53" s="193"/>
      <c r="FFV53" s="193"/>
      <c r="FFW53" s="193"/>
      <c r="FFX53" s="193"/>
      <c r="FFY53" s="193"/>
      <c r="FFZ53" s="193"/>
      <c r="FGA53" s="193"/>
      <c r="FGB53" s="193"/>
      <c r="FGC53" s="193"/>
      <c r="FGD53" s="193"/>
      <c r="FGE53" s="193"/>
      <c r="FGF53" s="193"/>
      <c r="FGG53" s="193"/>
      <c r="FGH53" s="193"/>
      <c r="FGI53" s="193"/>
      <c r="FGJ53" s="193"/>
      <c r="FGK53" s="193"/>
      <c r="FGL53" s="193"/>
      <c r="FGM53" s="193"/>
      <c r="FGN53" s="193"/>
      <c r="FGO53" s="193"/>
      <c r="FGP53" s="193"/>
      <c r="FGQ53" s="193"/>
      <c r="FGR53" s="193"/>
      <c r="FGS53" s="193"/>
      <c r="FGT53" s="193"/>
      <c r="FGU53" s="193"/>
      <c r="FGV53" s="193"/>
      <c r="FGW53" s="193"/>
      <c r="FGX53" s="193"/>
      <c r="FGY53" s="193"/>
      <c r="FGZ53" s="193"/>
      <c r="FHA53" s="193"/>
      <c r="FHB53" s="193"/>
      <c r="FHC53" s="193"/>
      <c r="FHD53" s="193"/>
      <c r="FHE53" s="193"/>
      <c r="FHF53" s="193"/>
      <c r="FHG53" s="193"/>
      <c r="FHH53" s="193"/>
      <c r="FHI53" s="193"/>
      <c r="FHJ53" s="193"/>
      <c r="FHK53" s="193"/>
      <c r="FHL53" s="193"/>
      <c r="FHM53" s="193"/>
      <c r="FHN53" s="193"/>
      <c r="FHO53" s="193"/>
      <c r="FHP53" s="193"/>
      <c r="FHQ53" s="193"/>
      <c r="FHR53" s="193"/>
      <c r="FHS53" s="193"/>
      <c r="FHT53" s="193"/>
      <c r="FHU53" s="193"/>
      <c r="FHV53" s="193"/>
      <c r="FHW53" s="193"/>
      <c r="FHX53" s="193"/>
      <c r="FHY53" s="193"/>
      <c r="FHZ53" s="193"/>
      <c r="FIA53" s="193"/>
      <c r="FIB53" s="193"/>
      <c r="FIC53" s="193"/>
      <c r="FID53" s="193"/>
      <c r="FIE53" s="193"/>
      <c r="FIF53" s="193"/>
      <c r="FIG53" s="193"/>
      <c r="FIH53" s="193"/>
      <c r="FII53" s="193"/>
      <c r="FIJ53" s="193"/>
      <c r="FIK53" s="193"/>
      <c r="FIL53" s="193"/>
      <c r="FIM53" s="193"/>
      <c r="FIN53" s="193"/>
      <c r="FIO53" s="193"/>
      <c r="FIP53" s="193"/>
      <c r="FIQ53" s="193"/>
      <c r="FIR53" s="193"/>
      <c r="FIS53" s="193"/>
      <c r="FIT53" s="193"/>
      <c r="FIU53" s="193"/>
      <c r="FIV53" s="193"/>
      <c r="FIW53" s="193"/>
      <c r="FIX53" s="193"/>
      <c r="FIY53" s="193"/>
      <c r="FIZ53" s="193"/>
      <c r="FJA53" s="193"/>
      <c r="FJB53" s="193"/>
      <c r="FJC53" s="193"/>
      <c r="FJD53" s="193"/>
      <c r="FJE53" s="193"/>
      <c r="FJF53" s="193"/>
      <c r="FJG53" s="193"/>
      <c r="FJH53" s="193"/>
      <c r="FJI53" s="193"/>
      <c r="FJJ53" s="193"/>
      <c r="FJK53" s="193"/>
      <c r="FJL53" s="193"/>
      <c r="FJM53" s="193"/>
      <c r="FJN53" s="193"/>
      <c r="FJO53" s="193"/>
      <c r="FJP53" s="193"/>
      <c r="FJQ53" s="193"/>
      <c r="FJR53" s="193"/>
      <c r="FJS53" s="193"/>
      <c r="FJT53" s="193"/>
      <c r="FJU53" s="193"/>
      <c r="FJV53" s="193"/>
      <c r="FJW53" s="193"/>
      <c r="FJX53" s="193"/>
      <c r="FJY53" s="193"/>
      <c r="FJZ53" s="193"/>
      <c r="FKA53" s="193"/>
      <c r="FKB53" s="193"/>
      <c r="FKC53" s="193"/>
      <c r="FKD53" s="193"/>
      <c r="FKE53" s="193"/>
      <c r="FKF53" s="193"/>
      <c r="FKG53" s="193"/>
      <c r="FKH53" s="193"/>
      <c r="FKI53" s="193"/>
      <c r="FKJ53" s="193"/>
      <c r="FKK53" s="193"/>
      <c r="FKL53" s="193"/>
      <c r="FKM53" s="193"/>
      <c r="FKN53" s="193"/>
      <c r="FKO53" s="193"/>
      <c r="FKP53" s="193"/>
      <c r="FKQ53" s="193"/>
      <c r="FKR53" s="193"/>
      <c r="FKS53" s="193"/>
      <c r="FKT53" s="193"/>
      <c r="FKU53" s="193"/>
      <c r="FKV53" s="193"/>
      <c r="FKW53" s="193"/>
      <c r="FKX53" s="193"/>
      <c r="FKY53" s="193"/>
      <c r="FKZ53" s="193"/>
      <c r="FLA53" s="193"/>
      <c r="FLB53" s="193"/>
      <c r="FLC53" s="193"/>
      <c r="FLD53" s="193"/>
      <c r="FLE53" s="193"/>
      <c r="FLF53" s="193"/>
      <c r="FLG53" s="193"/>
      <c r="FLH53" s="193"/>
      <c r="FLI53" s="193"/>
      <c r="FLJ53" s="193"/>
      <c r="FLK53" s="193"/>
      <c r="FLL53" s="193"/>
      <c r="FLM53" s="193"/>
      <c r="FLN53" s="193"/>
      <c r="FLO53" s="193"/>
      <c r="FLP53" s="193"/>
      <c r="FLQ53" s="193"/>
      <c r="FLR53" s="193"/>
      <c r="FLS53" s="193"/>
      <c r="FLT53" s="193"/>
      <c r="FLU53" s="193"/>
      <c r="FLV53" s="193"/>
      <c r="FLW53" s="193"/>
      <c r="FLX53" s="193"/>
      <c r="FLY53" s="193"/>
      <c r="FLZ53" s="193"/>
      <c r="FMA53" s="193"/>
      <c r="FMB53" s="193"/>
      <c r="FMC53" s="193"/>
      <c r="FMD53" s="193"/>
      <c r="FME53" s="193"/>
      <c r="FMF53" s="193"/>
      <c r="FMG53" s="193"/>
      <c r="FMH53" s="193"/>
      <c r="FMI53" s="193"/>
      <c r="FMJ53" s="193"/>
      <c r="FMK53" s="193"/>
      <c r="FML53" s="193"/>
      <c r="FMM53" s="193"/>
      <c r="FMN53" s="193"/>
      <c r="FMO53" s="193"/>
      <c r="FMP53" s="193"/>
      <c r="FMQ53" s="193"/>
      <c r="FMR53" s="193"/>
      <c r="FMS53" s="193"/>
      <c r="FMT53" s="193"/>
      <c r="FMU53" s="193"/>
      <c r="FMV53" s="193"/>
      <c r="FMW53" s="193"/>
      <c r="FMX53" s="193"/>
      <c r="FMY53" s="193"/>
      <c r="FMZ53" s="193"/>
      <c r="FNA53" s="193"/>
      <c r="FNB53" s="193"/>
      <c r="FNC53" s="193"/>
      <c r="FND53" s="193"/>
      <c r="FNE53" s="193"/>
      <c r="FNF53" s="193"/>
      <c r="FNG53" s="193"/>
      <c r="FNH53" s="193"/>
      <c r="FNI53" s="193"/>
      <c r="FNJ53" s="193"/>
      <c r="FNK53" s="193"/>
      <c r="FNL53" s="193"/>
      <c r="FNM53" s="193"/>
      <c r="FNN53" s="193"/>
      <c r="FNO53" s="193"/>
      <c r="FNP53" s="193"/>
      <c r="FNQ53" s="193"/>
      <c r="FNR53" s="193"/>
      <c r="FNS53" s="193"/>
      <c r="FNT53" s="193"/>
      <c r="FNU53" s="193"/>
      <c r="FNV53" s="193"/>
      <c r="FNW53" s="193"/>
      <c r="FNX53" s="193"/>
      <c r="FNY53" s="193"/>
      <c r="FNZ53" s="193"/>
      <c r="FOA53" s="193"/>
      <c r="FOB53" s="193"/>
      <c r="FOC53" s="193"/>
      <c r="FOD53" s="193"/>
      <c r="FOE53" s="193"/>
      <c r="FOF53" s="193"/>
      <c r="FOG53" s="193"/>
      <c r="FOH53" s="193"/>
      <c r="FOI53" s="193"/>
      <c r="FOJ53" s="193"/>
      <c r="FOK53" s="193"/>
      <c r="FOL53" s="193"/>
      <c r="FOM53" s="193"/>
      <c r="FON53" s="193"/>
      <c r="FOO53" s="193"/>
      <c r="FOP53" s="193"/>
      <c r="FOQ53" s="193"/>
      <c r="FOR53" s="193"/>
      <c r="FOS53" s="193"/>
      <c r="FOT53" s="193"/>
      <c r="FOU53" s="193"/>
      <c r="FOV53" s="193"/>
      <c r="FOW53" s="193"/>
      <c r="FOX53" s="193"/>
      <c r="FOY53" s="193"/>
      <c r="FOZ53" s="193"/>
      <c r="FPA53" s="193"/>
      <c r="FPB53" s="193"/>
      <c r="FPC53" s="193"/>
      <c r="FPD53" s="193"/>
      <c r="FPE53" s="193"/>
      <c r="FPF53" s="193"/>
      <c r="FPG53" s="193"/>
      <c r="FPH53" s="193"/>
      <c r="FPI53" s="193"/>
      <c r="FPJ53" s="193"/>
      <c r="FPK53" s="193"/>
      <c r="FPL53" s="193"/>
      <c r="FPM53" s="193"/>
      <c r="FPN53" s="193"/>
      <c r="FPO53" s="193"/>
      <c r="FPP53" s="193"/>
      <c r="FPQ53" s="193"/>
      <c r="FPR53" s="193"/>
      <c r="FPS53" s="193"/>
      <c r="FPT53" s="193"/>
      <c r="FPU53" s="193"/>
      <c r="FPV53" s="193"/>
      <c r="FPW53" s="193"/>
      <c r="FPX53" s="193"/>
      <c r="FPY53" s="193"/>
      <c r="FPZ53" s="193"/>
      <c r="FQA53" s="193"/>
      <c r="FQB53" s="193"/>
      <c r="FQC53" s="193"/>
      <c r="FQD53" s="193"/>
      <c r="FQE53" s="193"/>
      <c r="FQF53" s="193"/>
      <c r="FQG53" s="193"/>
      <c r="FQH53" s="193"/>
      <c r="FQI53" s="193"/>
      <c r="FQJ53" s="193"/>
      <c r="FQK53" s="193"/>
      <c r="FQL53" s="193"/>
      <c r="FQM53" s="193"/>
      <c r="FQN53" s="193"/>
      <c r="FQO53" s="193"/>
      <c r="FQP53" s="193"/>
      <c r="FQQ53" s="193"/>
      <c r="FQR53" s="193"/>
      <c r="FQS53" s="193"/>
      <c r="FQT53" s="193"/>
      <c r="FQU53" s="193"/>
      <c r="FQV53" s="193"/>
      <c r="FQW53" s="193"/>
      <c r="FQX53" s="193"/>
      <c r="FQY53" s="193"/>
      <c r="FQZ53" s="193"/>
      <c r="FRA53" s="193"/>
      <c r="FRB53" s="193"/>
      <c r="FRC53" s="193"/>
      <c r="FRD53" s="193"/>
      <c r="FRE53" s="193"/>
      <c r="FRF53" s="193"/>
      <c r="FRG53" s="193"/>
      <c r="FRH53" s="193"/>
      <c r="FRI53" s="193"/>
      <c r="FRJ53" s="193"/>
      <c r="FRK53" s="193"/>
      <c r="FRL53" s="193"/>
      <c r="FRM53" s="193"/>
      <c r="FRN53" s="193"/>
      <c r="FRO53" s="193"/>
      <c r="FRP53" s="193"/>
      <c r="FRQ53" s="193"/>
      <c r="FRR53" s="193"/>
      <c r="FRS53" s="193"/>
      <c r="FRT53" s="193"/>
      <c r="FRU53" s="193"/>
      <c r="FRV53" s="193"/>
      <c r="FRW53" s="193"/>
      <c r="FRX53" s="193"/>
      <c r="FRY53" s="193"/>
      <c r="FRZ53" s="193"/>
      <c r="FSA53" s="193"/>
      <c r="FSB53" s="193"/>
      <c r="FSC53" s="193"/>
      <c r="FSD53" s="193"/>
      <c r="FSE53" s="193"/>
      <c r="FSF53" s="193"/>
      <c r="FSG53" s="193"/>
      <c r="FSH53" s="193"/>
      <c r="FSI53" s="193"/>
      <c r="FSJ53" s="193"/>
      <c r="FSK53" s="193"/>
      <c r="FSL53" s="193"/>
      <c r="FSM53" s="193"/>
      <c r="FSN53" s="193"/>
      <c r="FSO53" s="193"/>
      <c r="FSP53" s="193"/>
      <c r="FSQ53" s="193"/>
      <c r="FSR53" s="193"/>
      <c r="FSS53" s="193"/>
      <c r="FST53" s="193"/>
      <c r="FSU53" s="193"/>
      <c r="FSV53" s="193"/>
      <c r="FSW53" s="193"/>
      <c r="FSX53" s="193"/>
      <c r="FSY53" s="193"/>
      <c r="FSZ53" s="193"/>
      <c r="FTA53" s="193"/>
      <c r="FTB53" s="193"/>
      <c r="FTC53" s="193"/>
      <c r="FTD53" s="193"/>
      <c r="FTE53" s="193"/>
      <c r="FTF53" s="193"/>
      <c r="FTG53" s="193"/>
      <c r="FTH53" s="193"/>
      <c r="FTI53" s="193"/>
      <c r="FTJ53" s="193"/>
      <c r="FTK53" s="193"/>
      <c r="FTL53" s="193"/>
      <c r="FTM53" s="193"/>
      <c r="FTN53" s="193"/>
      <c r="FTO53" s="193"/>
      <c r="FTP53" s="193"/>
      <c r="FTQ53" s="193"/>
      <c r="FTR53" s="193"/>
      <c r="FTS53" s="193"/>
      <c r="FTT53" s="193"/>
      <c r="FTU53" s="193"/>
      <c r="FTV53" s="193"/>
      <c r="FTW53" s="193"/>
      <c r="FTX53" s="193"/>
      <c r="FTY53" s="193"/>
      <c r="FTZ53" s="193"/>
      <c r="FUA53" s="193"/>
      <c r="FUB53" s="193"/>
      <c r="FUC53" s="193"/>
      <c r="FUD53" s="193"/>
      <c r="FUE53" s="193"/>
      <c r="FUF53" s="193"/>
      <c r="FUG53" s="193"/>
      <c r="FUH53" s="193"/>
      <c r="FUI53" s="193"/>
      <c r="FUJ53" s="193"/>
      <c r="FUK53" s="193"/>
      <c r="FUL53" s="193"/>
      <c r="FUM53" s="193"/>
      <c r="FUN53" s="193"/>
      <c r="FUO53" s="193"/>
      <c r="FUP53" s="193"/>
      <c r="FUQ53" s="193"/>
      <c r="FUR53" s="193"/>
      <c r="FUS53" s="193"/>
      <c r="FUT53" s="193"/>
      <c r="FUU53" s="193"/>
      <c r="FUV53" s="193"/>
      <c r="FUW53" s="193"/>
      <c r="FUX53" s="193"/>
      <c r="FUY53" s="193"/>
      <c r="FUZ53" s="193"/>
      <c r="FVA53" s="193"/>
      <c r="FVB53" s="193"/>
      <c r="FVC53" s="193"/>
      <c r="FVD53" s="193"/>
      <c r="FVE53" s="193"/>
      <c r="FVF53" s="193"/>
      <c r="FVG53" s="193"/>
      <c r="FVH53" s="193"/>
      <c r="FVI53" s="193"/>
      <c r="FVJ53" s="193"/>
      <c r="FVK53" s="193"/>
      <c r="FVL53" s="193"/>
      <c r="FVM53" s="193"/>
      <c r="FVN53" s="193"/>
      <c r="FVO53" s="193"/>
      <c r="FVP53" s="193"/>
      <c r="FVQ53" s="193"/>
      <c r="FVR53" s="193"/>
      <c r="FVS53" s="193"/>
      <c r="FVT53" s="193"/>
      <c r="FVU53" s="193"/>
      <c r="FVV53" s="193"/>
      <c r="FVW53" s="193"/>
      <c r="FVX53" s="193"/>
      <c r="FVY53" s="193"/>
      <c r="FVZ53" s="193"/>
      <c r="FWA53" s="193"/>
      <c r="FWB53" s="193"/>
      <c r="FWC53" s="193"/>
      <c r="FWD53" s="193"/>
      <c r="FWE53" s="193"/>
      <c r="FWF53" s="193"/>
      <c r="FWG53" s="193"/>
      <c r="FWH53" s="193"/>
      <c r="FWI53" s="193"/>
      <c r="FWJ53" s="193"/>
      <c r="FWK53" s="193"/>
      <c r="FWL53" s="193"/>
      <c r="FWM53" s="193"/>
      <c r="FWN53" s="193"/>
      <c r="FWO53" s="193"/>
      <c r="FWP53" s="193"/>
      <c r="FWQ53" s="193"/>
      <c r="FWR53" s="193"/>
      <c r="FWS53" s="193"/>
      <c r="FWT53" s="193"/>
      <c r="FWU53" s="193"/>
      <c r="FWV53" s="193"/>
      <c r="FWW53" s="193"/>
      <c r="FWX53" s="193"/>
      <c r="FWY53" s="193"/>
      <c r="FWZ53" s="193"/>
      <c r="FXA53" s="193"/>
      <c r="FXB53" s="193"/>
      <c r="FXC53" s="193"/>
      <c r="FXD53" s="193"/>
      <c r="FXE53" s="193"/>
      <c r="FXF53" s="193"/>
      <c r="FXG53" s="193"/>
      <c r="FXH53" s="193"/>
      <c r="FXI53" s="193"/>
      <c r="FXJ53" s="193"/>
      <c r="FXK53" s="193"/>
      <c r="FXL53" s="193"/>
      <c r="FXM53" s="193"/>
      <c r="FXN53" s="193"/>
      <c r="FXO53" s="193"/>
      <c r="FXP53" s="193"/>
      <c r="FXQ53" s="193"/>
      <c r="FXR53" s="193"/>
      <c r="FXS53" s="193"/>
      <c r="FXT53" s="193"/>
      <c r="FXU53" s="193"/>
      <c r="FXV53" s="193"/>
      <c r="FXW53" s="193"/>
      <c r="FXX53" s="193"/>
      <c r="FXY53" s="193"/>
      <c r="FXZ53" s="193"/>
      <c r="FYA53" s="193"/>
      <c r="FYB53" s="193"/>
      <c r="FYC53" s="193"/>
      <c r="FYD53" s="193"/>
      <c r="FYE53" s="193"/>
      <c r="FYF53" s="193"/>
      <c r="FYG53" s="193"/>
      <c r="FYH53" s="193"/>
      <c r="FYI53" s="193"/>
      <c r="FYJ53" s="193"/>
      <c r="FYK53" s="193"/>
      <c r="FYL53" s="193"/>
      <c r="FYM53" s="193"/>
      <c r="FYN53" s="193"/>
      <c r="FYO53" s="193"/>
      <c r="FYP53" s="193"/>
      <c r="FYQ53" s="193"/>
      <c r="FYR53" s="193"/>
      <c r="FYS53" s="193"/>
      <c r="FYT53" s="193"/>
      <c r="FYU53" s="193"/>
      <c r="FYV53" s="193"/>
      <c r="FYW53" s="193"/>
      <c r="FYX53" s="193"/>
      <c r="FYY53" s="193"/>
      <c r="FYZ53" s="193"/>
      <c r="FZA53" s="193"/>
      <c r="FZB53" s="193"/>
      <c r="FZC53" s="193"/>
      <c r="FZD53" s="193"/>
      <c r="FZE53" s="193"/>
      <c r="FZF53" s="193"/>
      <c r="FZG53" s="193"/>
      <c r="FZH53" s="193"/>
      <c r="FZI53" s="193"/>
      <c r="FZJ53" s="193"/>
      <c r="FZK53" s="193"/>
      <c r="FZL53" s="193"/>
      <c r="FZM53" s="193"/>
      <c r="FZN53" s="193"/>
      <c r="FZO53" s="193"/>
      <c r="FZP53" s="193"/>
      <c r="FZQ53" s="193"/>
      <c r="FZR53" s="193"/>
      <c r="FZS53" s="193"/>
      <c r="FZT53" s="193"/>
      <c r="FZU53" s="193"/>
      <c r="FZV53" s="193"/>
      <c r="FZW53" s="193"/>
      <c r="FZX53" s="193"/>
      <c r="FZY53" s="193"/>
      <c r="FZZ53" s="193"/>
      <c r="GAA53" s="193"/>
      <c r="GAB53" s="193"/>
      <c r="GAC53" s="193"/>
      <c r="GAD53" s="193"/>
      <c r="GAE53" s="193"/>
      <c r="GAF53" s="193"/>
      <c r="GAG53" s="193"/>
      <c r="GAH53" s="193"/>
      <c r="GAI53" s="193"/>
      <c r="GAJ53" s="193"/>
      <c r="GAK53" s="193"/>
      <c r="GAL53" s="193"/>
      <c r="GAM53" s="193"/>
      <c r="GAN53" s="193"/>
      <c r="GAO53" s="193"/>
      <c r="GAP53" s="193"/>
      <c r="GAQ53" s="193"/>
      <c r="GAR53" s="193"/>
      <c r="GAS53" s="193"/>
      <c r="GAT53" s="193"/>
      <c r="GAU53" s="193"/>
      <c r="GAV53" s="193"/>
      <c r="GAW53" s="193"/>
      <c r="GAX53" s="193"/>
      <c r="GAY53" s="193"/>
      <c r="GAZ53" s="193"/>
      <c r="GBA53" s="193"/>
      <c r="GBB53" s="193"/>
      <c r="GBC53" s="193"/>
      <c r="GBD53" s="193"/>
      <c r="GBE53" s="193"/>
      <c r="GBF53" s="193"/>
      <c r="GBG53" s="193"/>
      <c r="GBH53" s="193"/>
      <c r="GBI53" s="193"/>
      <c r="GBJ53" s="193"/>
      <c r="GBK53" s="193"/>
      <c r="GBL53" s="193"/>
      <c r="GBM53" s="193"/>
      <c r="GBN53" s="193"/>
      <c r="GBO53" s="193"/>
      <c r="GBP53" s="193"/>
      <c r="GBQ53" s="193"/>
      <c r="GBR53" s="193"/>
      <c r="GBS53" s="193"/>
      <c r="GBT53" s="193"/>
      <c r="GBU53" s="193"/>
      <c r="GBV53" s="193"/>
      <c r="GBW53" s="193"/>
      <c r="GBX53" s="193"/>
      <c r="GBY53" s="193"/>
      <c r="GBZ53" s="193"/>
      <c r="GCA53" s="193"/>
      <c r="GCB53" s="193"/>
      <c r="GCC53" s="193"/>
      <c r="GCD53" s="193"/>
      <c r="GCE53" s="193"/>
      <c r="GCF53" s="193"/>
      <c r="GCG53" s="193"/>
      <c r="GCH53" s="193"/>
      <c r="GCI53" s="193"/>
      <c r="GCJ53" s="193"/>
      <c r="GCK53" s="193"/>
      <c r="GCL53" s="193"/>
      <c r="GCM53" s="193"/>
      <c r="GCN53" s="193"/>
      <c r="GCO53" s="193"/>
      <c r="GCP53" s="193"/>
      <c r="GCQ53" s="193"/>
      <c r="GCR53" s="193"/>
      <c r="GCS53" s="193"/>
      <c r="GCT53" s="193"/>
      <c r="GCU53" s="193"/>
      <c r="GCV53" s="193"/>
      <c r="GCW53" s="193"/>
      <c r="GCX53" s="193"/>
      <c r="GCY53" s="193"/>
      <c r="GCZ53" s="193"/>
      <c r="GDA53" s="193"/>
      <c r="GDB53" s="193"/>
      <c r="GDC53" s="193"/>
      <c r="GDD53" s="193"/>
      <c r="GDE53" s="193"/>
      <c r="GDF53" s="193"/>
      <c r="GDG53" s="193"/>
      <c r="GDH53" s="193"/>
      <c r="GDI53" s="193"/>
      <c r="GDJ53" s="193"/>
      <c r="GDK53" s="193"/>
      <c r="GDL53" s="193"/>
      <c r="GDM53" s="193"/>
      <c r="GDN53" s="193"/>
      <c r="GDO53" s="193"/>
      <c r="GDP53" s="193"/>
      <c r="GDQ53" s="193"/>
      <c r="GDR53" s="193"/>
      <c r="GDS53" s="193"/>
      <c r="GDT53" s="193"/>
      <c r="GDU53" s="193"/>
      <c r="GDV53" s="193"/>
      <c r="GDW53" s="193"/>
      <c r="GDX53" s="193"/>
      <c r="GDY53" s="193"/>
      <c r="GDZ53" s="193"/>
      <c r="GEA53" s="193"/>
      <c r="GEB53" s="193"/>
      <c r="GEC53" s="193"/>
      <c r="GED53" s="193"/>
      <c r="GEE53" s="193"/>
      <c r="GEF53" s="193"/>
      <c r="GEG53" s="193"/>
      <c r="GEH53" s="193"/>
      <c r="GEI53" s="193"/>
      <c r="GEJ53" s="193"/>
      <c r="GEK53" s="193"/>
      <c r="GEL53" s="193"/>
      <c r="GEM53" s="193"/>
      <c r="GEN53" s="193"/>
      <c r="GEO53" s="193"/>
      <c r="GEP53" s="193"/>
      <c r="GEQ53" s="193"/>
      <c r="GER53" s="193"/>
      <c r="GES53" s="193"/>
      <c r="GET53" s="193"/>
      <c r="GEU53" s="193"/>
      <c r="GEV53" s="193"/>
      <c r="GEW53" s="193"/>
      <c r="GEX53" s="193"/>
      <c r="GEY53" s="193"/>
      <c r="GEZ53" s="193"/>
      <c r="GFA53" s="193"/>
      <c r="GFB53" s="193"/>
      <c r="GFC53" s="193"/>
      <c r="GFD53" s="193"/>
      <c r="GFE53" s="193"/>
      <c r="GFF53" s="193"/>
      <c r="GFG53" s="193"/>
      <c r="GFH53" s="193"/>
      <c r="GFI53" s="193"/>
      <c r="GFJ53" s="193"/>
      <c r="GFK53" s="193"/>
      <c r="GFL53" s="193"/>
      <c r="GFM53" s="193"/>
      <c r="GFN53" s="193"/>
      <c r="GFO53" s="193"/>
      <c r="GFP53" s="193"/>
      <c r="GFQ53" s="193"/>
      <c r="GFR53" s="193"/>
      <c r="GFS53" s="193"/>
      <c r="GFT53" s="193"/>
      <c r="GFU53" s="193"/>
      <c r="GFV53" s="193"/>
      <c r="GFW53" s="193"/>
      <c r="GFX53" s="193"/>
      <c r="GFY53" s="193"/>
      <c r="GFZ53" s="193"/>
      <c r="GGA53" s="193"/>
      <c r="GGB53" s="193"/>
      <c r="GGC53" s="193"/>
      <c r="GGD53" s="193"/>
      <c r="GGE53" s="193"/>
      <c r="GGF53" s="193"/>
      <c r="GGG53" s="193"/>
      <c r="GGH53" s="193"/>
      <c r="GGI53" s="193"/>
      <c r="GGJ53" s="193"/>
      <c r="GGK53" s="193"/>
      <c r="GGL53" s="193"/>
      <c r="GGM53" s="193"/>
      <c r="GGN53" s="193"/>
      <c r="GGO53" s="193"/>
      <c r="GGP53" s="193"/>
      <c r="GGQ53" s="193"/>
      <c r="GGR53" s="193"/>
      <c r="GGS53" s="193"/>
      <c r="GGT53" s="193"/>
      <c r="GGU53" s="193"/>
      <c r="GGV53" s="193"/>
      <c r="GGW53" s="193"/>
      <c r="GGX53" s="193"/>
      <c r="GGY53" s="193"/>
      <c r="GGZ53" s="193"/>
      <c r="GHA53" s="193"/>
      <c r="GHB53" s="193"/>
      <c r="GHC53" s="193"/>
      <c r="GHD53" s="193"/>
      <c r="GHE53" s="193"/>
      <c r="GHF53" s="193"/>
      <c r="GHG53" s="193"/>
      <c r="GHH53" s="193"/>
      <c r="GHI53" s="193"/>
      <c r="GHJ53" s="193"/>
      <c r="GHK53" s="193"/>
      <c r="GHL53" s="193"/>
      <c r="GHM53" s="193"/>
      <c r="GHN53" s="193"/>
      <c r="GHO53" s="193"/>
      <c r="GHP53" s="193"/>
      <c r="GHQ53" s="193"/>
      <c r="GHR53" s="193"/>
      <c r="GHS53" s="193"/>
      <c r="GHT53" s="193"/>
      <c r="GHU53" s="193"/>
      <c r="GHV53" s="193"/>
      <c r="GHW53" s="193"/>
      <c r="GHX53" s="193"/>
      <c r="GHY53" s="193"/>
      <c r="GHZ53" s="193"/>
      <c r="GIA53" s="193"/>
      <c r="GIB53" s="193"/>
      <c r="GIC53" s="193"/>
      <c r="GID53" s="193"/>
      <c r="GIE53" s="193"/>
      <c r="GIF53" s="193"/>
      <c r="GIG53" s="193"/>
      <c r="GIH53" s="193"/>
      <c r="GII53" s="193"/>
      <c r="GIJ53" s="193"/>
      <c r="GIK53" s="193"/>
      <c r="GIL53" s="193"/>
      <c r="GIM53" s="193"/>
      <c r="GIN53" s="193"/>
      <c r="GIO53" s="193"/>
      <c r="GIP53" s="193"/>
      <c r="GIQ53" s="193"/>
      <c r="GIR53" s="193"/>
      <c r="GIS53" s="193"/>
      <c r="GIT53" s="193"/>
      <c r="GIU53" s="193"/>
      <c r="GIV53" s="193"/>
      <c r="GIW53" s="193"/>
      <c r="GIX53" s="193"/>
      <c r="GIY53" s="193"/>
      <c r="GIZ53" s="193"/>
      <c r="GJA53" s="193"/>
      <c r="GJB53" s="193"/>
      <c r="GJC53" s="193"/>
      <c r="GJD53" s="193"/>
      <c r="GJE53" s="193"/>
      <c r="GJF53" s="193"/>
      <c r="GJG53" s="193"/>
      <c r="GJH53" s="193"/>
      <c r="GJI53" s="193"/>
      <c r="GJJ53" s="193"/>
      <c r="GJK53" s="193"/>
      <c r="GJL53" s="193"/>
      <c r="GJM53" s="193"/>
      <c r="GJN53" s="193"/>
      <c r="GJO53" s="193"/>
      <c r="GJP53" s="193"/>
      <c r="GJQ53" s="193"/>
      <c r="GJR53" s="193"/>
      <c r="GJS53" s="193"/>
      <c r="GJT53" s="193"/>
      <c r="GJU53" s="193"/>
      <c r="GJV53" s="193"/>
      <c r="GJW53" s="193"/>
      <c r="GJX53" s="193"/>
      <c r="GJY53" s="193"/>
      <c r="GJZ53" s="193"/>
      <c r="GKA53" s="193"/>
      <c r="GKB53" s="193"/>
      <c r="GKC53" s="193"/>
      <c r="GKD53" s="193"/>
      <c r="GKE53" s="193"/>
      <c r="GKF53" s="193"/>
      <c r="GKG53" s="193"/>
      <c r="GKH53" s="193"/>
      <c r="GKI53" s="193"/>
      <c r="GKJ53" s="193"/>
      <c r="GKK53" s="193"/>
      <c r="GKL53" s="193"/>
      <c r="GKM53" s="193"/>
      <c r="GKN53" s="193"/>
      <c r="GKO53" s="193"/>
      <c r="GKP53" s="193"/>
      <c r="GKQ53" s="193"/>
      <c r="GKR53" s="193"/>
      <c r="GKS53" s="193"/>
      <c r="GKT53" s="193"/>
      <c r="GKU53" s="193"/>
      <c r="GKV53" s="193"/>
      <c r="GKW53" s="193"/>
      <c r="GKX53" s="193"/>
      <c r="GKY53" s="193"/>
      <c r="GKZ53" s="193"/>
      <c r="GLA53" s="193"/>
      <c r="GLB53" s="193"/>
      <c r="GLC53" s="193"/>
      <c r="GLD53" s="193"/>
      <c r="GLE53" s="193"/>
      <c r="GLF53" s="193"/>
      <c r="GLG53" s="193"/>
      <c r="GLH53" s="193"/>
      <c r="GLI53" s="193"/>
      <c r="GLJ53" s="193"/>
      <c r="GLK53" s="193"/>
      <c r="GLL53" s="193"/>
      <c r="GLM53" s="193"/>
      <c r="GLN53" s="193"/>
      <c r="GLO53" s="193"/>
      <c r="GLP53" s="193"/>
      <c r="GLQ53" s="193"/>
      <c r="GLR53" s="193"/>
      <c r="GLS53" s="193"/>
      <c r="GLT53" s="193"/>
      <c r="GLU53" s="193"/>
      <c r="GLV53" s="193"/>
      <c r="GLW53" s="193"/>
      <c r="GLX53" s="193"/>
      <c r="GLY53" s="193"/>
      <c r="GLZ53" s="193"/>
      <c r="GMA53" s="193"/>
      <c r="GMB53" s="193"/>
      <c r="GMC53" s="193"/>
      <c r="GMD53" s="193"/>
      <c r="GME53" s="193"/>
      <c r="GMF53" s="193"/>
      <c r="GMG53" s="193"/>
      <c r="GMH53" s="193"/>
      <c r="GMI53" s="193"/>
      <c r="GMJ53" s="193"/>
      <c r="GMK53" s="193"/>
      <c r="GML53" s="193"/>
      <c r="GMM53" s="193"/>
      <c r="GMN53" s="193"/>
      <c r="GMO53" s="193"/>
      <c r="GMP53" s="193"/>
      <c r="GMQ53" s="193"/>
      <c r="GMR53" s="193"/>
      <c r="GMS53" s="193"/>
      <c r="GMT53" s="193"/>
      <c r="GMU53" s="193"/>
      <c r="GMV53" s="193"/>
      <c r="GMW53" s="193"/>
      <c r="GMX53" s="193"/>
      <c r="GMY53" s="193"/>
      <c r="GMZ53" s="193"/>
      <c r="GNA53" s="193"/>
      <c r="GNB53" s="193"/>
      <c r="GNC53" s="193"/>
      <c r="GND53" s="193"/>
      <c r="GNE53" s="193"/>
      <c r="GNF53" s="193"/>
      <c r="GNG53" s="193"/>
      <c r="GNH53" s="193"/>
      <c r="GNI53" s="193"/>
      <c r="GNJ53" s="193"/>
      <c r="GNK53" s="193"/>
      <c r="GNL53" s="193"/>
      <c r="GNM53" s="193"/>
      <c r="GNN53" s="193"/>
      <c r="GNO53" s="193"/>
      <c r="GNP53" s="193"/>
      <c r="GNQ53" s="193"/>
      <c r="GNR53" s="193"/>
      <c r="GNS53" s="193"/>
      <c r="GNT53" s="193"/>
      <c r="GNU53" s="193"/>
      <c r="GNV53" s="193"/>
      <c r="GNW53" s="193"/>
      <c r="GNX53" s="193"/>
      <c r="GNY53" s="193"/>
      <c r="GNZ53" s="193"/>
      <c r="GOA53" s="193"/>
      <c r="GOB53" s="193"/>
      <c r="GOC53" s="193"/>
      <c r="GOD53" s="193"/>
      <c r="GOE53" s="193"/>
      <c r="GOF53" s="193"/>
      <c r="GOG53" s="193"/>
      <c r="GOH53" s="193"/>
      <c r="GOI53" s="193"/>
      <c r="GOJ53" s="193"/>
      <c r="GOK53" s="193"/>
      <c r="GOL53" s="193"/>
      <c r="GOM53" s="193"/>
      <c r="GON53" s="193"/>
      <c r="GOO53" s="193"/>
      <c r="GOP53" s="193"/>
      <c r="GOQ53" s="193"/>
      <c r="GOR53" s="193"/>
      <c r="GOS53" s="193"/>
      <c r="GOT53" s="193"/>
      <c r="GOU53" s="193"/>
      <c r="GOV53" s="193"/>
      <c r="GOW53" s="193"/>
      <c r="GOX53" s="193"/>
      <c r="GOY53" s="193"/>
      <c r="GOZ53" s="193"/>
      <c r="GPA53" s="193"/>
      <c r="GPB53" s="193"/>
      <c r="GPC53" s="193"/>
      <c r="GPD53" s="193"/>
      <c r="GPE53" s="193"/>
      <c r="GPF53" s="193"/>
      <c r="GPG53" s="193"/>
      <c r="GPH53" s="193"/>
      <c r="GPI53" s="193"/>
      <c r="GPJ53" s="193"/>
      <c r="GPK53" s="193"/>
      <c r="GPL53" s="193"/>
      <c r="GPM53" s="193"/>
      <c r="GPN53" s="193"/>
      <c r="GPO53" s="193"/>
      <c r="GPP53" s="193"/>
      <c r="GPQ53" s="193"/>
      <c r="GPR53" s="193"/>
      <c r="GPS53" s="193"/>
      <c r="GPT53" s="193"/>
      <c r="GPU53" s="193"/>
      <c r="GPV53" s="193"/>
      <c r="GPW53" s="193"/>
      <c r="GPX53" s="193"/>
      <c r="GPY53" s="193"/>
      <c r="GPZ53" s="193"/>
      <c r="GQA53" s="193"/>
      <c r="GQB53" s="193"/>
      <c r="GQC53" s="193"/>
      <c r="GQD53" s="193"/>
      <c r="GQE53" s="193"/>
      <c r="GQF53" s="193"/>
      <c r="GQG53" s="193"/>
      <c r="GQH53" s="193"/>
      <c r="GQI53" s="193"/>
      <c r="GQJ53" s="193"/>
      <c r="GQK53" s="193"/>
      <c r="GQL53" s="193"/>
      <c r="GQM53" s="193"/>
      <c r="GQN53" s="193"/>
      <c r="GQO53" s="193"/>
      <c r="GQP53" s="193"/>
      <c r="GQQ53" s="193"/>
      <c r="GQR53" s="193"/>
      <c r="GQS53" s="193"/>
      <c r="GQT53" s="193"/>
      <c r="GQU53" s="193"/>
      <c r="GQV53" s="193"/>
      <c r="GQW53" s="193"/>
      <c r="GQX53" s="193"/>
      <c r="GQY53" s="193"/>
      <c r="GQZ53" s="193"/>
      <c r="GRA53" s="193"/>
      <c r="GRB53" s="193"/>
      <c r="GRC53" s="193"/>
      <c r="GRD53" s="193"/>
      <c r="GRE53" s="193"/>
      <c r="GRF53" s="193"/>
      <c r="GRG53" s="193"/>
      <c r="GRH53" s="193"/>
      <c r="GRI53" s="193"/>
      <c r="GRJ53" s="193"/>
      <c r="GRK53" s="193"/>
      <c r="GRL53" s="193"/>
      <c r="GRM53" s="193"/>
      <c r="GRN53" s="193"/>
      <c r="GRO53" s="193"/>
      <c r="GRP53" s="193"/>
      <c r="GRQ53" s="193"/>
      <c r="GRR53" s="193"/>
      <c r="GRS53" s="193"/>
      <c r="GRT53" s="193"/>
      <c r="GRU53" s="193"/>
      <c r="GRV53" s="193"/>
      <c r="GRW53" s="193"/>
      <c r="GRX53" s="193"/>
      <c r="GRY53" s="193"/>
      <c r="GRZ53" s="193"/>
      <c r="GSA53" s="193"/>
      <c r="GSB53" s="193"/>
      <c r="GSC53" s="193"/>
      <c r="GSD53" s="193"/>
      <c r="GSE53" s="193"/>
      <c r="GSF53" s="193"/>
      <c r="GSG53" s="193"/>
      <c r="GSH53" s="193"/>
      <c r="GSI53" s="193"/>
      <c r="GSJ53" s="193"/>
      <c r="GSK53" s="193"/>
      <c r="GSL53" s="193"/>
      <c r="GSM53" s="193"/>
      <c r="GSN53" s="193"/>
      <c r="GSO53" s="193"/>
      <c r="GSP53" s="193"/>
      <c r="GSQ53" s="193"/>
      <c r="GSR53" s="193"/>
      <c r="GSS53" s="193"/>
      <c r="GST53" s="193"/>
      <c r="GSU53" s="193"/>
      <c r="GSV53" s="193"/>
      <c r="GSW53" s="193"/>
      <c r="GSX53" s="193"/>
      <c r="GSY53" s="193"/>
      <c r="GSZ53" s="193"/>
      <c r="GTA53" s="193"/>
      <c r="GTB53" s="193"/>
      <c r="GTC53" s="193"/>
      <c r="GTD53" s="193"/>
      <c r="GTE53" s="193"/>
      <c r="GTF53" s="193"/>
      <c r="GTG53" s="193"/>
      <c r="GTH53" s="193"/>
      <c r="GTI53" s="193"/>
      <c r="GTJ53" s="193"/>
      <c r="GTK53" s="193"/>
      <c r="GTL53" s="193"/>
      <c r="GTM53" s="193"/>
      <c r="GTN53" s="193"/>
      <c r="GTO53" s="193"/>
      <c r="GTP53" s="193"/>
      <c r="GTQ53" s="193"/>
      <c r="GTR53" s="193"/>
      <c r="GTS53" s="193"/>
      <c r="GTT53" s="193"/>
      <c r="GTU53" s="193"/>
      <c r="GTV53" s="193"/>
      <c r="GTW53" s="193"/>
      <c r="GTX53" s="193"/>
      <c r="GTY53" s="193"/>
      <c r="GTZ53" s="193"/>
      <c r="GUA53" s="193"/>
      <c r="GUB53" s="193"/>
      <c r="GUC53" s="193"/>
      <c r="GUD53" s="193"/>
      <c r="GUE53" s="193"/>
      <c r="GUF53" s="193"/>
      <c r="GUG53" s="193"/>
      <c r="GUH53" s="193"/>
      <c r="GUI53" s="193"/>
      <c r="GUJ53" s="193"/>
      <c r="GUK53" s="193"/>
      <c r="GUL53" s="193"/>
      <c r="GUM53" s="193"/>
      <c r="GUN53" s="193"/>
      <c r="GUO53" s="193"/>
      <c r="GUP53" s="193"/>
      <c r="GUQ53" s="193"/>
      <c r="GUR53" s="193"/>
      <c r="GUS53" s="193"/>
      <c r="GUT53" s="193"/>
      <c r="GUU53" s="193"/>
      <c r="GUV53" s="193"/>
      <c r="GUW53" s="193"/>
      <c r="GUX53" s="193"/>
      <c r="GUY53" s="193"/>
      <c r="GUZ53" s="193"/>
      <c r="GVA53" s="193"/>
      <c r="GVB53" s="193"/>
      <c r="GVC53" s="193"/>
      <c r="GVD53" s="193"/>
      <c r="GVE53" s="193"/>
      <c r="GVF53" s="193"/>
      <c r="GVG53" s="193"/>
      <c r="GVH53" s="193"/>
      <c r="GVI53" s="193"/>
      <c r="GVJ53" s="193"/>
      <c r="GVK53" s="193"/>
      <c r="GVL53" s="193"/>
      <c r="GVM53" s="193"/>
      <c r="GVN53" s="193"/>
      <c r="GVO53" s="193"/>
      <c r="GVP53" s="193"/>
      <c r="GVQ53" s="193"/>
      <c r="GVR53" s="193"/>
      <c r="GVS53" s="193"/>
      <c r="GVT53" s="193"/>
      <c r="GVU53" s="193"/>
      <c r="GVV53" s="193"/>
      <c r="GVW53" s="193"/>
      <c r="GVX53" s="193"/>
      <c r="GVY53" s="193"/>
      <c r="GVZ53" s="193"/>
      <c r="GWA53" s="193"/>
      <c r="GWB53" s="193"/>
      <c r="GWC53" s="193"/>
      <c r="GWD53" s="193"/>
      <c r="GWE53" s="193"/>
      <c r="GWF53" s="193"/>
      <c r="GWG53" s="193"/>
      <c r="GWH53" s="193"/>
      <c r="GWI53" s="193"/>
      <c r="GWJ53" s="193"/>
      <c r="GWK53" s="193"/>
      <c r="GWL53" s="193"/>
      <c r="GWM53" s="193"/>
      <c r="GWN53" s="193"/>
      <c r="GWO53" s="193"/>
      <c r="GWP53" s="193"/>
      <c r="GWQ53" s="193"/>
      <c r="GWR53" s="193"/>
      <c r="GWS53" s="193"/>
      <c r="GWT53" s="193"/>
      <c r="GWU53" s="193"/>
      <c r="GWV53" s="193"/>
      <c r="GWW53" s="193"/>
      <c r="GWX53" s="193"/>
      <c r="GWY53" s="193"/>
      <c r="GWZ53" s="193"/>
      <c r="GXA53" s="193"/>
      <c r="GXB53" s="193"/>
      <c r="GXC53" s="193"/>
      <c r="GXD53" s="193"/>
      <c r="GXE53" s="193"/>
      <c r="GXF53" s="193"/>
      <c r="GXG53" s="193"/>
      <c r="GXH53" s="193"/>
      <c r="GXI53" s="193"/>
      <c r="GXJ53" s="193"/>
      <c r="GXK53" s="193"/>
      <c r="GXL53" s="193"/>
      <c r="GXM53" s="193"/>
      <c r="GXN53" s="193"/>
      <c r="GXO53" s="193"/>
      <c r="GXP53" s="193"/>
      <c r="GXQ53" s="193"/>
      <c r="GXR53" s="193"/>
      <c r="GXS53" s="193"/>
      <c r="GXT53" s="193"/>
      <c r="GXU53" s="193"/>
      <c r="GXV53" s="193"/>
      <c r="GXW53" s="193"/>
      <c r="GXX53" s="193"/>
      <c r="GXY53" s="193"/>
      <c r="GXZ53" s="193"/>
      <c r="GYA53" s="193"/>
      <c r="GYB53" s="193"/>
      <c r="GYC53" s="193"/>
      <c r="GYD53" s="193"/>
      <c r="GYE53" s="193"/>
      <c r="GYF53" s="193"/>
      <c r="GYG53" s="193"/>
      <c r="GYH53" s="193"/>
      <c r="GYI53" s="193"/>
      <c r="GYJ53" s="193"/>
      <c r="GYK53" s="193"/>
      <c r="GYL53" s="193"/>
      <c r="GYM53" s="193"/>
      <c r="GYN53" s="193"/>
      <c r="GYO53" s="193"/>
      <c r="GYP53" s="193"/>
      <c r="GYQ53" s="193"/>
      <c r="GYR53" s="193"/>
      <c r="GYS53" s="193"/>
      <c r="GYT53" s="193"/>
      <c r="GYU53" s="193"/>
      <c r="GYV53" s="193"/>
      <c r="GYW53" s="193"/>
      <c r="GYX53" s="193"/>
      <c r="GYY53" s="193"/>
      <c r="GYZ53" s="193"/>
      <c r="GZA53" s="193"/>
      <c r="GZB53" s="193"/>
      <c r="GZC53" s="193"/>
      <c r="GZD53" s="193"/>
      <c r="GZE53" s="193"/>
      <c r="GZF53" s="193"/>
      <c r="GZG53" s="193"/>
      <c r="GZH53" s="193"/>
      <c r="GZI53" s="193"/>
      <c r="GZJ53" s="193"/>
      <c r="GZK53" s="193"/>
      <c r="GZL53" s="193"/>
      <c r="GZM53" s="193"/>
      <c r="GZN53" s="193"/>
      <c r="GZO53" s="193"/>
      <c r="GZP53" s="193"/>
      <c r="GZQ53" s="193"/>
      <c r="GZR53" s="193"/>
      <c r="GZS53" s="193"/>
      <c r="GZT53" s="193"/>
      <c r="GZU53" s="193"/>
      <c r="GZV53" s="193"/>
      <c r="GZW53" s="193"/>
      <c r="GZX53" s="193"/>
      <c r="GZY53" s="193"/>
      <c r="GZZ53" s="193"/>
      <c r="HAA53" s="193"/>
      <c r="HAB53" s="193"/>
      <c r="HAC53" s="193"/>
      <c r="HAD53" s="193"/>
      <c r="HAE53" s="193"/>
      <c r="HAF53" s="193"/>
      <c r="HAG53" s="193"/>
      <c r="HAH53" s="193"/>
      <c r="HAI53" s="193"/>
      <c r="HAJ53" s="193"/>
      <c r="HAK53" s="193"/>
      <c r="HAL53" s="193"/>
      <c r="HAM53" s="193"/>
      <c r="HAN53" s="193"/>
      <c r="HAO53" s="193"/>
      <c r="HAP53" s="193"/>
      <c r="HAQ53" s="193"/>
      <c r="HAR53" s="193"/>
      <c r="HAS53" s="193"/>
      <c r="HAT53" s="193"/>
      <c r="HAU53" s="193"/>
      <c r="HAV53" s="193"/>
      <c r="HAW53" s="193"/>
      <c r="HAX53" s="193"/>
      <c r="HAY53" s="193"/>
      <c r="HAZ53" s="193"/>
      <c r="HBA53" s="193"/>
      <c r="HBB53" s="193"/>
      <c r="HBC53" s="193"/>
      <c r="HBD53" s="193"/>
      <c r="HBE53" s="193"/>
      <c r="HBF53" s="193"/>
      <c r="HBG53" s="193"/>
      <c r="HBH53" s="193"/>
      <c r="HBI53" s="193"/>
      <c r="HBJ53" s="193"/>
      <c r="HBK53" s="193"/>
      <c r="HBL53" s="193"/>
      <c r="HBM53" s="193"/>
      <c r="HBN53" s="193"/>
      <c r="HBO53" s="193"/>
      <c r="HBP53" s="193"/>
      <c r="HBQ53" s="193"/>
      <c r="HBR53" s="193"/>
      <c r="HBS53" s="193"/>
      <c r="HBT53" s="193"/>
      <c r="HBU53" s="193"/>
      <c r="HBV53" s="193"/>
      <c r="HBW53" s="193"/>
      <c r="HBX53" s="193"/>
      <c r="HBY53" s="193"/>
      <c r="HBZ53" s="193"/>
      <c r="HCA53" s="193"/>
      <c r="HCB53" s="193"/>
      <c r="HCC53" s="193"/>
      <c r="HCD53" s="193"/>
      <c r="HCE53" s="193"/>
      <c r="HCF53" s="193"/>
      <c r="HCG53" s="193"/>
      <c r="HCH53" s="193"/>
      <c r="HCI53" s="193"/>
      <c r="HCJ53" s="193"/>
      <c r="HCK53" s="193"/>
      <c r="HCL53" s="193"/>
      <c r="HCM53" s="193"/>
      <c r="HCN53" s="193"/>
      <c r="HCO53" s="193"/>
      <c r="HCP53" s="193"/>
      <c r="HCQ53" s="193"/>
      <c r="HCR53" s="193"/>
      <c r="HCS53" s="193"/>
      <c r="HCT53" s="193"/>
      <c r="HCU53" s="193"/>
      <c r="HCV53" s="193"/>
      <c r="HCW53" s="193"/>
      <c r="HCX53" s="193"/>
      <c r="HCY53" s="193"/>
      <c r="HCZ53" s="193"/>
      <c r="HDA53" s="193"/>
      <c r="HDB53" s="193"/>
      <c r="HDC53" s="193"/>
      <c r="HDD53" s="193"/>
      <c r="HDE53" s="193"/>
      <c r="HDF53" s="193"/>
      <c r="HDG53" s="193"/>
      <c r="HDH53" s="193"/>
      <c r="HDI53" s="193"/>
      <c r="HDJ53" s="193"/>
      <c r="HDK53" s="193"/>
      <c r="HDL53" s="193"/>
      <c r="HDM53" s="193"/>
      <c r="HDN53" s="193"/>
      <c r="HDO53" s="193"/>
      <c r="HDP53" s="193"/>
      <c r="HDQ53" s="193"/>
      <c r="HDR53" s="193"/>
      <c r="HDS53" s="193"/>
      <c r="HDT53" s="193"/>
      <c r="HDU53" s="193"/>
      <c r="HDV53" s="193"/>
      <c r="HDW53" s="193"/>
      <c r="HDX53" s="193"/>
      <c r="HDY53" s="193"/>
      <c r="HDZ53" s="193"/>
      <c r="HEA53" s="193"/>
      <c r="HEB53" s="193"/>
      <c r="HEC53" s="193"/>
      <c r="HED53" s="193"/>
      <c r="HEE53" s="193"/>
      <c r="HEF53" s="193"/>
      <c r="HEG53" s="193"/>
      <c r="HEH53" s="193"/>
      <c r="HEI53" s="193"/>
      <c r="HEJ53" s="193"/>
      <c r="HEK53" s="193"/>
      <c r="HEL53" s="193"/>
      <c r="HEM53" s="193"/>
      <c r="HEN53" s="193"/>
      <c r="HEO53" s="193"/>
      <c r="HEP53" s="193"/>
      <c r="HEQ53" s="193"/>
      <c r="HER53" s="193"/>
      <c r="HES53" s="193"/>
      <c r="HET53" s="193"/>
      <c r="HEU53" s="193"/>
      <c r="HEV53" s="193"/>
      <c r="HEW53" s="193"/>
      <c r="HEX53" s="193"/>
      <c r="HEY53" s="193"/>
      <c r="HEZ53" s="193"/>
      <c r="HFA53" s="193"/>
      <c r="HFB53" s="193"/>
      <c r="HFC53" s="193"/>
      <c r="HFD53" s="193"/>
      <c r="HFE53" s="193"/>
      <c r="HFF53" s="193"/>
      <c r="HFG53" s="193"/>
      <c r="HFH53" s="193"/>
      <c r="HFI53" s="193"/>
      <c r="HFJ53" s="193"/>
      <c r="HFK53" s="193"/>
      <c r="HFL53" s="193"/>
      <c r="HFM53" s="193"/>
      <c r="HFN53" s="193"/>
      <c r="HFO53" s="193"/>
      <c r="HFP53" s="193"/>
      <c r="HFQ53" s="193"/>
      <c r="HFR53" s="193"/>
      <c r="HFS53" s="193"/>
      <c r="HFT53" s="193"/>
      <c r="HFU53" s="193"/>
      <c r="HFV53" s="193"/>
      <c r="HFW53" s="193"/>
      <c r="HFX53" s="193"/>
      <c r="HFY53" s="193"/>
      <c r="HFZ53" s="193"/>
      <c r="HGA53" s="193"/>
      <c r="HGB53" s="193"/>
      <c r="HGC53" s="193"/>
      <c r="HGD53" s="193"/>
      <c r="HGE53" s="193"/>
      <c r="HGF53" s="193"/>
      <c r="HGG53" s="193"/>
      <c r="HGH53" s="193"/>
      <c r="HGI53" s="193"/>
      <c r="HGJ53" s="193"/>
      <c r="HGK53" s="193"/>
      <c r="HGL53" s="193"/>
      <c r="HGM53" s="193"/>
      <c r="HGN53" s="193"/>
      <c r="HGO53" s="193"/>
      <c r="HGP53" s="193"/>
      <c r="HGQ53" s="193"/>
      <c r="HGR53" s="193"/>
      <c r="HGS53" s="193"/>
      <c r="HGT53" s="193"/>
      <c r="HGU53" s="193"/>
      <c r="HGV53" s="193"/>
      <c r="HGW53" s="193"/>
      <c r="HGX53" s="193"/>
      <c r="HGY53" s="193"/>
      <c r="HGZ53" s="193"/>
      <c r="HHA53" s="193"/>
      <c r="HHB53" s="193"/>
      <c r="HHC53" s="193"/>
      <c r="HHD53" s="193"/>
      <c r="HHE53" s="193"/>
      <c r="HHF53" s="193"/>
      <c r="HHG53" s="193"/>
      <c r="HHH53" s="193"/>
      <c r="HHI53" s="193"/>
      <c r="HHJ53" s="193"/>
      <c r="HHK53" s="193"/>
      <c r="HHL53" s="193"/>
      <c r="HHM53" s="193"/>
      <c r="HHN53" s="193"/>
      <c r="HHO53" s="193"/>
      <c r="HHP53" s="193"/>
      <c r="HHQ53" s="193"/>
      <c r="HHR53" s="193"/>
      <c r="HHS53" s="193"/>
      <c r="HHT53" s="193"/>
      <c r="HHU53" s="193"/>
      <c r="HHV53" s="193"/>
      <c r="HHW53" s="193"/>
      <c r="HHX53" s="193"/>
      <c r="HHY53" s="193"/>
      <c r="HHZ53" s="193"/>
      <c r="HIA53" s="193"/>
      <c r="HIB53" s="193"/>
      <c r="HIC53" s="193"/>
      <c r="HID53" s="193"/>
      <c r="HIE53" s="193"/>
      <c r="HIF53" s="193"/>
      <c r="HIG53" s="193"/>
      <c r="HIH53" s="193"/>
      <c r="HII53" s="193"/>
      <c r="HIJ53" s="193"/>
      <c r="HIK53" s="193"/>
      <c r="HIL53" s="193"/>
      <c r="HIM53" s="193"/>
      <c r="HIN53" s="193"/>
      <c r="HIO53" s="193"/>
      <c r="HIP53" s="193"/>
      <c r="HIQ53" s="193"/>
      <c r="HIR53" s="193"/>
      <c r="HIS53" s="193"/>
      <c r="HIT53" s="193"/>
      <c r="HIU53" s="193"/>
      <c r="HIV53" s="193"/>
      <c r="HIW53" s="193"/>
      <c r="HIX53" s="193"/>
      <c r="HIY53" s="193"/>
      <c r="HIZ53" s="193"/>
      <c r="HJA53" s="193"/>
      <c r="HJB53" s="193"/>
      <c r="HJC53" s="193"/>
      <c r="HJD53" s="193"/>
      <c r="HJE53" s="193"/>
      <c r="HJF53" s="193"/>
      <c r="HJG53" s="193"/>
      <c r="HJH53" s="193"/>
      <c r="HJI53" s="193"/>
      <c r="HJJ53" s="193"/>
      <c r="HJK53" s="193"/>
      <c r="HJL53" s="193"/>
      <c r="HJM53" s="193"/>
      <c r="HJN53" s="193"/>
      <c r="HJO53" s="193"/>
      <c r="HJP53" s="193"/>
      <c r="HJQ53" s="193"/>
      <c r="HJR53" s="193"/>
      <c r="HJS53" s="193"/>
      <c r="HJT53" s="193"/>
      <c r="HJU53" s="193"/>
      <c r="HJV53" s="193"/>
      <c r="HJW53" s="193"/>
      <c r="HJX53" s="193"/>
      <c r="HJY53" s="193"/>
      <c r="HJZ53" s="193"/>
      <c r="HKA53" s="193"/>
      <c r="HKB53" s="193"/>
      <c r="HKC53" s="193"/>
      <c r="HKD53" s="193"/>
      <c r="HKE53" s="193"/>
      <c r="HKF53" s="193"/>
      <c r="HKG53" s="193"/>
      <c r="HKH53" s="193"/>
      <c r="HKI53" s="193"/>
      <c r="HKJ53" s="193"/>
      <c r="HKK53" s="193"/>
      <c r="HKL53" s="193"/>
      <c r="HKM53" s="193"/>
      <c r="HKN53" s="193"/>
      <c r="HKO53" s="193"/>
      <c r="HKP53" s="193"/>
      <c r="HKQ53" s="193"/>
      <c r="HKR53" s="193"/>
      <c r="HKS53" s="193"/>
      <c r="HKT53" s="193"/>
      <c r="HKU53" s="193"/>
      <c r="HKV53" s="193"/>
      <c r="HKW53" s="193"/>
      <c r="HKX53" s="193"/>
      <c r="HKY53" s="193"/>
      <c r="HKZ53" s="193"/>
      <c r="HLA53" s="193"/>
      <c r="HLB53" s="193"/>
      <c r="HLC53" s="193"/>
      <c r="HLD53" s="193"/>
      <c r="HLE53" s="193"/>
      <c r="HLF53" s="193"/>
      <c r="HLG53" s="193"/>
      <c r="HLH53" s="193"/>
      <c r="HLI53" s="193"/>
      <c r="HLJ53" s="193"/>
      <c r="HLK53" s="193"/>
      <c r="HLL53" s="193"/>
      <c r="HLM53" s="193"/>
      <c r="HLN53" s="193"/>
      <c r="HLO53" s="193"/>
      <c r="HLP53" s="193"/>
      <c r="HLQ53" s="193"/>
      <c r="HLR53" s="193"/>
      <c r="HLS53" s="193"/>
      <c r="HLT53" s="193"/>
      <c r="HLU53" s="193"/>
      <c r="HLV53" s="193"/>
      <c r="HLW53" s="193"/>
      <c r="HLX53" s="193"/>
      <c r="HLY53" s="193"/>
      <c r="HLZ53" s="193"/>
      <c r="HMA53" s="193"/>
      <c r="HMB53" s="193"/>
      <c r="HMC53" s="193"/>
      <c r="HMD53" s="193"/>
      <c r="HME53" s="193"/>
      <c r="HMF53" s="193"/>
      <c r="HMG53" s="193"/>
      <c r="HMH53" s="193"/>
      <c r="HMI53" s="193"/>
      <c r="HMJ53" s="193"/>
      <c r="HMK53" s="193"/>
      <c r="HML53" s="193"/>
      <c r="HMM53" s="193"/>
      <c r="HMN53" s="193"/>
      <c r="HMO53" s="193"/>
      <c r="HMP53" s="193"/>
      <c r="HMQ53" s="193"/>
      <c r="HMR53" s="193"/>
      <c r="HMS53" s="193"/>
      <c r="HMT53" s="193"/>
      <c r="HMU53" s="193"/>
      <c r="HMV53" s="193"/>
      <c r="HMW53" s="193"/>
      <c r="HMX53" s="193"/>
      <c r="HMY53" s="193"/>
      <c r="HMZ53" s="193"/>
      <c r="HNA53" s="193"/>
      <c r="HNB53" s="193"/>
      <c r="HNC53" s="193"/>
      <c r="HND53" s="193"/>
      <c r="HNE53" s="193"/>
      <c r="HNF53" s="193"/>
      <c r="HNG53" s="193"/>
      <c r="HNH53" s="193"/>
      <c r="HNI53" s="193"/>
      <c r="HNJ53" s="193"/>
      <c r="HNK53" s="193"/>
      <c r="HNL53" s="193"/>
      <c r="HNM53" s="193"/>
      <c r="HNN53" s="193"/>
      <c r="HNO53" s="193"/>
      <c r="HNP53" s="193"/>
      <c r="HNQ53" s="193"/>
      <c r="HNR53" s="193"/>
      <c r="HNS53" s="193"/>
      <c r="HNT53" s="193"/>
      <c r="HNU53" s="193"/>
      <c r="HNV53" s="193"/>
      <c r="HNW53" s="193"/>
      <c r="HNX53" s="193"/>
      <c r="HNY53" s="193"/>
      <c r="HNZ53" s="193"/>
      <c r="HOA53" s="193"/>
      <c r="HOB53" s="193"/>
      <c r="HOC53" s="193"/>
      <c r="HOD53" s="193"/>
      <c r="HOE53" s="193"/>
      <c r="HOF53" s="193"/>
      <c r="HOG53" s="193"/>
      <c r="HOH53" s="193"/>
      <c r="HOI53" s="193"/>
      <c r="HOJ53" s="193"/>
      <c r="HOK53" s="193"/>
      <c r="HOL53" s="193"/>
      <c r="HOM53" s="193"/>
      <c r="HON53" s="193"/>
      <c r="HOO53" s="193"/>
      <c r="HOP53" s="193"/>
      <c r="HOQ53" s="193"/>
      <c r="HOR53" s="193"/>
      <c r="HOS53" s="193"/>
      <c r="HOT53" s="193"/>
      <c r="HOU53" s="193"/>
      <c r="HOV53" s="193"/>
      <c r="HOW53" s="193"/>
      <c r="HOX53" s="193"/>
      <c r="HOY53" s="193"/>
      <c r="HOZ53" s="193"/>
      <c r="HPA53" s="193"/>
      <c r="HPB53" s="193"/>
      <c r="HPC53" s="193"/>
      <c r="HPD53" s="193"/>
      <c r="HPE53" s="193"/>
      <c r="HPF53" s="193"/>
      <c r="HPG53" s="193"/>
      <c r="HPH53" s="193"/>
      <c r="HPI53" s="193"/>
      <c r="HPJ53" s="193"/>
      <c r="HPK53" s="193"/>
      <c r="HPL53" s="193"/>
      <c r="HPM53" s="193"/>
      <c r="HPN53" s="193"/>
      <c r="HPO53" s="193"/>
      <c r="HPP53" s="193"/>
      <c r="HPQ53" s="193"/>
      <c r="HPR53" s="193"/>
      <c r="HPS53" s="193"/>
      <c r="HPT53" s="193"/>
      <c r="HPU53" s="193"/>
      <c r="HPV53" s="193"/>
      <c r="HPW53" s="193"/>
      <c r="HPX53" s="193"/>
      <c r="HPY53" s="193"/>
      <c r="HPZ53" s="193"/>
      <c r="HQA53" s="193"/>
      <c r="HQB53" s="193"/>
      <c r="HQC53" s="193"/>
      <c r="HQD53" s="193"/>
      <c r="HQE53" s="193"/>
      <c r="HQF53" s="193"/>
      <c r="HQG53" s="193"/>
      <c r="HQH53" s="193"/>
      <c r="HQI53" s="193"/>
      <c r="HQJ53" s="193"/>
      <c r="HQK53" s="193"/>
      <c r="HQL53" s="193"/>
      <c r="HQM53" s="193"/>
      <c r="HQN53" s="193"/>
      <c r="HQO53" s="193"/>
      <c r="HQP53" s="193"/>
      <c r="HQQ53" s="193"/>
      <c r="HQR53" s="193"/>
      <c r="HQS53" s="193"/>
      <c r="HQT53" s="193"/>
      <c r="HQU53" s="193"/>
      <c r="HQV53" s="193"/>
      <c r="HQW53" s="193"/>
      <c r="HQX53" s="193"/>
      <c r="HQY53" s="193"/>
      <c r="HQZ53" s="193"/>
      <c r="HRA53" s="193"/>
      <c r="HRB53" s="193"/>
      <c r="HRC53" s="193"/>
      <c r="HRD53" s="193"/>
      <c r="HRE53" s="193"/>
      <c r="HRF53" s="193"/>
      <c r="HRG53" s="193"/>
      <c r="HRH53" s="193"/>
      <c r="HRI53" s="193"/>
      <c r="HRJ53" s="193"/>
      <c r="HRK53" s="193"/>
      <c r="HRL53" s="193"/>
      <c r="HRM53" s="193"/>
      <c r="HRN53" s="193"/>
      <c r="HRO53" s="193"/>
      <c r="HRP53" s="193"/>
      <c r="HRQ53" s="193"/>
      <c r="HRR53" s="193"/>
      <c r="HRS53" s="193"/>
      <c r="HRT53" s="193"/>
      <c r="HRU53" s="193"/>
      <c r="HRV53" s="193"/>
      <c r="HRW53" s="193"/>
      <c r="HRX53" s="193"/>
      <c r="HRY53" s="193"/>
      <c r="HRZ53" s="193"/>
      <c r="HSA53" s="193"/>
      <c r="HSB53" s="193"/>
      <c r="HSC53" s="193"/>
      <c r="HSD53" s="193"/>
      <c r="HSE53" s="193"/>
      <c r="HSF53" s="193"/>
      <c r="HSG53" s="193"/>
      <c r="HSH53" s="193"/>
      <c r="HSI53" s="193"/>
      <c r="HSJ53" s="193"/>
      <c r="HSK53" s="193"/>
      <c r="HSL53" s="193"/>
      <c r="HSM53" s="193"/>
      <c r="HSN53" s="193"/>
      <c r="HSO53" s="193"/>
      <c r="HSP53" s="193"/>
      <c r="HSQ53" s="193"/>
      <c r="HSR53" s="193"/>
      <c r="HSS53" s="193"/>
      <c r="HST53" s="193"/>
      <c r="HSU53" s="193"/>
      <c r="HSV53" s="193"/>
      <c r="HSW53" s="193"/>
      <c r="HSX53" s="193"/>
      <c r="HSY53" s="193"/>
      <c r="HSZ53" s="193"/>
      <c r="HTA53" s="193"/>
      <c r="HTB53" s="193"/>
      <c r="HTC53" s="193"/>
      <c r="HTD53" s="193"/>
      <c r="HTE53" s="193"/>
      <c r="HTF53" s="193"/>
      <c r="HTG53" s="193"/>
      <c r="HTH53" s="193"/>
      <c r="HTI53" s="193"/>
      <c r="HTJ53" s="193"/>
      <c r="HTK53" s="193"/>
      <c r="HTL53" s="193"/>
      <c r="HTM53" s="193"/>
      <c r="HTN53" s="193"/>
      <c r="HTO53" s="193"/>
      <c r="HTP53" s="193"/>
      <c r="HTQ53" s="193"/>
      <c r="HTR53" s="193"/>
      <c r="HTS53" s="193"/>
      <c r="HTT53" s="193"/>
      <c r="HTU53" s="193"/>
      <c r="HTV53" s="193"/>
      <c r="HTW53" s="193"/>
      <c r="HTX53" s="193"/>
      <c r="HTY53" s="193"/>
      <c r="HTZ53" s="193"/>
      <c r="HUA53" s="193"/>
      <c r="HUB53" s="193"/>
      <c r="HUC53" s="193"/>
      <c r="HUD53" s="193"/>
      <c r="HUE53" s="193"/>
      <c r="HUF53" s="193"/>
      <c r="HUG53" s="193"/>
      <c r="HUH53" s="193"/>
      <c r="HUI53" s="193"/>
      <c r="HUJ53" s="193"/>
      <c r="HUK53" s="193"/>
      <c r="HUL53" s="193"/>
      <c r="HUM53" s="193"/>
      <c r="HUN53" s="193"/>
      <c r="HUO53" s="193"/>
      <c r="HUP53" s="193"/>
      <c r="HUQ53" s="193"/>
      <c r="HUR53" s="193"/>
      <c r="HUS53" s="193"/>
      <c r="HUT53" s="193"/>
      <c r="HUU53" s="193"/>
      <c r="HUV53" s="193"/>
      <c r="HUW53" s="193"/>
      <c r="HUX53" s="193"/>
      <c r="HUY53" s="193"/>
      <c r="HUZ53" s="193"/>
      <c r="HVA53" s="193"/>
      <c r="HVB53" s="193"/>
      <c r="HVC53" s="193"/>
      <c r="HVD53" s="193"/>
      <c r="HVE53" s="193"/>
      <c r="HVF53" s="193"/>
      <c r="HVG53" s="193"/>
      <c r="HVH53" s="193"/>
      <c r="HVI53" s="193"/>
      <c r="HVJ53" s="193"/>
      <c r="HVK53" s="193"/>
      <c r="HVL53" s="193"/>
      <c r="HVM53" s="193"/>
      <c r="HVN53" s="193"/>
      <c r="HVO53" s="193"/>
      <c r="HVP53" s="193"/>
      <c r="HVQ53" s="193"/>
      <c r="HVR53" s="193"/>
      <c r="HVS53" s="193"/>
      <c r="HVT53" s="193"/>
      <c r="HVU53" s="193"/>
      <c r="HVV53" s="193"/>
      <c r="HVW53" s="193"/>
      <c r="HVX53" s="193"/>
      <c r="HVY53" s="193"/>
      <c r="HVZ53" s="193"/>
      <c r="HWA53" s="193"/>
      <c r="HWB53" s="193"/>
      <c r="HWC53" s="193"/>
      <c r="HWD53" s="193"/>
      <c r="HWE53" s="193"/>
      <c r="HWF53" s="193"/>
      <c r="HWG53" s="193"/>
      <c r="HWH53" s="193"/>
      <c r="HWI53" s="193"/>
      <c r="HWJ53" s="193"/>
      <c r="HWK53" s="193"/>
      <c r="HWL53" s="193"/>
      <c r="HWM53" s="193"/>
      <c r="HWN53" s="193"/>
      <c r="HWO53" s="193"/>
      <c r="HWP53" s="193"/>
      <c r="HWQ53" s="193"/>
      <c r="HWR53" s="193"/>
      <c r="HWS53" s="193"/>
      <c r="HWT53" s="193"/>
      <c r="HWU53" s="193"/>
      <c r="HWV53" s="193"/>
      <c r="HWW53" s="193"/>
      <c r="HWX53" s="193"/>
      <c r="HWY53" s="193"/>
      <c r="HWZ53" s="193"/>
      <c r="HXA53" s="193"/>
      <c r="HXB53" s="193"/>
      <c r="HXC53" s="193"/>
      <c r="HXD53" s="193"/>
      <c r="HXE53" s="193"/>
      <c r="HXF53" s="193"/>
      <c r="HXG53" s="193"/>
      <c r="HXH53" s="193"/>
      <c r="HXI53" s="193"/>
      <c r="HXJ53" s="193"/>
      <c r="HXK53" s="193"/>
      <c r="HXL53" s="193"/>
      <c r="HXM53" s="193"/>
      <c r="HXN53" s="193"/>
      <c r="HXO53" s="193"/>
      <c r="HXP53" s="193"/>
      <c r="HXQ53" s="193"/>
      <c r="HXR53" s="193"/>
      <c r="HXS53" s="193"/>
      <c r="HXT53" s="193"/>
      <c r="HXU53" s="193"/>
      <c r="HXV53" s="193"/>
      <c r="HXW53" s="193"/>
      <c r="HXX53" s="193"/>
      <c r="HXY53" s="193"/>
      <c r="HXZ53" s="193"/>
      <c r="HYA53" s="193"/>
      <c r="HYB53" s="193"/>
      <c r="HYC53" s="193"/>
      <c r="HYD53" s="193"/>
      <c r="HYE53" s="193"/>
      <c r="HYF53" s="193"/>
      <c r="HYG53" s="193"/>
      <c r="HYH53" s="193"/>
      <c r="HYI53" s="193"/>
      <c r="HYJ53" s="193"/>
      <c r="HYK53" s="193"/>
      <c r="HYL53" s="193"/>
      <c r="HYM53" s="193"/>
      <c r="HYN53" s="193"/>
      <c r="HYO53" s="193"/>
      <c r="HYP53" s="193"/>
      <c r="HYQ53" s="193"/>
      <c r="HYR53" s="193"/>
      <c r="HYS53" s="193"/>
      <c r="HYT53" s="193"/>
      <c r="HYU53" s="193"/>
      <c r="HYV53" s="193"/>
      <c r="HYW53" s="193"/>
      <c r="HYX53" s="193"/>
      <c r="HYY53" s="193"/>
      <c r="HYZ53" s="193"/>
      <c r="HZA53" s="193"/>
      <c r="HZB53" s="193"/>
      <c r="HZC53" s="193"/>
      <c r="HZD53" s="193"/>
      <c r="HZE53" s="193"/>
      <c r="HZF53" s="193"/>
      <c r="HZG53" s="193"/>
      <c r="HZH53" s="193"/>
      <c r="HZI53" s="193"/>
      <c r="HZJ53" s="193"/>
      <c r="HZK53" s="193"/>
      <c r="HZL53" s="193"/>
      <c r="HZM53" s="193"/>
      <c r="HZN53" s="193"/>
      <c r="HZO53" s="193"/>
      <c r="HZP53" s="193"/>
      <c r="HZQ53" s="193"/>
      <c r="HZR53" s="193"/>
      <c r="HZS53" s="193"/>
      <c r="HZT53" s="193"/>
      <c r="HZU53" s="193"/>
      <c r="HZV53" s="193"/>
      <c r="HZW53" s="193"/>
      <c r="HZX53" s="193"/>
      <c r="HZY53" s="193"/>
      <c r="HZZ53" s="193"/>
      <c r="IAA53" s="193"/>
      <c r="IAB53" s="193"/>
      <c r="IAC53" s="193"/>
      <c r="IAD53" s="193"/>
      <c r="IAE53" s="193"/>
      <c r="IAF53" s="193"/>
      <c r="IAG53" s="193"/>
      <c r="IAH53" s="193"/>
      <c r="IAI53" s="193"/>
      <c r="IAJ53" s="193"/>
      <c r="IAK53" s="193"/>
      <c r="IAL53" s="193"/>
      <c r="IAM53" s="193"/>
      <c r="IAN53" s="193"/>
      <c r="IAO53" s="193"/>
      <c r="IAP53" s="193"/>
      <c r="IAQ53" s="193"/>
      <c r="IAR53" s="193"/>
      <c r="IAS53" s="193"/>
      <c r="IAT53" s="193"/>
      <c r="IAU53" s="193"/>
      <c r="IAV53" s="193"/>
      <c r="IAW53" s="193"/>
      <c r="IAX53" s="193"/>
      <c r="IAY53" s="193"/>
      <c r="IAZ53" s="193"/>
      <c r="IBA53" s="193"/>
      <c r="IBB53" s="193"/>
      <c r="IBC53" s="193"/>
      <c r="IBD53" s="193"/>
      <c r="IBE53" s="193"/>
      <c r="IBF53" s="193"/>
      <c r="IBG53" s="193"/>
      <c r="IBH53" s="193"/>
      <c r="IBI53" s="193"/>
      <c r="IBJ53" s="193"/>
      <c r="IBK53" s="193"/>
      <c r="IBL53" s="193"/>
      <c r="IBM53" s="193"/>
      <c r="IBN53" s="193"/>
      <c r="IBO53" s="193"/>
      <c r="IBP53" s="193"/>
      <c r="IBQ53" s="193"/>
      <c r="IBR53" s="193"/>
      <c r="IBS53" s="193"/>
      <c r="IBT53" s="193"/>
      <c r="IBU53" s="193"/>
      <c r="IBV53" s="193"/>
      <c r="IBW53" s="193"/>
      <c r="IBX53" s="193"/>
      <c r="IBY53" s="193"/>
      <c r="IBZ53" s="193"/>
      <c r="ICA53" s="193"/>
      <c r="ICB53" s="193"/>
      <c r="ICC53" s="193"/>
      <c r="ICD53" s="193"/>
      <c r="ICE53" s="193"/>
      <c r="ICF53" s="193"/>
      <c r="ICG53" s="193"/>
      <c r="ICH53" s="193"/>
      <c r="ICI53" s="193"/>
      <c r="ICJ53" s="193"/>
      <c r="ICK53" s="193"/>
      <c r="ICL53" s="193"/>
      <c r="ICM53" s="193"/>
      <c r="ICN53" s="193"/>
      <c r="ICO53" s="193"/>
      <c r="ICP53" s="193"/>
      <c r="ICQ53" s="193"/>
      <c r="ICR53" s="193"/>
      <c r="ICS53" s="193"/>
      <c r="ICT53" s="193"/>
      <c r="ICU53" s="193"/>
      <c r="ICV53" s="193"/>
      <c r="ICW53" s="193"/>
      <c r="ICX53" s="193"/>
      <c r="ICY53" s="193"/>
      <c r="ICZ53" s="193"/>
      <c r="IDA53" s="193"/>
      <c r="IDB53" s="193"/>
      <c r="IDC53" s="193"/>
      <c r="IDD53" s="193"/>
      <c r="IDE53" s="193"/>
      <c r="IDF53" s="193"/>
      <c r="IDG53" s="193"/>
      <c r="IDH53" s="193"/>
      <c r="IDI53" s="193"/>
      <c r="IDJ53" s="193"/>
      <c r="IDK53" s="193"/>
      <c r="IDL53" s="193"/>
      <c r="IDM53" s="193"/>
      <c r="IDN53" s="193"/>
      <c r="IDO53" s="193"/>
      <c r="IDP53" s="193"/>
      <c r="IDQ53" s="193"/>
      <c r="IDR53" s="193"/>
      <c r="IDS53" s="193"/>
      <c r="IDT53" s="193"/>
      <c r="IDU53" s="193"/>
      <c r="IDV53" s="193"/>
      <c r="IDW53" s="193"/>
      <c r="IDX53" s="193"/>
      <c r="IDY53" s="193"/>
      <c r="IDZ53" s="193"/>
      <c r="IEA53" s="193"/>
      <c r="IEB53" s="193"/>
      <c r="IEC53" s="193"/>
      <c r="IED53" s="193"/>
      <c r="IEE53" s="193"/>
      <c r="IEF53" s="193"/>
      <c r="IEG53" s="193"/>
      <c r="IEH53" s="193"/>
      <c r="IEI53" s="193"/>
      <c r="IEJ53" s="193"/>
      <c r="IEK53" s="193"/>
      <c r="IEL53" s="193"/>
      <c r="IEM53" s="193"/>
      <c r="IEN53" s="193"/>
      <c r="IEO53" s="193"/>
      <c r="IEP53" s="193"/>
      <c r="IEQ53" s="193"/>
      <c r="IER53" s="193"/>
      <c r="IES53" s="193"/>
      <c r="IET53" s="193"/>
      <c r="IEU53" s="193"/>
      <c r="IEV53" s="193"/>
      <c r="IEW53" s="193"/>
      <c r="IEX53" s="193"/>
      <c r="IEY53" s="193"/>
      <c r="IEZ53" s="193"/>
      <c r="IFA53" s="193"/>
      <c r="IFB53" s="193"/>
      <c r="IFC53" s="193"/>
      <c r="IFD53" s="193"/>
      <c r="IFE53" s="193"/>
      <c r="IFF53" s="193"/>
      <c r="IFG53" s="193"/>
      <c r="IFH53" s="193"/>
      <c r="IFI53" s="193"/>
      <c r="IFJ53" s="193"/>
      <c r="IFK53" s="193"/>
      <c r="IFL53" s="193"/>
      <c r="IFM53" s="193"/>
      <c r="IFN53" s="193"/>
      <c r="IFO53" s="193"/>
      <c r="IFP53" s="193"/>
      <c r="IFQ53" s="193"/>
      <c r="IFR53" s="193"/>
      <c r="IFS53" s="193"/>
      <c r="IFT53" s="193"/>
      <c r="IFU53" s="193"/>
      <c r="IFV53" s="193"/>
      <c r="IFW53" s="193"/>
      <c r="IFX53" s="193"/>
      <c r="IFY53" s="193"/>
      <c r="IFZ53" s="193"/>
      <c r="IGA53" s="193"/>
      <c r="IGB53" s="193"/>
      <c r="IGC53" s="193"/>
      <c r="IGD53" s="193"/>
      <c r="IGE53" s="193"/>
      <c r="IGF53" s="193"/>
      <c r="IGG53" s="193"/>
      <c r="IGH53" s="193"/>
      <c r="IGI53" s="193"/>
      <c r="IGJ53" s="193"/>
      <c r="IGK53" s="193"/>
      <c r="IGL53" s="193"/>
      <c r="IGM53" s="193"/>
      <c r="IGN53" s="193"/>
      <c r="IGO53" s="193"/>
      <c r="IGP53" s="193"/>
      <c r="IGQ53" s="193"/>
      <c r="IGR53" s="193"/>
      <c r="IGS53" s="193"/>
      <c r="IGT53" s="193"/>
      <c r="IGU53" s="193"/>
      <c r="IGV53" s="193"/>
      <c r="IGW53" s="193"/>
      <c r="IGX53" s="193"/>
      <c r="IGY53" s="193"/>
      <c r="IGZ53" s="193"/>
      <c r="IHA53" s="193"/>
      <c r="IHB53" s="193"/>
      <c r="IHC53" s="193"/>
      <c r="IHD53" s="193"/>
      <c r="IHE53" s="193"/>
      <c r="IHF53" s="193"/>
      <c r="IHG53" s="193"/>
      <c r="IHH53" s="193"/>
      <c r="IHI53" s="193"/>
      <c r="IHJ53" s="193"/>
      <c r="IHK53" s="193"/>
      <c r="IHL53" s="193"/>
      <c r="IHM53" s="193"/>
      <c r="IHN53" s="193"/>
      <c r="IHO53" s="193"/>
      <c r="IHP53" s="193"/>
      <c r="IHQ53" s="193"/>
      <c r="IHR53" s="193"/>
      <c r="IHS53" s="193"/>
      <c r="IHT53" s="193"/>
      <c r="IHU53" s="193"/>
      <c r="IHV53" s="193"/>
      <c r="IHW53" s="193"/>
      <c r="IHX53" s="193"/>
      <c r="IHY53" s="193"/>
      <c r="IHZ53" s="193"/>
      <c r="IIA53" s="193"/>
      <c r="IIB53" s="193"/>
      <c r="IIC53" s="193"/>
      <c r="IID53" s="193"/>
      <c r="IIE53" s="193"/>
      <c r="IIF53" s="193"/>
      <c r="IIG53" s="193"/>
      <c r="IIH53" s="193"/>
      <c r="III53" s="193"/>
      <c r="IIJ53" s="193"/>
      <c r="IIK53" s="193"/>
      <c r="IIL53" s="193"/>
      <c r="IIM53" s="193"/>
      <c r="IIN53" s="193"/>
      <c r="IIO53" s="193"/>
      <c r="IIP53" s="193"/>
      <c r="IIQ53" s="193"/>
      <c r="IIR53" s="193"/>
      <c r="IIS53" s="193"/>
      <c r="IIT53" s="193"/>
      <c r="IIU53" s="193"/>
      <c r="IIV53" s="193"/>
      <c r="IIW53" s="193"/>
      <c r="IIX53" s="193"/>
      <c r="IIY53" s="193"/>
      <c r="IIZ53" s="193"/>
      <c r="IJA53" s="193"/>
      <c r="IJB53" s="193"/>
      <c r="IJC53" s="193"/>
      <c r="IJD53" s="193"/>
      <c r="IJE53" s="193"/>
      <c r="IJF53" s="193"/>
      <c r="IJG53" s="193"/>
      <c r="IJH53" s="193"/>
      <c r="IJI53" s="193"/>
      <c r="IJJ53" s="193"/>
      <c r="IJK53" s="193"/>
      <c r="IJL53" s="193"/>
      <c r="IJM53" s="193"/>
      <c r="IJN53" s="193"/>
      <c r="IJO53" s="193"/>
      <c r="IJP53" s="193"/>
      <c r="IJQ53" s="193"/>
      <c r="IJR53" s="193"/>
      <c r="IJS53" s="193"/>
      <c r="IJT53" s="193"/>
      <c r="IJU53" s="193"/>
      <c r="IJV53" s="193"/>
      <c r="IJW53" s="193"/>
      <c r="IJX53" s="193"/>
      <c r="IJY53" s="193"/>
      <c r="IJZ53" s="193"/>
      <c r="IKA53" s="193"/>
      <c r="IKB53" s="193"/>
      <c r="IKC53" s="193"/>
      <c r="IKD53" s="193"/>
      <c r="IKE53" s="193"/>
      <c r="IKF53" s="193"/>
      <c r="IKG53" s="193"/>
      <c r="IKH53" s="193"/>
      <c r="IKI53" s="193"/>
      <c r="IKJ53" s="193"/>
      <c r="IKK53" s="193"/>
      <c r="IKL53" s="193"/>
      <c r="IKM53" s="193"/>
      <c r="IKN53" s="193"/>
      <c r="IKO53" s="193"/>
      <c r="IKP53" s="193"/>
      <c r="IKQ53" s="193"/>
      <c r="IKR53" s="193"/>
      <c r="IKS53" s="193"/>
      <c r="IKT53" s="193"/>
      <c r="IKU53" s="193"/>
      <c r="IKV53" s="193"/>
      <c r="IKW53" s="193"/>
      <c r="IKX53" s="193"/>
      <c r="IKY53" s="193"/>
      <c r="IKZ53" s="193"/>
      <c r="ILA53" s="193"/>
      <c r="ILB53" s="193"/>
      <c r="ILC53" s="193"/>
      <c r="ILD53" s="193"/>
      <c r="ILE53" s="193"/>
      <c r="ILF53" s="193"/>
      <c r="ILG53" s="193"/>
      <c r="ILH53" s="193"/>
      <c r="ILI53" s="193"/>
      <c r="ILJ53" s="193"/>
      <c r="ILK53" s="193"/>
      <c r="ILL53" s="193"/>
      <c r="ILM53" s="193"/>
      <c r="ILN53" s="193"/>
      <c r="ILO53" s="193"/>
      <c r="ILP53" s="193"/>
      <c r="ILQ53" s="193"/>
      <c r="ILR53" s="193"/>
      <c r="ILS53" s="193"/>
      <c r="ILT53" s="193"/>
      <c r="ILU53" s="193"/>
      <c r="ILV53" s="193"/>
      <c r="ILW53" s="193"/>
      <c r="ILX53" s="193"/>
      <c r="ILY53" s="193"/>
      <c r="ILZ53" s="193"/>
      <c r="IMA53" s="193"/>
      <c r="IMB53" s="193"/>
      <c r="IMC53" s="193"/>
      <c r="IMD53" s="193"/>
      <c r="IME53" s="193"/>
      <c r="IMF53" s="193"/>
      <c r="IMG53" s="193"/>
      <c r="IMH53" s="193"/>
      <c r="IMI53" s="193"/>
      <c r="IMJ53" s="193"/>
      <c r="IMK53" s="193"/>
      <c r="IML53" s="193"/>
      <c r="IMM53" s="193"/>
      <c r="IMN53" s="193"/>
      <c r="IMO53" s="193"/>
      <c r="IMP53" s="193"/>
      <c r="IMQ53" s="193"/>
      <c r="IMR53" s="193"/>
      <c r="IMS53" s="193"/>
      <c r="IMT53" s="193"/>
      <c r="IMU53" s="193"/>
      <c r="IMV53" s="193"/>
      <c r="IMW53" s="193"/>
      <c r="IMX53" s="193"/>
      <c r="IMY53" s="193"/>
      <c r="IMZ53" s="193"/>
      <c r="INA53" s="193"/>
      <c r="INB53" s="193"/>
      <c r="INC53" s="193"/>
      <c r="IND53" s="193"/>
      <c r="INE53" s="193"/>
      <c r="INF53" s="193"/>
      <c r="ING53" s="193"/>
      <c r="INH53" s="193"/>
      <c r="INI53" s="193"/>
      <c r="INJ53" s="193"/>
      <c r="INK53" s="193"/>
      <c r="INL53" s="193"/>
      <c r="INM53" s="193"/>
      <c r="INN53" s="193"/>
      <c r="INO53" s="193"/>
      <c r="INP53" s="193"/>
      <c r="INQ53" s="193"/>
      <c r="INR53" s="193"/>
      <c r="INS53" s="193"/>
      <c r="INT53" s="193"/>
      <c r="INU53" s="193"/>
      <c r="INV53" s="193"/>
      <c r="INW53" s="193"/>
      <c r="INX53" s="193"/>
      <c r="INY53" s="193"/>
      <c r="INZ53" s="193"/>
      <c r="IOA53" s="193"/>
      <c r="IOB53" s="193"/>
      <c r="IOC53" s="193"/>
      <c r="IOD53" s="193"/>
      <c r="IOE53" s="193"/>
      <c r="IOF53" s="193"/>
      <c r="IOG53" s="193"/>
      <c r="IOH53" s="193"/>
      <c r="IOI53" s="193"/>
      <c r="IOJ53" s="193"/>
      <c r="IOK53" s="193"/>
      <c r="IOL53" s="193"/>
      <c r="IOM53" s="193"/>
      <c r="ION53" s="193"/>
      <c r="IOO53" s="193"/>
      <c r="IOP53" s="193"/>
      <c r="IOQ53" s="193"/>
      <c r="IOR53" s="193"/>
      <c r="IOS53" s="193"/>
      <c r="IOT53" s="193"/>
      <c r="IOU53" s="193"/>
      <c r="IOV53" s="193"/>
      <c r="IOW53" s="193"/>
      <c r="IOX53" s="193"/>
      <c r="IOY53" s="193"/>
      <c r="IOZ53" s="193"/>
      <c r="IPA53" s="193"/>
      <c r="IPB53" s="193"/>
      <c r="IPC53" s="193"/>
      <c r="IPD53" s="193"/>
      <c r="IPE53" s="193"/>
      <c r="IPF53" s="193"/>
      <c r="IPG53" s="193"/>
      <c r="IPH53" s="193"/>
      <c r="IPI53" s="193"/>
      <c r="IPJ53" s="193"/>
      <c r="IPK53" s="193"/>
      <c r="IPL53" s="193"/>
      <c r="IPM53" s="193"/>
      <c r="IPN53" s="193"/>
      <c r="IPO53" s="193"/>
      <c r="IPP53" s="193"/>
      <c r="IPQ53" s="193"/>
      <c r="IPR53" s="193"/>
      <c r="IPS53" s="193"/>
      <c r="IPT53" s="193"/>
      <c r="IPU53" s="193"/>
      <c r="IPV53" s="193"/>
      <c r="IPW53" s="193"/>
      <c r="IPX53" s="193"/>
      <c r="IPY53" s="193"/>
      <c r="IPZ53" s="193"/>
      <c r="IQA53" s="193"/>
      <c r="IQB53" s="193"/>
      <c r="IQC53" s="193"/>
      <c r="IQD53" s="193"/>
      <c r="IQE53" s="193"/>
      <c r="IQF53" s="193"/>
      <c r="IQG53" s="193"/>
      <c r="IQH53" s="193"/>
      <c r="IQI53" s="193"/>
      <c r="IQJ53" s="193"/>
      <c r="IQK53" s="193"/>
      <c r="IQL53" s="193"/>
      <c r="IQM53" s="193"/>
      <c r="IQN53" s="193"/>
      <c r="IQO53" s="193"/>
      <c r="IQP53" s="193"/>
      <c r="IQQ53" s="193"/>
      <c r="IQR53" s="193"/>
      <c r="IQS53" s="193"/>
      <c r="IQT53" s="193"/>
      <c r="IQU53" s="193"/>
      <c r="IQV53" s="193"/>
      <c r="IQW53" s="193"/>
      <c r="IQX53" s="193"/>
      <c r="IQY53" s="193"/>
      <c r="IQZ53" s="193"/>
      <c r="IRA53" s="193"/>
      <c r="IRB53" s="193"/>
      <c r="IRC53" s="193"/>
      <c r="IRD53" s="193"/>
      <c r="IRE53" s="193"/>
      <c r="IRF53" s="193"/>
      <c r="IRG53" s="193"/>
      <c r="IRH53" s="193"/>
      <c r="IRI53" s="193"/>
      <c r="IRJ53" s="193"/>
      <c r="IRK53" s="193"/>
      <c r="IRL53" s="193"/>
      <c r="IRM53" s="193"/>
      <c r="IRN53" s="193"/>
      <c r="IRO53" s="193"/>
      <c r="IRP53" s="193"/>
      <c r="IRQ53" s="193"/>
      <c r="IRR53" s="193"/>
      <c r="IRS53" s="193"/>
      <c r="IRT53" s="193"/>
      <c r="IRU53" s="193"/>
      <c r="IRV53" s="193"/>
      <c r="IRW53" s="193"/>
      <c r="IRX53" s="193"/>
      <c r="IRY53" s="193"/>
      <c r="IRZ53" s="193"/>
      <c r="ISA53" s="193"/>
      <c r="ISB53" s="193"/>
      <c r="ISC53" s="193"/>
      <c r="ISD53" s="193"/>
      <c r="ISE53" s="193"/>
      <c r="ISF53" s="193"/>
      <c r="ISG53" s="193"/>
      <c r="ISH53" s="193"/>
      <c r="ISI53" s="193"/>
      <c r="ISJ53" s="193"/>
      <c r="ISK53" s="193"/>
      <c r="ISL53" s="193"/>
      <c r="ISM53" s="193"/>
      <c r="ISN53" s="193"/>
      <c r="ISO53" s="193"/>
      <c r="ISP53" s="193"/>
      <c r="ISQ53" s="193"/>
      <c r="ISR53" s="193"/>
      <c r="ISS53" s="193"/>
      <c r="IST53" s="193"/>
      <c r="ISU53" s="193"/>
      <c r="ISV53" s="193"/>
      <c r="ISW53" s="193"/>
      <c r="ISX53" s="193"/>
      <c r="ISY53" s="193"/>
      <c r="ISZ53" s="193"/>
      <c r="ITA53" s="193"/>
      <c r="ITB53" s="193"/>
      <c r="ITC53" s="193"/>
      <c r="ITD53" s="193"/>
      <c r="ITE53" s="193"/>
      <c r="ITF53" s="193"/>
      <c r="ITG53" s="193"/>
      <c r="ITH53" s="193"/>
      <c r="ITI53" s="193"/>
      <c r="ITJ53" s="193"/>
      <c r="ITK53" s="193"/>
      <c r="ITL53" s="193"/>
      <c r="ITM53" s="193"/>
      <c r="ITN53" s="193"/>
      <c r="ITO53" s="193"/>
      <c r="ITP53" s="193"/>
      <c r="ITQ53" s="193"/>
      <c r="ITR53" s="193"/>
      <c r="ITS53" s="193"/>
      <c r="ITT53" s="193"/>
      <c r="ITU53" s="193"/>
      <c r="ITV53" s="193"/>
      <c r="ITW53" s="193"/>
      <c r="ITX53" s="193"/>
      <c r="ITY53" s="193"/>
      <c r="ITZ53" s="193"/>
      <c r="IUA53" s="193"/>
      <c r="IUB53" s="193"/>
      <c r="IUC53" s="193"/>
      <c r="IUD53" s="193"/>
      <c r="IUE53" s="193"/>
      <c r="IUF53" s="193"/>
      <c r="IUG53" s="193"/>
      <c r="IUH53" s="193"/>
      <c r="IUI53" s="193"/>
      <c r="IUJ53" s="193"/>
      <c r="IUK53" s="193"/>
      <c r="IUL53" s="193"/>
      <c r="IUM53" s="193"/>
      <c r="IUN53" s="193"/>
      <c r="IUO53" s="193"/>
      <c r="IUP53" s="193"/>
      <c r="IUQ53" s="193"/>
      <c r="IUR53" s="193"/>
      <c r="IUS53" s="193"/>
      <c r="IUT53" s="193"/>
      <c r="IUU53" s="193"/>
      <c r="IUV53" s="193"/>
      <c r="IUW53" s="193"/>
      <c r="IUX53" s="193"/>
      <c r="IUY53" s="193"/>
      <c r="IUZ53" s="193"/>
      <c r="IVA53" s="193"/>
      <c r="IVB53" s="193"/>
      <c r="IVC53" s="193"/>
      <c r="IVD53" s="193"/>
      <c r="IVE53" s="193"/>
      <c r="IVF53" s="193"/>
      <c r="IVG53" s="193"/>
      <c r="IVH53" s="193"/>
      <c r="IVI53" s="193"/>
      <c r="IVJ53" s="193"/>
      <c r="IVK53" s="193"/>
      <c r="IVL53" s="193"/>
      <c r="IVM53" s="193"/>
      <c r="IVN53" s="193"/>
      <c r="IVO53" s="193"/>
      <c r="IVP53" s="193"/>
      <c r="IVQ53" s="193"/>
      <c r="IVR53" s="193"/>
      <c r="IVS53" s="193"/>
      <c r="IVT53" s="193"/>
      <c r="IVU53" s="193"/>
      <c r="IVV53" s="193"/>
      <c r="IVW53" s="193"/>
      <c r="IVX53" s="193"/>
      <c r="IVY53" s="193"/>
      <c r="IVZ53" s="193"/>
      <c r="IWA53" s="193"/>
      <c r="IWB53" s="193"/>
      <c r="IWC53" s="193"/>
      <c r="IWD53" s="193"/>
      <c r="IWE53" s="193"/>
      <c r="IWF53" s="193"/>
      <c r="IWG53" s="193"/>
      <c r="IWH53" s="193"/>
      <c r="IWI53" s="193"/>
      <c r="IWJ53" s="193"/>
      <c r="IWK53" s="193"/>
      <c r="IWL53" s="193"/>
      <c r="IWM53" s="193"/>
      <c r="IWN53" s="193"/>
      <c r="IWO53" s="193"/>
      <c r="IWP53" s="193"/>
      <c r="IWQ53" s="193"/>
      <c r="IWR53" s="193"/>
      <c r="IWS53" s="193"/>
      <c r="IWT53" s="193"/>
      <c r="IWU53" s="193"/>
      <c r="IWV53" s="193"/>
      <c r="IWW53" s="193"/>
      <c r="IWX53" s="193"/>
      <c r="IWY53" s="193"/>
      <c r="IWZ53" s="193"/>
      <c r="IXA53" s="193"/>
      <c r="IXB53" s="193"/>
      <c r="IXC53" s="193"/>
      <c r="IXD53" s="193"/>
      <c r="IXE53" s="193"/>
      <c r="IXF53" s="193"/>
      <c r="IXG53" s="193"/>
      <c r="IXH53" s="193"/>
      <c r="IXI53" s="193"/>
      <c r="IXJ53" s="193"/>
      <c r="IXK53" s="193"/>
      <c r="IXL53" s="193"/>
      <c r="IXM53" s="193"/>
      <c r="IXN53" s="193"/>
      <c r="IXO53" s="193"/>
      <c r="IXP53" s="193"/>
      <c r="IXQ53" s="193"/>
      <c r="IXR53" s="193"/>
      <c r="IXS53" s="193"/>
      <c r="IXT53" s="193"/>
      <c r="IXU53" s="193"/>
      <c r="IXV53" s="193"/>
      <c r="IXW53" s="193"/>
      <c r="IXX53" s="193"/>
      <c r="IXY53" s="193"/>
      <c r="IXZ53" s="193"/>
      <c r="IYA53" s="193"/>
      <c r="IYB53" s="193"/>
      <c r="IYC53" s="193"/>
      <c r="IYD53" s="193"/>
      <c r="IYE53" s="193"/>
      <c r="IYF53" s="193"/>
      <c r="IYG53" s="193"/>
      <c r="IYH53" s="193"/>
      <c r="IYI53" s="193"/>
      <c r="IYJ53" s="193"/>
      <c r="IYK53" s="193"/>
      <c r="IYL53" s="193"/>
      <c r="IYM53" s="193"/>
      <c r="IYN53" s="193"/>
      <c r="IYO53" s="193"/>
      <c r="IYP53" s="193"/>
      <c r="IYQ53" s="193"/>
      <c r="IYR53" s="193"/>
      <c r="IYS53" s="193"/>
      <c r="IYT53" s="193"/>
      <c r="IYU53" s="193"/>
      <c r="IYV53" s="193"/>
      <c r="IYW53" s="193"/>
      <c r="IYX53" s="193"/>
      <c r="IYY53" s="193"/>
      <c r="IYZ53" s="193"/>
      <c r="IZA53" s="193"/>
      <c r="IZB53" s="193"/>
      <c r="IZC53" s="193"/>
      <c r="IZD53" s="193"/>
      <c r="IZE53" s="193"/>
      <c r="IZF53" s="193"/>
      <c r="IZG53" s="193"/>
      <c r="IZH53" s="193"/>
      <c r="IZI53" s="193"/>
      <c r="IZJ53" s="193"/>
      <c r="IZK53" s="193"/>
      <c r="IZL53" s="193"/>
      <c r="IZM53" s="193"/>
      <c r="IZN53" s="193"/>
      <c r="IZO53" s="193"/>
      <c r="IZP53" s="193"/>
      <c r="IZQ53" s="193"/>
      <c r="IZR53" s="193"/>
      <c r="IZS53" s="193"/>
      <c r="IZT53" s="193"/>
      <c r="IZU53" s="193"/>
      <c r="IZV53" s="193"/>
      <c r="IZW53" s="193"/>
      <c r="IZX53" s="193"/>
      <c r="IZY53" s="193"/>
      <c r="IZZ53" s="193"/>
      <c r="JAA53" s="193"/>
      <c r="JAB53" s="193"/>
      <c r="JAC53" s="193"/>
      <c r="JAD53" s="193"/>
      <c r="JAE53" s="193"/>
      <c r="JAF53" s="193"/>
      <c r="JAG53" s="193"/>
      <c r="JAH53" s="193"/>
      <c r="JAI53" s="193"/>
      <c r="JAJ53" s="193"/>
      <c r="JAK53" s="193"/>
      <c r="JAL53" s="193"/>
      <c r="JAM53" s="193"/>
      <c r="JAN53" s="193"/>
      <c r="JAO53" s="193"/>
      <c r="JAP53" s="193"/>
      <c r="JAQ53" s="193"/>
      <c r="JAR53" s="193"/>
      <c r="JAS53" s="193"/>
      <c r="JAT53" s="193"/>
      <c r="JAU53" s="193"/>
      <c r="JAV53" s="193"/>
      <c r="JAW53" s="193"/>
      <c r="JAX53" s="193"/>
      <c r="JAY53" s="193"/>
      <c r="JAZ53" s="193"/>
      <c r="JBA53" s="193"/>
      <c r="JBB53" s="193"/>
      <c r="JBC53" s="193"/>
      <c r="JBD53" s="193"/>
      <c r="JBE53" s="193"/>
      <c r="JBF53" s="193"/>
      <c r="JBG53" s="193"/>
      <c r="JBH53" s="193"/>
      <c r="JBI53" s="193"/>
      <c r="JBJ53" s="193"/>
      <c r="JBK53" s="193"/>
      <c r="JBL53" s="193"/>
      <c r="JBM53" s="193"/>
      <c r="JBN53" s="193"/>
      <c r="JBO53" s="193"/>
      <c r="JBP53" s="193"/>
      <c r="JBQ53" s="193"/>
      <c r="JBR53" s="193"/>
      <c r="JBS53" s="193"/>
      <c r="JBT53" s="193"/>
      <c r="JBU53" s="193"/>
      <c r="JBV53" s="193"/>
      <c r="JBW53" s="193"/>
      <c r="JBX53" s="193"/>
      <c r="JBY53" s="193"/>
      <c r="JBZ53" s="193"/>
      <c r="JCA53" s="193"/>
      <c r="JCB53" s="193"/>
      <c r="JCC53" s="193"/>
      <c r="JCD53" s="193"/>
      <c r="JCE53" s="193"/>
      <c r="JCF53" s="193"/>
      <c r="JCG53" s="193"/>
      <c r="JCH53" s="193"/>
      <c r="JCI53" s="193"/>
      <c r="JCJ53" s="193"/>
      <c r="JCK53" s="193"/>
      <c r="JCL53" s="193"/>
      <c r="JCM53" s="193"/>
      <c r="JCN53" s="193"/>
      <c r="JCO53" s="193"/>
      <c r="JCP53" s="193"/>
      <c r="JCQ53" s="193"/>
      <c r="JCR53" s="193"/>
      <c r="JCS53" s="193"/>
      <c r="JCT53" s="193"/>
      <c r="JCU53" s="193"/>
      <c r="JCV53" s="193"/>
      <c r="JCW53" s="193"/>
      <c r="JCX53" s="193"/>
      <c r="JCY53" s="193"/>
      <c r="JCZ53" s="193"/>
      <c r="JDA53" s="193"/>
      <c r="JDB53" s="193"/>
      <c r="JDC53" s="193"/>
      <c r="JDD53" s="193"/>
      <c r="JDE53" s="193"/>
      <c r="JDF53" s="193"/>
      <c r="JDG53" s="193"/>
      <c r="JDH53" s="193"/>
      <c r="JDI53" s="193"/>
      <c r="JDJ53" s="193"/>
      <c r="JDK53" s="193"/>
      <c r="JDL53" s="193"/>
      <c r="JDM53" s="193"/>
      <c r="JDN53" s="193"/>
      <c r="JDO53" s="193"/>
      <c r="JDP53" s="193"/>
      <c r="JDQ53" s="193"/>
      <c r="JDR53" s="193"/>
      <c r="JDS53" s="193"/>
      <c r="JDT53" s="193"/>
      <c r="JDU53" s="193"/>
      <c r="JDV53" s="193"/>
      <c r="JDW53" s="193"/>
      <c r="JDX53" s="193"/>
      <c r="JDY53" s="193"/>
      <c r="JDZ53" s="193"/>
      <c r="JEA53" s="193"/>
      <c r="JEB53" s="193"/>
      <c r="JEC53" s="193"/>
      <c r="JED53" s="193"/>
      <c r="JEE53" s="193"/>
      <c r="JEF53" s="193"/>
      <c r="JEG53" s="193"/>
      <c r="JEH53" s="193"/>
      <c r="JEI53" s="193"/>
      <c r="JEJ53" s="193"/>
      <c r="JEK53" s="193"/>
      <c r="JEL53" s="193"/>
      <c r="JEM53" s="193"/>
      <c r="JEN53" s="193"/>
      <c r="JEO53" s="193"/>
      <c r="JEP53" s="193"/>
      <c r="JEQ53" s="193"/>
      <c r="JER53" s="193"/>
      <c r="JES53" s="193"/>
      <c r="JET53" s="193"/>
      <c r="JEU53" s="193"/>
      <c r="JEV53" s="193"/>
      <c r="JEW53" s="193"/>
      <c r="JEX53" s="193"/>
      <c r="JEY53" s="193"/>
      <c r="JEZ53" s="193"/>
      <c r="JFA53" s="193"/>
      <c r="JFB53" s="193"/>
      <c r="JFC53" s="193"/>
      <c r="JFD53" s="193"/>
      <c r="JFE53" s="193"/>
      <c r="JFF53" s="193"/>
      <c r="JFG53" s="193"/>
      <c r="JFH53" s="193"/>
      <c r="JFI53" s="193"/>
      <c r="JFJ53" s="193"/>
      <c r="JFK53" s="193"/>
      <c r="JFL53" s="193"/>
      <c r="JFM53" s="193"/>
      <c r="JFN53" s="193"/>
      <c r="JFO53" s="193"/>
      <c r="JFP53" s="193"/>
      <c r="JFQ53" s="193"/>
      <c r="JFR53" s="193"/>
      <c r="JFS53" s="193"/>
      <c r="JFT53" s="193"/>
      <c r="JFU53" s="193"/>
      <c r="JFV53" s="193"/>
      <c r="JFW53" s="193"/>
      <c r="JFX53" s="193"/>
      <c r="JFY53" s="193"/>
      <c r="JFZ53" s="193"/>
      <c r="JGA53" s="193"/>
      <c r="JGB53" s="193"/>
      <c r="JGC53" s="193"/>
      <c r="JGD53" s="193"/>
      <c r="JGE53" s="193"/>
      <c r="JGF53" s="193"/>
      <c r="JGG53" s="193"/>
      <c r="JGH53" s="193"/>
      <c r="JGI53" s="193"/>
      <c r="JGJ53" s="193"/>
      <c r="JGK53" s="193"/>
      <c r="JGL53" s="193"/>
      <c r="JGM53" s="193"/>
      <c r="JGN53" s="193"/>
      <c r="JGO53" s="193"/>
      <c r="JGP53" s="193"/>
      <c r="JGQ53" s="193"/>
      <c r="JGR53" s="193"/>
      <c r="JGS53" s="193"/>
      <c r="JGT53" s="193"/>
      <c r="JGU53" s="193"/>
      <c r="JGV53" s="193"/>
      <c r="JGW53" s="193"/>
      <c r="JGX53" s="193"/>
      <c r="JGY53" s="193"/>
      <c r="JGZ53" s="193"/>
      <c r="JHA53" s="193"/>
      <c r="JHB53" s="193"/>
      <c r="JHC53" s="193"/>
      <c r="JHD53" s="193"/>
      <c r="JHE53" s="193"/>
      <c r="JHF53" s="193"/>
      <c r="JHG53" s="193"/>
      <c r="JHH53" s="193"/>
      <c r="JHI53" s="193"/>
      <c r="JHJ53" s="193"/>
      <c r="JHK53" s="193"/>
      <c r="JHL53" s="193"/>
      <c r="JHM53" s="193"/>
      <c r="JHN53" s="193"/>
      <c r="JHO53" s="193"/>
      <c r="JHP53" s="193"/>
      <c r="JHQ53" s="193"/>
      <c r="JHR53" s="193"/>
      <c r="JHS53" s="193"/>
      <c r="JHT53" s="193"/>
      <c r="JHU53" s="193"/>
      <c r="JHV53" s="193"/>
      <c r="JHW53" s="193"/>
      <c r="JHX53" s="193"/>
      <c r="JHY53" s="193"/>
      <c r="JHZ53" s="193"/>
      <c r="JIA53" s="193"/>
      <c r="JIB53" s="193"/>
      <c r="JIC53" s="193"/>
      <c r="JID53" s="193"/>
      <c r="JIE53" s="193"/>
      <c r="JIF53" s="193"/>
      <c r="JIG53" s="193"/>
      <c r="JIH53" s="193"/>
      <c r="JII53" s="193"/>
      <c r="JIJ53" s="193"/>
      <c r="JIK53" s="193"/>
      <c r="JIL53" s="193"/>
      <c r="JIM53" s="193"/>
      <c r="JIN53" s="193"/>
      <c r="JIO53" s="193"/>
      <c r="JIP53" s="193"/>
      <c r="JIQ53" s="193"/>
      <c r="JIR53" s="193"/>
      <c r="JIS53" s="193"/>
      <c r="JIT53" s="193"/>
      <c r="JIU53" s="193"/>
      <c r="JIV53" s="193"/>
      <c r="JIW53" s="193"/>
      <c r="JIX53" s="193"/>
      <c r="JIY53" s="193"/>
      <c r="JIZ53" s="193"/>
      <c r="JJA53" s="193"/>
      <c r="JJB53" s="193"/>
      <c r="JJC53" s="193"/>
      <c r="JJD53" s="193"/>
      <c r="JJE53" s="193"/>
      <c r="JJF53" s="193"/>
      <c r="JJG53" s="193"/>
      <c r="JJH53" s="193"/>
      <c r="JJI53" s="193"/>
      <c r="JJJ53" s="193"/>
      <c r="JJK53" s="193"/>
      <c r="JJL53" s="193"/>
      <c r="JJM53" s="193"/>
      <c r="JJN53" s="193"/>
      <c r="JJO53" s="193"/>
      <c r="JJP53" s="193"/>
      <c r="JJQ53" s="193"/>
      <c r="JJR53" s="193"/>
      <c r="JJS53" s="193"/>
      <c r="JJT53" s="193"/>
      <c r="JJU53" s="193"/>
      <c r="JJV53" s="193"/>
      <c r="JJW53" s="193"/>
      <c r="JJX53" s="193"/>
      <c r="JJY53" s="193"/>
      <c r="JJZ53" s="193"/>
      <c r="JKA53" s="193"/>
      <c r="JKB53" s="193"/>
      <c r="JKC53" s="193"/>
      <c r="JKD53" s="193"/>
      <c r="JKE53" s="193"/>
      <c r="JKF53" s="193"/>
      <c r="JKG53" s="193"/>
      <c r="JKH53" s="193"/>
      <c r="JKI53" s="193"/>
      <c r="JKJ53" s="193"/>
      <c r="JKK53" s="193"/>
      <c r="JKL53" s="193"/>
      <c r="JKM53" s="193"/>
      <c r="JKN53" s="193"/>
      <c r="JKO53" s="193"/>
      <c r="JKP53" s="193"/>
      <c r="JKQ53" s="193"/>
      <c r="JKR53" s="193"/>
      <c r="JKS53" s="193"/>
      <c r="JKT53" s="193"/>
      <c r="JKU53" s="193"/>
      <c r="JKV53" s="193"/>
      <c r="JKW53" s="193"/>
      <c r="JKX53" s="193"/>
      <c r="JKY53" s="193"/>
      <c r="JKZ53" s="193"/>
      <c r="JLA53" s="193"/>
      <c r="JLB53" s="193"/>
      <c r="JLC53" s="193"/>
      <c r="JLD53" s="193"/>
      <c r="JLE53" s="193"/>
      <c r="JLF53" s="193"/>
      <c r="JLG53" s="193"/>
      <c r="JLH53" s="193"/>
      <c r="JLI53" s="193"/>
      <c r="JLJ53" s="193"/>
      <c r="JLK53" s="193"/>
      <c r="JLL53" s="193"/>
      <c r="JLM53" s="193"/>
      <c r="JLN53" s="193"/>
      <c r="JLO53" s="193"/>
      <c r="JLP53" s="193"/>
      <c r="JLQ53" s="193"/>
      <c r="JLR53" s="193"/>
      <c r="JLS53" s="193"/>
      <c r="JLT53" s="193"/>
      <c r="JLU53" s="193"/>
      <c r="JLV53" s="193"/>
      <c r="JLW53" s="193"/>
      <c r="JLX53" s="193"/>
      <c r="JLY53" s="193"/>
      <c r="JLZ53" s="193"/>
      <c r="JMA53" s="193"/>
      <c r="JMB53" s="193"/>
      <c r="JMC53" s="193"/>
      <c r="JMD53" s="193"/>
      <c r="JME53" s="193"/>
      <c r="JMF53" s="193"/>
      <c r="JMG53" s="193"/>
      <c r="JMH53" s="193"/>
      <c r="JMI53" s="193"/>
      <c r="JMJ53" s="193"/>
      <c r="JMK53" s="193"/>
      <c r="JML53" s="193"/>
      <c r="JMM53" s="193"/>
      <c r="JMN53" s="193"/>
      <c r="JMO53" s="193"/>
      <c r="JMP53" s="193"/>
      <c r="JMQ53" s="193"/>
      <c r="JMR53" s="193"/>
      <c r="JMS53" s="193"/>
      <c r="JMT53" s="193"/>
      <c r="JMU53" s="193"/>
      <c r="JMV53" s="193"/>
      <c r="JMW53" s="193"/>
      <c r="JMX53" s="193"/>
      <c r="JMY53" s="193"/>
      <c r="JMZ53" s="193"/>
      <c r="JNA53" s="193"/>
      <c r="JNB53" s="193"/>
      <c r="JNC53" s="193"/>
      <c r="JND53" s="193"/>
      <c r="JNE53" s="193"/>
      <c r="JNF53" s="193"/>
      <c r="JNG53" s="193"/>
      <c r="JNH53" s="193"/>
      <c r="JNI53" s="193"/>
      <c r="JNJ53" s="193"/>
      <c r="JNK53" s="193"/>
      <c r="JNL53" s="193"/>
      <c r="JNM53" s="193"/>
      <c r="JNN53" s="193"/>
      <c r="JNO53" s="193"/>
      <c r="JNP53" s="193"/>
      <c r="JNQ53" s="193"/>
      <c r="JNR53" s="193"/>
      <c r="JNS53" s="193"/>
      <c r="JNT53" s="193"/>
      <c r="JNU53" s="193"/>
      <c r="JNV53" s="193"/>
      <c r="JNW53" s="193"/>
      <c r="JNX53" s="193"/>
      <c r="JNY53" s="193"/>
      <c r="JNZ53" s="193"/>
      <c r="JOA53" s="193"/>
      <c r="JOB53" s="193"/>
      <c r="JOC53" s="193"/>
      <c r="JOD53" s="193"/>
      <c r="JOE53" s="193"/>
      <c r="JOF53" s="193"/>
      <c r="JOG53" s="193"/>
      <c r="JOH53" s="193"/>
      <c r="JOI53" s="193"/>
      <c r="JOJ53" s="193"/>
      <c r="JOK53" s="193"/>
      <c r="JOL53" s="193"/>
      <c r="JOM53" s="193"/>
      <c r="JON53" s="193"/>
      <c r="JOO53" s="193"/>
      <c r="JOP53" s="193"/>
      <c r="JOQ53" s="193"/>
      <c r="JOR53" s="193"/>
      <c r="JOS53" s="193"/>
      <c r="JOT53" s="193"/>
      <c r="JOU53" s="193"/>
      <c r="JOV53" s="193"/>
      <c r="JOW53" s="193"/>
      <c r="JOX53" s="193"/>
      <c r="JOY53" s="193"/>
      <c r="JOZ53" s="193"/>
      <c r="JPA53" s="193"/>
      <c r="JPB53" s="193"/>
      <c r="JPC53" s="193"/>
      <c r="JPD53" s="193"/>
      <c r="JPE53" s="193"/>
      <c r="JPF53" s="193"/>
      <c r="JPG53" s="193"/>
      <c r="JPH53" s="193"/>
      <c r="JPI53" s="193"/>
      <c r="JPJ53" s="193"/>
      <c r="JPK53" s="193"/>
      <c r="JPL53" s="193"/>
      <c r="JPM53" s="193"/>
      <c r="JPN53" s="193"/>
      <c r="JPO53" s="193"/>
      <c r="JPP53" s="193"/>
      <c r="JPQ53" s="193"/>
      <c r="JPR53" s="193"/>
      <c r="JPS53" s="193"/>
      <c r="JPT53" s="193"/>
      <c r="JPU53" s="193"/>
      <c r="JPV53" s="193"/>
      <c r="JPW53" s="193"/>
      <c r="JPX53" s="193"/>
      <c r="JPY53" s="193"/>
      <c r="JPZ53" s="193"/>
      <c r="JQA53" s="193"/>
      <c r="JQB53" s="193"/>
      <c r="JQC53" s="193"/>
      <c r="JQD53" s="193"/>
      <c r="JQE53" s="193"/>
      <c r="JQF53" s="193"/>
      <c r="JQG53" s="193"/>
      <c r="JQH53" s="193"/>
      <c r="JQI53" s="193"/>
      <c r="JQJ53" s="193"/>
      <c r="JQK53" s="193"/>
      <c r="JQL53" s="193"/>
      <c r="JQM53" s="193"/>
      <c r="JQN53" s="193"/>
      <c r="JQO53" s="193"/>
      <c r="JQP53" s="193"/>
      <c r="JQQ53" s="193"/>
      <c r="JQR53" s="193"/>
      <c r="JQS53" s="193"/>
      <c r="JQT53" s="193"/>
      <c r="JQU53" s="193"/>
      <c r="JQV53" s="193"/>
      <c r="JQW53" s="193"/>
      <c r="JQX53" s="193"/>
      <c r="JQY53" s="193"/>
      <c r="JQZ53" s="193"/>
      <c r="JRA53" s="193"/>
      <c r="JRB53" s="193"/>
      <c r="JRC53" s="193"/>
      <c r="JRD53" s="193"/>
      <c r="JRE53" s="193"/>
      <c r="JRF53" s="193"/>
      <c r="JRG53" s="193"/>
      <c r="JRH53" s="193"/>
      <c r="JRI53" s="193"/>
      <c r="JRJ53" s="193"/>
      <c r="JRK53" s="193"/>
      <c r="JRL53" s="193"/>
      <c r="JRM53" s="193"/>
      <c r="JRN53" s="193"/>
      <c r="JRO53" s="193"/>
      <c r="JRP53" s="193"/>
      <c r="JRQ53" s="193"/>
      <c r="JRR53" s="193"/>
      <c r="JRS53" s="193"/>
      <c r="JRT53" s="193"/>
      <c r="JRU53" s="193"/>
      <c r="JRV53" s="193"/>
      <c r="JRW53" s="193"/>
      <c r="JRX53" s="193"/>
      <c r="JRY53" s="193"/>
      <c r="JRZ53" s="193"/>
      <c r="JSA53" s="193"/>
      <c r="JSB53" s="193"/>
      <c r="JSC53" s="193"/>
      <c r="JSD53" s="193"/>
      <c r="JSE53" s="193"/>
      <c r="JSF53" s="193"/>
      <c r="JSG53" s="193"/>
      <c r="JSH53" s="193"/>
      <c r="JSI53" s="193"/>
      <c r="JSJ53" s="193"/>
      <c r="JSK53" s="193"/>
      <c r="JSL53" s="193"/>
      <c r="JSM53" s="193"/>
      <c r="JSN53" s="193"/>
      <c r="JSO53" s="193"/>
      <c r="JSP53" s="193"/>
      <c r="JSQ53" s="193"/>
      <c r="JSR53" s="193"/>
      <c r="JSS53" s="193"/>
      <c r="JST53" s="193"/>
      <c r="JSU53" s="193"/>
      <c r="JSV53" s="193"/>
      <c r="JSW53" s="193"/>
      <c r="JSX53" s="193"/>
      <c r="JSY53" s="193"/>
      <c r="JSZ53" s="193"/>
      <c r="JTA53" s="193"/>
      <c r="JTB53" s="193"/>
      <c r="JTC53" s="193"/>
      <c r="JTD53" s="193"/>
      <c r="JTE53" s="193"/>
      <c r="JTF53" s="193"/>
      <c r="JTG53" s="193"/>
      <c r="JTH53" s="193"/>
      <c r="JTI53" s="193"/>
      <c r="JTJ53" s="193"/>
      <c r="JTK53" s="193"/>
      <c r="JTL53" s="193"/>
      <c r="JTM53" s="193"/>
      <c r="JTN53" s="193"/>
      <c r="JTO53" s="193"/>
      <c r="JTP53" s="193"/>
      <c r="JTQ53" s="193"/>
      <c r="JTR53" s="193"/>
      <c r="JTS53" s="193"/>
      <c r="JTT53" s="193"/>
      <c r="JTU53" s="193"/>
      <c r="JTV53" s="193"/>
      <c r="JTW53" s="193"/>
      <c r="JTX53" s="193"/>
      <c r="JTY53" s="193"/>
      <c r="JTZ53" s="193"/>
      <c r="JUA53" s="193"/>
      <c r="JUB53" s="193"/>
      <c r="JUC53" s="193"/>
      <c r="JUD53" s="193"/>
      <c r="JUE53" s="193"/>
      <c r="JUF53" s="193"/>
      <c r="JUG53" s="193"/>
      <c r="JUH53" s="193"/>
      <c r="JUI53" s="193"/>
      <c r="JUJ53" s="193"/>
      <c r="JUK53" s="193"/>
      <c r="JUL53" s="193"/>
      <c r="JUM53" s="193"/>
      <c r="JUN53" s="193"/>
      <c r="JUO53" s="193"/>
      <c r="JUP53" s="193"/>
      <c r="JUQ53" s="193"/>
      <c r="JUR53" s="193"/>
      <c r="JUS53" s="193"/>
      <c r="JUT53" s="193"/>
      <c r="JUU53" s="193"/>
      <c r="JUV53" s="193"/>
      <c r="JUW53" s="193"/>
      <c r="JUX53" s="193"/>
      <c r="JUY53" s="193"/>
      <c r="JUZ53" s="193"/>
      <c r="JVA53" s="193"/>
      <c r="JVB53" s="193"/>
      <c r="JVC53" s="193"/>
      <c r="JVD53" s="193"/>
      <c r="JVE53" s="193"/>
      <c r="JVF53" s="193"/>
      <c r="JVG53" s="193"/>
      <c r="JVH53" s="193"/>
      <c r="JVI53" s="193"/>
      <c r="JVJ53" s="193"/>
      <c r="JVK53" s="193"/>
      <c r="JVL53" s="193"/>
      <c r="JVM53" s="193"/>
      <c r="JVN53" s="193"/>
      <c r="JVO53" s="193"/>
      <c r="JVP53" s="193"/>
      <c r="JVQ53" s="193"/>
      <c r="JVR53" s="193"/>
      <c r="JVS53" s="193"/>
      <c r="JVT53" s="193"/>
      <c r="JVU53" s="193"/>
      <c r="JVV53" s="193"/>
      <c r="JVW53" s="193"/>
      <c r="JVX53" s="193"/>
      <c r="JVY53" s="193"/>
      <c r="JVZ53" s="193"/>
      <c r="JWA53" s="193"/>
      <c r="JWB53" s="193"/>
      <c r="JWC53" s="193"/>
      <c r="JWD53" s="193"/>
      <c r="JWE53" s="193"/>
      <c r="JWF53" s="193"/>
      <c r="JWG53" s="193"/>
      <c r="JWH53" s="193"/>
      <c r="JWI53" s="193"/>
      <c r="JWJ53" s="193"/>
      <c r="JWK53" s="193"/>
      <c r="JWL53" s="193"/>
      <c r="JWM53" s="193"/>
      <c r="JWN53" s="193"/>
      <c r="JWO53" s="193"/>
      <c r="JWP53" s="193"/>
      <c r="JWQ53" s="193"/>
      <c r="JWR53" s="193"/>
      <c r="JWS53" s="193"/>
      <c r="JWT53" s="193"/>
      <c r="JWU53" s="193"/>
      <c r="JWV53" s="193"/>
      <c r="JWW53" s="193"/>
      <c r="JWX53" s="193"/>
      <c r="JWY53" s="193"/>
      <c r="JWZ53" s="193"/>
      <c r="JXA53" s="193"/>
      <c r="JXB53" s="193"/>
      <c r="JXC53" s="193"/>
      <c r="JXD53" s="193"/>
      <c r="JXE53" s="193"/>
      <c r="JXF53" s="193"/>
      <c r="JXG53" s="193"/>
      <c r="JXH53" s="193"/>
      <c r="JXI53" s="193"/>
      <c r="JXJ53" s="193"/>
      <c r="JXK53" s="193"/>
      <c r="JXL53" s="193"/>
      <c r="JXM53" s="193"/>
      <c r="JXN53" s="193"/>
      <c r="JXO53" s="193"/>
      <c r="JXP53" s="193"/>
      <c r="JXQ53" s="193"/>
      <c r="JXR53" s="193"/>
      <c r="JXS53" s="193"/>
      <c r="JXT53" s="193"/>
      <c r="JXU53" s="193"/>
      <c r="JXV53" s="193"/>
      <c r="JXW53" s="193"/>
      <c r="JXX53" s="193"/>
      <c r="JXY53" s="193"/>
      <c r="JXZ53" s="193"/>
      <c r="JYA53" s="193"/>
      <c r="JYB53" s="193"/>
      <c r="JYC53" s="193"/>
      <c r="JYD53" s="193"/>
      <c r="JYE53" s="193"/>
      <c r="JYF53" s="193"/>
      <c r="JYG53" s="193"/>
      <c r="JYH53" s="193"/>
      <c r="JYI53" s="193"/>
      <c r="JYJ53" s="193"/>
      <c r="JYK53" s="193"/>
      <c r="JYL53" s="193"/>
      <c r="JYM53" s="193"/>
      <c r="JYN53" s="193"/>
      <c r="JYO53" s="193"/>
      <c r="JYP53" s="193"/>
      <c r="JYQ53" s="193"/>
      <c r="JYR53" s="193"/>
      <c r="JYS53" s="193"/>
      <c r="JYT53" s="193"/>
      <c r="JYU53" s="193"/>
      <c r="JYV53" s="193"/>
      <c r="JYW53" s="193"/>
      <c r="JYX53" s="193"/>
      <c r="JYY53" s="193"/>
      <c r="JYZ53" s="193"/>
      <c r="JZA53" s="193"/>
      <c r="JZB53" s="193"/>
      <c r="JZC53" s="193"/>
      <c r="JZD53" s="193"/>
      <c r="JZE53" s="193"/>
      <c r="JZF53" s="193"/>
      <c r="JZG53" s="193"/>
      <c r="JZH53" s="193"/>
      <c r="JZI53" s="193"/>
      <c r="JZJ53" s="193"/>
      <c r="JZK53" s="193"/>
      <c r="JZL53" s="193"/>
      <c r="JZM53" s="193"/>
      <c r="JZN53" s="193"/>
      <c r="JZO53" s="193"/>
      <c r="JZP53" s="193"/>
      <c r="JZQ53" s="193"/>
      <c r="JZR53" s="193"/>
      <c r="JZS53" s="193"/>
      <c r="JZT53" s="193"/>
      <c r="JZU53" s="193"/>
      <c r="JZV53" s="193"/>
      <c r="JZW53" s="193"/>
      <c r="JZX53" s="193"/>
      <c r="JZY53" s="193"/>
      <c r="JZZ53" s="193"/>
      <c r="KAA53" s="193"/>
      <c r="KAB53" s="193"/>
      <c r="KAC53" s="193"/>
      <c r="KAD53" s="193"/>
      <c r="KAE53" s="193"/>
      <c r="KAF53" s="193"/>
      <c r="KAG53" s="193"/>
      <c r="KAH53" s="193"/>
      <c r="KAI53" s="193"/>
      <c r="KAJ53" s="193"/>
      <c r="KAK53" s="193"/>
      <c r="KAL53" s="193"/>
      <c r="KAM53" s="193"/>
      <c r="KAN53" s="193"/>
      <c r="KAO53" s="193"/>
      <c r="KAP53" s="193"/>
      <c r="KAQ53" s="193"/>
      <c r="KAR53" s="193"/>
      <c r="KAS53" s="193"/>
      <c r="KAT53" s="193"/>
      <c r="KAU53" s="193"/>
      <c r="KAV53" s="193"/>
      <c r="KAW53" s="193"/>
      <c r="KAX53" s="193"/>
      <c r="KAY53" s="193"/>
      <c r="KAZ53" s="193"/>
      <c r="KBA53" s="193"/>
      <c r="KBB53" s="193"/>
      <c r="KBC53" s="193"/>
      <c r="KBD53" s="193"/>
      <c r="KBE53" s="193"/>
      <c r="KBF53" s="193"/>
      <c r="KBG53" s="193"/>
      <c r="KBH53" s="193"/>
      <c r="KBI53" s="193"/>
      <c r="KBJ53" s="193"/>
      <c r="KBK53" s="193"/>
      <c r="KBL53" s="193"/>
      <c r="KBM53" s="193"/>
      <c r="KBN53" s="193"/>
      <c r="KBO53" s="193"/>
      <c r="KBP53" s="193"/>
      <c r="KBQ53" s="193"/>
      <c r="KBR53" s="193"/>
      <c r="KBS53" s="193"/>
      <c r="KBT53" s="193"/>
      <c r="KBU53" s="193"/>
      <c r="KBV53" s="193"/>
      <c r="KBW53" s="193"/>
      <c r="KBX53" s="193"/>
      <c r="KBY53" s="193"/>
      <c r="KBZ53" s="193"/>
      <c r="KCA53" s="193"/>
      <c r="KCB53" s="193"/>
      <c r="KCC53" s="193"/>
      <c r="KCD53" s="193"/>
      <c r="KCE53" s="193"/>
      <c r="KCF53" s="193"/>
      <c r="KCG53" s="193"/>
      <c r="KCH53" s="193"/>
      <c r="KCI53" s="193"/>
      <c r="KCJ53" s="193"/>
      <c r="KCK53" s="193"/>
      <c r="KCL53" s="193"/>
      <c r="KCM53" s="193"/>
      <c r="KCN53" s="193"/>
      <c r="KCO53" s="193"/>
      <c r="KCP53" s="193"/>
      <c r="KCQ53" s="193"/>
      <c r="KCR53" s="193"/>
      <c r="KCS53" s="193"/>
      <c r="KCT53" s="193"/>
      <c r="KCU53" s="193"/>
      <c r="KCV53" s="193"/>
      <c r="KCW53" s="193"/>
      <c r="KCX53" s="193"/>
      <c r="KCY53" s="193"/>
      <c r="KCZ53" s="193"/>
      <c r="KDA53" s="193"/>
      <c r="KDB53" s="193"/>
      <c r="KDC53" s="193"/>
      <c r="KDD53" s="193"/>
      <c r="KDE53" s="193"/>
      <c r="KDF53" s="193"/>
      <c r="KDG53" s="193"/>
      <c r="KDH53" s="193"/>
      <c r="KDI53" s="193"/>
      <c r="KDJ53" s="193"/>
      <c r="KDK53" s="193"/>
      <c r="KDL53" s="193"/>
      <c r="KDM53" s="193"/>
      <c r="KDN53" s="193"/>
      <c r="KDO53" s="193"/>
      <c r="KDP53" s="193"/>
      <c r="KDQ53" s="193"/>
      <c r="KDR53" s="193"/>
      <c r="KDS53" s="193"/>
      <c r="KDT53" s="193"/>
      <c r="KDU53" s="193"/>
      <c r="KDV53" s="193"/>
      <c r="KDW53" s="193"/>
      <c r="KDX53" s="193"/>
      <c r="KDY53" s="193"/>
      <c r="KDZ53" s="193"/>
      <c r="KEA53" s="193"/>
      <c r="KEB53" s="193"/>
      <c r="KEC53" s="193"/>
      <c r="KED53" s="193"/>
      <c r="KEE53" s="193"/>
      <c r="KEF53" s="193"/>
      <c r="KEG53" s="193"/>
      <c r="KEH53" s="193"/>
      <c r="KEI53" s="193"/>
      <c r="KEJ53" s="193"/>
      <c r="KEK53" s="193"/>
      <c r="KEL53" s="193"/>
      <c r="KEM53" s="193"/>
      <c r="KEN53" s="193"/>
      <c r="KEO53" s="193"/>
      <c r="KEP53" s="193"/>
      <c r="KEQ53" s="193"/>
      <c r="KER53" s="193"/>
      <c r="KES53" s="193"/>
      <c r="KET53" s="193"/>
      <c r="KEU53" s="193"/>
      <c r="KEV53" s="193"/>
      <c r="KEW53" s="193"/>
      <c r="KEX53" s="193"/>
      <c r="KEY53" s="193"/>
      <c r="KEZ53" s="193"/>
      <c r="KFA53" s="193"/>
      <c r="KFB53" s="193"/>
      <c r="KFC53" s="193"/>
      <c r="KFD53" s="193"/>
      <c r="KFE53" s="193"/>
      <c r="KFF53" s="193"/>
      <c r="KFG53" s="193"/>
      <c r="KFH53" s="193"/>
      <c r="KFI53" s="193"/>
      <c r="KFJ53" s="193"/>
      <c r="KFK53" s="193"/>
      <c r="KFL53" s="193"/>
      <c r="KFM53" s="193"/>
      <c r="KFN53" s="193"/>
      <c r="KFO53" s="193"/>
      <c r="KFP53" s="193"/>
      <c r="KFQ53" s="193"/>
      <c r="KFR53" s="193"/>
      <c r="KFS53" s="193"/>
      <c r="KFT53" s="193"/>
      <c r="KFU53" s="193"/>
      <c r="KFV53" s="193"/>
      <c r="KFW53" s="193"/>
      <c r="KFX53" s="193"/>
      <c r="KFY53" s="193"/>
      <c r="KFZ53" s="193"/>
      <c r="KGA53" s="193"/>
      <c r="KGB53" s="193"/>
      <c r="KGC53" s="193"/>
      <c r="KGD53" s="193"/>
      <c r="KGE53" s="193"/>
      <c r="KGF53" s="193"/>
      <c r="KGG53" s="193"/>
      <c r="KGH53" s="193"/>
      <c r="KGI53" s="193"/>
      <c r="KGJ53" s="193"/>
      <c r="KGK53" s="193"/>
      <c r="KGL53" s="193"/>
      <c r="KGM53" s="193"/>
      <c r="KGN53" s="193"/>
      <c r="KGO53" s="193"/>
      <c r="KGP53" s="193"/>
      <c r="KGQ53" s="193"/>
      <c r="KGR53" s="193"/>
      <c r="KGS53" s="193"/>
      <c r="KGT53" s="193"/>
      <c r="KGU53" s="193"/>
      <c r="KGV53" s="193"/>
      <c r="KGW53" s="193"/>
      <c r="KGX53" s="193"/>
      <c r="KGY53" s="193"/>
      <c r="KGZ53" s="193"/>
      <c r="KHA53" s="193"/>
      <c r="KHB53" s="193"/>
      <c r="KHC53" s="193"/>
      <c r="KHD53" s="193"/>
      <c r="KHE53" s="193"/>
      <c r="KHF53" s="193"/>
      <c r="KHG53" s="193"/>
      <c r="KHH53" s="193"/>
      <c r="KHI53" s="193"/>
      <c r="KHJ53" s="193"/>
      <c r="KHK53" s="193"/>
      <c r="KHL53" s="193"/>
      <c r="KHM53" s="193"/>
      <c r="KHN53" s="193"/>
      <c r="KHO53" s="193"/>
      <c r="KHP53" s="193"/>
      <c r="KHQ53" s="193"/>
      <c r="KHR53" s="193"/>
      <c r="KHS53" s="193"/>
      <c r="KHT53" s="193"/>
      <c r="KHU53" s="193"/>
      <c r="KHV53" s="193"/>
      <c r="KHW53" s="193"/>
      <c r="KHX53" s="193"/>
      <c r="KHY53" s="193"/>
      <c r="KHZ53" s="193"/>
      <c r="KIA53" s="193"/>
      <c r="KIB53" s="193"/>
      <c r="KIC53" s="193"/>
      <c r="KID53" s="193"/>
      <c r="KIE53" s="193"/>
      <c r="KIF53" s="193"/>
      <c r="KIG53" s="193"/>
      <c r="KIH53" s="193"/>
      <c r="KII53" s="193"/>
      <c r="KIJ53" s="193"/>
      <c r="KIK53" s="193"/>
      <c r="KIL53" s="193"/>
      <c r="KIM53" s="193"/>
      <c r="KIN53" s="193"/>
      <c r="KIO53" s="193"/>
      <c r="KIP53" s="193"/>
      <c r="KIQ53" s="193"/>
      <c r="KIR53" s="193"/>
      <c r="KIS53" s="193"/>
      <c r="KIT53" s="193"/>
      <c r="KIU53" s="193"/>
      <c r="KIV53" s="193"/>
      <c r="KIW53" s="193"/>
      <c r="KIX53" s="193"/>
      <c r="KIY53" s="193"/>
      <c r="KIZ53" s="193"/>
      <c r="KJA53" s="193"/>
      <c r="KJB53" s="193"/>
      <c r="KJC53" s="193"/>
      <c r="KJD53" s="193"/>
      <c r="KJE53" s="193"/>
      <c r="KJF53" s="193"/>
      <c r="KJG53" s="193"/>
      <c r="KJH53" s="193"/>
      <c r="KJI53" s="193"/>
      <c r="KJJ53" s="193"/>
      <c r="KJK53" s="193"/>
      <c r="KJL53" s="193"/>
      <c r="KJM53" s="193"/>
      <c r="KJN53" s="193"/>
      <c r="KJO53" s="193"/>
      <c r="KJP53" s="193"/>
      <c r="KJQ53" s="193"/>
      <c r="KJR53" s="193"/>
      <c r="KJS53" s="193"/>
      <c r="KJT53" s="193"/>
      <c r="KJU53" s="193"/>
      <c r="KJV53" s="193"/>
      <c r="KJW53" s="193"/>
      <c r="KJX53" s="193"/>
      <c r="KJY53" s="193"/>
      <c r="KJZ53" s="193"/>
      <c r="KKA53" s="193"/>
      <c r="KKB53" s="193"/>
      <c r="KKC53" s="193"/>
      <c r="KKD53" s="193"/>
      <c r="KKE53" s="193"/>
      <c r="KKF53" s="193"/>
      <c r="KKG53" s="193"/>
      <c r="KKH53" s="193"/>
      <c r="KKI53" s="193"/>
      <c r="KKJ53" s="193"/>
      <c r="KKK53" s="193"/>
      <c r="KKL53" s="193"/>
      <c r="KKM53" s="193"/>
      <c r="KKN53" s="193"/>
      <c r="KKO53" s="193"/>
      <c r="KKP53" s="193"/>
      <c r="KKQ53" s="193"/>
      <c r="KKR53" s="193"/>
      <c r="KKS53" s="193"/>
      <c r="KKT53" s="193"/>
      <c r="KKU53" s="193"/>
      <c r="KKV53" s="193"/>
      <c r="KKW53" s="193"/>
      <c r="KKX53" s="193"/>
      <c r="KKY53" s="193"/>
      <c r="KKZ53" s="193"/>
      <c r="KLA53" s="193"/>
      <c r="KLB53" s="193"/>
      <c r="KLC53" s="193"/>
      <c r="KLD53" s="193"/>
      <c r="KLE53" s="193"/>
      <c r="KLF53" s="193"/>
      <c r="KLG53" s="193"/>
      <c r="KLH53" s="193"/>
      <c r="KLI53" s="193"/>
      <c r="KLJ53" s="193"/>
      <c r="KLK53" s="193"/>
      <c r="KLL53" s="193"/>
      <c r="KLM53" s="193"/>
      <c r="KLN53" s="193"/>
      <c r="KLO53" s="193"/>
      <c r="KLP53" s="193"/>
      <c r="KLQ53" s="193"/>
      <c r="KLR53" s="193"/>
      <c r="KLS53" s="193"/>
      <c r="KLT53" s="193"/>
      <c r="KLU53" s="193"/>
      <c r="KLV53" s="193"/>
      <c r="KLW53" s="193"/>
      <c r="KLX53" s="193"/>
      <c r="KLY53" s="193"/>
      <c r="KLZ53" s="193"/>
      <c r="KMA53" s="193"/>
      <c r="KMB53" s="193"/>
      <c r="KMC53" s="193"/>
      <c r="KMD53" s="193"/>
      <c r="KME53" s="193"/>
      <c r="KMF53" s="193"/>
      <c r="KMG53" s="193"/>
      <c r="KMH53" s="193"/>
      <c r="KMI53" s="193"/>
      <c r="KMJ53" s="193"/>
      <c r="KMK53" s="193"/>
      <c r="KML53" s="193"/>
      <c r="KMM53" s="193"/>
      <c r="KMN53" s="193"/>
      <c r="KMO53" s="193"/>
      <c r="KMP53" s="193"/>
      <c r="KMQ53" s="193"/>
      <c r="KMR53" s="193"/>
      <c r="KMS53" s="193"/>
      <c r="KMT53" s="193"/>
      <c r="KMU53" s="193"/>
      <c r="KMV53" s="193"/>
      <c r="KMW53" s="193"/>
      <c r="KMX53" s="193"/>
      <c r="KMY53" s="193"/>
      <c r="KMZ53" s="193"/>
      <c r="KNA53" s="193"/>
      <c r="KNB53" s="193"/>
      <c r="KNC53" s="193"/>
      <c r="KND53" s="193"/>
      <c r="KNE53" s="193"/>
      <c r="KNF53" s="193"/>
      <c r="KNG53" s="193"/>
      <c r="KNH53" s="193"/>
      <c r="KNI53" s="193"/>
      <c r="KNJ53" s="193"/>
      <c r="KNK53" s="193"/>
      <c r="KNL53" s="193"/>
      <c r="KNM53" s="193"/>
      <c r="KNN53" s="193"/>
      <c r="KNO53" s="193"/>
      <c r="KNP53" s="193"/>
      <c r="KNQ53" s="193"/>
      <c r="KNR53" s="193"/>
      <c r="KNS53" s="193"/>
      <c r="KNT53" s="193"/>
      <c r="KNU53" s="193"/>
      <c r="KNV53" s="193"/>
      <c r="KNW53" s="193"/>
      <c r="KNX53" s="193"/>
      <c r="KNY53" s="193"/>
      <c r="KNZ53" s="193"/>
      <c r="KOA53" s="193"/>
      <c r="KOB53" s="193"/>
      <c r="KOC53" s="193"/>
      <c r="KOD53" s="193"/>
      <c r="KOE53" s="193"/>
      <c r="KOF53" s="193"/>
      <c r="KOG53" s="193"/>
      <c r="KOH53" s="193"/>
      <c r="KOI53" s="193"/>
      <c r="KOJ53" s="193"/>
      <c r="KOK53" s="193"/>
      <c r="KOL53" s="193"/>
      <c r="KOM53" s="193"/>
      <c r="KON53" s="193"/>
      <c r="KOO53" s="193"/>
      <c r="KOP53" s="193"/>
      <c r="KOQ53" s="193"/>
      <c r="KOR53" s="193"/>
      <c r="KOS53" s="193"/>
      <c r="KOT53" s="193"/>
      <c r="KOU53" s="193"/>
      <c r="KOV53" s="193"/>
      <c r="KOW53" s="193"/>
      <c r="KOX53" s="193"/>
      <c r="KOY53" s="193"/>
      <c r="KOZ53" s="193"/>
      <c r="KPA53" s="193"/>
      <c r="KPB53" s="193"/>
      <c r="KPC53" s="193"/>
      <c r="KPD53" s="193"/>
      <c r="KPE53" s="193"/>
      <c r="KPF53" s="193"/>
      <c r="KPG53" s="193"/>
      <c r="KPH53" s="193"/>
      <c r="KPI53" s="193"/>
      <c r="KPJ53" s="193"/>
      <c r="KPK53" s="193"/>
      <c r="KPL53" s="193"/>
      <c r="KPM53" s="193"/>
      <c r="KPN53" s="193"/>
      <c r="KPO53" s="193"/>
      <c r="KPP53" s="193"/>
      <c r="KPQ53" s="193"/>
      <c r="KPR53" s="193"/>
      <c r="KPS53" s="193"/>
      <c r="KPT53" s="193"/>
      <c r="KPU53" s="193"/>
      <c r="KPV53" s="193"/>
      <c r="KPW53" s="193"/>
      <c r="KPX53" s="193"/>
      <c r="KPY53" s="193"/>
      <c r="KPZ53" s="193"/>
      <c r="KQA53" s="193"/>
      <c r="KQB53" s="193"/>
      <c r="KQC53" s="193"/>
      <c r="KQD53" s="193"/>
      <c r="KQE53" s="193"/>
      <c r="KQF53" s="193"/>
      <c r="KQG53" s="193"/>
      <c r="KQH53" s="193"/>
      <c r="KQI53" s="193"/>
      <c r="KQJ53" s="193"/>
      <c r="KQK53" s="193"/>
      <c r="KQL53" s="193"/>
      <c r="KQM53" s="193"/>
      <c r="KQN53" s="193"/>
      <c r="KQO53" s="193"/>
      <c r="KQP53" s="193"/>
      <c r="KQQ53" s="193"/>
      <c r="KQR53" s="193"/>
      <c r="KQS53" s="193"/>
      <c r="KQT53" s="193"/>
      <c r="KQU53" s="193"/>
      <c r="KQV53" s="193"/>
      <c r="KQW53" s="193"/>
      <c r="KQX53" s="193"/>
      <c r="KQY53" s="193"/>
      <c r="KQZ53" s="193"/>
      <c r="KRA53" s="193"/>
      <c r="KRB53" s="193"/>
      <c r="KRC53" s="193"/>
      <c r="KRD53" s="193"/>
      <c r="KRE53" s="193"/>
      <c r="KRF53" s="193"/>
      <c r="KRG53" s="193"/>
      <c r="KRH53" s="193"/>
      <c r="KRI53" s="193"/>
      <c r="KRJ53" s="193"/>
      <c r="KRK53" s="193"/>
      <c r="KRL53" s="193"/>
      <c r="KRM53" s="193"/>
      <c r="KRN53" s="193"/>
      <c r="KRO53" s="193"/>
      <c r="KRP53" s="193"/>
      <c r="KRQ53" s="193"/>
      <c r="KRR53" s="193"/>
      <c r="KRS53" s="193"/>
      <c r="KRT53" s="193"/>
      <c r="KRU53" s="193"/>
      <c r="KRV53" s="193"/>
      <c r="KRW53" s="193"/>
      <c r="KRX53" s="193"/>
      <c r="KRY53" s="193"/>
      <c r="KRZ53" s="193"/>
      <c r="KSA53" s="193"/>
      <c r="KSB53" s="193"/>
      <c r="KSC53" s="193"/>
      <c r="KSD53" s="193"/>
      <c r="KSE53" s="193"/>
      <c r="KSF53" s="193"/>
      <c r="KSG53" s="193"/>
      <c r="KSH53" s="193"/>
      <c r="KSI53" s="193"/>
      <c r="KSJ53" s="193"/>
      <c r="KSK53" s="193"/>
      <c r="KSL53" s="193"/>
      <c r="KSM53" s="193"/>
      <c r="KSN53" s="193"/>
      <c r="KSO53" s="193"/>
      <c r="KSP53" s="193"/>
      <c r="KSQ53" s="193"/>
      <c r="KSR53" s="193"/>
      <c r="KSS53" s="193"/>
      <c r="KST53" s="193"/>
      <c r="KSU53" s="193"/>
      <c r="KSV53" s="193"/>
      <c r="KSW53" s="193"/>
      <c r="KSX53" s="193"/>
      <c r="KSY53" s="193"/>
      <c r="KSZ53" s="193"/>
      <c r="KTA53" s="193"/>
      <c r="KTB53" s="193"/>
      <c r="KTC53" s="193"/>
      <c r="KTD53" s="193"/>
      <c r="KTE53" s="193"/>
      <c r="KTF53" s="193"/>
      <c r="KTG53" s="193"/>
      <c r="KTH53" s="193"/>
      <c r="KTI53" s="193"/>
      <c r="KTJ53" s="193"/>
      <c r="KTK53" s="193"/>
      <c r="KTL53" s="193"/>
      <c r="KTM53" s="193"/>
      <c r="KTN53" s="193"/>
      <c r="KTO53" s="193"/>
      <c r="KTP53" s="193"/>
      <c r="KTQ53" s="193"/>
      <c r="KTR53" s="193"/>
      <c r="KTS53" s="193"/>
      <c r="KTT53" s="193"/>
      <c r="KTU53" s="193"/>
      <c r="KTV53" s="193"/>
      <c r="KTW53" s="193"/>
      <c r="KTX53" s="193"/>
      <c r="KTY53" s="193"/>
      <c r="KTZ53" s="193"/>
      <c r="KUA53" s="193"/>
      <c r="KUB53" s="193"/>
      <c r="KUC53" s="193"/>
      <c r="KUD53" s="193"/>
      <c r="KUE53" s="193"/>
      <c r="KUF53" s="193"/>
      <c r="KUG53" s="193"/>
      <c r="KUH53" s="193"/>
      <c r="KUI53" s="193"/>
      <c r="KUJ53" s="193"/>
      <c r="KUK53" s="193"/>
      <c r="KUL53" s="193"/>
      <c r="KUM53" s="193"/>
      <c r="KUN53" s="193"/>
      <c r="KUO53" s="193"/>
      <c r="KUP53" s="193"/>
      <c r="KUQ53" s="193"/>
      <c r="KUR53" s="193"/>
      <c r="KUS53" s="193"/>
      <c r="KUT53" s="193"/>
      <c r="KUU53" s="193"/>
      <c r="KUV53" s="193"/>
      <c r="KUW53" s="193"/>
      <c r="KUX53" s="193"/>
      <c r="KUY53" s="193"/>
      <c r="KUZ53" s="193"/>
      <c r="KVA53" s="193"/>
      <c r="KVB53" s="193"/>
      <c r="KVC53" s="193"/>
      <c r="KVD53" s="193"/>
      <c r="KVE53" s="193"/>
      <c r="KVF53" s="193"/>
      <c r="KVG53" s="193"/>
      <c r="KVH53" s="193"/>
      <c r="KVI53" s="193"/>
      <c r="KVJ53" s="193"/>
      <c r="KVK53" s="193"/>
      <c r="KVL53" s="193"/>
      <c r="KVM53" s="193"/>
      <c r="KVN53" s="193"/>
      <c r="KVO53" s="193"/>
      <c r="KVP53" s="193"/>
      <c r="KVQ53" s="193"/>
      <c r="KVR53" s="193"/>
      <c r="KVS53" s="193"/>
      <c r="KVT53" s="193"/>
      <c r="KVU53" s="193"/>
      <c r="KVV53" s="193"/>
      <c r="KVW53" s="193"/>
      <c r="KVX53" s="193"/>
      <c r="KVY53" s="193"/>
      <c r="KVZ53" s="193"/>
      <c r="KWA53" s="193"/>
      <c r="KWB53" s="193"/>
      <c r="KWC53" s="193"/>
      <c r="KWD53" s="193"/>
      <c r="KWE53" s="193"/>
      <c r="KWF53" s="193"/>
      <c r="KWG53" s="193"/>
      <c r="KWH53" s="193"/>
      <c r="KWI53" s="193"/>
      <c r="KWJ53" s="193"/>
      <c r="KWK53" s="193"/>
      <c r="KWL53" s="193"/>
      <c r="KWM53" s="193"/>
      <c r="KWN53" s="193"/>
      <c r="KWO53" s="193"/>
      <c r="KWP53" s="193"/>
      <c r="KWQ53" s="193"/>
      <c r="KWR53" s="193"/>
      <c r="KWS53" s="193"/>
      <c r="KWT53" s="193"/>
      <c r="KWU53" s="193"/>
      <c r="KWV53" s="193"/>
      <c r="KWW53" s="193"/>
      <c r="KWX53" s="193"/>
      <c r="KWY53" s="193"/>
      <c r="KWZ53" s="193"/>
      <c r="KXA53" s="193"/>
      <c r="KXB53" s="193"/>
      <c r="KXC53" s="193"/>
      <c r="KXD53" s="193"/>
      <c r="KXE53" s="193"/>
      <c r="KXF53" s="193"/>
      <c r="KXG53" s="193"/>
      <c r="KXH53" s="193"/>
      <c r="KXI53" s="193"/>
      <c r="KXJ53" s="193"/>
      <c r="KXK53" s="193"/>
      <c r="KXL53" s="193"/>
      <c r="KXM53" s="193"/>
      <c r="KXN53" s="193"/>
      <c r="KXO53" s="193"/>
      <c r="KXP53" s="193"/>
      <c r="KXQ53" s="193"/>
      <c r="KXR53" s="193"/>
      <c r="KXS53" s="193"/>
      <c r="KXT53" s="193"/>
      <c r="KXU53" s="193"/>
      <c r="KXV53" s="193"/>
      <c r="KXW53" s="193"/>
      <c r="KXX53" s="193"/>
      <c r="KXY53" s="193"/>
      <c r="KXZ53" s="193"/>
      <c r="KYA53" s="193"/>
      <c r="KYB53" s="193"/>
      <c r="KYC53" s="193"/>
      <c r="KYD53" s="193"/>
      <c r="KYE53" s="193"/>
      <c r="KYF53" s="193"/>
      <c r="KYG53" s="193"/>
      <c r="KYH53" s="193"/>
      <c r="KYI53" s="193"/>
      <c r="KYJ53" s="193"/>
      <c r="KYK53" s="193"/>
      <c r="KYL53" s="193"/>
      <c r="KYM53" s="193"/>
      <c r="KYN53" s="193"/>
      <c r="KYO53" s="193"/>
      <c r="KYP53" s="193"/>
      <c r="KYQ53" s="193"/>
      <c r="KYR53" s="193"/>
      <c r="KYS53" s="193"/>
      <c r="KYT53" s="193"/>
      <c r="KYU53" s="193"/>
      <c r="KYV53" s="193"/>
      <c r="KYW53" s="193"/>
      <c r="KYX53" s="193"/>
      <c r="KYY53" s="193"/>
      <c r="KYZ53" s="193"/>
      <c r="KZA53" s="193"/>
      <c r="KZB53" s="193"/>
      <c r="KZC53" s="193"/>
      <c r="KZD53" s="193"/>
      <c r="KZE53" s="193"/>
      <c r="KZF53" s="193"/>
      <c r="KZG53" s="193"/>
      <c r="KZH53" s="193"/>
      <c r="KZI53" s="193"/>
      <c r="KZJ53" s="193"/>
      <c r="KZK53" s="193"/>
      <c r="KZL53" s="193"/>
      <c r="KZM53" s="193"/>
      <c r="KZN53" s="193"/>
      <c r="KZO53" s="193"/>
      <c r="KZP53" s="193"/>
      <c r="KZQ53" s="193"/>
      <c r="KZR53" s="193"/>
      <c r="KZS53" s="193"/>
      <c r="KZT53" s="193"/>
      <c r="KZU53" s="193"/>
      <c r="KZV53" s="193"/>
      <c r="KZW53" s="193"/>
      <c r="KZX53" s="193"/>
      <c r="KZY53" s="193"/>
      <c r="KZZ53" s="193"/>
      <c r="LAA53" s="193"/>
      <c r="LAB53" s="193"/>
      <c r="LAC53" s="193"/>
      <c r="LAD53" s="193"/>
      <c r="LAE53" s="193"/>
      <c r="LAF53" s="193"/>
      <c r="LAG53" s="193"/>
      <c r="LAH53" s="193"/>
      <c r="LAI53" s="193"/>
      <c r="LAJ53" s="193"/>
      <c r="LAK53" s="193"/>
      <c r="LAL53" s="193"/>
      <c r="LAM53" s="193"/>
      <c r="LAN53" s="193"/>
      <c r="LAO53" s="193"/>
      <c r="LAP53" s="193"/>
      <c r="LAQ53" s="193"/>
      <c r="LAR53" s="193"/>
      <c r="LAS53" s="193"/>
      <c r="LAT53" s="193"/>
      <c r="LAU53" s="193"/>
      <c r="LAV53" s="193"/>
      <c r="LAW53" s="193"/>
      <c r="LAX53" s="193"/>
      <c r="LAY53" s="193"/>
      <c r="LAZ53" s="193"/>
      <c r="LBA53" s="193"/>
      <c r="LBB53" s="193"/>
      <c r="LBC53" s="193"/>
      <c r="LBD53" s="193"/>
      <c r="LBE53" s="193"/>
      <c r="LBF53" s="193"/>
      <c r="LBG53" s="193"/>
      <c r="LBH53" s="193"/>
      <c r="LBI53" s="193"/>
      <c r="LBJ53" s="193"/>
      <c r="LBK53" s="193"/>
      <c r="LBL53" s="193"/>
      <c r="LBM53" s="193"/>
      <c r="LBN53" s="193"/>
      <c r="LBO53" s="193"/>
      <c r="LBP53" s="193"/>
      <c r="LBQ53" s="193"/>
      <c r="LBR53" s="193"/>
      <c r="LBS53" s="193"/>
      <c r="LBT53" s="193"/>
      <c r="LBU53" s="193"/>
      <c r="LBV53" s="193"/>
      <c r="LBW53" s="193"/>
      <c r="LBX53" s="193"/>
      <c r="LBY53" s="193"/>
      <c r="LBZ53" s="193"/>
      <c r="LCA53" s="193"/>
      <c r="LCB53" s="193"/>
      <c r="LCC53" s="193"/>
      <c r="LCD53" s="193"/>
      <c r="LCE53" s="193"/>
      <c r="LCF53" s="193"/>
      <c r="LCG53" s="193"/>
      <c r="LCH53" s="193"/>
      <c r="LCI53" s="193"/>
      <c r="LCJ53" s="193"/>
      <c r="LCK53" s="193"/>
      <c r="LCL53" s="193"/>
      <c r="LCM53" s="193"/>
      <c r="LCN53" s="193"/>
      <c r="LCO53" s="193"/>
      <c r="LCP53" s="193"/>
      <c r="LCQ53" s="193"/>
      <c r="LCR53" s="193"/>
      <c r="LCS53" s="193"/>
      <c r="LCT53" s="193"/>
      <c r="LCU53" s="193"/>
      <c r="LCV53" s="193"/>
      <c r="LCW53" s="193"/>
      <c r="LCX53" s="193"/>
      <c r="LCY53" s="193"/>
      <c r="LCZ53" s="193"/>
      <c r="LDA53" s="193"/>
      <c r="LDB53" s="193"/>
      <c r="LDC53" s="193"/>
      <c r="LDD53" s="193"/>
      <c r="LDE53" s="193"/>
      <c r="LDF53" s="193"/>
      <c r="LDG53" s="193"/>
      <c r="LDH53" s="193"/>
      <c r="LDI53" s="193"/>
      <c r="LDJ53" s="193"/>
      <c r="LDK53" s="193"/>
      <c r="LDL53" s="193"/>
      <c r="LDM53" s="193"/>
      <c r="LDN53" s="193"/>
      <c r="LDO53" s="193"/>
      <c r="LDP53" s="193"/>
      <c r="LDQ53" s="193"/>
      <c r="LDR53" s="193"/>
      <c r="LDS53" s="193"/>
      <c r="LDT53" s="193"/>
      <c r="LDU53" s="193"/>
      <c r="LDV53" s="193"/>
      <c r="LDW53" s="193"/>
      <c r="LDX53" s="193"/>
      <c r="LDY53" s="193"/>
      <c r="LDZ53" s="193"/>
      <c r="LEA53" s="193"/>
      <c r="LEB53" s="193"/>
      <c r="LEC53" s="193"/>
      <c r="LED53" s="193"/>
      <c r="LEE53" s="193"/>
      <c r="LEF53" s="193"/>
      <c r="LEG53" s="193"/>
      <c r="LEH53" s="193"/>
      <c r="LEI53" s="193"/>
      <c r="LEJ53" s="193"/>
      <c r="LEK53" s="193"/>
      <c r="LEL53" s="193"/>
      <c r="LEM53" s="193"/>
      <c r="LEN53" s="193"/>
      <c r="LEO53" s="193"/>
      <c r="LEP53" s="193"/>
      <c r="LEQ53" s="193"/>
      <c r="LER53" s="193"/>
      <c r="LES53" s="193"/>
      <c r="LET53" s="193"/>
      <c r="LEU53" s="193"/>
      <c r="LEV53" s="193"/>
      <c r="LEW53" s="193"/>
      <c r="LEX53" s="193"/>
      <c r="LEY53" s="193"/>
      <c r="LEZ53" s="193"/>
      <c r="LFA53" s="193"/>
      <c r="LFB53" s="193"/>
      <c r="LFC53" s="193"/>
      <c r="LFD53" s="193"/>
      <c r="LFE53" s="193"/>
      <c r="LFF53" s="193"/>
      <c r="LFG53" s="193"/>
      <c r="LFH53" s="193"/>
      <c r="LFI53" s="193"/>
      <c r="LFJ53" s="193"/>
      <c r="LFK53" s="193"/>
      <c r="LFL53" s="193"/>
      <c r="LFM53" s="193"/>
      <c r="LFN53" s="193"/>
      <c r="LFO53" s="193"/>
      <c r="LFP53" s="193"/>
      <c r="LFQ53" s="193"/>
      <c r="LFR53" s="193"/>
      <c r="LFS53" s="193"/>
      <c r="LFT53" s="193"/>
      <c r="LFU53" s="193"/>
      <c r="LFV53" s="193"/>
      <c r="LFW53" s="193"/>
      <c r="LFX53" s="193"/>
      <c r="LFY53" s="193"/>
      <c r="LFZ53" s="193"/>
      <c r="LGA53" s="193"/>
      <c r="LGB53" s="193"/>
      <c r="LGC53" s="193"/>
      <c r="LGD53" s="193"/>
      <c r="LGE53" s="193"/>
      <c r="LGF53" s="193"/>
      <c r="LGG53" s="193"/>
      <c r="LGH53" s="193"/>
      <c r="LGI53" s="193"/>
      <c r="LGJ53" s="193"/>
      <c r="LGK53" s="193"/>
      <c r="LGL53" s="193"/>
      <c r="LGM53" s="193"/>
      <c r="LGN53" s="193"/>
      <c r="LGO53" s="193"/>
      <c r="LGP53" s="193"/>
      <c r="LGQ53" s="193"/>
      <c r="LGR53" s="193"/>
      <c r="LGS53" s="193"/>
      <c r="LGT53" s="193"/>
      <c r="LGU53" s="193"/>
      <c r="LGV53" s="193"/>
      <c r="LGW53" s="193"/>
      <c r="LGX53" s="193"/>
      <c r="LGY53" s="193"/>
      <c r="LGZ53" s="193"/>
      <c r="LHA53" s="193"/>
      <c r="LHB53" s="193"/>
      <c r="LHC53" s="193"/>
      <c r="LHD53" s="193"/>
      <c r="LHE53" s="193"/>
      <c r="LHF53" s="193"/>
      <c r="LHG53" s="193"/>
      <c r="LHH53" s="193"/>
      <c r="LHI53" s="193"/>
      <c r="LHJ53" s="193"/>
      <c r="LHK53" s="193"/>
      <c r="LHL53" s="193"/>
      <c r="LHM53" s="193"/>
      <c r="LHN53" s="193"/>
      <c r="LHO53" s="193"/>
      <c r="LHP53" s="193"/>
      <c r="LHQ53" s="193"/>
      <c r="LHR53" s="193"/>
      <c r="LHS53" s="193"/>
      <c r="LHT53" s="193"/>
      <c r="LHU53" s="193"/>
      <c r="LHV53" s="193"/>
      <c r="LHW53" s="193"/>
      <c r="LHX53" s="193"/>
      <c r="LHY53" s="193"/>
      <c r="LHZ53" s="193"/>
      <c r="LIA53" s="193"/>
      <c r="LIB53" s="193"/>
      <c r="LIC53" s="193"/>
      <c r="LID53" s="193"/>
      <c r="LIE53" s="193"/>
      <c r="LIF53" s="193"/>
      <c r="LIG53" s="193"/>
      <c r="LIH53" s="193"/>
      <c r="LII53" s="193"/>
      <c r="LIJ53" s="193"/>
      <c r="LIK53" s="193"/>
      <c r="LIL53" s="193"/>
      <c r="LIM53" s="193"/>
      <c r="LIN53" s="193"/>
      <c r="LIO53" s="193"/>
      <c r="LIP53" s="193"/>
      <c r="LIQ53" s="193"/>
      <c r="LIR53" s="193"/>
      <c r="LIS53" s="193"/>
      <c r="LIT53" s="193"/>
      <c r="LIU53" s="193"/>
      <c r="LIV53" s="193"/>
      <c r="LIW53" s="193"/>
      <c r="LIX53" s="193"/>
      <c r="LIY53" s="193"/>
      <c r="LIZ53" s="193"/>
      <c r="LJA53" s="193"/>
      <c r="LJB53" s="193"/>
      <c r="LJC53" s="193"/>
      <c r="LJD53" s="193"/>
      <c r="LJE53" s="193"/>
      <c r="LJF53" s="193"/>
      <c r="LJG53" s="193"/>
      <c r="LJH53" s="193"/>
      <c r="LJI53" s="193"/>
      <c r="LJJ53" s="193"/>
      <c r="LJK53" s="193"/>
      <c r="LJL53" s="193"/>
      <c r="LJM53" s="193"/>
      <c r="LJN53" s="193"/>
      <c r="LJO53" s="193"/>
      <c r="LJP53" s="193"/>
      <c r="LJQ53" s="193"/>
      <c r="LJR53" s="193"/>
      <c r="LJS53" s="193"/>
      <c r="LJT53" s="193"/>
      <c r="LJU53" s="193"/>
      <c r="LJV53" s="193"/>
      <c r="LJW53" s="193"/>
      <c r="LJX53" s="193"/>
      <c r="LJY53" s="193"/>
      <c r="LJZ53" s="193"/>
      <c r="LKA53" s="193"/>
      <c r="LKB53" s="193"/>
      <c r="LKC53" s="193"/>
      <c r="LKD53" s="193"/>
      <c r="LKE53" s="193"/>
      <c r="LKF53" s="193"/>
      <c r="LKG53" s="193"/>
      <c r="LKH53" s="193"/>
      <c r="LKI53" s="193"/>
      <c r="LKJ53" s="193"/>
      <c r="LKK53" s="193"/>
      <c r="LKL53" s="193"/>
      <c r="LKM53" s="193"/>
      <c r="LKN53" s="193"/>
      <c r="LKO53" s="193"/>
      <c r="LKP53" s="193"/>
      <c r="LKQ53" s="193"/>
      <c r="LKR53" s="193"/>
      <c r="LKS53" s="193"/>
      <c r="LKT53" s="193"/>
      <c r="LKU53" s="193"/>
      <c r="LKV53" s="193"/>
      <c r="LKW53" s="193"/>
      <c r="LKX53" s="193"/>
      <c r="LKY53" s="193"/>
      <c r="LKZ53" s="193"/>
      <c r="LLA53" s="193"/>
      <c r="LLB53" s="193"/>
      <c r="LLC53" s="193"/>
      <c r="LLD53" s="193"/>
      <c r="LLE53" s="193"/>
      <c r="LLF53" s="193"/>
      <c r="LLG53" s="193"/>
      <c r="LLH53" s="193"/>
      <c r="LLI53" s="193"/>
      <c r="LLJ53" s="193"/>
      <c r="LLK53" s="193"/>
      <c r="LLL53" s="193"/>
      <c r="LLM53" s="193"/>
      <c r="LLN53" s="193"/>
      <c r="LLO53" s="193"/>
      <c r="LLP53" s="193"/>
      <c r="LLQ53" s="193"/>
      <c r="LLR53" s="193"/>
      <c r="LLS53" s="193"/>
      <c r="LLT53" s="193"/>
      <c r="LLU53" s="193"/>
      <c r="LLV53" s="193"/>
      <c r="LLW53" s="193"/>
      <c r="LLX53" s="193"/>
      <c r="LLY53" s="193"/>
      <c r="LLZ53" s="193"/>
      <c r="LMA53" s="193"/>
      <c r="LMB53" s="193"/>
      <c r="LMC53" s="193"/>
      <c r="LMD53" s="193"/>
      <c r="LME53" s="193"/>
      <c r="LMF53" s="193"/>
      <c r="LMG53" s="193"/>
      <c r="LMH53" s="193"/>
      <c r="LMI53" s="193"/>
      <c r="LMJ53" s="193"/>
      <c r="LMK53" s="193"/>
      <c r="LML53" s="193"/>
      <c r="LMM53" s="193"/>
      <c r="LMN53" s="193"/>
      <c r="LMO53" s="193"/>
      <c r="LMP53" s="193"/>
      <c r="LMQ53" s="193"/>
      <c r="LMR53" s="193"/>
      <c r="LMS53" s="193"/>
      <c r="LMT53" s="193"/>
      <c r="LMU53" s="193"/>
      <c r="LMV53" s="193"/>
      <c r="LMW53" s="193"/>
      <c r="LMX53" s="193"/>
      <c r="LMY53" s="193"/>
      <c r="LMZ53" s="193"/>
      <c r="LNA53" s="193"/>
      <c r="LNB53" s="193"/>
      <c r="LNC53" s="193"/>
      <c r="LND53" s="193"/>
      <c r="LNE53" s="193"/>
      <c r="LNF53" s="193"/>
      <c r="LNG53" s="193"/>
      <c r="LNH53" s="193"/>
      <c r="LNI53" s="193"/>
      <c r="LNJ53" s="193"/>
      <c r="LNK53" s="193"/>
      <c r="LNL53" s="193"/>
      <c r="LNM53" s="193"/>
      <c r="LNN53" s="193"/>
      <c r="LNO53" s="193"/>
      <c r="LNP53" s="193"/>
      <c r="LNQ53" s="193"/>
      <c r="LNR53" s="193"/>
      <c r="LNS53" s="193"/>
      <c r="LNT53" s="193"/>
      <c r="LNU53" s="193"/>
      <c r="LNV53" s="193"/>
      <c r="LNW53" s="193"/>
      <c r="LNX53" s="193"/>
      <c r="LNY53" s="193"/>
      <c r="LNZ53" s="193"/>
      <c r="LOA53" s="193"/>
      <c r="LOB53" s="193"/>
      <c r="LOC53" s="193"/>
      <c r="LOD53" s="193"/>
      <c r="LOE53" s="193"/>
      <c r="LOF53" s="193"/>
      <c r="LOG53" s="193"/>
      <c r="LOH53" s="193"/>
      <c r="LOI53" s="193"/>
      <c r="LOJ53" s="193"/>
      <c r="LOK53" s="193"/>
      <c r="LOL53" s="193"/>
      <c r="LOM53" s="193"/>
      <c r="LON53" s="193"/>
      <c r="LOO53" s="193"/>
      <c r="LOP53" s="193"/>
      <c r="LOQ53" s="193"/>
      <c r="LOR53" s="193"/>
      <c r="LOS53" s="193"/>
      <c r="LOT53" s="193"/>
      <c r="LOU53" s="193"/>
      <c r="LOV53" s="193"/>
      <c r="LOW53" s="193"/>
      <c r="LOX53" s="193"/>
      <c r="LOY53" s="193"/>
      <c r="LOZ53" s="193"/>
      <c r="LPA53" s="193"/>
      <c r="LPB53" s="193"/>
      <c r="LPC53" s="193"/>
      <c r="LPD53" s="193"/>
      <c r="LPE53" s="193"/>
      <c r="LPF53" s="193"/>
      <c r="LPG53" s="193"/>
      <c r="LPH53" s="193"/>
      <c r="LPI53" s="193"/>
      <c r="LPJ53" s="193"/>
      <c r="LPK53" s="193"/>
      <c r="LPL53" s="193"/>
      <c r="LPM53" s="193"/>
      <c r="LPN53" s="193"/>
      <c r="LPO53" s="193"/>
      <c r="LPP53" s="193"/>
      <c r="LPQ53" s="193"/>
      <c r="LPR53" s="193"/>
      <c r="LPS53" s="193"/>
      <c r="LPT53" s="193"/>
      <c r="LPU53" s="193"/>
      <c r="LPV53" s="193"/>
      <c r="LPW53" s="193"/>
      <c r="LPX53" s="193"/>
      <c r="LPY53" s="193"/>
      <c r="LPZ53" s="193"/>
      <c r="LQA53" s="193"/>
      <c r="LQB53" s="193"/>
      <c r="LQC53" s="193"/>
      <c r="LQD53" s="193"/>
      <c r="LQE53" s="193"/>
      <c r="LQF53" s="193"/>
      <c r="LQG53" s="193"/>
      <c r="LQH53" s="193"/>
      <c r="LQI53" s="193"/>
      <c r="LQJ53" s="193"/>
      <c r="LQK53" s="193"/>
      <c r="LQL53" s="193"/>
      <c r="LQM53" s="193"/>
      <c r="LQN53" s="193"/>
      <c r="LQO53" s="193"/>
      <c r="LQP53" s="193"/>
      <c r="LQQ53" s="193"/>
      <c r="LQR53" s="193"/>
      <c r="LQS53" s="193"/>
      <c r="LQT53" s="193"/>
      <c r="LQU53" s="193"/>
      <c r="LQV53" s="193"/>
      <c r="LQW53" s="193"/>
      <c r="LQX53" s="193"/>
      <c r="LQY53" s="193"/>
      <c r="LQZ53" s="193"/>
      <c r="LRA53" s="193"/>
      <c r="LRB53" s="193"/>
      <c r="LRC53" s="193"/>
      <c r="LRD53" s="193"/>
      <c r="LRE53" s="193"/>
      <c r="LRF53" s="193"/>
      <c r="LRG53" s="193"/>
      <c r="LRH53" s="193"/>
      <c r="LRI53" s="193"/>
      <c r="LRJ53" s="193"/>
      <c r="LRK53" s="193"/>
      <c r="LRL53" s="193"/>
      <c r="LRM53" s="193"/>
      <c r="LRN53" s="193"/>
      <c r="LRO53" s="193"/>
      <c r="LRP53" s="193"/>
      <c r="LRQ53" s="193"/>
      <c r="LRR53" s="193"/>
      <c r="LRS53" s="193"/>
      <c r="LRT53" s="193"/>
      <c r="LRU53" s="193"/>
      <c r="LRV53" s="193"/>
      <c r="LRW53" s="193"/>
      <c r="LRX53" s="193"/>
      <c r="LRY53" s="193"/>
      <c r="LRZ53" s="193"/>
      <c r="LSA53" s="193"/>
      <c r="LSB53" s="193"/>
      <c r="LSC53" s="193"/>
      <c r="LSD53" s="193"/>
      <c r="LSE53" s="193"/>
      <c r="LSF53" s="193"/>
      <c r="LSG53" s="193"/>
      <c r="LSH53" s="193"/>
      <c r="LSI53" s="193"/>
      <c r="LSJ53" s="193"/>
      <c r="LSK53" s="193"/>
      <c r="LSL53" s="193"/>
      <c r="LSM53" s="193"/>
      <c r="LSN53" s="193"/>
      <c r="LSO53" s="193"/>
      <c r="LSP53" s="193"/>
      <c r="LSQ53" s="193"/>
      <c r="LSR53" s="193"/>
      <c r="LSS53" s="193"/>
      <c r="LST53" s="193"/>
      <c r="LSU53" s="193"/>
      <c r="LSV53" s="193"/>
      <c r="LSW53" s="193"/>
      <c r="LSX53" s="193"/>
      <c r="LSY53" s="193"/>
      <c r="LSZ53" s="193"/>
      <c r="LTA53" s="193"/>
      <c r="LTB53" s="193"/>
      <c r="LTC53" s="193"/>
      <c r="LTD53" s="193"/>
      <c r="LTE53" s="193"/>
      <c r="LTF53" s="193"/>
      <c r="LTG53" s="193"/>
      <c r="LTH53" s="193"/>
      <c r="LTI53" s="193"/>
      <c r="LTJ53" s="193"/>
      <c r="LTK53" s="193"/>
      <c r="LTL53" s="193"/>
      <c r="LTM53" s="193"/>
      <c r="LTN53" s="193"/>
      <c r="LTO53" s="193"/>
      <c r="LTP53" s="193"/>
      <c r="LTQ53" s="193"/>
      <c r="LTR53" s="193"/>
      <c r="LTS53" s="193"/>
      <c r="LTT53" s="193"/>
      <c r="LTU53" s="193"/>
      <c r="LTV53" s="193"/>
      <c r="LTW53" s="193"/>
      <c r="LTX53" s="193"/>
      <c r="LTY53" s="193"/>
      <c r="LTZ53" s="193"/>
      <c r="LUA53" s="193"/>
      <c r="LUB53" s="193"/>
      <c r="LUC53" s="193"/>
      <c r="LUD53" s="193"/>
      <c r="LUE53" s="193"/>
      <c r="LUF53" s="193"/>
      <c r="LUG53" s="193"/>
      <c r="LUH53" s="193"/>
      <c r="LUI53" s="193"/>
      <c r="LUJ53" s="193"/>
      <c r="LUK53" s="193"/>
      <c r="LUL53" s="193"/>
      <c r="LUM53" s="193"/>
      <c r="LUN53" s="193"/>
      <c r="LUO53" s="193"/>
      <c r="LUP53" s="193"/>
      <c r="LUQ53" s="193"/>
      <c r="LUR53" s="193"/>
      <c r="LUS53" s="193"/>
      <c r="LUT53" s="193"/>
      <c r="LUU53" s="193"/>
      <c r="LUV53" s="193"/>
      <c r="LUW53" s="193"/>
      <c r="LUX53" s="193"/>
      <c r="LUY53" s="193"/>
      <c r="LUZ53" s="193"/>
      <c r="LVA53" s="193"/>
      <c r="LVB53" s="193"/>
      <c r="LVC53" s="193"/>
      <c r="LVD53" s="193"/>
      <c r="LVE53" s="193"/>
      <c r="LVF53" s="193"/>
      <c r="LVG53" s="193"/>
      <c r="LVH53" s="193"/>
      <c r="LVI53" s="193"/>
      <c r="LVJ53" s="193"/>
      <c r="LVK53" s="193"/>
      <c r="LVL53" s="193"/>
      <c r="LVM53" s="193"/>
      <c r="LVN53" s="193"/>
      <c r="LVO53" s="193"/>
      <c r="LVP53" s="193"/>
      <c r="LVQ53" s="193"/>
      <c r="LVR53" s="193"/>
      <c r="LVS53" s="193"/>
      <c r="LVT53" s="193"/>
      <c r="LVU53" s="193"/>
      <c r="LVV53" s="193"/>
      <c r="LVW53" s="193"/>
      <c r="LVX53" s="193"/>
      <c r="LVY53" s="193"/>
      <c r="LVZ53" s="193"/>
      <c r="LWA53" s="193"/>
      <c r="LWB53" s="193"/>
      <c r="LWC53" s="193"/>
      <c r="LWD53" s="193"/>
      <c r="LWE53" s="193"/>
      <c r="LWF53" s="193"/>
      <c r="LWG53" s="193"/>
      <c r="LWH53" s="193"/>
      <c r="LWI53" s="193"/>
      <c r="LWJ53" s="193"/>
      <c r="LWK53" s="193"/>
      <c r="LWL53" s="193"/>
      <c r="LWM53" s="193"/>
      <c r="LWN53" s="193"/>
      <c r="LWO53" s="193"/>
      <c r="LWP53" s="193"/>
      <c r="LWQ53" s="193"/>
      <c r="LWR53" s="193"/>
      <c r="LWS53" s="193"/>
      <c r="LWT53" s="193"/>
      <c r="LWU53" s="193"/>
      <c r="LWV53" s="193"/>
      <c r="LWW53" s="193"/>
      <c r="LWX53" s="193"/>
      <c r="LWY53" s="193"/>
      <c r="LWZ53" s="193"/>
      <c r="LXA53" s="193"/>
      <c r="LXB53" s="193"/>
      <c r="LXC53" s="193"/>
      <c r="LXD53" s="193"/>
      <c r="LXE53" s="193"/>
      <c r="LXF53" s="193"/>
      <c r="LXG53" s="193"/>
      <c r="LXH53" s="193"/>
      <c r="LXI53" s="193"/>
      <c r="LXJ53" s="193"/>
      <c r="LXK53" s="193"/>
      <c r="LXL53" s="193"/>
      <c r="LXM53" s="193"/>
      <c r="LXN53" s="193"/>
      <c r="LXO53" s="193"/>
      <c r="LXP53" s="193"/>
      <c r="LXQ53" s="193"/>
      <c r="LXR53" s="193"/>
      <c r="LXS53" s="193"/>
      <c r="LXT53" s="193"/>
      <c r="LXU53" s="193"/>
      <c r="LXV53" s="193"/>
      <c r="LXW53" s="193"/>
      <c r="LXX53" s="193"/>
      <c r="LXY53" s="193"/>
      <c r="LXZ53" s="193"/>
      <c r="LYA53" s="193"/>
      <c r="LYB53" s="193"/>
      <c r="LYC53" s="193"/>
      <c r="LYD53" s="193"/>
      <c r="LYE53" s="193"/>
      <c r="LYF53" s="193"/>
      <c r="LYG53" s="193"/>
      <c r="LYH53" s="193"/>
      <c r="LYI53" s="193"/>
      <c r="LYJ53" s="193"/>
      <c r="LYK53" s="193"/>
      <c r="LYL53" s="193"/>
      <c r="LYM53" s="193"/>
      <c r="LYN53" s="193"/>
      <c r="LYO53" s="193"/>
      <c r="LYP53" s="193"/>
      <c r="LYQ53" s="193"/>
      <c r="LYR53" s="193"/>
      <c r="LYS53" s="193"/>
      <c r="LYT53" s="193"/>
      <c r="LYU53" s="193"/>
      <c r="LYV53" s="193"/>
      <c r="LYW53" s="193"/>
      <c r="LYX53" s="193"/>
      <c r="LYY53" s="193"/>
      <c r="LYZ53" s="193"/>
      <c r="LZA53" s="193"/>
      <c r="LZB53" s="193"/>
      <c r="LZC53" s="193"/>
      <c r="LZD53" s="193"/>
      <c r="LZE53" s="193"/>
      <c r="LZF53" s="193"/>
      <c r="LZG53" s="193"/>
      <c r="LZH53" s="193"/>
      <c r="LZI53" s="193"/>
      <c r="LZJ53" s="193"/>
      <c r="LZK53" s="193"/>
      <c r="LZL53" s="193"/>
      <c r="LZM53" s="193"/>
      <c r="LZN53" s="193"/>
      <c r="LZO53" s="193"/>
      <c r="LZP53" s="193"/>
      <c r="LZQ53" s="193"/>
      <c r="LZR53" s="193"/>
      <c r="LZS53" s="193"/>
      <c r="LZT53" s="193"/>
      <c r="LZU53" s="193"/>
      <c r="LZV53" s="193"/>
      <c r="LZW53" s="193"/>
      <c r="LZX53" s="193"/>
      <c r="LZY53" s="193"/>
      <c r="LZZ53" s="193"/>
      <c r="MAA53" s="193"/>
      <c r="MAB53" s="193"/>
      <c r="MAC53" s="193"/>
      <c r="MAD53" s="193"/>
      <c r="MAE53" s="193"/>
      <c r="MAF53" s="193"/>
      <c r="MAG53" s="193"/>
      <c r="MAH53" s="193"/>
      <c r="MAI53" s="193"/>
      <c r="MAJ53" s="193"/>
      <c r="MAK53" s="193"/>
      <c r="MAL53" s="193"/>
      <c r="MAM53" s="193"/>
      <c r="MAN53" s="193"/>
      <c r="MAO53" s="193"/>
      <c r="MAP53" s="193"/>
      <c r="MAQ53" s="193"/>
      <c r="MAR53" s="193"/>
      <c r="MAS53" s="193"/>
      <c r="MAT53" s="193"/>
      <c r="MAU53" s="193"/>
      <c r="MAV53" s="193"/>
      <c r="MAW53" s="193"/>
      <c r="MAX53" s="193"/>
      <c r="MAY53" s="193"/>
      <c r="MAZ53" s="193"/>
      <c r="MBA53" s="193"/>
      <c r="MBB53" s="193"/>
      <c r="MBC53" s="193"/>
      <c r="MBD53" s="193"/>
      <c r="MBE53" s="193"/>
      <c r="MBF53" s="193"/>
      <c r="MBG53" s="193"/>
      <c r="MBH53" s="193"/>
      <c r="MBI53" s="193"/>
      <c r="MBJ53" s="193"/>
      <c r="MBK53" s="193"/>
      <c r="MBL53" s="193"/>
      <c r="MBM53" s="193"/>
      <c r="MBN53" s="193"/>
      <c r="MBO53" s="193"/>
      <c r="MBP53" s="193"/>
      <c r="MBQ53" s="193"/>
      <c r="MBR53" s="193"/>
      <c r="MBS53" s="193"/>
      <c r="MBT53" s="193"/>
      <c r="MBU53" s="193"/>
      <c r="MBV53" s="193"/>
      <c r="MBW53" s="193"/>
      <c r="MBX53" s="193"/>
      <c r="MBY53" s="193"/>
      <c r="MBZ53" s="193"/>
      <c r="MCA53" s="193"/>
      <c r="MCB53" s="193"/>
      <c r="MCC53" s="193"/>
      <c r="MCD53" s="193"/>
      <c r="MCE53" s="193"/>
      <c r="MCF53" s="193"/>
      <c r="MCG53" s="193"/>
      <c r="MCH53" s="193"/>
      <c r="MCI53" s="193"/>
      <c r="MCJ53" s="193"/>
      <c r="MCK53" s="193"/>
      <c r="MCL53" s="193"/>
      <c r="MCM53" s="193"/>
      <c r="MCN53" s="193"/>
      <c r="MCO53" s="193"/>
      <c r="MCP53" s="193"/>
      <c r="MCQ53" s="193"/>
      <c r="MCR53" s="193"/>
      <c r="MCS53" s="193"/>
      <c r="MCT53" s="193"/>
      <c r="MCU53" s="193"/>
      <c r="MCV53" s="193"/>
      <c r="MCW53" s="193"/>
      <c r="MCX53" s="193"/>
      <c r="MCY53" s="193"/>
      <c r="MCZ53" s="193"/>
      <c r="MDA53" s="193"/>
      <c r="MDB53" s="193"/>
      <c r="MDC53" s="193"/>
      <c r="MDD53" s="193"/>
      <c r="MDE53" s="193"/>
      <c r="MDF53" s="193"/>
      <c r="MDG53" s="193"/>
      <c r="MDH53" s="193"/>
      <c r="MDI53" s="193"/>
      <c r="MDJ53" s="193"/>
      <c r="MDK53" s="193"/>
      <c r="MDL53" s="193"/>
      <c r="MDM53" s="193"/>
      <c r="MDN53" s="193"/>
      <c r="MDO53" s="193"/>
      <c r="MDP53" s="193"/>
      <c r="MDQ53" s="193"/>
      <c r="MDR53" s="193"/>
      <c r="MDS53" s="193"/>
      <c r="MDT53" s="193"/>
      <c r="MDU53" s="193"/>
      <c r="MDV53" s="193"/>
      <c r="MDW53" s="193"/>
      <c r="MDX53" s="193"/>
      <c r="MDY53" s="193"/>
      <c r="MDZ53" s="193"/>
      <c r="MEA53" s="193"/>
      <c r="MEB53" s="193"/>
      <c r="MEC53" s="193"/>
      <c r="MED53" s="193"/>
      <c r="MEE53" s="193"/>
      <c r="MEF53" s="193"/>
      <c r="MEG53" s="193"/>
      <c r="MEH53" s="193"/>
      <c r="MEI53" s="193"/>
      <c r="MEJ53" s="193"/>
      <c r="MEK53" s="193"/>
      <c r="MEL53" s="193"/>
      <c r="MEM53" s="193"/>
      <c r="MEN53" s="193"/>
      <c r="MEO53" s="193"/>
      <c r="MEP53" s="193"/>
      <c r="MEQ53" s="193"/>
      <c r="MER53" s="193"/>
      <c r="MES53" s="193"/>
      <c r="MET53" s="193"/>
      <c r="MEU53" s="193"/>
      <c r="MEV53" s="193"/>
      <c r="MEW53" s="193"/>
      <c r="MEX53" s="193"/>
      <c r="MEY53" s="193"/>
      <c r="MEZ53" s="193"/>
      <c r="MFA53" s="193"/>
      <c r="MFB53" s="193"/>
      <c r="MFC53" s="193"/>
      <c r="MFD53" s="193"/>
      <c r="MFE53" s="193"/>
      <c r="MFF53" s="193"/>
      <c r="MFG53" s="193"/>
      <c r="MFH53" s="193"/>
      <c r="MFI53" s="193"/>
      <c r="MFJ53" s="193"/>
      <c r="MFK53" s="193"/>
      <c r="MFL53" s="193"/>
      <c r="MFM53" s="193"/>
      <c r="MFN53" s="193"/>
      <c r="MFO53" s="193"/>
      <c r="MFP53" s="193"/>
      <c r="MFQ53" s="193"/>
      <c r="MFR53" s="193"/>
      <c r="MFS53" s="193"/>
      <c r="MFT53" s="193"/>
      <c r="MFU53" s="193"/>
      <c r="MFV53" s="193"/>
      <c r="MFW53" s="193"/>
      <c r="MFX53" s="193"/>
      <c r="MFY53" s="193"/>
      <c r="MFZ53" s="193"/>
      <c r="MGA53" s="193"/>
      <c r="MGB53" s="193"/>
      <c r="MGC53" s="193"/>
      <c r="MGD53" s="193"/>
      <c r="MGE53" s="193"/>
      <c r="MGF53" s="193"/>
      <c r="MGG53" s="193"/>
      <c r="MGH53" s="193"/>
      <c r="MGI53" s="193"/>
      <c r="MGJ53" s="193"/>
      <c r="MGK53" s="193"/>
      <c r="MGL53" s="193"/>
      <c r="MGM53" s="193"/>
      <c r="MGN53" s="193"/>
      <c r="MGO53" s="193"/>
      <c r="MGP53" s="193"/>
      <c r="MGQ53" s="193"/>
      <c r="MGR53" s="193"/>
      <c r="MGS53" s="193"/>
      <c r="MGT53" s="193"/>
      <c r="MGU53" s="193"/>
      <c r="MGV53" s="193"/>
      <c r="MGW53" s="193"/>
      <c r="MGX53" s="193"/>
      <c r="MGY53" s="193"/>
      <c r="MGZ53" s="193"/>
      <c r="MHA53" s="193"/>
      <c r="MHB53" s="193"/>
      <c r="MHC53" s="193"/>
      <c r="MHD53" s="193"/>
      <c r="MHE53" s="193"/>
      <c r="MHF53" s="193"/>
      <c r="MHG53" s="193"/>
      <c r="MHH53" s="193"/>
      <c r="MHI53" s="193"/>
      <c r="MHJ53" s="193"/>
      <c r="MHK53" s="193"/>
      <c r="MHL53" s="193"/>
      <c r="MHM53" s="193"/>
      <c r="MHN53" s="193"/>
      <c r="MHO53" s="193"/>
      <c r="MHP53" s="193"/>
      <c r="MHQ53" s="193"/>
      <c r="MHR53" s="193"/>
      <c r="MHS53" s="193"/>
      <c r="MHT53" s="193"/>
      <c r="MHU53" s="193"/>
      <c r="MHV53" s="193"/>
      <c r="MHW53" s="193"/>
      <c r="MHX53" s="193"/>
      <c r="MHY53" s="193"/>
      <c r="MHZ53" s="193"/>
      <c r="MIA53" s="193"/>
      <c r="MIB53" s="193"/>
      <c r="MIC53" s="193"/>
      <c r="MID53" s="193"/>
      <c r="MIE53" s="193"/>
      <c r="MIF53" s="193"/>
      <c r="MIG53" s="193"/>
      <c r="MIH53" s="193"/>
      <c r="MII53" s="193"/>
      <c r="MIJ53" s="193"/>
      <c r="MIK53" s="193"/>
      <c r="MIL53" s="193"/>
      <c r="MIM53" s="193"/>
      <c r="MIN53" s="193"/>
      <c r="MIO53" s="193"/>
      <c r="MIP53" s="193"/>
      <c r="MIQ53" s="193"/>
      <c r="MIR53" s="193"/>
      <c r="MIS53" s="193"/>
      <c r="MIT53" s="193"/>
      <c r="MIU53" s="193"/>
      <c r="MIV53" s="193"/>
      <c r="MIW53" s="193"/>
      <c r="MIX53" s="193"/>
      <c r="MIY53" s="193"/>
      <c r="MIZ53" s="193"/>
      <c r="MJA53" s="193"/>
      <c r="MJB53" s="193"/>
      <c r="MJC53" s="193"/>
      <c r="MJD53" s="193"/>
      <c r="MJE53" s="193"/>
      <c r="MJF53" s="193"/>
      <c r="MJG53" s="193"/>
      <c r="MJH53" s="193"/>
      <c r="MJI53" s="193"/>
      <c r="MJJ53" s="193"/>
      <c r="MJK53" s="193"/>
      <c r="MJL53" s="193"/>
      <c r="MJM53" s="193"/>
      <c r="MJN53" s="193"/>
      <c r="MJO53" s="193"/>
      <c r="MJP53" s="193"/>
      <c r="MJQ53" s="193"/>
      <c r="MJR53" s="193"/>
      <c r="MJS53" s="193"/>
      <c r="MJT53" s="193"/>
      <c r="MJU53" s="193"/>
      <c r="MJV53" s="193"/>
      <c r="MJW53" s="193"/>
      <c r="MJX53" s="193"/>
      <c r="MJY53" s="193"/>
      <c r="MJZ53" s="193"/>
      <c r="MKA53" s="193"/>
      <c r="MKB53" s="193"/>
      <c r="MKC53" s="193"/>
      <c r="MKD53" s="193"/>
      <c r="MKE53" s="193"/>
      <c r="MKF53" s="193"/>
      <c r="MKG53" s="193"/>
      <c r="MKH53" s="193"/>
      <c r="MKI53" s="193"/>
      <c r="MKJ53" s="193"/>
      <c r="MKK53" s="193"/>
      <c r="MKL53" s="193"/>
      <c r="MKM53" s="193"/>
      <c r="MKN53" s="193"/>
      <c r="MKO53" s="193"/>
      <c r="MKP53" s="193"/>
      <c r="MKQ53" s="193"/>
      <c r="MKR53" s="193"/>
      <c r="MKS53" s="193"/>
      <c r="MKT53" s="193"/>
      <c r="MKU53" s="193"/>
      <c r="MKV53" s="193"/>
      <c r="MKW53" s="193"/>
      <c r="MKX53" s="193"/>
      <c r="MKY53" s="193"/>
      <c r="MKZ53" s="193"/>
      <c r="MLA53" s="193"/>
      <c r="MLB53" s="193"/>
      <c r="MLC53" s="193"/>
      <c r="MLD53" s="193"/>
      <c r="MLE53" s="193"/>
      <c r="MLF53" s="193"/>
      <c r="MLG53" s="193"/>
      <c r="MLH53" s="193"/>
      <c r="MLI53" s="193"/>
      <c r="MLJ53" s="193"/>
      <c r="MLK53" s="193"/>
      <c r="MLL53" s="193"/>
      <c r="MLM53" s="193"/>
      <c r="MLN53" s="193"/>
      <c r="MLO53" s="193"/>
      <c r="MLP53" s="193"/>
      <c r="MLQ53" s="193"/>
      <c r="MLR53" s="193"/>
      <c r="MLS53" s="193"/>
      <c r="MLT53" s="193"/>
      <c r="MLU53" s="193"/>
      <c r="MLV53" s="193"/>
      <c r="MLW53" s="193"/>
      <c r="MLX53" s="193"/>
      <c r="MLY53" s="193"/>
      <c r="MLZ53" s="193"/>
      <c r="MMA53" s="193"/>
      <c r="MMB53" s="193"/>
      <c r="MMC53" s="193"/>
      <c r="MMD53" s="193"/>
      <c r="MME53" s="193"/>
      <c r="MMF53" s="193"/>
      <c r="MMG53" s="193"/>
      <c r="MMH53" s="193"/>
      <c r="MMI53" s="193"/>
      <c r="MMJ53" s="193"/>
      <c r="MMK53" s="193"/>
      <c r="MML53" s="193"/>
      <c r="MMM53" s="193"/>
      <c r="MMN53" s="193"/>
      <c r="MMO53" s="193"/>
      <c r="MMP53" s="193"/>
      <c r="MMQ53" s="193"/>
      <c r="MMR53" s="193"/>
      <c r="MMS53" s="193"/>
      <c r="MMT53" s="193"/>
      <c r="MMU53" s="193"/>
      <c r="MMV53" s="193"/>
      <c r="MMW53" s="193"/>
      <c r="MMX53" s="193"/>
      <c r="MMY53" s="193"/>
      <c r="MMZ53" s="193"/>
      <c r="MNA53" s="193"/>
      <c r="MNB53" s="193"/>
      <c r="MNC53" s="193"/>
      <c r="MND53" s="193"/>
      <c r="MNE53" s="193"/>
      <c r="MNF53" s="193"/>
      <c r="MNG53" s="193"/>
      <c r="MNH53" s="193"/>
      <c r="MNI53" s="193"/>
      <c r="MNJ53" s="193"/>
      <c r="MNK53" s="193"/>
      <c r="MNL53" s="193"/>
      <c r="MNM53" s="193"/>
      <c r="MNN53" s="193"/>
      <c r="MNO53" s="193"/>
      <c r="MNP53" s="193"/>
      <c r="MNQ53" s="193"/>
      <c r="MNR53" s="193"/>
      <c r="MNS53" s="193"/>
      <c r="MNT53" s="193"/>
      <c r="MNU53" s="193"/>
      <c r="MNV53" s="193"/>
      <c r="MNW53" s="193"/>
      <c r="MNX53" s="193"/>
      <c r="MNY53" s="193"/>
      <c r="MNZ53" s="193"/>
      <c r="MOA53" s="193"/>
      <c r="MOB53" s="193"/>
      <c r="MOC53" s="193"/>
      <c r="MOD53" s="193"/>
      <c r="MOE53" s="193"/>
      <c r="MOF53" s="193"/>
      <c r="MOG53" s="193"/>
      <c r="MOH53" s="193"/>
      <c r="MOI53" s="193"/>
      <c r="MOJ53" s="193"/>
      <c r="MOK53" s="193"/>
      <c r="MOL53" s="193"/>
      <c r="MOM53" s="193"/>
      <c r="MON53" s="193"/>
      <c r="MOO53" s="193"/>
      <c r="MOP53" s="193"/>
      <c r="MOQ53" s="193"/>
      <c r="MOR53" s="193"/>
      <c r="MOS53" s="193"/>
      <c r="MOT53" s="193"/>
      <c r="MOU53" s="193"/>
      <c r="MOV53" s="193"/>
      <c r="MOW53" s="193"/>
      <c r="MOX53" s="193"/>
      <c r="MOY53" s="193"/>
      <c r="MOZ53" s="193"/>
      <c r="MPA53" s="193"/>
      <c r="MPB53" s="193"/>
      <c r="MPC53" s="193"/>
      <c r="MPD53" s="193"/>
      <c r="MPE53" s="193"/>
      <c r="MPF53" s="193"/>
      <c r="MPG53" s="193"/>
      <c r="MPH53" s="193"/>
      <c r="MPI53" s="193"/>
      <c r="MPJ53" s="193"/>
      <c r="MPK53" s="193"/>
      <c r="MPL53" s="193"/>
      <c r="MPM53" s="193"/>
      <c r="MPN53" s="193"/>
      <c r="MPO53" s="193"/>
      <c r="MPP53" s="193"/>
      <c r="MPQ53" s="193"/>
      <c r="MPR53" s="193"/>
      <c r="MPS53" s="193"/>
      <c r="MPT53" s="193"/>
      <c r="MPU53" s="193"/>
      <c r="MPV53" s="193"/>
      <c r="MPW53" s="193"/>
      <c r="MPX53" s="193"/>
      <c r="MPY53" s="193"/>
      <c r="MPZ53" s="193"/>
      <c r="MQA53" s="193"/>
      <c r="MQB53" s="193"/>
      <c r="MQC53" s="193"/>
      <c r="MQD53" s="193"/>
      <c r="MQE53" s="193"/>
      <c r="MQF53" s="193"/>
      <c r="MQG53" s="193"/>
      <c r="MQH53" s="193"/>
      <c r="MQI53" s="193"/>
      <c r="MQJ53" s="193"/>
      <c r="MQK53" s="193"/>
      <c r="MQL53" s="193"/>
      <c r="MQM53" s="193"/>
      <c r="MQN53" s="193"/>
      <c r="MQO53" s="193"/>
      <c r="MQP53" s="193"/>
      <c r="MQQ53" s="193"/>
      <c r="MQR53" s="193"/>
      <c r="MQS53" s="193"/>
      <c r="MQT53" s="193"/>
      <c r="MQU53" s="193"/>
      <c r="MQV53" s="193"/>
      <c r="MQW53" s="193"/>
      <c r="MQX53" s="193"/>
      <c r="MQY53" s="193"/>
      <c r="MQZ53" s="193"/>
      <c r="MRA53" s="193"/>
      <c r="MRB53" s="193"/>
      <c r="MRC53" s="193"/>
      <c r="MRD53" s="193"/>
      <c r="MRE53" s="193"/>
      <c r="MRF53" s="193"/>
      <c r="MRG53" s="193"/>
      <c r="MRH53" s="193"/>
      <c r="MRI53" s="193"/>
      <c r="MRJ53" s="193"/>
      <c r="MRK53" s="193"/>
      <c r="MRL53" s="193"/>
      <c r="MRM53" s="193"/>
      <c r="MRN53" s="193"/>
      <c r="MRO53" s="193"/>
      <c r="MRP53" s="193"/>
      <c r="MRQ53" s="193"/>
      <c r="MRR53" s="193"/>
      <c r="MRS53" s="193"/>
      <c r="MRT53" s="193"/>
      <c r="MRU53" s="193"/>
      <c r="MRV53" s="193"/>
      <c r="MRW53" s="193"/>
      <c r="MRX53" s="193"/>
      <c r="MRY53" s="193"/>
      <c r="MRZ53" s="193"/>
      <c r="MSA53" s="193"/>
      <c r="MSB53" s="193"/>
      <c r="MSC53" s="193"/>
      <c r="MSD53" s="193"/>
      <c r="MSE53" s="193"/>
      <c r="MSF53" s="193"/>
      <c r="MSG53" s="193"/>
      <c r="MSH53" s="193"/>
      <c r="MSI53" s="193"/>
      <c r="MSJ53" s="193"/>
      <c r="MSK53" s="193"/>
      <c r="MSL53" s="193"/>
      <c r="MSM53" s="193"/>
      <c r="MSN53" s="193"/>
      <c r="MSO53" s="193"/>
      <c r="MSP53" s="193"/>
      <c r="MSQ53" s="193"/>
      <c r="MSR53" s="193"/>
      <c r="MSS53" s="193"/>
      <c r="MST53" s="193"/>
      <c r="MSU53" s="193"/>
      <c r="MSV53" s="193"/>
      <c r="MSW53" s="193"/>
      <c r="MSX53" s="193"/>
      <c r="MSY53" s="193"/>
      <c r="MSZ53" s="193"/>
      <c r="MTA53" s="193"/>
      <c r="MTB53" s="193"/>
      <c r="MTC53" s="193"/>
      <c r="MTD53" s="193"/>
      <c r="MTE53" s="193"/>
      <c r="MTF53" s="193"/>
      <c r="MTG53" s="193"/>
      <c r="MTH53" s="193"/>
      <c r="MTI53" s="193"/>
      <c r="MTJ53" s="193"/>
      <c r="MTK53" s="193"/>
      <c r="MTL53" s="193"/>
      <c r="MTM53" s="193"/>
      <c r="MTN53" s="193"/>
      <c r="MTO53" s="193"/>
      <c r="MTP53" s="193"/>
      <c r="MTQ53" s="193"/>
      <c r="MTR53" s="193"/>
      <c r="MTS53" s="193"/>
      <c r="MTT53" s="193"/>
      <c r="MTU53" s="193"/>
      <c r="MTV53" s="193"/>
      <c r="MTW53" s="193"/>
      <c r="MTX53" s="193"/>
      <c r="MTY53" s="193"/>
      <c r="MTZ53" s="193"/>
      <c r="MUA53" s="193"/>
      <c r="MUB53" s="193"/>
      <c r="MUC53" s="193"/>
      <c r="MUD53" s="193"/>
      <c r="MUE53" s="193"/>
      <c r="MUF53" s="193"/>
      <c r="MUG53" s="193"/>
      <c r="MUH53" s="193"/>
      <c r="MUI53" s="193"/>
      <c r="MUJ53" s="193"/>
      <c r="MUK53" s="193"/>
      <c r="MUL53" s="193"/>
      <c r="MUM53" s="193"/>
      <c r="MUN53" s="193"/>
      <c r="MUO53" s="193"/>
      <c r="MUP53" s="193"/>
      <c r="MUQ53" s="193"/>
      <c r="MUR53" s="193"/>
      <c r="MUS53" s="193"/>
      <c r="MUT53" s="193"/>
      <c r="MUU53" s="193"/>
      <c r="MUV53" s="193"/>
      <c r="MUW53" s="193"/>
      <c r="MUX53" s="193"/>
      <c r="MUY53" s="193"/>
      <c r="MUZ53" s="193"/>
      <c r="MVA53" s="193"/>
      <c r="MVB53" s="193"/>
      <c r="MVC53" s="193"/>
      <c r="MVD53" s="193"/>
      <c r="MVE53" s="193"/>
      <c r="MVF53" s="193"/>
      <c r="MVG53" s="193"/>
      <c r="MVH53" s="193"/>
      <c r="MVI53" s="193"/>
      <c r="MVJ53" s="193"/>
      <c r="MVK53" s="193"/>
      <c r="MVL53" s="193"/>
      <c r="MVM53" s="193"/>
      <c r="MVN53" s="193"/>
      <c r="MVO53" s="193"/>
      <c r="MVP53" s="193"/>
      <c r="MVQ53" s="193"/>
      <c r="MVR53" s="193"/>
      <c r="MVS53" s="193"/>
      <c r="MVT53" s="193"/>
      <c r="MVU53" s="193"/>
      <c r="MVV53" s="193"/>
      <c r="MVW53" s="193"/>
      <c r="MVX53" s="193"/>
      <c r="MVY53" s="193"/>
      <c r="MVZ53" s="193"/>
      <c r="MWA53" s="193"/>
      <c r="MWB53" s="193"/>
      <c r="MWC53" s="193"/>
      <c r="MWD53" s="193"/>
      <c r="MWE53" s="193"/>
      <c r="MWF53" s="193"/>
      <c r="MWG53" s="193"/>
      <c r="MWH53" s="193"/>
      <c r="MWI53" s="193"/>
      <c r="MWJ53" s="193"/>
      <c r="MWK53" s="193"/>
      <c r="MWL53" s="193"/>
      <c r="MWM53" s="193"/>
      <c r="MWN53" s="193"/>
      <c r="MWO53" s="193"/>
      <c r="MWP53" s="193"/>
      <c r="MWQ53" s="193"/>
      <c r="MWR53" s="193"/>
      <c r="MWS53" s="193"/>
      <c r="MWT53" s="193"/>
      <c r="MWU53" s="193"/>
      <c r="MWV53" s="193"/>
      <c r="MWW53" s="193"/>
      <c r="MWX53" s="193"/>
      <c r="MWY53" s="193"/>
      <c r="MWZ53" s="193"/>
      <c r="MXA53" s="193"/>
      <c r="MXB53" s="193"/>
      <c r="MXC53" s="193"/>
      <c r="MXD53" s="193"/>
      <c r="MXE53" s="193"/>
      <c r="MXF53" s="193"/>
      <c r="MXG53" s="193"/>
      <c r="MXH53" s="193"/>
      <c r="MXI53" s="193"/>
      <c r="MXJ53" s="193"/>
      <c r="MXK53" s="193"/>
      <c r="MXL53" s="193"/>
      <c r="MXM53" s="193"/>
      <c r="MXN53" s="193"/>
      <c r="MXO53" s="193"/>
      <c r="MXP53" s="193"/>
      <c r="MXQ53" s="193"/>
      <c r="MXR53" s="193"/>
      <c r="MXS53" s="193"/>
      <c r="MXT53" s="193"/>
      <c r="MXU53" s="193"/>
      <c r="MXV53" s="193"/>
      <c r="MXW53" s="193"/>
      <c r="MXX53" s="193"/>
      <c r="MXY53" s="193"/>
      <c r="MXZ53" s="193"/>
      <c r="MYA53" s="193"/>
      <c r="MYB53" s="193"/>
      <c r="MYC53" s="193"/>
      <c r="MYD53" s="193"/>
      <c r="MYE53" s="193"/>
      <c r="MYF53" s="193"/>
      <c r="MYG53" s="193"/>
      <c r="MYH53" s="193"/>
      <c r="MYI53" s="193"/>
      <c r="MYJ53" s="193"/>
      <c r="MYK53" s="193"/>
      <c r="MYL53" s="193"/>
      <c r="MYM53" s="193"/>
      <c r="MYN53" s="193"/>
      <c r="MYO53" s="193"/>
      <c r="MYP53" s="193"/>
      <c r="MYQ53" s="193"/>
      <c r="MYR53" s="193"/>
      <c r="MYS53" s="193"/>
      <c r="MYT53" s="193"/>
      <c r="MYU53" s="193"/>
      <c r="MYV53" s="193"/>
      <c r="MYW53" s="193"/>
      <c r="MYX53" s="193"/>
      <c r="MYY53" s="193"/>
      <c r="MYZ53" s="193"/>
      <c r="MZA53" s="193"/>
      <c r="MZB53" s="193"/>
      <c r="MZC53" s="193"/>
      <c r="MZD53" s="193"/>
      <c r="MZE53" s="193"/>
      <c r="MZF53" s="193"/>
      <c r="MZG53" s="193"/>
      <c r="MZH53" s="193"/>
      <c r="MZI53" s="193"/>
      <c r="MZJ53" s="193"/>
      <c r="MZK53" s="193"/>
      <c r="MZL53" s="193"/>
      <c r="MZM53" s="193"/>
      <c r="MZN53" s="193"/>
      <c r="MZO53" s="193"/>
      <c r="MZP53" s="193"/>
      <c r="MZQ53" s="193"/>
      <c r="MZR53" s="193"/>
      <c r="MZS53" s="193"/>
      <c r="MZT53" s="193"/>
      <c r="MZU53" s="193"/>
      <c r="MZV53" s="193"/>
      <c r="MZW53" s="193"/>
      <c r="MZX53" s="193"/>
      <c r="MZY53" s="193"/>
      <c r="MZZ53" s="193"/>
      <c r="NAA53" s="193"/>
      <c r="NAB53" s="193"/>
      <c r="NAC53" s="193"/>
      <c r="NAD53" s="193"/>
      <c r="NAE53" s="193"/>
      <c r="NAF53" s="193"/>
      <c r="NAG53" s="193"/>
      <c r="NAH53" s="193"/>
      <c r="NAI53" s="193"/>
      <c r="NAJ53" s="193"/>
      <c r="NAK53" s="193"/>
      <c r="NAL53" s="193"/>
      <c r="NAM53" s="193"/>
      <c r="NAN53" s="193"/>
      <c r="NAO53" s="193"/>
      <c r="NAP53" s="193"/>
      <c r="NAQ53" s="193"/>
      <c r="NAR53" s="193"/>
      <c r="NAS53" s="193"/>
      <c r="NAT53" s="193"/>
      <c r="NAU53" s="193"/>
      <c r="NAV53" s="193"/>
      <c r="NAW53" s="193"/>
      <c r="NAX53" s="193"/>
      <c r="NAY53" s="193"/>
      <c r="NAZ53" s="193"/>
      <c r="NBA53" s="193"/>
      <c r="NBB53" s="193"/>
      <c r="NBC53" s="193"/>
      <c r="NBD53" s="193"/>
      <c r="NBE53" s="193"/>
      <c r="NBF53" s="193"/>
      <c r="NBG53" s="193"/>
      <c r="NBH53" s="193"/>
      <c r="NBI53" s="193"/>
      <c r="NBJ53" s="193"/>
      <c r="NBK53" s="193"/>
      <c r="NBL53" s="193"/>
      <c r="NBM53" s="193"/>
      <c r="NBN53" s="193"/>
      <c r="NBO53" s="193"/>
      <c r="NBP53" s="193"/>
      <c r="NBQ53" s="193"/>
      <c r="NBR53" s="193"/>
      <c r="NBS53" s="193"/>
      <c r="NBT53" s="193"/>
      <c r="NBU53" s="193"/>
      <c r="NBV53" s="193"/>
      <c r="NBW53" s="193"/>
      <c r="NBX53" s="193"/>
      <c r="NBY53" s="193"/>
      <c r="NBZ53" s="193"/>
      <c r="NCA53" s="193"/>
      <c r="NCB53" s="193"/>
      <c r="NCC53" s="193"/>
      <c r="NCD53" s="193"/>
      <c r="NCE53" s="193"/>
      <c r="NCF53" s="193"/>
      <c r="NCG53" s="193"/>
      <c r="NCH53" s="193"/>
      <c r="NCI53" s="193"/>
      <c r="NCJ53" s="193"/>
      <c r="NCK53" s="193"/>
      <c r="NCL53" s="193"/>
      <c r="NCM53" s="193"/>
      <c r="NCN53" s="193"/>
      <c r="NCO53" s="193"/>
      <c r="NCP53" s="193"/>
      <c r="NCQ53" s="193"/>
      <c r="NCR53" s="193"/>
      <c r="NCS53" s="193"/>
      <c r="NCT53" s="193"/>
      <c r="NCU53" s="193"/>
      <c r="NCV53" s="193"/>
      <c r="NCW53" s="193"/>
      <c r="NCX53" s="193"/>
      <c r="NCY53" s="193"/>
      <c r="NCZ53" s="193"/>
      <c r="NDA53" s="193"/>
      <c r="NDB53" s="193"/>
      <c r="NDC53" s="193"/>
      <c r="NDD53" s="193"/>
      <c r="NDE53" s="193"/>
      <c r="NDF53" s="193"/>
      <c r="NDG53" s="193"/>
      <c r="NDH53" s="193"/>
      <c r="NDI53" s="193"/>
      <c r="NDJ53" s="193"/>
      <c r="NDK53" s="193"/>
      <c r="NDL53" s="193"/>
      <c r="NDM53" s="193"/>
      <c r="NDN53" s="193"/>
      <c r="NDO53" s="193"/>
      <c r="NDP53" s="193"/>
      <c r="NDQ53" s="193"/>
      <c r="NDR53" s="193"/>
      <c r="NDS53" s="193"/>
      <c r="NDT53" s="193"/>
      <c r="NDU53" s="193"/>
      <c r="NDV53" s="193"/>
      <c r="NDW53" s="193"/>
      <c r="NDX53" s="193"/>
      <c r="NDY53" s="193"/>
      <c r="NDZ53" s="193"/>
      <c r="NEA53" s="193"/>
      <c r="NEB53" s="193"/>
      <c r="NEC53" s="193"/>
      <c r="NED53" s="193"/>
      <c r="NEE53" s="193"/>
      <c r="NEF53" s="193"/>
      <c r="NEG53" s="193"/>
      <c r="NEH53" s="193"/>
      <c r="NEI53" s="193"/>
      <c r="NEJ53" s="193"/>
      <c r="NEK53" s="193"/>
      <c r="NEL53" s="193"/>
      <c r="NEM53" s="193"/>
      <c r="NEN53" s="193"/>
      <c r="NEO53" s="193"/>
      <c r="NEP53" s="193"/>
      <c r="NEQ53" s="193"/>
      <c r="NER53" s="193"/>
      <c r="NES53" s="193"/>
      <c r="NET53" s="193"/>
      <c r="NEU53" s="193"/>
      <c r="NEV53" s="193"/>
      <c r="NEW53" s="193"/>
      <c r="NEX53" s="193"/>
      <c r="NEY53" s="193"/>
      <c r="NEZ53" s="193"/>
      <c r="NFA53" s="193"/>
      <c r="NFB53" s="193"/>
      <c r="NFC53" s="193"/>
      <c r="NFD53" s="193"/>
      <c r="NFE53" s="193"/>
      <c r="NFF53" s="193"/>
      <c r="NFG53" s="193"/>
      <c r="NFH53" s="193"/>
      <c r="NFI53" s="193"/>
      <c r="NFJ53" s="193"/>
      <c r="NFK53" s="193"/>
      <c r="NFL53" s="193"/>
      <c r="NFM53" s="193"/>
      <c r="NFN53" s="193"/>
      <c r="NFO53" s="193"/>
      <c r="NFP53" s="193"/>
      <c r="NFQ53" s="193"/>
      <c r="NFR53" s="193"/>
      <c r="NFS53" s="193"/>
      <c r="NFT53" s="193"/>
      <c r="NFU53" s="193"/>
      <c r="NFV53" s="193"/>
      <c r="NFW53" s="193"/>
      <c r="NFX53" s="193"/>
      <c r="NFY53" s="193"/>
      <c r="NFZ53" s="193"/>
      <c r="NGA53" s="193"/>
      <c r="NGB53" s="193"/>
      <c r="NGC53" s="193"/>
      <c r="NGD53" s="193"/>
      <c r="NGE53" s="193"/>
      <c r="NGF53" s="193"/>
      <c r="NGG53" s="193"/>
      <c r="NGH53" s="193"/>
      <c r="NGI53" s="193"/>
      <c r="NGJ53" s="193"/>
      <c r="NGK53" s="193"/>
      <c r="NGL53" s="193"/>
      <c r="NGM53" s="193"/>
      <c r="NGN53" s="193"/>
      <c r="NGO53" s="193"/>
      <c r="NGP53" s="193"/>
      <c r="NGQ53" s="193"/>
      <c r="NGR53" s="193"/>
      <c r="NGS53" s="193"/>
      <c r="NGT53" s="193"/>
      <c r="NGU53" s="193"/>
      <c r="NGV53" s="193"/>
      <c r="NGW53" s="193"/>
      <c r="NGX53" s="193"/>
      <c r="NGY53" s="193"/>
      <c r="NGZ53" s="193"/>
      <c r="NHA53" s="193"/>
      <c r="NHB53" s="193"/>
      <c r="NHC53" s="193"/>
      <c r="NHD53" s="193"/>
      <c r="NHE53" s="193"/>
      <c r="NHF53" s="193"/>
      <c r="NHG53" s="193"/>
      <c r="NHH53" s="193"/>
      <c r="NHI53" s="193"/>
      <c r="NHJ53" s="193"/>
      <c r="NHK53" s="193"/>
      <c r="NHL53" s="193"/>
      <c r="NHM53" s="193"/>
      <c r="NHN53" s="193"/>
      <c r="NHO53" s="193"/>
      <c r="NHP53" s="193"/>
      <c r="NHQ53" s="193"/>
      <c r="NHR53" s="193"/>
      <c r="NHS53" s="193"/>
      <c r="NHT53" s="193"/>
      <c r="NHU53" s="193"/>
      <c r="NHV53" s="193"/>
      <c r="NHW53" s="193"/>
      <c r="NHX53" s="193"/>
      <c r="NHY53" s="193"/>
      <c r="NHZ53" s="193"/>
      <c r="NIA53" s="193"/>
      <c r="NIB53" s="193"/>
      <c r="NIC53" s="193"/>
      <c r="NID53" s="193"/>
      <c r="NIE53" s="193"/>
      <c r="NIF53" s="193"/>
      <c r="NIG53" s="193"/>
      <c r="NIH53" s="193"/>
      <c r="NII53" s="193"/>
      <c r="NIJ53" s="193"/>
      <c r="NIK53" s="193"/>
      <c r="NIL53" s="193"/>
      <c r="NIM53" s="193"/>
      <c r="NIN53" s="193"/>
      <c r="NIO53" s="193"/>
      <c r="NIP53" s="193"/>
      <c r="NIQ53" s="193"/>
      <c r="NIR53" s="193"/>
      <c r="NIS53" s="193"/>
      <c r="NIT53" s="193"/>
      <c r="NIU53" s="193"/>
      <c r="NIV53" s="193"/>
      <c r="NIW53" s="193"/>
      <c r="NIX53" s="193"/>
      <c r="NIY53" s="193"/>
      <c r="NIZ53" s="193"/>
      <c r="NJA53" s="193"/>
      <c r="NJB53" s="193"/>
      <c r="NJC53" s="193"/>
      <c r="NJD53" s="193"/>
      <c r="NJE53" s="193"/>
      <c r="NJF53" s="193"/>
      <c r="NJG53" s="193"/>
      <c r="NJH53" s="193"/>
      <c r="NJI53" s="193"/>
      <c r="NJJ53" s="193"/>
      <c r="NJK53" s="193"/>
      <c r="NJL53" s="193"/>
      <c r="NJM53" s="193"/>
      <c r="NJN53" s="193"/>
      <c r="NJO53" s="193"/>
      <c r="NJP53" s="193"/>
      <c r="NJQ53" s="193"/>
      <c r="NJR53" s="193"/>
      <c r="NJS53" s="193"/>
      <c r="NJT53" s="193"/>
      <c r="NJU53" s="193"/>
      <c r="NJV53" s="193"/>
      <c r="NJW53" s="193"/>
      <c r="NJX53" s="193"/>
      <c r="NJY53" s="193"/>
      <c r="NJZ53" s="193"/>
      <c r="NKA53" s="193"/>
      <c r="NKB53" s="193"/>
      <c r="NKC53" s="193"/>
      <c r="NKD53" s="193"/>
      <c r="NKE53" s="193"/>
      <c r="NKF53" s="193"/>
      <c r="NKG53" s="193"/>
      <c r="NKH53" s="193"/>
      <c r="NKI53" s="193"/>
      <c r="NKJ53" s="193"/>
      <c r="NKK53" s="193"/>
      <c r="NKL53" s="193"/>
      <c r="NKM53" s="193"/>
      <c r="NKN53" s="193"/>
      <c r="NKO53" s="193"/>
      <c r="NKP53" s="193"/>
      <c r="NKQ53" s="193"/>
      <c r="NKR53" s="193"/>
      <c r="NKS53" s="193"/>
      <c r="NKT53" s="193"/>
      <c r="NKU53" s="193"/>
      <c r="NKV53" s="193"/>
      <c r="NKW53" s="193"/>
      <c r="NKX53" s="193"/>
      <c r="NKY53" s="193"/>
      <c r="NKZ53" s="193"/>
      <c r="NLA53" s="193"/>
      <c r="NLB53" s="193"/>
      <c r="NLC53" s="193"/>
      <c r="NLD53" s="193"/>
      <c r="NLE53" s="193"/>
      <c r="NLF53" s="193"/>
      <c r="NLG53" s="193"/>
      <c r="NLH53" s="193"/>
      <c r="NLI53" s="193"/>
      <c r="NLJ53" s="193"/>
      <c r="NLK53" s="193"/>
      <c r="NLL53" s="193"/>
      <c r="NLM53" s="193"/>
      <c r="NLN53" s="193"/>
      <c r="NLO53" s="193"/>
      <c r="NLP53" s="193"/>
      <c r="NLQ53" s="193"/>
      <c r="NLR53" s="193"/>
      <c r="NLS53" s="193"/>
      <c r="NLT53" s="193"/>
      <c r="NLU53" s="193"/>
      <c r="NLV53" s="193"/>
      <c r="NLW53" s="193"/>
      <c r="NLX53" s="193"/>
      <c r="NLY53" s="193"/>
      <c r="NLZ53" s="193"/>
      <c r="NMA53" s="193"/>
      <c r="NMB53" s="193"/>
      <c r="NMC53" s="193"/>
      <c r="NMD53" s="193"/>
      <c r="NME53" s="193"/>
      <c r="NMF53" s="193"/>
      <c r="NMG53" s="193"/>
      <c r="NMH53" s="193"/>
      <c r="NMI53" s="193"/>
      <c r="NMJ53" s="193"/>
      <c r="NMK53" s="193"/>
      <c r="NML53" s="193"/>
      <c r="NMM53" s="193"/>
      <c r="NMN53" s="193"/>
      <c r="NMO53" s="193"/>
      <c r="NMP53" s="193"/>
      <c r="NMQ53" s="193"/>
      <c r="NMR53" s="193"/>
      <c r="NMS53" s="193"/>
      <c r="NMT53" s="193"/>
      <c r="NMU53" s="193"/>
      <c r="NMV53" s="193"/>
      <c r="NMW53" s="193"/>
      <c r="NMX53" s="193"/>
      <c r="NMY53" s="193"/>
      <c r="NMZ53" s="193"/>
      <c r="NNA53" s="193"/>
      <c r="NNB53" s="193"/>
      <c r="NNC53" s="193"/>
      <c r="NND53" s="193"/>
      <c r="NNE53" s="193"/>
      <c r="NNF53" s="193"/>
      <c r="NNG53" s="193"/>
      <c r="NNH53" s="193"/>
      <c r="NNI53" s="193"/>
      <c r="NNJ53" s="193"/>
      <c r="NNK53" s="193"/>
      <c r="NNL53" s="193"/>
      <c r="NNM53" s="193"/>
      <c r="NNN53" s="193"/>
      <c r="NNO53" s="193"/>
      <c r="NNP53" s="193"/>
      <c r="NNQ53" s="193"/>
      <c r="NNR53" s="193"/>
      <c r="NNS53" s="193"/>
      <c r="NNT53" s="193"/>
      <c r="NNU53" s="193"/>
      <c r="NNV53" s="193"/>
      <c r="NNW53" s="193"/>
      <c r="NNX53" s="193"/>
      <c r="NNY53" s="193"/>
      <c r="NNZ53" s="193"/>
      <c r="NOA53" s="193"/>
      <c r="NOB53" s="193"/>
      <c r="NOC53" s="193"/>
      <c r="NOD53" s="193"/>
      <c r="NOE53" s="193"/>
      <c r="NOF53" s="193"/>
      <c r="NOG53" s="193"/>
      <c r="NOH53" s="193"/>
      <c r="NOI53" s="193"/>
      <c r="NOJ53" s="193"/>
      <c r="NOK53" s="193"/>
      <c r="NOL53" s="193"/>
      <c r="NOM53" s="193"/>
      <c r="NON53" s="193"/>
      <c r="NOO53" s="193"/>
      <c r="NOP53" s="193"/>
      <c r="NOQ53" s="193"/>
      <c r="NOR53" s="193"/>
      <c r="NOS53" s="193"/>
      <c r="NOT53" s="193"/>
      <c r="NOU53" s="193"/>
      <c r="NOV53" s="193"/>
      <c r="NOW53" s="193"/>
      <c r="NOX53" s="193"/>
      <c r="NOY53" s="193"/>
      <c r="NOZ53" s="193"/>
      <c r="NPA53" s="193"/>
      <c r="NPB53" s="193"/>
      <c r="NPC53" s="193"/>
      <c r="NPD53" s="193"/>
      <c r="NPE53" s="193"/>
      <c r="NPF53" s="193"/>
      <c r="NPG53" s="193"/>
      <c r="NPH53" s="193"/>
      <c r="NPI53" s="193"/>
      <c r="NPJ53" s="193"/>
      <c r="NPK53" s="193"/>
      <c r="NPL53" s="193"/>
      <c r="NPM53" s="193"/>
      <c r="NPN53" s="193"/>
      <c r="NPO53" s="193"/>
      <c r="NPP53" s="193"/>
      <c r="NPQ53" s="193"/>
      <c r="NPR53" s="193"/>
      <c r="NPS53" s="193"/>
      <c r="NPT53" s="193"/>
      <c r="NPU53" s="193"/>
      <c r="NPV53" s="193"/>
      <c r="NPW53" s="193"/>
      <c r="NPX53" s="193"/>
      <c r="NPY53" s="193"/>
      <c r="NPZ53" s="193"/>
      <c r="NQA53" s="193"/>
      <c r="NQB53" s="193"/>
      <c r="NQC53" s="193"/>
      <c r="NQD53" s="193"/>
      <c r="NQE53" s="193"/>
      <c r="NQF53" s="193"/>
      <c r="NQG53" s="193"/>
      <c r="NQH53" s="193"/>
      <c r="NQI53" s="193"/>
      <c r="NQJ53" s="193"/>
      <c r="NQK53" s="193"/>
      <c r="NQL53" s="193"/>
      <c r="NQM53" s="193"/>
      <c r="NQN53" s="193"/>
      <c r="NQO53" s="193"/>
      <c r="NQP53" s="193"/>
      <c r="NQQ53" s="193"/>
      <c r="NQR53" s="193"/>
      <c r="NQS53" s="193"/>
      <c r="NQT53" s="193"/>
      <c r="NQU53" s="193"/>
      <c r="NQV53" s="193"/>
      <c r="NQW53" s="193"/>
      <c r="NQX53" s="193"/>
      <c r="NQY53" s="193"/>
      <c r="NQZ53" s="193"/>
      <c r="NRA53" s="193"/>
      <c r="NRB53" s="193"/>
      <c r="NRC53" s="193"/>
      <c r="NRD53" s="193"/>
      <c r="NRE53" s="193"/>
      <c r="NRF53" s="193"/>
      <c r="NRG53" s="193"/>
      <c r="NRH53" s="193"/>
      <c r="NRI53" s="193"/>
      <c r="NRJ53" s="193"/>
      <c r="NRK53" s="193"/>
      <c r="NRL53" s="193"/>
      <c r="NRM53" s="193"/>
      <c r="NRN53" s="193"/>
      <c r="NRO53" s="193"/>
      <c r="NRP53" s="193"/>
      <c r="NRQ53" s="193"/>
      <c r="NRR53" s="193"/>
      <c r="NRS53" s="193"/>
      <c r="NRT53" s="193"/>
      <c r="NRU53" s="193"/>
      <c r="NRV53" s="193"/>
      <c r="NRW53" s="193"/>
      <c r="NRX53" s="193"/>
      <c r="NRY53" s="193"/>
      <c r="NRZ53" s="193"/>
      <c r="NSA53" s="193"/>
      <c r="NSB53" s="193"/>
      <c r="NSC53" s="193"/>
      <c r="NSD53" s="193"/>
      <c r="NSE53" s="193"/>
      <c r="NSF53" s="193"/>
      <c r="NSG53" s="193"/>
      <c r="NSH53" s="193"/>
      <c r="NSI53" s="193"/>
      <c r="NSJ53" s="193"/>
      <c r="NSK53" s="193"/>
      <c r="NSL53" s="193"/>
      <c r="NSM53" s="193"/>
      <c r="NSN53" s="193"/>
      <c r="NSO53" s="193"/>
      <c r="NSP53" s="193"/>
      <c r="NSQ53" s="193"/>
      <c r="NSR53" s="193"/>
      <c r="NSS53" s="193"/>
      <c r="NST53" s="193"/>
      <c r="NSU53" s="193"/>
      <c r="NSV53" s="193"/>
      <c r="NSW53" s="193"/>
      <c r="NSX53" s="193"/>
      <c r="NSY53" s="193"/>
      <c r="NSZ53" s="193"/>
      <c r="NTA53" s="193"/>
      <c r="NTB53" s="193"/>
      <c r="NTC53" s="193"/>
      <c r="NTD53" s="193"/>
      <c r="NTE53" s="193"/>
      <c r="NTF53" s="193"/>
      <c r="NTG53" s="193"/>
      <c r="NTH53" s="193"/>
      <c r="NTI53" s="193"/>
      <c r="NTJ53" s="193"/>
      <c r="NTK53" s="193"/>
      <c r="NTL53" s="193"/>
      <c r="NTM53" s="193"/>
      <c r="NTN53" s="193"/>
      <c r="NTO53" s="193"/>
      <c r="NTP53" s="193"/>
      <c r="NTQ53" s="193"/>
      <c r="NTR53" s="193"/>
      <c r="NTS53" s="193"/>
      <c r="NTT53" s="193"/>
      <c r="NTU53" s="193"/>
      <c r="NTV53" s="193"/>
      <c r="NTW53" s="193"/>
      <c r="NTX53" s="193"/>
      <c r="NTY53" s="193"/>
      <c r="NTZ53" s="193"/>
      <c r="NUA53" s="193"/>
      <c r="NUB53" s="193"/>
      <c r="NUC53" s="193"/>
      <c r="NUD53" s="193"/>
      <c r="NUE53" s="193"/>
      <c r="NUF53" s="193"/>
      <c r="NUG53" s="193"/>
      <c r="NUH53" s="193"/>
      <c r="NUI53" s="193"/>
      <c r="NUJ53" s="193"/>
      <c r="NUK53" s="193"/>
      <c r="NUL53" s="193"/>
      <c r="NUM53" s="193"/>
      <c r="NUN53" s="193"/>
      <c r="NUO53" s="193"/>
      <c r="NUP53" s="193"/>
      <c r="NUQ53" s="193"/>
      <c r="NUR53" s="193"/>
      <c r="NUS53" s="193"/>
      <c r="NUT53" s="193"/>
      <c r="NUU53" s="193"/>
      <c r="NUV53" s="193"/>
      <c r="NUW53" s="193"/>
      <c r="NUX53" s="193"/>
      <c r="NUY53" s="193"/>
      <c r="NUZ53" s="193"/>
      <c r="NVA53" s="193"/>
      <c r="NVB53" s="193"/>
      <c r="NVC53" s="193"/>
      <c r="NVD53" s="193"/>
      <c r="NVE53" s="193"/>
      <c r="NVF53" s="193"/>
      <c r="NVG53" s="193"/>
      <c r="NVH53" s="193"/>
      <c r="NVI53" s="193"/>
      <c r="NVJ53" s="193"/>
      <c r="NVK53" s="193"/>
      <c r="NVL53" s="193"/>
      <c r="NVM53" s="193"/>
      <c r="NVN53" s="193"/>
      <c r="NVO53" s="193"/>
      <c r="NVP53" s="193"/>
      <c r="NVQ53" s="193"/>
      <c r="NVR53" s="193"/>
      <c r="NVS53" s="193"/>
      <c r="NVT53" s="193"/>
      <c r="NVU53" s="193"/>
      <c r="NVV53" s="193"/>
      <c r="NVW53" s="193"/>
      <c r="NVX53" s="193"/>
      <c r="NVY53" s="193"/>
      <c r="NVZ53" s="193"/>
      <c r="NWA53" s="193"/>
      <c r="NWB53" s="193"/>
      <c r="NWC53" s="193"/>
      <c r="NWD53" s="193"/>
      <c r="NWE53" s="193"/>
      <c r="NWF53" s="193"/>
      <c r="NWG53" s="193"/>
      <c r="NWH53" s="193"/>
      <c r="NWI53" s="193"/>
      <c r="NWJ53" s="193"/>
      <c r="NWK53" s="193"/>
      <c r="NWL53" s="193"/>
      <c r="NWM53" s="193"/>
      <c r="NWN53" s="193"/>
      <c r="NWO53" s="193"/>
      <c r="NWP53" s="193"/>
      <c r="NWQ53" s="193"/>
      <c r="NWR53" s="193"/>
      <c r="NWS53" s="193"/>
      <c r="NWT53" s="193"/>
      <c r="NWU53" s="193"/>
      <c r="NWV53" s="193"/>
      <c r="NWW53" s="193"/>
      <c r="NWX53" s="193"/>
      <c r="NWY53" s="193"/>
      <c r="NWZ53" s="193"/>
      <c r="NXA53" s="193"/>
      <c r="NXB53" s="193"/>
      <c r="NXC53" s="193"/>
      <c r="NXD53" s="193"/>
      <c r="NXE53" s="193"/>
      <c r="NXF53" s="193"/>
      <c r="NXG53" s="193"/>
      <c r="NXH53" s="193"/>
      <c r="NXI53" s="193"/>
      <c r="NXJ53" s="193"/>
      <c r="NXK53" s="193"/>
      <c r="NXL53" s="193"/>
      <c r="NXM53" s="193"/>
      <c r="NXN53" s="193"/>
      <c r="NXO53" s="193"/>
      <c r="NXP53" s="193"/>
      <c r="NXQ53" s="193"/>
      <c r="NXR53" s="193"/>
      <c r="NXS53" s="193"/>
      <c r="NXT53" s="193"/>
      <c r="NXU53" s="193"/>
      <c r="NXV53" s="193"/>
      <c r="NXW53" s="193"/>
      <c r="NXX53" s="193"/>
      <c r="NXY53" s="193"/>
      <c r="NXZ53" s="193"/>
      <c r="NYA53" s="193"/>
      <c r="NYB53" s="193"/>
      <c r="NYC53" s="193"/>
      <c r="NYD53" s="193"/>
      <c r="NYE53" s="193"/>
      <c r="NYF53" s="193"/>
      <c r="NYG53" s="193"/>
      <c r="NYH53" s="193"/>
      <c r="NYI53" s="193"/>
      <c r="NYJ53" s="193"/>
      <c r="NYK53" s="193"/>
      <c r="NYL53" s="193"/>
      <c r="NYM53" s="193"/>
      <c r="NYN53" s="193"/>
      <c r="NYO53" s="193"/>
      <c r="NYP53" s="193"/>
      <c r="NYQ53" s="193"/>
      <c r="NYR53" s="193"/>
      <c r="NYS53" s="193"/>
      <c r="NYT53" s="193"/>
      <c r="NYU53" s="193"/>
      <c r="NYV53" s="193"/>
      <c r="NYW53" s="193"/>
      <c r="NYX53" s="193"/>
      <c r="NYY53" s="193"/>
      <c r="NYZ53" s="193"/>
      <c r="NZA53" s="193"/>
      <c r="NZB53" s="193"/>
      <c r="NZC53" s="193"/>
      <c r="NZD53" s="193"/>
      <c r="NZE53" s="193"/>
      <c r="NZF53" s="193"/>
      <c r="NZG53" s="193"/>
      <c r="NZH53" s="193"/>
      <c r="NZI53" s="193"/>
      <c r="NZJ53" s="193"/>
      <c r="NZK53" s="193"/>
      <c r="NZL53" s="193"/>
      <c r="NZM53" s="193"/>
      <c r="NZN53" s="193"/>
      <c r="NZO53" s="193"/>
      <c r="NZP53" s="193"/>
      <c r="NZQ53" s="193"/>
      <c r="NZR53" s="193"/>
      <c r="NZS53" s="193"/>
      <c r="NZT53" s="193"/>
      <c r="NZU53" s="193"/>
      <c r="NZV53" s="193"/>
      <c r="NZW53" s="193"/>
      <c r="NZX53" s="193"/>
      <c r="NZY53" s="193"/>
      <c r="NZZ53" s="193"/>
      <c r="OAA53" s="193"/>
      <c r="OAB53" s="193"/>
      <c r="OAC53" s="193"/>
      <c r="OAD53" s="193"/>
      <c r="OAE53" s="193"/>
      <c r="OAF53" s="193"/>
      <c r="OAG53" s="193"/>
      <c r="OAH53" s="193"/>
      <c r="OAI53" s="193"/>
      <c r="OAJ53" s="193"/>
      <c r="OAK53" s="193"/>
      <c r="OAL53" s="193"/>
      <c r="OAM53" s="193"/>
      <c r="OAN53" s="193"/>
      <c r="OAO53" s="193"/>
      <c r="OAP53" s="193"/>
      <c r="OAQ53" s="193"/>
      <c r="OAR53" s="193"/>
      <c r="OAS53" s="193"/>
      <c r="OAT53" s="193"/>
      <c r="OAU53" s="193"/>
      <c r="OAV53" s="193"/>
      <c r="OAW53" s="193"/>
      <c r="OAX53" s="193"/>
      <c r="OAY53" s="193"/>
      <c r="OAZ53" s="193"/>
      <c r="OBA53" s="193"/>
      <c r="OBB53" s="193"/>
      <c r="OBC53" s="193"/>
      <c r="OBD53" s="193"/>
      <c r="OBE53" s="193"/>
      <c r="OBF53" s="193"/>
      <c r="OBG53" s="193"/>
      <c r="OBH53" s="193"/>
      <c r="OBI53" s="193"/>
      <c r="OBJ53" s="193"/>
      <c r="OBK53" s="193"/>
      <c r="OBL53" s="193"/>
      <c r="OBM53" s="193"/>
      <c r="OBN53" s="193"/>
      <c r="OBO53" s="193"/>
      <c r="OBP53" s="193"/>
      <c r="OBQ53" s="193"/>
      <c r="OBR53" s="193"/>
      <c r="OBS53" s="193"/>
      <c r="OBT53" s="193"/>
      <c r="OBU53" s="193"/>
      <c r="OBV53" s="193"/>
      <c r="OBW53" s="193"/>
      <c r="OBX53" s="193"/>
      <c r="OBY53" s="193"/>
      <c r="OBZ53" s="193"/>
      <c r="OCA53" s="193"/>
      <c r="OCB53" s="193"/>
      <c r="OCC53" s="193"/>
      <c r="OCD53" s="193"/>
      <c r="OCE53" s="193"/>
      <c r="OCF53" s="193"/>
      <c r="OCG53" s="193"/>
      <c r="OCH53" s="193"/>
      <c r="OCI53" s="193"/>
      <c r="OCJ53" s="193"/>
      <c r="OCK53" s="193"/>
      <c r="OCL53" s="193"/>
      <c r="OCM53" s="193"/>
      <c r="OCN53" s="193"/>
      <c r="OCO53" s="193"/>
      <c r="OCP53" s="193"/>
      <c r="OCQ53" s="193"/>
      <c r="OCR53" s="193"/>
      <c r="OCS53" s="193"/>
      <c r="OCT53" s="193"/>
      <c r="OCU53" s="193"/>
      <c r="OCV53" s="193"/>
      <c r="OCW53" s="193"/>
      <c r="OCX53" s="193"/>
      <c r="OCY53" s="193"/>
      <c r="OCZ53" s="193"/>
      <c r="ODA53" s="193"/>
      <c r="ODB53" s="193"/>
      <c r="ODC53" s="193"/>
      <c r="ODD53" s="193"/>
      <c r="ODE53" s="193"/>
      <c r="ODF53" s="193"/>
      <c r="ODG53" s="193"/>
      <c r="ODH53" s="193"/>
      <c r="ODI53" s="193"/>
      <c r="ODJ53" s="193"/>
      <c r="ODK53" s="193"/>
      <c r="ODL53" s="193"/>
      <c r="ODM53" s="193"/>
      <c r="ODN53" s="193"/>
      <c r="ODO53" s="193"/>
      <c r="ODP53" s="193"/>
      <c r="ODQ53" s="193"/>
      <c r="ODR53" s="193"/>
      <c r="ODS53" s="193"/>
      <c r="ODT53" s="193"/>
      <c r="ODU53" s="193"/>
      <c r="ODV53" s="193"/>
      <c r="ODW53" s="193"/>
      <c r="ODX53" s="193"/>
      <c r="ODY53" s="193"/>
      <c r="ODZ53" s="193"/>
      <c r="OEA53" s="193"/>
      <c r="OEB53" s="193"/>
      <c r="OEC53" s="193"/>
      <c r="OED53" s="193"/>
      <c r="OEE53" s="193"/>
      <c r="OEF53" s="193"/>
      <c r="OEG53" s="193"/>
      <c r="OEH53" s="193"/>
      <c r="OEI53" s="193"/>
      <c r="OEJ53" s="193"/>
      <c r="OEK53" s="193"/>
      <c r="OEL53" s="193"/>
      <c r="OEM53" s="193"/>
      <c r="OEN53" s="193"/>
      <c r="OEO53" s="193"/>
      <c r="OEP53" s="193"/>
      <c r="OEQ53" s="193"/>
      <c r="OER53" s="193"/>
      <c r="OES53" s="193"/>
      <c r="OET53" s="193"/>
      <c r="OEU53" s="193"/>
      <c r="OEV53" s="193"/>
      <c r="OEW53" s="193"/>
      <c r="OEX53" s="193"/>
      <c r="OEY53" s="193"/>
      <c r="OEZ53" s="193"/>
      <c r="OFA53" s="193"/>
      <c r="OFB53" s="193"/>
      <c r="OFC53" s="193"/>
      <c r="OFD53" s="193"/>
      <c r="OFE53" s="193"/>
      <c r="OFF53" s="193"/>
      <c r="OFG53" s="193"/>
      <c r="OFH53" s="193"/>
      <c r="OFI53" s="193"/>
      <c r="OFJ53" s="193"/>
      <c r="OFK53" s="193"/>
      <c r="OFL53" s="193"/>
      <c r="OFM53" s="193"/>
      <c r="OFN53" s="193"/>
      <c r="OFO53" s="193"/>
      <c r="OFP53" s="193"/>
      <c r="OFQ53" s="193"/>
      <c r="OFR53" s="193"/>
      <c r="OFS53" s="193"/>
      <c r="OFT53" s="193"/>
      <c r="OFU53" s="193"/>
      <c r="OFV53" s="193"/>
      <c r="OFW53" s="193"/>
      <c r="OFX53" s="193"/>
      <c r="OFY53" s="193"/>
      <c r="OFZ53" s="193"/>
      <c r="OGA53" s="193"/>
      <c r="OGB53" s="193"/>
      <c r="OGC53" s="193"/>
      <c r="OGD53" s="193"/>
      <c r="OGE53" s="193"/>
      <c r="OGF53" s="193"/>
      <c r="OGG53" s="193"/>
      <c r="OGH53" s="193"/>
      <c r="OGI53" s="193"/>
      <c r="OGJ53" s="193"/>
      <c r="OGK53" s="193"/>
      <c r="OGL53" s="193"/>
      <c r="OGM53" s="193"/>
      <c r="OGN53" s="193"/>
      <c r="OGO53" s="193"/>
      <c r="OGP53" s="193"/>
      <c r="OGQ53" s="193"/>
      <c r="OGR53" s="193"/>
      <c r="OGS53" s="193"/>
      <c r="OGT53" s="193"/>
      <c r="OGU53" s="193"/>
      <c r="OGV53" s="193"/>
      <c r="OGW53" s="193"/>
      <c r="OGX53" s="193"/>
      <c r="OGY53" s="193"/>
      <c r="OGZ53" s="193"/>
      <c r="OHA53" s="193"/>
      <c r="OHB53" s="193"/>
      <c r="OHC53" s="193"/>
      <c r="OHD53" s="193"/>
      <c r="OHE53" s="193"/>
      <c r="OHF53" s="193"/>
      <c r="OHG53" s="193"/>
      <c r="OHH53" s="193"/>
      <c r="OHI53" s="193"/>
      <c r="OHJ53" s="193"/>
      <c r="OHK53" s="193"/>
      <c r="OHL53" s="193"/>
      <c r="OHM53" s="193"/>
      <c r="OHN53" s="193"/>
      <c r="OHO53" s="193"/>
      <c r="OHP53" s="193"/>
      <c r="OHQ53" s="193"/>
      <c r="OHR53" s="193"/>
      <c r="OHS53" s="193"/>
      <c r="OHT53" s="193"/>
      <c r="OHU53" s="193"/>
      <c r="OHV53" s="193"/>
      <c r="OHW53" s="193"/>
      <c r="OHX53" s="193"/>
      <c r="OHY53" s="193"/>
      <c r="OHZ53" s="193"/>
      <c r="OIA53" s="193"/>
      <c r="OIB53" s="193"/>
      <c r="OIC53" s="193"/>
      <c r="OID53" s="193"/>
      <c r="OIE53" s="193"/>
      <c r="OIF53" s="193"/>
      <c r="OIG53" s="193"/>
      <c r="OIH53" s="193"/>
      <c r="OII53" s="193"/>
      <c r="OIJ53" s="193"/>
      <c r="OIK53" s="193"/>
      <c r="OIL53" s="193"/>
      <c r="OIM53" s="193"/>
      <c r="OIN53" s="193"/>
      <c r="OIO53" s="193"/>
      <c r="OIP53" s="193"/>
      <c r="OIQ53" s="193"/>
      <c r="OIR53" s="193"/>
      <c r="OIS53" s="193"/>
      <c r="OIT53" s="193"/>
      <c r="OIU53" s="193"/>
      <c r="OIV53" s="193"/>
      <c r="OIW53" s="193"/>
      <c r="OIX53" s="193"/>
      <c r="OIY53" s="193"/>
      <c r="OIZ53" s="193"/>
      <c r="OJA53" s="193"/>
      <c r="OJB53" s="193"/>
      <c r="OJC53" s="193"/>
      <c r="OJD53" s="193"/>
      <c r="OJE53" s="193"/>
      <c r="OJF53" s="193"/>
      <c r="OJG53" s="193"/>
      <c r="OJH53" s="193"/>
      <c r="OJI53" s="193"/>
      <c r="OJJ53" s="193"/>
      <c r="OJK53" s="193"/>
      <c r="OJL53" s="193"/>
      <c r="OJM53" s="193"/>
      <c r="OJN53" s="193"/>
      <c r="OJO53" s="193"/>
      <c r="OJP53" s="193"/>
      <c r="OJQ53" s="193"/>
      <c r="OJR53" s="193"/>
      <c r="OJS53" s="193"/>
      <c r="OJT53" s="193"/>
      <c r="OJU53" s="193"/>
      <c r="OJV53" s="193"/>
      <c r="OJW53" s="193"/>
      <c r="OJX53" s="193"/>
      <c r="OJY53" s="193"/>
      <c r="OJZ53" s="193"/>
      <c r="OKA53" s="193"/>
      <c r="OKB53" s="193"/>
      <c r="OKC53" s="193"/>
      <c r="OKD53" s="193"/>
      <c r="OKE53" s="193"/>
      <c r="OKF53" s="193"/>
      <c r="OKG53" s="193"/>
      <c r="OKH53" s="193"/>
      <c r="OKI53" s="193"/>
      <c r="OKJ53" s="193"/>
      <c r="OKK53" s="193"/>
      <c r="OKL53" s="193"/>
      <c r="OKM53" s="193"/>
      <c r="OKN53" s="193"/>
      <c r="OKO53" s="193"/>
      <c r="OKP53" s="193"/>
      <c r="OKQ53" s="193"/>
      <c r="OKR53" s="193"/>
      <c r="OKS53" s="193"/>
      <c r="OKT53" s="193"/>
      <c r="OKU53" s="193"/>
      <c r="OKV53" s="193"/>
      <c r="OKW53" s="193"/>
      <c r="OKX53" s="193"/>
      <c r="OKY53" s="193"/>
      <c r="OKZ53" s="193"/>
      <c r="OLA53" s="193"/>
      <c r="OLB53" s="193"/>
      <c r="OLC53" s="193"/>
      <c r="OLD53" s="193"/>
      <c r="OLE53" s="193"/>
      <c r="OLF53" s="193"/>
      <c r="OLG53" s="193"/>
      <c r="OLH53" s="193"/>
      <c r="OLI53" s="193"/>
      <c r="OLJ53" s="193"/>
      <c r="OLK53" s="193"/>
      <c r="OLL53" s="193"/>
      <c r="OLM53" s="193"/>
      <c r="OLN53" s="193"/>
      <c r="OLO53" s="193"/>
      <c r="OLP53" s="193"/>
      <c r="OLQ53" s="193"/>
      <c r="OLR53" s="193"/>
      <c r="OLS53" s="193"/>
      <c r="OLT53" s="193"/>
      <c r="OLU53" s="193"/>
      <c r="OLV53" s="193"/>
      <c r="OLW53" s="193"/>
      <c r="OLX53" s="193"/>
      <c r="OLY53" s="193"/>
      <c r="OLZ53" s="193"/>
      <c r="OMA53" s="193"/>
      <c r="OMB53" s="193"/>
      <c r="OMC53" s="193"/>
      <c r="OMD53" s="193"/>
      <c r="OME53" s="193"/>
      <c r="OMF53" s="193"/>
      <c r="OMG53" s="193"/>
      <c r="OMH53" s="193"/>
      <c r="OMI53" s="193"/>
      <c r="OMJ53" s="193"/>
      <c r="OMK53" s="193"/>
      <c r="OML53" s="193"/>
      <c r="OMM53" s="193"/>
      <c r="OMN53" s="193"/>
      <c r="OMO53" s="193"/>
      <c r="OMP53" s="193"/>
      <c r="OMQ53" s="193"/>
      <c r="OMR53" s="193"/>
      <c r="OMS53" s="193"/>
      <c r="OMT53" s="193"/>
      <c r="OMU53" s="193"/>
      <c r="OMV53" s="193"/>
      <c r="OMW53" s="193"/>
      <c r="OMX53" s="193"/>
      <c r="OMY53" s="193"/>
      <c r="OMZ53" s="193"/>
      <c r="ONA53" s="193"/>
      <c r="ONB53" s="193"/>
      <c r="ONC53" s="193"/>
      <c r="OND53" s="193"/>
      <c r="ONE53" s="193"/>
      <c r="ONF53" s="193"/>
      <c r="ONG53" s="193"/>
      <c r="ONH53" s="193"/>
      <c r="ONI53" s="193"/>
      <c r="ONJ53" s="193"/>
      <c r="ONK53" s="193"/>
      <c r="ONL53" s="193"/>
      <c r="ONM53" s="193"/>
      <c r="ONN53" s="193"/>
      <c r="ONO53" s="193"/>
      <c r="ONP53" s="193"/>
      <c r="ONQ53" s="193"/>
      <c r="ONR53" s="193"/>
      <c r="ONS53" s="193"/>
      <c r="ONT53" s="193"/>
      <c r="ONU53" s="193"/>
      <c r="ONV53" s="193"/>
      <c r="ONW53" s="193"/>
      <c r="ONX53" s="193"/>
      <c r="ONY53" s="193"/>
      <c r="ONZ53" s="193"/>
      <c r="OOA53" s="193"/>
      <c r="OOB53" s="193"/>
      <c r="OOC53" s="193"/>
      <c r="OOD53" s="193"/>
      <c r="OOE53" s="193"/>
      <c r="OOF53" s="193"/>
      <c r="OOG53" s="193"/>
      <c r="OOH53" s="193"/>
      <c r="OOI53" s="193"/>
      <c r="OOJ53" s="193"/>
      <c r="OOK53" s="193"/>
      <c r="OOL53" s="193"/>
      <c r="OOM53" s="193"/>
      <c r="OON53" s="193"/>
      <c r="OOO53" s="193"/>
      <c r="OOP53" s="193"/>
      <c r="OOQ53" s="193"/>
      <c r="OOR53" s="193"/>
      <c r="OOS53" s="193"/>
      <c r="OOT53" s="193"/>
      <c r="OOU53" s="193"/>
      <c r="OOV53" s="193"/>
      <c r="OOW53" s="193"/>
      <c r="OOX53" s="193"/>
      <c r="OOY53" s="193"/>
      <c r="OOZ53" s="193"/>
      <c r="OPA53" s="193"/>
      <c r="OPB53" s="193"/>
      <c r="OPC53" s="193"/>
      <c r="OPD53" s="193"/>
      <c r="OPE53" s="193"/>
      <c r="OPF53" s="193"/>
      <c r="OPG53" s="193"/>
      <c r="OPH53" s="193"/>
      <c r="OPI53" s="193"/>
      <c r="OPJ53" s="193"/>
      <c r="OPK53" s="193"/>
      <c r="OPL53" s="193"/>
      <c r="OPM53" s="193"/>
      <c r="OPN53" s="193"/>
      <c r="OPO53" s="193"/>
      <c r="OPP53" s="193"/>
      <c r="OPQ53" s="193"/>
      <c r="OPR53" s="193"/>
      <c r="OPS53" s="193"/>
      <c r="OPT53" s="193"/>
      <c r="OPU53" s="193"/>
      <c r="OPV53" s="193"/>
      <c r="OPW53" s="193"/>
      <c r="OPX53" s="193"/>
      <c r="OPY53" s="193"/>
      <c r="OPZ53" s="193"/>
      <c r="OQA53" s="193"/>
      <c r="OQB53" s="193"/>
      <c r="OQC53" s="193"/>
      <c r="OQD53" s="193"/>
      <c r="OQE53" s="193"/>
      <c r="OQF53" s="193"/>
      <c r="OQG53" s="193"/>
      <c r="OQH53" s="193"/>
      <c r="OQI53" s="193"/>
      <c r="OQJ53" s="193"/>
      <c r="OQK53" s="193"/>
      <c r="OQL53" s="193"/>
      <c r="OQM53" s="193"/>
      <c r="OQN53" s="193"/>
      <c r="OQO53" s="193"/>
      <c r="OQP53" s="193"/>
      <c r="OQQ53" s="193"/>
      <c r="OQR53" s="193"/>
      <c r="OQS53" s="193"/>
      <c r="OQT53" s="193"/>
      <c r="OQU53" s="193"/>
      <c r="OQV53" s="193"/>
      <c r="OQW53" s="193"/>
      <c r="OQX53" s="193"/>
      <c r="OQY53" s="193"/>
      <c r="OQZ53" s="193"/>
      <c r="ORA53" s="193"/>
      <c r="ORB53" s="193"/>
      <c r="ORC53" s="193"/>
      <c r="ORD53" s="193"/>
      <c r="ORE53" s="193"/>
      <c r="ORF53" s="193"/>
      <c r="ORG53" s="193"/>
      <c r="ORH53" s="193"/>
      <c r="ORI53" s="193"/>
      <c r="ORJ53" s="193"/>
      <c r="ORK53" s="193"/>
      <c r="ORL53" s="193"/>
      <c r="ORM53" s="193"/>
      <c r="ORN53" s="193"/>
      <c r="ORO53" s="193"/>
      <c r="ORP53" s="193"/>
      <c r="ORQ53" s="193"/>
      <c r="ORR53" s="193"/>
      <c r="ORS53" s="193"/>
      <c r="ORT53" s="193"/>
      <c r="ORU53" s="193"/>
      <c r="ORV53" s="193"/>
      <c r="ORW53" s="193"/>
      <c r="ORX53" s="193"/>
      <c r="ORY53" s="193"/>
      <c r="ORZ53" s="193"/>
      <c r="OSA53" s="193"/>
      <c r="OSB53" s="193"/>
      <c r="OSC53" s="193"/>
      <c r="OSD53" s="193"/>
      <c r="OSE53" s="193"/>
      <c r="OSF53" s="193"/>
      <c r="OSG53" s="193"/>
      <c r="OSH53" s="193"/>
      <c r="OSI53" s="193"/>
      <c r="OSJ53" s="193"/>
      <c r="OSK53" s="193"/>
      <c r="OSL53" s="193"/>
      <c r="OSM53" s="193"/>
      <c r="OSN53" s="193"/>
      <c r="OSO53" s="193"/>
      <c r="OSP53" s="193"/>
      <c r="OSQ53" s="193"/>
      <c r="OSR53" s="193"/>
      <c r="OSS53" s="193"/>
      <c r="OST53" s="193"/>
      <c r="OSU53" s="193"/>
      <c r="OSV53" s="193"/>
      <c r="OSW53" s="193"/>
      <c r="OSX53" s="193"/>
      <c r="OSY53" s="193"/>
      <c r="OSZ53" s="193"/>
      <c r="OTA53" s="193"/>
      <c r="OTB53" s="193"/>
      <c r="OTC53" s="193"/>
      <c r="OTD53" s="193"/>
      <c r="OTE53" s="193"/>
      <c r="OTF53" s="193"/>
      <c r="OTG53" s="193"/>
      <c r="OTH53" s="193"/>
      <c r="OTI53" s="193"/>
      <c r="OTJ53" s="193"/>
      <c r="OTK53" s="193"/>
      <c r="OTL53" s="193"/>
      <c r="OTM53" s="193"/>
      <c r="OTN53" s="193"/>
      <c r="OTO53" s="193"/>
      <c r="OTP53" s="193"/>
      <c r="OTQ53" s="193"/>
      <c r="OTR53" s="193"/>
      <c r="OTS53" s="193"/>
      <c r="OTT53" s="193"/>
      <c r="OTU53" s="193"/>
      <c r="OTV53" s="193"/>
      <c r="OTW53" s="193"/>
      <c r="OTX53" s="193"/>
      <c r="OTY53" s="193"/>
      <c r="OTZ53" s="193"/>
      <c r="OUA53" s="193"/>
      <c r="OUB53" s="193"/>
      <c r="OUC53" s="193"/>
      <c r="OUD53" s="193"/>
      <c r="OUE53" s="193"/>
      <c r="OUF53" s="193"/>
      <c r="OUG53" s="193"/>
      <c r="OUH53" s="193"/>
      <c r="OUI53" s="193"/>
      <c r="OUJ53" s="193"/>
      <c r="OUK53" s="193"/>
      <c r="OUL53" s="193"/>
      <c r="OUM53" s="193"/>
      <c r="OUN53" s="193"/>
      <c r="OUO53" s="193"/>
      <c r="OUP53" s="193"/>
      <c r="OUQ53" s="193"/>
      <c r="OUR53" s="193"/>
      <c r="OUS53" s="193"/>
      <c r="OUT53" s="193"/>
      <c r="OUU53" s="193"/>
      <c r="OUV53" s="193"/>
      <c r="OUW53" s="193"/>
      <c r="OUX53" s="193"/>
      <c r="OUY53" s="193"/>
      <c r="OUZ53" s="193"/>
      <c r="OVA53" s="193"/>
      <c r="OVB53" s="193"/>
      <c r="OVC53" s="193"/>
      <c r="OVD53" s="193"/>
      <c r="OVE53" s="193"/>
      <c r="OVF53" s="193"/>
      <c r="OVG53" s="193"/>
      <c r="OVH53" s="193"/>
      <c r="OVI53" s="193"/>
      <c r="OVJ53" s="193"/>
      <c r="OVK53" s="193"/>
      <c r="OVL53" s="193"/>
      <c r="OVM53" s="193"/>
      <c r="OVN53" s="193"/>
      <c r="OVO53" s="193"/>
      <c r="OVP53" s="193"/>
      <c r="OVQ53" s="193"/>
      <c r="OVR53" s="193"/>
      <c r="OVS53" s="193"/>
      <c r="OVT53" s="193"/>
      <c r="OVU53" s="193"/>
      <c r="OVV53" s="193"/>
      <c r="OVW53" s="193"/>
      <c r="OVX53" s="193"/>
      <c r="OVY53" s="193"/>
      <c r="OVZ53" s="193"/>
      <c r="OWA53" s="193"/>
      <c r="OWB53" s="193"/>
      <c r="OWC53" s="193"/>
      <c r="OWD53" s="193"/>
      <c r="OWE53" s="193"/>
      <c r="OWF53" s="193"/>
      <c r="OWG53" s="193"/>
      <c r="OWH53" s="193"/>
      <c r="OWI53" s="193"/>
      <c r="OWJ53" s="193"/>
      <c r="OWK53" s="193"/>
      <c r="OWL53" s="193"/>
      <c r="OWM53" s="193"/>
      <c r="OWN53" s="193"/>
      <c r="OWO53" s="193"/>
      <c r="OWP53" s="193"/>
      <c r="OWQ53" s="193"/>
      <c r="OWR53" s="193"/>
      <c r="OWS53" s="193"/>
      <c r="OWT53" s="193"/>
      <c r="OWU53" s="193"/>
      <c r="OWV53" s="193"/>
      <c r="OWW53" s="193"/>
      <c r="OWX53" s="193"/>
      <c r="OWY53" s="193"/>
      <c r="OWZ53" s="193"/>
      <c r="OXA53" s="193"/>
      <c r="OXB53" s="193"/>
      <c r="OXC53" s="193"/>
      <c r="OXD53" s="193"/>
      <c r="OXE53" s="193"/>
      <c r="OXF53" s="193"/>
      <c r="OXG53" s="193"/>
      <c r="OXH53" s="193"/>
      <c r="OXI53" s="193"/>
      <c r="OXJ53" s="193"/>
      <c r="OXK53" s="193"/>
      <c r="OXL53" s="193"/>
      <c r="OXM53" s="193"/>
      <c r="OXN53" s="193"/>
      <c r="OXO53" s="193"/>
      <c r="OXP53" s="193"/>
      <c r="OXQ53" s="193"/>
      <c r="OXR53" s="193"/>
      <c r="OXS53" s="193"/>
      <c r="OXT53" s="193"/>
      <c r="OXU53" s="193"/>
      <c r="OXV53" s="193"/>
      <c r="OXW53" s="193"/>
      <c r="OXX53" s="193"/>
      <c r="OXY53" s="193"/>
      <c r="OXZ53" s="193"/>
      <c r="OYA53" s="193"/>
      <c r="OYB53" s="193"/>
      <c r="OYC53" s="193"/>
      <c r="OYD53" s="193"/>
      <c r="OYE53" s="193"/>
      <c r="OYF53" s="193"/>
      <c r="OYG53" s="193"/>
      <c r="OYH53" s="193"/>
      <c r="OYI53" s="193"/>
      <c r="OYJ53" s="193"/>
      <c r="OYK53" s="193"/>
      <c r="OYL53" s="193"/>
      <c r="OYM53" s="193"/>
      <c r="OYN53" s="193"/>
      <c r="OYO53" s="193"/>
      <c r="OYP53" s="193"/>
      <c r="OYQ53" s="193"/>
      <c r="OYR53" s="193"/>
      <c r="OYS53" s="193"/>
      <c r="OYT53" s="193"/>
      <c r="OYU53" s="193"/>
      <c r="OYV53" s="193"/>
      <c r="OYW53" s="193"/>
      <c r="OYX53" s="193"/>
      <c r="OYY53" s="193"/>
      <c r="OYZ53" s="193"/>
      <c r="OZA53" s="193"/>
      <c r="OZB53" s="193"/>
      <c r="OZC53" s="193"/>
      <c r="OZD53" s="193"/>
      <c r="OZE53" s="193"/>
      <c r="OZF53" s="193"/>
      <c r="OZG53" s="193"/>
      <c r="OZH53" s="193"/>
      <c r="OZI53" s="193"/>
      <c r="OZJ53" s="193"/>
      <c r="OZK53" s="193"/>
      <c r="OZL53" s="193"/>
      <c r="OZM53" s="193"/>
      <c r="OZN53" s="193"/>
      <c r="OZO53" s="193"/>
      <c r="OZP53" s="193"/>
      <c r="OZQ53" s="193"/>
      <c r="OZR53" s="193"/>
      <c r="OZS53" s="193"/>
      <c r="OZT53" s="193"/>
      <c r="OZU53" s="193"/>
      <c r="OZV53" s="193"/>
      <c r="OZW53" s="193"/>
      <c r="OZX53" s="193"/>
      <c r="OZY53" s="193"/>
      <c r="OZZ53" s="193"/>
      <c r="PAA53" s="193"/>
      <c r="PAB53" s="193"/>
      <c r="PAC53" s="193"/>
      <c r="PAD53" s="193"/>
      <c r="PAE53" s="193"/>
      <c r="PAF53" s="193"/>
      <c r="PAG53" s="193"/>
      <c r="PAH53" s="193"/>
      <c r="PAI53" s="193"/>
      <c r="PAJ53" s="193"/>
      <c r="PAK53" s="193"/>
      <c r="PAL53" s="193"/>
      <c r="PAM53" s="193"/>
      <c r="PAN53" s="193"/>
      <c r="PAO53" s="193"/>
      <c r="PAP53" s="193"/>
      <c r="PAQ53" s="193"/>
      <c r="PAR53" s="193"/>
      <c r="PAS53" s="193"/>
      <c r="PAT53" s="193"/>
      <c r="PAU53" s="193"/>
      <c r="PAV53" s="193"/>
      <c r="PAW53" s="193"/>
      <c r="PAX53" s="193"/>
      <c r="PAY53" s="193"/>
      <c r="PAZ53" s="193"/>
      <c r="PBA53" s="193"/>
      <c r="PBB53" s="193"/>
      <c r="PBC53" s="193"/>
      <c r="PBD53" s="193"/>
      <c r="PBE53" s="193"/>
      <c r="PBF53" s="193"/>
      <c r="PBG53" s="193"/>
      <c r="PBH53" s="193"/>
      <c r="PBI53" s="193"/>
      <c r="PBJ53" s="193"/>
      <c r="PBK53" s="193"/>
      <c r="PBL53" s="193"/>
      <c r="PBM53" s="193"/>
      <c r="PBN53" s="193"/>
      <c r="PBO53" s="193"/>
      <c r="PBP53" s="193"/>
      <c r="PBQ53" s="193"/>
      <c r="PBR53" s="193"/>
      <c r="PBS53" s="193"/>
      <c r="PBT53" s="193"/>
      <c r="PBU53" s="193"/>
      <c r="PBV53" s="193"/>
      <c r="PBW53" s="193"/>
      <c r="PBX53" s="193"/>
      <c r="PBY53" s="193"/>
      <c r="PBZ53" s="193"/>
      <c r="PCA53" s="193"/>
      <c r="PCB53" s="193"/>
      <c r="PCC53" s="193"/>
      <c r="PCD53" s="193"/>
      <c r="PCE53" s="193"/>
      <c r="PCF53" s="193"/>
      <c r="PCG53" s="193"/>
      <c r="PCH53" s="193"/>
      <c r="PCI53" s="193"/>
      <c r="PCJ53" s="193"/>
      <c r="PCK53" s="193"/>
      <c r="PCL53" s="193"/>
      <c r="PCM53" s="193"/>
      <c r="PCN53" s="193"/>
      <c r="PCO53" s="193"/>
      <c r="PCP53" s="193"/>
      <c r="PCQ53" s="193"/>
      <c r="PCR53" s="193"/>
      <c r="PCS53" s="193"/>
      <c r="PCT53" s="193"/>
      <c r="PCU53" s="193"/>
      <c r="PCV53" s="193"/>
      <c r="PCW53" s="193"/>
      <c r="PCX53" s="193"/>
      <c r="PCY53" s="193"/>
      <c r="PCZ53" s="193"/>
      <c r="PDA53" s="193"/>
      <c r="PDB53" s="193"/>
      <c r="PDC53" s="193"/>
      <c r="PDD53" s="193"/>
      <c r="PDE53" s="193"/>
      <c r="PDF53" s="193"/>
      <c r="PDG53" s="193"/>
      <c r="PDH53" s="193"/>
      <c r="PDI53" s="193"/>
      <c r="PDJ53" s="193"/>
      <c r="PDK53" s="193"/>
      <c r="PDL53" s="193"/>
      <c r="PDM53" s="193"/>
      <c r="PDN53" s="193"/>
      <c r="PDO53" s="193"/>
      <c r="PDP53" s="193"/>
      <c r="PDQ53" s="193"/>
      <c r="PDR53" s="193"/>
      <c r="PDS53" s="193"/>
      <c r="PDT53" s="193"/>
      <c r="PDU53" s="193"/>
      <c r="PDV53" s="193"/>
      <c r="PDW53" s="193"/>
      <c r="PDX53" s="193"/>
      <c r="PDY53" s="193"/>
      <c r="PDZ53" s="193"/>
      <c r="PEA53" s="193"/>
      <c r="PEB53" s="193"/>
      <c r="PEC53" s="193"/>
      <c r="PED53" s="193"/>
      <c r="PEE53" s="193"/>
      <c r="PEF53" s="193"/>
      <c r="PEG53" s="193"/>
      <c r="PEH53" s="193"/>
      <c r="PEI53" s="193"/>
      <c r="PEJ53" s="193"/>
      <c r="PEK53" s="193"/>
      <c r="PEL53" s="193"/>
      <c r="PEM53" s="193"/>
      <c r="PEN53" s="193"/>
      <c r="PEO53" s="193"/>
      <c r="PEP53" s="193"/>
      <c r="PEQ53" s="193"/>
      <c r="PER53" s="193"/>
      <c r="PES53" s="193"/>
      <c r="PET53" s="193"/>
      <c r="PEU53" s="193"/>
      <c r="PEV53" s="193"/>
      <c r="PEW53" s="193"/>
      <c r="PEX53" s="193"/>
      <c r="PEY53" s="193"/>
      <c r="PEZ53" s="193"/>
      <c r="PFA53" s="193"/>
      <c r="PFB53" s="193"/>
      <c r="PFC53" s="193"/>
      <c r="PFD53" s="193"/>
      <c r="PFE53" s="193"/>
      <c r="PFF53" s="193"/>
      <c r="PFG53" s="193"/>
      <c r="PFH53" s="193"/>
      <c r="PFI53" s="193"/>
      <c r="PFJ53" s="193"/>
      <c r="PFK53" s="193"/>
      <c r="PFL53" s="193"/>
      <c r="PFM53" s="193"/>
      <c r="PFN53" s="193"/>
      <c r="PFO53" s="193"/>
      <c r="PFP53" s="193"/>
      <c r="PFQ53" s="193"/>
      <c r="PFR53" s="193"/>
      <c r="PFS53" s="193"/>
      <c r="PFT53" s="193"/>
      <c r="PFU53" s="193"/>
      <c r="PFV53" s="193"/>
      <c r="PFW53" s="193"/>
      <c r="PFX53" s="193"/>
      <c r="PFY53" s="193"/>
      <c r="PFZ53" s="193"/>
      <c r="PGA53" s="193"/>
      <c r="PGB53" s="193"/>
      <c r="PGC53" s="193"/>
      <c r="PGD53" s="193"/>
      <c r="PGE53" s="193"/>
      <c r="PGF53" s="193"/>
      <c r="PGG53" s="193"/>
      <c r="PGH53" s="193"/>
      <c r="PGI53" s="193"/>
      <c r="PGJ53" s="193"/>
      <c r="PGK53" s="193"/>
      <c r="PGL53" s="193"/>
      <c r="PGM53" s="193"/>
      <c r="PGN53" s="193"/>
      <c r="PGO53" s="193"/>
      <c r="PGP53" s="193"/>
      <c r="PGQ53" s="193"/>
      <c r="PGR53" s="193"/>
      <c r="PGS53" s="193"/>
      <c r="PGT53" s="193"/>
      <c r="PGU53" s="193"/>
      <c r="PGV53" s="193"/>
      <c r="PGW53" s="193"/>
      <c r="PGX53" s="193"/>
      <c r="PGY53" s="193"/>
      <c r="PGZ53" s="193"/>
      <c r="PHA53" s="193"/>
      <c r="PHB53" s="193"/>
      <c r="PHC53" s="193"/>
      <c r="PHD53" s="193"/>
      <c r="PHE53" s="193"/>
      <c r="PHF53" s="193"/>
      <c r="PHG53" s="193"/>
      <c r="PHH53" s="193"/>
      <c r="PHI53" s="193"/>
      <c r="PHJ53" s="193"/>
      <c r="PHK53" s="193"/>
      <c r="PHL53" s="193"/>
      <c r="PHM53" s="193"/>
      <c r="PHN53" s="193"/>
      <c r="PHO53" s="193"/>
      <c r="PHP53" s="193"/>
      <c r="PHQ53" s="193"/>
      <c r="PHR53" s="193"/>
      <c r="PHS53" s="193"/>
      <c r="PHT53" s="193"/>
      <c r="PHU53" s="193"/>
      <c r="PHV53" s="193"/>
      <c r="PHW53" s="193"/>
      <c r="PHX53" s="193"/>
      <c r="PHY53" s="193"/>
      <c r="PHZ53" s="193"/>
      <c r="PIA53" s="193"/>
      <c r="PIB53" s="193"/>
      <c r="PIC53" s="193"/>
      <c r="PID53" s="193"/>
      <c r="PIE53" s="193"/>
      <c r="PIF53" s="193"/>
      <c r="PIG53" s="193"/>
      <c r="PIH53" s="193"/>
      <c r="PII53" s="193"/>
      <c r="PIJ53" s="193"/>
      <c r="PIK53" s="193"/>
      <c r="PIL53" s="193"/>
      <c r="PIM53" s="193"/>
      <c r="PIN53" s="193"/>
      <c r="PIO53" s="193"/>
      <c r="PIP53" s="193"/>
      <c r="PIQ53" s="193"/>
      <c r="PIR53" s="193"/>
      <c r="PIS53" s="193"/>
      <c r="PIT53" s="193"/>
      <c r="PIU53" s="193"/>
      <c r="PIV53" s="193"/>
      <c r="PIW53" s="193"/>
      <c r="PIX53" s="193"/>
      <c r="PIY53" s="193"/>
      <c r="PIZ53" s="193"/>
      <c r="PJA53" s="193"/>
      <c r="PJB53" s="193"/>
      <c r="PJC53" s="193"/>
      <c r="PJD53" s="193"/>
      <c r="PJE53" s="193"/>
      <c r="PJF53" s="193"/>
      <c r="PJG53" s="193"/>
      <c r="PJH53" s="193"/>
      <c r="PJI53" s="193"/>
      <c r="PJJ53" s="193"/>
      <c r="PJK53" s="193"/>
      <c r="PJL53" s="193"/>
      <c r="PJM53" s="193"/>
      <c r="PJN53" s="193"/>
      <c r="PJO53" s="193"/>
      <c r="PJP53" s="193"/>
      <c r="PJQ53" s="193"/>
      <c r="PJR53" s="193"/>
      <c r="PJS53" s="193"/>
      <c r="PJT53" s="193"/>
      <c r="PJU53" s="193"/>
      <c r="PJV53" s="193"/>
      <c r="PJW53" s="193"/>
      <c r="PJX53" s="193"/>
      <c r="PJY53" s="193"/>
      <c r="PJZ53" s="193"/>
      <c r="PKA53" s="193"/>
      <c r="PKB53" s="193"/>
      <c r="PKC53" s="193"/>
      <c r="PKD53" s="193"/>
      <c r="PKE53" s="193"/>
      <c r="PKF53" s="193"/>
      <c r="PKG53" s="193"/>
      <c r="PKH53" s="193"/>
      <c r="PKI53" s="193"/>
      <c r="PKJ53" s="193"/>
      <c r="PKK53" s="193"/>
      <c r="PKL53" s="193"/>
      <c r="PKM53" s="193"/>
      <c r="PKN53" s="193"/>
      <c r="PKO53" s="193"/>
      <c r="PKP53" s="193"/>
      <c r="PKQ53" s="193"/>
      <c r="PKR53" s="193"/>
      <c r="PKS53" s="193"/>
      <c r="PKT53" s="193"/>
      <c r="PKU53" s="193"/>
      <c r="PKV53" s="193"/>
      <c r="PKW53" s="193"/>
      <c r="PKX53" s="193"/>
      <c r="PKY53" s="193"/>
      <c r="PKZ53" s="193"/>
      <c r="PLA53" s="193"/>
      <c r="PLB53" s="193"/>
      <c r="PLC53" s="193"/>
      <c r="PLD53" s="193"/>
      <c r="PLE53" s="193"/>
      <c r="PLF53" s="193"/>
      <c r="PLG53" s="193"/>
      <c r="PLH53" s="193"/>
      <c r="PLI53" s="193"/>
      <c r="PLJ53" s="193"/>
      <c r="PLK53" s="193"/>
      <c r="PLL53" s="193"/>
      <c r="PLM53" s="193"/>
      <c r="PLN53" s="193"/>
      <c r="PLO53" s="193"/>
      <c r="PLP53" s="193"/>
      <c r="PLQ53" s="193"/>
      <c r="PLR53" s="193"/>
      <c r="PLS53" s="193"/>
      <c r="PLT53" s="193"/>
      <c r="PLU53" s="193"/>
      <c r="PLV53" s="193"/>
      <c r="PLW53" s="193"/>
      <c r="PLX53" s="193"/>
      <c r="PLY53" s="193"/>
      <c r="PLZ53" s="193"/>
      <c r="PMA53" s="193"/>
      <c r="PMB53" s="193"/>
      <c r="PMC53" s="193"/>
      <c r="PMD53" s="193"/>
      <c r="PME53" s="193"/>
      <c r="PMF53" s="193"/>
      <c r="PMG53" s="193"/>
      <c r="PMH53" s="193"/>
      <c r="PMI53" s="193"/>
      <c r="PMJ53" s="193"/>
      <c r="PMK53" s="193"/>
      <c r="PML53" s="193"/>
      <c r="PMM53" s="193"/>
      <c r="PMN53" s="193"/>
      <c r="PMO53" s="193"/>
      <c r="PMP53" s="193"/>
      <c r="PMQ53" s="193"/>
      <c r="PMR53" s="193"/>
      <c r="PMS53" s="193"/>
      <c r="PMT53" s="193"/>
      <c r="PMU53" s="193"/>
      <c r="PMV53" s="193"/>
      <c r="PMW53" s="193"/>
      <c r="PMX53" s="193"/>
      <c r="PMY53" s="193"/>
      <c r="PMZ53" s="193"/>
      <c r="PNA53" s="193"/>
      <c r="PNB53" s="193"/>
      <c r="PNC53" s="193"/>
      <c r="PND53" s="193"/>
      <c r="PNE53" s="193"/>
      <c r="PNF53" s="193"/>
      <c r="PNG53" s="193"/>
      <c r="PNH53" s="193"/>
      <c r="PNI53" s="193"/>
      <c r="PNJ53" s="193"/>
      <c r="PNK53" s="193"/>
      <c r="PNL53" s="193"/>
      <c r="PNM53" s="193"/>
      <c r="PNN53" s="193"/>
      <c r="PNO53" s="193"/>
      <c r="PNP53" s="193"/>
      <c r="PNQ53" s="193"/>
      <c r="PNR53" s="193"/>
      <c r="PNS53" s="193"/>
      <c r="PNT53" s="193"/>
      <c r="PNU53" s="193"/>
      <c r="PNV53" s="193"/>
      <c r="PNW53" s="193"/>
      <c r="PNX53" s="193"/>
      <c r="PNY53" s="193"/>
      <c r="PNZ53" s="193"/>
      <c r="POA53" s="193"/>
      <c r="POB53" s="193"/>
      <c r="POC53" s="193"/>
      <c r="POD53" s="193"/>
      <c r="POE53" s="193"/>
      <c r="POF53" s="193"/>
      <c r="POG53" s="193"/>
      <c r="POH53" s="193"/>
      <c r="POI53" s="193"/>
      <c r="POJ53" s="193"/>
      <c r="POK53" s="193"/>
      <c r="POL53" s="193"/>
      <c r="POM53" s="193"/>
      <c r="PON53" s="193"/>
      <c r="POO53" s="193"/>
      <c r="POP53" s="193"/>
      <c r="POQ53" s="193"/>
      <c r="POR53" s="193"/>
      <c r="POS53" s="193"/>
      <c r="POT53" s="193"/>
      <c r="POU53" s="193"/>
      <c r="POV53" s="193"/>
      <c r="POW53" s="193"/>
      <c r="POX53" s="193"/>
      <c r="POY53" s="193"/>
      <c r="POZ53" s="193"/>
      <c r="PPA53" s="193"/>
      <c r="PPB53" s="193"/>
      <c r="PPC53" s="193"/>
      <c r="PPD53" s="193"/>
      <c r="PPE53" s="193"/>
      <c r="PPF53" s="193"/>
      <c r="PPG53" s="193"/>
      <c r="PPH53" s="193"/>
      <c r="PPI53" s="193"/>
      <c r="PPJ53" s="193"/>
      <c r="PPK53" s="193"/>
      <c r="PPL53" s="193"/>
      <c r="PPM53" s="193"/>
      <c r="PPN53" s="193"/>
      <c r="PPO53" s="193"/>
      <c r="PPP53" s="193"/>
      <c r="PPQ53" s="193"/>
      <c r="PPR53" s="193"/>
      <c r="PPS53" s="193"/>
      <c r="PPT53" s="193"/>
      <c r="PPU53" s="193"/>
      <c r="PPV53" s="193"/>
      <c r="PPW53" s="193"/>
      <c r="PPX53" s="193"/>
      <c r="PPY53" s="193"/>
      <c r="PPZ53" s="193"/>
      <c r="PQA53" s="193"/>
      <c r="PQB53" s="193"/>
      <c r="PQC53" s="193"/>
      <c r="PQD53" s="193"/>
      <c r="PQE53" s="193"/>
      <c r="PQF53" s="193"/>
      <c r="PQG53" s="193"/>
      <c r="PQH53" s="193"/>
      <c r="PQI53" s="193"/>
      <c r="PQJ53" s="193"/>
      <c r="PQK53" s="193"/>
      <c r="PQL53" s="193"/>
      <c r="PQM53" s="193"/>
      <c r="PQN53" s="193"/>
      <c r="PQO53" s="193"/>
      <c r="PQP53" s="193"/>
      <c r="PQQ53" s="193"/>
      <c r="PQR53" s="193"/>
      <c r="PQS53" s="193"/>
      <c r="PQT53" s="193"/>
      <c r="PQU53" s="193"/>
      <c r="PQV53" s="193"/>
      <c r="PQW53" s="193"/>
      <c r="PQX53" s="193"/>
      <c r="PQY53" s="193"/>
      <c r="PQZ53" s="193"/>
      <c r="PRA53" s="193"/>
      <c r="PRB53" s="193"/>
      <c r="PRC53" s="193"/>
      <c r="PRD53" s="193"/>
      <c r="PRE53" s="193"/>
      <c r="PRF53" s="193"/>
      <c r="PRG53" s="193"/>
      <c r="PRH53" s="193"/>
      <c r="PRI53" s="193"/>
      <c r="PRJ53" s="193"/>
      <c r="PRK53" s="193"/>
      <c r="PRL53" s="193"/>
      <c r="PRM53" s="193"/>
      <c r="PRN53" s="193"/>
      <c r="PRO53" s="193"/>
      <c r="PRP53" s="193"/>
      <c r="PRQ53" s="193"/>
      <c r="PRR53" s="193"/>
      <c r="PRS53" s="193"/>
      <c r="PRT53" s="193"/>
      <c r="PRU53" s="193"/>
      <c r="PRV53" s="193"/>
      <c r="PRW53" s="193"/>
      <c r="PRX53" s="193"/>
      <c r="PRY53" s="193"/>
      <c r="PRZ53" s="193"/>
      <c r="PSA53" s="193"/>
      <c r="PSB53" s="193"/>
      <c r="PSC53" s="193"/>
      <c r="PSD53" s="193"/>
      <c r="PSE53" s="193"/>
      <c r="PSF53" s="193"/>
      <c r="PSG53" s="193"/>
      <c r="PSH53" s="193"/>
      <c r="PSI53" s="193"/>
      <c r="PSJ53" s="193"/>
      <c r="PSK53" s="193"/>
      <c r="PSL53" s="193"/>
      <c r="PSM53" s="193"/>
      <c r="PSN53" s="193"/>
      <c r="PSO53" s="193"/>
      <c r="PSP53" s="193"/>
      <c r="PSQ53" s="193"/>
      <c r="PSR53" s="193"/>
      <c r="PSS53" s="193"/>
      <c r="PST53" s="193"/>
      <c r="PSU53" s="193"/>
      <c r="PSV53" s="193"/>
      <c r="PSW53" s="193"/>
      <c r="PSX53" s="193"/>
      <c r="PSY53" s="193"/>
      <c r="PSZ53" s="193"/>
      <c r="PTA53" s="193"/>
      <c r="PTB53" s="193"/>
      <c r="PTC53" s="193"/>
      <c r="PTD53" s="193"/>
      <c r="PTE53" s="193"/>
      <c r="PTF53" s="193"/>
      <c r="PTG53" s="193"/>
      <c r="PTH53" s="193"/>
      <c r="PTI53" s="193"/>
      <c r="PTJ53" s="193"/>
      <c r="PTK53" s="193"/>
      <c r="PTL53" s="193"/>
      <c r="PTM53" s="193"/>
      <c r="PTN53" s="193"/>
      <c r="PTO53" s="193"/>
      <c r="PTP53" s="193"/>
      <c r="PTQ53" s="193"/>
      <c r="PTR53" s="193"/>
      <c r="PTS53" s="193"/>
      <c r="PTT53" s="193"/>
      <c r="PTU53" s="193"/>
      <c r="PTV53" s="193"/>
      <c r="PTW53" s="193"/>
      <c r="PTX53" s="193"/>
      <c r="PTY53" s="193"/>
      <c r="PTZ53" s="193"/>
      <c r="PUA53" s="193"/>
      <c r="PUB53" s="193"/>
      <c r="PUC53" s="193"/>
      <c r="PUD53" s="193"/>
      <c r="PUE53" s="193"/>
      <c r="PUF53" s="193"/>
      <c r="PUG53" s="193"/>
      <c r="PUH53" s="193"/>
      <c r="PUI53" s="193"/>
      <c r="PUJ53" s="193"/>
      <c r="PUK53" s="193"/>
      <c r="PUL53" s="193"/>
      <c r="PUM53" s="193"/>
      <c r="PUN53" s="193"/>
      <c r="PUO53" s="193"/>
      <c r="PUP53" s="193"/>
      <c r="PUQ53" s="193"/>
      <c r="PUR53" s="193"/>
      <c r="PUS53" s="193"/>
      <c r="PUT53" s="193"/>
      <c r="PUU53" s="193"/>
      <c r="PUV53" s="193"/>
      <c r="PUW53" s="193"/>
      <c r="PUX53" s="193"/>
      <c r="PUY53" s="193"/>
      <c r="PUZ53" s="193"/>
      <c r="PVA53" s="193"/>
      <c r="PVB53" s="193"/>
      <c r="PVC53" s="193"/>
      <c r="PVD53" s="193"/>
      <c r="PVE53" s="193"/>
      <c r="PVF53" s="193"/>
      <c r="PVG53" s="193"/>
      <c r="PVH53" s="193"/>
      <c r="PVI53" s="193"/>
      <c r="PVJ53" s="193"/>
      <c r="PVK53" s="193"/>
      <c r="PVL53" s="193"/>
      <c r="PVM53" s="193"/>
      <c r="PVN53" s="193"/>
      <c r="PVO53" s="193"/>
      <c r="PVP53" s="193"/>
      <c r="PVQ53" s="193"/>
      <c r="PVR53" s="193"/>
      <c r="PVS53" s="193"/>
      <c r="PVT53" s="193"/>
      <c r="PVU53" s="193"/>
      <c r="PVV53" s="193"/>
      <c r="PVW53" s="193"/>
      <c r="PVX53" s="193"/>
      <c r="PVY53" s="193"/>
      <c r="PVZ53" s="193"/>
      <c r="PWA53" s="193"/>
      <c r="PWB53" s="193"/>
      <c r="PWC53" s="193"/>
      <c r="PWD53" s="193"/>
      <c r="PWE53" s="193"/>
      <c r="PWF53" s="193"/>
      <c r="PWG53" s="193"/>
      <c r="PWH53" s="193"/>
      <c r="PWI53" s="193"/>
      <c r="PWJ53" s="193"/>
      <c r="PWK53" s="193"/>
      <c r="PWL53" s="193"/>
      <c r="PWM53" s="193"/>
      <c r="PWN53" s="193"/>
      <c r="PWO53" s="193"/>
      <c r="PWP53" s="193"/>
      <c r="PWQ53" s="193"/>
      <c r="PWR53" s="193"/>
      <c r="PWS53" s="193"/>
      <c r="PWT53" s="193"/>
      <c r="PWU53" s="193"/>
      <c r="PWV53" s="193"/>
      <c r="PWW53" s="193"/>
      <c r="PWX53" s="193"/>
      <c r="PWY53" s="193"/>
      <c r="PWZ53" s="193"/>
      <c r="PXA53" s="193"/>
      <c r="PXB53" s="193"/>
      <c r="PXC53" s="193"/>
      <c r="PXD53" s="193"/>
      <c r="PXE53" s="193"/>
      <c r="PXF53" s="193"/>
      <c r="PXG53" s="193"/>
      <c r="PXH53" s="193"/>
      <c r="PXI53" s="193"/>
      <c r="PXJ53" s="193"/>
      <c r="PXK53" s="193"/>
      <c r="PXL53" s="193"/>
      <c r="PXM53" s="193"/>
      <c r="PXN53" s="193"/>
      <c r="PXO53" s="193"/>
      <c r="PXP53" s="193"/>
      <c r="PXQ53" s="193"/>
      <c r="PXR53" s="193"/>
      <c r="PXS53" s="193"/>
      <c r="PXT53" s="193"/>
      <c r="PXU53" s="193"/>
      <c r="PXV53" s="193"/>
      <c r="PXW53" s="193"/>
      <c r="PXX53" s="193"/>
      <c r="PXY53" s="193"/>
      <c r="PXZ53" s="193"/>
      <c r="PYA53" s="193"/>
      <c r="PYB53" s="193"/>
      <c r="PYC53" s="193"/>
      <c r="PYD53" s="193"/>
      <c r="PYE53" s="193"/>
      <c r="PYF53" s="193"/>
      <c r="PYG53" s="193"/>
      <c r="PYH53" s="193"/>
      <c r="PYI53" s="193"/>
      <c r="PYJ53" s="193"/>
      <c r="PYK53" s="193"/>
      <c r="PYL53" s="193"/>
      <c r="PYM53" s="193"/>
      <c r="PYN53" s="193"/>
      <c r="PYO53" s="193"/>
      <c r="PYP53" s="193"/>
      <c r="PYQ53" s="193"/>
      <c r="PYR53" s="193"/>
      <c r="PYS53" s="193"/>
      <c r="PYT53" s="193"/>
      <c r="PYU53" s="193"/>
      <c r="PYV53" s="193"/>
      <c r="PYW53" s="193"/>
      <c r="PYX53" s="193"/>
      <c r="PYY53" s="193"/>
      <c r="PYZ53" s="193"/>
      <c r="PZA53" s="193"/>
      <c r="PZB53" s="193"/>
      <c r="PZC53" s="193"/>
      <c r="PZD53" s="193"/>
      <c r="PZE53" s="193"/>
      <c r="PZF53" s="193"/>
      <c r="PZG53" s="193"/>
      <c r="PZH53" s="193"/>
      <c r="PZI53" s="193"/>
      <c r="PZJ53" s="193"/>
      <c r="PZK53" s="193"/>
      <c r="PZL53" s="193"/>
      <c r="PZM53" s="193"/>
      <c r="PZN53" s="193"/>
      <c r="PZO53" s="193"/>
      <c r="PZP53" s="193"/>
      <c r="PZQ53" s="193"/>
      <c r="PZR53" s="193"/>
      <c r="PZS53" s="193"/>
      <c r="PZT53" s="193"/>
      <c r="PZU53" s="193"/>
      <c r="PZV53" s="193"/>
      <c r="PZW53" s="193"/>
      <c r="PZX53" s="193"/>
      <c r="PZY53" s="193"/>
      <c r="PZZ53" s="193"/>
      <c r="QAA53" s="193"/>
      <c r="QAB53" s="193"/>
      <c r="QAC53" s="193"/>
      <c r="QAD53" s="193"/>
      <c r="QAE53" s="193"/>
      <c r="QAF53" s="193"/>
      <c r="QAG53" s="193"/>
      <c r="QAH53" s="193"/>
      <c r="QAI53" s="193"/>
      <c r="QAJ53" s="193"/>
      <c r="QAK53" s="193"/>
      <c r="QAL53" s="193"/>
      <c r="QAM53" s="193"/>
      <c r="QAN53" s="193"/>
      <c r="QAO53" s="193"/>
      <c r="QAP53" s="193"/>
      <c r="QAQ53" s="193"/>
      <c r="QAR53" s="193"/>
      <c r="QAS53" s="193"/>
      <c r="QAT53" s="193"/>
      <c r="QAU53" s="193"/>
      <c r="QAV53" s="193"/>
      <c r="QAW53" s="193"/>
      <c r="QAX53" s="193"/>
      <c r="QAY53" s="193"/>
      <c r="QAZ53" s="193"/>
      <c r="QBA53" s="193"/>
      <c r="QBB53" s="193"/>
      <c r="QBC53" s="193"/>
      <c r="QBD53" s="193"/>
      <c r="QBE53" s="193"/>
      <c r="QBF53" s="193"/>
      <c r="QBG53" s="193"/>
      <c r="QBH53" s="193"/>
      <c r="QBI53" s="193"/>
      <c r="QBJ53" s="193"/>
      <c r="QBK53" s="193"/>
      <c r="QBL53" s="193"/>
      <c r="QBM53" s="193"/>
      <c r="QBN53" s="193"/>
      <c r="QBO53" s="193"/>
      <c r="QBP53" s="193"/>
      <c r="QBQ53" s="193"/>
      <c r="QBR53" s="193"/>
      <c r="QBS53" s="193"/>
      <c r="QBT53" s="193"/>
      <c r="QBU53" s="193"/>
      <c r="QBV53" s="193"/>
      <c r="QBW53" s="193"/>
      <c r="QBX53" s="193"/>
      <c r="QBY53" s="193"/>
      <c r="QBZ53" s="193"/>
      <c r="QCA53" s="193"/>
      <c r="QCB53" s="193"/>
      <c r="QCC53" s="193"/>
      <c r="QCD53" s="193"/>
      <c r="QCE53" s="193"/>
      <c r="QCF53" s="193"/>
      <c r="QCG53" s="193"/>
      <c r="QCH53" s="193"/>
      <c r="QCI53" s="193"/>
      <c r="QCJ53" s="193"/>
      <c r="QCK53" s="193"/>
      <c r="QCL53" s="193"/>
      <c r="QCM53" s="193"/>
      <c r="QCN53" s="193"/>
      <c r="QCO53" s="193"/>
      <c r="QCP53" s="193"/>
      <c r="QCQ53" s="193"/>
      <c r="QCR53" s="193"/>
      <c r="QCS53" s="193"/>
      <c r="QCT53" s="193"/>
      <c r="QCU53" s="193"/>
      <c r="QCV53" s="193"/>
      <c r="QCW53" s="193"/>
      <c r="QCX53" s="193"/>
      <c r="QCY53" s="193"/>
      <c r="QCZ53" s="193"/>
      <c r="QDA53" s="193"/>
      <c r="QDB53" s="193"/>
      <c r="QDC53" s="193"/>
      <c r="QDD53" s="193"/>
      <c r="QDE53" s="193"/>
      <c r="QDF53" s="193"/>
      <c r="QDG53" s="193"/>
      <c r="QDH53" s="193"/>
      <c r="QDI53" s="193"/>
      <c r="QDJ53" s="193"/>
      <c r="QDK53" s="193"/>
      <c r="QDL53" s="193"/>
      <c r="QDM53" s="193"/>
      <c r="QDN53" s="193"/>
      <c r="QDO53" s="193"/>
      <c r="QDP53" s="193"/>
      <c r="QDQ53" s="193"/>
      <c r="QDR53" s="193"/>
      <c r="QDS53" s="193"/>
      <c r="QDT53" s="193"/>
      <c r="QDU53" s="193"/>
      <c r="QDV53" s="193"/>
      <c r="QDW53" s="193"/>
      <c r="QDX53" s="193"/>
      <c r="QDY53" s="193"/>
      <c r="QDZ53" s="193"/>
      <c r="QEA53" s="193"/>
      <c r="QEB53" s="193"/>
      <c r="QEC53" s="193"/>
      <c r="QED53" s="193"/>
      <c r="QEE53" s="193"/>
      <c r="QEF53" s="193"/>
      <c r="QEG53" s="193"/>
      <c r="QEH53" s="193"/>
      <c r="QEI53" s="193"/>
      <c r="QEJ53" s="193"/>
      <c r="QEK53" s="193"/>
      <c r="QEL53" s="193"/>
      <c r="QEM53" s="193"/>
      <c r="QEN53" s="193"/>
      <c r="QEO53" s="193"/>
      <c r="QEP53" s="193"/>
      <c r="QEQ53" s="193"/>
      <c r="QER53" s="193"/>
      <c r="QES53" s="193"/>
      <c r="QET53" s="193"/>
      <c r="QEU53" s="193"/>
      <c r="QEV53" s="193"/>
      <c r="QEW53" s="193"/>
      <c r="QEX53" s="193"/>
      <c r="QEY53" s="193"/>
      <c r="QEZ53" s="193"/>
      <c r="QFA53" s="193"/>
      <c r="QFB53" s="193"/>
      <c r="QFC53" s="193"/>
      <c r="QFD53" s="193"/>
      <c r="QFE53" s="193"/>
      <c r="QFF53" s="193"/>
      <c r="QFG53" s="193"/>
      <c r="QFH53" s="193"/>
      <c r="QFI53" s="193"/>
      <c r="QFJ53" s="193"/>
      <c r="QFK53" s="193"/>
      <c r="QFL53" s="193"/>
      <c r="QFM53" s="193"/>
      <c r="QFN53" s="193"/>
      <c r="QFO53" s="193"/>
      <c r="QFP53" s="193"/>
      <c r="QFQ53" s="193"/>
      <c r="QFR53" s="193"/>
      <c r="QFS53" s="193"/>
      <c r="QFT53" s="193"/>
      <c r="QFU53" s="193"/>
      <c r="QFV53" s="193"/>
      <c r="QFW53" s="193"/>
      <c r="QFX53" s="193"/>
      <c r="QFY53" s="193"/>
      <c r="QFZ53" s="193"/>
      <c r="QGA53" s="193"/>
      <c r="QGB53" s="193"/>
      <c r="QGC53" s="193"/>
      <c r="QGD53" s="193"/>
      <c r="QGE53" s="193"/>
      <c r="QGF53" s="193"/>
      <c r="QGG53" s="193"/>
      <c r="QGH53" s="193"/>
      <c r="QGI53" s="193"/>
      <c r="QGJ53" s="193"/>
      <c r="QGK53" s="193"/>
      <c r="QGL53" s="193"/>
      <c r="QGM53" s="193"/>
      <c r="QGN53" s="193"/>
      <c r="QGO53" s="193"/>
      <c r="QGP53" s="193"/>
      <c r="QGQ53" s="193"/>
      <c r="QGR53" s="193"/>
      <c r="QGS53" s="193"/>
      <c r="QGT53" s="193"/>
      <c r="QGU53" s="193"/>
      <c r="QGV53" s="193"/>
      <c r="QGW53" s="193"/>
      <c r="QGX53" s="193"/>
      <c r="QGY53" s="193"/>
      <c r="QGZ53" s="193"/>
      <c r="QHA53" s="193"/>
      <c r="QHB53" s="193"/>
      <c r="QHC53" s="193"/>
      <c r="QHD53" s="193"/>
      <c r="QHE53" s="193"/>
      <c r="QHF53" s="193"/>
      <c r="QHG53" s="193"/>
      <c r="QHH53" s="193"/>
      <c r="QHI53" s="193"/>
      <c r="QHJ53" s="193"/>
      <c r="QHK53" s="193"/>
      <c r="QHL53" s="193"/>
      <c r="QHM53" s="193"/>
      <c r="QHN53" s="193"/>
      <c r="QHO53" s="193"/>
      <c r="QHP53" s="193"/>
      <c r="QHQ53" s="193"/>
      <c r="QHR53" s="193"/>
      <c r="QHS53" s="193"/>
      <c r="QHT53" s="193"/>
      <c r="QHU53" s="193"/>
      <c r="QHV53" s="193"/>
      <c r="QHW53" s="193"/>
      <c r="QHX53" s="193"/>
      <c r="QHY53" s="193"/>
      <c r="QHZ53" s="193"/>
      <c r="QIA53" s="193"/>
      <c r="QIB53" s="193"/>
      <c r="QIC53" s="193"/>
      <c r="QID53" s="193"/>
      <c r="QIE53" s="193"/>
      <c r="QIF53" s="193"/>
      <c r="QIG53" s="193"/>
      <c r="QIH53" s="193"/>
      <c r="QII53" s="193"/>
      <c r="QIJ53" s="193"/>
      <c r="QIK53" s="193"/>
      <c r="QIL53" s="193"/>
      <c r="QIM53" s="193"/>
      <c r="QIN53" s="193"/>
      <c r="QIO53" s="193"/>
      <c r="QIP53" s="193"/>
      <c r="QIQ53" s="193"/>
      <c r="QIR53" s="193"/>
      <c r="QIS53" s="193"/>
      <c r="QIT53" s="193"/>
      <c r="QIU53" s="193"/>
      <c r="QIV53" s="193"/>
      <c r="QIW53" s="193"/>
      <c r="QIX53" s="193"/>
      <c r="QIY53" s="193"/>
      <c r="QIZ53" s="193"/>
      <c r="QJA53" s="193"/>
      <c r="QJB53" s="193"/>
      <c r="QJC53" s="193"/>
      <c r="QJD53" s="193"/>
      <c r="QJE53" s="193"/>
      <c r="QJF53" s="193"/>
      <c r="QJG53" s="193"/>
      <c r="QJH53" s="193"/>
      <c r="QJI53" s="193"/>
      <c r="QJJ53" s="193"/>
      <c r="QJK53" s="193"/>
      <c r="QJL53" s="193"/>
      <c r="QJM53" s="193"/>
      <c r="QJN53" s="193"/>
      <c r="QJO53" s="193"/>
      <c r="QJP53" s="193"/>
      <c r="QJQ53" s="193"/>
      <c r="QJR53" s="193"/>
      <c r="QJS53" s="193"/>
      <c r="QJT53" s="193"/>
      <c r="QJU53" s="193"/>
      <c r="QJV53" s="193"/>
      <c r="QJW53" s="193"/>
      <c r="QJX53" s="193"/>
      <c r="QJY53" s="193"/>
      <c r="QJZ53" s="193"/>
      <c r="QKA53" s="193"/>
      <c r="QKB53" s="193"/>
      <c r="QKC53" s="193"/>
      <c r="QKD53" s="193"/>
      <c r="QKE53" s="193"/>
      <c r="QKF53" s="193"/>
      <c r="QKG53" s="193"/>
      <c r="QKH53" s="193"/>
      <c r="QKI53" s="193"/>
      <c r="QKJ53" s="193"/>
      <c r="QKK53" s="193"/>
      <c r="QKL53" s="193"/>
      <c r="QKM53" s="193"/>
      <c r="QKN53" s="193"/>
      <c r="QKO53" s="193"/>
      <c r="QKP53" s="193"/>
      <c r="QKQ53" s="193"/>
      <c r="QKR53" s="193"/>
      <c r="QKS53" s="193"/>
      <c r="QKT53" s="193"/>
      <c r="QKU53" s="193"/>
      <c r="QKV53" s="193"/>
      <c r="QKW53" s="193"/>
      <c r="QKX53" s="193"/>
      <c r="QKY53" s="193"/>
      <c r="QKZ53" s="193"/>
      <c r="QLA53" s="193"/>
      <c r="QLB53" s="193"/>
      <c r="QLC53" s="193"/>
      <c r="QLD53" s="193"/>
      <c r="QLE53" s="193"/>
      <c r="QLF53" s="193"/>
      <c r="QLG53" s="193"/>
      <c r="QLH53" s="193"/>
      <c r="QLI53" s="193"/>
      <c r="QLJ53" s="193"/>
      <c r="QLK53" s="193"/>
      <c r="QLL53" s="193"/>
      <c r="QLM53" s="193"/>
      <c r="QLN53" s="193"/>
      <c r="QLO53" s="193"/>
      <c r="QLP53" s="193"/>
      <c r="QLQ53" s="193"/>
      <c r="QLR53" s="193"/>
      <c r="QLS53" s="193"/>
      <c r="QLT53" s="193"/>
      <c r="QLU53" s="193"/>
      <c r="QLV53" s="193"/>
      <c r="QLW53" s="193"/>
      <c r="QLX53" s="193"/>
      <c r="QLY53" s="193"/>
      <c r="QLZ53" s="193"/>
      <c r="QMA53" s="193"/>
      <c r="QMB53" s="193"/>
      <c r="QMC53" s="193"/>
      <c r="QMD53" s="193"/>
      <c r="QME53" s="193"/>
      <c r="QMF53" s="193"/>
      <c r="QMG53" s="193"/>
      <c r="QMH53" s="193"/>
      <c r="QMI53" s="193"/>
      <c r="QMJ53" s="193"/>
      <c r="QMK53" s="193"/>
      <c r="QML53" s="193"/>
      <c r="QMM53" s="193"/>
      <c r="QMN53" s="193"/>
      <c r="QMO53" s="193"/>
      <c r="QMP53" s="193"/>
      <c r="QMQ53" s="193"/>
      <c r="QMR53" s="193"/>
      <c r="QMS53" s="193"/>
      <c r="QMT53" s="193"/>
      <c r="QMU53" s="193"/>
      <c r="QMV53" s="193"/>
      <c r="QMW53" s="193"/>
      <c r="QMX53" s="193"/>
      <c r="QMY53" s="193"/>
      <c r="QMZ53" s="193"/>
      <c r="QNA53" s="193"/>
      <c r="QNB53" s="193"/>
      <c r="QNC53" s="193"/>
      <c r="QND53" s="193"/>
      <c r="QNE53" s="193"/>
      <c r="QNF53" s="193"/>
      <c r="QNG53" s="193"/>
      <c r="QNH53" s="193"/>
      <c r="QNI53" s="193"/>
      <c r="QNJ53" s="193"/>
      <c r="QNK53" s="193"/>
      <c r="QNL53" s="193"/>
      <c r="QNM53" s="193"/>
      <c r="QNN53" s="193"/>
      <c r="QNO53" s="193"/>
      <c r="QNP53" s="193"/>
      <c r="QNQ53" s="193"/>
      <c r="QNR53" s="193"/>
      <c r="QNS53" s="193"/>
      <c r="QNT53" s="193"/>
      <c r="QNU53" s="193"/>
      <c r="QNV53" s="193"/>
      <c r="QNW53" s="193"/>
      <c r="QNX53" s="193"/>
      <c r="QNY53" s="193"/>
      <c r="QNZ53" s="193"/>
      <c r="QOA53" s="193"/>
      <c r="QOB53" s="193"/>
      <c r="QOC53" s="193"/>
      <c r="QOD53" s="193"/>
      <c r="QOE53" s="193"/>
      <c r="QOF53" s="193"/>
      <c r="QOG53" s="193"/>
      <c r="QOH53" s="193"/>
      <c r="QOI53" s="193"/>
      <c r="QOJ53" s="193"/>
      <c r="QOK53" s="193"/>
      <c r="QOL53" s="193"/>
      <c r="QOM53" s="193"/>
      <c r="QON53" s="193"/>
      <c r="QOO53" s="193"/>
      <c r="QOP53" s="193"/>
      <c r="QOQ53" s="193"/>
      <c r="QOR53" s="193"/>
      <c r="QOS53" s="193"/>
      <c r="QOT53" s="193"/>
      <c r="QOU53" s="193"/>
      <c r="QOV53" s="193"/>
      <c r="QOW53" s="193"/>
      <c r="QOX53" s="193"/>
      <c r="QOY53" s="193"/>
      <c r="QOZ53" s="193"/>
      <c r="QPA53" s="193"/>
      <c r="QPB53" s="193"/>
      <c r="QPC53" s="193"/>
      <c r="QPD53" s="193"/>
      <c r="QPE53" s="193"/>
      <c r="QPF53" s="193"/>
      <c r="QPG53" s="193"/>
      <c r="QPH53" s="193"/>
      <c r="QPI53" s="193"/>
      <c r="QPJ53" s="193"/>
      <c r="QPK53" s="193"/>
      <c r="QPL53" s="193"/>
      <c r="QPM53" s="193"/>
      <c r="QPN53" s="193"/>
      <c r="QPO53" s="193"/>
      <c r="QPP53" s="193"/>
      <c r="QPQ53" s="193"/>
      <c r="QPR53" s="193"/>
      <c r="QPS53" s="193"/>
      <c r="QPT53" s="193"/>
      <c r="QPU53" s="193"/>
      <c r="QPV53" s="193"/>
      <c r="QPW53" s="193"/>
      <c r="QPX53" s="193"/>
      <c r="QPY53" s="193"/>
      <c r="QPZ53" s="193"/>
      <c r="QQA53" s="193"/>
      <c r="QQB53" s="193"/>
      <c r="QQC53" s="193"/>
      <c r="QQD53" s="193"/>
      <c r="QQE53" s="193"/>
      <c r="QQF53" s="193"/>
      <c r="QQG53" s="193"/>
      <c r="QQH53" s="193"/>
      <c r="QQI53" s="193"/>
      <c r="QQJ53" s="193"/>
      <c r="QQK53" s="193"/>
      <c r="QQL53" s="193"/>
      <c r="QQM53" s="193"/>
      <c r="QQN53" s="193"/>
      <c r="QQO53" s="193"/>
      <c r="QQP53" s="193"/>
      <c r="QQQ53" s="193"/>
      <c r="QQR53" s="193"/>
      <c r="QQS53" s="193"/>
      <c r="QQT53" s="193"/>
      <c r="QQU53" s="193"/>
      <c r="QQV53" s="193"/>
      <c r="QQW53" s="193"/>
      <c r="QQX53" s="193"/>
      <c r="QQY53" s="193"/>
      <c r="QQZ53" s="193"/>
      <c r="QRA53" s="193"/>
      <c r="QRB53" s="193"/>
      <c r="QRC53" s="193"/>
      <c r="QRD53" s="193"/>
      <c r="QRE53" s="193"/>
      <c r="QRF53" s="193"/>
      <c r="QRG53" s="193"/>
      <c r="QRH53" s="193"/>
      <c r="QRI53" s="193"/>
      <c r="QRJ53" s="193"/>
      <c r="QRK53" s="193"/>
      <c r="QRL53" s="193"/>
      <c r="QRM53" s="193"/>
      <c r="QRN53" s="193"/>
      <c r="QRO53" s="193"/>
      <c r="QRP53" s="193"/>
      <c r="QRQ53" s="193"/>
      <c r="QRR53" s="193"/>
      <c r="QRS53" s="193"/>
      <c r="QRT53" s="193"/>
      <c r="QRU53" s="193"/>
      <c r="QRV53" s="193"/>
      <c r="QRW53" s="193"/>
      <c r="QRX53" s="193"/>
      <c r="QRY53" s="193"/>
      <c r="QRZ53" s="193"/>
      <c r="QSA53" s="193"/>
      <c r="QSB53" s="193"/>
      <c r="QSC53" s="193"/>
      <c r="QSD53" s="193"/>
      <c r="QSE53" s="193"/>
      <c r="QSF53" s="193"/>
      <c r="QSG53" s="193"/>
      <c r="QSH53" s="193"/>
      <c r="QSI53" s="193"/>
      <c r="QSJ53" s="193"/>
      <c r="QSK53" s="193"/>
      <c r="QSL53" s="193"/>
      <c r="QSM53" s="193"/>
      <c r="QSN53" s="193"/>
      <c r="QSO53" s="193"/>
      <c r="QSP53" s="193"/>
      <c r="QSQ53" s="193"/>
      <c r="QSR53" s="193"/>
      <c r="QSS53" s="193"/>
      <c r="QST53" s="193"/>
      <c r="QSU53" s="193"/>
      <c r="QSV53" s="193"/>
      <c r="QSW53" s="193"/>
      <c r="QSX53" s="193"/>
      <c r="QSY53" s="193"/>
      <c r="QSZ53" s="193"/>
      <c r="QTA53" s="193"/>
      <c r="QTB53" s="193"/>
      <c r="QTC53" s="193"/>
      <c r="QTD53" s="193"/>
      <c r="QTE53" s="193"/>
      <c r="QTF53" s="193"/>
      <c r="QTG53" s="193"/>
      <c r="QTH53" s="193"/>
      <c r="QTI53" s="193"/>
      <c r="QTJ53" s="193"/>
      <c r="QTK53" s="193"/>
      <c r="QTL53" s="193"/>
      <c r="QTM53" s="193"/>
      <c r="QTN53" s="193"/>
      <c r="QTO53" s="193"/>
      <c r="QTP53" s="193"/>
      <c r="QTQ53" s="193"/>
      <c r="QTR53" s="193"/>
      <c r="QTS53" s="193"/>
      <c r="QTT53" s="193"/>
      <c r="QTU53" s="193"/>
      <c r="QTV53" s="193"/>
      <c r="QTW53" s="193"/>
      <c r="QTX53" s="193"/>
      <c r="QTY53" s="193"/>
      <c r="QTZ53" s="193"/>
      <c r="QUA53" s="193"/>
      <c r="QUB53" s="193"/>
      <c r="QUC53" s="193"/>
      <c r="QUD53" s="193"/>
      <c r="QUE53" s="193"/>
      <c r="QUF53" s="193"/>
      <c r="QUG53" s="193"/>
      <c r="QUH53" s="193"/>
      <c r="QUI53" s="193"/>
      <c r="QUJ53" s="193"/>
      <c r="QUK53" s="193"/>
      <c r="QUL53" s="193"/>
      <c r="QUM53" s="193"/>
      <c r="QUN53" s="193"/>
      <c r="QUO53" s="193"/>
      <c r="QUP53" s="193"/>
      <c r="QUQ53" s="193"/>
      <c r="QUR53" s="193"/>
      <c r="QUS53" s="193"/>
      <c r="QUT53" s="193"/>
      <c r="QUU53" s="193"/>
      <c r="QUV53" s="193"/>
      <c r="QUW53" s="193"/>
      <c r="QUX53" s="193"/>
      <c r="QUY53" s="193"/>
      <c r="QUZ53" s="193"/>
      <c r="QVA53" s="193"/>
      <c r="QVB53" s="193"/>
      <c r="QVC53" s="193"/>
      <c r="QVD53" s="193"/>
      <c r="QVE53" s="193"/>
      <c r="QVF53" s="193"/>
      <c r="QVG53" s="193"/>
      <c r="QVH53" s="193"/>
      <c r="QVI53" s="193"/>
      <c r="QVJ53" s="193"/>
      <c r="QVK53" s="193"/>
      <c r="QVL53" s="193"/>
      <c r="QVM53" s="193"/>
      <c r="QVN53" s="193"/>
      <c r="QVO53" s="193"/>
      <c r="QVP53" s="193"/>
      <c r="QVQ53" s="193"/>
      <c r="QVR53" s="193"/>
      <c r="QVS53" s="193"/>
      <c r="QVT53" s="193"/>
      <c r="QVU53" s="193"/>
      <c r="QVV53" s="193"/>
      <c r="QVW53" s="193"/>
      <c r="QVX53" s="193"/>
      <c r="QVY53" s="193"/>
      <c r="QVZ53" s="193"/>
      <c r="QWA53" s="193"/>
      <c r="QWB53" s="193"/>
      <c r="QWC53" s="193"/>
      <c r="QWD53" s="193"/>
      <c r="QWE53" s="193"/>
      <c r="QWF53" s="193"/>
      <c r="QWG53" s="193"/>
      <c r="QWH53" s="193"/>
      <c r="QWI53" s="193"/>
      <c r="QWJ53" s="193"/>
      <c r="QWK53" s="193"/>
      <c r="QWL53" s="193"/>
      <c r="QWM53" s="193"/>
      <c r="QWN53" s="193"/>
      <c r="QWO53" s="193"/>
      <c r="QWP53" s="193"/>
      <c r="QWQ53" s="193"/>
      <c r="QWR53" s="193"/>
      <c r="QWS53" s="193"/>
      <c r="QWT53" s="193"/>
      <c r="QWU53" s="193"/>
      <c r="QWV53" s="193"/>
      <c r="QWW53" s="193"/>
      <c r="QWX53" s="193"/>
      <c r="QWY53" s="193"/>
      <c r="QWZ53" s="193"/>
      <c r="QXA53" s="193"/>
      <c r="QXB53" s="193"/>
      <c r="QXC53" s="193"/>
      <c r="QXD53" s="193"/>
      <c r="QXE53" s="193"/>
      <c r="QXF53" s="193"/>
      <c r="QXG53" s="193"/>
      <c r="QXH53" s="193"/>
      <c r="QXI53" s="193"/>
      <c r="QXJ53" s="193"/>
      <c r="QXK53" s="193"/>
      <c r="QXL53" s="193"/>
      <c r="QXM53" s="193"/>
      <c r="QXN53" s="193"/>
      <c r="QXO53" s="193"/>
      <c r="QXP53" s="193"/>
      <c r="QXQ53" s="193"/>
      <c r="QXR53" s="193"/>
      <c r="QXS53" s="193"/>
      <c r="QXT53" s="193"/>
      <c r="QXU53" s="193"/>
      <c r="QXV53" s="193"/>
      <c r="QXW53" s="193"/>
      <c r="QXX53" s="193"/>
      <c r="QXY53" s="193"/>
      <c r="QXZ53" s="193"/>
      <c r="QYA53" s="193"/>
      <c r="QYB53" s="193"/>
      <c r="QYC53" s="193"/>
      <c r="QYD53" s="193"/>
      <c r="QYE53" s="193"/>
      <c r="QYF53" s="193"/>
      <c r="QYG53" s="193"/>
      <c r="QYH53" s="193"/>
      <c r="QYI53" s="193"/>
      <c r="QYJ53" s="193"/>
      <c r="QYK53" s="193"/>
      <c r="QYL53" s="193"/>
      <c r="QYM53" s="193"/>
      <c r="QYN53" s="193"/>
      <c r="QYO53" s="193"/>
      <c r="QYP53" s="193"/>
      <c r="QYQ53" s="193"/>
      <c r="QYR53" s="193"/>
      <c r="QYS53" s="193"/>
      <c r="QYT53" s="193"/>
      <c r="QYU53" s="193"/>
      <c r="QYV53" s="193"/>
      <c r="QYW53" s="193"/>
      <c r="QYX53" s="193"/>
      <c r="QYY53" s="193"/>
      <c r="QYZ53" s="193"/>
      <c r="QZA53" s="193"/>
      <c r="QZB53" s="193"/>
      <c r="QZC53" s="193"/>
      <c r="QZD53" s="193"/>
      <c r="QZE53" s="193"/>
      <c r="QZF53" s="193"/>
      <c r="QZG53" s="193"/>
      <c r="QZH53" s="193"/>
      <c r="QZI53" s="193"/>
      <c r="QZJ53" s="193"/>
      <c r="QZK53" s="193"/>
      <c r="QZL53" s="193"/>
      <c r="QZM53" s="193"/>
      <c r="QZN53" s="193"/>
      <c r="QZO53" s="193"/>
      <c r="QZP53" s="193"/>
      <c r="QZQ53" s="193"/>
      <c r="QZR53" s="193"/>
      <c r="QZS53" s="193"/>
      <c r="QZT53" s="193"/>
      <c r="QZU53" s="193"/>
      <c r="QZV53" s="193"/>
      <c r="QZW53" s="193"/>
      <c r="QZX53" s="193"/>
      <c r="QZY53" s="193"/>
      <c r="QZZ53" s="193"/>
      <c r="RAA53" s="193"/>
      <c r="RAB53" s="193"/>
      <c r="RAC53" s="193"/>
      <c r="RAD53" s="193"/>
      <c r="RAE53" s="193"/>
      <c r="RAF53" s="193"/>
      <c r="RAG53" s="193"/>
      <c r="RAH53" s="193"/>
      <c r="RAI53" s="193"/>
      <c r="RAJ53" s="193"/>
      <c r="RAK53" s="193"/>
      <c r="RAL53" s="193"/>
      <c r="RAM53" s="193"/>
      <c r="RAN53" s="193"/>
      <c r="RAO53" s="193"/>
      <c r="RAP53" s="193"/>
      <c r="RAQ53" s="193"/>
      <c r="RAR53" s="193"/>
      <c r="RAS53" s="193"/>
      <c r="RAT53" s="193"/>
      <c r="RAU53" s="193"/>
      <c r="RAV53" s="193"/>
      <c r="RAW53" s="193"/>
      <c r="RAX53" s="193"/>
      <c r="RAY53" s="193"/>
      <c r="RAZ53" s="193"/>
      <c r="RBA53" s="193"/>
      <c r="RBB53" s="193"/>
      <c r="RBC53" s="193"/>
      <c r="RBD53" s="193"/>
      <c r="RBE53" s="193"/>
      <c r="RBF53" s="193"/>
      <c r="RBG53" s="193"/>
      <c r="RBH53" s="193"/>
      <c r="RBI53" s="193"/>
      <c r="RBJ53" s="193"/>
      <c r="RBK53" s="193"/>
      <c r="RBL53" s="193"/>
      <c r="RBM53" s="193"/>
      <c r="RBN53" s="193"/>
      <c r="RBO53" s="193"/>
      <c r="RBP53" s="193"/>
      <c r="RBQ53" s="193"/>
      <c r="RBR53" s="193"/>
      <c r="RBS53" s="193"/>
      <c r="RBT53" s="193"/>
      <c r="RBU53" s="193"/>
      <c r="RBV53" s="193"/>
      <c r="RBW53" s="193"/>
      <c r="RBX53" s="193"/>
      <c r="RBY53" s="193"/>
      <c r="RBZ53" s="193"/>
      <c r="RCA53" s="193"/>
      <c r="RCB53" s="193"/>
      <c r="RCC53" s="193"/>
      <c r="RCD53" s="193"/>
      <c r="RCE53" s="193"/>
      <c r="RCF53" s="193"/>
      <c r="RCG53" s="193"/>
      <c r="RCH53" s="193"/>
      <c r="RCI53" s="193"/>
      <c r="RCJ53" s="193"/>
      <c r="RCK53" s="193"/>
      <c r="RCL53" s="193"/>
      <c r="RCM53" s="193"/>
      <c r="RCN53" s="193"/>
      <c r="RCO53" s="193"/>
      <c r="RCP53" s="193"/>
      <c r="RCQ53" s="193"/>
      <c r="RCR53" s="193"/>
      <c r="RCS53" s="193"/>
      <c r="RCT53" s="193"/>
      <c r="RCU53" s="193"/>
      <c r="RCV53" s="193"/>
      <c r="RCW53" s="193"/>
      <c r="RCX53" s="193"/>
      <c r="RCY53" s="193"/>
      <c r="RCZ53" s="193"/>
      <c r="RDA53" s="193"/>
      <c r="RDB53" s="193"/>
      <c r="RDC53" s="193"/>
      <c r="RDD53" s="193"/>
      <c r="RDE53" s="193"/>
      <c r="RDF53" s="193"/>
      <c r="RDG53" s="193"/>
      <c r="RDH53" s="193"/>
      <c r="RDI53" s="193"/>
      <c r="RDJ53" s="193"/>
      <c r="RDK53" s="193"/>
      <c r="RDL53" s="193"/>
      <c r="RDM53" s="193"/>
      <c r="RDN53" s="193"/>
      <c r="RDO53" s="193"/>
      <c r="RDP53" s="193"/>
      <c r="RDQ53" s="193"/>
      <c r="RDR53" s="193"/>
      <c r="RDS53" s="193"/>
      <c r="RDT53" s="193"/>
      <c r="RDU53" s="193"/>
      <c r="RDV53" s="193"/>
      <c r="RDW53" s="193"/>
      <c r="RDX53" s="193"/>
      <c r="RDY53" s="193"/>
      <c r="RDZ53" s="193"/>
      <c r="REA53" s="193"/>
      <c r="REB53" s="193"/>
      <c r="REC53" s="193"/>
      <c r="RED53" s="193"/>
      <c r="REE53" s="193"/>
      <c r="REF53" s="193"/>
      <c r="REG53" s="193"/>
      <c r="REH53" s="193"/>
      <c r="REI53" s="193"/>
      <c r="REJ53" s="193"/>
      <c r="REK53" s="193"/>
      <c r="REL53" s="193"/>
      <c r="REM53" s="193"/>
      <c r="REN53" s="193"/>
      <c r="REO53" s="193"/>
      <c r="REP53" s="193"/>
      <c r="REQ53" s="193"/>
      <c r="RER53" s="193"/>
      <c r="RES53" s="193"/>
      <c r="RET53" s="193"/>
      <c r="REU53" s="193"/>
      <c r="REV53" s="193"/>
      <c r="REW53" s="193"/>
      <c r="REX53" s="193"/>
      <c r="REY53" s="193"/>
      <c r="REZ53" s="193"/>
      <c r="RFA53" s="193"/>
      <c r="RFB53" s="193"/>
      <c r="RFC53" s="193"/>
      <c r="RFD53" s="193"/>
      <c r="RFE53" s="193"/>
      <c r="RFF53" s="193"/>
      <c r="RFG53" s="193"/>
      <c r="RFH53" s="193"/>
      <c r="RFI53" s="193"/>
      <c r="RFJ53" s="193"/>
      <c r="RFK53" s="193"/>
      <c r="RFL53" s="193"/>
      <c r="RFM53" s="193"/>
      <c r="RFN53" s="193"/>
      <c r="RFO53" s="193"/>
      <c r="RFP53" s="193"/>
      <c r="RFQ53" s="193"/>
      <c r="RFR53" s="193"/>
      <c r="RFS53" s="193"/>
      <c r="RFT53" s="193"/>
      <c r="RFU53" s="193"/>
      <c r="RFV53" s="193"/>
      <c r="RFW53" s="193"/>
      <c r="RFX53" s="193"/>
      <c r="RFY53" s="193"/>
      <c r="RFZ53" s="193"/>
      <c r="RGA53" s="193"/>
      <c r="RGB53" s="193"/>
      <c r="RGC53" s="193"/>
      <c r="RGD53" s="193"/>
      <c r="RGE53" s="193"/>
      <c r="RGF53" s="193"/>
      <c r="RGG53" s="193"/>
      <c r="RGH53" s="193"/>
      <c r="RGI53" s="193"/>
      <c r="RGJ53" s="193"/>
      <c r="RGK53" s="193"/>
      <c r="RGL53" s="193"/>
      <c r="RGM53" s="193"/>
      <c r="RGN53" s="193"/>
      <c r="RGO53" s="193"/>
      <c r="RGP53" s="193"/>
      <c r="RGQ53" s="193"/>
      <c r="RGR53" s="193"/>
      <c r="RGS53" s="193"/>
      <c r="RGT53" s="193"/>
      <c r="RGU53" s="193"/>
      <c r="RGV53" s="193"/>
      <c r="RGW53" s="193"/>
      <c r="RGX53" s="193"/>
      <c r="RGY53" s="193"/>
      <c r="RGZ53" s="193"/>
      <c r="RHA53" s="193"/>
      <c r="RHB53" s="193"/>
      <c r="RHC53" s="193"/>
      <c r="RHD53" s="193"/>
      <c r="RHE53" s="193"/>
      <c r="RHF53" s="193"/>
      <c r="RHG53" s="193"/>
      <c r="RHH53" s="193"/>
      <c r="RHI53" s="193"/>
      <c r="RHJ53" s="193"/>
      <c r="RHK53" s="193"/>
      <c r="RHL53" s="193"/>
      <c r="RHM53" s="193"/>
      <c r="RHN53" s="193"/>
      <c r="RHO53" s="193"/>
      <c r="RHP53" s="193"/>
      <c r="RHQ53" s="193"/>
      <c r="RHR53" s="193"/>
      <c r="RHS53" s="193"/>
      <c r="RHT53" s="193"/>
      <c r="RHU53" s="193"/>
      <c r="RHV53" s="193"/>
      <c r="RHW53" s="193"/>
      <c r="RHX53" s="193"/>
      <c r="RHY53" s="193"/>
      <c r="RHZ53" s="193"/>
      <c r="RIA53" s="193"/>
      <c r="RIB53" s="193"/>
      <c r="RIC53" s="193"/>
      <c r="RID53" s="193"/>
      <c r="RIE53" s="193"/>
      <c r="RIF53" s="193"/>
      <c r="RIG53" s="193"/>
      <c r="RIH53" s="193"/>
      <c r="RII53" s="193"/>
      <c r="RIJ53" s="193"/>
      <c r="RIK53" s="193"/>
      <c r="RIL53" s="193"/>
      <c r="RIM53" s="193"/>
      <c r="RIN53" s="193"/>
      <c r="RIO53" s="193"/>
      <c r="RIP53" s="193"/>
      <c r="RIQ53" s="193"/>
      <c r="RIR53" s="193"/>
      <c r="RIS53" s="193"/>
      <c r="RIT53" s="193"/>
      <c r="RIU53" s="193"/>
      <c r="RIV53" s="193"/>
      <c r="RIW53" s="193"/>
      <c r="RIX53" s="193"/>
      <c r="RIY53" s="193"/>
      <c r="RIZ53" s="193"/>
      <c r="RJA53" s="193"/>
      <c r="RJB53" s="193"/>
      <c r="RJC53" s="193"/>
      <c r="RJD53" s="193"/>
      <c r="RJE53" s="193"/>
      <c r="RJF53" s="193"/>
      <c r="RJG53" s="193"/>
      <c r="RJH53" s="193"/>
      <c r="RJI53" s="193"/>
      <c r="RJJ53" s="193"/>
      <c r="RJK53" s="193"/>
      <c r="RJL53" s="193"/>
      <c r="RJM53" s="193"/>
      <c r="RJN53" s="193"/>
      <c r="RJO53" s="193"/>
      <c r="RJP53" s="193"/>
      <c r="RJQ53" s="193"/>
      <c r="RJR53" s="193"/>
      <c r="RJS53" s="193"/>
      <c r="RJT53" s="193"/>
      <c r="RJU53" s="193"/>
      <c r="RJV53" s="193"/>
      <c r="RJW53" s="193"/>
      <c r="RJX53" s="193"/>
      <c r="RJY53" s="193"/>
      <c r="RJZ53" s="193"/>
      <c r="RKA53" s="193"/>
      <c r="RKB53" s="193"/>
      <c r="RKC53" s="193"/>
      <c r="RKD53" s="193"/>
      <c r="RKE53" s="193"/>
      <c r="RKF53" s="193"/>
      <c r="RKG53" s="193"/>
      <c r="RKH53" s="193"/>
      <c r="RKI53" s="193"/>
      <c r="RKJ53" s="193"/>
      <c r="RKK53" s="193"/>
      <c r="RKL53" s="193"/>
      <c r="RKM53" s="193"/>
      <c r="RKN53" s="193"/>
      <c r="RKO53" s="193"/>
      <c r="RKP53" s="193"/>
      <c r="RKQ53" s="193"/>
      <c r="RKR53" s="193"/>
      <c r="RKS53" s="193"/>
      <c r="RKT53" s="193"/>
      <c r="RKU53" s="193"/>
      <c r="RKV53" s="193"/>
      <c r="RKW53" s="193"/>
      <c r="RKX53" s="193"/>
      <c r="RKY53" s="193"/>
      <c r="RKZ53" s="193"/>
      <c r="RLA53" s="193"/>
      <c r="RLB53" s="193"/>
      <c r="RLC53" s="193"/>
      <c r="RLD53" s="193"/>
      <c r="RLE53" s="193"/>
      <c r="RLF53" s="193"/>
      <c r="RLG53" s="193"/>
      <c r="RLH53" s="193"/>
      <c r="RLI53" s="193"/>
      <c r="RLJ53" s="193"/>
      <c r="RLK53" s="193"/>
      <c r="RLL53" s="193"/>
      <c r="RLM53" s="193"/>
      <c r="RLN53" s="193"/>
      <c r="RLO53" s="193"/>
      <c r="RLP53" s="193"/>
      <c r="RLQ53" s="193"/>
      <c r="RLR53" s="193"/>
      <c r="RLS53" s="193"/>
      <c r="RLT53" s="193"/>
      <c r="RLU53" s="193"/>
      <c r="RLV53" s="193"/>
      <c r="RLW53" s="193"/>
      <c r="RLX53" s="193"/>
      <c r="RLY53" s="193"/>
      <c r="RLZ53" s="193"/>
      <c r="RMA53" s="193"/>
      <c r="RMB53" s="193"/>
      <c r="RMC53" s="193"/>
      <c r="RMD53" s="193"/>
      <c r="RME53" s="193"/>
      <c r="RMF53" s="193"/>
      <c r="RMG53" s="193"/>
      <c r="RMH53" s="193"/>
      <c r="RMI53" s="193"/>
      <c r="RMJ53" s="193"/>
      <c r="RMK53" s="193"/>
      <c r="RML53" s="193"/>
      <c r="RMM53" s="193"/>
      <c r="RMN53" s="193"/>
      <c r="RMO53" s="193"/>
      <c r="RMP53" s="193"/>
      <c r="RMQ53" s="193"/>
      <c r="RMR53" s="193"/>
      <c r="RMS53" s="193"/>
      <c r="RMT53" s="193"/>
      <c r="RMU53" s="193"/>
      <c r="RMV53" s="193"/>
      <c r="RMW53" s="193"/>
      <c r="RMX53" s="193"/>
      <c r="RMY53" s="193"/>
      <c r="RMZ53" s="193"/>
      <c r="RNA53" s="193"/>
      <c r="RNB53" s="193"/>
      <c r="RNC53" s="193"/>
      <c r="RND53" s="193"/>
      <c r="RNE53" s="193"/>
      <c r="RNF53" s="193"/>
      <c r="RNG53" s="193"/>
      <c r="RNH53" s="193"/>
      <c r="RNI53" s="193"/>
      <c r="RNJ53" s="193"/>
      <c r="RNK53" s="193"/>
      <c r="RNL53" s="193"/>
      <c r="RNM53" s="193"/>
      <c r="RNN53" s="193"/>
      <c r="RNO53" s="193"/>
      <c r="RNP53" s="193"/>
      <c r="RNQ53" s="193"/>
      <c r="RNR53" s="193"/>
      <c r="RNS53" s="193"/>
      <c r="RNT53" s="193"/>
      <c r="RNU53" s="193"/>
      <c r="RNV53" s="193"/>
      <c r="RNW53" s="193"/>
      <c r="RNX53" s="193"/>
      <c r="RNY53" s="193"/>
      <c r="RNZ53" s="193"/>
      <c r="ROA53" s="193"/>
      <c r="ROB53" s="193"/>
      <c r="ROC53" s="193"/>
      <c r="ROD53" s="193"/>
      <c r="ROE53" s="193"/>
      <c r="ROF53" s="193"/>
      <c r="ROG53" s="193"/>
      <c r="ROH53" s="193"/>
      <c r="ROI53" s="193"/>
      <c r="ROJ53" s="193"/>
      <c r="ROK53" s="193"/>
      <c r="ROL53" s="193"/>
      <c r="ROM53" s="193"/>
      <c r="RON53" s="193"/>
      <c r="ROO53" s="193"/>
      <c r="ROP53" s="193"/>
      <c r="ROQ53" s="193"/>
      <c r="ROR53" s="193"/>
      <c r="ROS53" s="193"/>
      <c r="ROT53" s="193"/>
      <c r="ROU53" s="193"/>
      <c r="ROV53" s="193"/>
      <c r="ROW53" s="193"/>
      <c r="ROX53" s="193"/>
      <c r="ROY53" s="193"/>
      <c r="ROZ53" s="193"/>
      <c r="RPA53" s="193"/>
      <c r="RPB53" s="193"/>
      <c r="RPC53" s="193"/>
      <c r="RPD53" s="193"/>
      <c r="RPE53" s="193"/>
      <c r="RPF53" s="193"/>
      <c r="RPG53" s="193"/>
      <c r="RPH53" s="193"/>
      <c r="RPI53" s="193"/>
      <c r="RPJ53" s="193"/>
      <c r="RPK53" s="193"/>
      <c r="RPL53" s="193"/>
      <c r="RPM53" s="193"/>
      <c r="RPN53" s="193"/>
      <c r="RPO53" s="193"/>
      <c r="RPP53" s="193"/>
      <c r="RPQ53" s="193"/>
      <c r="RPR53" s="193"/>
      <c r="RPS53" s="193"/>
      <c r="RPT53" s="193"/>
      <c r="RPU53" s="193"/>
      <c r="RPV53" s="193"/>
      <c r="RPW53" s="193"/>
      <c r="RPX53" s="193"/>
      <c r="RPY53" s="193"/>
      <c r="RPZ53" s="193"/>
      <c r="RQA53" s="193"/>
      <c r="RQB53" s="193"/>
      <c r="RQC53" s="193"/>
      <c r="RQD53" s="193"/>
      <c r="RQE53" s="193"/>
      <c r="RQF53" s="193"/>
      <c r="RQG53" s="193"/>
      <c r="RQH53" s="193"/>
      <c r="RQI53" s="193"/>
      <c r="RQJ53" s="193"/>
      <c r="RQK53" s="193"/>
      <c r="RQL53" s="193"/>
      <c r="RQM53" s="193"/>
      <c r="RQN53" s="193"/>
      <c r="RQO53" s="193"/>
      <c r="RQP53" s="193"/>
      <c r="RQQ53" s="193"/>
      <c r="RQR53" s="193"/>
      <c r="RQS53" s="193"/>
      <c r="RQT53" s="193"/>
      <c r="RQU53" s="193"/>
      <c r="RQV53" s="193"/>
      <c r="RQW53" s="193"/>
      <c r="RQX53" s="193"/>
      <c r="RQY53" s="193"/>
      <c r="RQZ53" s="193"/>
      <c r="RRA53" s="193"/>
      <c r="RRB53" s="193"/>
      <c r="RRC53" s="193"/>
      <c r="RRD53" s="193"/>
      <c r="RRE53" s="193"/>
      <c r="RRF53" s="193"/>
      <c r="RRG53" s="193"/>
      <c r="RRH53" s="193"/>
      <c r="RRI53" s="193"/>
      <c r="RRJ53" s="193"/>
      <c r="RRK53" s="193"/>
      <c r="RRL53" s="193"/>
      <c r="RRM53" s="193"/>
      <c r="RRN53" s="193"/>
      <c r="RRO53" s="193"/>
      <c r="RRP53" s="193"/>
      <c r="RRQ53" s="193"/>
      <c r="RRR53" s="193"/>
      <c r="RRS53" s="193"/>
      <c r="RRT53" s="193"/>
      <c r="RRU53" s="193"/>
      <c r="RRV53" s="193"/>
      <c r="RRW53" s="193"/>
      <c r="RRX53" s="193"/>
      <c r="RRY53" s="193"/>
      <c r="RRZ53" s="193"/>
      <c r="RSA53" s="193"/>
      <c r="RSB53" s="193"/>
      <c r="RSC53" s="193"/>
      <c r="RSD53" s="193"/>
      <c r="RSE53" s="193"/>
      <c r="RSF53" s="193"/>
      <c r="RSG53" s="193"/>
      <c r="RSH53" s="193"/>
      <c r="RSI53" s="193"/>
      <c r="RSJ53" s="193"/>
      <c r="RSK53" s="193"/>
      <c r="RSL53" s="193"/>
      <c r="RSM53" s="193"/>
      <c r="RSN53" s="193"/>
      <c r="RSO53" s="193"/>
      <c r="RSP53" s="193"/>
      <c r="RSQ53" s="193"/>
      <c r="RSR53" s="193"/>
      <c r="RSS53" s="193"/>
      <c r="RST53" s="193"/>
      <c r="RSU53" s="193"/>
      <c r="RSV53" s="193"/>
      <c r="RSW53" s="193"/>
      <c r="RSX53" s="193"/>
      <c r="RSY53" s="193"/>
      <c r="RSZ53" s="193"/>
      <c r="RTA53" s="193"/>
      <c r="RTB53" s="193"/>
      <c r="RTC53" s="193"/>
      <c r="RTD53" s="193"/>
      <c r="RTE53" s="193"/>
      <c r="RTF53" s="193"/>
      <c r="RTG53" s="193"/>
      <c r="RTH53" s="193"/>
      <c r="RTI53" s="193"/>
      <c r="RTJ53" s="193"/>
      <c r="RTK53" s="193"/>
      <c r="RTL53" s="193"/>
      <c r="RTM53" s="193"/>
      <c r="RTN53" s="193"/>
      <c r="RTO53" s="193"/>
      <c r="RTP53" s="193"/>
      <c r="RTQ53" s="193"/>
      <c r="RTR53" s="193"/>
      <c r="RTS53" s="193"/>
      <c r="RTT53" s="193"/>
      <c r="RTU53" s="193"/>
      <c r="RTV53" s="193"/>
      <c r="RTW53" s="193"/>
      <c r="RTX53" s="193"/>
      <c r="RTY53" s="193"/>
      <c r="RTZ53" s="193"/>
      <c r="RUA53" s="193"/>
      <c r="RUB53" s="193"/>
      <c r="RUC53" s="193"/>
      <c r="RUD53" s="193"/>
      <c r="RUE53" s="193"/>
      <c r="RUF53" s="193"/>
      <c r="RUG53" s="193"/>
      <c r="RUH53" s="193"/>
      <c r="RUI53" s="193"/>
      <c r="RUJ53" s="193"/>
      <c r="RUK53" s="193"/>
      <c r="RUL53" s="193"/>
      <c r="RUM53" s="193"/>
      <c r="RUN53" s="193"/>
      <c r="RUO53" s="193"/>
      <c r="RUP53" s="193"/>
      <c r="RUQ53" s="193"/>
      <c r="RUR53" s="193"/>
      <c r="RUS53" s="193"/>
      <c r="RUT53" s="193"/>
      <c r="RUU53" s="193"/>
      <c r="RUV53" s="193"/>
      <c r="RUW53" s="193"/>
      <c r="RUX53" s="193"/>
      <c r="RUY53" s="193"/>
      <c r="RUZ53" s="193"/>
      <c r="RVA53" s="193"/>
      <c r="RVB53" s="193"/>
      <c r="RVC53" s="193"/>
      <c r="RVD53" s="193"/>
      <c r="RVE53" s="193"/>
      <c r="RVF53" s="193"/>
      <c r="RVG53" s="193"/>
      <c r="RVH53" s="193"/>
      <c r="RVI53" s="193"/>
      <c r="RVJ53" s="193"/>
      <c r="RVK53" s="193"/>
      <c r="RVL53" s="193"/>
      <c r="RVM53" s="193"/>
      <c r="RVN53" s="193"/>
      <c r="RVO53" s="193"/>
      <c r="RVP53" s="193"/>
      <c r="RVQ53" s="193"/>
      <c r="RVR53" s="193"/>
      <c r="RVS53" s="193"/>
      <c r="RVT53" s="193"/>
      <c r="RVU53" s="193"/>
      <c r="RVV53" s="193"/>
      <c r="RVW53" s="193"/>
      <c r="RVX53" s="193"/>
      <c r="RVY53" s="193"/>
      <c r="RVZ53" s="193"/>
      <c r="RWA53" s="193"/>
      <c r="RWB53" s="193"/>
      <c r="RWC53" s="193"/>
      <c r="RWD53" s="193"/>
      <c r="RWE53" s="193"/>
      <c r="RWF53" s="193"/>
      <c r="RWG53" s="193"/>
      <c r="RWH53" s="193"/>
      <c r="RWI53" s="193"/>
      <c r="RWJ53" s="193"/>
      <c r="RWK53" s="193"/>
      <c r="RWL53" s="193"/>
      <c r="RWM53" s="193"/>
      <c r="RWN53" s="193"/>
      <c r="RWO53" s="193"/>
      <c r="RWP53" s="193"/>
      <c r="RWQ53" s="193"/>
      <c r="RWR53" s="193"/>
      <c r="RWS53" s="193"/>
      <c r="RWT53" s="193"/>
      <c r="RWU53" s="193"/>
      <c r="RWV53" s="193"/>
      <c r="RWW53" s="193"/>
      <c r="RWX53" s="193"/>
      <c r="RWY53" s="193"/>
      <c r="RWZ53" s="193"/>
      <c r="RXA53" s="193"/>
      <c r="RXB53" s="193"/>
      <c r="RXC53" s="193"/>
      <c r="RXD53" s="193"/>
      <c r="RXE53" s="193"/>
      <c r="RXF53" s="193"/>
      <c r="RXG53" s="193"/>
      <c r="RXH53" s="193"/>
      <c r="RXI53" s="193"/>
      <c r="RXJ53" s="193"/>
      <c r="RXK53" s="193"/>
      <c r="RXL53" s="193"/>
      <c r="RXM53" s="193"/>
      <c r="RXN53" s="193"/>
      <c r="RXO53" s="193"/>
      <c r="RXP53" s="193"/>
      <c r="RXQ53" s="193"/>
      <c r="RXR53" s="193"/>
      <c r="RXS53" s="193"/>
      <c r="RXT53" s="193"/>
      <c r="RXU53" s="193"/>
      <c r="RXV53" s="193"/>
      <c r="RXW53" s="193"/>
      <c r="RXX53" s="193"/>
      <c r="RXY53" s="193"/>
      <c r="RXZ53" s="193"/>
      <c r="RYA53" s="193"/>
      <c r="RYB53" s="193"/>
      <c r="RYC53" s="193"/>
      <c r="RYD53" s="193"/>
      <c r="RYE53" s="193"/>
      <c r="RYF53" s="193"/>
      <c r="RYG53" s="193"/>
      <c r="RYH53" s="193"/>
      <c r="RYI53" s="193"/>
      <c r="RYJ53" s="193"/>
      <c r="RYK53" s="193"/>
      <c r="RYL53" s="193"/>
      <c r="RYM53" s="193"/>
      <c r="RYN53" s="193"/>
      <c r="RYO53" s="193"/>
      <c r="RYP53" s="193"/>
      <c r="RYQ53" s="193"/>
      <c r="RYR53" s="193"/>
      <c r="RYS53" s="193"/>
      <c r="RYT53" s="193"/>
      <c r="RYU53" s="193"/>
      <c r="RYV53" s="193"/>
      <c r="RYW53" s="193"/>
      <c r="RYX53" s="193"/>
      <c r="RYY53" s="193"/>
      <c r="RYZ53" s="193"/>
      <c r="RZA53" s="193"/>
      <c r="RZB53" s="193"/>
      <c r="RZC53" s="193"/>
      <c r="RZD53" s="193"/>
      <c r="RZE53" s="193"/>
      <c r="RZF53" s="193"/>
      <c r="RZG53" s="193"/>
      <c r="RZH53" s="193"/>
      <c r="RZI53" s="193"/>
      <c r="RZJ53" s="193"/>
      <c r="RZK53" s="193"/>
      <c r="RZL53" s="193"/>
      <c r="RZM53" s="193"/>
      <c r="RZN53" s="193"/>
      <c r="RZO53" s="193"/>
      <c r="RZP53" s="193"/>
      <c r="RZQ53" s="193"/>
      <c r="RZR53" s="193"/>
      <c r="RZS53" s="193"/>
      <c r="RZT53" s="193"/>
      <c r="RZU53" s="193"/>
      <c r="RZV53" s="193"/>
      <c r="RZW53" s="193"/>
      <c r="RZX53" s="193"/>
      <c r="RZY53" s="193"/>
      <c r="RZZ53" s="193"/>
      <c r="SAA53" s="193"/>
      <c r="SAB53" s="193"/>
      <c r="SAC53" s="193"/>
      <c r="SAD53" s="193"/>
      <c r="SAE53" s="193"/>
      <c r="SAF53" s="193"/>
      <c r="SAG53" s="193"/>
      <c r="SAH53" s="193"/>
      <c r="SAI53" s="193"/>
      <c r="SAJ53" s="193"/>
      <c r="SAK53" s="193"/>
      <c r="SAL53" s="193"/>
      <c r="SAM53" s="193"/>
      <c r="SAN53" s="193"/>
      <c r="SAO53" s="193"/>
      <c r="SAP53" s="193"/>
      <c r="SAQ53" s="193"/>
      <c r="SAR53" s="193"/>
      <c r="SAS53" s="193"/>
      <c r="SAT53" s="193"/>
      <c r="SAU53" s="193"/>
      <c r="SAV53" s="193"/>
      <c r="SAW53" s="193"/>
      <c r="SAX53" s="193"/>
      <c r="SAY53" s="193"/>
      <c r="SAZ53" s="193"/>
      <c r="SBA53" s="193"/>
      <c r="SBB53" s="193"/>
      <c r="SBC53" s="193"/>
      <c r="SBD53" s="193"/>
      <c r="SBE53" s="193"/>
      <c r="SBF53" s="193"/>
      <c r="SBG53" s="193"/>
      <c r="SBH53" s="193"/>
      <c r="SBI53" s="193"/>
      <c r="SBJ53" s="193"/>
      <c r="SBK53" s="193"/>
      <c r="SBL53" s="193"/>
      <c r="SBM53" s="193"/>
      <c r="SBN53" s="193"/>
      <c r="SBO53" s="193"/>
      <c r="SBP53" s="193"/>
      <c r="SBQ53" s="193"/>
      <c r="SBR53" s="193"/>
      <c r="SBS53" s="193"/>
      <c r="SBT53" s="193"/>
      <c r="SBU53" s="193"/>
      <c r="SBV53" s="193"/>
      <c r="SBW53" s="193"/>
      <c r="SBX53" s="193"/>
      <c r="SBY53" s="193"/>
      <c r="SBZ53" s="193"/>
      <c r="SCA53" s="193"/>
      <c r="SCB53" s="193"/>
      <c r="SCC53" s="193"/>
      <c r="SCD53" s="193"/>
      <c r="SCE53" s="193"/>
      <c r="SCF53" s="193"/>
      <c r="SCG53" s="193"/>
      <c r="SCH53" s="193"/>
      <c r="SCI53" s="193"/>
      <c r="SCJ53" s="193"/>
      <c r="SCK53" s="193"/>
      <c r="SCL53" s="193"/>
      <c r="SCM53" s="193"/>
      <c r="SCN53" s="193"/>
      <c r="SCO53" s="193"/>
      <c r="SCP53" s="193"/>
      <c r="SCQ53" s="193"/>
      <c r="SCR53" s="193"/>
      <c r="SCS53" s="193"/>
      <c r="SCT53" s="193"/>
      <c r="SCU53" s="193"/>
      <c r="SCV53" s="193"/>
      <c r="SCW53" s="193"/>
      <c r="SCX53" s="193"/>
      <c r="SCY53" s="193"/>
      <c r="SCZ53" s="193"/>
      <c r="SDA53" s="193"/>
      <c r="SDB53" s="193"/>
      <c r="SDC53" s="193"/>
      <c r="SDD53" s="193"/>
      <c r="SDE53" s="193"/>
      <c r="SDF53" s="193"/>
      <c r="SDG53" s="193"/>
      <c r="SDH53" s="193"/>
      <c r="SDI53" s="193"/>
      <c r="SDJ53" s="193"/>
      <c r="SDK53" s="193"/>
      <c r="SDL53" s="193"/>
      <c r="SDM53" s="193"/>
      <c r="SDN53" s="193"/>
      <c r="SDO53" s="193"/>
      <c r="SDP53" s="193"/>
      <c r="SDQ53" s="193"/>
      <c r="SDR53" s="193"/>
      <c r="SDS53" s="193"/>
      <c r="SDT53" s="193"/>
      <c r="SDU53" s="193"/>
      <c r="SDV53" s="193"/>
      <c r="SDW53" s="193"/>
      <c r="SDX53" s="193"/>
      <c r="SDY53" s="193"/>
      <c r="SDZ53" s="193"/>
      <c r="SEA53" s="193"/>
      <c r="SEB53" s="193"/>
      <c r="SEC53" s="193"/>
      <c r="SED53" s="193"/>
      <c r="SEE53" s="193"/>
      <c r="SEF53" s="193"/>
      <c r="SEG53" s="193"/>
      <c r="SEH53" s="193"/>
      <c r="SEI53" s="193"/>
      <c r="SEJ53" s="193"/>
      <c r="SEK53" s="193"/>
      <c r="SEL53" s="193"/>
      <c r="SEM53" s="193"/>
      <c r="SEN53" s="193"/>
      <c r="SEO53" s="193"/>
      <c r="SEP53" s="193"/>
      <c r="SEQ53" s="193"/>
      <c r="SER53" s="193"/>
      <c r="SES53" s="193"/>
      <c r="SET53" s="193"/>
      <c r="SEU53" s="193"/>
      <c r="SEV53" s="193"/>
      <c r="SEW53" s="193"/>
      <c r="SEX53" s="193"/>
      <c r="SEY53" s="193"/>
      <c r="SEZ53" s="193"/>
      <c r="SFA53" s="193"/>
      <c r="SFB53" s="193"/>
      <c r="SFC53" s="193"/>
      <c r="SFD53" s="193"/>
      <c r="SFE53" s="193"/>
      <c r="SFF53" s="193"/>
      <c r="SFG53" s="193"/>
      <c r="SFH53" s="193"/>
      <c r="SFI53" s="193"/>
      <c r="SFJ53" s="193"/>
      <c r="SFK53" s="193"/>
      <c r="SFL53" s="193"/>
      <c r="SFM53" s="193"/>
      <c r="SFN53" s="193"/>
      <c r="SFO53" s="193"/>
      <c r="SFP53" s="193"/>
      <c r="SFQ53" s="193"/>
      <c r="SFR53" s="193"/>
      <c r="SFS53" s="193"/>
      <c r="SFT53" s="193"/>
      <c r="SFU53" s="193"/>
      <c r="SFV53" s="193"/>
      <c r="SFW53" s="193"/>
      <c r="SFX53" s="193"/>
      <c r="SFY53" s="193"/>
      <c r="SFZ53" s="193"/>
      <c r="SGA53" s="193"/>
      <c r="SGB53" s="193"/>
      <c r="SGC53" s="193"/>
      <c r="SGD53" s="193"/>
      <c r="SGE53" s="193"/>
      <c r="SGF53" s="193"/>
      <c r="SGG53" s="193"/>
      <c r="SGH53" s="193"/>
      <c r="SGI53" s="193"/>
      <c r="SGJ53" s="193"/>
      <c r="SGK53" s="193"/>
      <c r="SGL53" s="193"/>
      <c r="SGM53" s="193"/>
      <c r="SGN53" s="193"/>
      <c r="SGO53" s="193"/>
      <c r="SGP53" s="193"/>
      <c r="SGQ53" s="193"/>
      <c r="SGR53" s="193"/>
      <c r="SGS53" s="193"/>
      <c r="SGT53" s="193"/>
      <c r="SGU53" s="193"/>
      <c r="SGV53" s="193"/>
      <c r="SGW53" s="193"/>
      <c r="SGX53" s="193"/>
      <c r="SGY53" s="193"/>
      <c r="SGZ53" s="193"/>
      <c r="SHA53" s="193"/>
      <c r="SHB53" s="193"/>
      <c r="SHC53" s="193"/>
      <c r="SHD53" s="193"/>
      <c r="SHE53" s="193"/>
      <c r="SHF53" s="193"/>
      <c r="SHG53" s="193"/>
      <c r="SHH53" s="193"/>
      <c r="SHI53" s="193"/>
      <c r="SHJ53" s="193"/>
      <c r="SHK53" s="193"/>
      <c r="SHL53" s="193"/>
      <c r="SHM53" s="193"/>
      <c r="SHN53" s="193"/>
      <c r="SHO53" s="193"/>
      <c r="SHP53" s="193"/>
      <c r="SHQ53" s="193"/>
      <c r="SHR53" s="193"/>
      <c r="SHS53" s="193"/>
      <c r="SHT53" s="193"/>
      <c r="SHU53" s="193"/>
      <c r="SHV53" s="193"/>
      <c r="SHW53" s="193"/>
      <c r="SHX53" s="193"/>
      <c r="SHY53" s="193"/>
      <c r="SHZ53" s="193"/>
      <c r="SIA53" s="193"/>
      <c r="SIB53" s="193"/>
      <c r="SIC53" s="193"/>
      <c r="SID53" s="193"/>
      <c r="SIE53" s="193"/>
      <c r="SIF53" s="193"/>
      <c r="SIG53" s="193"/>
      <c r="SIH53" s="193"/>
      <c r="SII53" s="193"/>
      <c r="SIJ53" s="193"/>
      <c r="SIK53" s="193"/>
      <c r="SIL53" s="193"/>
      <c r="SIM53" s="193"/>
      <c r="SIN53" s="193"/>
      <c r="SIO53" s="193"/>
      <c r="SIP53" s="193"/>
      <c r="SIQ53" s="193"/>
      <c r="SIR53" s="193"/>
      <c r="SIS53" s="193"/>
      <c r="SIT53" s="193"/>
      <c r="SIU53" s="193"/>
      <c r="SIV53" s="193"/>
      <c r="SIW53" s="193"/>
      <c r="SIX53" s="193"/>
      <c r="SIY53" s="193"/>
      <c r="SIZ53" s="193"/>
      <c r="SJA53" s="193"/>
      <c r="SJB53" s="193"/>
      <c r="SJC53" s="193"/>
      <c r="SJD53" s="193"/>
      <c r="SJE53" s="193"/>
      <c r="SJF53" s="193"/>
      <c r="SJG53" s="193"/>
      <c r="SJH53" s="193"/>
      <c r="SJI53" s="193"/>
      <c r="SJJ53" s="193"/>
      <c r="SJK53" s="193"/>
      <c r="SJL53" s="193"/>
      <c r="SJM53" s="193"/>
      <c r="SJN53" s="193"/>
      <c r="SJO53" s="193"/>
      <c r="SJP53" s="193"/>
      <c r="SJQ53" s="193"/>
      <c r="SJR53" s="193"/>
      <c r="SJS53" s="193"/>
      <c r="SJT53" s="193"/>
      <c r="SJU53" s="193"/>
      <c r="SJV53" s="193"/>
      <c r="SJW53" s="193"/>
      <c r="SJX53" s="193"/>
      <c r="SJY53" s="193"/>
      <c r="SJZ53" s="193"/>
      <c r="SKA53" s="193"/>
      <c r="SKB53" s="193"/>
      <c r="SKC53" s="193"/>
      <c r="SKD53" s="193"/>
      <c r="SKE53" s="193"/>
      <c r="SKF53" s="193"/>
      <c r="SKG53" s="193"/>
      <c r="SKH53" s="193"/>
      <c r="SKI53" s="193"/>
      <c r="SKJ53" s="193"/>
      <c r="SKK53" s="193"/>
      <c r="SKL53" s="193"/>
      <c r="SKM53" s="193"/>
      <c r="SKN53" s="193"/>
      <c r="SKO53" s="193"/>
      <c r="SKP53" s="193"/>
      <c r="SKQ53" s="193"/>
      <c r="SKR53" s="193"/>
      <c r="SKS53" s="193"/>
      <c r="SKT53" s="193"/>
      <c r="SKU53" s="193"/>
      <c r="SKV53" s="193"/>
      <c r="SKW53" s="193"/>
      <c r="SKX53" s="193"/>
      <c r="SKY53" s="193"/>
      <c r="SKZ53" s="193"/>
      <c r="SLA53" s="193"/>
      <c r="SLB53" s="193"/>
      <c r="SLC53" s="193"/>
      <c r="SLD53" s="193"/>
      <c r="SLE53" s="193"/>
      <c r="SLF53" s="193"/>
      <c r="SLG53" s="193"/>
      <c r="SLH53" s="193"/>
      <c r="SLI53" s="193"/>
      <c r="SLJ53" s="193"/>
      <c r="SLK53" s="193"/>
      <c r="SLL53" s="193"/>
      <c r="SLM53" s="193"/>
      <c r="SLN53" s="193"/>
      <c r="SLO53" s="193"/>
      <c r="SLP53" s="193"/>
      <c r="SLQ53" s="193"/>
      <c r="SLR53" s="193"/>
      <c r="SLS53" s="193"/>
      <c r="SLT53" s="193"/>
      <c r="SLU53" s="193"/>
      <c r="SLV53" s="193"/>
      <c r="SLW53" s="193"/>
      <c r="SLX53" s="193"/>
      <c r="SLY53" s="193"/>
      <c r="SLZ53" s="193"/>
      <c r="SMA53" s="193"/>
      <c r="SMB53" s="193"/>
      <c r="SMC53" s="193"/>
      <c r="SMD53" s="193"/>
      <c r="SME53" s="193"/>
      <c r="SMF53" s="193"/>
      <c r="SMG53" s="193"/>
      <c r="SMH53" s="193"/>
      <c r="SMI53" s="193"/>
      <c r="SMJ53" s="193"/>
      <c r="SMK53" s="193"/>
      <c r="SML53" s="193"/>
      <c r="SMM53" s="193"/>
      <c r="SMN53" s="193"/>
      <c r="SMO53" s="193"/>
      <c r="SMP53" s="193"/>
      <c r="SMQ53" s="193"/>
      <c r="SMR53" s="193"/>
      <c r="SMS53" s="193"/>
      <c r="SMT53" s="193"/>
      <c r="SMU53" s="193"/>
      <c r="SMV53" s="193"/>
      <c r="SMW53" s="193"/>
      <c r="SMX53" s="193"/>
      <c r="SMY53" s="193"/>
      <c r="SMZ53" s="193"/>
      <c r="SNA53" s="193"/>
      <c r="SNB53" s="193"/>
      <c r="SNC53" s="193"/>
      <c r="SND53" s="193"/>
      <c r="SNE53" s="193"/>
      <c r="SNF53" s="193"/>
      <c r="SNG53" s="193"/>
      <c r="SNH53" s="193"/>
      <c r="SNI53" s="193"/>
      <c r="SNJ53" s="193"/>
      <c r="SNK53" s="193"/>
      <c r="SNL53" s="193"/>
      <c r="SNM53" s="193"/>
      <c r="SNN53" s="193"/>
      <c r="SNO53" s="193"/>
      <c r="SNP53" s="193"/>
      <c r="SNQ53" s="193"/>
      <c r="SNR53" s="193"/>
      <c r="SNS53" s="193"/>
      <c r="SNT53" s="193"/>
      <c r="SNU53" s="193"/>
      <c r="SNV53" s="193"/>
      <c r="SNW53" s="193"/>
      <c r="SNX53" s="193"/>
      <c r="SNY53" s="193"/>
      <c r="SNZ53" s="193"/>
      <c r="SOA53" s="193"/>
      <c r="SOB53" s="193"/>
      <c r="SOC53" s="193"/>
      <c r="SOD53" s="193"/>
      <c r="SOE53" s="193"/>
      <c r="SOF53" s="193"/>
      <c r="SOG53" s="193"/>
      <c r="SOH53" s="193"/>
      <c r="SOI53" s="193"/>
      <c r="SOJ53" s="193"/>
      <c r="SOK53" s="193"/>
      <c r="SOL53" s="193"/>
      <c r="SOM53" s="193"/>
      <c r="SON53" s="193"/>
      <c r="SOO53" s="193"/>
      <c r="SOP53" s="193"/>
      <c r="SOQ53" s="193"/>
      <c r="SOR53" s="193"/>
      <c r="SOS53" s="193"/>
      <c r="SOT53" s="193"/>
      <c r="SOU53" s="193"/>
      <c r="SOV53" s="193"/>
      <c r="SOW53" s="193"/>
      <c r="SOX53" s="193"/>
      <c r="SOY53" s="193"/>
      <c r="SOZ53" s="193"/>
      <c r="SPA53" s="193"/>
      <c r="SPB53" s="193"/>
      <c r="SPC53" s="193"/>
      <c r="SPD53" s="193"/>
      <c r="SPE53" s="193"/>
      <c r="SPF53" s="193"/>
      <c r="SPG53" s="193"/>
      <c r="SPH53" s="193"/>
      <c r="SPI53" s="193"/>
      <c r="SPJ53" s="193"/>
      <c r="SPK53" s="193"/>
      <c r="SPL53" s="193"/>
      <c r="SPM53" s="193"/>
      <c r="SPN53" s="193"/>
      <c r="SPO53" s="193"/>
      <c r="SPP53" s="193"/>
      <c r="SPQ53" s="193"/>
      <c r="SPR53" s="193"/>
      <c r="SPS53" s="193"/>
      <c r="SPT53" s="193"/>
      <c r="SPU53" s="193"/>
      <c r="SPV53" s="193"/>
      <c r="SPW53" s="193"/>
      <c r="SPX53" s="193"/>
      <c r="SPY53" s="193"/>
      <c r="SPZ53" s="193"/>
      <c r="SQA53" s="193"/>
      <c r="SQB53" s="193"/>
      <c r="SQC53" s="193"/>
      <c r="SQD53" s="193"/>
      <c r="SQE53" s="193"/>
      <c r="SQF53" s="193"/>
      <c r="SQG53" s="193"/>
      <c r="SQH53" s="193"/>
      <c r="SQI53" s="193"/>
      <c r="SQJ53" s="193"/>
      <c r="SQK53" s="193"/>
      <c r="SQL53" s="193"/>
      <c r="SQM53" s="193"/>
      <c r="SQN53" s="193"/>
      <c r="SQO53" s="193"/>
      <c r="SQP53" s="193"/>
      <c r="SQQ53" s="193"/>
      <c r="SQR53" s="193"/>
      <c r="SQS53" s="193"/>
      <c r="SQT53" s="193"/>
      <c r="SQU53" s="193"/>
      <c r="SQV53" s="193"/>
      <c r="SQW53" s="193"/>
      <c r="SQX53" s="193"/>
      <c r="SQY53" s="193"/>
      <c r="SQZ53" s="193"/>
      <c r="SRA53" s="193"/>
      <c r="SRB53" s="193"/>
      <c r="SRC53" s="193"/>
      <c r="SRD53" s="193"/>
      <c r="SRE53" s="193"/>
      <c r="SRF53" s="193"/>
      <c r="SRG53" s="193"/>
      <c r="SRH53" s="193"/>
      <c r="SRI53" s="193"/>
      <c r="SRJ53" s="193"/>
      <c r="SRK53" s="193"/>
      <c r="SRL53" s="193"/>
      <c r="SRM53" s="193"/>
      <c r="SRN53" s="193"/>
      <c r="SRO53" s="193"/>
      <c r="SRP53" s="193"/>
      <c r="SRQ53" s="193"/>
      <c r="SRR53" s="193"/>
      <c r="SRS53" s="193"/>
      <c r="SRT53" s="193"/>
      <c r="SRU53" s="193"/>
      <c r="SRV53" s="193"/>
      <c r="SRW53" s="193"/>
      <c r="SRX53" s="193"/>
      <c r="SRY53" s="193"/>
      <c r="SRZ53" s="193"/>
      <c r="SSA53" s="193"/>
      <c r="SSB53" s="193"/>
      <c r="SSC53" s="193"/>
      <c r="SSD53" s="193"/>
      <c r="SSE53" s="193"/>
      <c r="SSF53" s="193"/>
      <c r="SSG53" s="193"/>
      <c r="SSH53" s="193"/>
      <c r="SSI53" s="193"/>
      <c r="SSJ53" s="193"/>
      <c r="SSK53" s="193"/>
      <c r="SSL53" s="193"/>
      <c r="SSM53" s="193"/>
      <c r="SSN53" s="193"/>
      <c r="SSO53" s="193"/>
      <c r="SSP53" s="193"/>
      <c r="SSQ53" s="193"/>
      <c r="SSR53" s="193"/>
      <c r="SSS53" s="193"/>
      <c r="SST53" s="193"/>
      <c r="SSU53" s="193"/>
      <c r="SSV53" s="193"/>
      <c r="SSW53" s="193"/>
      <c r="SSX53" s="193"/>
      <c r="SSY53" s="193"/>
      <c r="SSZ53" s="193"/>
      <c r="STA53" s="193"/>
      <c r="STB53" s="193"/>
      <c r="STC53" s="193"/>
      <c r="STD53" s="193"/>
      <c r="STE53" s="193"/>
      <c r="STF53" s="193"/>
      <c r="STG53" s="193"/>
      <c r="STH53" s="193"/>
      <c r="STI53" s="193"/>
      <c r="STJ53" s="193"/>
      <c r="STK53" s="193"/>
      <c r="STL53" s="193"/>
      <c r="STM53" s="193"/>
      <c r="STN53" s="193"/>
      <c r="STO53" s="193"/>
      <c r="STP53" s="193"/>
      <c r="STQ53" s="193"/>
      <c r="STR53" s="193"/>
      <c r="STS53" s="193"/>
      <c r="STT53" s="193"/>
      <c r="STU53" s="193"/>
      <c r="STV53" s="193"/>
      <c r="STW53" s="193"/>
      <c r="STX53" s="193"/>
      <c r="STY53" s="193"/>
      <c r="STZ53" s="193"/>
      <c r="SUA53" s="193"/>
      <c r="SUB53" s="193"/>
      <c r="SUC53" s="193"/>
      <c r="SUD53" s="193"/>
      <c r="SUE53" s="193"/>
      <c r="SUF53" s="193"/>
      <c r="SUG53" s="193"/>
      <c r="SUH53" s="193"/>
      <c r="SUI53" s="193"/>
      <c r="SUJ53" s="193"/>
      <c r="SUK53" s="193"/>
      <c r="SUL53" s="193"/>
      <c r="SUM53" s="193"/>
      <c r="SUN53" s="193"/>
      <c r="SUO53" s="193"/>
      <c r="SUP53" s="193"/>
      <c r="SUQ53" s="193"/>
      <c r="SUR53" s="193"/>
      <c r="SUS53" s="193"/>
      <c r="SUT53" s="193"/>
      <c r="SUU53" s="193"/>
      <c r="SUV53" s="193"/>
      <c r="SUW53" s="193"/>
      <c r="SUX53" s="193"/>
      <c r="SUY53" s="193"/>
      <c r="SUZ53" s="193"/>
      <c r="SVA53" s="193"/>
      <c r="SVB53" s="193"/>
      <c r="SVC53" s="193"/>
      <c r="SVD53" s="193"/>
      <c r="SVE53" s="193"/>
      <c r="SVF53" s="193"/>
      <c r="SVG53" s="193"/>
      <c r="SVH53" s="193"/>
      <c r="SVI53" s="193"/>
      <c r="SVJ53" s="193"/>
      <c r="SVK53" s="193"/>
      <c r="SVL53" s="193"/>
      <c r="SVM53" s="193"/>
      <c r="SVN53" s="193"/>
      <c r="SVO53" s="193"/>
      <c r="SVP53" s="193"/>
      <c r="SVQ53" s="193"/>
      <c r="SVR53" s="193"/>
      <c r="SVS53" s="193"/>
      <c r="SVT53" s="193"/>
      <c r="SVU53" s="193"/>
      <c r="SVV53" s="193"/>
      <c r="SVW53" s="193"/>
      <c r="SVX53" s="193"/>
      <c r="SVY53" s="193"/>
      <c r="SVZ53" s="193"/>
      <c r="SWA53" s="193"/>
      <c r="SWB53" s="193"/>
      <c r="SWC53" s="193"/>
      <c r="SWD53" s="193"/>
      <c r="SWE53" s="193"/>
      <c r="SWF53" s="193"/>
      <c r="SWG53" s="193"/>
      <c r="SWH53" s="193"/>
      <c r="SWI53" s="193"/>
      <c r="SWJ53" s="193"/>
      <c r="SWK53" s="193"/>
      <c r="SWL53" s="193"/>
      <c r="SWM53" s="193"/>
      <c r="SWN53" s="193"/>
      <c r="SWO53" s="193"/>
      <c r="SWP53" s="193"/>
      <c r="SWQ53" s="193"/>
      <c r="SWR53" s="193"/>
      <c r="SWS53" s="193"/>
      <c r="SWT53" s="193"/>
      <c r="SWU53" s="193"/>
      <c r="SWV53" s="193"/>
      <c r="SWW53" s="193"/>
      <c r="SWX53" s="193"/>
      <c r="SWY53" s="193"/>
      <c r="SWZ53" s="193"/>
      <c r="SXA53" s="193"/>
      <c r="SXB53" s="193"/>
      <c r="SXC53" s="193"/>
      <c r="SXD53" s="193"/>
      <c r="SXE53" s="193"/>
      <c r="SXF53" s="193"/>
      <c r="SXG53" s="193"/>
      <c r="SXH53" s="193"/>
      <c r="SXI53" s="193"/>
      <c r="SXJ53" s="193"/>
      <c r="SXK53" s="193"/>
      <c r="SXL53" s="193"/>
      <c r="SXM53" s="193"/>
      <c r="SXN53" s="193"/>
      <c r="SXO53" s="193"/>
      <c r="SXP53" s="193"/>
      <c r="SXQ53" s="193"/>
      <c r="SXR53" s="193"/>
      <c r="SXS53" s="193"/>
      <c r="SXT53" s="193"/>
      <c r="SXU53" s="193"/>
      <c r="SXV53" s="193"/>
      <c r="SXW53" s="193"/>
      <c r="SXX53" s="193"/>
      <c r="SXY53" s="193"/>
      <c r="SXZ53" s="193"/>
      <c r="SYA53" s="193"/>
      <c r="SYB53" s="193"/>
      <c r="SYC53" s="193"/>
      <c r="SYD53" s="193"/>
      <c r="SYE53" s="193"/>
      <c r="SYF53" s="193"/>
      <c r="SYG53" s="193"/>
      <c r="SYH53" s="193"/>
      <c r="SYI53" s="193"/>
      <c r="SYJ53" s="193"/>
      <c r="SYK53" s="193"/>
      <c r="SYL53" s="193"/>
      <c r="SYM53" s="193"/>
      <c r="SYN53" s="193"/>
      <c r="SYO53" s="193"/>
      <c r="SYP53" s="193"/>
      <c r="SYQ53" s="193"/>
      <c r="SYR53" s="193"/>
      <c r="SYS53" s="193"/>
      <c r="SYT53" s="193"/>
      <c r="SYU53" s="193"/>
      <c r="SYV53" s="193"/>
      <c r="SYW53" s="193"/>
      <c r="SYX53" s="193"/>
      <c r="SYY53" s="193"/>
      <c r="SYZ53" s="193"/>
      <c r="SZA53" s="193"/>
      <c r="SZB53" s="193"/>
      <c r="SZC53" s="193"/>
      <c r="SZD53" s="193"/>
      <c r="SZE53" s="193"/>
      <c r="SZF53" s="193"/>
      <c r="SZG53" s="193"/>
      <c r="SZH53" s="193"/>
      <c r="SZI53" s="193"/>
      <c r="SZJ53" s="193"/>
      <c r="SZK53" s="193"/>
      <c r="SZL53" s="193"/>
      <c r="SZM53" s="193"/>
      <c r="SZN53" s="193"/>
      <c r="SZO53" s="193"/>
      <c r="SZP53" s="193"/>
      <c r="SZQ53" s="193"/>
      <c r="SZR53" s="193"/>
      <c r="SZS53" s="193"/>
      <c r="SZT53" s="193"/>
      <c r="SZU53" s="193"/>
      <c r="SZV53" s="193"/>
      <c r="SZW53" s="193"/>
      <c r="SZX53" s="193"/>
      <c r="SZY53" s="193"/>
      <c r="SZZ53" s="193"/>
      <c r="TAA53" s="193"/>
      <c r="TAB53" s="193"/>
      <c r="TAC53" s="193"/>
      <c r="TAD53" s="193"/>
      <c r="TAE53" s="193"/>
      <c r="TAF53" s="193"/>
      <c r="TAG53" s="193"/>
      <c r="TAH53" s="193"/>
      <c r="TAI53" s="193"/>
      <c r="TAJ53" s="193"/>
      <c r="TAK53" s="193"/>
      <c r="TAL53" s="193"/>
      <c r="TAM53" s="193"/>
      <c r="TAN53" s="193"/>
      <c r="TAO53" s="193"/>
      <c r="TAP53" s="193"/>
      <c r="TAQ53" s="193"/>
      <c r="TAR53" s="193"/>
      <c r="TAS53" s="193"/>
      <c r="TAT53" s="193"/>
      <c r="TAU53" s="193"/>
      <c r="TAV53" s="193"/>
      <c r="TAW53" s="193"/>
      <c r="TAX53" s="193"/>
      <c r="TAY53" s="193"/>
      <c r="TAZ53" s="193"/>
      <c r="TBA53" s="193"/>
      <c r="TBB53" s="193"/>
      <c r="TBC53" s="193"/>
      <c r="TBD53" s="193"/>
      <c r="TBE53" s="193"/>
      <c r="TBF53" s="193"/>
      <c r="TBG53" s="193"/>
      <c r="TBH53" s="193"/>
      <c r="TBI53" s="193"/>
      <c r="TBJ53" s="193"/>
      <c r="TBK53" s="193"/>
      <c r="TBL53" s="193"/>
      <c r="TBM53" s="193"/>
      <c r="TBN53" s="193"/>
      <c r="TBO53" s="193"/>
      <c r="TBP53" s="193"/>
      <c r="TBQ53" s="193"/>
      <c r="TBR53" s="193"/>
      <c r="TBS53" s="193"/>
      <c r="TBT53" s="193"/>
      <c r="TBU53" s="193"/>
      <c r="TBV53" s="193"/>
      <c r="TBW53" s="193"/>
      <c r="TBX53" s="193"/>
      <c r="TBY53" s="193"/>
      <c r="TBZ53" s="193"/>
      <c r="TCA53" s="193"/>
      <c r="TCB53" s="193"/>
      <c r="TCC53" s="193"/>
      <c r="TCD53" s="193"/>
      <c r="TCE53" s="193"/>
      <c r="TCF53" s="193"/>
      <c r="TCG53" s="193"/>
      <c r="TCH53" s="193"/>
      <c r="TCI53" s="193"/>
      <c r="TCJ53" s="193"/>
      <c r="TCK53" s="193"/>
      <c r="TCL53" s="193"/>
      <c r="TCM53" s="193"/>
      <c r="TCN53" s="193"/>
      <c r="TCO53" s="193"/>
      <c r="TCP53" s="193"/>
      <c r="TCQ53" s="193"/>
      <c r="TCR53" s="193"/>
      <c r="TCS53" s="193"/>
      <c r="TCT53" s="193"/>
      <c r="TCU53" s="193"/>
      <c r="TCV53" s="193"/>
      <c r="TCW53" s="193"/>
      <c r="TCX53" s="193"/>
      <c r="TCY53" s="193"/>
      <c r="TCZ53" s="193"/>
      <c r="TDA53" s="193"/>
      <c r="TDB53" s="193"/>
      <c r="TDC53" s="193"/>
      <c r="TDD53" s="193"/>
      <c r="TDE53" s="193"/>
      <c r="TDF53" s="193"/>
      <c r="TDG53" s="193"/>
      <c r="TDH53" s="193"/>
      <c r="TDI53" s="193"/>
      <c r="TDJ53" s="193"/>
      <c r="TDK53" s="193"/>
      <c r="TDL53" s="193"/>
      <c r="TDM53" s="193"/>
      <c r="TDN53" s="193"/>
      <c r="TDO53" s="193"/>
      <c r="TDP53" s="193"/>
      <c r="TDQ53" s="193"/>
      <c r="TDR53" s="193"/>
      <c r="TDS53" s="193"/>
      <c r="TDT53" s="193"/>
      <c r="TDU53" s="193"/>
      <c r="TDV53" s="193"/>
      <c r="TDW53" s="193"/>
      <c r="TDX53" s="193"/>
      <c r="TDY53" s="193"/>
      <c r="TDZ53" s="193"/>
      <c r="TEA53" s="193"/>
      <c r="TEB53" s="193"/>
      <c r="TEC53" s="193"/>
      <c r="TED53" s="193"/>
      <c r="TEE53" s="193"/>
      <c r="TEF53" s="193"/>
      <c r="TEG53" s="193"/>
      <c r="TEH53" s="193"/>
      <c r="TEI53" s="193"/>
      <c r="TEJ53" s="193"/>
      <c r="TEK53" s="193"/>
      <c r="TEL53" s="193"/>
      <c r="TEM53" s="193"/>
      <c r="TEN53" s="193"/>
      <c r="TEO53" s="193"/>
      <c r="TEP53" s="193"/>
      <c r="TEQ53" s="193"/>
      <c r="TER53" s="193"/>
      <c r="TES53" s="193"/>
      <c r="TET53" s="193"/>
      <c r="TEU53" s="193"/>
      <c r="TEV53" s="193"/>
      <c r="TEW53" s="193"/>
      <c r="TEX53" s="193"/>
      <c r="TEY53" s="193"/>
      <c r="TEZ53" s="193"/>
      <c r="TFA53" s="193"/>
      <c r="TFB53" s="193"/>
      <c r="TFC53" s="193"/>
      <c r="TFD53" s="193"/>
      <c r="TFE53" s="193"/>
      <c r="TFF53" s="193"/>
      <c r="TFG53" s="193"/>
      <c r="TFH53" s="193"/>
      <c r="TFI53" s="193"/>
      <c r="TFJ53" s="193"/>
      <c r="TFK53" s="193"/>
      <c r="TFL53" s="193"/>
      <c r="TFM53" s="193"/>
      <c r="TFN53" s="193"/>
      <c r="TFO53" s="193"/>
      <c r="TFP53" s="193"/>
      <c r="TFQ53" s="193"/>
      <c r="TFR53" s="193"/>
      <c r="TFS53" s="193"/>
      <c r="TFT53" s="193"/>
      <c r="TFU53" s="193"/>
      <c r="TFV53" s="193"/>
      <c r="TFW53" s="193"/>
      <c r="TFX53" s="193"/>
      <c r="TFY53" s="193"/>
      <c r="TFZ53" s="193"/>
      <c r="TGA53" s="193"/>
      <c r="TGB53" s="193"/>
      <c r="TGC53" s="193"/>
      <c r="TGD53" s="193"/>
      <c r="TGE53" s="193"/>
      <c r="TGF53" s="193"/>
      <c r="TGG53" s="193"/>
      <c r="TGH53" s="193"/>
      <c r="TGI53" s="193"/>
      <c r="TGJ53" s="193"/>
      <c r="TGK53" s="193"/>
      <c r="TGL53" s="193"/>
      <c r="TGM53" s="193"/>
      <c r="TGN53" s="193"/>
      <c r="TGO53" s="193"/>
      <c r="TGP53" s="193"/>
      <c r="TGQ53" s="193"/>
      <c r="TGR53" s="193"/>
      <c r="TGS53" s="193"/>
      <c r="TGT53" s="193"/>
      <c r="TGU53" s="193"/>
      <c r="TGV53" s="193"/>
      <c r="TGW53" s="193"/>
      <c r="TGX53" s="193"/>
      <c r="TGY53" s="193"/>
      <c r="TGZ53" s="193"/>
      <c r="THA53" s="193"/>
      <c r="THB53" s="193"/>
      <c r="THC53" s="193"/>
      <c r="THD53" s="193"/>
      <c r="THE53" s="193"/>
      <c r="THF53" s="193"/>
      <c r="THG53" s="193"/>
      <c r="THH53" s="193"/>
      <c r="THI53" s="193"/>
      <c r="THJ53" s="193"/>
      <c r="THK53" s="193"/>
      <c r="THL53" s="193"/>
      <c r="THM53" s="193"/>
      <c r="THN53" s="193"/>
      <c r="THO53" s="193"/>
      <c r="THP53" s="193"/>
      <c r="THQ53" s="193"/>
      <c r="THR53" s="193"/>
      <c r="THS53" s="193"/>
      <c r="THT53" s="193"/>
      <c r="THU53" s="193"/>
      <c r="THV53" s="193"/>
      <c r="THW53" s="193"/>
      <c r="THX53" s="193"/>
      <c r="THY53" s="193"/>
      <c r="THZ53" s="193"/>
      <c r="TIA53" s="193"/>
      <c r="TIB53" s="193"/>
      <c r="TIC53" s="193"/>
      <c r="TID53" s="193"/>
      <c r="TIE53" s="193"/>
      <c r="TIF53" s="193"/>
      <c r="TIG53" s="193"/>
      <c r="TIH53" s="193"/>
      <c r="TII53" s="193"/>
      <c r="TIJ53" s="193"/>
      <c r="TIK53" s="193"/>
      <c r="TIL53" s="193"/>
      <c r="TIM53" s="193"/>
      <c r="TIN53" s="193"/>
      <c r="TIO53" s="193"/>
      <c r="TIP53" s="193"/>
      <c r="TIQ53" s="193"/>
      <c r="TIR53" s="193"/>
      <c r="TIS53" s="193"/>
      <c r="TIT53" s="193"/>
      <c r="TIU53" s="193"/>
      <c r="TIV53" s="193"/>
      <c r="TIW53" s="193"/>
      <c r="TIX53" s="193"/>
      <c r="TIY53" s="193"/>
      <c r="TIZ53" s="193"/>
      <c r="TJA53" s="193"/>
      <c r="TJB53" s="193"/>
      <c r="TJC53" s="193"/>
      <c r="TJD53" s="193"/>
      <c r="TJE53" s="193"/>
      <c r="TJF53" s="193"/>
      <c r="TJG53" s="193"/>
      <c r="TJH53" s="193"/>
      <c r="TJI53" s="193"/>
      <c r="TJJ53" s="193"/>
      <c r="TJK53" s="193"/>
      <c r="TJL53" s="193"/>
      <c r="TJM53" s="193"/>
      <c r="TJN53" s="193"/>
      <c r="TJO53" s="193"/>
      <c r="TJP53" s="193"/>
      <c r="TJQ53" s="193"/>
      <c r="TJR53" s="193"/>
      <c r="TJS53" s="193"/>
      <c r="TJT53" s="193"/>
      <c r="TJU53" s="193"/>
      <c r="TJV53" s="193"/>
      <c r="TJW53" s="193"/>
      <c r="TJX53" s="193"/>
      <c r="TJY53" s="193"/>
      <c r="TJZ53" s="193"/>
      <c r="TKA53" s="193"/>
      <c r="TKB53" s="193"/>
      <c r="TKC53" s="193"/>
      <c r="TKD53" s="193"/>
      <c r="TKE53" s="193"/>
      <c r="TKF53" s="193"/>
      <c r="TKG53" s="193"/>
      <c r="TKH53" s="193"/>
      <c r="TKI53" s="193"/>
      <c r="TKJ53" s="193"/>
      <c r="TKK53" s="193"/>
      <c r="TKL53" s="193"/>
      <c r="TKM53" s="193"/>
      <c r="TKN53" s="193"/>
      <c r="TKO53" s="193"/>
      <c r="TKP53" s="193"/>
      <c r="TKQ53" s="193"/>
      <c r="TKR53" s="193"/>
      <c r="TKS53" s="193"/>
      <c r="TKT53" s="193"/>
      <c r="TKU53" s="193"/>
      <c r="TKV53" s="193"/>
      <c r="TKW53" s="193"/>
      <c r="TKX53" s="193"/>
      <c r="TKY53" s="193"/>
      <c r="TKZ53" s="193"/>
      <c r="TLA53" s="193"/>
      <c r="TLB53" s="193"/>
      <c r="TLC53" s="193"/>
      <c r="TLD53" s="193"/>
      <c r="TLE53" s="193"/>
      <c r="TLF53" s="193"/>
      <c r="TLG53" s="193"/>
      <c r="TLH53" s="193"/>
      <c r="TLI53" s="193"/>
      <c r="TLJ53" s="193"/>
      <c r="TLK53" s="193"/>
      <c r="TLL53" s="193"/>
      <c r="TLM53" s="193"/>
      <c r="TLN53" s="193"/>
      <c r="TLO53" s="193"/>
      <c r="TLP53" s="193"/>
      <c r="TLQ53" s="193"/>
      <c r="TLR53" s="193"/>
      <c r="TLS53" s="193"/>
      <c r="TLT53" s="193"/>
      <c r="TLU53" s="193"/>
      <c r="TLV53" s="193"/>
      <c r="TLW53" s="193"/>
      <c r="TLX53" s="193"/>
      <c r="TLY53" s="193"/>
      <c r="TLZ53" s="193"/>
      <c r="TMA53" s="193"/>
      <c r="TMB53" s="193"/>
      <c r="TMC53" s="193"/>
      <c r="TMD53" s="193"/>
      <c r="TME53" s="193"/>
      <c r="TMF53" s="193"/>
      <c r="TMG53" s="193"/>
      <c r="TMH53" s="193"/>
      <c r="TMI53" s="193"/>
      <c r="TMJ53" s="193"/>
      <c r="TMK53" s="193"/>
      <c r="TML53" s="193"/>
      <c r="TMM53" s="193"/>
      <c r="TMN53" s="193"/>
      <c r="TMO53" s="193"/>
      <c r="TMP53" s="193"/>
      <c r="TMQ53" s="193"/>
      <c r="TMR53" s="193"/>
      <c r="TMS53" s="193"/>
      <c r="TMT53" s="193"/>
      <c r="TMU53" s="193"/>
      <c r="TMV53" s="193"/>
      <c r="TMW53" s="193"/>
      <c r="TMX53" s="193"/>
      <c r="TMY53" s="193"/>
      <c r="TMZ53" s="193"/>
      <c r="TNA53" s="193"/>
      <c r="TNB53" s="193"/>
      <c r="TNC53" s="193"/>
      <c r="TND53" s="193"/>
      <c r="TNE53" s="193"/>
      <c r="TNF53" s="193"/>
      <c r="TNG53" s="193"/>
      <c r="TNH53" s="193"/>
      <c r="TNI53" s="193"/>
      <c r="TNJ53" s="193"/>
      <c r="TNK53" s="193"/>
      <c r="TNL53" s="193"/>
      <c r="TNM53" s="193"/>
      <c r="TNN53" s="193"/>
      <c r="TNO53" s="193"/>
      <c r="TNP53" s="193"/>
      <c r="TNQ53" s="193"/>
      <c r="TNR53" s="193"/>
      <c r="TNS53" s="193"/>
      <c r="TNT53" s="193"/>
      <c r="TNU53" s="193"/>
      <c r="TNV53" s="193"/>
      <c r="TNW53" s="193"/>
      <c r="TNX53" s="193"/>
      <c r="TNY53" s="193"/>
      <c r="TNZ53" s="193"/>
      <c r="TOA53" s="193"/>
      <c r="TOB53" s="193"/>
      <c r="TOC53" s="193"/>
      <c r="TOD53" s="193"/>
      <c r="TOE53" s="193"/>
      <c r="TOF53" s="193"/>
      <c r="TOG53" s="193"/>
      <c r="TOH53" s="193"/>
      <c r="TOI53" s="193"/>
      <c r="TOJ53" s="193"/>
      <c r="TOK53" s="193"/>
      <c r="TOL53" s="193"/>
      <c r="TOM53" s="193"/>
      <c r="TON53" s="193"/>
      <c r="TOO53" s="193"/>
      <c r="TOP53" s="193"/>
      <c r="TOQ53" s="193"/>
      <c r="TOR53" s="193"/>
      <c r="TOS53" s="193"/>
      <c r="TOT53" s="193"/>
      <c r="TOU53" s="193"/>
      <c r="TOV53" s="193"/>
      <c r="TOW53" s="193"/>
      <c r="TOX53" s="193"/>
      <c r="TOY53" s="193"/>
      <c r="TOZ53" s="193"/>
      <c r="TPA53" s="193"/>
      <c r="TPB53" s="193"/>
      <c r="TPC53" s="193"/>
      <c r="TPD53" s="193"/>
      <c r="TPE53" s="193"/>
      <c r="TPF53" s="193"/>
      <c r="TPG53" s="193"/>
      <c r="TPH53" s="193"/>
      <c r="TPI53" s="193"/>
      <c r="TPJ53" s="193"/>
      <c r="TPK53" s="193"/>
      <c r="TPL53" s="193"/>
      <c r="TPM53" s="193"/>
      <c r="TPN53" s="193"/>
      <c r="TPO53" s="193"/>
      <c r="TPP53" s="193"/>
      <c r="TPQ53" s="193"/>
      <c r="TPR53" s="193"/>
      <c r="TPS53" s="193"/>
      <c r="TPT53" s="193"/>
      <c r="TPU53" s="193"/>
      <c r="TPV53" s="193"/>
      <c r="TPW53" s="193"/>
      <c r="TPX53" s="193"/>
      <c r="TPY53" s="193"/>
      <c r="TPZ53" s="193"/>
      <c r="TQA53" s="193"/>
      <c r="TQB53" s="193"/>
      <c r="TQC53" s="193"/>
      <c r="TQD53" s="193"/>
      <c r="TQE53" s="193"/>
      <c r="TQF53" s="193"/>
      <c r="TQG53" s="193"/>
      <c r="TQH53" s="193"/>
      <c r="TQI53" s="193"/>
      <c r="TQJ53" s="193"/>
      <c r="TQK53" s="193"/>
      <c r="TQL53" s="193"/>
      <c r="TQM53" s="193"/>
      <c r="TQN53" s="193"/>
      <c r="TQO53" s="193"/>
      <c r="TQP53" s="193"/>
      <c r="TQQ53" s="193"/>
      <c r="TQR53" s="193"/>
      <c r="TQS53" s="193"/>
      <c r="TQT53" s="193"/>
      <c r="TQU53" s="193"/>
      <c r="TQV53" s="193"/>
      <c r="TQW53" s="193"/>
      <c r="TQX53" s="193"/>
      <c r="TQY53" s="193"/>
      <c r="TQZ53" s="193"/>
      <c r="TRA53" s="193"/>
      <c r="TRB53" s="193"/>
      <c r="TRC53" s="193"/>
      <c r="TRD53" s="193"/>
      <c r="TRE53" s="193"/>
      <c r="TRF53" s="193"/>
      <c r="TRG53" s="193"/>
      <c r="TRH53" s="193"/>
      <c r="TRI53" s="193"/>
      <c r="TRJ53" s="193"/>
      <c r="TRK53" s="193"/>
      <c r="TRL53" s="193"/>
      <c r="TRM53" s="193"/>
      <c r="TRN53" s="193"/>
      <c r="TRO53" s="193"/>
      <c r="TRP53" s="193"/>
      <c r="TRQ53" s="193"/>
      <c r="TRR53" s="193"/>
      <c r="TRS53" s="193"/>
      <c r="TRT53" s="193"/>
      <c r="TRU53" s="193"/>
      <c r="TRV53" s="193"/>
      <c r="TRW53" s="193"/>
      <c r="TRX53" s="193"/>
      <c r="TRY53" s="193"/>
      <c r="TRZ53" s="193"/>
      <c r="TSA53" s="193"/>
      <c r="TSB53" s="193"/>
      <c r="TSC53" s="193"/>
      <c r="TSD53" s="193"/>
      <c r="TSE53" s="193"/>
      <c r="TSF53" s="193"/>
      <c r="TSG53" s="193"/>
      <c r="TSH53" s="193"/>
      <c r="TSI53" s="193"/>
      <c r="TSJ53" s="193"/>
      <c r="TSK53" s="193"/>
      <c r="TSL53" s="193"/>
      <c r="TSM53" s="193"/>
      <c r="TSN53" s="193"/>
      <c r="TSO53" s="193"/>
      <c r="TSP53" s="193"/>
      <c r="TSQ53" s="193"/>
      <c r="TSR53" s="193"/>
      <c r="TSS53" s="193"/>
      <c r="TST53" s="193"/>
      <c r="TSU53" s="193"/>
      <c r="TSV53" s="193"/>
      <c r="TSW53" s="193"/>
      <c r="TSX53" s="193"/>
      <c r="TSY53" s="193"/>
      <c r="TSZ53" s="193"/>
      <c r="TTA53" s="193"/>
      <c r="TTB53" s="193"/>
      <c r="TTC53" s="193"/>
      <c r="TTD53" s="193"/>
      <c r="TTE53" s="193"/>
      <c r="TTF53" s="193"/>
      <c r="TTG53" s="193"/>
      <c r="TTH53" s="193"/>
      <c r="TTI53" s="193"/>
      <c r="TTJ53" s="193"/>
      <c r="TTK53" s="193"/>
      <c r="TTL53" s="193"/>
      <c r="TTM53" s="193"/>
      <c r="TTN53" s="193"/>
      <c r="TTO53" s="193"/>
      <c r="TTP53" s="193"/>
      <c r="TTQ53" s="193"/>
      <c r="TTR53" s="193"/>
      <c r="TTS53" s="193"/>
      <c r="TTT53" s="193"/>
      <c r="TTU53" s="193"/>
      <c r="TTV53" s="193"/>
      <c r="TTW53" s="193"/>
      <c r="TTX53" s="193"/>
      <c r="TTY53" s="193"/>
      <c r="TTZ53" s="193"/>
      <c r="TUA53" s="193"/>
      <c r="TUB53" s="193"/>
      <c r="TUC53" s="193"/>
      <c r="TUD53" s="193"/>
      <c r="TUE53" s="193"/>
      <c r="TUF53" s="193"/>
      <c r="TUG53" s="193"/>
      <c r="TUH53" s="193"/>
      <c r="TUI53" s="193"/>
      <c r="TUJ53" s="193"/>
      <c r="TUK53" s="193"/>
      <c r="TUL53" s="193"/>
      <c r="TUM53" s="193"/>
      <c r="TUN53" s="193"/>
      <c r="TUO53" s="193"/>
      <c r="TUP53" s="193"/>
      <c r="TUQ53" s="193"/>
      <c r="TUR53" s="193"/>
      <c r="TUS53" s="193"/>
      <c r="TUT53" s="193"/>
      <c r="TUU53" s="193"/>
      <c r="TUV53" s="193"/>
      <c r="TUW53" s="193"/>
      <c r="TUX53" s="193"/>
      <c r="TUY53" s="193"/>
      <c r="TUZ53" s="193"/>
      <c r="TVA53" s="193"/>
      <c r="TVB53" s="193"/>
      <c r="TVC53" s="193"/>
      <c r="TVD53" s="193"/>
      <c r="TVE53" s="193"/>
      <c r="TVF53" s="193"/>
      <c r="TVG53" s="193"/>
      <c r="TVH53" s="193"/>
      <c r="TVI53" s="193"/>
      <c r="TVJ53" s="193"/>
      <c r="TVK53" s="193"/>
      <c r="TVL53" s="193"/>
      <c r="TVM53" s="193"/>
      <c r="TVN53" s="193"/>
      <c r="TVO53" s="193"/>
      <c r="TVP53" s="193"/>
      <c r="TVQ53" s="193"/>
      <c r="TVR53" s="193"/>
      <c r="TVS53" s="193"/>
      <c r="TVT53" s="193"/>
      <c r="TVU53" s="193"/>
      <c r="TVV53" s="193"/>
      <c r="TVW53" s="193"/>
      <c r="TVX53" s="193"/>
      <c r="TVY53" s="193"/>
      <c r="TVZ53" s="193"/>
      <c r="TWA53" s="193"/>
      <c r="TWB53" s="193"/>
      <c r="TWC53" s="193"/>
      <c r="TWD53" s="193"/>
      <c r="TWE53" s="193"/>
      <c r="TWF53" s="193"/>
      <c r="TWG53" s="193"/>
      <c r="TWH53" s="193"/>
      <c r="TWI53" s="193"/>
      <c r="TWJ53" s="193"/>
      <c r="TWK53" s="193"/>
      <c r="TWL53" s="193"/>
      <c r="TWM53" s="193"/>
      <c r="TWN53" s="193"/>
      <c r="TWO53" s="193"/>
      <c r="TWP53" s="193"/>
      <c r="TWQ53" s="193"/>
      <c r="TWR53" s="193"/>
      <c r="TWS53" s="193"/>
      <c r="TWT53" s="193"/>
      <c r="TWU53" s="193"/>
      <c r="TWV53" s="193"/>
      <c r="TWW53" s="193"/>
      <c r="TWX53" s="193"/>
      <c r="TWY53" s="193"/>
      <c r="TWZ53" s="193"/>
      <c r="TXA53" s="193"/>
      <c r="TXB53" s="193"/>
      <c r="TXC53" s="193"/>
      <c r="TXD53" s="193"/>
      <c r="TXE53" s="193"/>
      <c r="TXF53" s="193"/>
      <c r="TXG53" s="193"/>
      <c r="TXH53" s="193"/>
      <c r="TXI53" s="193"/>
      <c r="TXJ53" s="193"/>
      <c r="TXK53" s="193"/>
      <c r="TXL53" s="193"/>
      <c r="TXM53" s="193"/>
      <c r="TXN53" s="193"/>
      <c r="TXO53" s="193"/>
      <c r="TXP53" s="193"/>
      <c r="TXQ53" s="193"/>
      <c r="TXR53" s="193"/>
      <c r="TXS53" s="193"/>
      <c r="TXT53" s="193"/>
      <c r="TXU53" s="193"/>
      <c r="TXV53" s="193"/>
      <c r="TXW53" s="193"/>
      <c r="TXX53" s="193"/>
      <c r="TXY53" s="193"/>
      <c r="TXZ53" s="193"/>
      <c r="TYA53" s="193"/>
      <c r="TYB53" s="193"/>
      <c r="TYC53" s="193"/>
      <c r="TYD53" s="193"/>
      <c r="TYE53" s="193"/>
      <c r="TYF53" s="193"/>
      <c r="TYG53" s="193"/>
      <c r="TYH53" s="193"/>
      <c r="TYI53" s="193"/>
      <c r="TYJ53" s="193"/>
      <c r="TYK53" s="193"/>
      <c r="TYL53" s="193"/>
      <c r="TYM53" s="193"/>
      <c r="TYN53" s="193"/>
      <c r="TYO53" s="193"/>
      <c r="TYP53" s="193"/>
      <c r="TYQ53" s="193"/>
      <c r="TYR53" s="193"/>
      <c r="TYS53" s="193"/>
      <c r="TYT53" s="193"/>
      <c r="TYU53" s="193"/>
      <c r="TYV53" s="193"/>
      <c r="TYW53" s="193"/>
      <c r="TYX53" s="193"/>
      <c r="TYY53" s="193"/>
      <c r="TYZ53" s="193"/>
      <c r="TZA53" s="193"/>
      <c r="TZB53" s="193"/>
      <c r="TZC53" s="193"/>
      <c r="TZD53" s="193"/>
      <c r="TZE53" s="193"/>
      <c r="TZF53" s="193"/>
      <c r="TZG53" s="193"/>
      <c r="TZH53" s="193"/>
      <c r="TZI53" s="193"/>
      <c r="TZJ53" s="193"/>
      <c r="TZK53" s="193"/>
      <c r="TZL53" s="193"/>
      <c r="TZM53" s="193"/>
      <c r="TZN53" s="193"/>
      <c r="TZO53" s="193"/>
      <c r="TZP53" s="193"/>
      <c r="TZQ53" s="193"/>
      <c r="TZR53" s="193"/>
      <c r="TZS53" s="193"/>
      <c r="TZT53" s="193"/>
      <c r="TZU53" s="193"/>
      <c r="TZV53" s="193"/>
      <c r="TZW53" s="193"/>
      <c r="TZX53" s="193"/>
      <c r="TZY53" s="193"/>
      <c r="TZZ53" s="193"/>
      <c r="UAA53" s="193"/>
      <c r="UAB53" s="193"/>
      <c r="UAC53" s="193"/>
      <c r="UAD53" s="193"/>
      <c r="UAE53" s="193"/>
      <c r="UAF53" s="193"/>
      <c r="UAG53" s="193"/>
      <c r="UAH53" s="193"/>
      <c r="UAI53" s="193"/>
      <c r="UAJ53" s="193"/>
      <c r="UAK53" s="193"/>
      <c r="UAL53" s="193"/>
      <c r="UAM53" s="193"/>
      <c r="UAN53" s="193"/>
      <c r="UAO53" s="193"/>
      <c r="UAP53" s="193"/>
      <c r="UAQ53" s="193"/>
      <c r="UAR53" s="193"/>
      <c r="UAS53" s="193"/>
      <c r="UAT53" s="193"/>
      <c r="UAU53" s="193"/>
      <c r="UAV53" s="193"/>
      <c r="UAW53" s="193"/>
      <c r="UAX53" s="193"/>
      <c r="UAY53" s="193"/>
      <c r="UAZ53" s="193"/>
      <c r="UBA53" s="193"/>
      <c r="UBB53" s="193"/>
      <c r="UBC53" s="193"/>
      <c r="UBD53" s="193"/>
      <c r="UBE53" s="193"/>
      <c r="UBF53" s="193"/>
      <c r="UBG53" s="193"/>
      <c r="UBH53" s="193"/>
      <c r="UBI53" s="193"/>
      <c r="UBJ53" s="193"/>
      <c r="UBK53" s="193"/>
      <c r="UBL53" s="193"/>
      <c r="UBM53" s="193"/>
      <c r="UBN53" s="193"/>
      <c r="UBO53" s="193"/>
      <c r="UBP53" s="193"/>
      <c r="UBQ53" s="193"/>
      <c r="UBR53" s="193"/>
      <c r="UBS53" s="193"/>
      <c r="UBT53" s="193"/>
      <c r="UBU53" s="193"/>
      <c r="UBV53" s="193"/>
      <c r="UBW53" s="193"/>
      <c r="UBX53" s="193"/>
      <c r="UBY53" s="193"/>
      <c r="UBZ53" s="193"/>
      <c r="UCA53" s="193"/>
      <c r="UCB53" s="193"/>
      <c r="UCC53" s="193"/>
      <c r="UCD53" s="193"/>
      <c r="UCE53" s="193"/>
      <c r="UCF53" s="193"/>
      <c r="UCG53" s="193"/>
      <c r="UCH53" s="193"/>
      <c r="UCI53" s="193"/>
      <c r="UCJ53" s="193"/>
      <c r="UCK53" s="193"/>
      <c r="UCL53" s="193"/>
      <c r="UCM53" s="193"/>
      <c r="UCN53" s="193"/>
      <c r="UCO53" s="193"/>
      <c r="UCP53" s="193"/>
      <c r="UCQ53" s="193"/>
      <c r="UCR53" s="193"/>
      <c r="UCS53" s="193"/>
      <c r="UCT53" s="193"/>
      <c r="UCU53" s="193"/>
      <c r="UCV53" s="193"/>
      <c r="UCW53" s="193"/>
      <c r="UCX53" s="193"/>
      <c r="UCY53" s="193"/>
      <c r="UCZ53" s="193"/>
      <c r="UDA53" s="193"/>
      <c r="UDB53" s="193"/>
      <c r="UDC53" s="193"/>
      <c r="UDD53" s="193"/>
      <c r="UDE53" s="193"/>
      <c r="UDF53" s="193"/>
      <c r="UDG53" s="193"/>
      <c r="UDH53" s="193"/>
      <c r="UDI53" s="193"/>
      <c r="UDJ53" s="193"/>
      <c r="UDK53" s="193"/>
      <c r="UDL53" s="193"/>
      <c r="UDM53" s="193"/>
      <c r="UDN53" s="193"/>
      <c r="UDO53" s="193"/>
      <c r="UDP53" s="193"/>
      <c r="UDQ53" s="193"/>
      <c r="UDR53" s="193"/>
      <c r="UDS53" s="193"/>
      <c r="UDT53" s="193"/>
      <c r="UDU53" s="193"/>
      <c r="UDV53" s="193"/>
      <c r="UDW53" s="193"/>
      <c r="UDX53" s="193"/>
      <c r="UDY53" s="193"/>
      <c r="UDZ53" s="193"/>
      <c r="UEA53" s="193"/>
      <c r="UEB53" s="193"/>
      <c r="UEC53" s="193"/>
      <c r="UED53" s="193"/>
      <c r="UEE53" s="193"/>
      <c r="UEF53" s="193"/>
      <c r="UEG53" s="193"/>
      <c r="UEH53" s="193"/>
      <c r="UEI53" s="193"/>
      <c r="UEJ53" s="193"/>
      <c r="UEK53" s="193"/>
      <c r="UEL53" s="193"/>
      <c r="UEM53" s="193"/>
      <c r="UEN53" s="193"/>
      <c r="UEO53" s="193"/>
      <c r="UEP53" s="193"/>
      <c r="UEQ53" s="193"/>
      <c r="UER53" s="193"/>
      <c r="UES53" s="193"/>
      <c r="UET53" s="193"/>
      <c r="UEU53" s="193"/>
      <c r="UEV53" s="193"/>
      <c r="UEW53" s="193"/>
      <c r="UEX53" s="193"/>
      <c r="UEY53" s="193"/>
      <c r="UEZ53" s="193"/>
      <c r="UFA53" s="193"/>
      <c r="UFB53" s="193"/>
      <c r="UFC53" s="193"/>
      <c r="UFD53" s="193"/>
      <c r="UFE53" s="193"/>
      <c r="UFF53" s="193"/>
      <c r="UFG53" s="193"/>
      <c r="UFH53" s="193"/>
      <c r="UFI53" s="193"/>
      <c r="UFJ53" s="193"/>
      <c r="UFK53" s="193"/>
      <c r="UFL53" s="193"/>
      <c r="UFM53" s="193"/>
      <c r="UFN53" s="193"/>
      <c r="UFO53" s="193"/>
      <c r="UFP53" s="193"/>
      <c r="UFQ53" s="193"/>
      <c r="UFR53" s="193"/>
      <c r="UFS53" s="193"/>
      <c r="UFT53" s="193"/>
      <c r="UFU53" s="193"/>
      <c r="UFV53" s="193"/>
      <c r="UFW53" s="193"/>
      <c r="UFX53" s="193"/>
      <c r="UFY53" s="193"/>
      <c r="UFZ53" s="193"/>
      <c r="UGA53" s="193"/>
      <c r="UGB53" s="193"/>
      <c r="UGC53" s="193"/>
      <c r="UGD53" s="193"/>
      <c r="UGE53" s="193"/>
      <c r="UGF53" s="193"/>
      <c r="UGG53" s="193"/>
      <c r="UGH53" s="193"/>
      <c r="UGI53" s="193"/>
      <c r="UGJ53" s="193"/>
      <c r="UGK53" s="193"/>
      <c r="UGL53" s="193"/>
      <c r="UGM53" s="193"/>
      <c r="UGN53" s="193"/>
      <c r="UGO53" s="193"/>
      <c r="UGP53" s="193"/>
      <c r="UGQ53" s="193"/>
      <c r="UGR53" s="193"/>
      <c r="UGS53" s="193"/>
      <c r="UGT53" s="193"/>
      <c r="UGU53" s="193"/>
      <c r="UGV53" s="193"/>
      <c r="UGW53" s="193"/>
      <c r="UGX53" s="193"/>
      <c r="UGY53" s="193"/>
      <c r="UGZ53" s="193"/>
      <c r="UHA53" s="193"/>
      <c r="UHB53" s="193"/>
      <c r="UHC53" s="193"/>
      <c r="UHD53" s="193"/>
      <c r="UHE53" s="193"/>
      <c r="UHF53" s="193"/>
      <c r="UHG53" s="193"/>
      <c r="UHH53" s="193"/>
      <c r="UHI53" s="193"/>
      <c r="UHJ53" s="193"/>
      <c r="UHK53" s="193"/>
      <c r="UHL53" s="193"/>
      <c r="UHM53" s="193"/>
      <c r="UHN53" s="193"/>
      <c r="UHO53" s="193"/>
      <c r="UHP53" s="193"/>
      <c r="UHQ53" s="193"/>
      <c r="UHR53" s="193"/>
      <c r="UHS53" s="193"/>
      <c r="UHT53" s="193"/>
      <c r="UHU53" s="193"/>
      <c r="UHV53" s="193"/>
      <c r="UHW53" s="193"/>
      <c r="UHX53" s="193"/>
      <c r="UHY53" s="193"/>
      <c r="UHZ53" s="193"/>
      <c r="UIA53" s="193"/>
      <c r="UIB53" s="193"/>
      <c r="UIC53" s="193"/>
      <c r="UID53" s="193"/>
      <c r="UIE53" s="193"/>
      <c r="UIF53" s="193"/>
      <c r="UIG53" s="193"/>
      <c r="UIH53" s="193"/>
      <c r="UII53" s="193"/>
      <c r="UIJ53" s="193"/>
      <c r="UIK53" s="193"/>
      <c r="UIL53" s="193"/>
      <c r="UIM53" s="193"/>
      <c r="UIN53" s="193"/>
      <c r="UIO53" s="193"/>
      <c r="UIP53" s="193"/>
      <c r="UIQ53" s="193"/>
      <c r="UIR53" s="193"/>
      <c r="UIS53" s="193"/>
      <c r="UIT53" s="193"/>
      <c r="UIU53" s="193"/>
      <c r="UIV53" s="193"/>
      <c r="UIW53" s="193"/>
      <c r="UIX53" s="193"/>
      <c r="UIY53" s="193"/>
      <c r="UIZ53" s="193"/>
      <c r="UJA53" s="193"/>
      <c r="UJB53" s="193"/>
      <c r="UJC53" s="193"/>
      <c r="UJD53" s="193"/>
      <c r="UJE53" s="193"/>
      <c r="UJF53" s="193"/>
      <c r="UJG53" s="193"/>
      <c r="UJH53" s="193"/>
      <c r="UJI53" s="193"/>
      <c r="UJJ53" s="193"/>
      <c r="UJK53" s="193"/>
      <c r="UJL53" s="193"/>
      <c r="UJM53" s="193"/>
      <c r="UJN53" s="193"/>
      <c r="UJO53" s="193"/>
      <c r="UJP53" s="193"/>
      <c r="UJQ53" s="193"/>
      <c r="UJR53" s="193"/>
      <c r="UJS53" s="193"/>
      <c r="UJT53" s="193"/>
      <c r="UJU53" s="193"/>
      <c r="UJV53" s="193"/>
      <c r="UJW53" s="193"/>
      <c r="UJX53" s="193"/>
      <c r="UJY53" s="193"/>
      <c r="UJZ53" s="193"/>
      <c r="UKA53" s="193"/>
      <c r="UKB53" s="193"/>
      <c r="UKC53" s="193"/>
      <c r="UKD53" s="193"/>
      <c r="UKE53" s="193"/>
      <c r="UKF53" s="193"/>
      <c r="UKG53" s="193"/>
      <c r="UKH53" s="193"/>
      <c r="UKI53" s="193"/>
      <c r="UKJ53" s="193"/>
      <c r="UKK53" s="193"/>
      <c r="UKL53" s="193"/>
      <c r="UKM53" s="193"/>
      <c r="UKN53" s="193"/>
      <c r="UKO53" s="193"/>
      <c r="UKP53" s="193"/>
      <c r="UKQ53" s="193"/>
      <c r="UKR53" s="193"/>
      <c r="UKS53" s="193"/>
      <c r="UKT53" s="193"/>
      <c r="UKU53" s="193"/>
      <c r="UKV53" s="193"/>
      <c r="UKW53" s="193"/>
      <c r="UKX53" s="193"/>
      <c r="UKY53" s="193"/>
      <c r="UKZ53" s="193"/>
      <c r="ULA53" s="193"/>
      <c r="ULB53" s="193"/>
      <c r="ULC53" s="193"/>
      <c r="ULD53" s="193"/>
      <c r="ULE53" s="193"/>
      <c r="ULF53" s="193"/>
      <c r="ULG53" s="193"/>
      <c r="ULH53" s="193"/>
      <c r="ULI53" s="193"/>
      <c r="ULJ53" s="193"/>
      <c r="ULK53" s="193"/>
      <c r="ULL53" s="193"/>
      <c r="ULM53" s="193"/>
      <c r="ULN53" s="193"/>
      <c r="ULO53" s="193"/>
      <c r="ULP53" s="193"/>
      <c r="ULQ53" s="193"/>
      <c r="ULR53" s="193"/>
      <c r="ULS53" s="193"/>
      <c r="ULT53" s="193"/>
      <c r="ULU53" s="193"/>
      <c r="ULV53" s="193"/>
      <c r="ULW53" s="193"/>
      <c r="ULX53" s="193"/>
      <c r="ULY53" s="193"/>
      <c r="ULZ53" s="193"/>
      <c r="UMA53" s="193"/>
      <c r="UMB53" s="193"/>
      <c r="UMC53" s="193"/>
      <c r="UMD53" s="193"/>
      <c r="UME53" s="193"/>
      <c r="UMF53" s="193"/>
      <c r="UMG53" s="193"/>
      <c r="UMH53" s="193"/>
      <c r="UMI53" s="193"/>
      <c r="UMJ53" s="193"/>
      <c r="UMK53" s="193"/>
      <c r="UML53" s="193"/>
      <c r="UMM53" s="193"/>
      <c r="UMN53" s="193"/>
      <c r="UMO53" s="193"/>
      <c r="UMP53" s="193"/>
      <c r="UMQ53" s="193"/>
      <c r="UMR53" s="193"/>
      <c r="UMS53" s="193"/>
      <c r="UMT53" s="193"/>
      <c r="UMU53" s="193"/>
      <c r="UMV53" s="193"/>
      <c r="UMW53" s="193"/>
      <c r="UMX53" s="193"/>
      <c r="UMY53" s="193"/>
      <c r="UMZ53" s="193"/>
      <c r="UNA53" s="193"/>
      <c r="UNB53" s="193"/>
      <c r="UNC53" s="193"/>
      <c r="UND53" s="193"/>
      <c r="UNE53" s="193"/>
      <c r="UNF53" s="193"/>
      <c r="UNG53" s="193"/>
      <c r="UNH53" s="193"/>
      <c r="UNI53" s="193"/>
      <c r="UNJ53" s="193"/>
      <c r="UNK53" s="193"/>
      <c r="UNL53" s="193"/>
      <c r="UNM53" s="193"/>
      <c r="UNN53" s="193"/>
      <c r="UNO53" s="193"/>
      <c r="UNP53" s="193"/>
      <c r="UNQ53" s="193"/>
      <c r="UNR53" s="193"/>
      <c r="UNS53" s="193"/>
      <c r="UNT53" s="193"/>
      <c r="UNU53" s="193"/>
      <c r="UNV53" s="193"/>
      <c r="UNW53" s="193"/>
      <c r="UNX53" s="193"/>
      <c r="UNY53" s="193"/>
      <c r="UNZ53" s="193"/>
      <c r="UOA53" s="193"/>
      <c r="UOB53" s="193"/>
      <c r="UOC53" s="193"/>
      <c r="UOD53" s="193"/>
      <c r="UOE53" s="193"/>
      <c r="UOF53" s="193"/>
      <c r="UOG53" s="193"/>
      <c r="UOH53" s="193"/>
      <c r="UOI53" s="193"/>
      <c r="UOJ53" s="193"/>
      <c r="UOK53" s="193"/>
      <c r="UOL53" s="193"/>
      <c r="UOM53" s="193"/>
      <c r="UON53" s="193"/>
      <c r="UOO53" s="193"/>
      <c r="UOP53" s="193"/>
      <c r="UOQ53" s="193"/>
      <c r="UOR53" s="193"/>
      <c r="UOS53" s="193"/>
      <c r="UOT53" s="193"/>
      <c r="UOU53" s="193"/>
      <c r="UOV53" s="193"/>
      <c r="UOW53" s="193"/>
      <c r="UOX53" s="193"/>
      <c r="UOY53" s="193"/>
      <c r="UOZ53" s="193"/>
      <c r="UPA53" s="193"/>
      <c r="UPB53" s="193"/>
      <c r="UPC53" s="193"/>
      <c r="UPD53" s="193"/>
      <c r="UPE53" s="193"/>
      <c r="UPF53" s="193"/>
      <c r="UPG53" s="193"/>
      <c r="UPH53" s="193"/>
      <c r="UPI53" s="193"/>
      <c r="UPJ53" s="193"/>
      <c r="UPK53" s="193"/>
      <c r="UPL53" s="193"/>
      <c r="UPM53" s="193"/>
      <c r="UPN53" s="193"/>
      <c r="UPO53" s="193"/>
      <c r="UPP53" s="193"/>
      <c r="UPQ53" s="193"/>
      <c r="UPR53" s="193"/>
      <c r="UPS53" s="193"/>
      <c r="UPT53" s="193"/>
      <c r="UPU53" s="193"/>
      <c r="UPV53" s="193"/>
      <c r="UPW53" s="193"/>
      <c r="UPX53" s="193"/>
      <c r="UPY53" s="193"/>
      <c r="UPZ53" s="193"/>
      <c r="UQA53" s="193"/>
      <c r="UQB53" s="193"/>
      <c r="UQC53" s="193"/>
      <c r="UQD53" s="193"/>
      <c r="UQE53" s="193"/>
      <c r="UQF53" s="193"/>
      <c r="UQG53" s="193"/>
      <c r="UQH53" s="193"/>
      <c r="UQI53" s="193"/>
      <c r="UQJ53" s="193"/>
      <c r="UQK53" s="193"/>
      <c r="UQL53" s="193"/>
      <c r="UQM53" s="193"/>
      <c r="UQN53" s="193"/>
      <c r="UQO53" s="193"/>
      <c r="UQP53" s="193"/>
      <c r="UQQ53" s="193"/>
      <c r="UQR53" s="193"/>
      <c r="UQS53" s="193"/>
      <c r="UQT53" s="193"/>
      <c r="UQU53" s="193"/>
      <c r="UQV53" s="193"/>
      <c r="UQW53" s="193"/>
      <c r="UQX53" s="193"/>
      <c r="UQY53" s="193"/>
      <c r="UQZ53" s="193"/>
      <c r="URA53" s="193"/>
      <c r="URB53" s="193"/>
      <c r="URC53" s="193"/>
      <c r="URD53" s="193"/>
      <c r="URE53" s="193"/>
      <c r="URF53" s="193"/>
      <c r="URG53" s="193"/>
      <c r="URH53" s="193"/>
      <c r="URI53" s="193"/>
      <c r="URJ53" s="193"/>
      <c r="URK53" s="193"/>
      <c r="URL53" s="193"/>
      <c r="URM53" s="193"/>
      <c r="URN53" s="193"/>
      <c r="URO53" s="193"/>
      <c r="URP53" s="193"/>
      <c r="URQ53" s="193"/>
      <c r="URR53" s="193"/>
      <c r="URS53" s="193"/>
      <c r="URT53" s="193"/>
      <c r="URU53" s="193"/>
      <c r="URV53" s="193"/>
      <c r="URW53" s="193"/>
      <c r="URX53" s="193"/>
      <c r="URY53" s="193"/>
      <c r="URZ53" s="193"/>
      <c r="USA53" s="193"/>
      <c r="USB53" s="193"/>
      <c r="USC53" s="193"/>
      <c r="USD53" s="193"/>
      <c r="USE53" s="193"/>
      <c r="USF53" s="193"/>
      <c r="USG53" s="193"/>
      <c r="USH53" s="193"/>
      <c r="USI53" s="193"/>
      <c r="USJ53" s="193"/>
      <c r="USK53" s="193"/>
      <c r="USL53" s="193"/>
      <c r="USM53" s="193"/>
      <c r="USN53" s="193"/>
      <c r="USO53" s="193"/>
      <c r="USP53" s="193"/>
      <c r="USQ53" s="193"/>
      <c r="USR53" s="193"/>
      <c r="USS53" s="193"/>
      <c r="UST53" s="193"/>
      <c r="USU53" s="193"/>
      <c r="USV53" s="193"/>
      <c r="USW53" s="193"/>
      <c r="USX53" s="193"/>
      <c r="USY53" s="193"/>
      <c r="USZ53" s="193"/>
      <c r="UTA53" s="193"/>
      <c r="UTB53" s="193"/>
      <c r="UTC53" s="193"/>
      <c r="UTD53" s="193"/>
      <c r="UTE53" s="193"/>
      <c r="UTF53" s="193"/>
      <c r="UTG53" s="193"/>
      <c r="UTH53" s="193"/>
      <c r="UTI53" s="193"/>
      <c r="UTJ53" s="193"/>
      <c r="UTK53" s="193"/>
      <c r="UTL53" s="193"/>
      <c r="UTM53" s="193"/>
      <c r="UTN53" s="193"/>
      <c r="UTO53" s="193"/>
      <c r="UTP53" s="193"/>
      <c r="UTQ53" s="193"/>
      <c r="UTR53" s="193"/>
      <c r="UTS53" s="193"/>
      <c r="UTT53" s="193"/>
      <c r="UTU53" s="193"/>
      <c r="UTV53" s="193"/>
      <c r="UTW53" s="193"/>
      <c r="UTX53" s="193"/>
      <c r="UTY53" s="193"/>
      <c r="UTZ53" s="193"/>
      <c r="UUA53" s="193"/>
      <c r="UUB53" s="193"/>
      <c r="UUC53" s="193"/>
      <c r="UUD53" s="193"/>
      <c r="UUE53" s="193"/>
      <c r="UUF53" s="193"/>
      <c r="UUG53" s="193"/>
      <c r="UUH53" s="193"/>
      <c r="UUI53" s="193"/>
      <c r="UUJ53" s="193"/>
      <c r="UUK53" s="193"/>
      <c r="UUL53" s="193"/>
      <c r="UUM53" s="193"/>
      <c r="UUN53" s="193"/>
      <c r="UUO53" s="193"/>
      <c r="UUP53" s="193"/>
      <c r="UUQ53" s="193"/>
      <c r="UUR53" s="193"/>
      <c r="UUS53" s="193"/>
      <c r="UUT53" s="193"/>
      <c r="UUU53" s="193"/>
      <c r="UUV53" s="193"/>
      <c r="UUW53" s="193"/>
      <c r="UUX53" s="193"/>
      <c r="UUY53" s="193"/>
      <c r="UUZ53" s="193"/>
      <c r="UVA53" s="193"/>
      <c r="UVB53" s="193"/>
      <c r="UVC53" s="193"/>
      <c r="UVD53" s="193"/>
      <c r="UVE53" s="193"/>
      <c r="UVF53" s="193"/>
      <c r="UVG53" s="193"/>
      <c r="UVH53" s="193"/>
      <c r="UVI53" s="193"/>
      <c r="UVJ53" s="193"/>
      <c r="UVK53" s="193"/>
      <c r="UVL53" s="193"/>
      <c r="UVM53" s="193"/>
      <c r="UVN53" s="193"/>
      <c r="UVO53" s="193"/>
      <c r="UVP53" s="193"/>
      <c r="UVQ53" s="193"/>
      <c r="UVR53" s="193"/>
      <c r="UVS53" s="193"/>
      <c r="UVT53" s="193"/>
      <c r="UVU53" s="193"/>
      <c r="UVV53" s="193"/>
      <c r="UVW53" s="193"/>
      <c r="UVX53" s="193"/>
      <c r="UVY53" s="193"/>
      <c r="UVZ53" s="193"/>
      <c r="UWA53" s="193"/>
      <c r="UWB53" s="193"/>
      <c r="UWC53" s="193"/>
      <c r="UWD53" s="193"/>
      <c r="UWE53" s="193"/>
      <c r="UWF53" s="193"/>
      <c r="UWG53" s="193"/>
      <c r="UWH53" s="193"/>
      <c r="UWI53" s="193"/>
      <c r="UWJ53" s="193"/>
      <c r="UWK53" s="193"/>
      <c r="UWL53" s="193"/>
      <c r="UWM53" s="193"/>
      <c r="UWN53" s="193"/>
      <c r="UWO53" s="193"/>
      <c r="UWP53" s="193"/>
      <c r="UWQ53" s="193"/>
      <c r="UWR53" s="193"/>
      <c r="UWS53" s="193"/>
      <c r="UWT53" s="193"/>
      <c r="UWU53" s="193"/>
      <c r="UWV53" s="193"/>
      <c r="UWW53" s="193"/>
      <c r="UWX53" s="193"/>
      <c r="UWY53" s="193"/>
      <c r="UWZ53" s="193"/>
      <c r="UXA53" s="193"/>
      <c r="UXB53" s="193"/>
      <c r="UXC53" s="193"/>
      <c r="UXD53" s="193"/>
      <c r="UXE53" s="193"/>
      <c r="UXF53" s="193"/>
      <c r="UXG53" s="193"/>
      <c r="UXH53" s="193"/>
      <c r="UXI53" s="193"/>
      <c r="UXJ53" s="193"/>
      <c r="UXK53" s="193"/>
      <c r="UXL53" s="193"/>
      <c r="UXM53" s="193"/>
      <c r="UXN53" s="193"/>
      <c r="UXO53" s="193"/>
      <c r="UXP53" s="193"/>
      <c r="UXQ53" s="193"/>
      <c r="UXR53" s="193"/>
      <c r="UXS53" s="193"/>
      <c r="UXT53" s="193"/>
      <c r="UXU53" s="193"/>
      <c r="UXV53" s="193"/>
      <c r="UXW53" s="193"/>
      <c r="UXX53" s="193"/>
      <c r="UXY53" s="193"/>
      <c r="UXZ53" s="193"/>
      <c r="UYA53" s="193"/>
      <c r="UYB53" s="193"/>
      <c r="UYC53" s="193"/>
      <c r="UYD53" s="193"/>
      <c r="UYE53" s="193"/>
      <c r="UYF53" s="193"/>
      <c r="UYG53" s="193"/>
      <c r="UYH53" s="193"/>
      <c r="UYI53" s="193"/>
      <c r="UYJ53" s="193"/>
      <c r="UYK53" s="193"/>
      <c r="UYL53" s="193"/>
      <c r="UYM53" s="193"/>
      <c r="UYN53" s="193"/>
      <c r="UYO53" s="193"/>
      <c r="UYP53" s="193"/>
      <c r="UYQ53" s="193"/>
      <c r="UYR53" s="193"/>
      <c r="UYS53" s="193"/>
      <c r="UYT53" s="193"/>
      <c r="UYU53" s="193"/>
      <c r="UYV53" s="193"/>
      <c r="UYW53" s="193"/>
      <c r="UYX53" s="193"/>
      <c r="UYY53" s="193"/>
      <c r="UYZ53" s="193"/>
      <c r="UZA53" s="193"/>
      <c r="UZB53" s="193"/>
      <c r="UZC53" s="193"/>
      <c r="UZD53" s="193"/>
      <c r="UZE53" s="193"/>
      <c r="UZF53" s="193"/>
      <c r="UZG53" s="193"/>
      <c r="UZH53" s="193"/>
      <c r="UZI53" s="193"/>
      <c r="UZJ53" s="193"/>
      <c r="UZK53" s="193"/>
      <c r="UZL53" s="193"/>
      <c r="UZM53" s="193"/>
      <c r="UZN53" s="193"/>
      <c r="UZO53" s="193"/>
      <c r="UZP53" s="193"/>
      <c r="UZQ53" s="193"/>
      <c r="UZR53" s="193"/>
      <c r="UZS53" s="193"/>
      <c r="UZT53" s="193"/>
      <c r="UZU53" s="193"/>
      <c r="UZV53" s="193"/>
      <c r="UZW53" s="193"/>
      <c r="UZX53" s="193"/>
      <c r="UZY53" s="193"/>
      <c r="UZZ53" s="193"/>
      <c r="VAA53" s="193"/>
      <c r="VAB53" s="193"/>
      <c r="VAC53" s="193"/>
      <c r="VAD53" s="193"/>
      <c r="VAE53" s="193"/>
      <c r="VAF53" s="193"/>
      <c r="VAG53" s="193"/>
      <c r="VAH53" s="193"/>
      <c r="VAI53" s="193"/>
      <c r="VAJ53" s="193"/>
      <c r="VAK53" s="193"/>
      <c r="VAL53" s="193"/>
      <c r="VAM53" s="193"/>
      <c r="VAN53" s="193"/>
      <c r="VAO53" s="193"/>
      <c r="VAP53" s="193"/>
      <c r="VAQ53" s="193"/>
      <c r="VAR53" s="193"/>
      <c r="VAS53" s="193"/>
      <c r="VAT53" s="193"/>
      <c r="VAU53" s="193"/>
      <c r="VAV53" s="193"/>
      <c r="VAW53" s="193"/>
      <c r="VAX53" s="193"/>
      <c r="VAY53" s="193"/>
      <c r="VAZ53" s="193"/>
      <c r="VBA53" s="193"/>
      <c r="VBB53" s="193"/>
      <c r="VBC53" s="193"/>
      <c r="VBD53" s="193"/>
      <c r="VBE53" s="193"/>
      <c r="VBF53" s="193"/>
      <c r="VBG53" s="193"/>
      <c r="VBH53" s="193"/>
      <c r="VBI53" s="193"/>
      <c r="VBJ53" s="193"/>
      <c r="VBK53" s="193"/>
      <c r="VBL53" s="193"/>
      <c r="VBM53" s="193"/>
      <c r="VBN53" s="193"/>
      <c r="VBO53" s="193"/>
      <c r="VBP53" s="193"/>
      <c r="VBQ53" s="193"/>
      <c r="VBR53" s="193"/>
      <c r="VBS53" s="193"/>
      <c r="VBT53" s="193"/>
      <c r="VBU53" s="193"/>
      <c r="VBV53" s="193"/>
      <c r="VBW53" s="193"/>
      <c r="VBX53" s="193"/>
      <c r="VBY53" s="193"/>
      <c r="VBZ53" s="193"/>
      <c r="VCA53" s="193"/>
      <c r="VCB53" s="193"/>
      <c r="VCC53" s="193"/>
      <c r="VCD53" s="193"/>
      <c r="VCE53" s="193"/>
      <c r="VCF53" s="193"/>
      <c r="VCG53" s="193"/>
      <c r="VCH53" s="193"/>
      <c r="VCI53" s="193"/>
      <c r="VCJ53" s="193"/>
      <c r="VCK53" s="193"/>
      <c r="VCL53" s="193"/>
      <c r="VCM53" s="193"/>
      <c r="VCN53" s="193"/>
      <c r="VCO53" s="193"/>
      <c r="VCP53" s="193"/>
      <c r="VCQ53" s="193"/>
      <c r="VCR53" s="193"/>
      <c r="VCS53" s="193"/>
      <c r="VCT53" s="193"/>
      <c r="VCU53" s="193"/>
      <c r="VCV53" s="193"/>
      <c r="VCW53" s="193"/>
      <c r="VCX53" s="193"/>
      <c r="VCY53" s="193"/>
      <c r="VCZ53" s="193"/>
      <c r="VDA53" s="193"/>
      <c r="VDB53" s="193"/>
      <c r="VDC53" s="193"/>
      <c r="VDD53" s="193"/>
      <c r="VDE53" s="193"/>
      <c r="VDF53" s="193"/>
      <c r="VDG53" s="193"/>
      <c r="VDH53" s="193"/>
      <c r="VDI53" s="193"/>
      <c r="VDJ53" s="193"/>
      <c r="VDK53" s="193"/>
      <c r="VDL53" s="193"/>
      <c r="VDM53" s="193"/>
      <c r="VDN53" s="193"/>
      <c r="VDO53" s="193"/>
      <c r="VDP53" s="193"/>
      <c r="VDQ53" s="193"/>
      <c r="VDR53" s="193"/>
      <c r="VDS53" s="193"/>
      <c r="VDT53" s="193"/>
      <c r="VDU53" s="193"/>
      <c r="VDV53" s="193"/>
      <c r="VDW53" s="193"/>
      <c r="VDX53" s="193"/>
      <c r="VDY53" s="193"/>
      <c r="VDZ53" s="193"/>
      <c r="VEA53" s="193"/>
      <c r="VEB53" s="193"/>
      <c r="VEC53" s="193"/>
      <c r="VED53" s="193"/>
      <c r="VEE53" s="193"/>
      <c r="VEF53" s="193"/>
      <c r="VEG53" s="193"/>
      <c r="VEH53" s="193"/>
      <c r="VEI53" s="193"/>
      <c r="VEJ53" s="193"/>
      <c r="VEK53" s="193"/>
      <c r="VEL53" s="193"/>
      <c r="VEM53" s="193"/>
      <c r="VEN53" s="193"/>
      <c r="VEO53" s="193"/>
      <c r="VEP53" s="193"/>
      <c r="VEQ53" s="193"/>
      <c r="VER53" s="193"/>
      <c r="VES53" s="193"/>
      <c r="VET53" s="193"/>
      <c r="VEU53" s="193"/>
      <c r="VEV53" s="193"/>
      <c r="VEW53" s="193"/>
      <c r="VEX53" s="193"/>
      <c r="VEY53" s="193"/>
      <c r="VEZ53" s="193"/>
      <c r="VFA53" s="193"/>
      <c r="VFB53" s="193"/>
      <c r="VFC53" s="193"/>
      <c r="VFD53" s="193"/>
      <c r="VFE53" s="193"/>
      <c r="VFF53" s="193"/>
      <c r="VFG53" s="193"/>
      <c r="VFH53" s="193"/>
      <c r="VFI53" s="193"/>
      <c r="VFJ53" s="193"/>
      <c r="VFK53" s="193"/>
      <c r="VFL53" s="193"/>
      <c r="VFM53" s="193"/>
      <c r="VFN53" s="193"/>
      <c r="VFO53" s="193"/>
      <c r="VFP53" s="193"/>
      <c r="VFQ53" s="193"/>
      <c r="VFR53" s="193"/>
      <c r="VFS53" s="193"/>
      <c r="VFT53" s="193"/>
      <c r="VFU53" s="193"/>
      <c r="VFV53" s="193"/>
      <c r="VFW53" s="193"/>
      <c r="VFX53" s="193"/>
      <c r="VFY53" s="193"/>
      <c r="VFZ53" s="193"/>
      <c r="VGA53" s="193"/>
      <c r="VGB53" s="193"/>
      <c r="VGC53" s="193"/>
      <c r="VGD53" s="193"/>
      <c r="VGE53" s="193"/>
      <c r="VGF53" s="193"/>
      <c r="VGG53" s="193"/>
      <c r="VGH53" s="193"/>
      <c r="VGI53" s="193"/>
      <c r="VGJ53" s="193"/>
      <c r="VGK53" s="193"/>
      <c r="VGL53" s="193"/>
      <c r="VGM53" s="193"/>
      <c r="VGN53" s="193"/>
      <c r="VGO53" s="193"/>
      <c r="VGP53" s="193"/>
      <c r="VGQ53" s="193"/>
      <c r="VGR53" s="193"/>
      <c r="VGS53" s="193"/>
      <c r="VGT53" s="193"/>
      <c r="VGU53" s="193"/>
      <c r="VGV53" s="193"/>
      <c r="VGW53" s="193"/>
      <c r="VGX53" s="193"/>
      <c r="VGY53" s="193"/>
      <c r="VGZ53" s="193"/>
      <c r="VHA53" s="193"/>
      <c r="VHB53" s="193"/>
      <c r="VHC53" s="193"/>
      <c r="VHD53" s="193"/>
      <c r="VHE53" s="193"/>
      <c r="VHF53" s="193"/>
      <c r="VHG53" s="193"/>
      <c r="VHH53" s="193"/>
      <c r="VHI53" s="193"/>
      <c r="VHJ53" s="193"/>
      <c r="VHK53" s="193"/>
      <c r="VHL53" s="193"/>
      <c r="VHM53" s="193"/>
      <c r="VHN53" s="193"/>
      <c r="VHO53" s="193"/>
      <c r="VHP53" s="193"/>
      <c r="VHQ53" s="193"/>
      <c r="VHR53" s="193"/>
      <c r="VHS53" s="193"/>
      <c r="VHT53" s="193"/>
      <c r="VHU53" s="193"/>
      <c r="VHV53" s="193"/>
      <c r="VHW53" s="193"/>
      <c r="VHX53" s="193"/>
      <c r="VHY53" s="193"/>
      <c r="VHZ53" s="193"/>
      <c r="VIA53" s="193"/>
      <c r="VIB53" s="193"/>
      <c r="VIC53" s="193"/>
      <c r="VID53" s="193"/>
      <c r="VIE53" s="193"/>
      <c r="VIF53" s="193"/>
      <c r="VIG53" s="193"/>
      <c r="VIH53" s="193"/>
      <c r="VII53" s="193"/>
      <c r="VIJ53" s="193"/>
      <c r="VIK53" s="193"/>
      <c r="VIL53" s="193"/>
      <c r="VIM53" s="193"/>
      <c r="VIN53" s="193"/>
      <c r="VIO53" s="193"/>
      <c r="VIP53" s="193"/>
      <c r="VIQ53" s="193"/>
      <c r="VIR53" s="193"/>
      <c r="VIS53" s="193"/>
      <c r="VIT53" s="193"/>
      <c r="VIU53" s="193"/>
      <c r="VIV53" s="193"/>
      <c r="VIW53" s="193"/>
      <c r="VIX53" s="193"/>
      <c r="VIY53" s="193"/>
      <c r="VIZ53" s="193"/>
      <c r="VJA53" s="193"/>
      <c r="VJB53" s="193"/>
      <c r="VJC53" s="193"/>
      <c r="VJD53" s="193"/>
      <c r="VJE53" s="193"/>
      <c r="VJF53" s="193"/>
      <c r="VJG53" s="193"/>
      <c r="VJH53" s="193"/>
      <c r="VJI53" s="193"/>
      <c r="VJJ53" s="193"/>
      <c r="VJK53" s="193"/>
      <c r="VJL53" s="193"/>
      <c r="VJM53" s="193"/>
      <c r="VJN53" s="193"/>
      <c r="VJO53" s="193"/>
      <c r="VJP53" s="193"/>
      <c r="VJQ53" s="193"/>
      <c r="VJR53" s="193"/>
      <c r="VJS53" s="193"/>
      <c r="VJT53" s="193"/>
      <c r="VJU53" s="193"/>
      <c r="VJV53" s="193"/>
      <c r="VJW53" s="193"/>
      <c r="VJX53" s="193"/>
      <c r="VJY53" s="193"/>
      <c r="VJZ53" s="193"/>
      <c r="VKA53" s="193"/>
      <c r="VKB53" s="193"/>
      <c r="VKC53" s="193"/>
      <c r="VKD53" s="193"/>
      <c r="VKE53" s="193"/>
      <c r="VKF53" s="193"/>
      <c r="VKG53" s="193"/>
      <c r="VKH53" s="193"/>
      <c r="VKI53" s="193"/>
      <c r="VKJ53" s="193"/>
      <c r="VKK53" s="193"/>
      <c r="VKL53" s="193"/>
      <c r="VKM53" s="193"/>
      <c r="VKN53" s="193"/>
      <c r="VKO53" s="193"/>
      <c r="VKP53" s="193"/>
      <c r="VKQ53" s="193"/>
      <c r="VKR53" s="193"/>
      <c r="VKS53" s="193"/>
      <c r="VKT53" s="193"/>
      <c r="VKU53" s="193"/>
      <c r="VKV53" s="193"/>
      <c r="VKW53" s="193"/>
      <c r="VKX53" s="193"/>
      <c r="VKY53" s="193"/>
      <c r="VKZ53" s="193"/>
      <c r="VLA53" s="193"/>
      <c r="VLB53" s="193"/>
      <c r="VLC53" s="193"/>
      <c r="VLD53" s="193"/>
      <c r="VLE53" s="193"/>
      <c r="VLF53" s="193"/>
      <c r="VLG53" s="193"/>
      <c r="VLH53" s="193"/>
      <c r="VLI53" s="193"/>
      <c r="VLJ53" s="193"/>
      <c r="VLK53" s="193"/>
      <c r="VLL53" s="193"/>
      <c r="VLM53" s="193"/>
      <c r="VLN53" s="193"/>
      <c r="VLO53" s="193"/>
      <c r="VLP53" s="193"/>
      <c r="VLQ53" s="193"/>
      <c r="VLR53" s="193"/>
      <c r="VLS53" s="193"/>
      <c r="VLT53" s="193"/>
      <c r="VLU53" s="193"/>
      <c r="VLV53" s="193"/>
      <c r="VLW53" s="193"/>
      <c r="VLX53" s="193"/>
      <c r="VLY53" s="193"/>
      <c r="VLZ53" s="193"/>
      <c r="VMA53" s="193"/>
      <c r="VMB53" s="193"/>
      <c r="VMC53" s="193"/>
      <c r="VMD53" s="193"/>
      <c r="VME53" s="193"/>
      <c r="VMF53" s="193"/>
      <c r="VMG53" s="193"/>
      <c r="VMH53" s="193"/>
      <c r="VMI53" s="193"/>
      <c r="VMJ53" s="193"/>
      <c r="VMK53" s="193"/>
      <c r="VML53" s="193"/>
      <c r="VMM53" s="193"/>
      <c r="VMN53" s="193"/>
      <c r="VMO53" s="193"/>
      <c r="VMP53" s="193"/>
      <c r="VMQ53" s="193"/>
      <c r="VMR53" s="193"/>
      <c r="VMS53" s="193"/>
      <c r="VMT53" s="193"/>
      <c r="VMU53" s="193"/>
      <c r="VMV53" s="193"/>
      <c r="VMW53" s="193"/>
      <c r="VMX53" s="193"/>
      <c r="VMY53" s="193"/>
      <c r="VMZ53" s="193"/>
      <c r="VNA53" s="193"/>
      <c r="VNB53" s="193"/>
      <c r="VNC53" s="193"/>
      <c r="VND53" s="193"/>
      <c r="VNE53" s="193"/>
      <c r="VNF53" s="193"/>
      <c r="VNG53" s="193"/>
      <c r="VNH53" s="193"/>
      <c r="VNI53" s="193"/>
      <c r="VNJ53" s="193"/>
      <c r="VNK53" s="193"/>
      <c r="VNL53" s="193"/>
      <c r="VNM53" s="193"/>
      <c r="VNN53" s="193"/>
      <c r="VNO53" s="193"/>
      <c r="VNP53" s="193"/>
      <c r="VNQ53" s="193"/>
      <c r="VNR53" s="193"/>
      <c r="VNS53" s="193"/>
      <c r="VNT53" s="193"/>
      <c r="VNU53" s="193"/>
      <c r="VNV53" s="193"/>
      <c r="VNW53" s="193"/>
      <c r="VNX53" s="193"/>
      <c r="VNY53" s="193"/>
      <c r="VNZ53" s="193"/>
      <c r="VOA53" s="193"/>
      <c r="VOB53" s="193"/>
      <c r="VOC53" s="193"/>
      <c r="VOD53" s="193"/>
      <c r="VOE53" s="193"/>
      <c r="VOF53" s="193"/>
      <c r="VOG53" s="193"/>
      <c r="VOH53" s="193"/>
      <c r="VOI53" s="193"/>
      <c r="VOJ53" s="193"/>
      <c r="VOK53" s="193"/>
      <c r="VOL53" s="193"/>
      <c r="VOM53" s="193"/>
      <c r="VON53" s="193"/>
      <c r="VOO53" s="193"/>
      <c r="VOP53" s="193"/>
      <c r="VOQ53" s="193"/>
      <c r="VOR53" s="193"/>
      <c r="VOS53" s="193"/>
      <c r="VOT53" s="193"/>
      <c r="VOU53" s="193"/>
      <c r="VOV53" s="193"/>
      <c r="VOW53" s="193"/>
      <c r="VOX53" s="193"/>
      <c r="VOY53" s="193"/>
      <c r="VOZ53" s="193"/>
      <c r="VPA53" s="193"/>
      <c r="VPB53" s="193"/>
      <c r="VPC53" s="193"/>
      <c r="VPD53" s="193"/>
      <c r="VPE53" s="193"/>
      <c r="VPF53" s="193"/>
      <c r="VPG53" s="193"/>
      <c r="VPH53" s="193"/>
      <c r="VPI53" s="193"/>
      <c r="VPJ53" s="193"/>
      <c r="VPK53" s="193"/>
      <c r="VPL53" s="193"/>
      <c r="VPM53" s="193"/>
      <c r="VPN53" s="193"/>
      <c r="VPO53" s="193"/>
      <c r="VPP53" s="193"/>
      <c r="VPQ53" s="193"/>
      <c r="VPR53" s="193"/>
      <c r="VPS53" s="193"/>
      <c r="VPT53" s="193"/>
      <c r="VPU53" s="193"/>
      <c r="VPV53" s="193"/>
      <c r="VPW53" s="193"/>
      <c r="VPX53" s="193"/>
      <c r="VPY53" s="193"/>
      <c r="VPZ53" s="193"/>
      <c r="VQA53" s="193"/>
      <c r="VQB53" s="193"/>
      <c r="VQC53" s="193"/>
      <c r="VQD53" s="193"/>
      <c r="VQE53" s="193"/>
      <c r="VQF53" s="193"/>
      <c r="VQG53" s="193"/>
      <c r="VQH53" s="193"/>
      <c r="VQI53" s="193"/>
      <c r="VQJ53" s="193"/>
      <c r="VQK53" s="193"/>
      <c r="VQL53" s="193"/>
      <c r="VQM53" s="193"/>
      <c r="VQN53" s="193"/>
      <c r="VQO53" s="193"/>
      <c r="VQP53" s="193"/>
      <c r="VQQ53" s="193"/>
      <c r="VQR53" s="193"/>
      <c r="VQS53" s="193"/>
      <c r="VQT53" s="193"/>
      <c r="VQU53" s="193"/>
      <c r="VQV53" s="193"/>
      <c r="VQW53" s="193"/>
      <c r="VQX53" s="193"/>
      <c r="VQY53" s="193"/>
      <c r="VQZ53" s="193"/>
      <c r="VRA53" s="193"/>
      <c r="VRB53" s="193"/>
      <c r="VRC53" s="193"/>
      <c r="VRD53" s="193"/>
      <c r="VRE53" s="193"/>
      <c r="VRF53" s="193"/>
      <c r="VRG53" s="193"/>
      <c r="VRH53" s="193"/>
      <c r="VRI53" s="193"/>
      <c r="VRJ53" s="193"/>
      <c r="VRK53" s="193"/>
      <c r="VRL53" s="193"/>
      <c r="VRM53" s="193"/>
      <c r="VRN53" s="193"/>
      <c r="VRO53" s="193"/>
      <c r="VRP53" s="193"/>
      <c r="VRQ53" s="193"/>
      <c r="VRR53" s="193"/>
      <c r="VRS53" s="193"/>
      <c r="VRT53" s="193"/>
      <c r="VRU53" s="193"/>
      <c r="VRV53" s="193"/>
      <c r="VRW53" s="193"/>
      <c r="VRX53" s="193"/>
      <c r="VRY53" s="193"/>
      <c r="VRZ53" s="193"/>
      <c r="VSA53" s="193"/>
      <c r="VSB53" s="193"/>
      <c r="VSC53" s="193"/>
      <c r="VSD53" s="193"/>
      <c r="VSE53" s="193"/>
      <c r="VSF53" s="193"/>
      <c r="VSG53" s="193"/>
      <c r="VSH53" s="193"/>
      <c r="VSI53" s="193"/>
      <c r="VSJ53" s="193"/>
      <c r="VSK53" s="193"/>
      <c r="VSL53" s="193"/>
      <c r="VSM53" s="193"/>
      <c r="VSN53" s="193"/>
      <c r="VSO53" s="193"/>
      <c r="VSP53" s="193"/>
      <c r="VSQ53" s="193"/>
      <c r="VSR53" s="193"/>
      <c r="VSS53" s="193"/>
      <c r="VST53" s="193"/>
      <c r="VSU53" s="193"/>
      <c r="VSV53" s="193"/>
      <c r="VSW53" s="193"/>
      <c r="VSX53" s="193"/>
      <c r="VSY53" s="193"/>
      <c r="VSZ53" s="193"/>
      <c r="VTA53" s="193"/>
      <c r="VTB53" s="193"/>
      <c r="VTC53" s="193"/>
      <c r="VTD53" s="193"/>
      <c r="VTE53" s="193"/>
      <c r="VTF53" s="193"/>
      <c r="VTG53" s="193"/>
      <c r="VTH53" s="193"/>
      <c r="VTI53" s="193"/>
      <c r="VTJ53" s="193"/>
      <c r="VTK53" s="193"/>
      <c r="VTL53" s="193"/>
      <c r="VTM53" s="193"/>
      <c r="VTN53" s="193"/>
      <c r="VTO53" s="193"/>
      <c r="VTP53" s="193"/>
      <c r="VTQ53" s="193"/>
      <c r="VTR53" s="193"/>
      <c r="VTS53" s="193"/>
      <c r="VTT53" s="193"/>
      <c r="VTU53" s="193"/>
      <c r="VTV53" s="193"/>
      <c r="VTW53" s="193"/>
      <c r="VTX53" s="193"/>
      <c r="VTY53" s="193"/>
      <c r="VTZ53" s="193"/>
      <c r="VUA53" s="193"/>
      <c r="VUB53" s="193"/>
      <c r="VUC53" s="193"/>
      <c r="VUD53" s="193"/>
      <c r="VUE53" s="193"/>
      <c r="VUF53" s="193"/>
      <c r="VUG53" s="193"/>
      <c r="VUH53" s="193"/>
      <c r="VUI53" s="193"/>
      <c r="VUJ53" s="193"/>
      <c r="VUK53" s="193"/>
      <c r="VUL53" s="193"/>
      <c r="VUM53" s="193"/>
      <c r="VUN53" s="193"/>
      <c r="VUO53" s="193"/>
      <c r="VUP53" s="193"/>
      <c r="VUQ53" s="193"/>
      <c r="VUR53" s="193"/>
      <c r="VUS53" s="193"/>
      <c r="VUT53" s="193"/>
      <c r="VUU53" s="193"/>
      <c r="VUV53" s="193"/>
      <c r="VUW53" s="193"/>
      <c r="VUX53" s="193"/>
      <c r="VUY53" s="193"/>
      <c r="VUZ53" s="193"/>
      <c r="VVA53" s="193"/>
      <c r="VVB53" s="193"/>
      <c r="VVC53" s="193"/>
      <c r="VVD53" s="193"/>
      <c r="VVE53" s="193"/>
      <c r="VVF53" s="193"/>
      <c r="VVG53" s="193"/>
      <c r="VVH53" s="193"/>
      <c r="VVI53" s="193"/>
      <c r="VVJ53" s="193"/>
      <c r="VVK53" s="193"/>
      <c r="VVL53" s="193"/>
      <c r="VVM53" s="193"/>
      <c r="VVN53" s="193"/>
      <c r="VVO53" s="193"/>
      <c r="VVP53" s="193"/>
      <c r="VVQ53" s="193"/>
      <c r="VVR53" s="193"/>
      <c r="VVS53" s="193"/>
      <c r="VVT53" s="193"/>
      <c r="VVU53" s="193"/>
      <c r="VVV53" s="193"/>
      <c r="VVW53" s="193"/>
      <c r="VVX53" s="193"/>
      <c r="VVY53" s="193"/>
      <c r="VVZ53" s="193"/>
      <c r="VWA53" s="193"/>
      <c r="VWB53" s="193"/>
      <c r="VWC53" s="193"/>
      <c r="VWD53" s="193"/>
      <c r="VWE53" s="193"/>
      <c r="VWF53" s="193"/>
      <c r="VWG53" s="193"/>
      <c r="VWH53" s="193"/>
      <c r="VWI53" s="193"/>
      <c r="VWJ53" s="193"/>
      <c r="VWK53" s="193"/>
      <c r="VWL53" s="193"/>
      <c r="VWM53" s="193"/>
      <c r="VWN53" s="193"/>
      <c r="VWO53" s="193"/>
      <c r="VWP53" s="193"/>
      <c r="VWQ53" s="193"/>
      <c r="VWR53" s="193"/>
      <c r="VWS53" s="193"/>
      <c r="VWT53" s="193"/>
      <c r="VWU53" s="193"/>
      <c r="VWV53" s="193"/>
      <c r="VWW53" s="193"/>
      <c r="VWX53" s="193"/>
      <c r="VWY53" s="193"/>
      <c r="VWZ53" s="193"/>
      <c r="VXA53" s="193"/>
      <c r="VXB53" s="193"/>
      <c r="VXC53" s="193"/>
      <c r="VXD53" s="193"/>
      <c r="VXE53" s="193"/>
      <c r="VXF53" s="193"/>
      <c r="VXG53" s="193"/>
      <c r="VXH53" s="193"/>
      <c r="VXI53" s="193"/>
      <c r="VXJ53" s="193"/>
      <c r="VXK53" s="193"/>
      <c r="VXL53" s="193"/>
      <c r="VXM53" s="193"/>
      <c r="VXN53" s="193"/>
      <c r="VXO53" s="193"/>
      <c r="VXP53" s="193"/>
      <c r="VXQ53" s="193"/>
      <c r="VXR53" s="193"/>
      <c r="VXS53" s="193"/>
      <c r="VXT53" s="193"/>
      <c r="VXU53" s="193"/>
      <c r="VXV53" s="193"/>
      <c r="VXW53" s="193"/>
      <c r="VXX53" s="193"/>
      <c r="VXY53" s="193"/>
      <c r="VXZ53" s="193"/>
      <c r="VYA53" s="193"/>
      <c r="VYB53" s="193"/>
      <c r="VYC53" s="193"/>
      <c r="VYD53" s="193"/>
      <c r="VYE53" s="193"/>
      <c r="VYF53" s="193"/>
      <c r="VYG53" s="193"/>
      <c r="VYH53" s="193"/>
      <c r="VYI53" s="193"/>
      <c r="VYJ53" s="193"/>
      <c r="VYK53" s="193"/>
      <c r="VYL53" s="193"/>
      <c r="VYM53" s="193"/>
      <c r="VYN53" s="193"/>
      <c r="VYO53" s="193"/>
      <c r="VYP53" s="193"/>
      <c r="VYQ53" s="193"/>
      <c r="VYR53" s="193"/>
      <c r="VYS53" s="193"/>
      <c r="VYT53" s="193"/>
      <c r="VYU53" s="193"/>
      <c r="VYV53" s="193"/>
      <c r="VYW53" s="193"/>
      <c r="VYX53" s="193"/>
      <c r="VYY53" s="193"/>
      <c r="VYZ53" s="193"/>
      <c r="VZA53" s="193"/>
      <c r="VZB53" s="193"/>
      <c r="VZC53" s="193"/>
      <c r="VZD53" s="193"/>
      <c r="VZE53" s="193"/>
      <c r="VZF53" s="193"/>
      <c r="VZG53" s="193"/>
      <c r="VZH53" s="193"/>
      <c r="VZI53" s="193"/>
      <c r="VZJ53" s="193"/>
      <c r="VZK53" s="193"/>
      <c r="VZL53" s="193"/>
      <c r="VZM53" s="193"/>
      <c r="VZN53" s="193"/>
      <c r="VZO53" s="193"/>
      <c r="VZP53" s="193"/>
      <c r="VZQ53" s="193"/>
      <c r="VZR53" s="193"/>
      <c r="VZS53" s="193"/>
      <c r="VZT53" s="193"/>
      <c r="VZU53" s="193"/>
      <c r="VZV53" s="193"/>
      <c r="VZW53" s="193"/>
      <c r="VZX53" s="193"/>
      <c r="VZY53" s="193"/>
      <c r="VZZ53" s="193"/>
      <c r="WAA53" s="193"/>
      <c r="WAB53" s="193"/>
      <c r="WAC53" s="193"/>
      <c r="WAD53" s="193"/>
      <c r="WAE53" s="193"/>
      <c r="WAF53" s="193"/>
      <c r="WAG53" s="193"/>
      <c r="WAH53" s="193"/>
      <c r="WAI53" s="193"/>
      <c r="WAJ53" s="193"/>
      <c r="WAK53" s="193"/>
      <c r="WAL53" s="193"/>
      <c r="WAM53" s="193"/>
      <c r="WAN53" s="193"/>
      <c r="WAO53" s="193"/>
      <c r="WAP53" s="193"/>
      <c r="WAQ53" s="193"/>
      <c r="WAR53" s="193"/>
      <c r="WAS53" s="193"/>
      <c r="WAT53" s="193"/>
      <c r="WAU53" s="193"/>
      <c r="WAV53" s="193"/>
      <c r="WAW53" s="193"/>
      <c r="WAX53" s="193"/>
      <c r="WAY53" s="193"/>
      <c r="WAZ53" s="193"/>
      <c r="WBA53" s="193"/>
      <c r="WBB53" s="193"/>
      <c r="WBC53" s="193"/>
      <c r="WBD53" s="193"/>
      <c r="WBE53" s="193"/>
      <c r="WBF53" s="193"/>
      <c r="WBG53" s="193"/>
      <c r="WBH53" s="193"/>
      <c r="WBI53" s="193"/>
      <c r="WBJ53" s="193"/>
      <c r="WBK53" s="193"/>
      <c r="WBL53" s="193"/>
      <c r="WBM53" s="193"/>
      <c r="WBN53" s="193"/>
      <c r="WBO53" s="193"/>
      <c r="WBP53" s="193"/>
      <c r="WBQ53" s="193"/>
      <c r="WBR53" s="193"/>
      <c r="WBS53" s="193"/>
      <c r="WBT53" s="193"/>
      <c r="WBU53" s="193"/>
      <c r="WBV53" s="193"/>
      <c r="WBW53" s="193"/>
      <c r="WBX53" s="193"/>
      <c r="WBY53" s="193"/>
      <c r="WBZ53" s="193"/>
      <c r="WCA53" s="193"/>
      <c r="WCB53" s="193"/>
      <c r="WCC53" s="193"/>
      <c r="WCD53" s="193"/>
      <c r="WCE53" s="193"/>
      <c r="WCF53" s="193"/>
      <c r="WCG53" s="193"/>
      <c r="WCH53" s="193"/>
      <c r="WCI53" s="193"/>
      <c r="WCJ53" s="193"/>
      <c r="WCK53" s="193"/>
      <c r="WCL53" s="193"/>
      <c r="WCM53" s="193"/>
      <c r="WCN53" s="193"/>
      <c r="WCO53" s="193"/>
      <c r="WCP53" s="193"/>
      <c r="WCQ53" s="193"/>
      <c r="WCR53" s="193"/>
      <c r="WCS53" s="193"/>
      <c r="WCT53" s="193"/>
      <c r="WCU53" s="193"/>
      <c r="WCV53" s="193"/>
      <c r="WCW53" s="193"/>
      <c r="WCX53" s="193"/>
      <c r="WCY53" s="193"/>
      <c r="WCZ53" s="193"/>
      <c r="WDA53" s="193"/>
      <c r="WDB53" s="193"/>
      <c r="WDC53" s="193"/>
      <c r="WDD53" s="193"/>
      <c r="WDE53" s="193"/>
      <c r="WDF53" s="193"/>
      <c r="WDG53" s="193"/>
      <c r="WDH53" s="193"/>
      <c r="WDI53" s="193"/>
      <c r="WDJ53" s="193"/>
      <c r="WDK53" s="193"/>
      <c r="WDL53" s="193"/>
      <c r="WDM53" s="193"/>
      <c r="WDN53" s="193"/>
      <c r="WDO53" s="193"/>
      <c r="WDP53" s="193"/>
      <c r="WDQ53" s="193"/>
      <c r="WDR53" s="193"/>
      <c r="WDS53" s="193"/>
      <c r="WDT53" s="193"/>
      <c r="WDU53" s="193"/>
      <c r="WDV53" s="193"/>
      <c r="WDW53" s="193"/>
      <c r="WDX53" s="193"/>
      <c r="WDY53" s="193"/>
      <c r="WDZ53" s="193"/>
      <c r="WEA53" s="193"/>
      <c r="WEB53" s="193"/>
      <c r="WEC53" s="193"/>
      <c r="WED53" s="193"/>
      <c r="WEE53" s="193"/>
      <c r="WEF53" s="193"/>
      <c r="WEG53" s="193"/>
      <c r="WEH53" s="193"/>
      <c r="WEI53" s="193"/>
      <c r="WEJ53" s="193"/>
      <c r="WEK53" s="193"/>
      <c r="WEL53" s="193"/>
      <c r="WEM53" s="193"/>
      <c r="WEN53" s="193"/>
      <c r="WEO53" s="193"/>
      <c r="WEP53" s="193"/>
      <c r="WEQ53" s="193"/>
      <c r="WER53" s="193"/>
      <c r="WES53" s="193"/>
      <c r="WET53" s="193"/>
      <c r="WEU53" s="193"/>
      <c r="WEV53" s="193"/>
      <c r="WEW53" s="193"/>
      <c r="WEX53" s="193"/>
      <c r="WEY53" s="193"/>
      <c r="WEZ53" s="193"/>
      <c r="WFA53" s="193"/>
      <c r="WFB53" s="193"/>
      <c r="WFC53" s="193"/>
      <c r="WFD53" s="193"/>
      <c r="WFE53" s="193"/>
      <c r="WFF53" s="193"/>
      <c r="WFG53" s="193"/>
      <c r="WFH53" s="193"/>
      <c r="WFI53" s="193"/>
      <c r="WFJ53" s="193"/>
      <c r="WFK53" s="193"/>
      <c r="WFL53" s="193"/>
      <c r="WFM53" s="193"/>
      <c r="WFN53" s="193"/>
      <c r="WFO53" s="193"/>
      <c r="WFP53" s="193"/>
      <c r="WFQ53" s="193"/>
      <c r="WFR53" s="193"/>
      <c r="WFS53" s="193"/>
      <c r="WFT53" s="193"/>
      <c r="WFU53" s="193"/>
      <c r="WFV53" s="193"/>
      <c r="WFW53" s="193"/>
      <c r="WFX53" s="193"/>
      <c r="WFY53" s="193"/>
      <c r="WFZ53" s="193"/>
      <c r="WGA53" s="193"/>
      <c r="WGB53" s="193"/>
      <c r="WGC53" s="193"/>
      <c r="WGD53" s="193"/>
      <c r="WGE53" s="193"/>
      <c r="WGF53" s="193"/>
      <c r="WGG53" s="193"/>
      <c r="WGH53" s="193"/>
      <c r="WGI53" s="193"/>
      <c r="WGJ53" s="193"/>
      <c r="WGK53" s="193"/>
      <c r="WGL53" s="193"/>
      <c r="WGM53" s="193"/>
      <c r="WGN53" s="193"/>
      <c r="WGO53" s="193"/>
      <c r="WGP53" s="193"/>
      <c r="WGQ53" s="193"/>
      <c r="WGR53" s="193"/>
      <c r="WGS53" s="193"/>
      <c r="WGT53" s="193"/>
      <c r="WGU53" s="193"/>
      <c r="WGV53" s="193"/>
      <c r="WGW53" s="193"/>
      <c r="WGX53" s="193"/>
      <c r="WGY53" s="193"/>
      <c r="WGZ53" s="193"/>
      <c r="WHA53" s="193"/>
      <c r="WHB53" s="193"/>
      <c r="WHC53" s="193"/>
      <c r="WHD53" s="193"/>
      <c r="WHE53" s="193"/>
      <c r="WHF53" s="193"/>
      <c r="WHG53" s="193"/>
      <c r="WHH53" s="193"/>
      <c r="WHI53" s="193"/>
      <c r="WHJ53" s="193"/>
      <c r="WHK53" s="193"/>
      <c r="WHL53" s="193"/>
      <c r="WHM53" s="193"/>
      <c r="WHN53" s="193"/>
      <c r="WHO53" s="193"/>
      <c r="WHP53" s="193"/>
      <c r="WHQ53" s="193"/>
      <c r="WHR53" s="193"/>
      <c r="WHS53" s="193"/>
      <c r="WHT53" s="193"/>
      <c r="WHU53" s="193"/>
      <c r="WHV53" s="193"/>
      <c r="WHW53" s="193"/>
      <c r="WHX53" s="193"/>
      <c r="WHY53" s="193"/>
      <c r="WHZ53" s="193"/>
      <c r="WIA53" s="193"/>
      <c r="WIB53" s="193"/>
      <c r="WIC53" s="193"/>
      <c r="WID53" s="193"/>
      <c r="WIE53" s="193"/>
      <c r="WIF53" s="193"/>
      <c r="WIG53" s="193"/>
      <c r="WIH53" s="193"/>
      <c r="WII53" s="193"/>
      <c r="WIJ53" s="193"/>
      <c r="WIK53" s="193"/>
      <c r="WIL53" s="193"/>
      <c r="WIM53" s="193"/>
      <c r="WIN53" s="193"/>
      <c r="WIO53" s="193"/>
      <c r="WIP53" s="193"/>
      <c r="WIQ53" s="193"/>
      <c r="WIR53" s="193"/>
      <c r="WIS53" s="193"/>
      <c r="WIT53" s="193"/>
      <c r="WIU53" s="193"/>
      <c r="WIV53" s="193"/>
      <c r="WIW53" s="193"/>
      <c r="WIX53" s="193"/>
      <c r="WIY53" s="193"/>
      <c r="WIZ53" s="193"/>
      <c r="WJA53" s="193"/>
      <c r="WJB53" s="193"/>
      <c r="WJC53" s="193"/>
      <c r="WJD53" s="193"/>
      <c r="WJE53" s="193"/>
      <c r="WJF53" s="193"/>
      <c r="WJG53" s="193"/>
      <c r="WJH53" s="193"/>
      <c r="WJI53" s="193"/>
      <c r="WJJ53" s="193"/>
      <c r="WJK53" s="193"/>
      <c r="WJL53" s="193"/>
      <c r="WJM53" s="193"/>
      <c r="WJN53" s="193"/>
      <c r="WJO53" s="193"/>
      <c r="WJP53" s="193"/>
      <c r="WJQ53" s="193"/>
      <c r="WJR53" s="193"/>
      <c r="WJS53" s="193"/>
      <c r="WJT53" s="193"/>
      <c r="WJU53" s="193"/>
      <c r="WJV53" s="193"/>
      <c r="WJW53" s="193"/>
      <c r="WJX53" s="193"/>
      <c r="WJY53" s="193"/>
      <c r="WJZ53" s="193"/>
      <c r="WKA53" s="193"/>
      <c r="WKB53" s="193"/>
      <c r="WKC53" s="193"/>
      <c r="WKD53" s="193"/>
      <c r="WKE53" s="193"/>
      <c r="WKF53" s="193"/>
      <c r="WKG53" s="193"/>
      <c r="WKH53" s="193"/>
      <c r="WKI53" s="193"/>
      <c r="WKJ53" s="193"/>
      <c r="WKK53" s="193"/>
      <c r="WKL53" s="193"/>
      <c r="WKM53" s="193"/>
      <c r="WKN53" s="193"/>
      <c r="WKO53" s="193"/>
      <c r="WKP53" s="193"/>
      <c r="WKQ53" s="193"/>
      <c r="WKR53" s="193"/>
      <c r="WKS53" s="193"/>
      <c r="WKT53" s="193"/>
      <c r="WKU53" s="193"/>
      <c r="WKV53" s="193"/>
      <c r="WKW53" s="193"/>
      <c r="WKX53" s="193"/>
      <c r="WKY53" s="193"/>
      <c r="WKZ53" s="193"/>
      <c r="WLA53" s="193"/>
      <c r="WLB53" s="193"/>
      <c r="WLC53" s="193"/>
      <c r="WLD53" s="193"/>
      <c r="WLE53" s="193"/>
      <c r="WLF53" s="193"/>
      <c r="WLG53" s="193"/>
      <c r="WLH53" s="193"/>
      <c r="WLI53" s="193"/>
      <c r="WLJ53" s="193"/>
      <c r="WLK53" s="193"/>
      <c r="WLL53" s="193"/>
      <c r="WLM53" s="193"/>
      <c r="WLN53" s="193"/>
      <c r="WLO53" s="193"/>
      <c r="WLP53" s="193"/>
      <c r="WLQ53" s="193"/>
      <c r="WLR53" s="193"/>
      <c r="WLS53" s="193"/>
      <c r="WLT53" s="193"/>
      <c r="WLU53" s="193"/>
      <c r="WLV53" s="193"/>
      <c r="WLW53" s="193"/>
      <c r="WLX53" s="193"/>
      <c r="WLY53" s="193"/>
      <c r="WLZ53" s="193"/>
      <c r="WMA53" s="193"/>
      <c r="WMB53" s="193"/>
      <c r="WMC53" s="193"/>
      <c r="WMD53" s="193"/>
      <c r="WME53" s="193"/>
      <c r="WMF53" s="193"/>
      <c r="WMG53" s="193"/>
      <c r="WMH53" s="193"/>
      <c r="WMI53" s="193"/>
      <c r="WMJ53" s="193"/>
      <c r="WMK53" s="193"/>
      <c r="WML53" s="193"/>
      <c r="WMM53" s="193"/>
      <c r="WMN53" s="193"/>
      <c r="WMO53" s="193"/>
      <c r="WMP53" s="193"/>
      <c r="WMQ53" s="193"/>
      <c r="WMR53" s="193"/>
      <c r="WMS53" s="193"/>
      <c r="WMT53" s="193"/>
      <c r="WMU53" s="193"/>
      <c r="WMV53" s="193"/>
      <c r="WMW53" s="193"/>
      <c r="WMX53" s="193"/>
      <c r="WMY53" s="193"/>
      <c r="WMZ53" s="193"/>
      <c r="WNA53" s="193"/>
      <c r="WNB53" s="193"/>
      <c r="WNC53" s="193"/>
      <c r="WND53" s="193"/>
      <c r="WNE53" s="193"/>
      <c r="WNF53" s="193"/>
      <c r="WNG53" s="193"/>
      <c r="WNH53" s="193"/>
      <c r="WNI53" s="193"/>
      <c r="WNJ53" s="193"/>
      <c r="WNK53" s="193"/>
      <c r="WNL53" s="193"/>
      <c r="WNM53" s="193"/>
      <c r="WNN53" s="193"/>
      <c r="WNO53" s="193"/>
      <c r="WNP53" s="193"/>
      <c r="WNQ53" s="193"/>
      <c r="WNR53" s="193"/>
      <c r="WNS53" s="193"/>
      <c r="WNT53" s="193"/>
      <c r="WNU53" s="193"/>
      <c r="WNV53" s="193"/>
      <c r="WNW53" s="193"/>
      <c r="WNX53" s="193"/>
      <c r="WNY53" s="193"/>
      <c r="WNZ53" s="193"/>
      <c r="WOA53" s="193"/>
      <c r="WOB53" s="193"/>
      <c r="WOC53" s="193"/>
      <c r="WOD53" s="193"/>
      <c r="WOE53" s="193"/>
      <c r="WOF53" s="193"/>
      <c r="WOG53" s="193"/>
      <c r="WOH53" s="193"/>
      <c r="WOI53" s="193"/>
      <c r="WOJ53" s="193"/>
      <c r="WOK53" s="193"/>
      <c r="WOL53" s="193"/>
      <c r="WOM53" s="193"/>
      <c r="WON53" s="193"/>
      <c r="WOO53" s="193"/>
      <c r="WOP53" s="193"/>
      <c r="WOQ53" s="193"/>
      <c r="WOR53" s="193"/>
      <c r="WOS53" s="193"/>
      <c r="WOT53" s="193"/>
      <c r="WOU53" s="193"/>
      <c r="WOV53" s="193"/>
      <c r="WOW53" s="193"/>
      <c r="WOX53" s="193"/>
      <c r="WOY53" s="193"/>
      <c r="WOZ53" s="193"/>
      <c r="WPA53" s="193"/>
      <c r="WPB53" s="193"/>
      <c r="WPC53" s="193"/>
      <c r="WPD53" s="193"/>
      <c r="WPE53" s="193"/>
      <c r="WPF53" s="193"/>
      <c r="WPG53" s="193"/>
      <c r="WPH53" s="193"/>
      <c r="WPI53" s="193"/>
      <c r="WPJ53" s="193"/>
      <c r="WPK53" s="193"/>
      <c r="WPL53" s="193"/>
      <c r="WPM53" s="193"/>
      <c r="WPN53" s="193"/>
      <c r="WPO53" s="193"/>
      <c r="WPP53" s="193"/>
      <c r="WPQ53" s="193"/>
      <c r="WPR53" s="193"/>
      <c r="WPS53" s="193"/>
      <c r="WPT53" s="193"/>
      <c r="WPU53" s="193"/>
      <c r="WPV53" s="193"/>
      <c r="WPW53" s="193"/>
      <c r="WPX53" s="193"/>
      <c r="WPY53" s="193"/>
      <c r="WPZ53" s="193"/>
      <c r="WQA53" s="193"/>
      <c r="WQB53" s="193"/>
      <c r="WQC53" s="193"/>
      <c r="WQD53" s="193"/>
      <c r="WQE53" s="193"/>
      <c r="WQF53" s="193"/>
      <c r="WQG53" s="193"/>
      <c r="WQH53" s="193"/>
      <c r="WQI53" s="193"/>
      <c r="WQJ53" s="193"/>
      <c r="WQK53" s="193"/>
      <c r="WQL53" s="193"/>
      <c r="WQM53" s="193"/>
      <c r="WQN53" s="193"/>
      <c r="WQO53" s="193"/>
      <c r="WQP53" s="193"/>
      <c r="WQQ53" s="193"/>
      <c r="WQR53" s="193"/>
      <c r="WQS53" s="193"/>
      <c r="WQT53" s="193"/>
      <c r="WQU53" s="193"/>
      <c r="WQV53" s="193"/>
      <c r="WQW53" s="193"/>
      <c r="WQX53" s="193"/>
      <c r="WQY53" s="193"/>
      <c r="WQZ53" s="193"/>
      <c r="WRA53" s="193"/>
      <c r="WRB53" s="193"/>
      <c r="WRC53" s="193"/>
      <c r="WRD53" s="193"/>
      <c r="WRE53" s="193"/>
      <c r="WRF53" s="193"/>
      <c r="WRG53" s="193"/>
      <c r="WRH53" s="193"/>
      <c r="WRI53" s="193"/>
      <c r="WRJ53" s="193"/>
      <c r="WRK53" s="193"/>
      <c r="WRL53" s="193"/>
      <c r="WRM53" s="193"/>
      <c r="WRN53" s="193"/>
      <c r="WRO53" s="193"/>
      <c r="WRP53" s="193"/>
      <c r="WRQ53" s="193"/>
      <c r="WRR53" s="193"/>
      <c r="WRS53" s="193"/>
      <c r="WRT53" s="193"/>
      <c r="WRU53" s="193"/>
      <c r="WRV53" s="193"/>
      <c r="WRW53" s="193"/>
      <c r="WRX53" s="193"/>
      <c r="WRY53" s="193"/>
      <c r="WRZ53" s="193"/>
      <c r="WSA53" s="193"/>
      <c r="WSB53" s="193"/>
      <c r="WSC53" s="193"/>
      <c r="WSD53" s="193"/>
      <c r="WSE53" s="193"/>
      <c r="WSF53" s="193"/>
      <c r="WSG53" s="193"/>
      <c r="WSH53" s="193"/>
      <c r="WSI53" s="193"/>
      <c r="WSJ53" s="193"/>
      <c r="WSK53" s="193"/>
      <c r="WSL53" s="193"/>
      <c r="WSM53" s="193"/>
      <c r="WSN53" s="193"/>
      <c r="WSO53" s="193"/>
      <c r="WSP53" s="193"/>
      <c r="WSQ53" s="193"/>
      <c r="WSR53" s="193"/>
      <c r="WSS53" s="193"/>
      <c r="WST53" s="193"/>
      <c r="WSU53" s="193"/>
      <c r="WSV53" s="193"/>
      <c r="WSW53" s="193"/>
      <c r="WSX53" s="193"/>
      <c r="WSY53" s="193"/>
      <c r="WSZ53" s="193"/>
      <c r="WTA53" s="193"/>
      <c r="WTB53" s="193"/>
      <c r="WTC53" s="193"/>
      <c r="WTD53" s="193"/>
      <c r="WTE53" s="193"/>
      <c r="WTF53" s="193"/>
      <c r="WTG53" s="193"/>
      <c r="WTH53" s="193"/>
      <c r="WTI53" s="193"/>
      <c r="WTJ53" s="193"/>
      <c r="WTK53" s="193"/>
      <c r="WTL53" s="193"/>
      <c r="WTM53" s="193"/>
      <c r="WTN53" s="193"/>
      <c r="WTO53" s="193"/>
      <c r="WTP53" s="193"/>
      <c r="WTQ53" s="193"/>
      <c r="WTR53" s="193"/>
      <c r="WTS53" s="193"/>
      <c r="WTT53" s="193"/>
      <c r="WTU53" s="193"/>
      <c r="WTV53" s="193"/>
      <c r="WTW53" s="193"/>
      <c r="WTX53" s="193"/>
      <c r="WTY53" s="193"/>
      <c r="WTZ53" s="193"/>
      <c r="WUA53" s="193"/>
      <c r="WUB53" s="193"/>
      <c r="WUC53" s="193"/>
      <c r="WUD53" s="193"/>
      <c r="WUE53" s="193"/>
      <c r="WUF53" s="193"/>
      <c r="WUG53" s="193"/>
      <c r="WUH53" s="193"/>
      <c r="WUI53" s="193"/>
      <c r="WUJ53" s="193"/>
      <c r="WUK53" s="193"/>
      <c r="WUL53" s="193"/>
      <c r="WUM53" s="193"/>
      <c r="WUN53" s="193"/>
      <c r="WUO53" s="193"/>
      <c r="WUP53" s="193"/>
      <c r="WUQ53" s="193"/>
      <c r="WUR53" s="193"/>
      <c r="WUS53" s="193"/>
      <c r="WUT53" s="193"/>
      <c r="WUU53" s="193"/>
      <c r="WUV53" s="193"/>
      <c r="WUW53" s="193"/>
      <c r="WUX53" s="193"/>
      <c r="WUY53" s="193"/>
      <c r="WUZ53" s="193"/>
      <c r="WVA53" s="193"/>
      <c r="WVB53" s="193"/>
      <c r="WVC53" s="193"/>
      <c r="WVD53" s="193"/>
      <c r="WVE53" s="193"/>
      <c r="WVF53" s="193"/>
      <c r="WVG53" s="193"/>
      <c r="WVH53" s="193"/>
      <c r="WVI53" s="193"/>
      <c r="WVJ53" s="193"/>
      <c r="WVK53" s="193"/>
      <c r="WVL53" s="193"/>
      <c r="WVM53" s="193"/>
      <c r="WVN53" s="193"/>
      <c r="WVO53" s="193"/>
      <c r="WVP53" s="193"/>
      <c r="WVQ53" s="193"/>
      <c r="WVR53" s="193"/>
      <c r="WVS53" s="193"/>
      <c r="WVT53" s="193"/>
      <c r="WVU53" s="193"/>
      <c r="WVV53" s="193"/>
      <c r="WVW53" s="193"/>
      <c r="WVX53" s="193"/>
      <c r="WVY53" s="193"/>
      <c r="WVZ53" s="193"/>
      <c r="WWA53" s="193"/>
      <c r="WWB53" s="193"/>
      <c r="WWC53" s="193"/>
      <c r="WWD53" s="193"/>
      <c r="WWE53" s="193"/>
      <c r="WWF53" s="193"/>
      <c r="WWG53" s="193"/>
      <c r="WWH53" s="193"/>
      <c r="WWI53" s="193"/>
      <c r="WWJ53" s="193"/>
      <c r="WWK53" s="193"/>
      <c r="WWL53" s="193"/>
      <c r="WWM53" s="193"/>
      <c r="WWN53" s="193"/>
      <c r="WWO53" s="193"/>
      <c r="WWP53" s="193"/>
      <c r="WWQ53" s="193"/>
      <c r="WWR53" s="193"/>
      <c r="WWS53" s="193"/>
      <c r="WWT53" s="193"/>
      <c r="WWU53" s="193"/>
      <c r="WWV53" s="193"/>
      <c r="WWW53" s="193"/>
      <c r="WWX53" s="193"/>
      <c r="WWY53" s="193"/>
      <c r="WWZ53" s="193"/>
      <c r="WXA53" s="193"/>
      <c r="WXB53" s="193"/>
      <c r="WXC53" s="193"/>
      <c r="WXD53" s="193"/>
      <c r="WXE53" s="193"/>
      <c r="WXF53" s="193"/>
      <c r="WXG53" s="193"/>
      <c r="WXH53" s="193"/>
      <c r="WXI53" s="193"/>
      <c r="WXJ53" s="193"/>
      <c r="WXK53" s="193"/>
      <c r="WXL53" s="193"/>
      <c r="WXM53" s="193"/>
      <c r="WXN53" s="193"/>
      <c r="WXO53" s="193"/>
      <c r="WXP53" s="193"/>
      <c r="WXQ53" s="193"/>
      <c r="WXR53" s="193"/>
      <c r="WXS53" s="193"/>
      <c r="WXT53" s="193"/>
      <c r="WXU53" s="193"/>
      <c r="WXV53" s="193"/>
      <c r="WXW53" s="193"/>
      <c r="WXX53" s="193"/>
      <c r="WXY53" s="193"/>
      <c r="WXZ53" s="193"/>
      <c r="WYA53" s="193"/>
      <c r="WYB53" s="193"/>
      <c r="WYC53" s="193"/>
      <c r="WYD53" s="193"/>
      <c r="WYE53" s="193"/>
      <c r="WYF53" s="193"/>
      <c r="WYG53" s="193"/>
      <c r="WYH53" s="193"/>
      <c r="WYI53" s="193"/>
      <c r="WYJ53" s="193"/>
      <c r="WYK53" s="193"/>
      <c r="WYL53" s="193"/>
      <c r="WYM53" s="193"/>
      <c r="WYN53" s="193"/>
      <c r="WYO53" s="193"/>
      <c r="WYP53" s="193"/>
      <c r="WYQ53" s="193"/>
      <c r="WYR53" s="193"/>
      <c r="WYS53" s="193"/>
      <c r="WYT53" s="193"/>
      <c r="WYU53" s="193"/>
      <c r="WYV53" s="193"/>
      <c r="WYW53" s="193"/>
      <c r="WYX53" s="193"/>
      <c r="WYY53" s="193"/>
      <c r="WYZ53" s="193"/>
      <c r="WZA53" s="193"/>
      <c r="WZB53" s="193"/>
      <c r="WZC53" s="193"/>
      <c r="WZD53" s="193"/>
      <c r="WZE53" s="193"/>
      <c r="WZF53" s="193"/>
      <c r="WZG53" s="193"/>
      <c r="WZH53" s="193"/>
      <c r="WZI53" s="193"/>
      <c r="WZJ53" s="193"/>
      <c r="WZK53" s="193"/>
      <c r="WZL53" s="193"/>
      <c r="WZM53" s="193"/>
      <c r="WZN53" s="193"/>
      <c r="WZO53" s="193"/>
      <c r="WZP53" s="193"/>
      <c r="WZQ53" s="193"/>
      <c r="WZR53" s="193"/>
      <c r="WZS53" s="193"/>
      <c r="WZT53" s="193"/>
      <c r="WZU53" s="193"/>
      <c r="WZV53" s="193"/>
      <c r="WZW53" s="193"/>
      <c r="WZX53" s="193"/>
      <c r="WZY53" s="193"/>
      <c r="WZZ53" s="193"/>
      <c r="XAA53" s="193"/>
      <c r="XAB53" s="193"/>
      <c r="XAC53" s="193"/>
      <c r="XAD53" s="193"/>
      <c r="XAE53" s="193"/>
      <c r="XAF53" s="193"/>
      <c r="XAG53" s="193"/>
      <c r="XAH53" s="193"/>
      <c r="XAI53" s="193"/>
      <c r="XAJ53" s="193"/>
      <c r="XAK53" s="193"/>
      <c r="XAL53" s="193"/>
      <c r="XAM53" s="193"/>
      <c r="XAN53" s="193"/>
      <c r="XAO53" s="193"/>
      <c r="XAP53" s="193"/>
      <c r="XAQ53" s="193"/>
      <c r="XAR53" s="193"/>
      <c r="XAS53" s="193"/>
      <c r="XAT53" s="193"/>
      <c r="XAU53" s="193"/>
      <c r="XAV53" s="193"/>
      <c r="XAW53" s="193"/>
      <c r="XAX53" s="193"/>
      <c r="XAY53" s="193"/>
      <c r="XAZ53" s="193"/>
      <c r="XBA53" s="193"/>
      <c r="XBB53" s="193"/>
      <c r="XBC53" s="193"/>
      <c r="XBD53" s="193"/>
      <c r="XBE53" s="193"/>
      <c r="XBF53" s="193"/>
      <c r="XBG53" s="193"/>
      <c r="XBH53" s="193"/>
      <c r="XBI53" s="193"/>
      <c r="XBJ53" s="193"/>
      <c r="XBK53" s="193"/>
      <c r="XBL53" s="193"/>
      <c r="XBM53" s="193"/>
      <c r="XBN53" s="193"/>
      <c r="XBO53" s="193"/>
      <c r="XBP53" s="193"/>
      <c r="XBQ53" s="193"/>
      <c r="XBR53" s="193"/>
      <c r="XBS53" s="193"/>
      <c r="XBT53" s="193"/>
      <c r="XBU53" s="193"/>
      <c r="XBV53" s="193"/>
      <c r="XBW53" s="193"/>
      <c r="XBX53" s="193"/>
      <c r="XBY53" s="193"/>
      <c r="XBZ53" s="193"/>
      <c r="XCA53" s="193"/>
      <c r="XCB53" s="193"/>
      <c r="XCC53" s="193"/>
      <c r="XCD53" s="193"/>
      <c r="XCE53" s="193"/>
      <c r="XCF53" s="193"/>
      <c r="XCG53" s="193"/>
      <c r="XCH53" s="193"/>
      <c r="XCI53" s="193"/>
      <c r="XCJ53" s="193"/>
      <c r="XCK53" s="193"/>
      <c r="XCL53" s="193"/>
      <c r="XCM53" s="193"/>
      <c r="XCN53" s="193"/>
      <c r="XCO53" s="193"/>
      <c r="XCP53" s="193"/>
      <c r="XCQ53" s="193"/>
      <c r="XCR53" s="193"/>
      <c r="XCS53" s="193"/>
      <c r="XCT53" s="193"/>
      <c r="XCU53" s="193"/>
      <c r="XCV53" s="193"/>
      <c r="XCW53" s="193"/>
      <c r="XCX53" s="193"/>
      <c r="XCY53" s="193"/>
      <c r="XCZ53" s="193"/>
      <c r="XDA53" s="193"/>
      <c r="XDB53" s="193"/>
      <c r="XDC53" s="193"/>
      <c r="XDD53" s="193"/>
      <c r="XDE53" s="193"/>
      <c r="XDF53" s="193"/>
      <c r="XDG53" s="193"/>
      <c r="XDH53" s="193"/>
      <c r="XDI53" s="193"/>
      <c r="XDJ53" s="193"/>
      <c r="XDK53" s="193"/>
      <c r="XDL53" s="193"/>
      <c r="XDM53" s="193"/>
      <c r="XDN53" s="193"/>
      <c r="XDO53" s="193"/>
      <c r="XDP53" s="193"/>
      <c r="XDQ53" s="193"/>
      <c r="XDR53" s="193"/>
      <c r="XDS53" s="193"/>
      <c r="XDT53" s="193"/>
      <c r="XDU53" s="193"/>
      <c r="XDV53" s="193"/>
      <c r="XDW53" s="193"/>
      <c r="XDX53" s="193"/>
      <c r="XDY53" s="193"/>
      <c r="XDZ53" s="193"/>
      <c r="XEA53" s="193"/>
      <c r="XEB53" s="193"/>
      <c r="XEC53" s="193"/>
      <c r="XED53" s="193"/>
      <c r="XEE53" s="193"/>
      <c r="XEF53" s="193"/>
      <c r="XEG53" s="193"/>
      <c r="XEH53" s="193"/>
      <c r="XEI53" s="193"/>
      <c r="XEJ53" s="193"/>
      <c r="XEK53" s="193"/>
      <c r="XEL53" s="193"/>
      <c r="XEM53" s="193"/>
      <c r="XEN53" s="193"/>
      <c r="XEO53" s="193"/>
      <c r="XEP53" s="193"/>
      <c r="XEQ53" s="193"/>
      <c r="XER53" s="193"/>
      <c r="XES53" s="193"/>
      <c r="XET53" s="193"/>
      <c r="XEU53" s="193"/>
      <c r="XEV53" s="193"/>
      <c r="XEW53" s="193"/>
      <c r="XEX53" s="193"/>
      <c r="XEY53" s="193"/>
      <c r="XEZ53" s="193"/>
      <c r="XFA53" s="193"/>
      <c r="XFB53" s="193"/>
      <c r="XFC53" s="193"/>
      <c r="XFD53" s="193"/>
    </row>
    <row r="54" spans="1:16384" s="226" customFormat="1" ht="15.75" x14ac:dyDescent="0.45">
      <c r="A54" s="201">
        <v>3.1</v>
      </c>
      <c r="B54" s="116" t="s">
        <v>112</v>
      </c>
      <c r="C54" s="117" t="s">
        <v>111</v>
      </c>
      <c r="D54" s="203" t="str">
        <f>IF(OR(j_WEEKDAY(J_ADDDAY(VLOOKUP(I54,A:F,6,FALSE),H54,1),0)=6,SUMIFS(Holieday[ok],Holieday[date],J_ADDDAY(VLOOKUP(I54,A:F,6,FALSE),H54,1)))=FALSE(),J_ADDDAY(VLOOKUP(I54,A:F,6,FALSE),H54,1),IF(OR(j_WEEKDAY(J_ADDDAY(VLOOKUP(I54,A:F,6,FALSE),H54+1,1),0)=6,SUMIFS(Holieday[ok],Holieday[date],J_ADDDAY(VLOOKUP(I54,A:F,6,FALSE),H54+1,1)))=FALSE(),J_ADDDAY(VLOOKUP(I54,A:F,6,FALSE),H54+1,1),IF(OR(j_WEEKDAY(J_ADDDAY(VLOOKUP(I54,A:F,6,FALSE),H54+2,1),0)=6,SUMIFS(Holieday[ok],Holieday[date],J_ADDDAY(VLOOKUP(I54,A:F,6,FALSE),H54+2,1)))=FALSE(),J_ADDDAY(VLOOKUP(I54,A:F,6,FALSE),H54+2,1),IF(OR(j_WEEKDAY(J_ADDDAY(VLOOKUP(I54,A:F,6,FALSE),H54+3,1),0)=6,SUMIFS(Holieday[ok],Holieday[date],J_ADDDAY(VLOOKUP(I54,A:F,6,FALSE),H54+3,1)))=FALSE(),J_ADDDAY(VLOOKUP(I54,A:F,6,FALSE),H54+3,1),IF(OR(j_WEEKDAY(J_ADDDAY(VLOOKUP(I54,A:F,6,FALSE),H54+4,1),0)=6,SUMIFS(Holieday[ok],Holieday[date],J_ADDDAY(VLOOKUP(I54,A:F,6,FALSE),H54+4,1)))=FALSE(),J_ADDDAY(VLOOKUP(I54,A:F,6,FALSE),H54+4,1),J_ADDDAY(VLOOKUP(I54,A:F,6,FALSE),H54+5,1))))))</f>
        <v>1398/06/31</v>
      </c>
      <c r="E54" s="193">
        <f t="shared" si="15"/>
        <v>13980631</v>
      </c>
      <c r="F54" s="204" t="str">
        <f>IF(N54=0,J_SUBDAY(D54,1,1),IF((N54-(NETWORKDAYS.INTL(J_GregorianDate(D54,1),J_GregorianDate(J_SUBDAY(J_ADDDAY(D54,N54,1),1,1),1),16,1)))+SUMIFS(Holieday[ok],Holieday[date],CONCATENATE("&gt;","=",D54),Holieday[date],CONCATENATE("&lt;","=",J_SUBDAY(J_ADDDAY(D54,N54,1),1,1)))-SUMIFS(Holieday[Friday],Holieday[date],CONCATENATE("&gt;","=",D54),Holieday[date],CONCATENATE("&lt;","=",J_SUBDAY(J_ADDDAY(D54,N54,1),1,1)))=0,J_SUBDAY(J_ADDDAY(D54,N54,1),1,1),IF((N54+1-(NETWORKDAYS.INTL(J_GregorianDate(D54,1),J_GregorianDate(J_SUBDAY(J_ADDDAY(D54,N54+1,1),1,1),1),16,1)))+SUMIFS(Holieday[ok],Holieday[date],CONCATENATE("&gt;","=",D54),Holieday[date],CONCATENATE("&lt;","=",J_SUBDAY(J_ADDDAY(D54,N54+1,1),1,1)))-SUMIFS(Holieday[Friday],Holieday[date],CONCATENATE("&gt;","=",D54),Holieday[date],CONCATENATE("&lt;","=",J_SUBDAY(J_ADDDAY(D54,N54+1,1),1,1)))=1,J_SUBDAY(J_ADDDAY(D54,N54+1,1),1,1),IF((N54+2-(NETWORKDAYS.INTL(J_GregorianDate(D54,1),J_GregorianDate(J_SUBDAY(J_ADDDAY(D54,N54+2,1),1,1),1),16,1)))+SUMIFS(Holieday[ok],Holieday[date],CONCATENATE("&gt;","=",D54),Holieday[date],CONCATENATE("&lt;","=",J_SUBDAY(J_ADDDAY(D54,N54+2,1),1,1)))-SUMIFS(Holieday[Friday],Holieday[date],CONCATENATE("&gt;","=",D54),Holieday[date],CONCATENATE("&lt;","=",J_SUBDAY(J_ADDDAY(D54,N54+2,1),1,1)))=2,J_SUBDAY(J_ADDDAY(D54,N54+2,1),1,1),IF((N54+3-(NETWORKDAYS.INTL(J_GregorianDate(D54,1),J_GregorianDate(J_SUBDAY(J_ADDDAY(D54,N54+3,1),1,1),1),16,1)))+SUMIFS(Holieday[ok],Holieday[date],CONCATENATE("&gt;","=",D54),Holieday[date],CONCATENATE("&lt;","=",J_SUBDAY(J_ADDDAY(D54,N54+3,1),1,1)))-SUMIFS(Holieday[Friday],Holieday[date],CONCATENATE("&gt;","=",D54),Holieday[date],CONCATENATE("&lt;","=",J_SUBDAY(J_ADDDAY(D54,N54+3,1),1,1)))=3,J_SUBDAY(J_ADDDAY(D54,N54+3,1),1,1),IF((N54+4-(NETWORKDAYS.INTL(J_GregorianDate(D54,1),J_GregorianDate(J_SUBDAY(J_ADDDAY(D54,N54+4,1),1,1),1),16,1)))+SUMIFS(Holieday[ok],Holieday[date],CONCATENATE("&gt;","=",D54),Holieday[date],CONCATENATE("&lt;","=",J_SUBDAY(J_ADDDAY(D54,N54+4,1),1,1)))-SUMIFS(Holieday[Friday],Holieday[date],CONCATENATE("&gt;","=",D54),Holieday[date],CONCATENATE("&lt;","=",J_SUBDAY(J_ADDDAY(D54,N54+4,1),1,1)))=4,J_SUBDAY(J_ADDDAY(D54,N54+4,1),1,1),IF((N54+5-(NETWORKDAYS.INTL(J_GregorianDate(D54,1),J_GregorianDate(J_SUBDAY(J_ADDDAY(D54,N54+5,1),1,1),1),16,1)))+SUMIFS(Holieday[ok],Holieday[date],CONCATENATE("&gt;","=",D54),Holieday[date],CONCATENATE("&lt;","=",J_SUBDAY(J_ADDDAY(D54,N54+5,1),1,1)))-SUMIFS(Holieday[Friday],Holieday[date],CONCATENATE("&gt;","=",D54),Holieday[date],CONCATENATE("&lt;","=",J_SUBDAY(J_ADDDAY(D54,N54+5,1),1,1)))=5,J_SUBDAY(J_ADDDAY(D54,N54+5,1),1,1),J_SUBDAY(J_ADDDAY(D54,N54+6,1),1,1))))))))</f>
        <v>1398/06/31</v>
      </c>
      <c r="G54" s="196">
        <f t="shared" si="16"/>
        <v>13980631</v>
      </c>
      <c r="H54" s="119"/>
      <c r="I54" s="120">
        <v>1.1000000000000001</v>
      </c>
      <c r="J54" s="204">
        <f>j_WEEKDAY(D54,2)</f>
        <v>1</v>
      </c>
      <c r="K54" s="206">
        <f t="shared" ref="K54:K73" si="18">SUM(JA54:JC54)</f>
        <v>0</v>
      </c>
      <c r="L54" s="207">
        <f t="shared" ref="L54:L73" si="19">J_DIFF(D54,F54)+1</f>
        <v>1</v>
      </c>
      <c r="M54" s="121">
        <v>1</v>
      </c>
      <c r="N54" s="118">
        <v>1</v>
      </c>
      <c r="O54" s="208">
        <f t="shared" si="17"/>
        <v>1</v>
      </c>
      <c r="P54" s="208">
        <f>VALUE(J_normdate(J_ADDDAY($D54,$O54,1)))</f>
        <v>13980701</v>
      </c>
      <c r="Q54" s="204">
        <f t="shared" si="14"/>
        <v>0</v>
      </c>
      <c r="R54" s="202"/>
      <c r="S54" s="202"/>
      <c r="T54" s="202"/>
      <c r="U54" s="202"/>
      <c r="V54" s="202"/>
      <c r="W54" s="202"/>
      <c r="X54" s="202"/>
      <c r="Y54" s="202"/>
      <c r="Z54" s="202"/>
      <c r="AA54" s="202"/>
      <c r="AB54" s="202"/>
      <c r="AC54" s="202"/>
      <c r="AD54" s="202"/>
      <c r="AE54" s="202"/>
      <c r="AF54" s="202"/>
      <c r="AG54" s="202"/>
      <c r="AH54" s="202"/>
      <c r="AI54" s="202"/>
      <c r="AJ54" s="202"/>
      <c r="AK54" s="202"/>
      <c r="AL54" s="202"/>
      <c r="AM54" s="202"/>
      <c r="AN54" s="202"/>
      <c r="AO54" s="202"/>
      <c r="AP54" s="202"/>
      <c r="AQ54" s="202"/>
      <c r="AR54" s="202"/>
      <c r="AS54" s="202"/>
      <c r="AT54" s="202"/>
      <c r="AU54" s="202"/>
      <c r="AV54" s="202"/>
      <c r="AW54" s="202"/>
      <c r="AX54" s="202"/>
      <c r="AY54" s="202"/>
      <c r="AZ54" s="202"/>
      <c r="BA54" s="202"/>
      <c r="BB54" s="202"/>
      <c r="BC54" s="202"/>
      <c r="BD54" s="202"/>
      <c r="BE54" s="202"/>
      <c r="BF54" s="202"/>
      <c r="BG54" s="202"/>
      <c r="BH54" s="202"/>
      <c r="BI54" s="202"/>
      <c r="BJ54" s="202"/>
      <c r="BK54" s="202"/>
      <c r="BL54" s="202"/>
      <c r="BM54" s="202"/>
      <c r="BN54" s="202"/>
      <c r="BO54" s="202"/>
      <c r="BP54" s="202"/>
      <c r="BQ54" s="202"/>
      <c r="BR54" s="202"/>
      <c r="BS54" s="202"/>
      <c r="BT54" s="202"/>
      <c r="BU54" s="202"/>
      <c r="BV54" s="202"/>
      <c r="BW54" s="202"/>
      <c r="BX54" s="202"/>
      <c r="BY54" s="202"/>
      <c r="BZ54" s="202"/>
      <c r="CA54" s="202"/>
      <c r="CB54" s="202"/>
      <c r="CC54" s="202"/>
      <c r="CD54" s="202"/>
      <c r="CE54" s="202"/>
      <c r="CF54" s="202"/>
      <c r="CG54" s="202"/>
      <c r="CH54" s="202"/>
      <c r="CI54" s="202"/>
      <c r="CJ54" s="202"/>
      <c r="CK54" s="202"/>
      <c r="CL54" s="202"/>
      <c r="CM54" s="202"/>
      <c r="CN54" s="202"/>
      <c r="CO54" s="202"/>
      <c r="CP54" s="202"/>
      <c r="CQ54" s="202"/>
      <c r="CR54" s="202"/>
      <c r="CS54" s="202"/>
      <c r="CT54" s="202"/>
      <c r="CU54" s="202"/>
      <c r="CV54" s="202"/>
      <c r="CW54" s="202"/>
      <c r="CX54" s="202"/>
      <c r="CY54" s="202"/>
      <c r="CZ54" s="202"/>
      <c r="DA54" s="202"/>
      <c r="DB54" s="202"/>
      <c r="DC54" s="202"/>
      <c r="DD54" s="202"/>
      <c r="DE54" s="202"/>
      <c r="DF54" s="202"/>
      <c r="DG54" s="202"/>
      <c r="DH54" s="202"/>
      <c r="DI54" s="202"/>
      <c r="DJ54" s="202"/>
      <c r="DK54" s="202"/>
      <c r="DL54" s="202"/>
      <c r="DM54" s="202"/>
      <c r="DN54" s="202"/>
      <c r="DO54" s="202"/>
      <c r="DP54" s="202"/>
      <c r="DQ54" s="202"/>
      <c r="DR54" s="202"/>
      <c r="DS54" s="202"/>
      <c r="DT54" s="202"/>
      <c r="DU54" s="202"/>
      <c r="DV54" s="202"/>
      <c r="DW54" s="202"/>
      <c r="DX54" s="202"/>
      <c r="DY54" s="202"/>
      <c r="DZ54" s="202"/>
      <c r="EA54" s="202"/>
      <c r="EB54" s="202"/>
      <c r="EC54" s="202"/>
      <c r="ED54" s="202"/>
      <c r="EE54" s="202"/>
      <c r="EF54" s="202"/>
      <c r="EG54" s="202"/>
      <c r="EH54" s="202"/>
      <c r="EI54" s="202"/>
      <c r="EJ54" s="202"/>
      <c r="EK54" s="202"/>
      <c r="EL54" s="202"/>
      <c r="EM54" s="202"/>
      <c r="EN54" s="202"/>
      <c r="EO54" s="202"/>
      <c r="EP54" s="202"/>
      <c r="EQ54" s="202"/>
      <c r="ER54" s="202"/>
      <c r="ES54" s="202"/>
      <c r="ET54" s="202"/>
      <c r="EU54" s="202"/>
      <c r="EV54" s="202"/>
      <c r="EW54" s="202"/>
      <c r="EX54" s="202"/>
      <c r="EY54" s="202"/>
      <c r="EZ54" s="202"/>
      <c r="FA54" s="202"/>
      <c r="FB54" s="202"/>
      <c r="FC54" s="202"/>
      <c r="FD54" s="202"/>
      <c r="FE54" s="202"/>
      <c r="FF54" s="202"/>
      <c r="FG54" s="202"/>
      <c r="FH54" s="202"/>
      <c r="FI54" s="202"/>
      <c r="FJ54" s="202"/>
      <c r="FK54" s="202"/>
      <c r="FL54" s="202"/>
      <c r="FM54" s="202"/>
      <c r="FN54" s="202"/>
      <c r="FO54" s="202"/>
      <c r="FP54" s="202"/>
      <c r="FQ54" s="202"/>
      <c r="FR54" s="202"/>
      <c r="FS54" s="202"/>
      <c r="FT54" s="202"/>
      <c r="FU54" s="202"/>
      <c r="FV54" s="202"/>
      <c r="FW54" s="202"/>
      <c r="FX54" s="202"/>
      <c r="FY54" s="202"/>
      <c r="FZ54" s="202"/>
      <c r="GA54" s="202"/>
      <c r="GB54" s="202"/>
      <c r="GC54" s="202"/>
      <c r="GD54" s="202"/>
      <c r="GE54" s="202"/>
      <c r="GF54" s="202"/>
      <c r="GG54" s="202"/>
      <c r="GH54" s="202"/>
      <c r="GI54" s="202"/>
      <c r="GJ54" s="202"/>
      <c r="GK54" s="202"/>
      <c r="GL54" s="202"/>
      <c r="GM54" s="202"/>
      <c r="GN54" s="202"/>
      <c r="GO54" s="202"/>
      <c r="GP54" s="202"/>
      <c r="GQ54" s="202"/>
      <c r="GR54" s="202"/>
      <c r="GS54" s="202"/>
      <c r="GT54" s="202"/>
      <c r="GU54" s="202"/>
      <c r="GV54" s="202"/>
      <c r="GW54" s="202"/>
      <c r="GX54" s="202"/>
      <c r="GY54" s="202"/>
      <c r="GZ54" s="202"/>
      <c r="HA54" s="202"/>
      <c r="HB54" s="202"/>
      <c r="HC54" s="202"/>
      <c r="HD54" s="202"/>
      <c r="HE54" s="202"/>
      <c r="HF54" s="202"/>
      <c r="HG54" s="202"/>
      <c r="HH54" s="202"/>
      <c r="HI54" s="202"/>
      <c r="HJ54" s="202"/>
      <c r="HK54" s="202"/>
      <c r="HL54" s="202"/>
      <c r="HM54" s="202"/>
      <c r="HN54" s="202"/>
      <c r="HO54" s="202"/>
      <c r="HP54" s="202"/>
      <c r="HQ54" s="202"/>
      <c r="HR54" s="202"/>
      <c r="HS54" s="202"/>
      <c r="HT54" s="202"/>
      <c r="HU54" s="202"/>
      <c r="HV54" s="202"/>
      <c r="HW54" s="202"/>
      <c r="HX54" s="202"/>
      <c r="HY54" s="202"/>
      <c r="HZ54" s="202"/>
      <c r="IA54" s="202"/>
      <c r="IB54" s="202"/>
      <c r="IC54" s="202"/>
      <c r="ID54" s="202"/>
      <c r="IE54" s="202"/>
      <c r="IF54" s="202"/>
      <c r="IG54" s="202"/>
      <c r="IH54" s="202"/>
      <c r="II54" s="202"/>
      <c r="IJ54" s="202"/>
      <c r="IK54" s="202"/>
      <c r="IL54" s="202"/>
      <c r="IM54" s="202"/>
      <c r="IN54" s="202"/>
      <c r="IO54" s="202"/>
      <c r="IP54" s="202"/>
      <c r="IQ54" s="202"/>
      <c r="IR54" s="202"/>
      <c r="IS54" s="202"/>
      <c r="IT54" s="202"/>
      <c r="IU54" s="202"/>
      <c r="IV54" s="202"/>
      <c r="IW54" s="202"/>
      <c r="IX54" s="202"/>
      <c r="IY54" s="31">
        <v>3</v>
      </c>
      <c r="IZ54" s="43">
        <f>(TEXT(K54,"[m]")/60)*VLOOKUP(IY54,'Income Person-hours'!A$2:C$5,3,FALSE)</f>
        <v>0</v>
      </c>
      <c r="JA54" s="122"/>
      <c r="JB54" s="122"/>
      <c r="JC54" s="122"/>
      <c r="JD54" s="227">
        <f>SUM((TEXT(JA54,"[M]")/60)*'Income Person-hours'!$D$3,(TEXT(JB54,"[M]")/60)*'Income Person-hours'!$D$4,(TEXT(JC54,"[M]")/60)*'Income Person-hours'!$D$5)</f>
        <v>0</v>
      </c>
    </row>
    <row r="55" spans="1:16384" s="226" customFormat="1" ht="15.75" x14ac:dyDescent="0.45">
      <c r="A55" s="201">
        <v>3.2</v>
      </c>
      <c r="B55" s="116" t="s">
        <v>113</v>
      </c>
      <c r="C55" s="117" t="s">
        <v>79</v>
      </c>
      <c r="D55" s="203" t="str">
        <f>IF(OR(j_WEEKDAY(J_ADDDAY(VLOOKUP(I55,A:F,6,FALSE),H55,1),0)=6,SUMIFS(Holieday[ok],Holieday[date],J_ADDDAY(VLOOKUP(I55,A:F,6,FALSE),H55,1)))=FALSE(),J_ADDDAY(VLOOKUP(I55,A:F,6,FALSE),H55,1),IF(OR(j_WEEKDAY(J_ADDDAY(VLOOKUP(I55,A:F,6,FALSE),H55+1,1),0)=6,SUMIFS(Holieday[ok],Holieday[date],J_ADDDAY(VLOOKUP(I55,A:F,6,FALSE),H55+1,1)))=FALSE(),J_ADDDAY(VLOOKUP(I55,A:F,6,FALSE),H55+1,1),IF(OR(j_WEEKDAY(J_ADDDAY(VLOOKUP(I55,A:F,6,FALSE),H55+2,1),0)=6,SUMIFS(Holieday[ok],Holieday[date],J_ADDDAY(VLOOKUP(I55,A:F,6,FALSE),H55+2,1)))=FALSE(),J_ADDDAY(VLOOKUP(I55,A:F,6,FALSE),H55+2,1),IF(OR(j_WEEKDAY(J_ADDDAY(VLOOKUP(I55,A:F,6,FALSE),H55+3,1),0)=6,SUMIFS(Holieday[ok],Holieday[date],J_ADDDAY(VLOOKUP(I55,A:F,6,FALSE),H55+3,1)))=FALSE(),J_ADDDAY(VLOOKUP(I55,A:F,6,FALSE),H55+3,1),IF(OR(j_WEEKDAY(J_ADDDAY(VLOOKUP(I55,A:F,6,FALSE),H55+4,1),0)=6,SUMIFS(Holieday[ok],Holieday[date],J_ADDDAY(VLOOKUP(I55,A:F,6,FALSE),H55+4,1)))=FALSE(),J_ADDDAY(VLOOKUP(I55,A:F,6,FALSE),H55+4,1),J_ADDDAY(VLOOKUP(I55,A:F,6,FALSE),H55+5,1))))))</f>
        <v>1398/07/13</v>
      </c>
      <c r="E55" s="193">
        <f t="shared" si="15"/>
        <v>13980713</v>
      </c>
      <c r="F55" s="204" t="str">
        <f>IF(N55=0,J_SUBDAY(D55,1,1),IF((N55-(NETWORKDAYS.INTL(J_GregorianDate(D55,1),J_GregorianDate(J_SUBDAY(J_ADDDAY(D55,N55,1),1,1),1),16,1)))+SUMIFS(Holieday[ok],Holieday[date],CONCATENATE("&gt;","=",D55),Holieday[date],CONCATENATE("&lt;","=",J_SUBDAY(J_ADDDAY(D55,N55,1),1,1)))-SUMIFS(Holieday[Friday],Holieday[date],CONCATENATE("&gt;","=",D55),Holieday[date],CONCATENATE("&lt;","=",J_SUBDAY(J_ADDDAY(D55,N55,1),1,1)))=0,J_SUBDAY(J_ADDDAY(D55,N55,1),1,1),IF((N55+1-(NETWORKDAYS.INTL(J_GregorianDate(D55,1),J_GregorianDate(J_SUBDAY(J_ADDDAY(D55,N55+1,1),1,1),1),16,1)))+SUMIFS(Holieday[ok],Holieday[date],CONCATENATE("&gt;","=",D55),Holieday[date],CONCATENATE("&lt;","=",J_SUBDAY(J_ADDDAY(D55,N55+1,1),1,1)))-SUMIFS(Holieday[Friday],Holieday[date],CONCATENATE("&gt;","=",D55),Holieday[date],CONCATENATE("&lt;","=",J_SUBDAY(J_ADDDAY(D55,N55+1,1),1,1)))=1,J_SUBDAY(J_ADDDAY(D55,N55+1,1),1,1),IF((N55+2-(NETWORKDAYS.INTL(J_GregorianDate(D55,1),J_GregorianDate(J_SUBDAY(J_ADDDAY(D55,N55+2,1),1,1),1),16,1)))+SUMIFS(Holieday[ok],Holieday[date],CONCATENATE("&gt;","=",D55),Holieday[date],CONCATENATE("&lt;","=",J_SUBDAY(J_ADDDAY(D55,N55+2,1),1,1)))-SUMIFS(Holieday[Friday],Holieday[date],CONCATENATE("&gt;","=",D55),Holieday[date],CONCATENATE("&lt;","=",J_SUBDAY(J_ADDDAY(D55,N55+2,1),1,1)))=2,J_SUBDAY(J_ADDDAY(D55,N55+2,1),1,1),IF((N55+3-(NETWORKDAYS.INTL(J_GregorianDate(D55,1),J_GregorianDate(J_SUBDAY(J_ADDDAY(D55,N55+3,1),1,1),1),16,1)))+SUMIFS(Holieday[ok],Holieday[date],CONCATENATE("&gt;","=",D55),Holieday[date],CONCATENATE("&lt;","=",J_SUBDAY(J_ADDDAY(D55,N55+3,1),1,1)))-SUMIFS(Holieday[Friday],Holieday[date],CONCATENATE("&gt;","=",D55),Holieday[date],CONCATENATE("&lt;","=",J_SUBDAY(J_ADDDAY(D55,N55+3,1),1,1)))=3,J_SUBDAY(J_ADDDAY(D55,N55+3,1),1,1),IF((N55+4-(NETWORKDAYS.INTL(J_GregorianDate(D55,1),J_GregorianDate(J_SUBDAY(J_ADDDAY(D55,N55+4,1),1,1),1),16,1)))+SUMIFS(Holieday[ok],Holieday[date],CONCATENATE("&gt;","=",D55),Holieday[date],CONCATENATE("&lt;","=",J_SUBDAY(J_ADDDAY(D55,N55+4,1),1,1)))-SUMIFS(Holieday[Friday],Holieday[date],CONCATENATE("&gt;","=",D55),Holieday[date],CONCATENATE("&lt;","=",J_SUBDAY(J_ADDDAY(D55,N55+4,1),1,1)))=4,J_SUBDAY(J_ADDDAY(D55,N55+4,1),1,1),IF((N55+5-(NETWORKDAYS.INTL(J_GregorianDate(D55,1),J_GregorianDate(J_SUBDAY(J_ADDDAY(D55,N55+5,1),1,1),1),16,1)))+SUMIFS(Holieday[ok],Holieday[date],CONCATENATE("&gt;","=",D55),Holieday[date],CONCATENATE("&lt;","=",J_SUBDAY(J_ADDDAY(D55,N55+5,1),1,1)))-SUMIFS(Holieday[Friday],Holieday[date],CONCATENATE("&gt;","=",D55),Holieday[date],CONCATENATE("&lt;","=",J_SUBDAY(J_ADDDAY(D55,N55+5,1),1,1)))=5,J_SUBDAY(J_ADDDAY(D55,N55+5,1),1,1),J_SUBDAY(J_ADDDAY(D55,N55+6,1),1,1))))))))</f>
        <v>1398/07/21</v>
      </c>
      <c r="G55" s="196">
        <f t="shared" si="16"/>
        <v>13980721</v>
      </c>
      <c r="H55" s="119">
        <v>13</v>
      </c>
      <c r="I55" s="120">
        <v>3.1</v>
      </c>
      <c r="J55" s="204">
        <f>j_WEEKDAY(D55,2)</f>
        <v>0</v>
      </c>
      <c r="K55" s="206">
        <f t="shared" si="18"/>
        <v>0</v>
      </c>
      <c r="L55" s="207">
        <f t="shared" si="19"/>
        <v>9</v>
      </c>
      <c r="M55" s="121">
        <v>0.2</v>
      </c>
      <c r="N55" s="118">
        <v>8</v>
      </c>
      <c r="O55" s="208">
        <f t="shared" si="17"/>
        <v>1</v>
      </c>
      <c r="P55" s="208">
        <f>VALUE(J_normdate(J_ADDDAY($D55,$O55,1)))</f>
        <v>13980714</v>
      </c>
      <c r="Q55" s="204">
        <f t="shared" si="14"/>
        <v>8</v>
      </c>
      <c r="R55" s="202"/>
      <c r="S55" s="202"/>
      <c r="T55" s="202"/>
      <c r="U55" s="202"/>
      <c r="V55" s="202"/>
      <c r="W55" s="202"/>
      <c r="X55" s="202"/>
      <c r="Y55" s="202"/>
      <c r="Z55" s="202"/>
      <c r="AA55" s="202"/>
      <c r="AB55" s="202"/>
      <c r="AC55" s="202"/>
      <c r="AD55" s="202"/>
      <c r="AE55" s="202"/>
      <c r="AF55" s="202"/>
      <c r="AG55" s="202"/>
      <c r="AH55" s="202"/>
      <c r="AI55" s="202"/>
      <c r="AJ55" s="202"/>
      <c r="AK55" s="202"/>
      <c r="AL55" s="202"/>
      <c r="AM55" s="202"/>
      <c r="AN55" s="202"/>
      <c r="AO55" s="202"/>
      <c r="AP55" s="202"/>
      <c r="AQ55" s="202"/>
      <c r="AR55" s="202"/>
      <c r="AS55" s="202"/>
      <c r="AT55" s="202"/>
      <c r="AU55" s="202"/>
      <c r="AV55" s="202"/>
      <c r="AW55" s="202"/>
      <c r="AX55" s="202"/>
      <c r="AY55" s="202"/>
      <c r="AZ55" s="202"/>
      <c r="BA55" s="202"/>
      <c r="BB55" s="202"/>
      <c r="BC55" s="202"/>
      <c r="BD55" s="202"/>
      <c r="BE55" s="202"/>
      <c r="BF55" s="202"/>
      <c r="BG55" s="202"/>
      <c r="BH55" s="202"/>
      <c r="BI55" s="202"/>
      <c r="BJ55" s="202"/>
      <c r="BK55" s="202"/>
      <c r="BL55" s="202"/>
      <c r="BM55" s="202"/>
      <c r="BN55" s="202"/>
      <c r="BO55" s="202"/>
      <c r="BP55" s="202"/>
      <c r="BQ55" s="202"/>
      <c r="BR55" s="202"/>
      <c r="BS55" s="202"/>
      <c r="BT55" s="202"/>
      <c r="BU55" s="202"/>
      <c r="BV55" s="202"/>
      <c r="BW55" s="202"/>
      <c r="BX55" s="202"/>
      <c r="BY55" s="202"/>
      <c r="BZ55" s="202"/>
      <c r="CA55" s="202"/>
      <c r="CB55" s="202"/>
      <c r="CC55" s="202"/>
      <c r="CD55" s="202"/>
      <c r="CE55" s="202"/>
      <c r="CF55" s="202"/>
      <c r="CG55" s="202"/>
      <c r="CH55" s="202"/>
      <c r="CI55" s="202"/>
      <c r="CJ55" s="202"/>
      <c r="CK55" s="202"/>
      <c r="CL55" s="202"/>
      <c r="CM55" s="202"/>
      <c r="CN55" s="202"/>
      <c r="CO55" s="202"/>
      <c r="CP55" s="202"/>
      <c r="CQ55" s="202"/>
      <c r="CR55" s="202"/>
      <c r="CS55" s="202"/>
      <c r="CT55" s="202"/>
      <c r="CU55" s="202"/>
      <c r="CV55" s="202"/>
      <c r="CW55" s="202"/>
      <c r="CX55" s="202"/>
      <c r="CY55" s="202"/>
      <c r="CZ55" s="202"/>
      <c r="DA55" s="202"/>
      <c r="DB55" s="202"/>
      <c r="DC55" s="202"/>
      <c r="DD55" s="202"/>
      <c r="DE55" s="202"/>
      <c r="DF55" s="202"/>
      <c r="DG55" s="202"/>
      <c r="DH55" s="202"/>
      <c r="DI55" s="202"/>
      <c r="DJ55" s="202"/>
      <c r="DK55" s="202"/>
      <c r="DL55" s="202"/>
      <c r="DM55" s="202"/>
      <c r="DN55" s="202"/>
      <c r="DO55" s="202"/>
      <c r="DP55" s="202"/>
      <c r="DQ55" s="202"/>
      <c r="DR55" s="202"/>
      <c r="DS55" s="202"/>
      <c r="DT55" s="202"/>
      <c r="DU55" s="202"/>
      <c r="DV55" s="202"/>
      <c r="DW55" s="202"/>
      <c r="DX55" s="202"/>
      <c r="DY55" s="202"/>
      <c r="DZ55" s="202"/>
      <c r="EA55" s="202"/>
      <c r="EB55" s="202"/>
      <c r="EC55" s="202"/>
      <c r="ED55" s="202"/>
      <c r="EE55" s="202"/>
      <c r="EF55" s="202"/>
      <c r="EG55" s="202"/>
      <c r="EH55" s="202"/>
      <c r="EI55" s="202"/>
      <c r="EJ55" s="202"/>
      <c r="EK55" s="202"/>
      <c r="EL55" s="202"/>
      <c r="EM55" s="202"/>
      <c r="EN55" s="202"/>
      <c r="EO55" s="202"/>
      <c r="EP55" s="202"/>
      <c r="EQ55" s="202"/>
      <c r="ER55" s="202"/>
      <c r="ES55" s="202"/>
      <c r="ET55" s="202"/>
      <c r="EU55" s="202"/>
      <c r="EV55" s="202"/>
      <c r="EW55" s="202"/>
      <c r="EX55" s="202"/>
      <c r="EY55" s="202"/>
      <c r="EZ55" s="202"/>
      <c r="FA55" s="202"/>
      <c r="FB55" s="202"/>
      <c r="FC55" s="202"/>
      <c r="FD55" s="202"/>
      <c r="FE55" s="202"/>
      <c r="FF55" s="202"/>
      <c r="FG55" s="202"/>
      <c r="FH55" s="202"/>
      <c r="FI55" s="202"/>
      <c r="FJ55" s="202"/>
      <c r="FK55" s="202"/>
      <c r="FL55" s="202"/>
      <c r="FM55" s="202"/>
      <c r="FN55" s="202"/>
      <c r="FO55" s="202"/>
      <c r="FP55" s="202"/>
      <c r="FQ55" s="202"/>
      <c r="FR55" s="202"/>
      <c r="FS55" s="202"/>
      <c r="FT55" s="202"/>
      <c r="FU55" s="202"/>
      <c r="FV55" s="202"/>
      <c r="FW55" s="202"/>
      <c r="FX55" s="202"/>
      <c r="FY55" s="202"/>
      <c r="FZ55" s="202"/>
      <c r="GA55" s="202"/>
      <c r="GB55" s="202"/>
      <c r="GC55" s="202"/>
      <c r="GD55" s="202"/>
      <c r="GE55" s="202"/>
      <c r="GF55" s="202"/>
      <c r="GG55" s="202"/>
      <c r="GH55" s="202"/>
      <c r="GI55" s="202"/>
      <c r="GJ55" s="202"/>
      <c r="GK55" s="202"/>
      <c r="GL55" s="202"/>
      <c r="GM55" s="202"/>
      <c r="GN55" s="202"/>
      <c r="GO55" s="202"/>
      <c r="GP55" s="202"/>
      <c r="GQ55" s="202"/>
      <c r="GR55" s="202"/>
      <c r="GS55" s="202"/>
      <c r="GT55" s="202"/>
      <c r="GU55" s="202"/>
      <c r="GV55" s="202"/>
      <c r="GW55" s="202"/>
      <c r="GX55" s="202"/>
      <c r="GY55" s="202"/>
      <c r="GZ55" s="202"/>
      <c r="HA55" s="202"/>
      <c r="HB55" s="202"/>
      <c r="HC55" s="202"/>
      <c r="HD55" s="202"/>
      <c r="HE55" s="202"/>
      <c r="HF55" s="202"/>
      <c r="HG55" s="202"/>
      <c r="HH55" s="202"/>
      <c r="HI55" s="202"/>
      <c r="HJ55" s="202"/>
      <c r="HK55" s="202"/>
      <c r="HL55" s="202"/>
      <c r="HM55" s="202"/>
      <c r="HN55" s="202"/>
      <c r="HO55" s="202"/>
      <c r="HP55" s="202"/>
      <c r="HQ55" s="202"/>
      <c r="HR55" s="202"/>
      <c r="HS55" s="202"/>
      <c r="HT55" s="202"/>
      <c r="HU55" s="202"/>
      <c r="HV55" s="202"/>
      <c r="HW55" s="202"/>
      <c r="HX55" s="202"/>
      <c r="HY55" s="202"/>
      <c r="HZ55" s="202"/>
      <c r="IA55" s="202"/>
      <c r="IB55" s="202"/>
      <c r="IC55" s="202"/>
      <c r="ID55" s="202"/>
      <c r="IE55" s="202"/>
      <c r="IF55" s="202"/>
      <c r="IG55" s="202"/>
      <c r="IH55" s="202"/>
      <c r="II55" s="202"/>
      <c r="IJ55" s="202"/>
      <c r="IK55" s="202"/>
      <c r="IL55" s="202"/>
      <c r="IM55" s="202"/>
      <c r="IN55" s="202"/>
      <c r="IO55" s="202"/>
      <c r="IP55" s="202"/>
      <c r="IQ55" s="202"/>
      <c r="IR55" s="202"/>
      <c r="IS55" s="202"/>
      <c r="IT55" s="202"/>
      <c r="IU55" s="202"/>
      <c r="IV55" s="202"/>
      <c r="IW55" s="202"/>
      <c r="IX55" s="202"/>
      <c r="IY55" s="31">
        <v>3</v>
      </c>
      <c r="IZ55" s="43">
        <f>(TEXT(K55,"[m]")/60)*VLOOKUP(IY55,'Income Person-hours'!A$2:C$5,3,FALSE)</f>
        <v>0</v>
      </c>
      <c r="JA55" s="122"/>
      <c r="JB55" s="122"/>
      <c r="JC55" s="122"/>
      <c r="JD55" s="227">
        <f>SUM((TEXT(JA55,"[M]")/60)*'Income Person-hours'!$D$3,(TEXT(JB55,"[M]")/60)*'Income Person-hours'!$D$4,(TEXT(JC55,"[M]")/60)*'Income Person-hours'!$D$5)</f>
        <v>0</v>
      </c>
    </row>
    <row r="56" spans="1:16384" s="226" customFormat="1" ht="15.75" x14ac:dyDescent="0.45">
      <c r="A56" s="201">
        <v>3.3</v>
      </c>
      <c r="B56" s="116" t="s">
        <v>114</v>
      </c>
      <c r="C56" s="117" t="s">
        <v>111</v>
      </c>
      <c r="D56" s="203" t="str">
        <f>IF(OR(j_WEEKDAY(J_ADDDAY(VLOOKUP(I56,A:F,6,FALSE),H56,1),0)=6,SUMIFS(Holieday[ok],Holieday[date],J_ADDDAY(VLOOKUP(I56,A:F,6,FALSE),H56,1)))=FALSE(),J_ADDDAY(VLOOKUP(I56,A:F,6,FALSE),H56,1),IF(OR(j_WEEKDAY(J_ADDDAY(VLOOKUP(I56,A:F,6,FALSE),H56+1,1),0)=6,SUMIFS(Holieday[ok],Holieday[date],J_ADDDAY(VLOOKUP(I56,A:F,6,FALSE),H56+1,1)))=FALSE(),J_ADDDAY(VLOOKUP(I56,A:F,6,FALSE),H56+1,1),IF(OR(j_WEEKDAY(J_ADDDAY(VLOOKUP(I56,A:F,6,FALSE),H56+2,1),0)=6,SUMIFS(Holieday[ok],Holieday[date],J_ADDDAY(VLOOKUP(I56,A:F,6,FALSE),H56+2,1)))=FALSE(),J_ADDDAY(VLOOKUP(I56,A:F,6,FALSE),H56+2,1),IF(OR(j_WEEKDAY(J_ADDDAY(VLOOKUP(I56,A:F,6,FALSE),H56+3,1),0)=6,SUMIFS(Holieday[ok],Holieday[date],J_ADDDAY(VLOOKUP(I56,A:F,6,FALSE),H56+3,1)))=FALSE(),J_ADDDAY(VLOOKUP(I56,A:F,6,FALSE),H56+3,1),IF(OR(j_WEEKDAY(J_ADDDAY(VLOOKUP(I56,A:F,6,FALSE),H56+4,1),0)=6,SUMIFS(Holieday[ok],Holieday[date],J_ADDDAY(VLOOKUP(I56,A:F,6,FALSE),H56+4,1)))=FALSE(),J_ADDDAY(VLOOKUP(I56,A:F,6,FALSE),H56+4,1),J_ADDDAY(VLOOKUP(I56,A:F,6,FALSE),H56+5,1))))))</f>
        <v>1398/06/31</v>
      </c>
      <c r="E56" s="193">
        <f t="shared" si="15"/>
        <v>13980631</v>
      </c>
      <c r="F56" s="204" t="str">
        <f>IF(N56=0,J_SUBDAY(D56,1,1),IF((N56-(NETWORKDAYS.INTL(J_GregorianDate(D56,1),J_GregorianDate(J_SUBDAY(J_ADDDAY(D56,N56,1),1,1),1),16,1)))+SUMIFS(Holieday[ok],Holieday[date],CONCATENATE("&gt;","=",D56),Holieday[date],CONCATENATE("&lt;","=",J_SUBDAY(J_ADDDAY(D56,N56,1),1,1)))-SUMIFS(Holieday[Friday],Holieday[date],CONCATENATE("&gt;","=",D56),Holieday[date],CONCATENATE("&lt;","=",J_SUBDAY(J_ADDDAY(D56,N56,1),1,1)))=0,J_SUBDAY(J_ADDDAY(D56,N56,1),1,1),IF((N56+1-(NETWORKDAYS.INTL(J_GregorianDate(D56,1),J_GregorianDate(J_SUBDAY(J_ADDDAY(D56,N56+1,1),1,1),1),16,1)))+SUMIFS(Holieday[ok],Holieday[date],CONCATENATE("&gt;","=",D56),Holieday[date],CONCATENATE("&lt;","=",J_SUBDAY(J_ADDDAY(D56,N56+1,1),1,1)))-SUMIFS(Holieday[Friday],Holieday[date],CONCATENATE("&gt;","=",D56),Holieday[date],CONCATENATE("&lt;","=",J_SUBDAY(J_ADDDAY(D56,N56+1,1),1,1)))=1,J_SUBDAY(J_ADDDAY(D56,N56+1,1),1,1),IF((N56+2-(NETWORKDAYS.INTL(J_GregorianDate(D56,1),J_GregorianDate(J_SUBDAY(J_ADDDAY(D56,N56+2,1),1,1),1),16,1)))+SUMIFS(Holieday[ok],Holieday[date],CONCATENATE("&gt;","=",D56),Holieday[date],CONCATENATE("&lt;","=",J_SUBDAY(J_ADDDAY(D56,N56+2,1),1,1)))-SUMIFS(Holieday[Friday],Holieday[date],CONCATENATE("&gt;","=",D56),Holieday[date],CONCATENATE("&lt;","=",J_SUBDAY(J_ADDDAY(D56,N56+2,1),1,1)))=2,J_SUBDAY(J_ADDDAY(D56,N56+2,1),1,1),IF((N56+3-(NETWORKDAYS.INTL(J_GregorianDate(D56,1),J_GregorianDate(J_SUBDAY(J_ADDDAY(D56,N56+3,1),1,1),1),16,1)))+SUMIFS(Holieday[ok],Holieday[date],CONCATENATE("&gt;","=",D56),Holieday[date],CONCATENATE("&lt;","=",J_SUBDAY(J_ADDDAY(D56,N56+3,1),1,1)))-SUMIFS(Holieday[Friday],Holieday[date],CONCATENATE("&gt;","=",D56),Holieday[date],CONCATENATE("&lt;","=",J_SUBDAY(J_ADDDAY(D56,N56+3,1),1,1)))=3,J_SUBDAY(J_ADDDAY(D56,N56+3,1),1,1),IF((N56+4-(NETWORKDAYS.INTL(J_GregorianDate(D56,1),J_GregorianDate(J_SUBDAY(J_ADDDAY(D56,N56+4,1),1,1),1),16,1)))+SUMIFS(Holieday[ok],Holieday[date],CONCATENATE("&gt;","=",D56),Holieday[date],CONCATENATE("&lt;","=",J_SUBDAY(J_ADDDAY(D56,N56+4,1),1,1)))-SUMIFS(Holieday[Friday],Holieday[date],CONCATENATE("&gt;","=",D56),Holieday[date],CONCATENATE("&lt;","=",J_SUBDAY(J_ADDDAY(D56,N56+4,1),1,1)))=4,J_SUBDAY(J_ADDDAY(D56,N56+4,1),1,1),IF((N56+5-(NETWORKDAYS.INTL(J_GregorianDate(D56,1),J_GregorianDate(J_SUBDAY(J_ADDDAY(D56,N56+5,1),1,1),1),16,1)))+SUMIFS(Holieday[ok],Holieday[date],CONCATENATE("&gt;","=",D56),Holieday[date],CONCATENATE("&lt;","=",J_SUBDAY(J_ADDDAY(D56,N56+5,1),1,1)))-SUMIFS(Holieday[Friday],Holieday[date],CONCATENATE("&gt;","=",D56),Holieday[date],CONCATENATE("&lt;","=",J_SUBDAY(J_ADDDAY(D56,N56+5,1),1,1)))=5,J_SUBDAY(J_ADDDAY(D56,N56+5,1),1,1),J_SUBDAY(J_ADDDAY(D56,N56+6,1),1,1))))))))</f>
        <v>1398/07/02</v>
      </c>
      <c r="G56" s="196">
        <f t="shared" si="16"/>
        <v>13980702</v>
      </c>
      <c r="H56" s="119"/>
      <c r="I56" s="120">
        <v>1.1000000000000001</v>
      </c>
      <c r="J56" s="204">
        <f>j_WEEKDAY(D56,2)</f>
        <v>1</v>
      </c>
      <c r="K56" s="206">
        <f t="shared" si="18"/>
        <v>0</v>
      </c>
      <c r="L56" s="207">
        <v>30</v>
      </c>
      <c r="M56" s="121">
        <v>1</v>
      </c>
      <c r="N56" s="118">
        <v>3</v>
      </c>
      <c r="O56" s="208">
        <f t="shared" si="17"/>
        <v>30</v>
      </c>
      <c r="P56" s="208">
        <f>VALUE(J_normdate(J_ADDDAY($D56,$O56,1)))</f>
        <v>13980730</v>
      </c>
      <c r="Q56" s="204">
        <f t="shared" si="14"/>
        <v>0</v>
      </c>
      <c r="R56" s="202"/>
      <c r="S56" s="202"/>
      <c r="T56" s="202"/>
      <c r="U56" s="202"/>
      <c r="V56" s="202"/>
      <c r="W56" s="202"/>
      <c r="X56" s="202"/>
      <c r="Y56" s="202"/>
      <c r="Z56" s="202"/>
      <c r="AA56" s="202"/>
      <c r="AB56" s="202"/>
      <c r="AC56" s="202"/>
      <c r="AD56" s="202"/>
      <c r="AE56" s="202"/>
      <c r="AF56" s="202"/>
      <c r="AG56" s="202"/>
      <c r="AH56" s="202"/>
      <c r="AI56" s="202"/>
      <c r="AJ56" s="202"/>
      <c r="AK56" s="202"/>
      <c r="AL56" s="202"/>
      <c r="AM56" s="202"/>
      <c r="AN56" s="202"/>
      <c r="AO56" s="202"/>
      <c r="AP56" s="202"/>
      <c r="AQ56" s="202"/>
      <c r="AR56" s="202"/>
      <c r="AS56" s="202"/>
      <c r="AT56" s="202"/>
      <c r="AU56" s="202"/>
      <c r="AV56" s="202"/>
      <c r="AW56" s="202"/>
      <c r="AX56" s="202"/>
      <c r="AY56" s="202"/>
      <c r="AZ56" s="202"/>
      <c r="BA56" s="202"/>
      <c r="BB56" s="202"/>
      <c r="BC56" s="202"/>
      <c r="BD56" s="202"/>
      <c r="BE56" s="202"/>
      <c r="BF56" s="202"/>
      <c r="BG56" s="202"/>
      <c r="BH56" s="202"/>
      <c r="BI56" s="202"/>
      <c r="BJ56" s="202"/>
      <c r="BK56" s="202"/>
      <c r="BL56" s="202"/>
      <c r="BM56" s="202"/>
      <c r="BN56" s="202"/>
      <c r="BO56" s="202"/>
      <c r="BP56" s="202"/>
      <c r="BQ56" s="202"/>
      <c r="BR56" s="202"/>
      <c r="BS56" s="202"/>
      <c r="BT56" s="202"/>
      <c r="BU56" s="202"/>
      <c r="BV56" s="202"/>
      <c r="BW56" s="202"/>
      <c r="BX56" s="202"/>
      <c r="BY56" s="202"/>
      <c r="BZ56" s="202"/>
      <c r="CA56" s="202"/>
      <c r="CB56" s="202"/>
      <c r="CC56" s="202"/>
      <c r="CD56" s="202"/>
      <c r="CE56" s="202"/>
      <c r="CF56" s="202"/>
      <c r="CG56" s="202"/>
      <c r="CH56" s="202"/>
      <c r="CI56" s="202"/>
      <c r="CJ56" s="202"/>
      <c r="CK56" s="202"/>
      <c r="CL56" s="202"/>
      <c r="CM56" s="202"/>
      <c r="CN56" s="202"/>
      <c r="CO56" s="202"/>
      <c r="CP56" s="202"/>
      <c r="CQ56" s="202"/>
      <c r="CR56" s="202"/>
      <c r="CS56" s="202"/>
      <c r="CT56" s="202"/>
      <c r="CU56" s="202"/>
      <c r="CV56" s="202"/>
      <c r="CW56" s="202"/>
      <c r="CX56" s="202"/>
      <c r="CY56" s="202"/>
      <c r="CZ56" s="202"/>
      <c r="DA56" s="202"/>
      <c r="DB56" s="202"/>
      <c r="DC56" s="202"/>
      <c r="DD56" s="202"/>
      <c r="DE56" s="202"/>
      <c r="DF56" s="202"/>
      <c r="DG56" s="202"/>
      <c r="DH56" s="202"/>
      <c r="DI56" s="202"/>
      <c r="DJ56" s="202"/>
      <c r="DK56" s="202"/>
      <c r="DL56" s="202"/>
      <c r="DM56" s="202"/>
      <c r="DN56" s="202"/>
      <c r="DO56" s="202"/>
      <c r="DP56" s="202"/>
      <c r="DQ56" s="202"/>
      <c r="DR56" s="202"/>
      <c r="DS56" s="202"/>
      <c r="DT56" s="202"/>
      <c r="DU56" s="202"/>
      <c r="DV56" s="202"/>
      <c r="DW56" s="202"/>
      <c r="DX56" s="202"/>
      <c r="DY56" s="202"/>
      <c r="DZ56" s="202"/>
      <c r="EA56" s="202"/>
      <c r="EB56" s="202"/>
      <c r="EC56" s="202"/>
      <c r="ED56" s="202"/>
      <c r="EE56" s="202"/>
      <c r="EF56" s="202"/>
      <c r="EG56" s="202"/>
      <c r="EH56" s="202"/>
      <c r="EI56" s="202"/>
      <c r="EJ56" s="202"/>
      <c r="EK56" s="202"/>
      <c r="EL56" s="202"/>
      <c r="EM56" s="202"/>
      <c r="EN56" s="202"/>
      <c r="EO56" s="202"/>
      <c r="EP56" s="202"/>
      <c r="EQ56" s="202"/>
      <c r="ER56" s="202"/>
      <c r="ES56" s="202"/>
      <c r="ET56" s="202"/>
      <c r="EU56" s="202"/>
      <c r="EV56" s="202"/>
      <c r="EW56" s="202"/>
      <c r="EX56" s="202"/>
      <c r="EY56" s="202"/>
      <c r="EZ56" s="202"/>
      <c r="FA56" s="202"/>
      <c r="FB56" s="202"/>
      <c r="FC56" s="202"/>
      <c r="FD56" s="202"/>
      <c r="FE56" s="202"/>
      <c r="FF56" s="202"/>
      <c r="FG56" s="202"/>
      <c r="FH56" s="202"/>
      <c r="FI56" s="202"/>
      <c r="FJ56" s="202"/>
      <c r="FK56" s="202"/>
      <c r="FL56" s="202"/>
      <c r="FM56" s="202"/>
      <c r="FN56" s="202"/>
      <c r="FO56" s="202"/>
      <c r="FP56" s="202"/>
      <c r="FQ56" s="202"/>
      <c r="FR56" s="202"/>
      <c r="FS56" s="202"/>
      <c r="FT56" s="202"/>
      <c r="FU56" s="202"/>
      <c r="FV56" s="202"/>
      <c r="FW56" s="202"/>
      <c r="FX56" s="202"/>
      <c r="FY56" s="202"/>
      <c r="FZ56" s="202"/>
      <c r="GA56" s="202"/>
      <c r="GB56" s="202"/>
      <c r="GC56" s="202"/>
      <c r="GD56" s="202"/>
      <c r="GE56" s="202"/>
      <c r="GF56" s="202"/>
      <c r="GG56" s="202"/>
      <c r="GH56" s="202"/>
      <c r="GI56" s="202"/>
      <c r="GJ56" s="202"/>
      <c r="GK56" s="202"/>
      <c r="GL56" s="202"/>
      <c r="GM56" s="202"/>
      <c r="GN56" s="202"/>
      <c r="GO56" s="202"/>
      <c r="GP56" s="202"/>
      <c r="GQ56" s="202"/>
      <c r="GR56" s="202"/>
      <c r="GS56" s="202"/>
      <c r="GT56" s="202"/>
      <c r="GU56" s="202"/>
      <c r="GV56" s="202"/>
      <c r="GW56" s="202"/>
      <c r="GX56" s="202"/>
      <c r="GY56" s="202"/>
      <c r="GZ56" s="202"/>
      <c r="HA56" s="202"/>
      <c r="HB56" s="202"/>
      <c r="HC56" s="202"/>
      <c r="HD56" s="202"/>
      <c r="HE56" s="202"/>
      <c r="HF56" s="202"/>
      <c r="HG56" s="202"/>
      <c r="HH56" s="202"/>
      <c r="HI56" s="202"/>
      <c r="HJ56" s="202"/>
      <c r="HK56" s="202"/>
      <c r="HL56" s="202"/>
      <c r="HM56" s="202"/>
      <c r="HN56" s="202"/>
      <c r="HO56" s="202"/>
      <c r="HP56" s="202"/>
      <c r="HQ56" s="202"/>
      <c r="HR56" s="202"/>
      <c r="HS56" s="202"/>
      <c r="HT56" s="202"/>
      <c r="HU56" s="202"/>
      <c r="HV56" s="202"/>
      <c r="HW56" s="202"/>
      <c r="HX56" s="202"/>
      <c r="HY56" s="202"/>
      <c r="HZ56" s="202"/>
      <c r="IA56" s="202"/>
      <c r="IB56" s="202"/>
      <c r="IC56" s="202"/>
      <c r="ID56" s="202"/>
      <c r="IE56" s="202"/>
      <c r="IF56" s="202"/>
      <c r="IG56" s="202"/>
      <c r="IH56" s="202"/>
      <c r="II56" s="202"/>
      <c r="IJ56" s="202"/>
      <c r="IK56" s="202"/>
      <c r="IL56" s="202"/>
      <c r="IM56" s="202"/>
      <c r="IN56" s="202"/>
      <c r="IO56" s="202"/>
      <c r="IP56" s="202"/>
      <c r="IQ56" s="202"/>
      <c r="IR56" s="202"/>
      <c r="IS56" s="202"/>
      <c r="IT56" s="202"/>
      <c r="IU56" s="202"/>
      <c r="IV56" s="202"/>
      <c r="IW56" s="202"/>
      <c r="IX56" s="202"/>
      <c r="IY56" s="31">
        <v>3</v>
      </c>
      <c r="IZ56" s="43">
        <f>(TEXT(K56,"[m]")/60)*VLOOKUP(IY56,'Income Person-hours'!A$2:C$5,3,FALSE)</f>
        <v>0</v>
      </c>
      <c r="JA56" s="122"/>
      <c r="JB56" s="122"/>
      <c r="JC56" s="122"/>
      <c r="JD56" s="227">
        <f>SUM((TEXT(JA56,"[M]")/60)*'Income Person-hours'!$D$3,(TEXT(JB56,"[M]")/60)*'Income Person-hours'!$D$4,(TEXT(JC56,"[M]")/60)*'Income Person-hours'!$D$5)</f>
        <v>0</v>
      </c>
    </row>
    <row r="57" spans="1:16384" s="226" customFormat="1" ht="18.75" customHeight="1" x14ac:dyDescent="0.45">
      <c r="A57" s="201">
        <v>3.4</v>
      </c>
      <c r="B57" s="243" t="s">
        <v>142</v>
      </c>
      <c r="C57" s="117" t="s">
        <v>111</v>
      </c>
      <c r="D57" s="203" t="str">
        <f>IF(OR(j_WEEKDAY(J_ADDDAY(VLOOKUP(I57,A:F,6,FALSE),H57,1),0)=6,SUMIFS(Holieday[ok],Holieday[date],J_ADDDAY(VLOOKUP(I57,A:F,6,FALSE),H57,1)))=FALSE(),J_ADDDAY(VLOOKUP(I57,A:F,6,FALSE),H57,1),IF(OR(j_WEEKDAY(J_ADDDAY(VLOOKUP(I57,A:F,6,FALSE),H57+1,1),0)=6,SUMIFS(Holieday[ok],Holieday[date],J_ADDDAY(VLOOKUP(I57,A:F,6,FALSE),H57+1,1)))=FALSE(),J_ADDDAY(VLOOKUP(I57,A:F,6,FALSE),H57+1,1),IF(OR(j_WEEKDAY(J_ADDDAY(VLOOKUP(I57,A:F,6,FALSE),H57+2,1),0)=6,SUMIFS(Holieday[ok],Holieday[date],J_ADDDAY(VLOOKUP(I57,A:F,6,FALSE),H57+2,1)))=FALSE(),J_ADDDAY(VLOOKUP(I57,A:F,6,FALSE),H57+2,1),IF(OR(j_WEEKDAY(J_ADDDAY(VLOOKUP(I57,A:F,6,FALSE),H57+3,1),0)=6,SUMIFS(Holieday[ok],Holieday[date],J_ADDDAY(VLOOKUP(I57,A:F,6,FALSE),H57+3,1)))=FALSE(),J_ADDDAY(VLOOKUP(I57,A:F,6,FALSE),H57+3,1),IF(OR(j_WEEKDAY(J_ADDDAY(VLOOKUP(I57,A:F,6,FALSE),H57+4,1),0)=6,SUMIFS(Holieday[ok],Holieday[date],J_ADDDAY(VLOOKUP(I57,A:F,6,FALSE),H57+4,1)))=FALSE(),J_ADDDAY(VLOOKUP(I57,A:F,6,FALSE),H57+4,1),J_ADDDAY(VLOOKUP(I57,A:F,6,FALSE),H57+5,1))))))</f>
        <v>1398/07/21</v>
      </c>
      <c r="E57" s="193">
        <f t="shared" si="15"/>
        <v>13980721</v>
      </c>
      <c r="F57" s="204" t="str">
        <f>IF(N57=0,J_SUBDAY(D57,1,1),IF((N57-(NETWORKDAYS.INTL(J_GregorianDate(D57,1),J_GregorianDate(J_SUBDAY(J_ADDDAY(D57,N57,1),1,1),1),16,1)))+SUMIFS(Holieday[ok],Holieday[date],CONCATENATE("&gt;","=",D57),Holieday[date],CONCATENATE("&lt;","=",J_SUBDAY(J_ADDDAY(D57,N57,1),1,1)))-SUMIFS(Holieday[Friday],Holieday[date],CONCATENATE("&gt;","=",D57),Holieday[date],CONCATENATE("&lt;","=",J_SUBDAY(J_ADDDAY(D57,N57,1),1,1)))=0,J_SUBDAY(J_ADDDAY(D57,N57,1),1,1),IF((N57+1-(NETWORKDAYS.INTL(J_GregorianDate(D57,1),J_GregorianDate(J_SUBDAY(J_ADDDAY(D57,N57+1,1),1,1),1),16,1)))+SUMIFS(Holieday[ok],Holieday[date],CONCATENATE("&gt;","=",D57),Holieday[date],CONCATENATE("&lt;","=",J_SUBDAY(J_ADDDAY(D57,N57+1,1),1,1)))-SUMIFS(Holieday[Friday],Holieday[date],CONCATENATE("&gt;","=",D57),Holieday[date],CONCATENATE("&lt;","=",J_SUBDAY(J_ADDDAY(D57,N57+1,1),1,1)))=1,J_SUBDAY(J_ADDDAY(D57,N57+1,1),1,1),IF((N57+2-(NETWORKDAYS.INTL(J_GregorianDate(D57,1),J_GregorianDate(J_SUBDAY(J_ADDDAY(D57,N57+2,1),1,1),1),16,1)))+SUMIFS(Holieday[ok],Holieday[date],CONCATENATE("&gt;","=",D57),Holieday[date],CONCATENATE("&lt;","=",J_SUBDAY(J_ADDDAY(D57,N57+2,1),1,1)))-SUMIFS(Holieday[Friday],Holieday[date],CONCATENATE("&gt;","=",D57),Holieday[date],CONCATENATE("&lt;","=",J_SUBDAY(J_ADDDAY(D57,N57+2,1),1,1)))=2,J_SUBDAY(J_ADDDAY(D57,N57+2,1),1,1),IF((N57+3-(NETWORKDAYS.INTL(J_GregorianDate(D57,1),J_GregorianDate(J_SUBDAY(J_ADDDAY(D57,N57+3,1),1,1),1),16,1)))+SUMIFS(Holieday[ok],Holieday[date],CONCATENATE("&gt;","=",D57),Holieday[date],CONCATENATE("&lt;","=",J_SUBDAY(J_ADDDAY(D57,N57+3,1),1,1)))-SUMIFS(Holieday[Friday],Holieday[date],CONCATENATE("&gt;","=",D57),Holieday[date],CONCATENATE("&lt;","=",J_SUBDAY(J_ADDDAY(D57,N57+3,1),1,1)))=3,J_SUBDAY(J_ADDDAY(D57,N57+3,1),1,1),IF((N57+4-(NETWORKDAYS.INTL(J_GregorianDate(D57,1),J_GregorianDate(J_SUBDAY(J_ADDDAY(D57,N57+4,1),1,1),1),16,1)))+SUMIFS(Holieday[ok],Holieday[date],CONCATENATE("&gt;","=",D57),Holieday[date],CONCATENATE("&lt;","=",J_SUBDAY(J_ADDDAY(D57,N57+4,1),1,1)))-SUMIFS(Holieday[Friday],Holieday[date],CONCATENATE("&gt;","=",D57),Holieday[date],CONCATENATE("&lt;","=",J_SUBDAY(J_ADDDAY(D57,N57+4,1),1,1)))=4,J_SUBDAY(J_ADDDAY(D57,N57+4,1),1,1),IF((N57+5-(NETWORKDAYS.INTL(J_GregorianDate(D57,1),J_GregorianDate(J_SUBDAY(J_ADDDAY(D57,N57+5,1),1,1),1),16,1)))+SUMIFS(Holieday[ok],Holieday[date],CONCATENATE("&gt;","=",D57),Holieday[date],CONCATENATE("&lt;","=",J_SUBDAY(J_ADDDAY(D57,N57+5,1),1,1)))-SUMIFS(Holieday[Friday],Holieday[date],CONCATENATE("&gt;","=",D57),Holieday[date],CONCATENATE("&lt;","=",J_SUBDAY(J_ADDDAY(D57,N57+5,1),1,1)))=5,J_SUBDAY(J_ADDDAY(D57,N57+5,1),1,1),J_SUBDAY(J_ADDDAY(D57,N57+6,1),1,1))))))))</f>
        <v>1398/08/11</v>
      </c>
      <c r="G57" s="196">
        <f t="shared" si="16"/>
        <v>13980811</v>
      </c>
      <c r="H57" s="119"/>
      <c r="I57" s="120">
        <v>3.2</v>
      </c>
      <c r="J57" s="204">
        <f>j_WEEKDAY(D57,2)</f>
        <v>1</v>
      </c>
      <c r="K57" s="206">
        <f t="shared" si="18"/>
        <v>0</v>
      </c>
      <c r="L57" s="207">
        <v>5</v>
      </c>
      <c r="M57" s="121">
        <v>0</v>
      </c>
      <c r="N57" s="118">
        <v>15</v>
      </c>
      <c r="O57" s="208">
        <f t="shared" si="17"/>
        <v>0</v>
      </c>
      <c r="P57" s="208">
        <f>VALUE(J_normdate(J_ADDDAY($D57,$O57,1)))</f>
        <v>13980721</v>
      </c>
      <c r="Q57" s="204">
        <f t="shared" si="14"/>
        <v>5</v>
      </c>
      <c r="R57" s="202"/>
      <c r="S57" s="202"/>
      <c r="T57" s="202"/>
      <c r="U57" s="202"/>
      <c r="V57" s="202"/>
      <c r="W57" s="202"/>
      <c r="X57" s="202"/>
      <c r="Y57" s="202"/>
      <c r="Z57" s="202"/>
      <c r="AA57" s="202"/>
      <c r="AB57" s="202"/>
      <c r="AC57" s="202"/>
      <c r="AD57" s="202"/>
      <c r="AE57" s="202"/>
      <c r="AF57" s="202"/>
      <c r="AG57" s="202"/>
      <c r="AH57" s="202"/>
      <c r="AI57" s="202"/>
      <c r="AJ57" s="202"/>
      <c r="AK57" s="202"/>
      <c r="AL57" s="202"/>
      <c r="AM57" s="202"/>
      <c r="AN57" s="202"/>
      <c r="AO57" s="202"/>
      <c r="AP57" s="202"/>
      <c r="AQ57" s="202"/>
      <c r="AR57" s="202"/>
      <c r="AS57" s="202"/>
      <c r="AT57" s="202"/>
      <c r="AU57" s="202"/>
      <c r="AV57" s="202"/>
      <c r="AW57" s="202"/>
      <c r="AX57" s="202"/>
      <c r="AY57" s="202"/>
      <c r="AZ57" s="202"/>
      <c r="BA57" s="202"/>
      <c r="BB57" s="202"/>
      <c r="BC57" s="202"/>
      <c r="BD57" s="202"/>
      <c r="BE57" s="202"/>
      <c r="BF57" s="202"/>
      <c r="BG57" s="202"/>
      <c r="BH57" s="202"/>
      <c r="BI57" s="202"/>
      <c r="BJ57" s="202"/>
      <c r="BK57" s="202"/>
      <c r="BL57" s="202"/>
      <c r="BM57" s="202"/>
      <c r="BN57" s="202"/>
      <c r="BO57" s="202"/>
      <c r="BP57" s="202"/>
      <c r="BQ57" s="202"/>
      <c r="BR57" s="202"/>
      <c r="BS57" s="202"/>
      <c r="BT57" s="202"/>
      <c r="BU57" s="202"/>
      <c r="BV57" s="202"/>
      <c r="BW57" s="202"/>
      <c r="BX57" s="202"/>
      <c r="BY57" s="202"/>
      <c r="BZ57" s="202"/>
      <c r="CA57" s="202"/>
      <c r="CB57" s="202"/>
      <c r="CC57" s="202"/>
      <c r="CD57" s="202"/>
      <c r="CE57" s="202"/>
      <c r="CF57" s="202"/>
      <c r="CG57" s="202"/>
      <c r="CH57" s="202"/>
      <c r="CI57" s="202"/>
      <c r="CJ57" s="202"/>
      <c r="CK57" s="202"/>
      <c r="CL57" s="202"/>
      <c r="CM57" s="202"/>
      <c r="CN57" s="202"/>
      <c r="CO57" s="202"/>
      <c r="CP57" s="202"/>
      <c r="CQ57" s="202"/>
      <c r="CR57" s="202"/>
      <c r="CS57" s="202"/>
      <c r="CT57" s="202"/>
      <c r="CU57" s="202"/>
      <c r="CV57" s="202"/>
      <c r="CW57" s="202"/>
      <c r="CX57" s="202"/>
      <c r="CY57" s="202"/>
      <c r="CZ57" s="202"/>
      <c r="DA57" s="202"/>
      <c r="DB57" s="202"/>
      <c r="DC57" s="202"/>
      <c r="DD57" s="202"/>
      <c r="DE57" s="202"/>
      <c r="DF57" s="202"/>
      <c r="DG57" s="202"/>
      <c r="DH57" s="202"/>
      <c r="DI57" s="202"/>
      <c r="DJ57" s="202"/>
      <c r="DK57" s="202"/>
      <c r="DL57" s="202"/>
      <c r="DM57" s="202"/>
      <c r="DN57" s="202"/>
      <c r="DO57" s="202"/>
      <c r="DP57" s="202"/>
      <c r="DQ57" s="202"/>
      <c r="DR57" s="202"/>
      <c r="DS57" s="202"/>
      <c r="DT57" s="202"/>
      <c r="DU57" s="202"/>
      <c r="DV57" s="202"/>
      <c r="DW57" s="202"/>
      <c r="DX57" s="202"/>
      <c r="DY57" s="202"/>
      <c r="DZ57" s="202"/>
      <c r="EA57" s="202"/>
      <c r="EB57" s="202"/>
      <c r="EC57" s="202"/>
      <c r="ED57" s="202"/>
      <c r="EE57" s="202"/>
      <c r="EF57" s="202"/>
      <c r="EG57" s="202"/>
      <c r="EH57" s="202"/>
      <c r="EI57" s="202"/>
      <c r="EJ57" s="202"/>
      <c r="EK57" s="202"/>
      <c r="EL57" s="202"/>
      <c r="EM57" s="202"/>
      <c r="EN57" s="202"/>
      <c r="EO57" s="202"/>
      <c r="EP57" s="202"/>
      <c r="EQ57" s="202"/>
      <c r="ER57" s="202"/>
      <c r="ES57" s="202"/>
      <c r="ET57" s="202"/>
      <c r="EU57" s="202"/>
      <c r="EV57" s="202"/>
      <c r="EW57" s="202"/>
      <c r="EX57" s="202"/>
      <c r="EY57" s="202"/>
      <c r="EZ57" s="202"/>
      <c r="FA57" s="202"/>
      <c r="FB57" s="202"/>
      <c r="FC57" s="202"/>
      <c r="FD57" s="202"/>
      <c r="FE57" s="202"/>
      <c r="FF57" s="202"/>
      <c r="FG57" s="202"/>
      <c r="FH57" s="202"/>
      <c r="FI57" s="202"/>
      <c r="FJ57" s="202"/>
      <c r="FK57" s="202"/>
      <c r="FL57" s="202"/>
      <c r="FM57" s="202"/>
      <c r="FN57" s="202"/>
      <c r="FO57" s="202"/>
      <c r="FP57" s="202"/>
      <c r="FQ57" s="202"/>
      <c r="FR57" s="202"/>
      <c r="FS57" s="202"/>
      <c r="FT57" s="202"/>
      <c r="FU57" s="202"/>
      <c r="FV57" s="202"/>
      <c r="FW57" s="202"/>
      <c r="FX57" s="202"/>
      <c r="FY57" s="202"/>
      <c r="FZ57" s="202"/>
      <c r="GA57" s="202"/>
      <c r="GB57" s="202"/>
      <c r="GC57" s="202"/>
      <c r="GD57" s="202"/>
      <c r="GE57" s="202"/>
      <c r="GF57" s="202"/>
      <c r="GG57" s="202"/>
      <c r="GH57" s="202"/>
      <c r="GI57" s="202"/>
      <c r="GJ57" s="202"/>
      <c r="GK57" s="202"/>
      <c r="GL57" s="202"/>
      <c r="GM57" s="202"/>
      <c r="GN57" s="202"/>
      <c r="GO57" s="202"/>
      <c r="GP57" s="202"/>
      <c r="GQ57" s="202"/>
      <c r="GR57" s="202"/>
      <c r="GS57" s="202"/>
      <c r="GT57" s="202"/>
      <c r="GU57" s="202"/>
      <c r="GV57" s="202"/>
      <c r="GW57" s="202"/>
      <c r="GX57" s="202"/>
      <c r="GY57" s="202"/>
      <c r="GZ57" s="202"/>
      <c r="HA57" s="202"/>
      <c r="HB57" s="202"/>
      <c r="HC57" s="202"/>
      <c r="HD57" s="202"/>
      <c r="HE57" s="202"/>
      <c r="HF57" s="202"/>
      <c r="HG57" s="202"/>
      <c r="HH57" s="202"/>
      <c r="HI57" s="202"/>
      <c r="HJ57" s="202"/>
      <c r="HK57" s="202"/>
      <c r="HL57" s="202"/>
      <c r="HM57" s="202"/>
      <c r="HN57" s="202"/>
      <c r="HO57" s="202"/>
      <c r="HP57" s="202"/>
      <c r="HQ57" s="202"/>
      <c r="HR57" s="202"/>
      <c r="HS57" s="202"/>
      <c r="HT57" s="202"/>
      <c r="HU57" s="202"/>
      <c r="HV57" s="202"/>
      <c r="HW57" s="202"/>
      <c r="HX57" s="202"/>
      <c r="HY57" s="202"/>
      <c r="HZ57" s="202"/>
      <c r="IA57" s="202"/>
      <c r="IB57" s="202"/>
      <c r="IC57" s="202"/>
      <c r="ID57" s="202"/>
      <c r="IE57" s="202"/>
      <c r="IF57" s="202"/>
      <c r="IG57" s="202"/>
      <c r="IH57" s="202"/>
      <c r="II57" s="202"/>
      <c r="IJ57" s="202"/>
      <c r="IK57" s="202"/>
      <c r="IL57" s="202"/>
      <c r="IM57" s="202"/>
      <c r="IN57" s="202"/>
      <c r="IO57" s="202"/>
      <c r="IP57" s="202"/>
      <c r="IQ57" s="202"/>
      <c r="IR57" s="202"/>
      <c r="IS57" s="202"/>
      <c r="IT57" s="202"/>
      <c r="IU57" s="202"/>
      <c r="IV57" s="202"/>
      <c r="IW57" s="202"/>
      <c r="IX57" s="202"/>
      <c r="IY57" s="31">
        <v>3</v>
      </c>
      <c r="IZ57" s="43">
        <f>(TEXT(K57,"[m]")/60)*VLOOKUP(IY57,'Income Person-hours'!A$2:C$5,3,FALSE)</f>
        <v>0</v>
      </c>
      <c r="JA57" s="122"/>
      <c r="JB57" s="122"/>
      <c r="JC57" s="122"/>
      <c r="JD57" s="227">
        <f>SUM((TEXT(JA57,"[M]")/60)*'Income Person-hours'!$D$3,(TEXT(JB57,"[M]")/60)*'Income Person-hours'!$D$4,(TEXT(JC57,"[M]")/60)*'Income Person-hours'!$D$5)</f>
        <v>0</v>
      </c>
    </row>
    <row r="58" spans="1:16384" s="226" customFormat="1" ht="15.75" x14ac:dyDescent="0.45">
      <c r="A58" s="201">
        <v>3.5</v>
      </c>
      <c r="B58" s="116" t="s">
        <v>115</v>
      </c>
      <c r="C58" s="117" t="s">
        <v>79</v>
      </c>
      <c r="D58" s="203" t="str">
        <f>IF(OR(j_WEEKDAY(J_ADDDAY(VLOOKUP(I58,A:F,6,FALSE),H58,1),0)=6,SUMIFS(Holieday[ok],Holieday[date],J_ADDDAY(VLOOKUP(I58,A:F,6,FALSE),H58,1)))=FALSE(),J_ADDDAY(VLOOKUP(I58,A:F,6,FALSE),H58,1),IF(OR(j_WEEKDAY(J_ADDDAY(VLOOKUP(I58,A:F,6,FALSE),H58+1,1),0)=6,SUMIFS(Holieday[ok],Holieday[date],J_ADDDAY(VLOOKUP(I58,A:F,6,FALSE),H58+1,1)))=FALSE(),J_ADDDAY(VLOOKUP(I58,A:F,6,FALSE),H58+1,1),IF(OR(j_WEEKDAY(J_ADDDAY(VLOOKUP(I58,A:F,6,FALSE),H58+2,1),0)=6,SUMIFS(Holieday[ok],Holieday[date],J_ADDDAY(VLOOKUP(I58,A:F,6,FALSE),H58+2,1)))=FALSE(),J_ADDDAY(VLOOKUP(I58,A:F,6,FALSE),H58+2,1),IF(OR(j_WEEKDAY(J_ADDDAY(VLOOKUP(I58,A:F,6,FALSE),H58+3,1),0)=6,SUMIFS(Holieday[ok],Holieday[date],J_ADDDAY(VLOOKUP(I58,A:F,6,FALSE),H58+3,1)))=FALSE(),J_ADDDAY(VLOOKUP(I58,A:F,6,FALSE),H58+3,1),IF(OR(j_WEEKDAY(J_ADDDAY(VLOOKUP(I58,A:F,6,FALSE),H58+4,1),0)=6,SUMIFS(Holieday[ok],Holieday[date],J_ADDDAY(VLOOKUP(I58,A:F,6,FALSE),H58+4,1)))=FALSE(),J_ADDDAY(VLOOKUP(I58,A:F,6,FALSE),H58+4,1),J_ADDDAY(VLOOKUP(I58,A:F,6,FALSE),H58+5,1))))))</f>
        <v>1398/07/28</v>
      </c>
      <c r="E58" s="193">
        <f t="shared" si="15"/>
        <v>13980728</v>
      </c>
      <c r="F58" s="204" t="str">
        <f>IF(N58=0,J_SUBDAY(D58,1,1),IF((N58-(NETWORKDAYS.INTL(J_GregorianDate(D58,1),J_GregorianDate(J_SUBDAY(J_ADDDAY(D58,N58,1),1,1),1),16,1)))+SUMIFS(Holieday[ok],Holieday[date],CONCATENATE("&gt;","=",D58),Holieday[date],CONCATENATE("&lt;","=",J_SUBDAY(J_ADDDAY(D58,N58,1),1,1)))-SUMIFS(Holieday[Friday],Holieday[date],CONCATENATE("&gt;","=",D58),Holieday[date],CONCATENATE("&lt;","=",J_SUBDAY(J_ADDDAY(D58,N58,1),1,1)))=0,J_SUBDAY(J_ADDDAY(D58,N58,1),1,1),IF((N58+1-(NETWORKDAYS.INTL(J_GregorianDate(D58,1),J_GregorianDate(J_SUBDAY(J_ADDDAY(D58,N58+1,1),1,1),1),16,1)))+SUMIFS(Holieday[ok],Holieday[date],CONCATENATE("&gt;","=",D58),Holieday[date],CONCATENATE("&lt;","=",J_SUBDAY(J_ADDDAY(D58,N58+1,1),1,1)))-SUMIFS(Holieday[Friday],Holieday[date],CONCATENATE("&gt;","=",D58),Holieday[date],CONCATENATE("&lt;","=",J_SUBDAY(J_ADDDAY(D58,N58+1,1),1,1)))=1,J_SUBDAY(J_ADDDAY(D58,N58+1,1),1,1),IF((N58+2-(NETWORKDAYS.INTL(J_GregorianDate(D58,1),J_GregorianDate(J_SUBDAY(J_ADDDAY(D58,N58+2,1),1,1),1),16,1)))+SUMIFS(Holieday[ok],Holieday[date],CONCATENATE("&gt;","=",D58),Holieday[date],CONCATENATE("&lt;","=",J_SUBDAY(J_ADDDAY(D58,N58+2,1),1,1)))-SUMIFS(Holieday[Friday],Holieday[date],CONCATENATE("&gt;","=",D58),Holieday[date],CONCATENATE("&lt;","=",J_SUBDAY(J_ADDDAY(D58,N58+2,1),1,1)))=2,J_SUBDAY(J_ADDDAY(D58,N58+2,1),1,1),IF((N58+3-(NETWORKDAYS.INTL(J_GregorianDate(D58,1),J_GregorianDate(J_SUBDAY(J_ADDDAY(D58,N58+3,1),1,1),1),16,1)))+SUMIFS(Holieday[ok],Holieday[date],CONCATENATE("&gt;","=",D58),Holieday[date],CONCATENATE("&lt;","=",J_SUBDAY(J_ADDDAY(D58,N58+3,1),1,1)))-SUMIFS(Holieday[Friday],Holieday[date],CONCATENATE("&gt;","=",D58),Holieday[date],CONCATENATE("&lt;","=",J_SUBDAY(J_ADDDAY(D58,N58+3,1),1,1)))=3,J_SUBDAY(J_ADDDAY(D58,N58+3,1),1,1),IF((N58+4-(NETWORKDAYS.INTL(J_GregorianDate(D58,1),J_GregorianDate(J_SUBDAY(J_ADDDAY(D58,N58+4,1),1,1),1),16,1)))+SUMIFS(Holieday[ok],Holieday[date],CONCATENATE("&gt;","=",D58),Holieday[date],CONCATENATE("&lt;","=",J_SUBDAY(J_ADDDAY(D58,N58+4,1),1,1)))-SUMIFS(Holieday[Friday],Holieday[date],CONCATENATE("&gt;","=",D58),Holieday[date],CONCATENATE("&lt;","=",J_SUBDAY(J_ADDDAY(D58,N58+4,1),1,1)))=4,J_SUBDAY(J_ADDDAY(D58,N58+4,1),1,1),IF((N58+5-(NETWORKDAYS.INTL(J_GregorianDate(D58,1),J_GregorianDate(J_SUBDAY(J_ADDDAY(D58,N58+5,1),1,1),1),16,1)))+SUMIFS(Holieday[ok],Holieday[date],CONCATENATE("&gt;","=",D58),Holieday[date],CONCATENATE("&lt;","=",J_SUBDAY(J_ADDDAY(D58,N58+5,1),1,1)))-SUMIFS(Holieday[Friday],Holieday[date],CONCATENATE("&gt;","=",D58),Holieday[date],CONCATENATE("&lt;","=",J_SUBDAY(J_ADDDAY(D58,N58+5,1),1,1)))=5,J_SUBDAY(J_ADDDAY(D58,N58+5,1),1,1),J_SUBDAY(J_ADDDAY(D58,N58+6,1),1,1))))))))</f>
        <v>1398/08/14</v>
      </c>
      <c r="G58" s="196">
        <f t="shared" si="16"/>
        <v>13980814</v>
      </c>
      <c r="H58" s="119">
        <v>5</v>
      </c>
      <c r="I58" s="120">
        <v>3.2</v>
      </c>
      <c r="J58" s="204">
        <f>j_WEEKDAY(D58,2)</f>
        <v>1</v>
      </c>
      <c r="K58" s="206">
        <f>SUM(JA58:JC58)</f>
        <v>0</v>
      </c>
      <c r="L58" s="207">
        <f t="shared" si="19"/>
        <v>17</v>
      </c>
      <c r="M58" s="121">
        <v>0</v>
      </c>
      <c r="N58" s="118">
        <v>13</v>
      </c>
      <c r="O58" s="208">
        <f t="shared" si="17"/>
        <v>0</v>
      </c>
      <c r="P58" s="208">
        <f>VALUE(J_normdate(J_ADDDAY($D58,$O58,1)))</f>
        <v>13980728</v>
      </c>
      <c r="Q58" s="204">
        <f t="shared" si="14"/>
        <v>17</v>
      </c>
      <c r="R58" s="202"/>
      <c r="S58" s="202"/>
      <c r="T58" s="202"/>
      <c r="U58" s="202"/>
      <c r="V58" s="202"/>
      <c r="W58" s="202"/>
      <c r="X58" s="202"/>
      <c r="Y58" s="202"/>
      <c r="Z58" s="202"/>
      <c r="AA58" s="202"/>
      <c r="AB58" s="202"/>
      <c r="AC58" s="202"/>
      <c r="AD58" s="202"/>
      <c r="AE58" s="202"/>
      <c r="AF58" s="202"/>
      <c r="AG58" s="202"/>
      <c r="AH58" s="202"/>
      <c r="AI58" s="202"/>
      <c r="AJ58" s="202"/>
      <c r="AK58" s="202"/>
      <c r="AL58" s="202"/>
      <c r="AM58" s="202"/>
      <c r="AN58" s="202"/>
      <c r="AO58" s="202"/>
      <c r="AP58" s="202"/>
      <c r="AQ58" s="202"/>
      <c r="AR58" s="202"/>
      <c r="AS58" s="202"/>
      <c r="AT58" s="202"/>
      <c r="AU58" s="202"/>
      <c r="AV58" s="202"/>
      <c r="AW58" s="202"/>
      <c r="AX58" s="202"/>
      <c r="AY58" s="202"/>
      <c r="AZ58" s="202"/>
      <c r="BA58" s="202"/>
      <c r="BB58" s="202"/>
      <c r="BC58" s="202"/>
      <c r="BD58" s="202"/>
      <c r="BE58" s="202"/>
      <c r="BF58" s="202"/>
      <c r="BG58" s="202"/>
      <c r="BH58" s="202"/>
      <c r="BI58" s="202"/>
      <c r="BJ58" s="202"/>
      <c r="BK58" s="202"/>
      <c r="BL58" s="202"/>
      <c r="BM58" s="202"/>
      <c r="BN58" s="202"/>
      <c r="BO58" s="202"/>
      <c r="BP58" s="202"/>
      <c r="BQ58" s="202"/>
      <c r="BR58" s="202"/>
      <c r="BS58" s="202"/>
      <c r="BT58" s="202"/>
      <c r="BU58" s="202"/>
      <c r="BV58" s="202"/>
      <c r="BW58" s="202"/>
      <c r="BX58" s="202"/>
      <c r="BY58" s="202"/>
      <c r="BZ58" s="202"/>
      <c r="CA58" s="202"/>
      <c r="CB58" s="202"/>
      <c r="CC58" s="202"/>
      <c r="CD58" s="202"/>
      <c r="CE58" s="202"/>
      <c r="CF58" s="202"/>
      <c r="CG58" s="202"/>
      <c r="CH58" s="202"/>
      <c r="CI58" s="202"/>
      <c r="CJ58" s="202"/>
      <c r="CK58" s="202"/>
      <c r="CL58" s="202"/>
      <c r="CM58" s="202"/>
      <c r="CN58" s="202"/>
      <c r="CO58" s="202"/>
      <c r="CP58" s="202"/>
      <c r="CQ58" s="202"/>
      <c r="CR58" s="202"/>
      <c r="CS58" s="202"/>
      <c r="CT58" s="202"/>
      <c r="CU58" s="202"/>
      <c r="CV58" s="202"/>
      <c r="CW58" s="202"/>
      <c r="CX58" s="202"/>
      <c r="CY58" s="202"/>
      <c r="CZ58" s="202"/>
      <c r="DA58" s="202"/>
      <c r="DB58" s="202"/>
      <c r="DC58" s="202"/>
      <c r="DD58" s="202"/>
      <c r="DE58" s="202"/>
      <c r="DF58" s="202"/>
      <c r="DG58" s="202"/>
      <c r="DH58" s="202"/>
      <c r="DI58" s="202"/>
      <c r="DJ58" s="202"/>
      <c r="DK58" s="202"/>
      <c r="DL58" s="202"/>
      <c r="DM58" s="202"/>
      <c r="DN58" s="202"/>
      <c r="DO58" s="202"/>
      <c r="DP58" s="202"/>
      <c r="DQ58" s="202"/>
      <c r="DR58" s="202"/>
      <c r="DS58" s="202"/>
      <c r="DT58" s="202"/>
      <c r="DU58" s="202"/>
      <c r="DV58" s="202"/>
      <c r="DW58" s="202"/>
      <c r="DX58" s="202"/>
      <c r="DY58" s="202"/>
      <c r="DZ58" s="202"/>
      <c r="EA58" s="202"/>
      <c r="EB58" s="202"/>
      <c r="EC58" s="202"/>
      <c r="ED58" s="202"/>
      <c r="EE58" s="202"/>
      <c r="EF58" s="202"/>
      <c r="EG58" s="202"/>
      <c r="EH58" s="202"/>
      <c r="EI58" s="202"/>
      <c r="EJ58" s="202"/>
      <c r="EK58" s="202"/>
      <c r="EL58" s="202"/>
      <c r="EM58" s="202"/>
      <c r="EN58" s="202"/>
      <c r="EO58" s="202"/>
      <c r="EP58" s="202"/>
      <c r="EQ58" s="202"/>
      <c r="ER58" s="202"/>
      <c r="ES58" s="202"/>
      <c r="ET58" s="202"/>
      <c r="EU58" s="202"/>
      <c r="EV58" s="202"/>
      <c r="EW58" s="202"/>
      <c r="EX58" s="202"/>
      <c r="EY58" s="202"/>
      <c r="EZ58" s="202"/>
      <c r="FA58" s="202"/>
      <c r="FB58" s="202"/>
      <c r="FC58" s="202"/>
      <c r="FD58" s="202"/>
      <c r="FE58" s="202"/>
      <c r="FF58" s="202"/>
      <c r="FG58" s="202"/>
      <c r="FH58" s="202"/>
      <c r="FI58" s="202"/>
      <c r="FJ58" s="202"/>
      <c r="FK58" s="202"/>
      <c r="FL58" s="202"/>
      <c r="FM58" s="202"/>
      <c r="FN58" s="202"/>
      <c r="FO58" s="202"/>
      <c r="FP58" s="202"/>
      <c r="FQ58" s="202"/>
      <c r="FR58" s="202"/>
      <c r="FS58" s="202"/>
      <c r="FT58" s="202"/>
      <c r="FU58" s="202"/>
      <c r="FV58" s="202"/>
      <c r="FW58" s="202"/>
      <c r="FX58" s="202"/>
      <c r="FY58" s="202"/>
      <c r="FZ58" s="202"/>
      <c r="GA58" s="202"/>
      <c r="GB58" s="202"/>
      <c r="GC58" s="202"/>
      <c r="GD58" s="202"/>
      <c r="GE58" s="202"/>
      <c r="GF58" s="202"/>
      <c r="GG58" s="202"/>
      <c r="GH58" s="202"/>
      <c r="GI58" s="202"/>
      <c r="GJ58" s="202"/>
      <c r="GK58" s="202"/>
      <c r="GL58" s="202"/>
      <c r="GM58" s="202"/>
      <c r="GN58" s="202"/>
      <c r="GO58" s="202"/>
      <c r="GP58" s="202"/>
      <c r="GQ58" s="202"/>
      <c r="GR58" s="202"/>
      <c r="GS58" s="202"/>
      <c r="GT58" s="202"/>
      <c r="GU58" s="202"/>
      <c r="GV58" s="202"/>
      <c r="GW58" s="202"/>
      <c r="GX58" s="202"/>
      <c r="GY58" s="202"/>
      <c r="GZ58" s="202"/>
      <c r="HA58" s="202"/>
      <c r="HB58" s="202"/>
      <c r="HC58" s="202"/>
      <c r="HD58" s="202"/>
      <c r="HE58" s="202"/>
      <c r="HF58" s="202"/>
      <c r="HG58" s="202"/>
      <c r="HH58" s="202"/>
      <c r="HI58" s="202"/>
      <c r="HJ58" s="202"/>
      <c r="HK58" s="202"/>
      <c r="HL58" s="202"/>
      <c r="HM58" s="202"/>
      <c r="HN58" s="202"/>
      <c r="HO58" s="202"/>
      <c r="HP58" s="202"/>
      <c r="HQ58" s="202"/>
      <c r="HR58" s="202"/>
      <c r="HS58" s="202"/>
      <c r="HT58" s="202"/>
      <c r="HU58" s="202"/>
      <c r="HV58" s="202"/>
      <c r="HW58" s="202"/>
      <c r="HX58" s="202"/>
      <c r="HY58" s="202"/>
      <c r="HZ58" s="202"/>
      <c r="IA58" s="202"/>
      <c r="IB58" s="202"/>
      <c r="IC58" s="202"/>
      <c r="ID58" s="202"/>
      <c r="IE58" s="202"/>
      <c r="IF58" s="202"/>
      <c r="IG58" s="202"/>
      <c r="IH58" s="202"/>
      <c r="II58" s="202"/>
      <c r="IJ58" s="202"/>
      <c r="IK58" s="202"/>
      <c r="IL58" s="202"/>
      <c r="IM58" s="202"/>
      <c r="IN58" s="202"/>
      <c r="IO58" s="202"/>
      <c r="IP58" s="202"/>
      <c r="IQ58" s="202"/>
      <c r="IR58" s="202"/>
      <c r="IS58" s="202"/>
      <c r="IT58" s="202"/>
      <c r="IU58" s="202"/>
      <c r="IV58" s="202"/>
      <c r="IW58" s="202"/>
      <c r="IX58" s="202"/>
      <c r="IY58" s="31">
        <v>2</v>
      </c>
      <c r="IZ58" s="43">
        <f>(TEXT(K58,"[m]")/60)*VLOOKUP(IY58,'Income Person-hours'!A$2:C$5,3,FALSE)</f>
        <v>0</v>
      </c>
      <c r="JA58" s="122"/>
      <c r="JB58" s="122"/>
      <c r="JC58" s="122"/>
      <c r="JD58" s="227">
        <f>SUM((TEXT(JA58,"[M]")/60)*'Income Person-hours'!$D$3,(TEXT(JB58,"[M]")/60)*'Income Person-hours'!$D$4,(TEXT(JC58,"[M]")/60)*'Income Person-hours'!$D$5)</f>
        <v>0</v>
      </c>
    </row>
    <row r="59" spans="1:16384" s="226" customFormat="1" ht="15.75" customHeight="1" x14ac:dyDescent="0.45">
      <c r="A59" s="209">
        <v>3.6</v>
      </c>
      <c r="B59" s="116" t="s">
        <v>168</v>
      </c>
      <c r="C59" s="117" t="s">
        <v>111</v>
      </c>
      <c r="D59" s="202" t="str">
        <f>IF(OR(j_WEEKDAY(J_ADDDAY(VLOOKUP(I59,A:F,6,FALSE),H59,1),0)=6,SUMIFS(Holieday[ok],Holieday[date],J_ADDDAY(VLOOKUP(I59,A:F,6,FALSE),H59,1)))=FALSE(),J_ADDDAY(VLOOKUP(I59,A:F,6,FALSE),H59,1),IF(OR(j_WEEKDAY(J_ADDDAY(VLOOKUP(I59,A:F,6,FALSE),H59+1,1),0)=6,SUMIFS(Holieday[ok],Holieday[date],J_ADDDAY(VLOOKUP(I59,A:F,6,FALSE),H59+1,1)))=FALSE(),J_ADDDAY(VLOOKUP(I59,A:F,6,FALSE),H59+1,1),IF(OR(j_WEEKDAY(J_ADDDAY(VLOOKUP(I59,A:F,6,FALSE),H59+2,1),0)=6,SUMIFS(Holieday[ok],Holieday[date],J_ADDDAY(VLOOKUP(I59,A:F,6,FALSE),H59+2,1)))=FALSE(),J_ADDDAY(VLOOKUP(I59,A:F,6,FALSE),H59+2,1),IF(OR(j_WEEKDAY(J_ADDDAY(VLOOKUP(I59,A:F,6,FALSE),H59+3,1),0)=6,SUMIFS(Holieday[ok],Holieday[date],J_ADDDAY(VLOOKUP(I59,A:F,6,FALSE),H59+3,1)))=FALSE(),J_ADDDAY(VLOOKUP(I59,A:F,6,FALSE),H59+3,1),IF(OR(j_WEEKDAY(J_ADDDAY(VLOOKUP(I59,A:F,6,FALSE),H59+4,1),0)=6,SUMIFS(Holieday[ok],Holieday[date],J_ADDDAY(VLOOKUP(I59,A:F,6,FALSE),H59+4,1)))=FALSE(),J_ADDDAY(VLOOKUP(I59,A:F,6,FALSE),H59+4,1),J_ADDDAY(VLOOKUP(I59,A:F,6,FALSE),H59+5,1))))))</f>
        <v>1398/07/28</v>
      </c>
      <c r="E59" s="193">
        <f t="shared" si="15"/>
        <v>13980728</v>
      </c>
      <c r="F59" s="205" t="str">
        <f>IF(N59=0,J_SUBDAY(D59,1,1),IF((N59-(NETWORKDAYS.INTL(J_GregorianDate(D59,1),J_GregorianDate(J_SUBDAY(J_ADDDAY(D59,N59,1),1,1),1),16,1)))+SUMIFS(Holieday[ok],Holieday[date],CONCATENATE("&gt;","=",D59),Holieday[date],CONCATENATE("&lt;","=",J_SUBDAY(J_ADDDAY(D59,N59,1),1,1)))-SUMIFS(Holieday[Friday],Holieday[date],CONCATENATE("&gt;","=",D59),Holieday[date],CONCATENATE("&lt;","=",J_SUBDAY(J_ADDDAY(D59,N59,1),1,1)))=0,J_SUBDAY(J_ADDDAY(D59,N59,1),1,1),IF((N59+1-(NETWORKDAYS.INTL(J_GregorianDate(D59,1),J_GregorianDate(J_SUBDAY(J_ADDDAY(D59,N59+1,1),1,1),1),16,1)))+SUMIFS(Holieday[ok],Holieday[date],CONCATENATE("&gt;","=",D59),Holieday[date],CONCATENATE("&lt;","=",J_SUBDAY(J_ADDDAY(D59,N59+1,1),1,1)))-SUMIFS(Holieday[Friday],Holieday[date],CONCATENATE("&gt;","=",D59),Holieday[date],CONCATENATE("&lt;","=",J_SUBDAY(J_ADDDAY(D59,N59+1,1),1,1)))=1,J_SUBDAY(J_ADDDAY(D59,N59+1,1),1,1),IF((N59+2-(NETWORKDAYS.INTL(J_GregorianDate(D59,1),J_GregorianDate(J_SUBDAY(J_ADDDAY(D59,N59+2,1),1,1),1),16,1)))+SUMIFS(Holieday[ok],Holieday[date],CONCATENATE("&gt;","=",D59),Holieday[date],CONCATENATE("&lt;","=",J_SUBDAY(J_ADDDAY(D59,N59+2,1),1,1)))-SUMIFS(Holieday[Friday],Holieday[date],CONCATENATE("&gt;","=",D59),Holieday[date],CONCATENATE("&lt;","=",J_SUBDAY(J_ADDDAY(D59,N59+2,1),1,1)))=2,J_SUBDAY(J_ADDDAY(D59,N59+2,1),1,1),IF((N59+3-(NETWORKDAYS.INTL(J_GregorianDate(D59,1),J_GregorianDate(J_SUBDAY(J_ADDDAY(D59,N59+3,1),1,1),1),16,1)))+SUMIFS(Holieday[ok],Holieday[date],CONCATENATE("&gt;","=",D59),Holieday[date],CONCATENATE("&lt;","=",J_SUBDAY(J_ADDDAY(D59,N59+3,1),1,1)))-SUMIFS(Holieday[Friday],Holieday[date],CONCATENATE("&gt;","=",D59),Holieday[date],CONCATENATE("&lt;","=",J_SUBDAY(J_ADDDAY(D59,N59+3,1),1,1)))=3,J_SUBDAY(J_ADDDAY(D59,N59+3,1),1,1),IF((N59+4-(NETWORKDAYS.INTL(J_GregorianDate(D59,1),J_GregorianDate(J_SUBDAY(J_ADDDAY(D59,N59+4,1),1,1),1),16,1)))+SUMIFS(Holieday[ok],Holieday[date],CONCATENATE("&gt;","=",D59),Holieday[date],CONCATENATE("&lt;","=",J_SUBDAY(J_ADDDAY(D59,N59+4,1),1,1)))-SUMIFS(Holieday[Friday],Holieday[date],CONCATENATE("&gt;","=",D59),Holieday[date],CONCATENATE("&lt;","=",J_SUBDAY(J_ADDDAY(D59,N59+4,1),1,1)))=4,J_SUBDAY(J_ADDDAY(D59,N59+4,1),1,1),IF((N59+5-(NETWORKDAYS.INTL(J_GregorianDate(D59,1),J_GregorianDate(J_SUBDAY(J_ADDDAY(D59,N59+5,1),1,1),1),16,1)))+SUMIFS(Holieday[ok],Holieday[date],CONCATENATE("&gt;","=",D59),Holieday[date],CONCATENATE("&lt;","=",J_SUBDAY(J_ADDDAY(D59,N59+5,1),1,1)))-SUMIFS(Holieday[Friday],Holieday[date],CONCATENATE("&gt;","=",D59),Holieday[date],CONCATENATE("&lt;","=",J_SUBDAY(J_ADDDAY(D59,N59+5,1),1,1)))=5,J_SUBDAY(J_ADDDAY(D59,N59+5,1),1,1),J_SUBDAY(J_ADDDAY(D59,N59+6,1),1,1))))))))</f>
        <v>1398/08/06</v>
      </c>
      <c r="G59" s="196">
        <f t="shared" si="16"/>
        <v>13980806</v>
      </c>
      <c r="H59" s="119">
        <v>7</v>
      </c>
      <c r="I59" s="120">
        <v>3.2</v>
      </c>
      <c r="J59" s="204">
        <f>j_WEEKDAY(D59,2)</f>
        <v>1</v>
      </c>
      <c r="K59" s="206">
        <f>SUM(JA59:JC59)</f>
        <v>0</v>
      </c>
      <c r="L59" s="207">
        <f t="shared" si="19"/>
        <v>9</v>
      </c>
      <c r="M59" s="121">
        <v>0</v>
      </c>
      <c r="N59" s="118">
        <v>7</v>
      </c>
      <c r="O59" s="208">
        <f t="shared" si="17"/>
        <v>0</v>
      </c>
      <c r="P59" s="208">
        <f>VALUE(J_normdate(J_ADDDAY($D59,$O59,1)))</f>
        <v>13980728</v>
      </c>
      <c r="Q59" s="204">
        <f t="shared" si="14"/>
        <v>9</v>
      </c>
      <c r="R59" s="202"/>
      <c r="S59" s="202"/>
      <c r="T59" s="202"/>
      <c r="U59" s="202"/>
      <c r="V59" s="202"/>
      <c r="W59" s="202"/>
      <c r="X59" s="202"/>
      <c r="Y59" s="202"/>
      <c r="Z59" s="202"/>
      <c r="AA59" s="202"/>
      <c r="AB59" s="202"/>
      <c r="AC59" s="202"/>
      <c r="AD59" s="202"/>
      <c r="AE59" s="202"/>
      <c r="AF59" s="202"/>
      <c r="AG59" s="202"/>
      <c r="AH59" s="202"/>
      <c r="AI59" s="202"/>
      <c r="AJ59" s="202"/>
      <c r="AK59" s="202"/>
      <c r="AL59" s="202"/>
      <c r="AM59" s="202"/>
      <c r="AN59" s="202"/>
      <c r="AO59" s="202"/>
      <c r="AP59" s="202"/>
      <c r="AQ59" s="202"/>
      <c r="AR59" s="202"/>
      <c r="AS59" s="202"/>
      <c r="AT59" s="202"/>
      <c r="AU59" s="202"/>
      <c r="AV59" s="202"/>
      <c r="AW59" s="202"/>
      <c r="AX59" s="202"/>
      <c r="AY59" s="202"/>
      <c r="AZ59" s="202"/>
      <c r="BA59" s="202"/>
      <c r="BB59" s="202"/>
      <c r="BC59" s="202"/>
      <c r="BD59" s="202"/>
      <c r="BE59" s="202"/>
      <c r="BF59" s="202"/>
      <c r="BG59" s="202"/>
      <c r="BH59" s="202"/>
      <c r="BI59" s="202"/>
      <c r="BJ59" s="202"/>
      <c r="BK59" s="202"/>
      <c r="BL59" s="202"/>
      <c r="BM59" s="202"/>
      <c r="BN59" s="202"/>
      <c r="BO59" s="202"/>
      <c r="BP59" s="202"/>
      <c r="BQ59" s="202"/>
      <c r="BR59" s="202"/>
      <c r="BS59" s="202"/>
      <c r="BT59" s="202"/>
      <c r="BU59" s="202"/>
      <c r="BV59" s="202"/>
      <c r="BW59" s="202"/>
      <c r="BX59" s="202"/>
      <c r="BY59" s="202"/>
      <c r="BZ59" s="202"/>
      <c r="CA59" s="202"/>
      <c r="CB59" s="202"/>
      <c r="CC59" s="202"/>
      <c r="CD59" s="202"/>
      <c r="CE59" s="202"/>
      <c r="CF59" s="202"/>
      <c r="CG59" s="202"/>
      <c r="CH59" s="202"/>
      <c r="CI59" s="202"/>
      <c r="CJ59" s="202"/>
      <c r="CK59" s="202"/>
      <c r="CL59" s="202"/>
      <c r="CM59" s="202"/>
      <c r="CN59" s="202"/>
      <c r="CO59" s="202"/>
      <c r="CP59" s="202"/>
      <c r="CQ59" s="202"/>
      <c r="CR59" s="202"/>
      <c r="CS59" s="202"/>
      <c r="CT59" s="202"/>
      <c r="CU59" s="202"/>
      <c r="CV59" s="202"/>
      <c r="CW59" s="202"/>
      <c r="CX59" s="202"/>
      <c r="CY59" s="202"/>
      <c r="CZ59" s="202"/>
      <c r="DA59" s="202"/>
      <c r="DB59" s="202"/>
      <c r="DC59" s="202"/>
      <c r="DD59" s="202"/>
      <c r="DE59" s="202"/>
      <c r="DF59" s="202"/>
      <c r="DG59" s="202"/>
      <c r="DH59" s="202"/>
      <c r="DI59" s="202"/>
      <c r="DJ59" s="202"/>
      <c r="DK59" s="202"/>
      <c r="DL59" s="202"/>
      <c r="DM59" s="202"/>
      <c r="DN59" s="202"/>
      <c r="DO59" s="202"/>
      <c r="DP59" s="202"/>
      <c r="DQ59" s="202"/>
      <c r="DR59" s="202"/>
      <c r="DS59" s="202"/>
      <c r="DT59" s="202"/>
      <c r="DU59" s="202"/>
      <c r="DV59" s="202"/>
      <c r="DW59" s="202"/>
      <c r="DX59" s="202"/>
      <c r="DY59" s="202"/>
      <c r="DZ59" s="202"/>
      <c r="EA59" s="202"/>
      <c r="EB59" s="202"/>
      <c r="EC59" s="202"/>
      <c r="ED59" s="202"/>
      <c r="EE59" s="202"/>
      <c r="EF59" s="202"/>
      <c r="EG59" s="202"/>
      <c r="EH59" s="202"/>
      <c r="EI59" s="202"/>
      <c r="EJ59" s="202"/>
      <c r="EK59" s="202"/>
      <c r="EL59" s="202"/>
      <c r="EM59" s="202"/>
      <c r="EN59" s="202"/>
      <c r="EO59" s="202"/>
      <c r="EP59" s="202"/>
      <c r="EQ59" s="202"/>
      <c r="ER59" s="202"/>
      <c r="ES59" s="202"/>
      <c r="ET59" s="202"/>
      <c r="EU59" s="202"/>
      <c r="EV59" s="202"/>
      <c r="EW59" s="202"/>
      <c r="EX59" s="202"/>
      <c r="EY59" s="202"/>
      <c r="EZ59" s="202"/>
      <c r="FA59" s="202"/>
      <c r="FB59" s="202"/>
      <c r="FC59" s="202"/>
      <c r="FD59" s="202"/>
      <c r="FE59" s="202"/>
      <c r="FF59" s="202"/>
      <c r="FG59" s="202"/>
      <c r="FH59" s="202"/>
      <c r="FI59" s="202"/>
      <c r="FJ59" s="202"/>
      <c r="FK59" s="202"/>
      <c r="FL59" s="202"/>
      <c r="FM59" s="202"/>
      <c r="FN59" s="202"/>
      <c r="FO59" s="202"/>
      <c r="FP59" s="202"/>
      <c r="FQ59" s="202"/>
      <c r="FR59" s="202"/>
      <c r="FS59" s="202"/>
      <c r="FT59" s="202"/>
      <c r="FU59" s="202"/>
      <c r="FV59" s="202"/>
      <c r="FW59" s="202"/>
      <c r="FX59" s="202"/>
      <c r="FY59" s="202"/>
      <c r="FZ59" s="202"/>
      <c r="GA59" s="202"/>
      <c r="GB59" s="202"/>
      <c r="GC59" s="202"/>
      <c r="GD59" s="202"/>
      <c r="GE59" s="202"/>
      <c r="GF59" s="202"/>
      <c r="GG59" s="202"/>
      <c r="GH59" s="202"/>
      <c r="GI59" s="202"/>
      <c r="GJ59" s="202"/>
      <c r="GK59" s="202"/>
      <c r="GL59" s="202"/>
      <c r="GM59" s="202"/>
      <c r="GN59" s="202"/>
      <c r="GO59" s="202"/>
      <c r="GP59" s="202"/>
      <c r="GQ59" s="202"/>
      <c r="GR59" s="202"/>
      <c r="GS59" s="202"/>
      <c r="GT59" s="202"/>
      <c r="GU59" s="202"/>
      <c r="GV59" s="202"/>
      <c r="GW59" s="202"/>
      <c r="GX59" s="202"/>
      <c r="GY59" s="202"/>
      <c r="GZ59" s="202"/>
      <c r="HA59" s="202"/>
      <c r="HB59" s="202"/>
      <c r="HC59" s="202"/>
      <c r="HD59" s="202"/>
      <c r="HE59" s="202"/>
      <c r="HF59" s="202"/>
      <c r="HG59" s="202"/>
      <c r="HH59" s="202"/>
      <c r="HI59" s="202"/>
      <c r="HJ59" s="202"/>
      <c r="HK59" s="202"/>
      <c r="HL59" s="202"/>
      <c r="HM59" s="202"/>
      <c r="HN59" s="202"/>
      <c r="HO59" s="202"/>
      <c r="HP59" s="202"/>
      <c r="HQ59" s="202"/>
      <c r="HR59" s="202"/>
      <c r="HS59" s="202"/>
      <c r="HT59" s="202"/>
      <c r="HU59" s="202"/>
      <c r="HV59" s="202"/>
      <c r="HW59" s="202"/>
      <c r="HX59" s="202"/>
      <c r="HY59" s="202"/>
      <c r="HZ59" s="202"/>
      <c r="IA59" s="202"/>
      <c r="IB59" s="202"/>
      <c r="IC59" s="202"/>
      <c r="ID59" s="202"/>
      <c r="IE59" s="202"/>
      <c r="IF59" s="202"/>
      <c r="IG59" s="202"/>
      <c r="IH59" s="202"/>
      <c r="II59" s="202"/>
      <c r="IJ59" s="202"/>
      <c r="IK59" s="202"/>
      <c r="IL59" s="202"/>
      <c r="IM59" s="202"/>
      <c r="IN59" s="202"/>
      <c r="IO59" s="202"/>
      <c r="IP59" s="202"/>
      <c r="IQ59" s="202"/>
      <c r="IR59" s="202"/>
      <c r="IS59" s="202"/>
      <c r="IT59" s="202"/>
      <c r="IU59" s="202"/>
      <c r="IV59" s="202"/>
      <c r="IW59" s="202"/>
      <c r="IX59" s="202"/>
      <c r="IY59" s="31">
        <v>3</v>
      </c>
      <c r="IZ59" s="43">
        <f>(TEXT(K59,"[m]")/60)*VLOOKUP(IY59,'Income Person-hours'!A$2:C$5,3,FALSE)</f>
        <v>0</v>
      </c>
      <c r="JA59" s="122"/>
      <c r="JB59" s="122"/>
      <c r="JC59" s="122"/>
      <c r="JD59" s="227">
        <f>SUM((TEXT(JA59,"[M]")/60)*'Income Person-hours'!$D$3,(TEXT(JB59,"[M]")/60)*'Income Person-hours'!$D$4,(TEXT(JC59,"[M]")/60)*'Income Person-hours'!$D$5)</f>
        <v>0</v>
      </c>
    </row>
    <row r="60" spans="1:16384" s="12" customFormat="1" ht="15.75" x14ac:dyDescent="0.45">
      <c r="A60" s="201">
        <v>3.7</v>
      </c>
      <c r="B60" s="116" t="s">
        <v>127</v>
      </c>
      <c r="C60" s="117" t="s">
        <v>110</v>
      </c>
      <c r="D60" s="8" t="str">
        <f>IF(OR(j_WEEKDAY(J_ADDDAY(VLOOKUP(I60,A:F,6,FALSE),H60,1),0)=6,SUMIFS(Holieday[ok],Holieday[date],J_ADDDAY(VLOOKUP(I60,A:F,6,FALSE),H60,1)))=FALSE(),J_ADDDAY(VLOOKUP(I60,A:F,6,FALSE),H60,1),IF(OR(j_WEEKDAY(J_ADDDAY(VLOOKUP(I60,A:F,6,FALSE),H60+1,1),0)=6,SUMIFS(Holieday[ok],Holieday[date],J_ADDDAY(VLOOKUP(I60,A:F,6,FALSE),H60+1,1)))=FALSE(),J_ADDDAY(VLOOKUP(I60,A:F,6,FALSE),H60+1,1),IF(OR(j_WEEKDAY(J_ADDDAY(VLOOKUP(I60,A:F,6,FALSE),H60+2,1),0)=6,SUMIFS(Holieday[ok],Holieday[date],J_ADDDAY(VLOOKUP(I60,A:F,6,FALSE),H60+2,1)))=FALSE(),J_ADDDAY(VLOOKUP(I60,A:F,6,FALSE),H60+2,1),IF(OR(j_WEEKDAY(J_ADDDAY(VLOOKUP(I60,A:F,6,FALSE),H60+3,1),0)=6,SUMIFS(Holieday[ok],Holieday[date],J_ADDDAY(VLOOKUP(I60,A:F,6,FALSE),H60+3,1)))=FALSE(),J_ADDDAY(VLOOKUP(I60,A:F,6,FALSE),H60+3,1),IF(OR(j_WEEKDAY(J_ADDDAY(VLOOKUP(I60,A:F,6,FALSE),H60+4,1),0)=6,SUMIFS(Holieday[ok],Holieday[date],J_ADDDAY(VLOOKUP(I60,A:F,6,FALSE),H60+4,1)))=FALSE(),J_ADDDAY(VLOOKUP(I60,A:F,6,FALSE),H60+4,1),J_ADDDAY(VLOOKUP(I60,A:F,6,FALSE),H60+5,1))))))</f>
        <v>1398/08/08</v>
      </c>
      <c r="E60" s="2">
        <f t="shared" si="15"/>
        <v>13980808</v>
      </c>
      <c r="F60" s="13" t="str">
        <f>IF(N60=0,J_SUBDAY(D60,1,1),IF((N60-(NETWORKDAYS.INTL(J_GregorianDate(D60,1),J_GregorianDate(J_SUBDAY(J_ADDDAY(D60,N60,1),1,1),1),16,1)))+SUMIFS(Holieday[ok],Holieday[date],CONCATENATE("&gt;","=",D60),Holieday[date],CONCATENATE("&lt;","=",J_SUBDAY(J_ADDDAY(D60,N60,1),1,1)))-SUMIFS(Holieday[Friday],Holieday[date],CONCATENATE("&gt;","=",D60),Holieday[date],CONCATENATE("&lt;","=",J_SUBDAY(J_ADDDAY(D60,N60,1),1,1)))=0,J_SUBDAY(J_ADDDAY(D60,N60,1),1,1),IF((N60+1-(NETWORKDAYS.INTL(J_GregorianDate(D60,1),J_GregorianDate(J_SUBDAY(J_ADDDAY(D60,N60+1,1),1,1),1),16,1)))+SUMIFS(Holieday[ok],Holieday[date],CONCATENATE("&gt;","=",D60),Holieday[date],CONCATENATE("&lt;","=",J_SUBDAY(J_ADDDAY(D60,N60+1,1),1,1)))-SUMIFS(Holieday[Friday],Holieday[date],CONCATENATE("&gt;","=",D60),Holieday[date],CONCATENATE("&lt;","=",J_SUBDAY(J_ADDDAY(D60,N60+1,1),1,1)))=1,J_SUBDAY(J_ADDDAY(D60,N60+1,1),1,1),IF((N60+2-(NETWORKDAYS.INTL(J_GregorianDate(D60,1),J_GregorianDate(J_SUBDAY(J_ADDDAY(D60,N60+2,1),1,1),1),16,1)))+SUMIFS(Holieday[ok],Holieday[date],CONCATENATE("&gt;","=",D60),Holieday[date],CONCATENATE("&lt;","=",J_SUBDAY(J_ADDDAY(D60,N60+2,1),1,1)))-SUMIFS(Holieday[Friday],Holieday[date],CONCATENATE("&gt;","=",D60),Holieday[date],CONCATENATE("&lt;","=",J_SUBDAY(J_ADDDAY(D60,N60+2,1),1,1)))=2,J_SUBDAY(J_ADDDAY(D60,N60+2,1),1,1),IF((N60+3-(NETWORKDAYS.INTL(J_GregorianDate(D60,1),J_GregorianDate(J_SUBDAY(J_ADDDAY(D60,N60+3,1),1,1),1),16,1)))+SUMIFS(Holieday[ok],Holieday[date],CONCATENATE("&gt;","=",D60),Holieday[date],CONCATENATE("&lt;","=",J_SUBDAY(J_ADDDAY(D60,N60+3,1),1,1)))-SUMIFS(Holieday[Friday],Holieday[date],CONCATENATE("&gt;","=",D60),Holieday[date],CONCATENATE("&lt;","=",J_SUBDAY(J_ADDDAY(D60,N60+3,1),1,1)))=3,J_SUBDAY(J_ADDDAY(D60,N60+3,1),1,1),IF((N60+4-(NETWORKDAYS.INTL(J_GregorianDate(D60,1),J_GregorianDate(J_SUBDAY(J_ADDDAY(D60,N60+4,1),1,1),1),16,1)))+SUMIFS(Holieday[ok],Holieday[date],CONCATENATE("&gt;","=",D60),Holieday[date],CONCATENATE("&lt;","=",J_SUBDAY(J_ADDDAY(D60,N60+4,1),1,1)))-SUMIFS(Holieday[Friday],Holieday[date],CONCATENATE("&gt;","=",D60),Holieday[date],CONCATENATE("&lt;","=",J_SUBDAY(J_ADDDAY(D60,N60+4,1),1,1)))=4,J_SUBDAY(J_ADDDAY(D60,N60+4,1),1,1),IF((N60+5-(NETWORKDAYS.INTL(J_GregorianDate(D60,1),J_GregorianDate(J_SUBDAY(J_ADDDAY(D60,N60+5,1),1,1),1),16,1)))+SUMIFS(Holieday[ok],Holieday[date],CONCATENATE("&gt;","=",D60),Holieday[date],CONCATENATE("&lt;","=",J_SUBDAY(J_ADDDAY(D60,N60+5,1),1,1)))-SUMIFS(Holieday[Friday],Holieday[date],CONCATENATE("&gt;","=",D60),Holieday[date],CONCATENATE("&lt;","=",J_SUBDAY(J_ADDDAY(D60,N60+5,1),1,1)))=5,J_SUBDAY(J_ADDDAY(D60,N60+5,1),1,1),J_SUBDAY(J_ADDDAY(D60,N60+6,1),1,1))))))))</f>
        <v>1398/08/12</v>
      </c>
      <c r="G60" s="3">
        <f t="shared" si="16"/>
        <v>13980812</v>
      </c>
      <c r="H60" s="119">
        <v>1</v>
      </c>
      <c r="I60" s="120">
        <v>3.6</v>
      </c>
      <c r="J60" s="10">
        <f>j_WEEKDAY(D60,2)</f>
        <v>4</v>
      </c>
      <c r="K60" s="22">
        <f>SUM(JA60:JC60)</f>
        <v>0</v>
      </c>
      <c r="L60" s="9">
        <f t="shared" si="19"/>
        <v>5</v>
      </c>
      <c r="M60" s="121">
        <v>0</v>
      </c>
      <c r="N60" s="118">
        <v>4</v>
      </c>
      <c r="O60" s="11">
        <f t="shared" si="17"/>
        <v>0</v>
      </c>
      <c r="P60" s="11">
        <f>VALUE(J_normdate(J_ADDDAY($D60,$O60,1)))</f>
        <v>13980808</v>
      </c>
      <c r="Q60" s="10">
        <f t="shared" si="14"/>
        <v>5</v>
      </c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 s="8"/>
      <c r="EX60" s="8"/>
      <c r="EY60" s="8"/>
      <c r="EZ60" s="8"/>
      <c r="FA60" s="8"/>
      <c r="FB60" s="8"/>
      <c r="FC60" s="8"/>
      <c r="FD60" s="8"/>
      <c r="FE60" s="8"/>
      <c r="FF60" s="8"/>
      <c r="FG60" s="8"/>
      <c r="FH60" s="8"/>
      <c r="FI60" s="8"/>
      <c r="FJ60" s="8"/>
      <c r="FK60" s="8"/>
      <c r="FL60" s="8"/>
      <c r="FM60" s="8"/>
      <c r="FN60" s="8"/>
      <c r="FO60" s="8"/>
      <c r="FP60" s="8"/>
      <c r="FQ60" s="8"/>
      <c r="FR60" s="8"/>
      <c r="FS60" s="8"/>
      <c r="FT60" s="8"/>
      <c r="FU60" s="8"/>
      <c r="FV60" s="8"/>
      <c r="FW60" s="8"/>
      <c r="FX60" s="8"/>
      <c r="FY60" s="8"/>
      <c r="FZ60" s="8"/>
      <c r="GA60" s="8"/>
      <c r="GB60" s="8"/>
      <c r="GC60" s="8"/>
      <c r="GD60" s="8"/>
      <c r="GE60" s="8"/>
      <c r="GF60" s="8"/>
      <c r="GG60" s="8"/>
      <c r="GH60" s="8"/>
      <c r="GI60" s="8"/>
      <c r="GJ60" s="8"/>
      <c r="GK60" s="8"/>
      <c r="GL60" s="8"/>
      <c r="GM60" s="8"/>
      <c r="GN60" s="8"/>
      <c r="GO60" s="8"/>
      <c r="GP60" s="8"/>
      <c r="GQ60" s="8"/>
      <c r="GR60" s="8"/>
      <c r="GS60" s="8"/>
      <c r="GT60" s="8"/>
      <c r="GU60" s="8"/>
      <c r="GV60" s="8"/>
      <c r="GW60" s="8"/>
      <c r="GX60" s="8"/>
      <c r="GY60" s="8"/>
      <c r="GZ60" s="8"/>
      <c r="HA60" s="8"/>
      <c r="HB60" s="8"/>
      <c r="HC60" s="8"/>
      <c r="HD60" s="8"/>
      <c r="HE60" s="8"/>
      <c r="HF60" s="8"/>
      <c r="HG60" s="8"/>
      <c r="HH60" s="8"/>
      <c r="HI60" s="8"/>
      <c r="HJ60" s="8"/>
      <c r="HK60" s="8"/>
      <c r="HL60" s="8"/>
      <c r="HM60" s="8"/>
      <c r="HN60" s="8"/>
      <c r="HO60" s="8"/>
      <c r="HP60" s="8"/>
      <c r="HQ60" s="8"/>
      <c r="HR60" s="8"/>
      <c r="HS60" s="8"/>
      <c r="HT60" s="8"/>
      <c r="HU60" s="8"/>
      <c r="HV60" s="8"/>
      <c r="HW60" s="8"/>
      <c r="HX60" s="8"/>
      <c r="HY60" s="8"/>
      <c r="HZ60" s="8"/>
      <c r="IA60" s="8"/>
      <c r="IB60" s="8"/>
      <c r="IC60" s="8"/>
      <c r="ID60" s="8"/>
      <c r="IE60" s="8"/>
      <c r="IF60" s="8"/>
      <c r="IG60" s="8"/>
      <c r="IH60" s="8"/>
      <c r="II60" s="8"/>
      <c r="IJ60" s="8"/>
      <c r="IK60" s="8"/>
      <c r="IL60" s="8"/>
      <c r="IM60" s="8"/>
      <c r="IN60" s="8"/>
      <c r="IO60" s="8"/>
      <c r="IP60" s="8"/>
      <c r="IQ60" s="8"/>
      <c r="IR60" s="8"/>
      <c r="IS60" s="8"/>
      <c r="IT60" s="8"/>
      <c r="IU60" s="8"/>
      <c r="IV60" s="8"/>
      <c r="IW60" s="8"/>
      <c r="IX60" s="8"/>
      <c r="IY60" s="31">
        <v>1</v>
      </c>
      <c r="IZ60" s="31"/>
      <c r="JA60" s="122"/>
      <c r="JB60" s="122"/>
      <c r="JC60" s="122"/>
      <c r="JD60" s="70">
        <f>SUM((TEXT(JA60,"[M]")/60)*'Income Person-hours'!$D$3,(TEXT(JB60,"[M]")/60)*'Income Person-hours'!$D$4,(TEXT(JC60,"[M]")/60)*'Income Person-hours'!$D$5)</f>
        <v>0</v>
      </c>
    </row>
    <row r="61" spans="1:16384" s="8" customFormat="1" ht="15.75" x14ac:dyDescent="0.45">
      <c r="A61" s="247">
        <v>3.8</v>
      </c>
      <c r="B61" s="116" t="s">
        <v>143</v>
      </c>
      <c r="C61" s="117" t="s">
        <v>111</v>
      </c>
      <c r="D61" s="8" t="str">
        <f>IF(OR(j_WEEKDAY(J_ADDDAY(VLOOKUP(I61,A:F,6,FALSE),H61,1),0)=6,SUMIFS(Holieday[ok],Holieday[date],J_ADDDAY(VLOOKUP(I61,A:F,6,FALSE),H61,1)))=FALSE(),J_ADDDAY(VLOOKUP(I61,A:F,6,FALSE),H61,1),IF(OR(j_WEEKDAY(J_ADDDAY(VLOOKUP(I61,A:F,6,FALSE),H61+1,1),0)=6,SUMIFS(Holieday[ok],Holieday[date],J_ADDDAY(VLOOKUP(I61,A:F,6,FALSE),H61+1,1)))=FALSE(),J_ADDDAY(VLOOKUP(I61,A:F,6,FALSE),H61+1,1),IF(OR(j_WEEKDAY(J_ADDDAY(VLOOKUP(I61,A:F,6,FALSE),H61+2,1),0)=6,SUMIFS(Holieday[ok],Holieday[date],J_ADDDAY(VLOOKUP(I61,A:F,6,FALSE),H61+2,1)))=FALSE(),J_ADDDAY(VLOOKUP(I61,A:F,6,FALSE),H61+2,1),IF(OR(j_WEEKDAY(J_ADDDAY(VLOOKUP(I61,A:F,6,FALSE),H61+3,1),0)=6,SUMIFS(Holieday[ok],Holieday[date],J_ADDDAY(VLOOKUP(I61,A:F,6,FALSE),H61+3,1)))=FALSE(),J_ADDDAY(VLOOKUP(I61,A:F,6,FALSE),H61+3,1),IF(OR(j_WEEKDAY(J_ADDDAY(VLOOKUP(I61,A:F,6,FALSE),H61+4,1),0)=6,SUMIFS(Holieday[ok],Holieday[date],J_ADDDAY(VLOOKUP(I61,A:F,6,FALSE),H61+4,1)))=FALSE(),J_ADDDAY(VLOOKUP(I61,A:F,6,FALSE),H61+4,1),J_ADDDAY(VLOOKUP(I61,A:F,6,FALSE),H61+5,1))))))</f>
        <v>1398/08/08</v>
      </c>
      <c r="E61" s="2">
        <f t="shared" si="15"/>
        <v>13980808</v>
      </c>
      <c r="F61" s="13" t="str">
        <f>IF(N61=0,J_SUBDAY(D61,1,1),IF((N61-(NETWORKDAYS.INTL(J_GregorianDate(D61,1),J_GregorianDate(J_SUBDAY(J_ADDDAY(D61,N61,1),1,1),1),16,1)))+SUMIFS(Holieday[ok],Holieday[date],CONCATENATE("&gt;","=",D61),Holieday[date],CONCATENATE("&lt;","=",J_SUBDAY(J_ADDDAY(D61,N61,1),1,1)))-SUMIFS(Holieday[Friday],Holieday[date],CONCATENATE("&gt;","=",D61),Holieday[date],CONCATENATE("&lt;","=",J_SUBDAY(J_ADDDAY(D61,N61,1),1,1)))=0,J_SUBDAY(J_ADDDAY(D61,N61,1),1,1),IF((N61+1-(NETWORKDAYS.INTL(J_GregorianDate(D61,1),J_GregorianDate(J_SUBDAY(J_ADDDAY(D61,N61+1,1),1,1),1),16,1)))+SUMIFS(Holieday[ok],Holieday[date],CONCATENATE("&gt;","=",D61),Holieday[date],CONCATENATE("&lt;","=",J_SUBDAY(J_ADDDAY(D61,N61+1,1),1,1)))-SUMIFS(Holieday[Friday],Holieday[date],CONCATENATE("&gt;","=",D61),Holieday[date],CONCATENATE("&lt;","=",J_SUBDAY(J_ADDDAY(D61,N61+1,1),1,1)))=1,J_SUBDAY(J_ADDDAY(D61,N61+1,1),1,1),IF((N61+2-(NETWORKDAYS.INTL(J_GregorianDate(D61,1),J_GregorianDate(J_SUBDAY(J_ADDDAY(D61,N61+2,1),1,1),1),16,1)))+SUMIFS(Holieday[ok],Holieday[date],CONCATENATE("&gt;","=",D61),Holieday[date],CONCATENATE("&lt;","=",J_SUBDAY(J_ADDDAY(D61,N61+2,1),1,1)))-SUMIFS(Holieday[Friday],Holieday[date],CONCATENATE("&gt;","=",D61),Holieday[date],CONCATENATE("&lt;","=",J_SUBDAY(J_ADDDAY(D61,N61+2,1),1,1)))=2,J_SUBDAY(J_ADDDAY(D61,N61+2,1),1,1),IF((N61+3-(NETWORKDAYS.INTL(J_GregorianDate(D61,1),J_GregorianDate(J_SUBDAY(J_ADDDAY(D61,N61+3,1),1,1),1),16,1)))+SUMIFS(Holieday[ok],Holieday[date],CONCATENATE("&gt;","=",D61),Holieday[date],CONCATENATE("&lt;","=",J_SUBDAY(J_ADDDAY(D61,N61+3,1),1,1)))-SUMIFS(Holieday[Friday],Holieday[date],CONCATENATE("&gt;","=",D61),Holieday[date],CONCATENATE("&lt;","=",J_SUBDAY(J_ADDDAY(D61,N61+3,1),1,1)))=3,J_SUBDAY(J_ADDDAY(D61,N61+3,1),1,1),IF((N61+4-(NETWORKDAYS.INTL(J_GregorianDate(D61,1),J_GregorianDate(J_SUBDAY(J_ADDDAY(D61,N61+4,1),1,1),1),16,1)))+SUMIFS(Holieday[ok],Holieday[date],CONCATENATE("&gt;","=",D61),Holieday[date],CONCATENATE("&lt;","=",J_SUBDAY(J_ADDDAY(D61,N61+4,1),1,1)))-SUMIFS(Holieday[Friday],Holieday[date],CONCATENATE("&gt;","=",D61),Holieday[date],CONCATENATE("&lt;","=",J_SUBDAY(J_ADDDAY(D61,N61+4,1),1,1)))=4,J_SUBDAY(J_ADDDAY(D61,N61+4,1),1,1),IF((N61+5-(NETWORKDAYS.INTL(J_GregorianDate(D61,1),J_GregorianDate(J_SUBDAY(J_ADDDAY(D61,N61+5,1),1,1),1),16,1)))+SUMIFS(Holieday[ok],Holieday[date],CONCATENATE("&gt;","=",D61),Holieday[date],CONCATENATE("&lt;","=",J_SUBDAY(J_ADDDAY(D61,N61+5,1),1,1)))-SUMIFS(Holieday[Friday],Holieday[date],CONCATENATE("&gt;","=",D61),Holieday[date],CONCATENATE("&lt;","=",J_SUBDAY(J_ADDDAY(D61,N61+5,1),1,1)))=5,J_SUBDAY(J_ADDDAY(D61,N61+5,1),1,1),J_SUBDAY(J_ADDDAY(D61,N61+6,1),1,1))))))))</f>
        <v>1398/08/08</v>
      </c>
      <c r="G61" s="3">
        <f t="shared" si="16"/>
        <v>13980808</v>
      </c>
      <c r="H61" s="119">
        <v>1</v>
      </c>
      <c r="I61" s="120">
        <v>3.6</v>
      </c>
      <c r="J61" s="10">
        <f>j_WEEKDAY(D61,2)</f>
        <v>4</v>
      </c>
      <c r="K61" s="22">
        <f t="shared" si="18"/>
        <v>0</v>
      </c>
      <c r="L61" s="251">
        <f t="shared" si="19"/>
        <v>1</v>
      </c>
      <c r="M61" s="121">
        <v>0</v>
      </c>
      <c r="N61" s="118">
        <v>1</v>
      </c>
      <c r="O61" s="11">
        <f t="shared" si="17"/>
        <v>0</v>
      </c>
      <c r="P61" s="11">
        <f>VALUE(J_normdate(J_ADDDAY($D61,$O61,1)))</f>
        <v>13980808</v>
      </c>
      <c r="Q61" s="10">
        <f t="shared" si="14"/>
        <v>1</v>
      </c>
      <c r="IY61" s="248">
        <v>1</v>
      </c>
      <c r="IZ61" s="248"/>
      <c r="JA61" s="249"/>
      <c r="JB61" s="249"/>
      <c r="JC61" s="249"/>
      <c r="JD61" s="250">
        <f>SUM((TEXT(JA61,"[M]")/60)*'Income Person-hours'!$D$3,(TEXT(JB61,"[M]")/60)*'Income Person-hours'!$D$4,(TEXT(JC61,"[M]")/60)*'Income Person-hours'!$D$5)</f>
        <v>0</v>
      </c>
    </row>
    <row r="62" spans="1:16384" s="12" customFormat="1" ht="15.75" x14ac:dyDescent="0.45">
      <c r="A62" s="209">
        <v>3.9</v>
      </c>
      <c r="B62" s="116" t="s">
        <v>145</v>
      </c>
      <c r="C62" s="117" t="s">
        <v>110</v>
      </c>
      <c r="D62" s="8" t="str">
        <f>IF(OR(j_WEEKDAY(J_ADDDAY(VLOOKUP(I62,A:F,6,FALSE),H62,1),0)=6,SUMIFS(Holieday[ok],Holieday[date],J_ADDDAY(VLOOKUP(I62,A:F,6,FALSE),H62,1)))=FALSE(),J_ADDDAY(VLOOKUP(I62,A:F,6,FALSE),H62,1),IF(OR(j_WEEKDAY(J_ADDDAY(VLOOKUP(I62,A:F,6,FALSE),H62+1,1),0)=6,SUMIFS(Holieday[ok],Holieday[date],J_ADDDAY(VLOOKUP(I62,A:F,6,FALSE),H62+1,1)))=FALSE(),J_ADDDAY(VLOOKUP(I62,A:F,6,FALSE),H62+1,1),IF(OR(j_WEEKDAY(J_ADDDAY(VLOOKUP(I62,A:F,6,FALSE),H62+2,1),0)=6,SUMIFS(Holieday[ok],Holieday[date],J_ADDDAY(VLOOKUP(I62,A:F,6,FALSE),H62+2,1)))=FALSE(),J_ADDDAY(VLOOKUP(I62,A:F,6,FALSE),H62+2,1),IF(OR(j_WEEKDAY(J_ADDDAY(VLOOKUP(I62,A:F,6,FALSE),H62+3,1),0)=6,SUMIFS(Holieday[ok],Holieday[date],J_ADDDAY(VLOOKUP(I62,A:F,6,FALSE),H62+3,1)))=FALSE(),J_ADDDAY(VLOOKUP(I62,A:F,6,FALSE),H62+3,1),IF(OR(j_WEEKDAY(J_ADDDAY(VLOOKUP(I62,A:F,6,FALSE),H62+4,1),0)=6,SUMIFS(Holieday[ok],Holieday[date],J_ADDDAY(VLOOKUP(I62,A:F,6,FALSE),H62+4,1)))=FALSE(),J_ADDDAY(VLOOKUP(I62,A:F,6,FALSE),H62+4,1),J_ADDDAY(VLOOKUP(I62,A:F,6,FALSE),H62+5,1))))))</f>
        <v>1398/08/11</v>
      </c>
      <c r="E62" s="2">
        <f t="shared" si="15"/>
        <v>13980811</v>
      </c>
      <c r="F62" s="13" t="str">
        <f>IF(N62=0,J_SUBDAY(D62,1,1),IF((N62-(NETWORKDAYS.INTL(J_GregorianDate(D62,1),J_GregorianDate(J_SUBDAY(J_ADDDAY(D62,N62,1),1,1),1),16,1)))+SUMIFS(Holieday[ok],Holieday[date],CONCATENATE("&gt;","=",D62),Holieday[date],CONCATENATE("&lt;","=",J_SUBDAY(J_ADDDAY(D62,N62,1),1,1)))-SUMIFS(Holieday[Friday],Holieday[date],CONCATENATE("&gt;","=",D62),Holieday[date],CONCATENATE("&lt;","=",J_SUBDAY(J_ADDDAY(D62,N62,1),1,1)))=0,J_SUBDAY(J_ADDDAY(D62,N62,1),1,1),IF((N62+1-(NETWORKDAYS.INTL(J_GregorianDate(D62,1),J_GregorianDate(J_SUBDAY(J_ADDDAY(D62,N62+1,1),1,1),1),16,1)))+SUMIFS(Holieday[ok],Holieday[date],CONCATENATE("&gt;","=",D62),Holieday[date],CONCATENATE("&lt;","=",J_SUBDAY(J_ADDDAY(D62,N62+1,1),1,1)))-SUMIFS(Holieday[Friday],Holieday[date],CONCATENATE("&gt;","=",D62),Holieday[date],CONCATENATE("&lt;","=",J_SUBDAY(J_ADDDAY(D62,N62+1,1),1,1)))=1,J_SUBDAY(J_ADDDAY(D62,N62+1,1),1,1),IF((N62+2-(NETWORKDAYS.INTL(J_GregorianDate(D62,1),J_GregorianDate(J_SUBDAY(J_ADDDAY(D62,N62+2,1),1,1),1),16,1)))+SUMIFS(Holieday[ok],Holieday[date],CONCATENATE("&gt;","=",D62),Holieday[date],CONCATENATE("&lt;","=",J_SUBDAY(J_ADDDAY(D62,N62+2,1),1,1)))-SUMIFS(Holieday[Friday],Holieday[date],CONCATENATE("&gt;","=",D62),Holieday[date],CONCATENATE("&lt;","=",J_SUBDAY(J_ADDDAY(D62,N62+2,1),1,1)))=2,J_SUBDAY(J_ADDDAY(D62,N62+2,1),1,1),IF((N62+3-(NETWORKDAYS.INTL(J_GregorianDate(D62,1),J_GregorianDate(J_SUBDAY(J_ADDDAY(D62,N62+3,1),1,1),1),16,1)))+SUMIFS(Holieday[ok],Holieday[date],CONCATENATE("&gt;","=",D62),Holieday[date],CONCATENATE("&lt;","=",J_SUBDAY(J_ADDDAY(D62,N62+3,1),1,1)))-SUMIFS(Holieday[Friday],Holieday[date],CONCATENATE("&gt;","=",D62),Holieday[date],CONCATENATE("&lt;","=",J_SUBDAY(J_ADDDAY(D62,N62+3,1),1,1)))=3,J_SUBDAY(J_ADDDAY(D62,N62+3,1),1,1),IF((N62+4-(NETWORKDAYS.INTL(J_GregorianDate(D62,1),J_GregorianDate(J_SUBDAY(J_ADDDAY(D62,N62+4,1),1,1),1),16,1)))+SUMIFS(Holieday[ok],Holieday[date],CONCATENATE("&gt;","=",D62),Holieday[date],CONCATENATE("&lt;","=",J_SUBDAY(J_ADDDAY(D62,N62+4,1),1,1)))-SUMIFS(Holieday[Friday],Holieday[date],CONCATENATE("&gt;","=",D62),Holieday[date],CONCATENATE("&lt;","=",J_SUBDAY(J_ADDDAY(D62,N62+4,1),1,1)))=4,J_SUBDAY(J_ADDDAY(D62,N62+4,1),1,1),IF((N62+5-(NETWORKDAYS.INTL(J_GregorianDate(D62,1),J_GregorianDate(J_SUBDAY(J_ADDDAY(D62,N62+5,1),1,1),1),16,1)))+SUMIFS(Holieday[ok],Holieday[date],CONCATENATE("&gt;","=",D62),Holieday[date],CONCATENATE("&lt;","=",J_SUBDAY(J_ADDDAY(D62,N62+5,1),1,1)))-SUMIFS(Holieday[Friday],Holieday[date],CONCATENATE("&gt;","=",D62),Holieday[date],CONCATENATE("&lt;","=",J_SUBDAY(J_ADDDAY(D62,N62+5,1),1,1)))=5,J_SUBDAY(J_ADDDAY(D62,N62+5,1),1,1),J_SUBDAY(J_ADDDAY(D62,N62+6,1),1,1))))))))</f>
        <v>1398/08/12</v>
      </c>
      <c r="G62" s="3">
        <f t="shared" si="16"/>
        <v>13980812</v>
      </c>
      <c r="H62" s="119">
        <v>3</v>
      </c>
      <c r="I62" s="120">
        <v>3.8</v>
      </c>
      <c r="J62" s="10">
        <f>j_WEEKDAY(D62,2)</f>
        <v>0</v>
      </c>
      <c r="K62" s="22">
        <f t="shared" si="18"/>
        <v>0</v>
      </c>
      <c r="L62" s="9">
        <f t="shared" si="19"/>
        <v>2</v>
      </c>
      <c r="M62" s="121">
        <v>0</v>
      </c>
      <c r="N62" s="118">
        <v>2</v>
      </c>
      <c r="O62" s="11">
        <f t="shared" si="17"/>
        <v>0</v>
      </c>
      <c r="P62" s="11">
        <f>VALUE(J_normdate(J_ADDDAY($D62,$O62,1)))</f>
        <v>13980811</v>
      </c>
      <c r="Q62" s="10">
        <f t="shared" si="14"/>
        <v>2</v>
      </c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 s="8"/>
      <c r="EX62" s="8"/>
      <c r="EY62" s="8"/>
      <c r="EZ62" s="8"/>
      <c r="FA62" s="8"/>
      <c r="FB62" s="8"/>
      <c r="FC62" s="8"/>
      <c r="FD62" s="8"/>
      <c r="FE62" s="8"/>
      <c r="FF62" s="8"/>
      <c r="FG62" s="8"/>
      <c r="FH62" s="8"/>
      <c r="FI62" s="8"/>
      <c r="FJ62" s="8"/>
      <c r="FK62" s="8"/>
      <c r="FL62" s="8"/>
      <c r="FM62" s="8"/>
      <c r="FN62" s="8"/>
      <c r="FO62" s="8"/>
      <c r="FP62" s="8"/>
      <c r="FQ62" s="8"/>
      <c r="FR62" s="8"/>
      <c r="FS62" s="8"/>
      <c r="FT62" s="8"/>
      <c r="FU62" s="8"/>
      <c r="FV62" s="8"/>
      <c r="FW62" s="8"/>
      <c r="FX62" s="8"/>
      <c r="FY62" s="8"/>
      <c r="FZ62" s="8"/>
      <c r="GA62" s="8"/>
      <c r="GB62" s="8"/>
      <c r="GC62" s="8"/>
      <c r="GD62" s="8"/>
      <c r="GE62" s="8"/>
      <c r="GF62" s="8"/>
      <c r="GG62" s="8"/>
      <c r="GH62" s="8"/>
      <c r="GI62" s="8"/>
      <c r="GJ62" s="8"/>
      <c r="GK62" s="8"/>
      <c r="GL62" s="8"/>
      <c r="GM62" s="8"/>
      <c r="GN62" s="8"/>
      <c r="GO62" s="8"/>
      <c r="GP62" s="8"/>
      <c r="GQ62" s="8"/>
      <c r="GR62" s="8"/>
      <c r="GS62" s="8"/>
      <c r="GT62" s="8"/>
      <c r="GU62" s="8"/>
      <c r="GV62" s="8"/>
      <c r="GW62" s="8"/>
      <c r="GX62" s="8"/>
      <c r="GY62" s="8"/>
      <c r="GZ62" s="8"/>
      <c r="HA62" s="8"/>
      <c r="HB62" s="8"/>
      <c r="HC62" s="8"/>
      <c r="HD62" s="8"/>
      <c r="HE62" s="8"/>
      <c r="HF62" s="8"/>
      <c r="HG62" s="8"/>
      <c r="HH62" s="8"/>
      <c r="HI62" s="8"/>
      <c r="HJ62" s="8"/>
      <c r="HK62" s="8"/>
      <c r="HL62" s="8"/>
      <c r="HM62" s="8"/>
      <c r="HN62" s="8"/>
      <c r="HO62" s="8"/>
      <c r="HP62" s="8"/>
      <c r="HQ62" s="8"/>
      <c r="HR62" s="8"/>
      <c r="HS62" s="8"/>
      <c r="HT62" s="8"/>
      <c r="HU62" s="8"/>
      <c r="HV62" s="8"/>
      <c r="HW62" s="8"/>
      <c r="HX62" s="8"/>
      <c r="HY62" s="8"/>
      <c r="HZ62" s="8"/>
      <c r="IA62" s="8"/>
      <c r="IB62" s="8"/>
      <c r="IC62" s="8"/>
      <c r="ID62" s="8"/>
      <c r="IE62" s="8"/>
      <c r="IF62" s="8"/>
      <c r="IG62" s="8"/>
      <c r="IH62" s="8"/>
      <c r="II62" s="8"/>
      <c r="IJ62" s="8"/>
      <c r="IK62" s="8"/>
      <c r="IL62" s="8"/>
      <c r="IM62" s="8"/>
      <c r="IN62" s="8"/>
      <c r="IO62" s="8"/>
      <c r="IP62" s="8"/>
      <c r="IQ62" s="8"/>
      <c r="IR62" s="8"/>
      <c r="IS62" s="8"/>
      <c r="IT62" s="8"/>
      <c r="IU62" s="8"/>
      <c r="IV62" s="8"/>
      <c r="IW62" s="8"/>
      <c r="IX62" s="8"/>
      <c r="IY62" s="31">
        <v>1</v>
      </c>
      <c r="IZ62" s="31"/>
      <c r="JA62" s="123"/>
      <c r="JB62" s="123"/>
      <c r="JC62" s="123"/>
      <c r="JD62" s="70">
        <f>SUM((TEXT(JA62,"[M]")/60)*'Income Person-hours'!$D$3,(TEXT(JB62,"[M]")/60)*'Income Person-hours'!$D$4,(TEXT(JC62,"[M]")/60)*'Income Person-hours'!$D$5)</f>
        <v>0</v>
      </c>
    </row>
    <row r="63" spans="1:16384" s="12" customFormat="1" ht="15.75" x14ac:dyDescent="0.45">
      <c r="A63" s="32">
        <v>3.11</v>
      </c>
      <c r="B63" s="116" t="s">
        <v>144</v>
      </c>
      <c r="C63" s="117" t="s">
        <v>111</v>
      </c>
      <c r="D63" s="8" t="str">
        <f>IF(OR(j_WEEKDAY(J_ADDDAY(VLOOKUP(I63,A:F,6,FALSE),H63,1),0)=6,SUMIFS(Holieday[ok],Holieday[date],J_ADDDAY(VLOOKUP(I63,A:F,6,FALSE),H63,1)))=FALSE(),J_ADDDAY(VLOOKUP(I63,A:F,6,FALSE),H63,1),IF(OR(j_WEEKDAY(J_ADDDAY(VLOOKUP(I63,A:F,6,FALSE),H63+1,1),0)=6,SUMIFS(Holieday[ok],Holieday[date],J_ADDDAY(VLOOKUP(I63,A:F,6,FALSE),H63+1,1)))=FALSE(),J_ADDDAY(VLOOKUP(I63,A:F,6,FALSE),H63+1,1),IF(OR(j_WEEKDAY(J_ADDDAY(VLOOKUP(I63,A:F,6,FALSE),H63+2,1),0)=6,SUMIFS(Holieday[ok],Holieday[date],J_ADDDAY(VLOOKUP(I63,A:F,6,FALSE),H63+2,1)))=FALSE(),J_ADDDAY(VLOOKUP(I63,A:F,6,FALSE),H63+2,1),IF(OR(j_WEEKDAY(J_ADDDAY(VLOOKUP(I63,A:F,6,FALSE),H63+3,1),0)=6,SUMIFS(Holieday[ok],Holieday[date],J_ADDDAY(VLOOKUP(I63,A:F,6,FALSE),H63+3,1)))=FALSE(),J_ADDDAY(VLOOKUP(I63,A:F,6,FALSE),H63+3,1),IF(OR(j_WEEKDAY(J_ADDDAY(VLOOKUP(I63,A:F,6,FALSE),H63+4,1),0)=6,SUMIFS(Holieday[ok],Holieday[date],J_ADDDAY(VLOOKUP(I63,A:F,6,FALSE),H63+4,1)))=FALSE(),J_ADDDAY(VLOOKUP(I63,A:F,6,FALSE),H63+4,1),J_ADDDAY(VLOOKUP(I63,A:F,6,FALSE),H63+5,1))))))</f>
        <v>1398/08/11</v>
      </c>
      <c r="E63" s="2">
        <f t="shared" si="15"/>
        <v>13980811</v>
      </c>
      <c r="F63" s="13" t="str">
        <f>IF(N63=0,J_SUBDAY(D63,1,1),IF((N63-(NETWORKDAYS.INTL(J_GregorianDate(D63,1),J_GregorianDate(J_SUBDAY(J_ADDDAY(D63,N63,1),1,1),1),16,1)))+SUMIFS(Holieday[ok],Holieday[date],CONCATENATE("&gt;","=",D63),Holieday[date],CONCATENATE("&lt;","=",J_SUBDAY(J_ADDDAY(D63,N63,1),1,1)))-SUMIFS(Holieday[Friday],Holieday[date],CONCATENATE("&gt;","=",D63),Holieday[date],CONCATENATE("&lt;","=",J_SUBDAY(J_ADDDAY(D63,N63,1),1,1)))=0,J_SUBDAY(J_ADDDAY(D63,N63,1),1,1),IF((N63+1-(NETWORKDAYS.INTL(J_GregorianDate(D63,1),J_GregorianDate(J_SUBDAY(J_ADDDAY(D63,N63+1,1),1,1),1),16,1)))+SUMIFS(Holieday[ok],Holieday[date],CONCATENATE("&gt;","=",D63),Holieday[date],CONCATENATE("&lt;","=",J_SUBDAY(J_ADDDAY(D63,N63+1,1),1,1)))-SUMIFS(Holieday[Friday],Holieday[date],CONCATENATE("&gt;","=",D63),Holieday[date],CONCATENATE("&lt;","=",J_SUBDAY(J_ADDDAY(D63,N63+1,1),1,1)))=1,J_SUBDAY(J_ADDDAY(D63,N63+1,1),1,1),IF((N63+2-(NETWORKDAYS.INTL(J_GregorianDate(D63,1),J_GregorianDate(J_SUBDAY(J_ADDDAY(D63,N63+2,1),1,1),1),16,1)))+SUMIFS(Holieday[ok],Holieday[date],CONCATENATE("&gt;","=",D63),Holieday[date],CONCATENATE("&lt;","=",J_SUBDAY(J_ADDDAY(D63,N63+2,1),1,1)))-SUMIFS(Holieday[Friday],Holieday[date],CONCATENATE("&gt;","=",D63),Holieday[date],CONCATENATE("&lt;","=",J_SUBDAY(J_ADDDAY(D63,N63+2,1),1,1)))=2,J_SUBDAY(J_ADDDAY(D63,N63+2,1),1,1),IF((N63+3-(NETWORKDAYS.INTL(J_GregorianDate(D63,1),J_GregorianDate(J_SUBDAY(J_ADDDAY(D63,N63+3,1),1,1),1),16,1)))+SUMIFS(Holieday[ok],Holieday[date],CONCATENATE("&gt;","=",D63),Holieday[date],CONCATENATE("&lt;","=",J_SUBDAY(J_ADDDAY(D63,N63+3,1),1,1)))-SUMIFS(Holieday[Friday],Holieday[date],CONCATENATE("&gt;","=",D63),Holieday[date],CONCATENATE("&lt;","=",J_SUBDAY(J_ADDDAY(D63,N63+3,1),1,1)))=3,J_SUBDAY(J_ADDDAY(D63,N63+3,1),1,1),IF((N63+4-(NETWORKDAYS.INTL(J_GregorianDate(D63,1),J_GregorianDate(J_SUBDAY(J_ADDDAY(D63,N63+4,1),1,1),1),16,1)))+SUMIFS(Holieday[ok],Holieday[date],CONCATENATE("&gt;","=",D63),Holieday[date],CONCATENATE("&lt;","=",J_SUBDAY(J_ADDDAY(D63,N63+4,1),1,1)))-SUMIFS(Holieday[Friday],Holieday[date],CONCATENATE("&gt;","=",D63),Holieday[date],CONCATENATE("&lt;","=",J_SUBDAY(J_ADDDAY(D63,N63+4,1),1,1)))=4,J_SUBDAY(J_ADDDAY(D63,N63+4,1),1,1),IF((N63+5-(NETWORKDAYS.INTL(J_GregorianDate(D63,1),J_GregorianDate(J_SUBDAY(J_ADDDAY(D63,N63+5,1),1,1),1),16,1)))+SUMIFS(Holieday[ok],Holieday[date],CONCATENATE("&gt;","=",D63),Holieday[date],CONCATENATE("&lt;","=",J_SUBDAY(J_ADDDAY(D63,N63+5,1),1,1)))-SUMIFS(Holieday[Friday],Holieday[date],CONCATENATE("&gt;","=",D63),Holieday[date],CONCATENATE("&lt;","=",J_SUBDAY(J_ADDDAY(D63,N63+5,1),1,1)))=5,J_SUBDAY(J_ADDDAY(D63,N63+5,1),1,1),J_SUBDAY(J_ADDDAY(D63,N63+6,1),1,1))))))))</f>
        <v>1398/08/11</v>
      </c>
      <c r="G63" s="3">
        <f t="shared" si="16"/>
        <v>13980811</v>
      </c>
      <c r="H63" s="119">
        <v>3</v>
      </c>
      <c r="I63" s="120">
        <v>3.8</v>
      </c>
      <c r="J63" s="10">
        <f>j_WEEKDAY(D63,2)</f>
        <v>0</v>
      </c>
      <c r="K63" s="22">
        <f t="shared" si="18"/>
        <v>0</v>
      </c>
      <c r="L63" s="9">
        <v>5</v>
      </c>
      <c r="M63" s="121">
        <v>0</v>
      </c>
      <c r="N63" s="118">
        <v>1</v>
      </c>
      <c r="O63" s="11">
        <f t="shared" si="17"/>
        <v>0</v>
      </c>
      <c r="P63" s="11">
        <f>VALUE(J_normdate(J_ADDDAY($D63,$O63,1)))</f>
        <v>13980811</v>
      </c>
      <c r="Q63" s="10">
        <f t="shared" si="14"/>
        <v>5</v>
      </c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/>
      <c r="FL63" s="8"/>
      <c r="FM63" s="8"/>
      <c r="FN63" s="8"/>
      <c r="FO63" s="8"/>
      <c r="FP63" s="8"/>
      <c r="FQ63" s="8"/>
      <c r="FR63" s="8"/>
      <c r="FS63" s="8"/>
      <c r="FT63" s="8"/>
      <c r="FU63" s="8"/>
      <c r="FV63" s="8"/>
      <c r="FW63" s="8"/>
      <c r="FX63" s="8"/>
      <c r="FY63" s="8"/>
      <c r="FZ63" s="8"/>
      <c r="GA63" s="8"/>
      <c r="GB63" s="8"/>
      <c r="GC63" s="8"/>
      <c r="GD63" s="8"/>
      <c r="GE63" s="8"/>
      <c r="GF63" s="8"/>
      <c r="GG63" s="8"/>
      <c r="GH63" s="8"/>
      <c r="GI63" s="8"/>
      <c r="GJ63" s="8"/>
      <c r="GK63" s="8"/>
      <c r="GL63" s="8"/>
      <c r="GM63" s="8"/>
      <c r="GN63" s="8"/>
      <c r="GO63" s="8"/>
      <c r="GP63" s="8"/>
      <c r="GQ63" s="8"/>
      <c r="GR63" s="8"/>
      <c r="GS63" s="8"/>
      <c r="GT63" s="8"/>
      <c r="GU63" s="8"/>
      <c r="GV63" s="8"/>
      <c r="GW63" s="8"/>
      <c r="GX63" s="8"/>
      <c r="GY63" s="8"/>
      <c r="GZ63" s="8"/>
      <c r="HA63" s="8"/>
      <c r="HB63" s="8"/>
      <c r="HC63" s="8"/>
      <c r="HD63" s="8"/>
      <c r="HE63" s="8"/>
      <c r="HF63" s="8"/>
      <c r="HG63" s="8"/>
      <c r="HH63" s="8"/>
      <c r="HI63" s="8"/>
      <c r="HJ63" s="8"/>
      <c r="HK63" s="8"/>
      <c r="HL63" s="8"/>
      <c r="HM63" s="8"/>
      <c r="HN63" s="8"/>
      <c r="HO63" s="8"/>
      <c r="HP63" s="8"/>
      <c r="HQ63" s="8"/>
      <c r="HR63" s="8"/>
      <c r="HS63" s="8"/>
      <c r="HT63" s="8"/>
      <c r="HU63" s="8"/>
      <c r="HV63" s="8"/>
      <c r="HW63" s="8"/>
      <c r="HX63" s="8"/>
      <c r="HY63" s="8"/>
      <c r="HZ63" s="8"/>
      <c r="IA63" s="8"/>
      <c r="IB63" s="8"/>
      <c r="IC63" s="8"/>
      <c r="ID63" s="8"/>
      <c r="IE63" s="8"/>
      <c r="IF63" s="8"/>
      <c r="IG63" s="8"/>
      <c r="IH63" s="8"/>
      <c r="II63" s="8"/>
      <c r="IJ63" s="8"/>
      <c r="IK63" s="8"/>
      <c r="IL63" s="8"/>
      <c r="IM63" s="8"/>
      <c r="IN63" s="8"/>
      <c r="IO63" s="8"/>
      <c r="IP63" s="8"/>
      <c r="IQ63" s="8"/>
      <c r="IR63" s="8"/>
      <c r="IS63" s="8"/>
      <c r="IT63" s="8"/>
      <c r="IU63" s="8"/>
      <c r="IV63" s="8"/>
      <c r="IW63" s="8"/>
      <c r="IX63" s="8"/>
      <c r="JA63" s="123"/>
      <c r="JB63" s="123"/>
      <c r="JC63" s="123"/>
      <c r="JD63" s="70">
        <f>SUM((TEXT(JA63,"[M]")/60)*'Income Person-hours'!$D$3,(TEXT(JB63,"[M]")/60)*'Income Person-hours'!$D$4,(TEXT(JC63,"[M]")/60)*'Income Person-hours'!$D$5)</f>
        <v>0</v>
      </c>
    </row>
    <row r="64" spans="1:16384" s="12" customFormat="1" ht="16.5" customHeight="1" x14ac:dyDescent="0.45">
      <c r="A64" s="32">
        <v>3.12</v>
      </c>
      <c r="B64" s="116" t="s">
        <v>146</v>
      </c>
      <c r="C64" s="117" t="s">
        <v>110</v>
      </c>
      <c r="D64" s="8" t="str">
        <f>IF(OR(j_WEEKDAY(J_ADDDAY(VLOOKUP(I64,A:F,6,FALSE),H64,1),0)=6,SUMIFS(Holieday[ok],Holieday[date],J_ADDDAY(VLOOKUP(I64,A:F,6,FALSE),H64,1)))=FALSE(),J_ADDDAY(VLOOKUP(I64,A:F,6,FALSE),H64,1),IF(OR(j_WEEKDAY(J_ADDDAY(VLOOKUP(I64,A:F,6,FALSE),H64+1,1),0)=6,SUMIFS(Holieday[ok],Holieday[date],J_ADDDAY(VLOOKUP(I64,A:F,6,FALSE),H64+1,1)))=FALSE(),J_ADDDAY(VLOOKUP(I64,A:F,6,FALSE),H64+1,1),IF(OR(j_WEEKDAY(J_ADDDAY(VLOOKUP(I64,A:F,6,FALSE),H64+2,1),0)=6,SUMIFS(Holieday[ok],Holieday[date],J_ADDDAY(VLOOKUP(I64,A:F,6,FALSE),H64+2,1)))=FALSE(),J_ADDDAY(VLOOKUP(I64,A:F,6,FALSE),H64+2,1),IF(OR(j_WEEKDAY(J_ADDDAY(VLOOKUP(I64,A:F,6,FALSE),H64+3,1),0)=6,SUMIFS(Holieday[ok],Holieday[date],J_ADDDAY(VLOOKUP(I64,A:F,6,FALSE),H64+3,1)))=FALSE(),J_ADDDAY(VLOOKUP(I64,A:F,6,FALSE),H64+3,1),IF(OR(j_WEEKDAY(J_ADDDAY(VLOOKUP(I64,A:F,6,FALSE),H64+4,1),0)=6,SUMIFS(Holieday[ok],Holieday[date],J_ADDDAY(VLOOKUP(I64,A:F,6,FALSE),H64+4,1)))=FALSE(),J_ADDDAY(VLOOKUP(I64,A:F,6,FALSE),H64+4,1),J_ADDDAY(VLOOKUP(I64,A:F,6,FALSE),H64+5,1))))))</f>
        <v>1398/08/12</v>
      </c>
      <c r="E64" s="2">
        <f t="shared" ref="E64:E73" si="20">VALUE(J_normdate(D64))</f>
        <v>13980812</v>
      </c>
      <c r="F64" s="13" t="str">
        <f>IF(N64=0,J_SUBDAY(D64,1,1),IF((N64-(NETWORKDAYS.INTL(J_GregorianDate(D64,1),J_GregorianDate(J_SUBDAY(J_ADDDAY(D64,N64,1),1,1),1),16,1)))+SUMIFS(Holieday[ok],Holieday[date],CONCATENATE("&gt;","=",D64),Holieday[date],CONCATENATE("&lt;","=",J_SUBDAY(J_ADDDAY(D64,N64,1),1,1)))-SUMIFS(Holieday[Friday],Holieday[date],CONCATENATE("&gt;","=",D64),Holieday[date],CONCATENATE("&lt;","=",J_SUBDAY(J_ADDDAY(D64,N64,1),1,1)))=0,J_SUBDAY(J_ADDDAY(D64,N64,1),1,1),IF((N64+1-(NETWORKDAYS.INTL(J_GregorianDate(D64,1),J_GregorianDate(J_SUBDAY(J_ADDDAY(D64,N64+1,1),1,1),1),16,1)))+SUMIFS(Holieday[ok],Holieday[date],CONCATENATE("&gt;","=",D64),Holieday[date],CONCATENATE("&lt;","=",J_SUBDAY(J_ADDDAY(D64,N64+1,1),1,1)))-SUMIFS(Holieday[Friday],Holieday[date],CONCATENATE("&gt;","=",D64),Holieday[date],CONCATENATE("&lt;","=",J_SUBDAY(J_ADDDAY(D64,N64+1,1),1,1)))=1,J_SUBDAY(J_ADDDAY(D64,N64+1,1),1,1),IF((N64+2-(NETWORKDAYS.INTL(J_GregorianDate(D64,1),J_GregorianDate(J_SUBDAY(J_ADDDAY(D64,N64+2,1),1,1),1),16,1)))+SUMIFS(Holieday[ok],Holieday[date],CONCATENATE("&gt;","=",D64),Holieday[date],CONCATENATE("&lt;","=",J_SUBDAY(J_ADDDAY(D64,N64+2,1),1,1)))-SUMIFS(Holieday[Friday],Holieday[date],CONCATENATE("&gt;","=",D64),Holieday[date],CONCATENATE("&lt;","=",J_SUBDAY(J_ADDDAY(D64,N64+2,1),1,1)))=2,J_SUBDAY(J_ADDDAY(D64,N64+2,1),1,1),IF((N64+3-(NETWORKDAYS.INTL(J_GregorianDate(D64,1),J_GregorianDate(J_SUBDAY(J_ADDDAY(D64,N64+3,1),1,1),1),16,1)))+SUMIFS(Holieday[ok],Holieday[date],CONCATENATE("&gt;","=",D64),Holieday[date],CONCATENATE("&lt;","=",J_SUBDAY(J_ADDDAY(D64,N64+3,1),1,1)))-SUMIFS(Holieday[Friday],Holieday[date],CONCATENATE("&gt;","=",D64),Holieday[date],CONCATENATE("&lt;","=",J_SUBDAY(J_ADDDAY(D64,N64+3,1),1,1)))=3,J_SUBDAY(J_ADDDAY(D64,N64+3,1),1,1),IF((N64+4-(NETWORKDAYS.INTL(J_GregorianDate(D64,1),J_GregorianDate(J_SUBDAY(J_ADDDAY(D64,N64+4,1),1,1),1),16,1)))+SUMIFS(Holieday[ok],Holieday[date],CONCATENATE("&gt;","=",D64),Holieday[date],CONCATENATE("&lt;","=",J_SUBDAY(J_ADDDAY(D64,N64+4,1),1,1)))-SUMIFS(Holieday[Friday],Holieday[date],CONCATENATE("&gt;","=",D64),Holieday[date],CONCATENATE("&lt;","=",J_SUBDAY(J_ADDDAY(D64,N64+4,1),1,1)))=4,J_SUBDAY(J_ADDDAY(D64,N64+4,1),1,1),IF((N64+5-(NETWORKDAYS.INTL(J_GregorianDate(D64,1),J_GregorianDate(J_SUBDAY(J_ADDDAY(D64,N64+5,1),1,1),1),16,1)))+SUMIFS(Holieday[ok],Holieday[date],CONCATENATE("&gt;","=",D64),Holieday[date],CONCATENATE("&lt;","=",J_SUBDAY(J_ADDDAY(D64,N64+5,1),1,1)))-SUMIFS(Holieday[Friday],Holieday[date],CONCATENATE("&gt;","=",D64),Holieday[date],CONCATENATE("&lt;","=",J_SUBDAY(J_ADDDAY(D64,N64+5,1),1,1)))=5,J_SUBDAY(J_ADDDAY(D64,N64+5,1),1,1),J_SUBDAY(J_ADDDAY(D64,N64+6,1),1,1))))))))</f>
        <v>1398/08/13</v>
      </c>
      <c r="G64" s="3">
        <f t="shared" ref="G64:G73" si="21">VALUE(J_normdate(F64))</f>
        <v>13980813</v>
      </c>
      <c r="H64" s="119">
        <v>1</v>
      </c>
      <c r="I64" s="120">
        <v>3.11</v>
      </c>
      <c r="J64" s="10">
        <f>j_WEEKDAY(D64,2)</f>
        <v>1</v>
      </c>
      <c r="K64" s="22">
        <f t="shared" si="18"/>
        <v>0</v>
      </c>
      <c r="L64" s="9">
        <f t="shared" si="19"/>
        <v>2</v>
      </c>
      <c r="M64" s="121">
        <v>0</v>
      </c>
      <c r="N64" s="118">
        <v>2</v>
      </c>
      <c r="O64" s="11">
        <f t="shared" ref="O64:O73" si="22">ROUNDDOWN(M64*L64,0)</f>
        <v>0</v>
      </c>
      <c r="P64" s="11">
        <f>VALUE(J_normdate(J_ADDDAY($D64,$O64,1)))</f>
        <v>13980812</v>
      </c>
      <c r="Q64" s="10">
        <f t="shared" si="14"/>
        <v>2</v>
      </c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 s="8"/>
      <c r="EX64" s="8"/>
      <c r="EY64" s="8"/>
      <c r="EZ64" s="8"/>
      <c r="FA64" s="8"/>
      <c r="FB64" s="8"/>
      <c r="FC64" s="8"/>
      <c r="FD64" s="8"/>
      <c r="FE64" s="8"/>
      <c r="FF64" s="8"/>
      <c r="FG64" s="8"/>
      <c r="FH64" s="8"/>
      <c r="FI64" s="8"/>
      <c r="FJ64" s="8"/>
      <c r="FK64" s="8"/>
      <c r="FL64" s="8"/>
      <c r="FM64" s="8"/>
      <c r="FN64" s="8"/>
      <c r="FO64" s="8"/>
      <c r="FP64" s="8"/>
      <c r="FQ64" s="8"/>
      <c r="FR64" s="8"/>
      <c r="FS64" s="8"/>
      <c r="FT64" s="8"/>
      <c r="FU64" s="8"/>
      <c r="FV64" s="8"/>
      <c r="FW64" s="8"/>
      <c r="FX64" s="8"/>
      <c r="FY64" s="8"/>
      <c r="FZ64" s="8"/>
      <c r="GA64" s="8"/>
      <c r="GB64" s="8"/>
      <c r="GC64" s="8"/>
      <c r="GD64" s="8"/>
      <c r="GE64" s="8"/>
      <c r="GF64" s="8"/>
      <c r="GG64" s="8"/>
      <c r="GH64" s="8"/>
      <c r="GI64" s="8"/>
      <c r="GJ64" s="8"/>
      <c r="GK64" s="8"/>
      <c r="GL64" s="8"/>
      <c r="GM64" s="8"/>
      <c r="GN64" s="8"/>
      <c r="GO64" s="8"/>
      <c r="GP64" s="8"/>
      <c r="GQ64" s="8"/>
      <c r="GR64" s="8"/>
      <c r="GS64" s="8"/>
      <c r="GT64" s="8"/>
      <c r="GU64" s="8"/>
      <c r="GV64" s="8"/>
      <c r="GW64" s="8"/>
      <c r="GX64" s="8"/>
      <c r="GY64" s="8"/>
      <c r="GZ64" s="8"/>
      <c r="HA64" s="8"/>
      <c r="HB64" s="8"/>
      <c r="HC64" s="8"/>
      <c r="HD64" s="8"/>
      <c r="HE64" s="8"/>
      <c r="HF64" s="8"/>
      <c r="HG64" s="8"/>
      <c r="HH64" s="8"/>
      <c r="HI64" s="8"/>
      <c r="HJ64" s="8"/>
      <c r="HK64" s="8"/>
      <c r="HL64" s="8"/>
      <c r="HM64" s="8"/>
      <c r="HN64" s="8"/>
      <c r="HO64" s="8"/>
      <c r="HP64" s="8"/>
      <c r="HQ64" s="8"/>
      <c r="HR64" s="8"/>
      <c r="HS64" s="8"/>
      <c r="HT64" s="8"/>
      <c r="HU64" s="8"/>
      <c r="HV64" s="8"/>
      <c r="HW64" s="8"/>
      <c r="HX64" s="8"/>
      <c r="HY64" s="8"/>
      <c r="HZ64" s="8"/>
      <c r="IA64" s="8"/>
      <c r="IB64" s="8"/>
      <c r="IC64" s="8"/>
      <c r="ID64" s="8"/>
      <c r="IE64" s="8"/>
      <c r="IF64" s="8"/>
      <c r="IG64" s="8"/>
      <c r="IH64" s="8"/>
      <c r="II64" s="8"/>
      <c r="IJ64" s="8"/>
      <c r="IK64" s="8"/>
      <c r="IL64" s="8"/>
      <c r="IM64" s="8"/>
      <c r="IN64" s="8"/>
      <c r="IO64" s="8"/>
      <c r="IP64" s="8"/>
      <c r="IQ64" s="8"/>
      <c r="IR64" s="8"/>
      <c r="IS64" s="8"/>
      <c r="IT64" s="8"/>
      <c r="IU64" s="8"/>
      <c r="IV64" s="8"/>
      <c r="IW64" s="8"/>
      <c r="IX64" s="8"/>
      <c r="JA64" s="123"/>
      <c r="JB64" s="123"/>
      <c r="JC64" s="123"/>
      <c r="JD64" s="70">
        <f>SUM((TEXT(JA64,"[M]")/60)*'Income Person-hours'!$D$3,(TEXT(JB64,"[M]")/60)*'Income Person-hours'!$D$4,(TEXT(JC64,"[M]")/60)*'Income Person-hours'!$D$5)</f>
        <v>0</v>
      </c>
    </row>
    <row r="65" spans="1:264" s="12" customFormat="1" ht="15.75" x14ac:dyDescent="0.45">
      <c r="A65" s="32">
        <v>3.13</v>
      </c>
      <c r="B65" s="116" t="s">
        <v>169</v>
      </c>
      <c r="C65" s="117" t="s">
        <v>111</v>
      </c>
      <c r="D65" s="8" t="str">
        <f>IF(OR(j_WEEKDAY(J_ADDDAY(VLOOKUP(I65,A:F,6,FALSE),H65,1),0)=6,SUMIFS(Holieday[ok],Holieday[date],J_ADDDAY(VLOOKUP(I65,A:F,6,FALSE),H65,1)))=FALSE(),J_ADDDAY(VLOOKUP(I65,A:F,6,FALSE),H65,1),IF(OR(j_WEEKDAY(J_ADDDAY(VLOOKUP(I65,A:F,6,FALSE),H65+1,1),0)=6,SUMIFS(Holieday[ok],Holieday[date],J_ADDDAY(VLOOKUP(I65,A:F,6,FALSE),H65+1,1)))=FALSE(),J_ADDDAY(VLOOKUP(I65,A:F,6,FALSE),H65+1,1),IF(OR(j_WEEKDAY(J_ADDDAY(VLOOKUP(I65,A:F,6,FALSE),H65+2,1),0)=6,SUMIFS(Holieday[ok],Holieday[date],J_ADDDAY(VLOOKUP(I65,A:F,6,FALSE),H65+2,1)))=FALSE(),J_ADDDAY(VLOOKUP(I65,A:F,6,FALSE),H65+2,1),IF(OR(j_WEEKDAY(J_ADDDAY(VLOOKUP(I65,A:F,6,FALSE),H65+3,1),0)=6,SUMIFS(Holieday[ok],Holieday[date],J_ADDDAY(VLOOKUP(I65,A:F,6,FALSE),H65+3,1)))=FALSE(),J_ADDDAY(VLOOKUP(I65,A:F,6,FALSE),H65+3,1),IF(OR(j_WEEKDAY(J_ADDDAY(VLOOKUP(I65,A:F,6,FALSE),H65+4,1),0)=6,SUMIFS(Holieday[ok],Holieday[date],J_ADDDAY(VLOOKUP(I65,A:F,6,FALSE),H65+4,1)))=FALSE(),J_ADDDAY(VLOOKUP(I65,A:F,6,FALSE),H65+4,1),J_ADDDAY(VLOOKUP(I65,A:F,6,FALSE),H65+5,1))))))</f>
        <v>1398/08/12</v>
      </c>
      <c r="E65" s="2">
        <f t="shared" si="20"/>
        <v>13980812</v>
      </c>
      <c r="F65" s="13" t="str">
        <f>IF(N65=0,J_SUBDAY(D65,1,1),IF((N65-(NETWORKDAYS.INTL(J_GregorianDate(D65,1),J_GregorianDate(J_SUBDAY(J_ADDDAY(D65,N65,1),1,1),1),16,1)))+SUMIFS(Holieday[ok],Holieday[date],CONCATENATE("&gt;","=",D65),Holieday[date],CONCATENATE("&lt;","=",J_SUBDAY(J_ADDDAY(D65,N65,1),1,1)))-SUMIFS(Holieday[Friday],Holieday[date],CONCATENATE("&gt;","=",D65),Holieday[date],CONCATENATE("&lt;","=",J_SUBDAY(J_ADDDAY(D65,N65,1),1,1)))=0,J_SUBDAY(J_ADDDAY(D65,N65,1),1,1),IF((N65+1-(NETWORKDAYS.INTL(J_GregorianDate(D65,1),J_GregorianDate(J_SUBDAY(J_ADDDAY(D65,N65+1,1),1,1),1),16,1)))+SUMIFS(Holieday[ok],Holieday[date],CONCATENATE("&gt;","=",D65),Holieday[date],CONCATENATE("&lt;","=",J_SUBDAY(J_ADDDAY(D65,N65+1,1),1,1)))-SUMIFS(Holieday[Friday],Holieday[date],CONCATENATE("&gt;","=",D65),Holieday[date],CONCATENATE("&lt;","=",J_SUBDAY(J_ADDDAY(D65,N65+1,1),1,1)))=1,J_SUBDAY(J_ADDDAY(D65,N65+1,1),1,1),IF((N65+2-(NETWORKDAYS.INTL(J_GregorianDate(D65,1),J_GregorianDate(J_SUBDAY(J_ADDDAY(D65,N65+2,1),1,1),1),16,1)))+SUMIFS(Holieday[ok],Holieday[date],CONCATENATE("&gt;","=",D65),Holieday[date],CONCATENATE("&lt;","=",J_SUBDAY(J_ADDDAY(D65,N65+2,1),1,1)))-SUMIFS(Holieday[Friday],Holieday[date],CONCATENATE("&gt;","=",D65),Holieday[date],CONCATENATE("&lt;","=",J_SUBDAY(J_ADDDAY(D65,N65+2,1),1,1)))=2,J_SUBDAY(J_ADDDAY(D65,N65+2,1),1,1),IF((N65+3-(NETWORKDAYS.INTL(J_GregorianDate(D65,1),J_GregorianDate(J_SUBDAY(J_ADDDAY(D65,N65+3,1),1,1),1),16,1)))+SUMIFS(Holieday[ok],Holieday[date],CONCATENATE("&gt;","=",D65),Holieday[date],CONCATENATE("&lt;","=",J_SUBDAY(J_ADDDAY(D65,N65+3,1),1,1)))-SUMIFS(Holieday[Friday],Holieday[date],CONCATENATE("&gt;","=",D65),Holieday[date],CONCATENATE("&lt;","=",J_SUBDAY(J_ADDDAY(D65,N65+3,1),1,1)))=3,J_SUBDAY(J_ADDDAY(D65,N65+3,1),1,1),IF((N65+4-(NETWORKDAYS.INTL(J_GregorianDate(D65,1),J_GregorianDate(J_SUBDAY(J_ADDDAY(D65,N65+4,1),1,1),1),16,1)))+SUMIFS(Holieday[ok],Holieday[date],CONCATENATE("&gt;","=",D65),Holieday[date],CONCATENATE("&lt;","=",J_SUBDAY(J_ADDDAY(D65,N65+4,1),1,1)))-SUMIFS(Holieday[Friday],Holieday[date],CONCATENATE("&gt;","=",D65),Holieday[date],CONCATENATE("&lt;","=",J_SUBDAY(J_ADDDAY(D65,N65+4,1),1,1)))=4,J_SUBDAY(J_ADDDAY(D65,N65+4,1),1,1),IF((N65+5-(NETWORKDAYS.INTL(J_GregorianDate(D65,1),J_GregorianDate(J_SUBDAY(J_ADDDAY(D65,N65+5,1),1,1),1),16,1)))+SUMIFS(Holieday[ok],Holieday[date],CONCATENATE("&gt;","=",D65),Holieday[date],CONCATENATE("&lt;","=",J_SUBDAY(J_ADDDAY(D65,N65+5,1),1,1)))-SUMIFS(Holieday[Friday],Holieday[date],CONCATENATE("&gt;","=",D65),Holieday[date],CONCATENATE("&lt;","=",J_SUBDAY(J_ADDDAY(D65,N65+5,1),1,1)))=5,J_SUBDAY(J_ADDDAY(D65,N65+5,1),1,1),J_SUBDAY(J_ADDDAY(D65,N65+6,1),1,1))))))))</f>
        <v>1398/08/12</v>
      </c>
      <c r="G65" s="3">
        <f t="shared" si="21"/>
        <v>13980812</v>
      </c>
      <c r="H65" s="119">
        <v>1</v>
      </c>
      <c r="I65" s="120">
        <v>3.11</v>
      </c>
      <c r="J65" s="10">
        <f>j_WEEKDAY(D65,2)</f>
        <v>1</v>
      </c>
      <c r="K65" s="22">
        <f t="shared" si="18"/>
        <v>0</v>
      </c>
      <c r="L65" s="9">
        <f t="shared" si="19"/>
        <v>1</v>
      </c>
      <c r="M65" s="121">
        <v>0</v>
      </c>
      <c r="N65" s="118">
        <v>1</v>
      </c>
      <c r="O65" s="11">
        <f t="shared" si="22"/>
        <v>0</v>
      </c>
      <c r="P65" s="11">
        <f>VALUE(J_normdate(J_ADDDAY($D65,$O65,1)))</f>
        <v>13980812</v>
      </c>
      <c r="Q65" s="10">
        <f t="shared" si="14"/>
        <v>1</v>
      </c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I65" s="8"/>
      <c r="FJ65" s="8"/>
      <c r="FK65" s="8"/>
      <c r="FL65" s="8"/>
      <c r="FM65" s="8"/>
      <c r="FN65" s="8"/>
      <c r="FO65" s="8"/>
      <c r="FP65" s="8"/>
      <c r="FQ65" s="8"/>
      <c r="FR65" s="8"/>
      <c r="FS65" s="8"/>
      <c r="FT65" s="8"/>
      <c r="FU65" s="8"/>
      <c r="FV65" s="8"/>
      <c r="FW65" s="8"/>
      <c r="FX65" s="8"/>
      <c r="FY65" s="8"/>
      <c r="FZ65" s="8"/>
      <c r="GA65" s="8"/>
      <c r="GB65" s="8"/>
      <c r="GC65" s="8"/>
      <c r="GD65" s="8"/>
      <c r="GE65" s="8"/>
      <c r="GF65" s="8"/>
      <c r="GG65" s="8"/>
      <c r="GH65" s="8"/>
      <c r="GI65" s="8"/>
      <c r="GJ65" s="8"/>
      <c r="GK65" s="8"/>
      <c r="GL65" s="8"/>
      <c r="GM65" s="8"/>
      <c r="GN65" s="8"/>
      <c r="GO65" s="8"/>
      <c r="GP65" s="8"/>
      <c r="GQ65" s="8"/>
      <c r="GR65" s="8"/>
      <c r="GS65" s="8"/>
      <c r="GT65" s="8"/>
      <c r="GU65" s="8"/>
      <c r="GV65" s="8"/>
      <c r="GW65" s="8"/>
      <c r="GX65" s="8"/>
      <c r="GY65" s="8"/>
      <c r="GZ65" s="8"/>
      <c r="HA65" s="8"/>
      <c r="HB65" s="8"/>
      <c r="HC65" s="8"/>
      <c r="HD65" s="8"/>
      <c r="HE65" s="8"/>
      <c r="HF65" s="8"/>
      <c r="HG65" s="8"/>
      <c r="HH65" s="8"/>
      <c r="HI65" s="8"/>
      <c r="HJ65" s="8"/>
      <c r="HK65" s="8"/>
      <c r="HL65" s="8"/>
      <c r="HM65" s="8"/>
      <c r="HN65" s="8"/>
      <c r="HO65" s="8"/>
      <c r="HP65" s="8"/>
      <c r="HQ65" s="8"/>
      <c r="HR65" s="8"/>
      <c r="HS65" s="8"/>
      <c r="HT65" s="8"/>
      <c r="HU65" s="8"/>
      <c r="HV65" s="8"/>
      <c r="HW65" s="8"/>
      <c r="HX65" s="8"/>
      <c r="HY65" s="8"/>
      <c r="HZ65" s="8"/>
      <c r="IA65" s="8"/>
      <c r="IB65" s="8"/>
      <c r="IC65" s="8"/>
      <c r="ID65" s="8"/>
      <c r="IE65" s="8"/>
      <c r="IF65" s="8"/>
      <c r="IG65" s="8"/>
      <c r="IH65" s="8"/>
      <c r="II65" s="8"/>
      <c r="IJ65" s="8"/>
      <c r="IK65" s="8"/>
      <c r="IL65" s="8"/>
      <c r="IM65" s="8"/>
      <c r="IN65" s="8"/>
      <c r="IO65" s="8"/>
      <c r="IP65" s="8"/>
      <c r="IQ65" s="8"/>
      <c r="IR65" s="8"/>
      <c r="IS65" s="8"/>
      <c r="IT65" s="8"/>
      <c r="IU65" s="8"/>
      <c r="IV65" s="8"/>
      <c r="IW65" s="8"/>
      <c r="IX65" s="8"/>
      <c r="JA65" s="123"/>
      <c r="JB65" s="123"/>
      <c r="JC65" s="123"/>
      <c r="JD65" s="70">
        <f>SUM((TEXT(JA65,"[M]")/60)*'Income Person-hours'!$D$3,(TEXT(JB65,"[M]")/60)*'Income Person-hours'!$D$4,(TEXT(JC65,"[M]")/60)*'Income Person-hours'!$D$5)</f>
        <v>0</v>
      </c>
    </row>
    <row r="66" spans="1:264" s="12" customFormat="1" ht="17.25" customHeight="1" x14ac:dyDescent="0.45">
      <c r="A66" s="32">
        <v>3.14</v>
      </c>
      <c r="B66" s="116" t="s">
        <v>170</v>
      </c>
      <c r="C66" s="117" t="s">
        <v>110</v>
      </c>
      <c r="D66" s="8" t="str">
        <f>IF(OR(j_WEEKDAY(J_ADDDAY(VLOOKUP(I66,A:F,6,FALSE),H66,1),0)=6,SUMIFS(Holieday[ok],Holieday[date],J_ADDDAY(VLOOKUP(I66,A:F,6,FALSE),H66,1)))=FALSE(),J_ADDDAY(VLOOKUP(I66,A:F,6,FALSE),H66,1),IF(OR(j_WEEKDAY(J_ADDDAY(VLOOKUP(I66,A:F,6,FALSE),H66+1,1),0)=6,SUMIFS(Holieday[ok],Holieday[date],J_ADDDAY(VLOOKUP(I66,A:F,6,FALSE),H66+1,1)))=FALSE(),J_ADDDAY(VLOOKUP(I66,A:F,6,FALSE),H66+1,1),IF(OR(j_WEEKDAY(J_ADDDAY(VLOOKUP(I66,A:F,6,FALSE),H66+2,1),0)=6,SUMIFS(Holieday[ok],Holieday[date],J_ADDDAY(VLOOKUP(I66,A:F,6,FALSE),H66+2,1)))=FALSE(),J_ADDDAY(VLOOKUP(I66,A:F,6,FALSE),H66+2,1),IF(OR(j_WEEKDAY(J_ADDDAY(VLOOKUP(I66,A:F,6,FALSE),H66+3,1),0)=6,SUMIFS(Holieday[ok],Holieday[date],J_ADDDAY(VLOOKUP(I66,A:F,6,FALSE),H66+3,1)))=FALSE(),J_ADDDAY(VLOOKUP(I66,A:F,6,FALSE),H66+3,1),IF(OR(j_WEEKDAY(J_ADDDAY(VLOOKUP(I66,A:F,6,FALSE),H66+4,1),0)=6,SUMIFS(Holieday[ok],Holieday[date],J_ADDDAY(VLOOKUP(I66,A:F,6,FALSE),H66+4,1)))=FALSE(),J_ADDDAY(VLOOKUP(I66,A:F,6,FALSE),H66+4,1),J_ADDDAY(VLOOKUP(I66,A:F,6,FALSE),H66+5,1))))))</f>
        <v>1398/08/13</v>
      </c>
      <c r="E66" s="2">
        <f t="shared" si="20"/>
        <v>13980813</v>
      </c>
      <c r="F66" s="13" t="str">
        <f>IF(N66=0,J_SUBDAY(D66,1,1),IF((N66-(NETWORKDAYS.INTL(J_GregorianDate(D66,1),J_GregorianDate(J_SUBDAY(J_ADDDAY(D66,N66,1),1,1),1),16,1)))+SUMIFS(Holieday[ok],Holieday[date],CONCATENATE("&gt;","=",D66),Holieday[date],CONCATENATE("&lt;","=",J_SUBDAY(J_ADDDAY(D66,N66,1),1,1)))-SUMIFS(Holieday[Friday],Holieday[date],CONCATENATE("&gt;","=",D66),Holieday[date],CONCATENATE("&lt;","=",J_SUBDAY(J_ADDDAY(D66,N66,1),1,1)))=0,J_SUBDAY(J_ADDDAY(D66,N66,1),1,1),IF((N66+1-(NETWORKDAYS.INTL(J_GregorianDate(D66,1),J_GregorianDate(J_SUBDAY(J_ADDDAY(D66,N66+1,1),1,1),1),16,1)))+SUMIFS(Holieday[ok],Holieday[date],CONCATENATE("&gt;","=",D66),Holieday[date],CONCATENATE("&lt;","=",J_SUBDAY(J_ADDDAY(D66,N66+1,1),1,1)))-SUMIFS(Holieday[Friday],Holieday[date],CONCATENATE("&gt;","=",D66),Holieday[date],CONCATENATE("&lt;","=",J_SUBDAY(J_ADDDAY(D66,N66+1,1),1,1)))=1,J_SUBDAY(J_ADDDAY(D66,N66+1,1),1,1),IF((N66+2-(NETWORKDAYS.INTL(J_GregorianDate(D66,1),J_GregorianDate(J_SUBDAY(J_ADDDAY(D66,N66+2,1),1,1),1),16,1)))+SUMIFS(Holieday[ok],Holieday[date],CONCATENATE("&gt;","=",D66),Holieday[date],CONCATENATE("&lt;","=",J_SUBDAY(J_ADDDAY(D66,N66+2,1),1,1)))-SUMIFS(Holieday[Friday],Holieday[date],CONCATENATE("&gt;","=",D66),Holieday[date],CONCATENATE("&lt;","=",J_SUBDAY(J_ADDDAY(D66,N66+2,1),1,1)))=2,J_SUBDAY(J_ADDDAY(D66,N66+2,1),1,1),IF((N66+3-(NETWORKDAYS.INTL(J_GregorianDate(D66,1),J_GregorianDate(J_SUBDAY(J_ADDDAY(D66,N66+3,1),1,1),1),16,1)))+SUMIFS(Holieday[ok],Holieday[date],CONCATENATE("&gt;","=",D66),Holieday[date],CONCATENATE("&lt;","=",J_SUBDAY(J_ADDDAY(D66,N66+3,1),1,1)))-SUMIFS(Holieday[Friday],Holieday[date],CONCATENATE("&gt;","=",D66),Holieday[date],CONCATENATE("&lt;","=",J_SUBDAY(J_ADDDAY(D66,N66+3,1),1,1)))=3,J_SUBDAY(J_ADDDAY(D66,N66+3,1),1,1),IF((N66+4-(NETWORKDAYS.INTL(J_GregorianDate(D66,1),J_GregorianDate(J_SUBDAY(J_ADDDAY(D66,N66+4,1),1,1),1),16,1)))+SUMIFS(Holieday[ok],Holieday[date],CONCATENATE("&gt;","=",D66),Holieday[date],CONCATENATE("&lt;","=",J_SUBDAY(J_ADDDAY(D66,N66+4,1),1,1)))-SUMIFS(Holieday[Friday],Holieday[date],CONCATENATE("&gt;","=",D66),Holieday[date],CONCATENATE("&lt;","=",J_SUBDAY(J_ADDDAY(D66,N66+4,1),1,1)))=4,J_SUBDAY(J_ADDDAY(D66,N66+4,1),1,1),IF((N66+5-(NETWORKDAYS.INTL(J_GregorianDate(D66,1),J_GregorianDate(J_SUBDAY(J_ADDDAY(D66,N66+5,1),1,1),1),16,1)))+SUMIFS(Holieday[ok],Holieday[date],CONCATENATE("&gt;","=",D66),Holieday[date],CONCATENATE("&lt;","=",J_SUBDAY(J_ADDDAY(D66,N66+5,1),1,1)))-SUMIFS(Holieday[Friday],Holieday[date],CONCATENATE("&gt;","=",D66),Holieday[date],CONCATENATE("&lt;","=",J_SUBDAY(J_ADDDAY(D66,N66+5,1),1,1)))=5,J_SUBDAY(J_ADDDAY(D66,N66+5,1),1,1),J_SUBDAY(J_ADDDAY(D66,N66+6,1),1,1))))))))</f>
        <v>1398/08/14</v>
      </c>
      <c r="G66" s="3">
        <f t="shared" si="21"/>
        <v>13980814</v>
      </c>
      <c r="H66" s="119">
        <v>1</v>
      </c>
      <c r="I66" s="120">
        <v>3.13</v>
      </c>
      <c r="J66" s="10">
        <f>j_WEEKDAY(D66,2)</f>
        <v>2</v>
      </c>
      <c r="K66" s="22">
        <f t="shared" si="18"/>
        <v>0</v>
      </c>
      <c r="L66" s="9">
        <f t="shared" si="19"/>
        <v>2</v>
      </c>
      <c r="M66" s="121">
        <v>0</v>
      </c>
      <c r="N66" s="118">
        <v>2</v>
      </c>
      <c r="O66" s="11">
        <f t="shared" si="22"/>
        <v>0</v>
      </c>
      <c r="P66" s="11">
        <f>VALUE(J_normdate(J_ADDDAY($D66,$O66,1)))</f>
        <v>13980813</v>
      </c>
      <c r="Q66" s="10">
        <f t="shared" si="14"/>
        <v>2</v>
      </c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I66" s="8"/>
      <c r="FJ66" s="8"/>
      <c r="FK66" s="8"/>
      <c r="FL66" s="8"/>
      <c r="FM66" s="8"/>
      <c r="FN66" s="8"/>
      <c r="FO66" s="8"/>
      <c r="FP66" s="8"/>
      <c r="FQ66" s="8"/>
      <c r="FR66" s="8"/>
      <c r="FS66" s="8"/>
      <c r="FT66" s="8"/>
      <c r="FU66" s="8"/>
      <c r="FV66" s="8"/>
      <c r="FW66" s="8"/>
      <c r="FX66" s="8"/>
      <c r="FY66" s="8"/>
      <c r="FZ66" s="8"/>
      <c r="GA66" s="8"/>
      <c r="GB66" s="8"/>
      <c r="GC66" s="8"/>
      <c r="GD66" s="8"/>
      <c r="GE66" s="8"/>
      <c r="GF66" s="8"/>
      <c r="GG66" s="8"/>
      <c r="GH66" s="8"/>
      <c r="GI66" s="8"/>
      <c r="GJ66" s="8"/>
      <c r="GK66" s="8"/>
      <c r="GL66" s="8"/>
      <c r="GM66" s="8"/>
      <c r="GN66" s="8"/>
      <c r="GO66" s="8"/>
      <c r="GP66" s="8"/>
      <c r="GQ66" s="8"/>
      <c r="GR66" s="8"/>
      <c r="GS66" s="8"/>
      <c r="GT66" s="8"/>
      <c r="GU66" s="8"/>
      <c r="GV66" s="8"/>
      <c r="GW66" s="8"/>
      <c r="GX66" s="8"/>
      <c r="GY66" s="8"/>
      <c r="GZ66" s="8"/>
      <c r="HA66" s="8"/>
      <c r="HB66" s="8"/>
      <c r="HC66" s="8"/>
      <c r="HD66" s="8"/>
      <c r="HE66" s="8"/>
      <c r="HF66" s="8"/>
      <c r="HG66" s="8"/>
      <c r="HH66" s="8"/>
      <c r="HI66" s="8"/>
      <c r="HJ66" s="8"/>
      <c r="HK66" s="8"/>
      <c r="HL66" s="8"/>
      <c r="HM66" s="8"/>
      <c r="HN66" s="8"/>
      <c r="HO66" s="8"/>
      <c r="HP66" s="8"/>
      <c r="HQ66" s="8"/>
      <c r="HR66" s="8"/>
      <c r="HS66" s="8"/>
      <c r="HT66" s="8"/>
      <c r="HU66" s="8"/>
      <c r="HV66" s="8"/>
      <c r="HW66" s="8"/>
      <c r="HX66" s="8"/>
      <c r="HY66" s="8"/>
      <c r="HZ66" s="8"/>
      <c r="IA66" s="8"/>
      <c r="IB66" s="8"/>
      <c r="IC66" s="8"/>
      <c r="ID66" s="8"/>
      <c r="IE66" s="8"/>
      <c r="IF66" s="8"/>
      <c r="IG66" s="8"/>
      <c r="IH66" s="8"/>
      <c r="II66" s="8"/>
      <c r="IJ66" s="8"/>
      <c r="IK66" s="8"/>
      <c r="IL66" s="8"/>
      <c r="IM66" s="8"/>
      <c r="IN66" s="8"/>
      <c r="IO66" s="8"/>
      <c r="IP66" s="8"/>
      <c r="IQ66" s="8"/>
      <c r="IR66" s="8"/>
      <c r="IS66" s="8"/>
      <c r="IT66" s="8"/>
      <c r="IU66" s="8"/>
      <c r="IV66" s="8"/>
      <c r="IW66" s="8"/>
      <c r="IX66" s="8"/>
      <c r="JA66" s="123"/>
      <c r="JB66" s="123"/>
      <c r="JC66" s="123"/>
      <c r="JD66" s="70">
        <f>SUM((TEXT(JA66,"[M]")/60)*'Income Person-hours'!$D$3,(TEXT(JB66,"[M]")/60)*'Income Person-hours'!$D$4,(TEXT(JC66,"[M]")/60)*'Income Person-hours'!$D$5)</f>
        <v>0</v>
      </c>
    </row>
    <row r="67" spans="1:264" s="8" customFormat="1" ht="15.75" x14ac:dyDescent="0.45">
      <c r="A67" s="253">
        <v>3.15</v>
      </c>
      <c r="B67" s="116" t="s">
        <v>128</v>
      </c>
      <c r="C67" s="117" t="s">
        <v>111</v>
      </c>
      <c r="D67" s="8" t="str">
        <f>IF(OR(j_WEEKDAY(J_ADDDAY(VLOOKUP(I67,A:F,6,FALSE),H67,1),0)=6,SUMIFS(Holieday[ok],Holieday[date],J_ADDDAY(VLOOKUP(I67,A:F,6,FALSE),H67,1)))=FALSE(),J_ADDDAY(VLOOKUP(I67,A:F,6,FALSE),H67,1),IF(OR(j_WEEKDAY(J_ADDDAY(VLOOKUP(I67,A:F,6,FALSE),H67+1,1),0)=6,SUMIFS(Holieday[ok],Holieday[date],J_ADDDAY(VLOOKUP(I67,A:F,6,FALSE),H67+1,1)))=FALSE(),J_ADDDAY(VLOOKUP(I67,A:F,6,FALSE),H67+1,1),IF(OR(j_WEEKDAY(J_ADDDAY(VLOOKUP(I67,A:F,6,FALSE),H67+2,1),0)=6,SUMIFS(Holieday[ok],Holieday[date],J_ADDDAY(VLOOKUP(I67,A:F,6,FALSE),H67+2,1)))=FALSE(),J_ADDDAY(VLOOKUP(I67,A:F,6,FALSE),H67+2,1),IF(OR(j_WEEKDAY(J_ADDDAY(VLOOKUP(I67,A:F,6,FALSE),H67+3,1),0)=6,SUMIFS(Holieday[ok],Holieday[date],J_ADDDAY(VLOOKUP(I67,A:F,6,FALSE),H67+3,1)))=FALSE(),J_ADDDAY(VLOOKUP(I67,A:F,6,FALSE),H67+3,1),IF(OR(j_WEEKDAY(J_ADDDAY(VLOOKUP(I67,A:F,6,FALSE),H67+4,1),0)=6,SUMIFS(Holieday[ok],Holieday[date],J_ADDDAY(VLOOKUP(I67,A:F,6,FALSE),H67+4,1)))=FALSE(),J_ADDDAY(VLOOKUP(I67,A:F,6,FALSE),H67+4,1),J_ADDDAY(VLOOKUP(I67,A:F,6,FALSE),H67+5,1))))))</f>
        <v>1398/08/13</v>
      </c>
      <c r="E67" s="2">
        <f t="shared" si="20"/>
        <v>13980813</v>
      </c>
      <c r="F67" s="13" t="str">
        <f>IF(N67=0,J_SUBDAY(D67,1,1),IF((N67-(NETWORKDAYS.INTL(J_GregorianDate(D67,1),J_GregorianDate(J_SUBDAY(J_ADDDAY(D67,N67,1),1,1),1),16,1)))+SUMIFS(Holieday[ok],Holieday[date],CONCATENATE("&gt;","=",D67),Holieday[date],CONCATENATE("&lt;","=",J_SUBDAY(J_ADDDAY(D67,N67,1),1,1)))-SUMIFS(Holieday[Friday],Holieday[date],CONCATENATE("&gt;","=",D67),Holieday[date],CONCATENATE("&lt;","=",J_SUBDAY(J_ADDDAY(D67,N67,1),1,1)))=0,J_SUBDAY(J_ADDDAY(D67,N67,1),1,1),IF((N67+1-(NETWORKDAYS.INTL(J_GregorianDate(D67,1),J_GregorianDate(J_SUBDAY(J_ADDDAY(D67,N67+1,1),1,1),1),16,1)))+SUMIFS(Holieday[ok],Holieday[date],CONCATENATE("&gt;","=",D67),Holieday[date],CONCATENATE("&lt;","=",J_SUBDAY(J_ADDDAY(D67,N67+1,1),1,1)))-SUMIFS(Holieday[Friday],Holieday[date],CONCATENATE("&gt;","=",D67),Holieday[date],CONCATENATE("&lt;","=",J_SUBDAY(J_ADDDAY(D67,N67+1,1),1,1)))=1,J_SUBDAY(J_ADDDAY(D67,N67+1,1),1,1),IF((N67+2-(NETWORKDAYS.INTL(J_GregorianDate(D67,1),J_GregorianDate(J_SUBDAY(J_ADDDAY(D67,N67+2,1),1,1),1),16,1)))+SUMIFS(Holieday[ok],Holieday[date],CONCATENATE("&gt;","=",D67),Holieday[date],CONCATENATE("&lt;","=",J_SUBDAY(J_ADDDAY(D67,N67+2,1),1,1)))-SUMIFS(Holieday[Friday],Holieday[date],CONCATENATE("&gt;","=",D67),Holieday[date],CONCATENATE("&lt;","=",J_SUBDAY(J_ADDDAY(D67,N67+2,1),1,1)))=2,J_SUBDAY(J_ADDDAY(D67,N67+2,1),1,1),IF((N67+3-(NETWORKDAYS.INTL(J_GregorianDate(D67,1),J_GregorianDate(J_SUBDAY(J_ADDDAY(D67,N67+3,1),1,1),1),16,1)))+SUMIFS(Holieday[ok],Holieday[date],CONCATENATE("&gt;","=",D67),Holieday[date],CONCATENATE("&lt;","=",J_SUBDAY(J_ADDDAY(D67,N67+3,1),1,1)))-SUMIFS(Holieday[Friday],Holieday[date],CONCATENATE("&gt;","=",D67),Holieday[date],CONCATENATE("&lt;","=",J_SUBDAY(J_ADDDAY(D67,N67+3,1),1,1)))=3,J_SUBDAY(J_ADDDAY(D67,N67+3,1),1,1),IF((N67+4-(NETWORKDAYS.INTL(J_GregorianDate(D67,1),J_GregorianDate(J_SUBDAY(J_ADDDAY(D67,N67+4,1),1,1),1),16,1)))+SUMIFS(Holieday[ok],Holieday[date],CONCATENATE("&gt;","=",D67),Holieday[date],CONCATENATE("&lt;","=",J_SUBDAY(J_ADDDAY(D67,N67+4,1),1,1)))-SUMIFS(Holieday[Friday],Holieday[date],CONCATENATE("&gt;","=",D67),Holieday[date],CONCATENATE("&lt;","=",J_SUBDAY(J_ADDDAY(D67,N67+4,1),1,1)))=4,J_SUBDAY(J_ADDDAY(D67,N67+4,1),1,1),IF((N67+5-(NETWORKDAYS.INTL(J_GregorianDate(D67,1),J_GregorianDate(J_SUBDAY(J_ADDDAY(D67,N67+5,1),1,1),1),16,1)))+SUMIFS(Holieday[ok],Holieday[date],CONCATENATE("&gt;","=",D67),Holieday[date],CONCATENATE("&lt;","=",J_SUBDAY(J_ADDDAY(D67,N67+5,1),1,1)))-SUMIFS(Holieday[Friday],Holieday[date],CONCATENATE("&gt;","=",D67),Holieday[date],CONCATENATE("&lt;","=",J_SUBDAY(J_ADDDAY(D67,N67+5,1),1,1)))=5,J_SUBDAY(J_ADDDAY(D67,N67+5,1),1,1),J_SUBDAY(J_ADDDAY(D67,N67+6,1),1,1))))))))</f>
        <v>1398/08/22</v>
      </c>
      <c r="G67" s="3">
        <f t="shared" si="21"/>
        <v>13980822</v>
      </c>
      <c r="H67" s="119">
        <v>1</v>
      </c>
      <c r="I67" s="120">
        <v>3.7</v>
      </c>
      <c r="J67" s="10">
        <f>j_WEEKDAY(D67,2)</f>
        <v>2</v>
      </c>
      <c r="K67" s="22">
        <f t="shared" si="18"/>
        <v>0</v>
      </c>
      <c r="L67" s="251">
        <f t="shared" si="19"/>
        <v>10</v>
      </c>
      <c r="M67" s="121">
        <v>0</v>
      </c>
      <c r="N67" s="118">
        <v>8</v>
      </c>
      <c r="O67" s="11">
        <f t="shared" si="22"/>
        <v>0</v>
      </c>
      <c r="P67" s="11">
        <f>VALUE(J_normdate(J_ADDDAY($D67,$O67,1)))</f>
        <v>13980813</v>
      </c>
      <c r="Q67" s="10">
        <f t="shared" si="14"/>
        <v>10</v>
      </c>
      <c r="JA67" s="117"/>
      <c r="JB67" s="117"/>
      <c r="JC67" s="117"/>
      <c r="JD67" s="250">
        <f>SUM((TEXT(JA67,"[M]")/60)*'Income Person-hours'!$D$3,(TEXT(JB67,"[M]")/60)*'Income Person-hours'!$D$4,(TEXT(JC67,"[M]")/60)*'Income Person-hours'!$D$5)</f>
        <v>0</v>
      </c>
    </row>
    <row r="68" spans="1:264" s="12" customFormat="1" ht="15.75" x14ac:dyDescent="0.45">
      <c r="A68" s="32">
        <v>3.16</v>
      </c>
      <c r="B68" s="116" t="s">
        <v>163</v>
      </c>
      <c r="C68" s="117" t="s">
        <v>110</v>
      </c>
      <c r="D68" s="8" t="str">
        <f>IF(OR(j_WEEKDAY(J_ADDDAY(VLOOKUP(I68,A:F,6,FALSE),H68,1),0)=6,SUMIFS(Holieday[ok],Holieday[date],J_ADDDAY(VLOOKUP(I68,A:F,6,FALSE),H68,1)))=FALSE(),J_ADDDAY(VLOOKUP(I68,A:F,6,FALSE),H68,1),IF(OR(j_WEEKDAY(J_ADDDAY(VLOOKUP(I68,A:F,6,FALSE),H68+1,1),0)=6,SUMIFS(Holieday[ok],Holieday[date],J_ADDDAY(VLOOKUP(I68,A:F,6,FALSE),H68+1,1)))=FALSE(),J_ADDDAY(VLOOKUP(I68,A:F,6,FALSE),H68+1,1),IF(OR(j_WEEKDAY(J_ADDDAY(VLOOKUP(I68,A:F,6,FALSE),H68+2,1),0)=6,SUMIFS(Holieday[ok],Holieday[date],J_ADDDAY(VLOOKUP(I68,A:F,6,FALSE),H68+2,1)))=FALSE(),J_ADDDAY(VLOOKUP(I68,A:F,6,FALSE),H68+2,1),IF(OR(j_WEEKDAY(J_ADDDAY(VLOOKUP(I68,A:F,6,FALSE),H68+3,1),0)=6,SUMIFS(Holieday[ok],Holieday[date],J_ADDDAY(VLOOKUP(I68,A:F,6,FALSE),H68+3,1)))=FALSE(),J_ADDDAY(VLOOKUP(I68,A:F,6,FALSE),H68+3,1),IF(OR(j_WEEKDAY(J_ADDDAY(VLOOKUP(I68,A:F,6,FALSE),H68+4,1),0)=6,SUMIFS(Holieday[ok],Holieday[date],J_ADDDAY(VLOOKUP(I68,A:F,6,FALSE),H68+4,1)))=FALSE(),J_ADDDAY(VLOOKUP(I68,A:F,6,FALSE),H68+4,1),J_ADDDAY(VLOOKUP(I68,A:F,6,FALSE),H68+5,1))))))</f>
        <v>1398/08/23</v>
      </c>
      <c r="E68" s="2">
        <f t="shared" si="20"/>
        <v>13980823</v>
      </c>
      <c r="F68" s="13" t="str">
        <f>IF(N68=0,J_SUBDAY(D68,1,1),IF((N68-(NETWORKDAYS.INTL(J_GregorianDate(D68,1),J_GregorianDate(J_SUBDAY(J_ADDDAY(D68,N68,1),1,1),1),16,1)))+SUMIFS(Holieday[ok],Holieday[date],CONCATENATE("&gt;","=",D68),Holieday[date],CONCATENATE("&lt;","=",J_SUBDAY(J_ADDDAY(D68,N68,1),1,1)))-SUMIFS(Holieday[Friday],Holieday[date],CONCATENATE("&gt;","=",D68),Holieday[date],CONCATENATE("&lt;","=",J_SUBDAY(J_ADDDAY(D68,N68,1),1,1)))=0,J_SUBDAY(J_ADDDAY(D68,N68,1),1,1),IF((N68+1-(NETWORKDAYS.INTL(J_GregorianDate(D68,1),J_GregorianDate(J_SUBDAY(J_ADDDAY(D68,N68+1,1),1,1),1),16,1)))+SUMIFS(Holieday[ok],Holieday[date],CONCATENATE("&gt;","=",D68),Holieday[date],CONCATENATE("&lt;","=",J_SUBDAY(J_ADDDAY(D68,N68+1,1),1,1)))-SUMIFS(Holieday[Friday],Holieday[date],CONCATENATE("&gt;","=",D68),Holieday[date],CONCATENATE("&lt;","=",J_SUBDAY(J_ADDDAY(D68,N68+1,1),1,1)))=1,J_SUBDAY(J_ADDDAY(D68,N68+1,1),1,1),IF((N68+2-(NETWORKDAYS.INTL(J_GregorianDate(D68,1),J_GregorianDate(J_SUBDAY(J_ADDDAY(D68,N68+2,1),1,1),1),16,1)))+SUMIFS(Holieday[ok],Holieday[date],CONCATENATE("&gt;","=",D68),Holieday[date],CONCATENATE("&lt;","=",J_SUBDAY(J_ADDDAY(D68,N68+2,1),1,1)))-SUMIFS(Holieday[Friday],Holieday[date],CONCATENATE("&gt;","=",D68),Holieday[date],CONCATENATE("&lt;","=",J_SUBDAY(J_ADDDAY(D68,N68+2,1),1,1)))=2,J_SUBDAY(J_ADDDAY(D68,N68+2,1),1,1),IF((N68+3-(NETWORKDAYS.INTL(J_GregorianDate(D68,1),J_GregorianDate(J_SUBDAY(J_ADDDAY(D68,N68+3,1),1,1),1),16,1)))+SUMIFS(Holieday[ok],Holieday[date],CONCATENATE("&gt;","=",D68),Holieday[date],CONCATENATE("&lt;","=",J_SUBDAY(J_ADDDAY(D68,N68+3,1),1,1)))-SUMIFS(Holieday[Friday],Holieday[date],CONCATENATE("&gt;","=",D68),Holieday[date],CONCATENATE("&lt;","=",J_SUBDAY(J_ADDDAY(D68,N68+3,1),1,1)))=3,J_SUBDAY(J_ADDDAY(D68,N68+3,1),1,1),IF((N68+4-(NETWORKDAYS.INTL(J_GregorianDate(D68,1),J_GregorianDate(J_SUBDAY(J_ADDDAY(D68,N68+4,1),1,1),1),16,1)))+SUMIFS(Holieday[ok],Holieday[date],CONCATENATE("&gt;","=",D68),Holieday[date],CONCATENATE("&lt;","=",J_SUBDAY(J_ADDDAY(D68,N68+4,1),1,1)))-SUMIFS(Holieday[Friday],Holieday[date],CONCATENATE("&gt;","=",D68),Holieday[date],CONCATENATE("&lt;","=",J_SUBDAY(J_ADDDAY(D68,N68+4,1),1,1)))=4,J_SUBDAY(J_ADDDAY(D68,N68+4,1),1,1),IF((N68+5-(NETWORKDAYS.INTL(J_GregorianDate(D68,1),J_GregorianDate(J_SUBDAY(J_ADDDAY(D68,N68+5,1),1,1),1),16,1)))+SUMIFS(Holieday[ok],Holieday[date],CONCATENATE("&gt;","=",D68),Holieday[date],CONCATENATE("&lt;","=",J_SUBDAY(J_ADDDAY(D68,N68+5,1),1,1)))-SUMIFS(Holieday[Friday],Holieday[date],CONCATENATE("&gt;","=",D68),Holieday[date],CONCATENATE("&lt;","=",J_SUBDAY(J_ADDDAY(D68,N68+5,1),1,1)))=5,J_SUBDAY(J_ADDDAY(D68,N68+5,1),1,1),J_SUBDAY(J_ADDDAY(D68,N68+6,1),1,1))))))))</f>
        <v>1398/08/26</v>
      </c>
      <c r="G68" s="3">
        <f t="shared" si="21"/>
        <v>13980826</v>
      </c>
      <c r="H68" s="119">
        <v>1</v>
      </c>
      <c r="I68" s="120">
        <v>3.15</v>
      </c>
      <c r="J68" s="10">
        <f>j_WEEKDAY(D68,2)</f>
        <v>5</v>
      </c>
      <c r="K68" s="22">
        <f t="shared" si="18"/>
        <v>0</v>
      </c>
      <c r="L68" s="9">
        <f t="shared" si="19"/>
        <v>4</v>
      </c>
      <c r="M68" s="121">
        <v>0</v>
      </c>
      <c r="N68" s="118">
        <v>3</v>
      </c>
      <c r="O68" s="11">
        <f t="shared" si="22"/>
        <v>0</v>
      </c>
      <c r="P68" s="11">
        <f>VALUE(J_normdate(J_ADDDAY($D68,$O68,1)))</f>
        <v>13980823</v>
      </c>
      <c r="Q68" s="10">
        <f t="shared" si="14"/>
        <v>4</v>
      </c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 s="8"/>
      <c r="EX68" s="8"/>
      <c r="EY68" s="8"/>
      <c r="EZ68" s="8"/>
      <c r="FA68" s="8"/>
      <c r="FB68" s="8"/>
      <c r="FC68" s="8"/>
      <c r="FD68" s="8"/>
      <c r="FE68" s="8"/>
      <c r="FF68" s="8"/>
      <c r="FG68" s="8"/>
      <c r="FH68" s="8"/>
      <c r="FI68" s="8"/>
      <c r="FJ68" s="8"/>
      <c r="FK68" s="8"/>
      <c r="FL68" s="8"/>
      <c r="FM68" s="8"/>
      <c r="FN68" s="8"/>
      <c r="FO68" s="8"/>
      <c r="FP68" s="8"/>
      <c r="FQ68" s="8"/>
      <c r="FR68" s="8"/>
      <c r="FS68" s="8"/>
      <c r="FT68" s="8"/>
      <c r="FU68" s="8"/>
      <c r="FV68" s="8"/>
      <c r="FW68" s="8"/>
      <c r="FX68" s="8"/>
      <c r="FY68" s="8"/>
      <c r="FZ68" s="8"/>
      <c r="GA68" s="8"/>
      <c r="GB68" s="8"/>
      <c r="GC68" s="8"/>
      <c r="GD68" s="8"/>
      <c r="GE68" s="8"/>
      <c r="GF68" s="8"/>
      <c r="GG68" s="8"/>
      <c r="GH68" s="8"/>
      <c r="GI68" s="8"/>
      <c r="GJ68" s="8"/>
      <c r="GK68" s="8"/>
      <c r="GL68" s="8"/>
      <c r="GM68" s="8"/>
      <c r="GN68" s="8"/>
      <c r="GO68" s="8"/>
      <c r="GP68" s="8"/>
      <c r="GQ68" s="8"/>
      <c r="GR68" s="8"/>
      <c r="GS68" s="8"/>
      <c r="GT68" s="8"/>
      <c r="GU68" s="8"/>
      <c r="GV68" s="8"/>
      <c r="GW68" s="8"/>
      <c r="GX68" s="8"/>
      <c r="GY68" s="8"/>
      <c r="GZ68" s="8"/>
      <c r="HA68" s="8"/>
      <c r="HB68" s="8"/>
      <c r="HC68" s="8"/>
      <c r="HD68" s="8"/>
      <c r="HE68" s="8"/>
      <c r="HF68" s="8"/>
      <c r="HG68" s="8"/>
      <c r="HH68" s="8"/>
      <c r="HI68" s="8"/>
      <c r="HJ68" s="8"/>
      <c r="HK68" s="8"/>
      <c r="HL68" s="8"/>
      <c r="HM68" s="8"/>
      <c r="HN68" s="8"/>
      <c r="HO68" s="8"/>
      <c r="HP68" s="8"/>
      <c r="HQ68" s="8"/>
      <c r="HR68" s="8"/>
      <c r="HS68" s="8"/>
      <c r="HT68" s="8"/>
      <c r="HU68" s="8"/>
      <c r="HV68" s="8"/>
      <c r="HW68" s="8"/>
      <c r="HX68" s="8"/>
      <c r="HY68" s="8"/>
      <c r="HZ68" s="8"/>
      <c r="IA68" s="8"/>
      <c r="IB68" s="8"/>
      <c r="IC68" s="8"/>
      <c r="ID68" s="8"/>
      <c r="IE68" s="8"/>
      <c r="IF68" s="8"/>
      <c r="IG68" s="8"/>
      <c r="IH68" s="8"/>
      <c r="II68" s="8"/>
      <c r="IJ68" s="8"/>
      <c r="IK68" s="8"/>
      <c r="IL68" s="8"/>
      <c r="IM68" s="8"/>
      <c r="IN68" s="8"/>
      <c r="IO68" s="8"/>
      <c r="IP68" s="8"/>
      <c r="IQ68" s="8"/>
      <c r="IR68" s="8"/>
      <c r="IS68" s="8"/>
      <c r="IT68" s="8"/>
      <c r="IU68" s="8"/>
      <c r="IV68" s="8"/>
      <c r="IW68" s="8"/>
      <c r="IX68" s="8"/>
      <c r="JA68" s="123"/>
      <c r="JB68" s="123"/>
      <c r="JC68" s="123"/>
      <c r="JD68" s="70">
        <f>SUM((TEXT(JA68,"[M]")/60)*'Income Person-hours'!$D$3,(TEXT(JB68,"[M]")/60)*'Income Person-hours'!$D$4,(TEXT(JC68,"[M]")/60)*'Income Person-hours'!$D$5)</f>
        <v>0</v>
      </c>
    </row>
    <row r="69" spans="1:264" s="12" customFormat="1" ht="15.75" x14ac:dyDescent="0.45">
      <c r="A69" s="32">
        <v>3.17</v>
      </c>
      <c r="B69" s="116" t="s">
        <v>166</v>
      </c>
      <c r="C69" s="117" t="s">
        <v>111</v>
      </c>
      <c r="D69" s="8" t="str">
        <f>IF(OR(j_WEEKDAY(J_ADDDAY(VLOOKUP(I69,A:F,6,FALSE),H69,1),0)=6,SUMIFS(Holieday[ok],Holieday[date],J_ADDDAY(VLOOKUP(I69,A:F,6,FALSE),H69,1)))=FALSE(),J_ADDDAY(VLOOKUP(I69,A:F,6,FALSE),H69,1),IF(OR(j_WEEKDAY(J_ADDDAY(VLOOKUP(I69,A:F,6,FALSE),H69+1,1),0)=6,SUMIFS(Holieday[ok],Holieday[date],J_ADDDAY(VLOOKUP(I69,A:F,6,FALSE),H69+1,1)))=FALSE(),J_ADDDAY(VLOOKUP(I69,A:F,6,FALSE),H69+1,1),IF(OR(j_WEEKDAY(J_ADDDAY(VLOOKUP(I69,A:F,6,FALSE),H69+2,1),0)=6,SUMIFS(Holieday[ok],Holieday[date],J_ADDDAY(VLOOKUP(I69,A:F,6,FALSE),H69+2,1)))=FALSE(),J_ADDDAY(VLOOKUP(I69,A:F,6,FALSE),H69+2,1),IF(OR(j_WEEKDAY(J_ADDDAY(VLOOKUP(I69,A:F,6,FALSE),H69+3,1),0)=6,SUMIFS(Holieday[ok],Holieday[date],J_ADDDAY(VLOOKUP(I69,A:F,6,FALSE),H69+3,1)))=FALSE(),J_ADDDAY(VLOOKUP(I69,A:F,6,FALSE),H69+3,1),IF(OR(j_WEEKDAY(J_ADDDAY(VLOOKUP(I69,A:F,6,FALSE),H69+4,1),0)=6,SUMIFS(Holieday[ok],Holieday[date],J_ADDDAY(VLOOKUP(I69,A:F,6,FALSE),H69+4,1)))=FALSE(),J_ADDDAY(VLOOKUP(I69,A:F,6,FALSE),H69+4,1),J_ADDDAY(VLOOKUP(I69,A:F,6,FALSE),H69+5,1))))))</f>
        <v>1398/08/23</v>
      </c>
      <c r="E69" s="2">
        <f t="shared" si="20"/>
        <v>13980823</v>
      </c>
      <c r="F69" s="13" t="str">
        <f>IF(N69=0,J_SUBDAY(D69,1,1),IF((N69-(NETWORKDAYS.INTL(J_GregorianDate(D69,1),J_GregorianDate(J_SUBDAY(J_ADDDAY(D69,N69,1),1,1),1),16,1)))+SUMIFS(Holieday[ok],Holieday[date],CONCATENATE("&gt;","=",D69),Holieday[date],CONCATENATE("&lt;","=",J_SUBDAY(J_ADDDAY(D69,N69,1),1,1)))-SUMIFS(Holieday[Friday],Holieday[date],CONCATENATE("&gt;","=",D69),Holieday[date],CONCATENATE("&lt;","=",J_SUBDAY(J_ADDDAY(D69,N69,1),1,1)))=0,J_SUBDAY(J_ADDDAY(D69,N69,1),1,1),IF((N69+1-(NETWORKDAYS.INTL(J_GregorianDate(D69,1),J_GregorianDate(J_SUBDAY(J_ADDDAY(D69,N69+1,1),1,1),1),16,1)))+SUMIFS(Holieday[ok],Holieday[date],CONCATENATE("&gt;","=",D69),Holieday[date],CONCATENATE("&lt;","=",J_SUBDAY(J_ADDDAY(D69,N69+1,1),1,1)))-SUMIFS(Holieday[Friday],Holieday[date],CONCATENATE("&gt;","=",D69),Holieday[date],CONCATENATE("&lt;","=",J_SUBDAY(J_ADDDAY(D69,N69+1,1),1,1)))=1,J_SUBDAY(J_ADDDAY(D69,N69+1,1),1,1),IF((N69+2-(NETWORKDAYS.INTL(J_GregorianDate(D69,1),J_GregorianDate(J_SUBDAY(J_ADDDAY(D69,N69+2,1),1,1),1),16,1)))+SUMIFS(Holieday[ok],Holieday[date],CONCATENATE("&gt;","=",D69),Holieday[date],CONCATENATE("&lt;","=",J_SUBDAY(J_ADDDAY(D69,N69+2,1),1,1)))-SUMIFS(Holieday[Friday],Holieday[date],CONCATENATE("&gt;","=",D69),Holieday[date],CONCATENATE("&lt;","=",J_SUBDAY(J_ADDDAY(D69,N69+2,1),1,1)))=2,J_SUBDAY(J_ADDDAY(D69,N69+2,1),1,1),IF((N69+3-(NETWORKDAYS.INTL(J_GregorianDate(D69,1),J_GregorianDate(J_SUBDAY(J_ADDDAY(D69,N69+3,1),1,1),1),16,1)))+SUMIFS(Holieday[ok],Holieday[date],CONCATENATE("&gt;","=",D69),Holieday[date],CONCATENATE("&lt;","=",J_SUBDAY(J_ADDDAY(D69,N69+3,1),1,1)))-SUMIFS(Holieday[Friday],Holieday[date],CONCATENATE("&gt;","=",D69),Holieday[date],CONCATENATE("&lt;","=",J_SUBDAY(J_ADDDAY(D69,N69+3,1),1,1)))=3,J_SUBDAY(J_ADDDAY(D69,N69+3,1),1,1),IF((N69+4-(NETWORKDAYS.INTL(J_GregorianDate(D69,1),J_GregorianDate(J_SUBDAY(J_ADDDAY(D69,N69+4,1),1,1),1),16,1)))+SUMIFS(Holieday[ok],Holieday[date],CONCATENATE("&gt;","=",D69),Holieday[date],CONCATENATE("&lt;","=",J_SUBDAY(J_ADDDAY(D69,N69+4,1),1,1)))-SUMIFS(Holieday[Friday],Holieday[date],CONCATENATE("&gt;","=",D69),Holieday[date],CONCATENATE("&lt;","=",J_SUBDAY(J_ADDDAY(D69,N69+4,1),1,1)))=4,J_SUBDAY(J_ADDDAY(D69,N69+4,1),1,1),IF((N69+5-(NETWORKDAYS.INTL(J_GregorianDate(D69,1),J_GregorianDate(J_SUBDAY(J_ADDDAY(D69,N69+5,1),1,1),1),16,1)))+SUMIFS(Holieday[ok],Holieday[date],CONCATENATE("&gt;","=",D69),Holieday[date],CONCATENATE("&lt;","=",J_SUBDAY(J_ADDDAY(D69,N69+5,1),1,1)))-SUMIFS(Holieday[Friday],Holieday[date],CONCATENATE("&gt;","=",D69),Holieday[date],CONCATENATE("&lt;","=",J_SUBDAY(J_ADDDAY(D69,N69+5,1),1,1)))=5,J_SUBDAY(J_ADDDAY(D69,N69+5,1),1,1),J_SUBDAY(J_ADDDAY(D69,N69+6,1),1,1))))))))</f>
        <v>1398/08/26</v>
      </c>
      <c r="G69" s="3">
        <f t="shared" si="21"/>
        <v>13980826</v>
      </c>
      <c r="H69" s="119">
        <v>1</v>
      </c>
      <c r="I69" s="120">
        <v>3.15</v>
      </c>
      <c r="J69" s="10">
        <f>j_WEEKDAY(D69,2)</f>
        <v>5</v>
      </c>
      <c r="K69" s="22">
        <f t="shared" si="18"/>
        <v>0</v>
      </c>
      <c r="L69" s="9">
        <f t="shared" si="19"/>
        <v>4</v>
      </c>
      <c r="M69" s="121">
        <v>0</v>
      </c>
      <c r="N69" s="118">
        <v>3</v>
      </c>
      <c r="O69" s="11">
        <f t="shared" si="22"/>
        <v>0</v>
      </c>
      <c r="P69" s="11">
        <f>VALUE(J_normdate(J_ADDDAY($D69,$O69,1)))</f>
        <v>13980823</v>
      </c>
      <c r="Q69" s="10">
        <f t="shared" si="14"/>
        <v>4</v>
      </c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 s="8"/>
      <c r="EX69" s="8"/>
      <c r="EY69" s="8"/>
      <c r="EZ69" s="8"/>
      <c r="FA69" s="8"/>
      <c r="FB69" s="8"/>
      <c r="FC69" s="8"/>
      <c r="FD69" s="8"/>
      <c r="FE69" s="8"/>
      <c r="FF69" s="8"/>
      <c r="FG69" s="8"/>
      <c r="FH69" s="8"/>
      <c r="FI69" s="8"/>
      <c r="FJ69" s="8"/>
      <c r="FK69" s="8"/>
      <c r="FL69" s="8"/>
      <c r="FM69" s="8"/>
      <c r="FN69" s="8"/>
      <c r="FO69" s="8"/>
      <c r="FP69" s="8"/>
      <c r="FQ69" s="8"/>
      <c r="FR69" s="8"/>
      <c r="FS69" s="8"/>
      <c r="FT69" s="8"/>
      <c r="FU69" s="8"/>
      <c r="FV69" s="8"/>
      <c r="FW69" s="8"/>
      <c r="FX69" s="8"/>
      <c r="FY69" s="8"/>
      <c r="FZ69" s="8"/>
      <c r="GA69" s="8"/>
      <c r="GB69" s="8"/>
      <c r="GC69" s="8"/>
      <c r="GD69" s="8"/>
      <c r="GE69" s="8"/>
      <c r="GF69" s="8"/>
      <c r="GG69" s="8"/>
      <c r="GH69" s="8"/>
      <c r="GI69" s="8"/>
      <c r="GJ69" s="8"/>
      <c r="GK69" s="8"/>
      <c r="GL69" s="8"/>
      <c r="GM69" s="8"/>
      <c r="GN69" s="8"/>
      <c r="GO69" s="8"/>
      <c r="GP69" s="8"/>
      <c r="GQ69" s="8"/>
      <c r="GR69" s="8"/>
      <c r="GS69" s="8"/>
      <c r="GT69" s="8"/>
      <c r="GU69" s="8"/>
      <c r="GV69" s="8"/>
      <c r="GW69" s="8"/>
      <c r="GX69" s="8"/>
      <c r="GY69" s="8"/>
      <c r="GZ69" s="8"/>
      <c r="HA69" s="8"/>
      <c r="HB69" s="8"/>
      <c r="HC69" s="8"/>
      <c r="HD69" s="8"/>
      <c r="HE69" s="8"/>
      <c r="HF69" s="8"/>
      <c r="HG69" s="8"/>
      <c r="HH69" s="8"/>
      <c r="HI69" s="8"/>
      <c r="HJ69" s="8"/>
      <c r="HK69" s="8"/>
      <c r="HL69" s="8"/>
      <c r="HM69" s="8"/>
      <c r="HN69" s="8"/>
      <c r="HO69" s="8"/>
      <c r="HP69" s="8"/>
      <c r="HQ69" s="8"/>
      <c r="HR69" s="8"/>
      <c r="HS69" s="8"/>
      <c r="HT69" s="8"/>
      <c r="HU69" s="8"/>
      <c r="HV69" s="8"/>
      <c r="HW69" s="8"/>
      <c r="HX69" s="8"/>
      <c r="HY69" s="8"/>
      <c r="HZ69" s="8"/>
      <c r="IA69" s="8"/>
      <c r="IB69" s="8"/>
      <c r="IC69" s="8"/>
      <c r="ID69" s="8"/>
      <c r="IE69" s="8"/>
      <c r="IF69" s="8"/>
      <c r="IG69" s="8"/>
      <c r="IH69" s="8"/>
      <c r="II69" s="8"/>
      <c r="IJ69" s="8"/>
      <c r="IK69" s="8"/>
      <c r="IL69" s="8"/>
      <c r="IM69" s="8"/>
      <c r="IN69" s="8"/>
      <c r="IO69" s="8"/>
      <c r="IP69" s="8"/>
      <c r="IQ69" s="8"/>
      <c r="IR69" s="8"/>
      <c r="IS69" s="8"/>
      <c r="IT69" s="8"/>
      <c r="IU69" s="8"/>
      <c r="IV69" s="8"/>
      <c r="IW69" s="8"/>
      <c r="IX69" s="8"/>
      <c r="JA69" s="123"/>
      <c r="JB69" s="123"/>
      <c r="JC69" s="123"/>
      <c r="JD69" s="70">
        <f>SUM((TEXT(JA69,"[M]")/60)*'Income Person-hours'!$D$3,(TEXT(JB69,"[M]")/60)*'Income Person-hours'!$D$4,(TEXT(JC69,"[M]")/60)*'Income Person-hours'!$D$5)</f>
        <v>0</v>
      </c>
    </row>
    <row r="70" spans="1:264" s="12" customFormat="1" ht="15.75" x14ac:dyDescent="0.45">
      <c r="A70" s="32">
        <v>3.18</v>
      </c>
      <c r="B70" s="116" t="s">
        <v>167</v>
      </c>
      <c r="C70" s="117" t="s">
        <v>110</v>
      </c>
      <c r="D70" s="8" t="str">
        <f>IF(OR(j_WEEKDAY(J_ADDDAY(VLOOKUP(I70,A:F,6,FALSE),H70,1),0)=6,SUMIFS(Holieday[ok],Holieday[date],J_ADDDAY(VLOOKUP(I70,A:F,6,FALSE),H70,1)))=FALSE(),J_ADDDAY(VLOOKUP(I70,A:F,6,FALSE),H70,1),IF(OR(j_WEEKDAY(J_ADDDAY(VLOOKUP(I70,A:F,6,FALSE),H70+1,1),0)=6,SUMIFS(Holieday[ok],Holieday[date],J_ADDDAY(VLOOKUP(I70,A:F,6,FALSE),H70+1,1)))=FALSE(),J_ADDDAY(VLOOKUP(I70,A:F,6,FALSE),H70+1,1),IF(OR(j_WEEKDAY(J_ADDDAY(VLOOKUP(I70,A:F,6,FALSE),H70+2,1),0)=6,SUMIFS(Holieday[ok],Holieday[date],J_ADDDAY(VLOOKUP(I70,A:F,6,FALSE),H70+2,1)))=FALSE(),J_ADDDAY(VLOOKUP(I70,A:F,6,FALSE),H70+2,1),IF(OR(j_WEEKDAY(J_ADDDAY(VLOOKUP(I70,A:F,6,FALSE),H70+3,1),0)=6,SUMIFS(Holieday[ok],Holieday[date],J_ADDDAY(VLOOKUP(I70,A:F,6,FALSE),H70+3,1)))=FALSE(),J_ADDDAY(VLOOKUP(I70,A:F,6,FALSE),H70+3,1),IF(OR(j_WEEKDAY(J_ADDDAY(VLOOKUP(I70,A:F,6,FALSE),H70+4,1),0)=6,SUMIFS(Holieday[ok],Holieday[date],J_ADDDAY(VLOOKUP(I70,A:F,6,FALSE),H70+4,1)))=FALSE(),J_ADDDAY(VLOOKUP(I70,A:F,6,FALSE),H70+4,1),J_ADDDAY(VLOOKUP(I70,A:F,6,FALSE),H70+5,1))))))</f>
        <v>1398/08/29</v>
      </c>
      <c r="E70" s="2">
        <f t="shared" si="20"/>
        <v>13980829</v>
      </c>
      <c r="F70" s="13" t="str">
        <f>IF(N70=0,J_SUBDAY(D70,1,1),IF((N70-(NETWORKDAYS.INTL(J_GregorianDate(D70,1),J_GregorianDate(J_SUBDAY(J_ADDDAY(D70,N70,1),1,1),1),16,1)))+SUMIFS(Holieday[ok],Holieday[date],CONCATENATE("&gt;","=",D70),Holieday[date],CONCATENATE("&lt;","=",J_SUBDAY(J_ADDDAY(D70,N70,1),1,1)))-SUMIFS(Holieday[Friday],Holieday[date],CONCATENATE("&gt;","=",D70),Holieday[date],CONCATENATE("&lt;","=",J_SUBDAY(J_ADDDAY(D70,N70,1),1,1)))=0,J_SUBDAY(J_ADDDAY(D70,N70,1),1,1),IF((N70+1-(NETWORKDAYS.INTL(J_GregorianDate(D70,1),J_GregorianDate(J_SUBDAY(J_ADDDAY(D70,N70+1,1),1,1),1),16,1)))+SUMIFS(Holieday[ok],Holieday[date],CONCATENATE("&gt;","=",D70),Holieday[date],CONCATENATE("&lt;","=",J_SUBDAY(J_ADDDAY(D70,N70+1,1),1,1)))-SUMIFS(Holieday[Friday],Holieday[date],CONCATENATE("&gt;","=",D70),Holieday[date],CONCATENATE("&lt;","=",J_SUBDAY(J_ADDDAY(D70,N70+1,1),1,1)))=1,J_SUBDAY(J_ADDDAY(D70,N70+1,1),1,1),IF((N70+2-(NETWORKDAYS.INTL(J_GregorianDate(D70,1),J_GregorianDate(J_SUBDAY(J_ADDDAY(D70,N70+2,1),1,1),1),16,1)))+SUMIFS(Holieday[ok],Holieday[date],CONCATENATE("&gt;","=",D70),Holieday[date],CONCATENATE("&lt;","=",J_SUBDAY(J_ADDDAY(D70,N70+2,1),1,1)))-SUMIFS(Holieday[Friday],Holieday[date],CONCATENATE("&gt;","=",D70),Holieday[date],CONCATENATE("&lt;","=",J_SUBDAY(J_ADDDAY(D70,N70+2,1),1,1)))=2,J_SUBDAY(J_ADDDAY(D70,N70+2,1),1,1),IF((N70+3-(NETWORKDAYS.INTL(J_GregorianDate(D70,1),J_GregorianDate(J_SUBDAY(J_ADDDAY(D70,N70+3,1),1,1),1),16,1)))+SUMIFS(Holieday[ok],Holieday[date],CONCATENATE("&gt;","=",D70),Holieday[date],CONCATENATE("&lt;","=",J_SUBDAY(J_ADDDAY(D70,N70+3,1),1,1)))-SUMIFS(Holieday[Friday],Holieday[date],CONCATENATE("&gt;","=",D70),Holieday[date],CONCATENATE("&lt;","=",J_SUBDAY(J_ADDDAY(D70,N70+3,1),1,1)))=3,J_SUBDAY(J_ADDDAY(D70,N70+3,1),1,1),IF((N70+4-(NETWORKDAYS.INTL(J_GregorianDate(D70,1),J_GregorianDate(J_SUBDAY(J_ADDDAY(D70,N70+4,1),1,1),1),16,1)))+SUMIFS(Holieday[ok],Holieday[date],CONCATENATE("&gt;","=",D70),Holieday[date],CONCATENATE("&lt;","=",J_SUBDAY(J_ADDDAY(D70,N70+4,1),1,1)))-SUMIFS(Holieday[Friday],Holieday[date],CONCATENATE("&gt;","=",D70),Holieday[date],CONCATENATE("&lt;","=",J_SUBDAY(J_ADDDAY(D70,N70+4,1),1,1)))=4,J_SUBDAY(J_ADDDAY(D70,N70+4,1),1,1),IF((N70+5-(NETWORKDAYS.INTL(J_GregorianDate(D70,1),J_GregorianDate(J_SUBDAY(J_ADDDAY(D70,N70+5,1),1,1),1),16,1)))+SUMIFS(Holieday[ok],Holieday[date],CONCATENATE("&gt;","=",D70),Holieday[date],CONCATENATE("&lt;","=",J_SUBDAY(J_ADDDAY(D70,N70+5,1),1,1)))-SUMIFS(Holieday[Friday],Holieday[date],CONCATENATE("&gt;","=",D70),Holieday[date],CONCATENATE("&lt;","=",J_SUBDAY(J_ADDDAY(D70,N70+5,1),1,1)))=5,J_SUBDAY(J_ADDDAY(D70,N70+5,1),1,1),J_SUBDAY(J_ADDDAY(D70,N70+6,1),1,1))))))))</f>
        <v>1398/09/02</v>
      </c>
      <c r="G70" s="3">
        <f t="shared" si="21"/>
        <v>13980902</v>
      </c>
      <c r="H70" s="119">
        <v>3</v>
      </c>
      <c r="I70" s="120">
        <v>3.17</v>
      </c>
      <c r="J70" s="10">
        <f>j_WEEKDAY(D70,2)</f>
        <v>4</v>
      </c>
      <c r="K70" s="22">
        <f t="shared" si="18"/>
        <v>0</v>
      </c>
      <c r="L70" s="9">
        <f t="shared" si="19"/>
        <v>4</v>
      </c>
      <c r="M70" s="121">
        <v>0</v>
      </c>
      <c r="N70" s="118">
        <v>3</v>
      </c>
      <c r="O70" s="11">
        <f t="shared" si="22"/>
        <v>0</v>
      </c>
      <c r="P70" s="11">
        <f>VALUE(J_normdate(J_ADDDAY($D70,$O70,1)))</f>
        <v>13980829</v>
      </c>
      <c r="Q70" s="10">
        <f t="shared" si="14"/>
        <v>4</v>
      </c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T70" s="8"/>
      <c r="EU70" s="8"/>
      <c r="EV70" s="8"/>
      <c r="EW70" s="8"/>
      <c r="EX70" s="8"/>
      <c r="EY70" s="8"/>
      <c r="EZ70" s="8"/>
      <c r="FA70" s="8"/>
      <c r="FB70" s="8"/>
      <c r="FC70" s="8"/>
      <c r="FD70" s="8"/>
      <c r="FE70" s="8"/>
      <c r="FF70" s="8"/>
      <c r="FG70" s="8"/>
      <c r="FH70" s="8"/>
      <c r="FI70" s="8"/>
      <c r="FJ70" s="8"/>
      <c r="FK70" s="8"/>
      <c r="FL70" s="8"/>
      <c r="FM70" s="8"/>
      <c r="FN70" s="8"/>
      <c r="FO70" s="8"/>
      <c r="FP70" s="8"/>
      <c r="FQ70" s="8"/>
      <c r="FR70" s="8"/>
      <c r="FS70" s="8"/>
      <c r="FT70" s="8"/>
      <c r="FU70" s="8"/>
      <c r="FV70" s="8"/>
      <c r="FW70" s="8"/>
      <c r="FX70" s="8"/>
      <c r="FY70" s="8"/>
      <c r="FZ70" s="8"/>
      <c r="GA70" s="8"/>
      <c r="GB70" s="8"/>
      <c r="GC70" s="8"/>
      <c r="GD70" s="8"/>
      <c r="GE70" s="8"/>
      <c r="GF70" s="8"/>
      <c r="GG70" s="8"/>
      <c r="GH70" s="8"/>
      <c r="GI70" s="8"/>
      <c r="GJ70" s="8"/>
      <c r="GK70" s="8"/>
      <c r="GL70" s="8"/>
      <c r="GM70" s="8"/>
      <c r="GN70" s="8"/>
      <c r="GO70" s="8"/>
      <c r="GP70" s="8"/>
      <c r="GQ70" s="8"/>
      <c r="GR70" s="8"/>
      <c r="GS70" s="8"/>
      <c r="GT70" s="8"/>
      <c r="GU70" s="8"/>
      <c r="GV70" s="8"/>
      <c r="GW70" s="8"/>
      <c r="GX70" s="8"/>
      <c r="GY70" s="8"/>
      <c r="GZ70" s="8"/>
      <c r="HA70" s="8"/>
      <c r="HB70" s="8"/>
      <c r="HC70" s="8"/>
      <c r="HD70" s="8"/>
      <c r="HE70" s="8"/>
      <c r="HF70" s="8"/>
      <c r="HG70" s="8"/>
      <c r="HH70" s="8"/>
      <c r="HI70" s="8"/>
      <c r="HJ70" s="8"/>
      <c r="HK70" s="8"/>
      <c r="HL70" s="8"/>
      <c r="HM70" s="8"/>
      <c r="HN70" s="8"/>
      <c r="HO70" s="8"/>
      <c r="HP70" s="8"/>
      <c r="HQ70" s="8"/>
      <c r="HR70" s="8"/>
      <c r="HS70" s="8"/>
      <c r="HT70" s="8"/>
      <c r="HU70" s="8"/>
      <c r="HV70" s="8"/>
      <c r="HW70" s="8"/>
      <c r="HX70" s="8"/>
      <c r="HY70" s="8"/>
      <c r="HZ70" s="8"/>
      <c r="IA70" s="8"/>
      <c r="IB70" s="8"/>
      <c r="IC70" s="8"/>
      <c r="ID70" s="8"/>
      <c r="IE70" s="8"/>
      <c r="IF70" s="8"/>
      <c r="IG70" s="8"/>
      <c r="IH70" s="8"/>
      <c r="II70" s="8"/>
      <c r="IJ70" s="8"/>
      <c r="IK70" s="8"/>
      <c r="IL70" s="8"/>
      <c r="IM70" s="8"/>
      <c r="IN70" s="8"/>
      <c r="IO70" s="8"/>
      <c r="IP70" s="8"/>
      <c r="IQ70" s="8"/>
      <c r="IR70" s="8"/>
      <c r="IS70" s="8"/>
      <c r="IT70" s="8"/>
      <c r="IU70" s="8"/>
      <c r="IV70" s="8"/>
      <c r="IW70" s="8"/>
      <c r="IX70" s="8"/>
      <c r="JA70" s="123"/>
      <c r="JB70" s="123"/>
      <c r="JC70" s="123"/>
      <c r="JD70" s="70">
        <f>SUM((TEXT(JA70,"[M]")/60)*'Income Person-hours'!$D$3,(TEXT(JB70,"[M]")/60)*'Income Person-hours'!$D$4,(TEXT(JC70,"[M]")/60)*'Income Person-hours'!$D$5)</f>
        <v>0</v>
      </c>
    </row>
    <row r="71" spans="1:264" s="273" customFormat="1" ht="15.75" x14ac:dyDescent="0.45">
      <c r="A71" s="278">
        <v>3.19</v>
      </c>
      <c r="B71" s="279" t="s">
        <v>129</v>
      </c>
      <c r="C71" s="280" t="s">
        <v>111</v>
      </c>
      <c r="D71" s="273" t="str">
        <f>IF(OR(j_WEEKDAY(J_ADDDAY(VLOOKUP(I71,A:F,6,FALSE),H71,1),0)=6,SUMIFS(Holieday[ok],Holieday[date],J_ADDDAY(VLOOKUP(I71,A:F,6,FALSE),H71,1)))=FALSE(),J_ADDDAY(VLOOKUP(I71,A:F,6,FALSE),H71,1),IF(OR(j_WEEKDAY(J_ADDDAY(VLOOKUP(I71,A:F,6,FALSE),H71+1,1),0)=6,SUMIFS(Holieday[ok],Holieday[date],J_ADDDAY(VLOOKUP(I71,A:F,6,FALSE),H71+1,1)))=FALSE(),J_ADDDAY(VLOOKUP(I71,A:F,6,FALSE),H71+1,1),IF(OR(j_WEEKDAY(J_ADDDAY(VLOOKUP(I71,A:F,6,FALSE),H71+2,1),0)=6,SUMIFS(Holieday[ok],Holieday[date],J_ADDDAY(VLOOKUP(I71,A:F,6,FALSE),H71+2,1)))=FALSE(),J_ADDDAY(VLOOKUP(I71,A:F,6,FALSE),H71+2,1),IF(OR(j_WEEKDAY(J_ADDDAY(VLOOKUP(I71,A:F,6,FALSE),H71+3,1),0)=6,SUMIFS(Holieday[ok],Holieday[date],J_ADDDAY(VLOOKUP(I71,A:F,6,FALSE),H71+3,1)))=FALSE(),J_ADDDAY(VLOOKUP(I71,A:F,6,FALSE),H71+3,1),IF(OR(j_WEEKDAY(J_ADDDAY(VLOOKUP(I71,A:F,6,FALSE),H71+4,1),0)=6,SUMIFS(Holieday[ok],Holieday[date],J_ADDDAY(VLOOKUP(I71,A:F,6,FALSE),H71+4,1)))=FALSE(),J_ADDDAY(VLOOKUP(I71,A:F,6,FALSE),H71+4,1),J_ADDDAY(VLOOKUP(I71,A:F,6,FALSE),H71+5,1))))))</f>
        <v>1398/08/27</v>
      </c>
      <c r="E71" s="273">
        <f t="shared" si="20"/>
        <v>13980827</v>
      </c>
      <c r="F71" s="274" t="str">
        <f>IF(N71=0,J_SUBDAY(D71,1,1),IF((N71-(NETWORKDAYS.INTL(J_GregorianDate(D71,1),J_GregorianDate(J_SUBDAY(J_ADDDAY(D71,N71,1),1,1),1),16,1)))+SUMIFS(Holieday[ok],Holieday[date],CONCATENATE("&gt;","=",D71),Holieday[date],CONCATENATE("&lt;","=",J_SUBDAY(J_ADDDAY(D71,N71,1),1,1)))-SUMIFS(Holieday[Friday],Holieday[date],CONCATENATE("&gt;","=",D71),Holieday[date],CONCATENATE("&lt;","=",J_SUBDAY(J_ADDDAY(D71,N71,1),1,1)))=0,J_SUBDAY(J_ADDDAY(D71,N71,1),1,1),IF((N71+1-(NETWORKDAYS.INTL(J_GregorianDate(D71,1),J_GregorianDate(J_SUBDAY(J_ADDDAY(D71,N71+1,1),1,1),1),16,1)))+SUMIFS(Holieday[ok],Holieday[date],CONCATENATE("&gt;","=",D71),Holieday[date],CONCATENATE("&lt;","=",J_SUBDAY(J_ADDDAY(D71,N71+1,1),1,1)))-SUMIFS(Holieday[Friday],Holieday[date],CONCATENATE("&gt;","=",D71),Holieday[date],CONCATENATE("&lt;","=",J_SUBDAY(J_ADDDAY(D71,N71+1,1),1,1)))=1,J_SUBDAY(J_ADDDAY(D71,N71+1,1),1,1),IF((N71+2-(NETWORKDAYS.INTL(J_GregorianDate(D71,1),J_GregorianDate(J_SUBDAY(J_ADDDAY(D71,N71+2,1),1,1),1),16,1)))+SUMIFS(Holieday[ok],Holieday[date],CONCATENATE("&gt;","=",D71),Holieday[date],CONCATENATE("&lt;","=",J_SUBDAY(J_ADDDAY(D71,N71+2,1),1,1)))-SUMIFS(Holieday[Friday],Holieday[date],CONCATENATE("&gt;","=",D71),Holieday[date],CONCATENATE("&lt;","=",J_SUBDAY(J_ADDDAY(D71,N71+2,1),1,1)))=2,J_SUBDAY(J_ADDDAY(D71,N71+2,1),1,1),IF((N71+3-(NETWORKDAYS.INTL(J_GregorianDate(D71,1),J_GregorianDate(J_SUBDAY(J_ADDDAY(D71,N71+3,1),1,1),1),16,1)))+SUMIFS(Holieday[ok],Holieday[date],CONCATENATE("&gt;","=",D71),Holieday[date],CONCATENATE("&lt;","=",J_SUBDAY(J_ADDDAY(D71,N71+3,1),1,1)))-SUMIFS(Holieday[Friday],Holieday[date],CONCATENATE("&gt;","=",D71),Holieday[date],CONCATENATE("&lt;","=",J_SUBDAY(J_ADDDAY(D71,N71+3,1),1,1)))=3,J_SUBDAY(J_ADDDAY(D71,N71+3,1),1,1),IF((N71+4-(NETWORKDAYS.INTL(J_GregorianDate(D71,1),J_GregorianDate(J_SUBDAY(J_ADDDAY(D71,N71+4,1),1,1),1),16,1)))+SUMIFS(Holieday[ok],Holieday[date],CONCATENATE("&gt;","=",D71),Holieday[date],CONCATENATE("&lt;","=",J_SUBDAY(J_ADDDAY(D71,N71+4,1),1,1)))-SUMIFS(Holieday[Friday],Holieday[date],CONCATENATE("&gt;","=",D71),Holieday[date],CONCATENATE("&lt;","=",J_SUBDAY(J_ADDDAY(D71,N71+4,1),1,1)))=4,J_SUBDAY(J_ADDDAY(D71,N71+4,1),1,1),IF((N71+5-(NETWORKDAYS.INTL(J_GregorianDate(D71,1),J_GregorianDate(J_SUBDAY(J_ADDDAY(D71,N71+5,1),1,1),1),16,1)))+SUMIFS(Holieday[ok],Holieday[date],CONCATENATE("&gt;","=",D71),Holieday[date],CONCATENATE("&lt;","=",J_SUBDAY(J_ADDDAY(D71,N71+5,1),1,1)))-SUMIFS(Holieday[Friday],Holieday[date],CONCATENATE("&gt;","=",D71),Holieday[date],CONCATENATE("&lt;","=",J_SUBDAY(J_ADDDAY(D71,N71+5,1),1,1)))=5,J_SUBDAY(J_ADDDAY(D71,N71+5,1),1,1),J_SUBDAY(J_ADDDAY(D71,N71+6,1),1,1))))))))</f>
        <v>1398/08/29</v>
      </c>
      <c r="G71" s="274">
        <f t="shared" si="21"/>
        <v>13980829</v>
      </c>
      <c r="H71" s="281">
        <v>1</v>
      </c>
      <c r="I71" s="282">
        <v>3.17</v>
      </c>
      <c r="J71" s="275">
        <f>j_WEEKDAY(D71,2)</f>
        <v>2</v>
      </c>
      <c r="K71" s="276">
        <f t="shared" si="18"/>
        <v>0</v>
      </c>
      <c r="L71" s="275">
        <f t="shared" si="19"/>
        <v>3</v>
      </c>
      <c r="M71" s="283">
        <v>0</v>
      </c>
      <c r="N71" s="284">
        <v>3</v>
      </c>
      <c r="O71" s="277">
        <f t="shared" si="22"/>
        <v>0</v>
      </c>
      <c r="P71" s="277">
        <f>VALUE(J_normdate(J_ADDDAY($D71,$O71,1)))</f>
        <v>13980827</v>
      </c>
      <c r="Q71" s="275">
        <f t="shared" si="14"/>
        <v>3</v>
      </c>
      <c r="JA71" s="280"/>
      <c r="JB71" s="280"/>
      <c r="JC71" s="280"/>
      <c r="JD71" s="285">
        <f>SUM((TEXT(JA71,"[M]")/60)*'Income Person-hours'!$D$3,(TEXT(JB71,"[M]")/60)*'Income Person-hours'!$D$4,(TEXT(JC71,"[M]")/60)*'Income Person-hours'!$D$5)</f>
        <v>0</v>
      </c>
    </row>
    <row r="72" spans="1:264" s="8" customFormat="1" ht="16.5" customHeight="1" x14ac:dyDescent="0.45">
      <c r="A72" s="253">
        <v>3.21</v>
      </c>
      <c r="B72" s="116" t="s">
        <v>164</v>
      </c>
      <c r="C72" s="117" t="s">
        <v>110</v>
      </c>
      <c r="D72" s="8" t="str">
        <f>IF(OR(j_WEEKDAY(J_ADDDAY(VLOOKUP(I72,A:F,6,FALSE),H72,1),0)=6,SUMIFS(Holieday[ok],Holieday[date],J_ADDDAY(VLOOKUP(I72,A:F,6,FALSE),H72,1)))=FALSE(),J_ADDDAY(VLOOKUP(I72,A:F,6,FALSE),H72,1),IF(OR(j_WEEKDAY(J_ADDDAY(VLOOKUP(I72,A:F,6,FALSE),H72+1,1),0)=6,SUMIFS(Holieday[ok],Holieday[date],J_ADDDAY(VLOOKUP(I72,A:F,6,FALSE),H72+1,1)))=FALSE(),J_ADDDAY(VLOOKUP(I72,A:F,6,FALSE),H72+1,1),IF(OR(j_WEEKDAY(J_ADDDAY(VLOOKUP(I72,A:F,6,FALSE),H72+2,1),0)=6,SUMIFS(Holieday[ok],Holieday[date],J_ADDDAY(VLOOKUP(I72,A:F,6,FALSE),H72+2,1)))=FALSE(),J_ADDDAY(VLOOKUP(I72,A:F,6,FALSE),H72+2,1),IF(OR(j_WEEKDAY(J_ADDDAY(VLOOKUP(I72,A:F,6,FALSE),H72+3,1),0)=6,SUMIFS(Holieday[ok],Holieday[date],J_ADDDAY(VLOOKUP(I72,A:F,6,FALSE),H72+3,1)))=FALSE(),J_ADDDAY(VLOOKUP(I72,A:F,6,FALSE),H72+3,1),IF(OR(j_WEEKDAY(J_ADDDAY(VLOOKUP(I72,A:F,6,FALSE),H72+4,1),0)=6,SUMIFS(Holieday[ok],Holieday[date],J_ADDDAY(VLOOKUP(I72,A:F,6,FALSE),H72+4,1)))=FALSE(),J_ADDDAY(VLOOKUP(I72,A:F,6,FALSE),H72+4,1),J_ADDDAY(VLOOKUP(I72,A:F,6,FALSE),H72+5,1))))))</f>
        <v>1398/08/30</v>
      </c>
      <c r="E72" s="2">
        <f t="shared" si="20"/>
        <v>13980830</v>
      </c>
      <c r="F72" s="13" t="str">
        <f>IF(N72=0,J_SUBDAY(D72,1,1),IF((N72-(NETWORKDAYS.INTL(J_GregorianDate(D72,1),J_GregorianDate(J_SUBDAY(J_ADDDAY(D72,N72,1),1,1),1),16,1)))+SUMIFS(Holieday[ok],Holieday[date],CONCATENATE("&gt;","=",D72),Holieday[date],CONCATENATE("&lt;","=",J_SUBDAY(J_ADDDAY(D72,N72,1),1,1)))-SUMIFS(Holieday[Friday],Holieday[date],CONCATENATE("&gt;","=",D72),Holieday[date],CONCATENATE("&lt;","=",J_SUBDAY(J_ADDDAY(D72,N72,1),1,1)))=0,J_SUBDAY(J_ADDDAY(D72,N72,1),1,1),IF((N72+1-(NETWORKDAYS.INTL(J_GregorianDate(D72,1),J_GregorianDate(J_SUBDAY(J_ADDDAY(D72,N72+1,1),1,1),1),16,1)))+SUMIFS(Holieday[ok],Holieday[date],CONCATENATE("&gt;","=",D72),Holieday[date],CONCATENATE("&lt;","=",J_SUBDAY(J_ADDDAY(D72,N72+1,1),1,1)))-SUMIFS(Holieday[Friday],Holieday[date],CONCATENATE("&gt;","=",D72),Holieday[date],CONCATENATE("&lt;","=",J_SUBDAY(J_ADDDAY(D72,N72+1,1),1,1)))=1,J_SUBDAY(J_ADDDAY(D72,N72+1,1),1,1),IF((N72+2-(NETWORKDAYS.INTL(J_GregorianDate(D72,1),J_GregorianDate(J_SUBDAY(J_ADDDAY(D72,N72+2,1),1,1),1),16,1)))+SUMIFS(Holieday[ok],Holieday[date],CONCATENATE("&gt;","=",D72),Holieday[date],CONCATENATE("&lt;","=",J_SUBDAY(J_ADDDAY(D72,N72+2,1),1,1)))-SUMIFS(Holieday[Friday],Holieday[date],CONCATENATE("&gt;","=",D72),Holieday[date],CONCATENATE("&lt;","=",J_SUBDAY(J_ADDDAY(D72,N72+2,1),1,1)))=2,J_SUBDAY(J_ADDDAY(D72,N72+2,1),1,1),IF((N72+3-(NETWORKDAYS.INTL(J_GregorianDate(D72,1),J_GregorianDate(J_SUBDAY(J_ADDDAY(D72,N72+3,1),1,1),1),16,1)))+SUMIFS(Holieday[ok],Holieday[date],CONCATENATE("&gt;","=",D72),Holieday[date],CONCATENATE("&lt;","=",J_SUBDAY(J_ADDDAY(D72,N72+3,1),1,1)))-SUMIFS(Holieday[Friday],Holieday[date],CONCATENATE("&gt;","=",D72),Holieday[date],CONCATENATE("&lt;","=",J_SUBDAY(J_ADDDAY(D72,N72+3,1),1,1)))=3,J_SUBDAY(J_ADDDAY(D72,N72+3,1),1,1),IF((N72+4-(NETWORKDAYS.INTL(J_GregorianDate(D72,1),J_GregorianDate(J_SUBDAY(J_ADDDAY(D72,N72+4,1),1,1),1),16,1)))+SUMIFS(Holieday[ok],Holieday[date],CONCATENATE("&gt;","=",D72),Holieday[date],CONCATENATE("&lt;","=",J_SUBDAY(J_ADDDAY(D72,N72+4,1),1,1)))-SUMIFS(Holieday[Friday],Holieday[date],CONCATENATE("&gt;","=",D72),Holieday[date],CONCATENATE("&lt;","=",J_SUBDAY(J_ADDDAY(D72,N72+4,1),1,1)))=4,J_SUBDAY(J_ADDDAY(D72,N72+4,1),1,1),IF((N72+5-(NETWORKDAYS.INTL(J_GregorianDate(D72,1),J_GregorianDate(J_SUBDAY(J_ADDDAY(D72,N72+5,1),1,1),1),16,1)))+SUMIFS(Holieday[ok],Holieday[date],CONCATENATE("&gt;","=",D72),Holieday[date],CONCATENATE("&lt;","=",J_SUBDAY(J_ADDDAY(D72,N72+5,1),1,1)))-SUMIFS(Holieday[Friday],Holieday[date],CONCATENATE("&gt;","=",D72),Holieday[date],CONCATENATE("&lt;","=",J_SUBDAY(J_ADDDAY(D72,N72+5,1),1,1)))=5,J_SUBDAY(J_ADDDAY(D72,N72+5,1),1,1),J_SUBDAY(J_ADDDAY(D72,N72+6,1),1,1))))))))</f>
        <v>1398/09/03</v>
      </c>
      <c r="G72" s="3">
        <f t="shared" si="21"/>
        <v>13980903</v>
      </c>
      <c r="H72" s="119">
        <v>1</v>
      </c>
      <c r="I72" s="120">
        <v>3.19</v>
      </c>
      <c r="J72" s="10">
        <f>j_WEEKDAY(D72,2)</f>
        <v>5</v>
      </c>
      <c r="K72" s="22">
        <f t="shared" si="18"/>
        <v>0</v>
      </c>
      <c r="L72" s="251">
        <f t="shared" si="19"/>
        <v>4</v>
      </c>
      <c r="M72" s="121">
        <v>0</v>
      </c>
      <c r="N72" s="118">
        <v>3</v>
      </c>
      <c r="O72" s="11">
        <f t="shared" si="22"/>
        <v>0</v>
      </c>
      <c r="P72" s="11">
        <f>VALUE(J_normdate(J_ADDDAY($D72,$O72,1)))</f>
        <v>13980830</v>
      </c>
      <c r="Q72" s="10">
        <f t="shared" si="14"/>
        <v>4</v>
      </c>
      <c r="JA72" s="117"/>
      <c r="JB72" s="117"/>
      <c r="JC72" s="117"/>
      <c r="JD72" s="250">
        <f>SUM((TEXT(JA72,"[M]")/60)*'Income Person-hours'!$D$3,(TEXT(JB72,"[M]")/60)*'Income Person-hours'!$D$4,(TEXT(JC72,"[M]")/60)*'Income Person-hours'!$D$5)</f>
        <v>0</v>
      </c>
    </row>
    <row r="73" spans="1:264" s="8" customFormat="1" ht="15.75" x14ac:dyDescent="0.45">
      <c r="A73" s="253">
        <v>3.22</v>
      </c>
      <c r="B73" s="116" t="s">
        <v>130</v>
      </c>
      <c r="C73" s="117" t="s">
        <v>79</v>
      </c>
      <c r="D73" s="8" t="str">
        <f>IF(OR(j_WEEKDAY(J_ADDDAY(VLOOKUP(I73,A:F,6,FALSE),H73,1),0)=6,SUMIFS(Holieday[ok],Holieday[date],J_ADDDAY(VLOOKUP(I73,A:F,6,FALSE),H73,1)))=FALSE(),J_ADDDAY(VLOOKUP(I73,A:F,6,FALSE),H73,1),IF(OR(j_WEEKDAY(J_ADDDAY(VLOOKUP(I73,A:F,6,FALSE),H73+1,1),0)=6,SUMIFS(Holieday[ok],Holieday[date],J_ADDDAY(VLOOKUP(I73,A:F,6,FALSE),H73+1,1)))=FALSE(),J_ADDDAY(VLOOKUP(I73,A:F,6,FALSE),H73+1,1),IF(OR(j_WEEKDAY(J_ADDDAY(VLOOKUP(I73,A:F,6,FALSE),H73+2,1),0)=6,SUMIFS(Holieday[ok],Holieday[date],J_ADDDAY(VLOOKUP(I73,A:F,6,FALSE),H73+2,1)))=FALSE(),J_ADDDAY(VLOOKUP(I73,A:F,6,FALSE),H73+2,1),IF(OR(j_WEEKDAY(J_ADDDAY(VLOOKUP(I73,A:F,6,FALSE),H73+3,1),0)=6,SUMIFS(Holieday[ok],Holieday[date],J_ADDDAY(VLOOKUP(I73,A:F,6,FALSE),H73+3,1)))=FALSE(),J_ADDDAY(VLOOKUP(I73,A:F,6,FALSE),H73+3,1),IF(OR(j_WEEKDAY(J_ADDDAY(VLOOKUP(I73,A:F,6,FALSE),H73+4,1),0)=6,SUMIFS(Holieday[ok],Holieday[date],J_ADDDAY(VLOOKUP(I73,A:F,6,FALSE),H73+4,1)))=FALSE(),J_ADDDAY(VLOOKUP(I73,A:F,6,FALSE),H73+4,1),J_ADDDAY(VLOOKUP(I73,A:F,6,FALSE),H73+5,1))))))</f>
        <v>1398/09/04</v>
      </c>
      <c r="E73" s="273">
        <f t="shared" si="20"/>
        <v>13980904</v>
      </c>
      <c r="F73" s="13" t="str">
        <f>IF(N73=0,J_SUBDAY(D73,1,1),IF((N73-(NETWORKDAYS.INTL(J_GregorianDate(D73,1),J_GregorianDate(J_SUBDAY(J_ADDDAY(D73,N73,1),1,1),1),16,1)))+SUMIFS(Holieday[ok],Holieday[date],CONCATENATE("&gt;","=",D73),Holieday[date],CONCATENATE("&lt;","=",J_SUBDAY(J_ADDDAY(D73,N73,1),1,1)))-SUMIFS(Holieday[Friday],Holieday[date],CONCATENATE("&gt;","=",D73),Holieday[date],CONCATENATE("&lt;","=",J_SUBDAY(J_ADDDAY(D73,N73,1),1,1)))=0,J_SUBDAY(J_ADDDAY(D73,N73,1),1,1),IF((N73+1-(NETWORKDAYS.INTL(J_GregorianDate(D73,1),J_GregorianDate(J_SUBDAY(J_ADDDAY(D73,N73+1,1),1,1),1),16,1)))+SUMIFS(Holieday[ok],Holieday[date],CONCATENATE("&gt;","=",D73),Holieday[date],CONCATENATE("&lt;","=",J_SUBDAY(J_ADDDAY(D73,N73+1,1),1,1)))-SUMIFS(Holieday[Friday],Holieday[date],CONCATENATE("&gt;","=",D73),Holieday[date],CONCATENATE("&lt;","=",J_SUBDAY(J_ADDDAY(D73,N73+1,1),1,1)))=1,J_SUBDAY(J_ADDDAY(D73,N73+1,1),1,1),IF((N73+2-(NETWORKDAYS.INTL(J_GregorianDate(D73,1),J_GregorianDate(J_SUBDAY(J_ADDDAY(D73,N73+2,1),1,1),1),16,1)))+SUMIFS(Holieday[ok],Holieday[date],CONCATENATE("&gt;","=",D73),Holieday[date],CONCATENATE("&lt;","=",J_SUBDAY(J_ADDDAY(D73,N73+2,1),1,1)))-SUMIFS(Holieday[Friday],Holieday[date],CONCATENATE("&gt;","=",D73),Holieday[date],CONCATENATE("&lt;","=",J_SUBDAY(J_ADDDAY(D73,N73+2,1),1,1)))=2,J_SUBDAY(J_ADDDAY(D73,N73+2,1),1,1),IF((N73+3-(NETWORKDAYS.INTL(J_GregorianDate(D73,1),J_GregorianDate(J_SUBDAY(J_ADDDAY(D73,N73+3,1),1,1),1),16,1)))+SUMIFS(Holieday[ok],Holieday[date],CONCATENATE("&gt;","=",D73),Holieday[date],CONCATENATE("&lt;","=",J_SUBDAY(J_ADDDAY(D73,N73+3,1),1,1)))-SUMIFS(Holieday[Friday],Holieday[date],CONCATENATE("&gt;","=",D73),Holieday[date],CONCATENATE("&lt;","=",J_SUBDAY(J_ADDDAY(D73,N73+3,1),1,1)))=3,J_SUBDAY(J_ADDDAY(D73,N73+3,1),1,1),IF((N73+4-(NETWORKDAYS.INTL(J_GregorianDate(D73,1),J_GregorianDate(J_SUBDAY(J_ADDDAY(D73,N73+4,1),1,1),1),16,1)))+SUMIFS(Holieday[ok],Holieday[date],CONCATENATE("&gt;","=",D73),Holieday[date],CONCATENATE("&lt;","=",J_SUBDAY(J_ADDDAY(D73,N73+4,1),1,1)))-SUMIFS(Holieday[Friday],Holieday[date],CONCATENATE("&gt;","=",D73),Holieday[date],CONCATENATE("&lt;","=",J_SUBDAY(J_ADDDAY(D73,N73+4,1),1,1)))=4,J_SUBDAY(J_ADDDAY(D73,N73+4,1),1,1),IF((N73+5-(NETWORKDAYS.INTL(J_GregorianDate(D73,1),J_GregorianDate(J_SUBDAY(J_ADDDAY(D73,N73+5,1),1,1),1),16,1)))+SUMIFS(Holieday[ok],Holieday[date],CONCATENATE("&gt;","=",D73),Holieday[date],CONCATENATE("&lt;","=",J_SUBDAY(J_ADDDAY(D73,N73+5,1),1,1)))-SUMIFS(Holieday[Friday],Holieday[date],CONCATENATE("&gt;","=",D73),Holieday[date],CONCATENATE("&lt;","=",J_SUBDAY(J_ADDDAY(D73,N73+5,1),1,1)))=5,J_SUBDAY(J_ADDDAY(D73,N73+5,1),1,1),J_SUBDAY(J_ADDDAY(D73,N73+6,1),1,1))))))))</f>
        <v>1398/09/09</v>
      </c>
      <c r="G73" s="274">
        <f t="shared" si="21"/>
        <v>13980909</v>
      </c>
      <c r="H73" s="119">
        <v>1</v>
      </c>
      <c r="I73" s="120">
        <v>3.21</v>
      </c>
      <c r="J73" s="10">
        <f>j_WEEKDAY(D73,2)</f>
        <v>2</v>
      </c>
      <c r="K73" s="276">
        <f t="shared" si="18"/>
        <v>0</v>
      </c>
      <c r="L73" s="251">
        <f t="shared" si="19"/>
        <v>6</v>
      </c>
      <c r="M73" s="121">
        <v>0</v>
      </c>
      <c r="N73" s="118">
        <v>5</v>
      </c>
      <c r="O73" s="277">
        <f t="shared" si="22"/>
        <v>0</v>
      </c>
      <c r="P73" s="277">
        <f>VALUE(J_normdate(J_ADDDAY($D73,$O73,1)))</f>
        <v>13980904</v>
      </c>
      <c r="Q73" s="275">
        <f t="shared" si="14"/>
        <v>6</v>
      </c>
      <c r="JA73" s="117"/>
      <c r="JB73" s="117"/>
      <c r="JC73" s="117"/>
      <c r="JD73" s="250">
        <f>SUM((TEXT(JA73,"[M]")/60)*'Income Person-hours'!$D$3,(TEXT(JB73,"[M]")/60)*'Income Person-hours'!$D$4,(TEXT(JC73,"[M]")/60)*'Income Person-hours'!$D$5)</f>
        <v>0</v>
      </c>
    </row>
    <row r="74" spans="1:264" s="273" customFormat="1" ht="15.75" customHeight="1" x14ac:dyDescent="0.45">
      <c r="A74" s="278">
        <v>3.23</v>
      </c>
      <c r="B74" s="279" t="s">
        <v>131</v>
      </c>
      <c r="C74" s="280" t="s">
        <v>111</v>
      </c>
      <c r="D74" s="273" t="str">
        <f>IF(OR(j_WEEKDAY(J_ADDDAY(VLOOKUP(I74,A:F,6,FALSE),H74,1),0)=6,SUMIFS(Holieday[ok],Holieday[date],J_ADDDAY(VLOOKUP(I74,A:F,6,FALSE),H74,1)))=FALSE(),J_ADDDAY(VLOOKUP(I74,A:F,6,FALSE),H74,1),IF(OR(j_WEEKDAY(J_ADDDAY(VLOOKUP(I74,A:F,6,FALSE),H74+1,1),0)=6,SUMIFS(Holieday[ok],Holieday[date],J_ADDDAY(VLOOKUP(I74,A:F,6,FALSE),H74+1,1)))=FALSE(),J_ADDDAY(VLOOKUP(I74,A:F,6,FALSE),H74+1,1),IF(OR(j_WEEKDAY(J_ADDDAY(VLOOKUP(I74,A:F,6,FALSE),H74+2,1),0)=6,SUMIFS(Holieday[ok],Holieday[date],J_ADDDAY(VLOOKUP(I74,A:F,6,FALSE),H74+2,1)))=FALSE(),J_ADDDAY(VLOOKUP(I74,A:F,6,FALSE),H74+2,1),IF(OR(j_WEEKDAY(J_ADDDAY(VLOOKUP(I74,A:F,6,FALSE),H74+3,1),0)=6,SUMIFS(Holieday[ok],Holieday[date],J_ADDDAY(VLOOKUP(I74,A:F,6,FALSE),H74+3,1)))=FALSE(),J_ADDDAY(VLOOKUP(I74,A:F,6,FALSE),H74+3,1),IF(OR(j_WEEKDAY(J_ADDDAY(VLOOKUP(I74,A:F,6,FALSE),H74+4,1),0)=6,SUMIFS(Holieday[ok],Holieday[date],J_ADDDAY(VLOOKUP(I74,A:F,6,FALSE),H74+4,1)))=FALSE(),J_ADDDAY(VLOOKUP(I74,A:F,6,FALSE),H74+4,1),J_ADDDAY(VLOOKUP(I74,A:F,6,FALSE),H74+5,1))))))</f>
        <v>1398/08/30</v>
      </c>
      <c r="E74" s="273">
        <f t="shared" ref="E74:E86" si="23">VALUE(J_normdate(D74))</f>
        <v>13980830</v>
      </c>
      <c r="F74" s="274" t="str">
        <f>IF(N74=0,J_SUBDAY(D74,1,1),IF((N74-(NETWORKDAYS.INTL(J_GregorianDate(D74,1),J_GregorianDate(J_SUBDAY(J_ADDDAY(D74,N74,1),1,1),1),16,1)))+SUMIFS(Holieday[ok],Holieday[date],CONCATENATE("&gt;","=",D74),Holieday[date],CONCATENATE("&lt;","=",J_SUBDAY(J_ADDDAY(D74,N74,1),1,1)))-SUMIFS(Holieday[Friday],Holieday[date],CONCATENATE("&gt;","=",D74),Holieday[date],CONCATENATE("&lt;","=",J_SUBDAY(J_ADDDAY(D74,N74,1),1,1)))=0,J_SUBDAY(J_ADDDAY(D74,N74,1),1,1),IF((N74+1-(NETWORKDAYS.INTL(J_GregorianDate(D74,1),J_GregorianDate(J_SUBDAY(J_ADDDAY(D74,N74+1,1),1,1),1),16,1)))+SUMIFS(Holieday[ok],Holieday[date],CONCATENATE("&gt;","=",D74),Holieday[date],CONCATENATE("&lt;","=",J_SUBDAY(J_ADDDAY(D74,N74+1,1),1,1)))-SUMIFS(Holieday[Friday],Holieday[date],CONCATENATE("&gt;","=",D74),Holieday[date],CONCATENATE("&lt;","=",J_SUBDAY(J_ADDDAY(D74,N74+1,1),1,1)))=1,J_SUBDAY(J_ADDDAY(D74,N74+1,1),1,1),IF((N74+2-(NETWORKDAYS.INTL(J_GregorianDate(D74,1),J_GregorianDate(J_SUBDAY(J_ADDDAY(D74,N74+2,1),1,1),1),16,1)))+SUMIFS(Holieday[ok],Holieday[date],CONCATENATE("&gt;","=",D74),Holieday[date],CONCATENATE("&lt;","=",J_SUBDAY(J_ADDDAY(D74,N74+2,1),1,1)))-SUMIFS(Holieday[Friday],Holieday[date],CONCATENATE("&gt;","=",D74),Holieday[date],CONCATENATE("&lt;","=",J_SUBDAY(J_ADDDAY(D74,N74+2,1),1,1)))=2,J_SUBDAY(J_ADDDAY(D74,N74+2,1),1,1),IF((N74+3-(NETWORKDAYS.INTL(J_GregorianDate(D74,1),J_GregorianDate(J_SUBDAY(J_ADDDAY(D74,N74+3,1),1,1),1),16,1)))+SUMIFS(Holieday[ok],Holieday[date],CONCATENATE("&gt;","=",D74),Holieday[date],CONCATENATE("&lt;","=",J_SUBDAY(J_ADDDAY(D74,N74+3,1),1,1)))-SUMIFS(Holieday[Friday],Holieday[date],CONCATENATE("&gt;","=",D74),Holieday[date],CONCATENATE("&lt;","=",J_SUBDAY(J_ADDDAY(D74,N74+3,1),1,1)))=3,J_SUBDAY(J_ADDDAY(D74,N74+3,1),1,1),IF((N74+4-(NETWORKDAYS.INTL(J_GregorianDate(D74,1),J_GregorianDate(J_SUBDAY(J_ADDDAY(D74,N74+4,1),1,1),1),16,1)))+SUMIFS(Holieday[ok],Holieday[date],CONCATENATE("&gt;","=",D74),Holieday[date],CONCATENATE("&lt;","=",J_SUBDAY(J_ADDDAY(D74,N74+4,1),1,1)))-SUMIFS(Holieday[Friday],Holieday[date],CONCATENATE("&gt;","=",D74),Holieday[date],CONCATENATE("&lt;","=",J_SUBDAY(J_ADDDAY(D74,N74+4,1),1,1)))=4,J_SUBDAY(J_ADDDAY(D74,N74+4,1),1,1),IF((N74+5-(NETWORKDAYS.INTL(J_GregorianDate(D74,1),J_GregorianDate(J_SUBDAY(J_ADDDAY(D74,N74+5,1),1,1),1),16,1)))+SUMIFS(Holieday[ok],Holieday[date],CONCATENATE("&gt;","=",D74),Holieday[date],CONCATENATE("&lt;","=",J_SUBDAY(J_ADDDAY(D74,N74+5,1),1,1)))-SUMIFS(Holieday[Friday],Holieday[date],CONCATENATE("&gt;","=",D74),Holieday[date],CONCATENATE("&lt;","=",J_SUBDAY(J_ADDDAY(D74,N74+5,1),1,1)))=5,J_SUBDAY(J_ADDDAY(D74,N74+5,1),1,1),J_SUBDAY(J_ADDDAY(D74,N74+6,1),1,1))))))))</f>
        <v>1398/09/03</v>
      </c>
      <c r="G74" s="274">
        <f t="shared" ref="G74:G86" si="24">VALUE(J_normdate(F74))</f>
        <v>13980903</v>
      </c>
      <c r="H74" s="281">
        <v>1</v>
      </c>
      <c r="I74" s="282">
        <v>3.19</v>
      </c>
      <c r="J74" s="275">
        <f>j_WEEKDAY(D74,2)</f>
        <v>5</v>
      </c>
      <c r="K74" s="276">
        <f t="shared" ref="K74:K86" si="25">SUM(JA74:JC74)</f>
        <v>0</v>
      </c>
      <c r="L74" s="275">
        <f t="shared" ref="L74:L86" si="26">J_DIFF(D74,F74)+1</f>
        <v>4</v>
      </c>
      <c r="M74" s="283">
        <v>0</v>
      </c>
      <c r="N74" s="284">
        <v>3</v>
      </c>
      <c r="O74" s="277">
        <f t="shared" ref="O74:O86" si="27">ROUNDDOWN(M74*L74,0)</f>
        <v>0</v>
      </c>
      <c r="P74" s="277">
        <f>VALUE(J_normdate(J_ADDDAY($D74,$O74,1)))</f>
        <v>13980830</v>
      </c>
      <c r="Q74" s="275">
        <f t="shared" ref="Q74:Q86" si="28">L74-O74</f>
        <v>4</v>
      </c>
      <c r="JA74" s="280"/>
      <c r="JB74" s="280"/>
      <c r="JC74" s="280"/>
      <c r="JD74" s="285"/>
    </row>
    <row r="75" spans="1:264" s="12" customFormat="1" ht="15.75" x14ac:dyDescent="0.45">
      <c r="A75" s="32">
        <v>3.24</v>
      </c>
      <c r="B75" s="116" t="s">
        <v>165</v>
      </c>
      <c r="C75" s="117" t="s">
        <v>110</v>
      </c>
      <c r="D75" s="8" t="str">
        <f>IF(OR(j_WEEKDAY(J_ADDDAY(VLOOKUP(I75,A:F,6,FALSE),H75,1),0)=6,SUMIFS(Holieday[ok],Holieday[date],J_ADDDAY(VLOOKUP(I75,A:F,6,FALSE),H75,1)))=FALSE(),J_ADDDAY(VLOOKUP(I75,A:F,6,FALSE),H75,1),IF(OR(j_WEEKDAY(J_ADDDAY(VLOOKUP(I75,A:F,6,FALSE),H75+1,1),0)=6,SUMIFS(Holieday[ok],Holieday[date],J_ADDDAY(VLOOKUP(I75,A:F,6,FALSE),H75+1,1)))=FALSE(),J_ADDDAY(VLOOKUP(I75,A:F,6,FALSE),H75+1,1),IF(OR(j_WEEKDAY(J_ADDDAY(VLOOKUP(I75,A:F,6,FALSE),H75+2,1),0)=6,SUMIFS(Holieday[ok],Holieday[date],J_ADDDAY(VLOOKUP(I75,A:F,6,FALSE),H75+2,1)))=FALSE(),J_ADDDAY(VLOOKUP(I75,A:F,6,FALSE),H75+2,1),IF(OR(j_WEEKDAY(J_ADDDAY(VLOOKUP(I75,A:F,6,FALSE),H75+3,1),0)=6,SUMIFS(Holieday[ok],Holieday[date],J_ADDDAY(VLOOKUP(I75,A:F,6,FALSE),H75+3,1)))=FALSE(),J_ADDDAY(VLOOKUP(I75,A:F,6,FALSE),H75+3,1),IF(OR(j_WEEKDAY(J_ADDDAY(VLOOKUP(I75,A:F,6,FALSE),H75+4,1),0)=6,SUMIFS(Holieday[ok],Holieday[date],J_ADDDAY(VLOOKUP(I75,A:F,6,FALSE),H75+4,1)))=FALSE(),J_ADDDAY(VLOOKUP(I75,A:F,6,FALSE),H75+4,1),J_ADDDAY(VLOOKUP(I75,A:F,6,FALSE),H75+5,1))))))</f>
        <v>1398/09/10</v>
      </c>
      <c r="E75" s="2">
        <f t="shared" si="23"/>
        <v>13980910</v>
      </c>
      <c r="F75" s="13" t="str">
        <f>IF(N75=0,J_SUBDAY(D75,1,1),IF((N75-(NETWORKDAYS.INTL(J_GregorianDate(D75,1),J_GregorianDate(J_SUBDAY(J_ADDDAY(D75,N75,1),1,1),1),16,1)))+SUMIFS(Holieday[ok],Holieday[date],CONCATENATE("&gt;","=",D75),Holieday[date],CONCATENATE("&lt;","=",J_SUBDAY(J_ADDDAY(D75,N75,1),1,1)))-SUMIFS(Holieday[Friday],Holieday[date],CONCATENATE("&gt;","=",D75),Holieday[date],CONCATENATE("&lt;","=",J_SUBDAY(J_ADDDAY(D75,N75,1),1,1)))=0,J_SUBDAY(J_ADDDAY(D75,N75,1),1,1),IF((N75+1-(NETWORKDAYS.INTL(J_GregorianDate(D75,1),J_GregorianDate(J_SUBDAY(J_ADDDAY(D75,N75+1,1),1,1),1),16,1)))+SUMIFS(Holieday[ok],Holieday[date],CONCATENATE("&gt;","=",D75),Holieday[date],CONCATENATE("&lt;","=",J_SUBDAY(J_ADDDAY(D75,N75+1,1),1,1)))-SUMIFS(Holieday[Friday],Holieday[date],CONCATENATE("&gt;","=",D75),Holieday[date],CONCATENATE("&lt;","=",J_SUBDAY(J_ADDDAY(D75,N75+1,1),1,1)))=1,J_SUBDAY(J_ADDDAY(D75,N75+1,1),1,1),IF((N75+2-(NETWORKDAYS.INTL(J_GregorianDate(D75,1),J_GregorianDate(J_SUBDAY(J_ADDDAY(D75,N75+2,1),1,1),1),16,1)))+SUMIFS(Holieday[ok],Holieday[date],CONCATENATE("&gt;","=",D75),Holieday[date],CONCATENATE("&lt;","=",J_SUBDAY(J_ADDDAY(D75,N75+2,1),1,1)))-SUMIFS(Holieday[Friday],Holieday[date],CONCATENATE("&gt;","=",D75),Holieday[date],CONCATENATE("&lt;","=",J_SUBDAY(J_ADDDAY(D75,N75+2,1),1,1)))=2,J_SUBDAY(J_ADDDAY(D75,N75+2,1),1,1),IF((N75+3-(NETWORKDAYS.INTL(J_GregorianDate(D75,1),J_GregorianDate(J_SUBDAY(J_ADDDAY(D75,N75+3,1),1,1),1),16,1)))+SUMIFS(Holieday[ok],Holieday[date],CONCATENATE("&gt;","=",D75),Holieday[date],CONCATENATE("&lt;","=",J_SUBDAY(J_ADDDAY(D75,N75+3,1),1,1)))-SUMIFS(Holieday[Friday],Holieday[date],CONCATENATE("&gt;","=",D75),Holieday[date],CONCATENATE("&lt;","=",J_SUBDAY(J_ADDDAY(D75,N75+3,1),1,1)))=3,J_SUBDAY(J_ADDDAY(D75,N75+3,1),1,1),IF((N75+4-(NETWORKDAYS.INTL(J_GregorianDate(D75,1),J_GregorianDate(J_SUBDAY(J_ADDDAY(D75,N75+4,1),1,1),1),16,1)))+SUMIFS(Holieday[ok],Holieday[date],CONCATENATE("&gt;","=",D75),Holieday[date],CONCATENATE("&lt;","=",J_SUBDAY(J_ADDDAY(D75,N75+4,1),1,1)))-SUMIFS(Holieday[Friday],Holieday[date],CONCATENATE("&gt;","=",D75),Holieday[date],CONCATENATE("&lt;","=",J_SUBDAY(J_ADDDAY(D75,N75+4,1),1,1)))=4,J_SUBDAY(J_ADDDAY(D75,N75+4,1),1,1),IF((N75+5-(NETWORKDAYS.INTL(J_GregorianDate(D75,1),J_GregorianDate(J_SUBDAY(J_ADDDAY(D75,N75+5,1),1,1),1),16,1)))+SUMIFS(Holieday[ok],Holieday[date],CONCATENATE("&gt;","=",D75),Holieday[date],CONCATENATE("&lt;","=",J_SUBDAY(J_ADDDAY(D75,N75+5,1),1,1)))-SUMIFS(Holieday[Friday],Holieday[date],CONCATENATE("&gt;","=",D75),Holieday[date],CONCATENATE("&lt;","=",J_SUBDAY(J_ADDDAY(D75,N75+5,1),1,1)))=5,J_SUBDAY(J_ADDDAY(D75,N75+5,1),1,1),J_SUBDAY(J_ADDDAY(D75,N75+6,1),1,1))))))))</f>
        <v>1398/09/12</v>
      </c>
      <c r="G75" s="3">
        <f t="shared" si="24"/>
        <v>13980912</v>
      </c>
      <c r="H75" s="119">
        <v>1</v>
      </c>
      <c r="I75" s="120">
        <v>3.22</v>
      </c>
      <c r="J75" s="10">
        <f>j_WEEKDAY(D75,2)</f>
        <v>1</v>
      </c>
      <c r="K75" s="22">
        <f t="shared" si="25"/>
        <v>0</v>
      </c>
      <c r="L75" s="9">
        <f t="shared" si="26"/>
        <v>3</v>
      </c>
      <c r="M75" s="121">
        <v>0</v>
      </c>
      <c r="N75" s="118">
        <v>3</v>
      </c>
      <c r="O75" s="11">
        <f t="shared" si="27"/>
        <v>0</v>
      </c>
      <c r="P75" s="11">
        <f>VALUE(J_normdate(J_ADDDAY($D75,$O75,1)))</f>
        <v>13980910</v>
      </c>
      <c r="Q75" s="10">
        <f t="shared" si="28"/>
        <v>3</v>
      </c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  <c r="EQ75" s="8"/>
      <c r="ER75" s="8"/>
      <c r="ES75" s="8"/>
      <c r="ET75" s="8"/>
      <c r="EU75" s="8"/>
      <c r="EV75" s="8"/>
      <c r="EW75" s="8"/>
      <c r="EX75" s="8"/>
      <c r="EY75" s="8"/>
      <c r="EZ75" s="8"/>
      <c r="FA75" s="8"/>
      <c r="FB75" s="8"/>
      <c r="FC75" s="8"/>
      <c r="FD75" s="8"/>
      <c r="FE75" s="8"/>
      <c r="FF75" s="8"/>
      <c r="FG75" s="8"/>
      <c r="FH75" s="8"/>
      <c r="FI75" s="8"/>
      <c r="FJ75" s="8"/>
      <c r="FK75" s="8"/>
      <c r="FL75" s="8"/>
      <c r="FM75" s="8"/>
      <c r="FN75" s="8"/>
      <c r="FO75" s="8"/>
      <c r="FP75" s="8"/>
      <c r="FQ75" s="8"/>
      <c r="FR75" s="8"/>
      <c r="FS75" s="8"/>
      <c r="FT75" s="8"/>
      <c r="FU75" s="8"/>
      <c r="FV75" s="8"/>
      <c r="FW75" s="8"/>
      <c r="FX75" s="8"/>
      <c r="FY75" s="8"/>
      <c r="FZ75" s="8"/>
      <c r="GA75" s="8"/>
      <c r="GB75" s="8"/>
      <c r="GC75" s="8"/>
      <c r="GD75" s="8"/>
      <c r="GE75" s="8"/>
      <c r="GF75" s="8"/>
      <c r="GG75" s="8"/>
      <c r="GH75" s="8"/>
      <c r="GI75" s="8"/>
      <c r="GJ75" s="8"/>
      <c r="GK75" s="8"/>
      <c r="GL75" s="8"/>
      <c r="GM75" s="8"/>
      <c r="GN75" s="8"/>
      <c r="GO75" s="8"/>
      <c r="GP75" s="8"/>
      <c r="GQ75" s="8"/>
      <c r="GR75" s="8"/>
      <c r="GS75" s="8"/>
      <c r="GT75" s="8"/>
      <c r="GU75" s="8"/>
      <c r="GV75" s="8"/>
      <c r="GW75" s="8"/>
      <c r="GX75" s="8"/>
      <c r="GY75" s="8"/>
      <c r="GZ75" s="8"/>
      <c r="HA75" s="8"/>
      <c r="HB75" s="8"/>
      <c r="HC75" s="8"/>
      <c r="HD75" s="8"/>
      <c r="HE75" s="8"/>
      <c r="HF75" s="8"/>
      <c r="HG75" s="8"/>
      <c r="HH75" s="8"/>
      <c r="HI75" s="8"/>
      <c r="HJ75" s="8"/>
      <c r="HK75" s="8"/>
      <c r="HL75" s="8"/>
      <c r="HM75" s="8"/>
      <c r="HN75" s="8"/>
      <c r="HO75" s="8"/>
      <c r="HP75" s="8"/>
      <c r="HQ75" s="8"/>
      <c r="HR75" s="8"/>
      <c r="HS75" s="8"/>
      <c r="HT75" s="8"/>
      <c r="HU75" s="8"/>
      <c r="HV75" s="8"/>
      <c r="HW75" s="8"/>
      <c r="HX75" s="8"/>
      <c r="HY75" s="8"/>
      <c r="HZ75" s="8"/>
      <c r="IA75" s="8"/>
      <c r="IB75" s="8"/>
      <c r="IC75" s="8"/>
      <c r="ID75" s="8"/>
      <c r="IE75" s="8"/>
      <c r="IF75" s="8"/>
      <c r="IG75" s="8"/>
      <c r="IH75" s="8"/>
      <c r="II75" s="8"/>
      <c r="IJ75" s="8"/>
      <c r="IK75" s="8"/>
      <c r="IL75" s="8"/>
      <c r="IM75" s="8"/>
      <c r="IN75" s="8"/>
      <c r="IO75" s="8"/>
      <c r="IP75" s="8"/>
      <c r="IQ75" s="8"/>
      <c r="IR75" s="8"/>
      <c r="IS75" s="8"/>
      <c r="IT75" s="8"/>
      <c r="IU75" s="8"/>
      <c r="IV75" s="8"/>
      <c r="IW75" s="8"/>
      <c r="IX75" s="8"/>
      <c r="JA75" s="123"/>
      <c r="JB75" s="123"/>
      <c r="JC75" s="123"/>
      <c r="JD75" s="70"/>
    </row>
    <row r="76" spans="1:264" s="12" customFormat="1" ht="15.75" x14ac:dyDescent="0.45">
      <c r="A76" s="32">
        <v>3.25</v>
      </c>
      <c r="B76" s="116" t="s">
        <v>132</v>
      </c>
      <c r="C76" s="117" t="s">
        <v>79</v>
      </c>
      <c r="D76" s="8" t="str">
        <f>IF(OR(j_WEEKDAY(J_ADDDAY(VLOOKUP(I76,A:F,6,FALSE),H76,1),0)=6,SUMIFS(Holieday[ok],Holieday[date],J_ADDDAY(VLOOKUP(I76,A:F,6,FALSE),H76,1)))=FALSE(),J_ADDDAY(VLOOKUP(I76,A:F,6,FALSE),H76,1),IF(OR(j_WEEKDAY(J_ADDDAY(VLOOKUP(I76,A:F,6,FALSE),H76+1,1),0)=6,SUMIFS(Holieday[ok],Holieday[date],J_ADDDAY(VLOOKUP(I76,A:F,6,FALSE),H76+1,1)))=FALSE(),J_ADDDAY(VLOOKUP(I76,A:F,6,FALSE),H76+1,1),IF(OR(j_WEEKDAY(J_ADDDAY(VLOOKUP(I76,A:F,6,FALSE),H76+2,1),0)=6,SUMIFS(Holieday[ok],Holieday[date],J_ADDDAY(VLOOKUP(I76,A:F,6,FALSE),H76+2,1)))=FALSE(),J_ADDDAY(VLOOKUP(I76,A:F,6,FALSE),H76+2,1),IF(OR(j_WEEKDAY(J_ADDDAY(VLOOKUP(I76,A:F,6,FALSE),H76+3,1),0)=6,SUMIFS(Holieday[ok],Holieday[date],J_ADDDAY(VLOOKUP(I76,A:F,6,FALSE),H76+3,1)))=FALSE(),J_ADDDAY(VLOOKUP(I76,A:F,6,FALSE),H76+3,1),IF(OR(j_WEEKDAY(J_ADDDAY(VLOOKUP(I76,A:F,6,FALSE),H76+4,1),0)=6,SUMIFS(Holieday[ok],Holieday[date],J_ADDDAY(VLOOKUP(I76,A:F,6,FALSE),H76+4,1)))=FALSE(),J_ADDDAY(VLOOKUP(I76,A:F,6,FALSE),H76+4,1),J_ADDDAY(VLOOKUP(I76,A:F,6,FALSE),H76+5,1))))))</f>
        <v>1398/09/16</v>
      </c>
      <c r="E76" s="2">
        <f t="shared" si="23"/>
        <v>13980916</v>
      </c>
      <c r="F76" s="13" t="str">
        <f>IF(N76=0,J_SUBDAY(D76,1,1),IF((N76-(NETWORKDAYS.INTL(J_GregorianDate(D76,1),J_GregorianDate(J_SUBDAY(J_ADDDAY(D76,N76,1),1,1),1),16,1)))+SUMIFS(Holieday[ok],Holieday[date],CONCATENATE("&gt;","=",D76),Holieday[date],CONCATENATE("&lt;","=",J_SUBDAY(J_ADDDAY(D76,N76,1),1,1)))-SUMIFS(Holieday[Friday],Holieday[date],CONCATENATE("&gt;","=",D76),Holieday[date],CONCATENATE("&lt;","=",J_SUBDAY(J_ADDDAY(D76,N76,1),1,1)))=0,J_SUBDAY(J_ADDDAY(D76,N76,1),1,1),IF((N76+1-(NETWORKDAYS.INTL(J_GregorianDate(D76,1),J_GregorianDate(J_SUBDAY(J_ADDDAY(D76,N76+1,1),1,1),1),16,1)))+SUMIFS(Holieday[ok],Holieday[date],CONCATENATE("&gt;","=",D76),Holieday[date],CONCATENATE("&lt;","=",J_SUBDAY(J_ADDDAY(D76,N76+1,1),1,1)))-SUMIFS(Holieday[Friday],Holieday[date],CONCATENATE("&gt;","=",D76),Holieday[date],CONCATENATE("&lt;","=",J_SUBDAY(J_ADDDAY(D76,N76+1,1),1,1)))=1,J_SUBDAY(J_ADDDAY(D76,N76+1,1),1,1),IF((N76+2-(NETWORKDAYS.INTL(J_GregorianDate(D76,1),J_GregorianDate(J_SUBDAY(J_ADDDAY(D76,N76+2,1),1,1),1),16,1)))+SUMIFS(Holieday[ok],Holieday[date],CONCATENATE("&gt;","=",D76),Holieday[date],CONCATENATE("&lt;","=",J_SUBDAY(J_ADDDAY(D76,N76+2,1),1,1)))-SUMIFS(Holieday[Friday],Holieday[date],CONCATENATE("&gt;","=",D76),Holieday[date],CONCATENATE("&lt;","=",J_SUBDAY(J_ADDDAY(D76,N76+2,1),1,1)))=2,J_SUBDAY(J_ADDDAY(D76,N76+2,1),1,1),IF((N76+3-(NETWORKDAYS.INTL(J_GregorianDate(D76,1),J_GregorianDate(J_SUBDAY(J_ADDDAY(D76,N76+3,1),1,1),1),16,1)))+SUMIFS(Holieday[ok],Holieday[date],CONCATENATE("&gt;","=",D76),Holieday[date],CONCATENATE("&lt;","=",J_SUBDAY(J_ADDDAY(D76,N76+3,1),1,1)))-SUMIFS(Holieday[Friday],Holieday[date],CONCATENATE("&gt;","=",D76),Holieday[date],CONCATENATE("&lt;","=",J_SUBDAY(J_ADDDAY(D76,N76+3,1),1,1)))=3,J_SUBDAY(J_ADDDAY(D76,N76+3,1),1,1),IF((N76+4-(NETWORKDAYS.INTL(J_GregorianDate(D76,1),J_GregorianDate(J_SUBDAY(J_ADDDAY(D76,N76+4,1),1,1),1),16,1)))+SUMIFS(Holieday[ok],Holieday[date],CONCATENATE("&gt;","=",D76),Holieday[date],CONCATENATE("&lt;","=",J_SUBDAY(J_ADDDAY(D76,N76+4,1),1,1)))-SUMIFS(Holieday[Friday],Holieday[date],CONCATENATE("&gt;","=",D76),Holieday[date],CONCATENATE("&lt;","=",J_SUBDAY(J_ADDDAY(D76,N76+4,1),1,1)))=4,J_SUBDAY(J_ADDDAY(D76,N76+4,1),1,1),IF((N76+5-(NETWORKDAYS.INTL(J_GregorianDate(D76,1),J_GregorianDate(J_SUBDAY(J_ADDDAY(D76,N76+5,1),1,1),1),16,1)))+SUMIFS(Holieday[ok],Holieday[date],CONCATENATE("&gt;","=",D76),Holieday[date],CONCATENATE("&lt;","=",J_SUBDAY(J_ADDDAY(D76,N76+5,1),1,1)))-SUMIFS(Holieday[Friday],Holieday[date],CONCATENATE("&gt;","=",D76),Holieday[date],CONCATENATE("&lt;","=",J_SUBDAY(J_ADDDAY(D76,N76+5,1),1,1)))=5,J_SUBDAY(J_ADDDAY(D76,N76+5,1),1,1),J_SUBDAY(J_ADDDAY(D76,N76+6,1),1,1))))))))</f>
        <v>1398/09/20</v>
      </c>
      <c r="G76" s="3">
        <f t="shared" si="24"/>
        <v>13980920</v>
      </c>
      <c r="H76" s="119">
        <v>3</v>
      </c>
      <c r="I76" s="120">
        <v>3.24</v>
      </c>
      <c r="J76" s="10">
        <f>j_WEEKDAY(D76,2)</f>
        <v>0</v>
      </c>
      <c r="K76" s="22">
        <f t="shared" si="25"/>
        <v>0</v>
      </c>
      <c r="L76" s="9">
        <f t="shared" si="26"/>
        <v>5</v>
      </c>
      <c r="M76" s="121">
        <v>0</v>
      </c>
      <c r="N76" s="118">
        <v>5</v>
      </c>
      <c r="O76" s="11">
        <f t="shared" si="27"/>
        <v>0</v>
      </c>
      <c r="P76" s="11">
        <f>VALUE(J_normdate(J_ADDDAY($D76,$O76,1)))</f>
        <v>13980916</v>
      </c>
      <c r="Q76" s="10">
        <f t="shared" si="28"/>
        <v>5</v>
      </c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  <c r="ES76" s="8"/>
      <c r="ET76" s="8"/>
      <c r="EU76" s="8"/>
      <c r="EV76" s="8"/>
      <c r="EW76" s="8"/>
      <c r="EX76" s="8"/>
      <c r="EY76" s="8"/>
      <c r="EZ76" s="8"/>
      <c r="FA76" s="8"/>
      <c r="FB76" s="8"/>
      <c r="FC76" s="8"/>
      <c r="FD76" s="8"/>
      <c r="FE76" s="8"/>
      <c r="FF76" s="8"/>
      <c r="FG76" s="8"/>
      <c r="FH76" s="8"/>
      <c r="FI76" s="8"/>
      <c r="FJ76" s="8"/>
      <c r="FK76" s="8"/>
      <c r="FL76" s="8"/>
      <c r="FM76" s="8"/>
      <c r="FN76" s="8"/>
      <c r="FO76" s="8"/>
      <c r="FP76" s="8"/>
      <c r="FQ76" s="8"/>
      <c r="FR76" s="8"/>
      <c r="FS76" s="8"/>
      <c r="FT76" s="8"/>
      <c r="FU76" s="8"/>
      <c r="FV76" s="8"/>
      <c r="FW76" s="8"/>
      <c r="FX76" s="8"/>
      <c r="FY76" s="8"/>
      <c r="FZ76" s="8"/>
      <c r="GA76" s="8"/>
      <c r="GB76" s="8"/>
      <c r="GC76" s="8"/>
      <c r="GD76" s="8"/>
      <c r="GE76" s="8"/>
      <c r="GF76" s="8"/>
      <c r="GG76" s="8"/>
      <c r="GH76" s="8"/>
      <c r="GI76" s="8"/>
      <c r="GJ76" s="8"/>
      <c r="GK76" s="8"/>
      <c r="GL76" s="8"/>
      <c r="GM76" s="8"/>
      <c r="GN76" s="8"/>
      <c r="GO76" s="8"/>
      <c r="GP76" s="8"/>
      <c r="GQ76" s="8"/>
      <c r="GR76" s="8"/>
      <c r="GS76" s="8"/>
      <c r="GT76" s="8"/>
      <c r="GU76" s="8"/>
      <c r="GV76" s="8"/>
      <c r="GW76" s="8"/>
      <c r="GX76" s="8"/>
      <c r="GY76" s="8"/>
      <c r="GZ76" s="8"/>
      <c r="HA76" s="8"/>
      <c r="HB76" s="8"/>
      <c r="HC76" s="8"/>
      <c r="HD76" s="8"/>
      <c r="HE76" s="8"/>
      <c r="HF76" s="8"/>
      <c r="HG76" s="8"/>
      <c r="HH76" s="8"/>
      <c r="HI76" s="8"/>
      <c r="HJ76" s="8"/>
      <c r="HK76" s="8"/>
      <c r="HL76" s="8"/>
      <c r="HM76" s="8"/>
      <c r="HN76" s="8"/>
      <c r="HO76" s="8"/>
      <c r="HP76" s="8"/>
      <c r="HQ76" s="8"/>
      <c r="HR76" s="8"/>
      <c r="HS76" s="8"/>
      <c r="HT76" s="8"/>
      <c r="HU76" s="8"/>
      <c r="HV76" s="8"/>
      <c r="HW76" s="8"/>
      <c r="HX76" s="8"/>
      <c r="HY76" s="8"/>
      <c r="HZ76" s="8"/>
      <c r="IA76" s="8"/>
      <c r="IB76" s="8"/>
      <c r="IC76" s="8"/>
      <c r="ID76" s="8"/>
      <c r="IE76" s="8"/>
      <c r="IF76" s="8"/>
      <c r="IG76" s="8"/>
      <c r="IH76" s="8"/>
      <c r="II76" s="8"/>
      <c r="IJ76" s="8"/>
      <c r="IK76" s="8"/>
      <c r="IL76" s="8"/>
      <c r="IM76" s="8"/>
      <c r="IN76" s="8"/>
      <c r="IO76" s="8"/>
      <c r="IP76" s="8"/>
      <c r="IQ76" s="8"/>
      <c r="IR76" s="8"/>
      <c r="IS76" s="8"/>
      <c r="IT76" s="8"/>
      <c r="IU76" s="8"/>
      <c r="IV76" s="8"/>
      <c r="IW76" s="8"/>
      <c r="IX76" s="8"/>
      <c r="JA76" s="123"/>
      <c r="JB76" s="123"/>
      <c r="JC76" s="123"/>
      <c r="JD76" s="70"/>
    </row>
    <row r="77" spans="1:264" s="12" customFormat="1" ht="15.75" x14ac:dyDescent="0.45">
      <c r="A77" s="32">
        <v>3.26</v>
      </c>
      <c r="B77" s="116" t="s">
        <v>171</v>
      </c>
      <c r="C77" s="117" t="s">
        <v>111</v>
      </c>
      <c r="D77" s="8" t="str">
        <f>IF(OR(j_WEEKDAY(J_ADDDAY(VLOOKUP(I77,A:F,6,FALSE),H77,1),0)=6,SUMIFS(Holieday[ok],Holieday[date],J_ADDDAY(VLOOKUP(I77,A:F,6,FALSE),H77,1)))=FALSE(),J_ADDDAY(VLOOKUP(I77,A:F,6,FALSE),H77,1),IF(OR(j_WEEKDAY(J_ADDDAY(VLOOKUP(I77,A:F,6,FALSE),H77+1,1),0)=6,SUMIFS(Holieday[ok],Holieday[date],J_ADDDAY(VLOOKUP(I77,A:F,6,FALSE),H77+1,1)))=FALSE(),J_ADDDAY(VLOOKUP(I77,A:F,6,FALSE),H77+1,1),IF(OR(j_WEEKDAY(J_ADDDAY(VLOOKUP(I77,A:F,6,FALSE),H77+2,1),0)=6,SUMIFS(Holieday[ok],Holieday[date],J_ADDDAY(VLOOKUP(I77,A:F,6,FALSE),H77+2,1)))=FALSE(),J_ADDDAY(VLOOKUP(I77,A:F,6,FALSE),H77+2,1),IF(OR(j_WEEKDAY(J_ADDDAY(VLOOKUP(I77,A:F,6,FALSE),H77+3,1),0)=6,SUMIFS(Holieday[ok],Holieday[date],J_ADDDAY(VLOOKUP(I77,A:F,6,FALSE),H77+3,1)))=FALSE(),J_ADDDAY(VLOOKUP(I77,A:F,6,FALSE),H77+3,1),IF(OR(j_WEEKDAY(J_ADDDAY(VLOOKUP(I77,A:F,6,FALSE),H77+4,1),0)=6,SUMIFS(Holieday[ok],Holieday[date],J_ADDDAY(VLOOKUP(I77,A:F,6,FALSE),H77+4,1)))=FALSE(),J_ADDDAY(VLOOKUP(I77,A:F,6,FALSE),H77+4,1),J_ADDDAY(VLOOKUP(I77,A:F,6,FALSE),H77+5,1))))))</f>
        <v>1398/09/06</v>
      </c>
      <c r="E77" s="2">
        <f t="shared" si="23"/>
        <v>13980906</v>
      </c>
      <c r="F77" s="13" t="str">
        <f>IF(N77=0,J_SUBDAY(D77,1,1),IF((N77-(NETWORKDAYS.INTL(J_GregorianDate(D77,1),J_GregorianDate(J_SUBDAY(J_ADDDAY(D77,N77,1),1,1),1),16,1)))+SUMIFS(Holieday[ok],Holieday[date],CONCATENATE("&gt;","=",D77),Holieday[date],CONCATENATE("&lt;","=",J_SUBDAY(J_ADDDAY(D77,N77,1),1,1)))-SUMIFS(Holieday[Friday],Holieday[date],CONCATENATE("&gt;","=",D77),Holieday[date],CONCATENATE("&lt;","=",J_SUBDAY(J_ADDDAY(D77,N77,1),1,1)))=0,J_SUBDAY(J_ADDDAY(D77,N77,1),1,1),IF((N77+1-(NETWORKDAYS.INTL(J_GregorianDate(D77,1),J_GregorianDate(J_SUBDAY(J_ADDDAY(D77,N77+1,1),1,1),1),16,1)))+SUMIFS(Holieday[ok],Holieday[date],CONCATENATE("&gt;","=",D77),Holieday[date],CONCATENATE("&lt;","=",J_SUBDAY(J_ADDDAY(D77,N77+1,1),1,1)))-SUMIFS(Holieday[Friday],Holieday[date],CONCATENATE("&gt;","=",D77),Holieday[date],CONCATENATE("&lt;","=",J_SUBDAY(J_ADDDAY(D77,N77+1,1),1,1)))=1,J_SUBDAY(J_ADDDAY(D77,N77+1,1),1,1),IF((N77+2-(NETWORKDAYS.INTL(J_GregorianDate(D77,1),J_GregorianDate(J_SUBDAY(J_ADDDAY(D77,N77+2,1),1,1),1),16,1)))+SUMIFS(Holieday[ok],Holieday[date],CONCATENATE("&gt;","=",D77),Holieday[date],CONCATENATE("&lt;","=",J_SUBDAY(J_ADDDAY(D77,N77+2,1),1,1)))-SUMIFS(Holieday[Friday],Holieday[date],CONCATENATE("&gt;","=",D77),Holieday[date],CONCATENATE("&lt;","=",J_SUBDAY(J_ADDDAY(D77,N77+2,1),1,1)))=2,J_SUBDAY(J_ADDDAY(D77,N77+2,1),1,1),IF((N77+3-(NETWORKDAYS.INTL(J_GregorianDate(D77,1),J_GregorianDate(J_SUBDAY(J_ADDDAY(D77,N77+3,1),1,1),1),16,1)))+SUMIFS(Holieday[ok],Holieday[date],CONCATENATE("&gt;","=",D77),Holieday[date],CONCATENATE("&lt;","=",J_SUBDAY(J_ADDDAY(D77,N77+3,1),1,1)))-SUMIFS(Holieday[Friday],Holieday[date],CONCATENATE("&gt;","=",D77),Holieday[date],CONCATENATE("&lt;","=",J_SUBDAY(J_ADDDAY(D77,N77+3,1),1,1)))=3,J_SUBDAY(J_ADDDAY(D77,N77+3,1),1,1),IF((N77+4-(NETWORKDAYS.INTL(J_GregorianDate(D77,1),J_GregorianDate(J_SUBDAY(J_ADDDAY(D77,N77+4,1),1,1),1),16,1)))+SUMIFS(Holieday[ok],Holieday[date],CONCATENATE("&gt;","=",D77),Holieday[date],CONCATENATE("&lt;","=",J_SUBDAY(J_ADDDAY(D77,N77+4,1),1,1)))-SUMIFS(Holieday[Friday],Holieday[date],CONCATENATE("&gt;","=",D77),Holieday[date],CONCATENATE("&lt;","=",J_SUBDAY(J_ADDDAY(D77,N77+4,1),1,1)))=4,J_SUBDAY(J_ADDDAY(D77,N77+4,1),1,1),IF((N77+5-(NETWORKDAYS.INTL(J_GregorianDate(D77,1),J_GregorianDate(J_SUBDAY(J_ADDDAY(D77,N77+5,1),1,1),1),16,1)))+SUMIFS(Holieday[ok],Holieday[date],CONCATENATE("&gt;","=",D77),Holieday[date],CONCATENATE("&lt;","=",J_SUBDAY(J_ADDDAY(D77,N77+5,1),1,1)))-SUMIFS(Holieday[Friday],Holieday[date],CONCATENATE("&gt;","=",D77),Holieday[date],CONCATENATE("&lt;","=",J_SUBDAY(J_ADDDAY(D77,N77+5,1),1,1)))=5,J_SUBDAY(J_ADDDAY(D77,N77+5,1),1,1),J_SUBDAY(J_ADDDAY(D77,N77+6,1),1,1))))))))</f>
        <v>1398/09/11</v>
      </c>
      <c r="G77" s="3">
        <f t="shared" si="24"/>
        <v>13980911</v>
      </c>
      <c r="H77" s="119">
        <v>3</v>
      </c>
      <c r="I77" s="120">
        <v>3.23</v>
      </c>
      <c r="J77" s="10">
        <f>j_WEEKDAY(D77,2)</f>
        <v>4</v>
      </c>
      <c r="K77" s="22">
        <f t="shared" si="25"/>
        <v>0</v>
      </c>
      <c r="L77" s="9">
        <f t="shared" si="26"/>
        <v>6</v>
      </c>
      <c r="M77" s="121">
        <v>0</v>
      </c>
      <c r="N77" s="118">
        <v>5</v>
      </c>
      <c r="O77" s="11">
        <f t="shared" si="27"/>
        <v>0</v>
      </c>
      <c r="P77" s="11">
        <f>VALUE(J_normdate(J_ADDDAY($D77,$O77,1)))</f>
        <v>13980906</v>
      </c>
      <c r="Q77" s="10">
        <f t="shared" si="28"/>
        <v>6</v>
      </c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  <c r="ES77" s="8"/>
      <c r="ET77" s="8"/>
      <c r="EU77" s="8"/>
      <c r="EV77" s="8"/>
      <c r="EW77" s="8"/>
      <c r="EX77" s="8"/>
      <c r="EY77" s="8"/>
      <c r="EZ77" s="8"/>
      <c r="FA77" s="8"/>
      <c r="FB77" s="8"/>
      <c r="FC77" s="8"/>
      <c r="FD77" s="8"/>
      <c r="FE77" s="8"/>
      <c r="FF77" s="8"/>
      <c r="FG77" s="8"/>
      <c r="FH77" s="8"/>
      <c r="FI77" s="8"/>
      <c r="FJ77" s="8"/>
      <c r="FK77" s="8"/>
      <c r="FL77" s="8"/>
      <c r="FM77" s="8"/>
      <c r="FN77" s="8"/>
      <c r="FO77" s="8"/>
      <c r="FP77" s="8"/>
      <c r="FQ77" s="8"/>
      <c r="FR77" s="8"/>
      <c r="FS77" s="8"/>
      <c r="FT77" s="8"/>
      <c r="FU77" s="8"/>
      <c r="FV77" s="8"/>
      <c r="FW77" s="8"/>
      <c r="FX77" s="8"/>
      <c r="FY77" s="8"/>
      <c r="FZ77" s="8"/>
      <c r="GA77" s="8"/>
      <c r="GB77" s="8"/>
      <c r="GC77" s="8"/>
      <c r="GD77" s="8"/>
      <c r="GE77" s="8"/>
      <c r="GF77" s="8"/>
      <c r="GG77" s="8"/>
      <c r="GH77" s="8"/>
      <c r="GI77" s="8"/>
      <c r="GJ77" s="8"/>
      <c r="GK77" s="8"/>
      <c r="GL77" s="8"/>
      <c r="GM77" s="8"/>
      <c r="GN77" s="8"/>
      <c r="GO77" s="8"/>
      <c r="GP77" s="8"/>
      <c r="GQ77" s="8"/>
      <c r="GR77" s="8"/>
      <c r="GS77" s="8"/>
      <c r="GT77" s="8"/>
      <c r="GU77" s="8"/>
      <c r="GV77" s="8"/>
      <c r="GW77" s="8"/>
      <c r="GX77" s="8"/>
      <c r="GY77" s="8"/>
      <c r="GZ77" s="8"/>
      <c r="HA77" s="8"/>
      <c r="HB77" s="8"/>
      <c r="HC77" s="8"/>
      <c r="HD77" s="8"/>
      <c r="HE77" s="8"/>
      <c r="HF77" s="8"/>
      <c r="HG77" s="8"/>
      <c r="HH77" s="8"/>
      <c r="HI77" s="8"/>
      <c r="HJ77" s="8"/>
      <c r="HK77" s="8"/>
      <c r="HL77" s="8"/>
      <c r="HM77" s="8"/>
      <c r="HN77" s="8"/>
      <c r="HO77" s="8"/>
      <c r="HP77" s="8"/>
      <c r="HQ77" s="8"/>
      <c r="HR77" s="8"/>
      <c r="HS77" s="8"/>
      <c r="HT77" s="8"/>
      <c r="HU77" s="8"/>
      <c r="HV77" s="8"/>
      <c r="HW77" s="8"/>
      <c r="HX77" s="8"/>
      <c r="HY77" s="8"/>
      <c r="HZ77" s="8"/>
      <c r="IA77" s="8"/>
      <c r="IB77" s="8"/>
      <c r="IC77" s="8"/>
      <c r="ID77" s="8"/>
      <c r="IE77" s="8"/>
      <c r="IF77" s="8"/>
      <c r="IG77" s="8"/>
      <c r="IH77" s="8"/>
      <c r="II77" s="8"/>
      <c r="IJ77" s="8"/>
      <c r="IK77" s="8"/>
      <c r="IL77" s="8"/>
      <c r="IM77" s="8"/>
      <c r="IN77" s="8"/>
      <c r="IO77" s="8"/>
      <c r="IP77" s="8"/>
      <c r="IQ77" s="8"/>
      <c r="IR77" s="8"/>
      <c r="IS77" s="8"/>
      <c r="IT77" s="8"/>
      <c r="IU77" s="8"/>
      <c r="IV77" s="8"/>
      <c r="IW77" s="8"/>
      <c r="IX77" s="8"/>
      <c r="JA77" s="123"/>
      <c r="JB77" s="123"/>
      <c r="JC77" s="123"/>
      <c r="JD77" s="70"/>
    </row>
    <row r="78" spans="1:264" s="12" customFormat="1" ht="16.5" customHeight="1" x14ac:dyDescent="0.45">
      <c r="A78" s="32">
        <v>3.27</v>
      </c>
      <c r="B78" s="116" t="s">
        <v>172</v>
      </c>
      <c r="C78" s="117" t="s">
        <v>110</v>
      </c>
      <c r="D78" s="8" t="str">
        <f>IF(OR(j_WEEKDAY(J_ADDDAY(VLOOKUP(I78,A:F,6,FALSE),H78,1),0)=6,SUMIFS(Holieday[ok],Holieday[date],J_ADDDAY(VLOOKUP(I78,A:F,6,FALSE),H78,1)))=FALSE(),J_ADDDAY(VLOOKUP(I78,A:F,6,FALSE),H78,1),IF(OR(j_WEEKDAY(J_ADDDAY(VLOOKUP(I78,A:F,6,FALSE),H78+1,1),0)=6,SUMIFS(Holieday[ok],Holieday[date],J_ADDDAY(VLOOKUP(I78,A:F,6,FALSE),H78+1,1)))=FALSE(),J_ADDDAY(VLOOKUP(I78,A:F,6,FALSE),H78+1,1),IF(OR(j_WEEKDAY(J_ADDDAY(VLOOKUP(I78,A:F,6,FALSE),H78+2,1),0)=6,SUMIFS(Holieday[ok],Holieday[date],J_ADDDAY(VLOOKUP(I78,A:F,6,FALSE),H78+2,1)))=FALSE(),J_ADDDAY(VLOOKUP(I78,A:F,6,FALSE),H78+2,1),IF(OR(j_WEEKDAY(J_ADDDAY(VLOOKUP(I78,A:F,6,FALSE),H78+3,1),0)=6,SUMIFS(Holieday[ok],Holieday[date],J_ADDDAY(VLOOKUP(I78,A:F,6,FALSE),H78+3,1)))=FALSE(),J_ADDDAY(VLOOKUP(I78,A:F,6,FALSE),H78+3,1),IF(OR(j_WEEKDAY(J_ADDDAY(VLOOKUP(I78,A:F,6,FALSE),H78+4,1),0)=6,SUMIFS(Holieday[ok],Holieday[date],J_ADDDAY(VLOOKUP(I78,A:F,6,FALSE),H78+4,1)))=FALSE(),J_ADDDAY(VLOOKUP(I78,A:F,6,FALSE),H78+4,1),J_ADDDAY(VLOOKUP(I78,A:F,6,FALSE),H78+5,1))))))</f>
        <v>1398/09/14</v>
      </c>
      <c r="E78" s="2">
        <f t="shared" si="23"/>
        <v>13980914</v>
      </c>
      <c r="F78" s="13" t="str">
        <f>IF(N78=0,J_SUBDAY(D78,1,1),IF((N78-(NETWORKDAYS.INTL(J_GregorianDate(D78,1),J_GregorianDate(J_SUBDAY(J_ADDDAY(D78,N78,1),1,1),1),16,1)))+SUMIFS(Holieday[ok],Holieday[date],CONCATENATE("&gt;","=",D78),Holieday[date],CONCATENATE("&lt;","=",J_SUBDAY(J_ADDDAY(D78,N78,1),1,1)))-SUMIFS(Holieday[Friday],Holieday[date],CONCATENATE("&gt;","=",D78),Holieday[date],CONCATENATE("&lt;","=",J_SUBDAY(J_ADDDAY(D78,N78,1),1,1)))=0,J_SUBDAY(J_ADDDAY(D78,N78,1),1,1),IF((N78+1-(NETWORKDAYS.INTL(J_GregorianDate(D78,1),J_GregorianDate(J_SUBDAY(J_ADDDAY(D78,N78+1,1),1,1),1),16,1)))+SUMIFS(Holieday[ok],Holieday[date],CONCATENATE("&gt;","=",D78),Holieday[date],CONCATENATE("&lt;","=",J_SUBDAY(J_ADDDAY(D78,N78+1,1),1,1)))-SUMIFS(Holieday[Friday],Holieday[date],CONCATENATE("&gt;","=",D78),Holieday[date],CONCATENATE("&lt;","=",J_SUBDAY(J_ADDDAY(D78,N78+1,1),1,1)))=1,J_SUBDAY(J_ADDDAY(D78,N78+1,1),1,1),IF((N78+2-(NETWORKDAYS.INTL(J_GregorianDate(D78,1),J_GregorianDate(J_SUBDAY(J_ADDDAY(D78,N78+2,1),1,1),1),16,1)))+SUMIFS(Holieday[ok],Holieday[date],CONCATENATE("&gt;","=",D78),Holieday[date],CONCATENATE("&lt;","=",J_SUBDAY(J_ADDDAY(D78,N78+2,1),1,1)))-SUMIFS(Holieday[Friday],Holieday[date],CONCATENATE("&gt;","=",D78),Holieday[date],CONCATENATE("&lt;","=",J_SUBDAY(J_ADDDAY(D78,N78+2,1),1,1)))=2,J_SUBDAY(J_ADDDAY(D78,N78+2,1),1,1),IF((N78+3-(NETWORKDAYS.INTL(J_GregorianDate(D78,1),J_GregorianDate(J_SUBDAY(J_ADDDAY(D78,N78+3,1),1,1),1),16,1)))+SUMIFS(Holieday[ok],Holieday[date],CONCATENATE("&gt;","=",D78),Holieday[date],CONCATENATE("&lt;","=",J_SUBDAY(J_ADDDAY(D78,N78+3,1),1,1)))-SUMIFS(Holieday[Friday],Holieday[date],CONCATENATE("&gt;","=",D78),Holieday[date],CONCATENATE("&lt;","=",J_SUBDAY(J_ADDDAY(D78,N78+3,1),1,1)))=3,J_SUBDAY(J_ADDDAY(D78,N78+3,1),1,1),IF((N78+4-(NETWORKDAYS.INTL(J_GregorianDate(D78,1),J_GregorianDate(J_SUBDAY(J_ADDDAY(D78,N78+4,1),1,1),1),16,1)))+SUMIFS(Holieday[ok],Holieday[date],CONCATENATE("&gt;","=",D78),Holieday[date],CONCATENATE("&lt;","=",J_SUBDAY(J_ADDDAY(D78,N78+4,1),1,1)))-SUMIFS(Holieday[Friday],Holieday[date],CONCATENATE("&gt;","=",D78),Holieday[date],CONCATENATE("&lt;","=",J_SUBDAY(J_ADDDAY(D78,N78+4,1),1,1)))=4,J_SUBDAY(J_ADDDAY(D78,N78+4,1),1,1),IF((N78+5-(NETWORKDAYS.INTL(J_GregorianDate(D78,1),J_GregorianDate(J_SUBDAY(J_ADDDAY(D78,N78+5,1),1,1),1),16,1)))+SUMIFS(Holieday[ok],Holieday[date],CONCATENATE("&gt;","=",D78),Holieday[date],CONCATENATE("&lt;","=",J_SUBDAY(J_ADDDAY(D78,N78+5,1),1,1)))-SUMIFS(Holieday[Friday],Holieday[date],CONCATENATE("&gt;","=",D78),Holieday[date],CONCATENATE("&lt;","=",J_SUBDAY(J_ADDDAY(D78,N78+5,1),1,1)))=5,J_SUBDAY(J_ADDDAY(D78,N78+5,1),1,1),J_SUBDAY(J_ADDDAY(D78,N78+6,1),1,1))))))))</f>
        <v>1398/09/17</v>
      </c>
      <c r="G78" s="3">
        <f t="shared" si="24"/>
        <v>13980917</v>
      </c>
      <c r="H78" s="119">
        <v>3</v>
      </c>
      <c r="I78" s="120">
        <v>3.26</v>
      </c>
      <c r="J78" s="10">
        <f>j_WEEKDAY(D78,2)</f>
        <v>5</v>
      </c>
      <c r="K78" s="22">
        <f t="shared" si="25"/>
        <v>0</v>
      </c>
      <c r="L78" s="9">
        <f t="shared" si="26"/>
        <v>4</v>
      </c>
      <c r="M78" s="121">
        <v>0</v>
      </c>
      <c r="N78" s="118">
        <v>3</v>
      </c>
      <c r="O78" s="11">
        <f t="shared" si="27"/>
        <v>0</v>
      </c>
      <c r="P78" s="11">
        <f>VALUE(J_normdate(J_ADDDAY($D78,$O78,1)))</f>
        <v>13980914</v>
      </c>
      <c r="Q78" s="10">
        <f t="shared" si="28"/>
        <v>4</v>
      </c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  <c r="ES78" s="8"/>
      <c r="ET78" s="8"/>
      <c r="EU78" s="8"/>
      <c r="EV78" s="8"/>
      <c r="EW78" s="8"/>
      <c r="EX78" s="8"/>
      <c r="EY78" s="8"/>
      <c r="EZ78" s="8"/>
      <c r="FA78" s="8"/>
      <c r="FB78" s="8"/>
      <c r="FC78" s="8"/>
      <c r="FD78" s="8"/>
      <c r="FE78" s="8"/>
      <c r="FF78" s="8"/>
      <c r="FG78" s="8"/>
      <c r="FH78" s="8"/>
      <c r="FI78" s="8"/>
      <c r="FJ78" s="8"/>
      <c r="FK78" s="8"/>
      <c r="FL78" s="8"/>
      <c r="FM78" s="8"/>
      <c r="FN78" s="8"/>
      <c r="FO78" s="8"/>
      <c r="FP78" s="8"/>
      <c r="FQ78" s="8"/>
      <c r="FR78" s="8"/>
      <c r="FS78" s="8"/>
      <c r="FT78" s="8"/>
      <c r="FU78" s="8"/>
      <c r="FV78" s="8"/>
      <c r="FW78" s="8"/>
      <c r="FX78" s="8"/>
      <c r="FY78" s="8"/>
      <c r="FZ78" s="8"/>
      <c r="GA78" s="8"/>
      <c r="GB78" s="8"/>
      <c r="GC78" s="8"/>
      <c r="GD78" s="8"/>
      <c r="GE78" s="8"/>
      <c r="GF78" s="8"/>
      <c r="GG78" s="8"/>
      <c r="GH78" s="8"/>
      <c r="GI78" s="8"/>
      <c r="GJ78" s="8"/>
      <c r="GK78" s="8"/>
      <c r="GL78" s="8"/>
      <c r="GM78" s="8"/>
      <c r="GN78" s="8"/>
      <c r="GO78" s="8"/>
      <c r="GP78" s="8"/>
      <c r="GQ78" s="8"/>
      <c r="GR78" s="8"/>
      <c r="GS78" s="8"/>
      <c r="GT78" s="8"/>
      <c r="GU78" s="8"/>
      <c r="GV78" s="8"/>
      <c r="GW78" s="8"/>
      <c r="GX78" s="8"/>
      <c r="GY78" s="8"/>
      <c r="GZ78" s="8"/>
      <c r="HA78" s="8"/>
      <c r="HB78" s="8"/>
      <c r="HC78" s="8"/>
      <c r="HD78" s="8"/>
      <c r="HE78" s="8"/>
      <c r="HF78" s="8"/>
      <c r="HG78" s="8"/>
      <c r="HH78" s="8"/>
      <c r="HI78" s="8"/>
      <c r="HJ78" s="8"/>
      <c r="HK78" s="8"/>
      <c r="HL78" s="8"/>
      <c r="HM78" s="8"/>
      <c r="HN78" s="8"/>
      <c r="HO78" s="8"/>
      <c r="HP78" s="8"/>
      <c r="HQ78" s="8"/>
      <c r="HR78" s="8"/>
      <c r="HS78" s="8"/>
      <c r="HT78" s="8"/>
      <c r="HU78" s="8"/>
      <c r="HV78" s="8"/>
      <c r="HW78" s="8"/>
      <c r="HX78" s="8"/>
      <c r="HY78" s="8"/>
      <c r="HZ78" s="8"/>
      <c r="IA78" s="8"/>
      <c r="IB78" s="8"/>
      <c r="IC78" s="8"/>
      <c r="ID78" s="8"/>
      <c r="IE78" s="8"/>
      <c r="IF78" s="8"/>
      <c r="IG78" s="8"/>
      <c r="IH78" s="8"/>
      <c r="II78" s="8"/>
      <c r="IJ78" s="8"/>
      <c r="IK78" s="8"/>
      <c r="IL78" s="8"/>
      <c r="IM78" s="8"/>
      <c r="IN78" s="8"/>
      <c r="IO78" s="8"/>
      <c r="IP78" s="8"/>
      <c r="IQ78" s="8"/>
      <c r="IR78" s="8"/>
      <c r="IS78" s="8"/>
      <c r="IT78" s="8"/>
      <c r="IU78" s="8"/>
      <c r="IV78" s="8"/>
      <c r="IW78" s="8"/>
      <c r="IX78" s="8"/>
      <c r="JA78" s="123"/>
      <c r="JB78" s="123"/>
      <c r="JC78" s="123"/>
      <c r="JD78" s="70"/>
    </row>
    <row r="79" spans="1:264" s="12" customFormat="1" ht="15.75" hidden="1" x14ac:dyDescent="0.45">
      <c r="A79" s="32">
        <v>3.28</v>
      </c>
      <c r="B79" s="116"/>
      <c r="C79" s="117"/>
      <c r="D79" s="8" t="str">
        <f>IF(OR(j_WEEKDAY(J_ADDDAY(VLOOKUP(I79,A:F,6,FALSE),H79,1),0)=6,SUMIFS(Holieday[ok],Holieday[date],J_ADDDAY(VLOOKUP(I79,A:F,6,FALSE),H79,1)))=FALSE(),J_ADDDAY(VLOOKUP(I79,A:F,6,FALSE),H79,1),IF(OR(j_WEEKDAY(J_ADDDAY(VLOOKUP(I79,A:F,6,FALSE),H79+1,1),0)=6,SUMIFS(Holieday[ok],Holieday[date],J_ADDDAY(VLOOKUP(I79,A:F,6,FALSE),H79+1,1)))=FALSE(),J_ADDDAY(VLOOKUP(I79,A:F,6,FALSE),H79+1,1),IF(OR(j_WEEKDAY(J_ADDDAY(VLOOKUP(I79,A:F,6,FALSE),H79+2,1),0)=6,SUMIFS(Holieday[ok],Holieday[date],J_ADDDAY(VLOOKUP(I79,A:F,6,FALSE),H79+2,1)))=FALSE(),J_ADDDAY(VLOOKUP(I79,A:F,6,FALSE),H79+2,1),IF(OR(j_WEEKDAY(J_ADDDAY(VLOOKUP(I79,A:F,6,FALSE),H79+3,1),0)=6,SUMIFS(Holieday[ok],Holieday[date],J_ADDDAY(VLOOKUP(I79,A:F,6,FALSE),H79+3,1)))=FALSE(),J_ADDDAY(VLOOKUP(I79,A:F,6,FALSE),H79+3,1),IF(OR(j_WEEKDAY(J_ADDDAY(VLOOKUP(I79,A:F,6,FALSE),H79+4,1),0)=6,SUMIFS(Holieday[ok],Holieday[date],J_ADDDAY(VLOOKUP(I79,A:F,6,FALSE),H79+4,1)))=FALSE(),J_ADDDAY(VLOOKUP(I79,A:F,6,FALSE),H79+4,1),J_ADDDAY(VLOOKUP(I79,A:F,6,FALSE),H79+5,1))))))</f>
        <v>1398/09/12</v>
      </c>
      <c r="E79" s="2">
        <f t="shared" si="23"/>
        <v>13980912</v>
      </c>
      <c r="F79" s="13" t="str">
        <f>IF(N79=0,J_SUBDAY(D79,1,1),IF((N79-(NETWORKDAYS.INTL(J_GregorianDate(D79,1),J_GregorianDate(J_SUBDAY(J_ADDDAY(D79,N79,1),1,1),1),16,1)))+SUMIFS(Holieday[ok],Holieday[date],CONCATENATE("&gt;","=",D79),Holieday[date],CONCATENATE("&lt;","=",J_SUBDAY(J_ADDDAY(D79,N79,1),1,1)))-SUMIFS(Holieday[Friday],Holieday[date],CONCATENATE("&gt;","=",D79),Holieday[date],CONCATENATE("&lt;","=",J_SUBDAY(J_ADDDAY(D79,N79,1),1,1)))=0,J_SUBDAY(J_ADDDAY(D79,N79,1),1,1),IF((N79+1-(NETWORKDAYS.INTL(J_GregorianDate(D79,1),J_GregorianDate(J_SUBDAY(J_ADDDAY(D79,N79+1,1),1,1),1),16,1)))+SUMIFS(Holieday[ok],Holieday[date],CONCATENATE("&gt;","=",D79),Holieday[date],CONCATENATE("&lt;","=",J_SUBDAY(J_ADDDAY(D79,N79+1,1),1,1)))-SUMIFS(Holieday[Friday],Holieday[date],CONCATENATE("&gt;","=",D79),Holieday[date],CONCATENATE("&lt;","=",J_SUBDAY(J_ADDDAY(D79,N79+1,1),1,1)))=1,J_SUBDAY(J_ADDDAY(D79,N79+1,1),1,1),IF((N79+2-(NETWORKDAYS.INTL(J_GregorianDate(D79,1),J_GregorianDate(J_SUBDAY(J_ADDDAY(D79,N79+2,1),1,1),1),16,1)))+SUMIFS(Holieday[ok],Holieday[date],CONCATENATE("&gt;","=",D79),Holieday[date],CONCATENATE("&lt;","=",J_SUBDAY(J_ADDDAY(D79,N79+2,1),1,1)))-SUMIFS(Holieday[Friday],Holieday[date],CONCATENATE("&gt;","=",D79),Holieday[date],CONCATENATE("&lt;","=",J_SUBDAY(J_ADDDAY(D79,N79+2,1),1,1)))=2,J_SUBDAY(J_ADDDAY(D79,N79+2,1),1,1),IF((N79+3-(NETWORKDAYS.INTL(J_GregorianDate(D79,1),J_GregorianDate(J_SUBDAY(J_ADDDAY(D79,N79+3,1),1,1),1),16,1)))+SUMIFS(Holieday[ok],Holieday[date],CONCATENATE("&gt;","=",D79),Holieday[date],CONCATENATE("&lt;","=",J_SUBDAY(J_ADDDAY(D79,N79+3,1),1,1)))-SUMIFS(Holieday[Friday],Holieday[date],CONCATENATE("&gt;","=",D79),Holieday[date],CONCATENATE("&lt;","=",J_SUBDAY(J_ADDDAY(D79,N79+3,1),1,1)))=3,J_SUBDAY(J_ADDDAY(D79,N79+3,1),1,1),IF((N79+4-(NETWORKDAYS.INTL(J_GregorianDate(D79,1),J_GregorianDate(J_SUBDAY(J_ADDDAY(D79,N79+4,1),1,1),1),16,1)))+SUMIFS(Holieday[ok],Holieday[date],CONCATENATE("&gt;","=",D79),Holieday[date],CONCATENATE("&lt;","=",J_SUBDAY(J_ADDDAY(D79,N79+4,1),1,1)))-SUMIFS(Holieday[Friday],Holieday[date],CONCATENATE("&gt;","=",D79),Holieday[date],CONCATENATE("&lt;","=",J_SUBDAY(J_ADDDAY(D79,N79+4,1),1,1)))=4,J_SUBDAY(J_ADDDAY(D79,N79+4,1),1,1),IF((N79+5-(NETWORKDAYS.INTL(J_GregorianDate(D79,1),J_GregorianDate(J_SUBDAY(J_ADDDAY(D79,N79+5,1),1,1),1),16,1)))+SUMIFS(Holieday[ok],Holieday[date],CONCATENATE("&gt;","=",D79),Holieday[date],CONCATENATE("&lt;","=",J_SUBDAY(J_ADDDAY(D79,N79+5,1),1,1)))-SUMIFS(Holieday[Friday],Holieday[date],CONCATENATE("&gt;","=",D79),Holieday[date],CONCATENATE("&lt;","=",J_SUBDAY(J_ADDDAY(D79,N79+5,1),1,1)))=5,J_SUBDAY(J_ADDDAY(D79,N79+5,1),1,1),J_SUBDAY(J_ADDDAY(D79,N79+6,1),1,1))))))))</f>
        <v>1398/09/11</v>
      </c>
      <c r="G79" s="3">
        <f t="shared" si="24"/>
        <v>13980911</v>
      </c>
      <c r="H79" s="119">
        <v>1</v>
      </c>
      <c r="I79" s="120">
        <v>3.26</v>
      </c>
      <c r="J79" s="10">
        <f>j_WEEKDAY(D79,2)</f>
        <v>3</v>
      </c>
      <c r="K79" s="22">
        <f t="shared" si="25"/>
        <v>0</v>
      </c>
      <c r="L79" s="9">
        <f t="shared" si="26"/>
        <v>0</v>
      </c>
      <c r="M79" s="121">
        <v>0</v>
      </c>
      <c r="N79" s="118">
        <v>0</v>
      </c>
      <c r="O79" s="11">
        <f t="shared" si="27"/>
        <v>0</v>
      </c>
      <c r="P79" s="11">
        <f>VALUE(J_normdate(J_ADDDAY($D79,$O79,1)))</f>
        <v>13980912</v>
      </c>
      <c r="Q79" s="10">
        <f t="shared" si="28"/>
        <v>0</v>
      </c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  <c r="ES79" s="8"/>
      <c r="ET79" s="8"/>
      <c r="EU79" s="8"/>
      <c r="EV79" s="8"/>
      <c r="EW79" s="8"/>
      <c r="EX79" s="8"/>
      <c r="EY79" s="8"/>
      <c r="EZ79" s="8"/>
      <c r="FA79" s="8"/>
      <c r="FB79" s="8"/>
      <c r="FC79" s="8"/>
      <c r="FD79" s="8"/>
      <c r="FE79" s="8"/>
      <c r="FF79" s="8"/>
      <c r="FG79" s="8"/>
      <c r="FH79" s="8"/>
      <c r="FI79" s="8"/>
      <c r="FJ79" s="8"/>
      <c r="FK79" s="8"/>
      <c r="FL79" s="8"/>
      <c r="FM79" s="8"/>
      <c r="FN79" s="8"/>
      <c r="FO79" s="8"/>
      <c r="FP79" s="8"/>
      <c r="FQ79" s="8"/>
      <c r="FR79" s="8"/>
      <c r="FS79" s="8"/>
      <c r="FT79" s="8"/>
      <c r="FU79" s="8"/>
      <c r="FV79" s="8"/>
      <c r="FW79" s="8"/>
      <c r="FX79" s="8"/>
      <c r="FY79" s="8"/>
      <c r="FZ79" s="8"/>
      <c r="GA79" s="8"/>
      <c r="GB79" s="8"/>
      <c r="GC79" s="8"/>
      <c r="GD79" s="8"/>
      <c r="GE79" s="8"/>
      <c r="GF79" s="8"/>
      <c r="GG79" s="8"/>
      <c r="GH79" s="8"/>
      <c r="GI79" s="8"/>
      <c r="GJ79" s="8"/>
      <c r="GK79" s="8"/>
      <c r="GL79" s="8"/>
      <c r="GM79" s="8"/>
      <c r="GN79" s="8"/>
      <c r="GO79" s="8"/>
      <c r="GP79" s="8"/>
      <c r="GQ79" s="8"/>
      <c r="GR79" s="8"/>
      <c r="GS79" s="8"/>
      <c r="GT79" s="8"/>
      <c r="GU79" s="8"/>
      <c r="GV79" s="8"/>
      <c r="GW79" s="8"/>
      <c r="GX79" s="8"/>
      <c r="GY79" s="8"/>
      <c r="GZ79" s="8"/>
      <c r="HA79" s="8"/>
      <c r="HB79" s="8"/>
      <c r="HC79" s="8"/>
      <c r="HD79" s="8"/>
      <c r="HE79" s="8"/>
      <c r="HF79" s="8"/>
      <c r="HG79" s="8"/>
      <c r="HH79" s="8"/>
      <c r="HI79" s="8"/>
      <c r="HJ79" s="8"/>
      <c r="HK79" s="8"/>
      <c r="HL79" s="8"/>
      <c r="HM79" s="8"/>
      <c r="HN79" s="8"/>
      <c r="HO79" s="8"/>
      <c r="HP79" s="8"/>
      <c r="HQ79" s="8"/>
      <c r="HR79" s="8"/>
      <c r="HS79" s="8"/>
      <c r="HT79" s="8"/>
      <c r="HU79" s="8"/>
      <c r="HV79" s="8"/>
      <c r="HW79" s="8"/>
      <c r="HX79" s="8"/>
      <c r="HY79" s="8"/>
      <c r="HZ79" s="8"/>
      <c r="IA79" s="8"/>
      <c r="IB79" s="8"/>
      <c r="IC79" s="8"/>
      <c r="ID79" s="8"/>
      <c r="IE79" s="8"/>
      <c r="IF79" s="8"/>
      <c r="IG79" s="8"/>
      <c r="IH79" s="8"/>
      <c r="II79" s="8"/>
      <c r="IJ79" s="8"/>
      <c r="IK79" s="8"/>
      <c r="IL79" s="8"/>
      <c r="IM79" s="8"/>
      <c r="IN79" s="8"/>
      <c r="IO79" s="8"/>
      <c r="IP79" s="8"/>
      <c r="IQ79" s="8"/>
      <c r="IR79" s="8"/>
      <c r="IS79" s="8"/>
      <c r="IT79" s="8"/>
      <c r="IU79" s="8"/>
      <c r="IV79" s="8"/>
      <c r="IW79" s="8"/>
      <c r="IX79" s="8"/>
      <c r="JA79" s="123"/>
      <c r="JB79" s="123"/>
      <c r="JC79" s="123"/>
      <c r="JD79" s="70"/>
    </row>
    <row r="80" spans="1:264" s="12" customFormat="1" ht="15.75" hidden="1" x14ac:dyDescent="0.45">
      <c r="A80" s="32">
        <v>3.29</v>
      </c>
      <c r="B80" s="116"/>
      <c r="C80" s="117"/>
      <c r="D80" s="8" t="str">
        <f>IF(OR(j_WEEKDAY(J_ADDDAY(VLOOKUP(I80,A:F,6,FALSE),H80,1),0)=6,SUMIFS(Holieday[ok],Holieday[date],J_ADDDAY(VLOOKUP(I80,A:F,6,FALSE),H80,1)))=FALSE(),J_ADDDAY(VLOOKUP(I80,A:F,6,FALSE),H80,1),IF(OR(j_WEEKDAY(J_ADDDAY(VLOOKUP(I80,A:F,6,FALSE),H80+1,1),0)=6,SUMIFS(Holieday[ok],Holieday[date],J_ADDDAY(VLOOKUP(I80,A:F,6,FALSE),H80+1,1)))=FALSE(),J_ADDDAY(VLOOKUP(I80,A:F,6,FALSE),H80+1,1),IF(OR(j_WEEKDAY(J_ADDDAY(VLOOKUP(I80,A:F,6,FALSE),H80+2,1),0)=6,SUMIFS(Holieday[ok],Holieday[date],J_ADDDAY(VLOOKUP(I80,A:F,6,FALSE),H80+2,1)))=FALSE(),J_ADDDAY(VLOOKUP(I80,A:F,6,FALSE),H80+2,1),IF(OR(j_WEEKDAY(J_ADDDAY(VLOOKUP(I80,A:F,6,FALSE),H80+3,1),0)=6,SUMIFS(Holieday[ok],Holieday[date],J_ADDDAY(VLOOKUP(I80,A:F,6,FALSE),H80+3,1)))=FALSE(),J_ADDDAY(VLOOKUP(I80,A:F,6,FALSE),H80+3,1),IF(OR(j_WEEKDAY(J_ADDDAY(VLOOKUP(I80,A:F,6,FALSE),H80+4,1),0)=6,SUMIFS(Holieday[ok],Holieday[date],J_ADDDAY(VLOOKUP(I80,A:F,6,FALSE),H80+4,1)))=FALSE(),J_ADDDAY(VLOOKUP(I80,A:F,6,FALSE),H80+4,1),J_ADDDAY(VLOOKUP(I80,A:F,6,FALSE),H80+5,1))))))</f>
        <v>1398/09/12</v>
      </c>
      <c r="E80" s="2">
        <f t="shared" si="23"/>
        <v>13980912</v>
      </c>
      <c r="F80" s="13" t="str">
        <f>IF(N80=0,J_SUBDAY(D80,1,1),IF((N80-(NETWORKDAYS.INTL(J_GregorianDate(D80,1),J_GregorianDate(J_SUBDAY(J_ADDDAY(D80,N80,1),1,1),1),16,1)))+SUMIFS(Holieday[ok],Holieday[date],CONCATENATE("&gt;","=",D80),Holieday[date],CONCATENATE("&lt;","=",J_SUBDAY(J_ADDDAY(D80,N80,1),1,1)))-SUMIFS(Holieday[Friday],Holieday[date],CONCATENATE("&gt;","=",D80),Holieday[date],CONCATENATE("&lt;","=",J_SUBDAY(J_ADDDAY(D80,N80,1),1,1)))=0,J_SUBDAY(J_ADDDAY(D80,N80,1),1,1),IF((N80+1-(NETWORKDAYS.INTL(J_GregorianDate(D80,1),J_GregorianDate(J_SUBDAY(J_ADDDAY(D80,N80+1,1),1,1),1),16,1)))+SUMIFS(Holieday[ok],Holieday[date],CONCATENATE("&gt;","=",D80),Holieday[date],CONCATENATE("&lt;","=",J_SUBDAY(J_ADDDAY(D80,N80+1,1),1,1)))-SUMIFS(Holieday[Friday],Holieday[date],CONCATENATE("&gt;","=",D80),Holieday[date],CONCATENATE("&lt;","=",J_SUBDAY(J_ADDDAY(D80,N80+1,1),1,1)))=1,J_SUBDAY(J_ADDDAY(D80,N80+1,1),1,1),IF((N80+2-(NETWORKDAYS.INTL(J_GregorianDate(D80,1),J_GregorianDate(J_SUBDAY(J_ADDDAY(D80,N80+2,1),1,1),1),16,1)))+SUMIFS(Holieday[ok],Holieday[date],CONCATENATE("&gt;","=",D80),Holieday[date],CONCATENATE("&lt;","=",J_SUBDAY(J_ADDDAY(D80,N80+2,1),1,1)))-SUMIFS(Holieday[Friday],Holieday[date],CONCATENATE("&gt;","=",D80),Holieday[date],CONCATENATE("&lt;","=",J_SUBDAY(J_ADDDAY(D80,N80+2,1),1,1)))=2,J_SUBDAY(J_ADDDAY(D80,N80+2,1),1,1),IF((N80+3-(NETWORKDAYS.INTL(J_GregorianDate(D80,1),J_GregorianDate(J_SUBDAY(J_ADDDAY(D80,N80+3,1),1,1),1),16,1)))+SUMIFS(Holieday[ok],Holieday[date],CONCATENATE("&gt;","=",D80),Holieday[date],CONCATENATE("&lt;","=",J_SUBDAY(J_ADDDAY(D80,N80+3,1),1,1)))-SUMIFS(Holieday[Friday],Holieday[date],CONCATENATE("&gt;","=",D80),Holieday[date],CONCATENATE("&lt;","=",J_SUBDAY(J_ADDDAY(D80,N80+3,1),1,1)))=3,J_SUBDAY(J_ADDDAY(D80,N80+3,1),1,1),IF((N80+4-(NETWORKDAYS.INTL(J_GregorianDate(D80,1),J_GregorianDate(J_SUBDAY(J_ADDDAY(D80,N80+4,1),1,1),1),16,1)))+SUMIFS(Holieday[ok],Holieday[date],CONCATENATE("&gt;","=",D80),Holieday[date],CONCATENATE("&lt;","=",J_SUBDAY(J_ADDDAY(D80,N80+4,1),1,1)))-SUMIFS(Holieday[Friday],Holieday[date],CONCATENATE("&gt;","=",D80),Holieday[date],CONCATENATE("&lt;","=",J_SUBDAY(J_ADDDAY(D80,N80+4,1),1,1)))=4,J_SUBDAY(J_ADDDAY(D80,N80+4,1),1,1),IF((N80+5-(NETWORKDAYS.INTL(J_GregorianDate(D80,1),J_GregorianDate(J_SUBDAY(J_ADDDAY(D80,N80+5,1),1,1),1),16,1)))+SUMIFS(Holieday[ok],Holieday[date],CONCATENATE("&gt;","=",D80),Holieday[date],CONCATENATE("&lt;","=",J_SUBDAY(J_ADDDAY(D80,N80+5,1),1,1)))-SUMIFS(Holieday[Friday],Holieday[date],CONCATENATE("&gt;","=",D80),Holieday[date],CONCATENATE("&lt;","=",J_SUBDAY(J_ADDDAY(D80,N80+5,1),1,1)))=5,J_SUBDAY(J_ADDDAY(D80,N80+5,1),1,1),J_SUBDAY(J_ADDDAY(D80,N80+6,1),1,1))))))))</f>
        <v>1398/09/11</v>
      </c>
      <c r="G80" s="3">
        <f t="shared" si="24"/>
        <v>13980911</v>
      </c>
      <c r="H80" s="119">
        <v>1</v>
      </c>
      <c r="I80" s="120">
        <v>3.28</v>
      </c>
      <c r="J80" s="10">
        <f>j_WEEKDAY(D80,2)</f>
        <v>3</v>
      </c>
      <c r="K80" s="22">
        <f t="shared" si="25"/>
        <v>0</v>
      </c>
      <c r="L80" s="9">
        <f t="shared" si="26"/>
        <v>0</v>
      </c>
      <c r="M80" s="121">
        <v>0</v>
      </c>
      <c r="N80" s="118">
        <v>0</v>
      </c>
      <c r="O80" s="11">
        <f t="shared" si="27"/>
        <v>0</v>
      </c>
      <c r="P80" s="11">
        <f>VALUE(J_normdate(J_ADDDAY($D80,$O80,1)))</f>
        <v>13980912</v>
      </c>
      <c r="Q80" s="10">
        <f t="shared" si="28"/>
        <v>0</v>
      </c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  <c r="FZ80" s="8"/>
      <c r="GA80" s="8"/>
      <c r="GB80" s="8"/>
      <c r="GC80" s="8"/>
      <c r="GD80" s="8"/>
      <c r="GE80" s="8"/>
      <c r="GF80" s="8"/>
      <c r="GG80" s="8"/>
      <c r="GH80" s="8"/>
      <c r="GI80" s="8"/>
      <c r="GJ80" s="8"/>
      <c r="GK80" s="8"/>
      <c r="GL80" s="8"/>
      <c r="GM80" s="8"/>
      <c r="GN80" s="8"/>
      <c r="GO80" s="8"/>
      <c r="GP80" s="8"/>
      <c r="GQ80" s="8"/>
      <c r="GR80" s="8"/>
      <c r="GS80" s="8"/>
      <c r="GT80" s="8"/>
      <c r="GU80" s="8"/>
      <c r="GV80" s="8"/>
      <c r="GW80" s="8"/>
      <c r="GX80" s="8"/>
      <c r="GY80" s="8"/>
      <c r="GZ80" s="8"/>
      <c r="HA80" s="8"/>
      <c r="HB80" s="8"/>
      <c r="HC80" s="8"/>
      <c r="HD80" s="8"/>
      <c r="HE80" s="8"/>
      <c r="HF80" s="8"/>
      <c r="HG80" s="8"/>
      <c r="HH80" s="8"/>
      <c r="HI80" s="8"/>
      <c r="HJ80" s="8"/>
      <c r="HK80" s="8"/>
      <c r="HL80" s="8"/>
      <c r="HM80" s="8"/>
      <c r="HN80" s="8"/>
      <c r="HO80" s="8"/>
      <c r="HP80" s="8"/>
      <c r="HQ80" s="8"/>
      <c r="HR80" s="8"/>
      <c r="HS80" s="8"/>
      <c r="HT80" s="8"/>
      <c r="HU80" s="8"/>
      <c r="HV80" s="8"/>
      <c r="HW80" s="8"/>
      <c r="HX80" s="8"/>
      <c r="HY80" s="8"/>
      <c r="HZ80" s="8"/>
      <c r="IA80" s="8"/>
      <c r="IB80" s="8"/>
      <c r="IC80" s="8"/>
      <c r="ID80" s="8"/>
      <c r="IE80" s="8"/>
      <c r="IF80" s="8"/>
      <c r="IG80" s="8"/>
      <c r="IH80" s="8"/>
      <c r="II80" s="8"/>
      <c r="IJ80" s="8"/>
      <c r="IK80" s="8"/>
      <c r="IL80" s="8"/>
      <c r="IM80" s="8"/>
      <c r="IN80" s="8"/>
      <c r="IO80" s="8"/>
      <c r="IP80" s="8"/>
      <c r="IQ80" s="8"/>
      <c r="IR80" s="8"/>
      <c r="IS80" s="8"/>
      <c r="IT80" s="8"/>
      <c r="IU80" s="8"/>
      <c r="IV80" s="8"/>
      <c r="IW80" s="8"/>
      <c r="IX80" s="8"/>
      <c r="JA80" s="123"/>
      <c r="JB80" s="123"/>
      <c r="JC80" s="123"/>
      <c r="JD80" s="70"/>
    </row>
    <row r="81" spans="1:264" s="12" customFormat="1" ht="15.75" hidden="1" x14ac:dyDescent="0.45">
      <c r="A81" s="32">
        <v>3.31</v>
      </c>
      <c r="B81" s="116"/>
      <c r="C81" s="117"/>
      <c r="D81" s="8" t="str">
        <f>IF(OR(j_WEEKDAY(J_ADDDAY(VLOOKUP(I81,A:F,6,FALSE),H81,1),0)=6,SUMIFS(Holieday[ok],Holieday[date],J_ADDDAY(VLOOKUP(I81,A:F,6,FALSE),H81,1)))=FALSE(),J_ADDDAY(VLOOKUP(I81,A:F,6,FALSE),H81,1),IF(OR(j_WEEKDAY(J_ADDDAY(VLOOKUP(I81,A:F,6,FALSE),H81+1,1),0)=6,SUMIFS(Holieday[ok],Holieday[date],J_ADDDAY(VLOOKUP(I81,A:F,6,FALSE),H81+1,1)))=FALSE(),J_ADDDAY(VLOOKUP(I81,A:F,6,FALSE),H81+1,1),IF(OR(j_WEEKDAY(J_ADDDAY(VLOOKUP(I81,A:F,6,FALSE),H81+2,1),0)=6,SUMIFS(Holieday[ok],Holieday[date],J_ADDDAY(VLOOKUP(I81,A:F,6,FALSE),H81+2,1)))=FALSE(),J_ADDDAY(VLOOKUP(I81,A:F,6,FALSE),H81+2,1),IF(OR(j_WEEKDAY(J_ADDDAY(VLOOKUP(I81,A:F,6,FALSE),H81+3,1),0)=6,SUMIFS(Holieday[ok],Holieday[date],J_ADDDAY(VLOOKUP(I81,A:F,6,FALSE),H81+3,1)))=FALSE(),J_ADDDAY(VLOOKUP(I81,A:F,6,FALSE),H81+3,1),IF(OR(j_WEEKDAY(J_ADDDAY(VLOOKUP(I81,A:F,6,FALSE),H81+4,1),0)=6,SUMIFS(Holieday[ok],Holieday[date],J_ADDDAY(VLOOKUP(I81,A:F,6,FALSE),H81+4,1)))=FALSE(),J_ADDDAY(VLOOKUP(I81,A:F,6,FALSE),H81+4,1),J_ADDDAY(VLOOKUP(I81,A:F,6,FALSE),H81+5,1))))))</f>
        <v>1398/09/11</v>
      </c>
      <c r="E81" s="2">
        <f t="shared" si="23"/>
        <v>13980911</v>
      </c>
      <c r="F81" s="13" t="str">
        <f>IF(N81=0,J_SUBDAY(D81,1,1),IF((N81-(NETWORKDAYS.INTL(J_GregorianDate(D81,1),J_GregorianDate(J_SUBDAY(J_ADDDAY(D81,N81,1),1,1),1),16,1)))+SUMIFS(Holieday[ok],Holieday[date],CONCATENATE("&gt;","=",D81),Holieday[date],CONCATENATE("&lt;","=",J_SUBDAY(J_ADDDAY(D81,N81,1),1,1)))-SUMIFS(Holieday[Friday],Holieday[date],CONCATENATE("&gt;","=",D81),Holieday[date],CONCATENATE("&lt;","=",J_SUBDAY(J_ADDDAY(D81,N81,1),1,1)))=0,J_SUBDAY(J_ADDDAY(D81,N81,1),1,1),IF((N81+1-(NETWORKDAYS.INTL(J_GregorianDate(D81,1),J_GregorianDate(J_SUBDAY(J_ADDDAY(D81,N81+1,1),1,1),1),16,1)))+SUMIFS(Holieday[ok],Holieday[date],CONCATENATE("&gt;","=",D81),Holieday[date],CONCATENATE("&lt;","=",J_SUBDAY(J_ADDDAY(D81,N81+1,1),1,1)))-SUMIFS(Holieday[Friday],Holieday[date],CONCATENATE("&gt;","=",D81),Holieday[date],CONCATENATE("&lt;","=",J_SUBDAY(J_ADDDAY(D81,N81+1,1),1,1)))=1,J_SUBDAY(J_ADDDAY(D81,N81+1,1),1,1),IF((N81+2-(NETWORKDAYS.INTL(J_GregorianDate(D81,1),J_GregorianDate(J_SUBDAY(J_ADDDAY(D81,N81+2,1),1,1),1),16,1)))+SUMIFS(Holieday[ok],Holieday[date],CONCATENATE("&gt;","=",D81),Holieday[date],CONCATENATE("&lt;","=",J_SUBDAY(J_ADDDAY(D81,N81+2,1),1,1)))-SUMIFS(Holieday[Friday],Holieday[date],CONCATENATE("&gt;","=",D81),Holieday[date],CONCATENATE("&lt;","=",J_SUBDAY(J_ADDDAY(D81,N81+2,1),1,1)))=2,J_SUBDAY(J_ADDDAY(D81,N81+2,1),1,1),IF((N81+3-(NETWORKDAYS.INTL(J_GregorianDate(D81,1),J_GregorianDate(J_SUBDAY(J_ADDDAY(D81,N81+3,1),1,1),1),16,1)))+SUMIFS(Holieday[ok],Holieday[date],CONCATENATE("&gt;","=",D81),Holieday[date],CONCATENATE("&lt;","=",J_SUBDAY(J_ADDDAY(D81,N81+3,1),1,1)))-SUMIFS(Holieday[Friday],Holieday[date],CONCATENATE("&gt;","=",D81),Holieday[date],CONCATENATE("&lt;","=",J_SUBDAY(J_ADDDAY(D81,N81+3,1),1,1)))=3,J_SUBDAY(J_ADDDAY(D81,N81+3,1),1,1),IF((N81+4-(NETWORKDAYS.INTL(J_GregorianDate(D81,1),J_GregorianDate(J_SUBDAY(J_ADDDAY(D81,N81+4,1),1,1),1),16,1)))+SUMIFS(Holieday[ok],Holieday[date],CONCATENATE("&gt;","=",D81),Holieday[date],CONCATENATE("&lt;","=",J_SUBDAY(J_ADDDAY(D81,N81+4,1),1,1)))-SUMIFS(Holieday[Friday],Holieday[date],CONCATENATE("&gt;","=",D81),Holieday[date],CONCATENATE("&lt;","=",J_SUBDAY(J_ADDDAY(D81,N81+4,1),1,1)))=4,J_SUBDAY(J_ADDDAY(D81,N81+4,1),1,1),IF((N81+5-(NETWORKDAYS.INTL(J_GregorianDate(D81,1),J_GregorianDate(J_SUBDAY(J_ADDDAY(D81,N81+5,1),1,1),1),16,1)))+SUMIFS(Holieday[ok],Holieday[date],CONCATENATE("&gt;","=",D81),Holieday[date],CONCATENATE("&lt;","=",J_SUBDAY(J_ADDDAY(D81,N81+5,1),1,1)))-SUMIFS(Holieday[Friday],Holieday[date],CONCATENATE("&gt;","=",D81),Holieday[date],CONCATENATE("&lt;","=",J_SUBDAY(J_ADDDAY(D81,N81+5,1),1,1)))=5,J_SUBDAY(J_ADDDAY(D81,N81+5,1),1,1),J_SUBDAY(J_ADDDAY(D81,N81+6,1),1,1))))))))</f>
        <v>1398/09/10</v>
      </c>
      <c r="G81" s="3">
        <f t="shared" si="24"/>
        <v>13980910</v>
      </c>
      <c r="H81" s="119"/>
      <c r="I81" s="120">
        <v>3.28</v>
      </c>
      <c r="J81" s="10">
        <f>j_WEEKDAY(D81,2)</f>
        <v>2</v>
      </c>
      <c r="K81" s="22">
        <f t="shared" si="25"/>
        <v>0</v>
      </c>
      <c r="L81" s="9">
        <f t="shared" si="26"/>
        <v>0</v>
      </c>
      <c r="M81" s="121">
        <v>0</v>
      </c>
      <c r="N81" s="118">
        <v>0</v>
      </c>
      <c r="O81" s="11">
        <f t="shared" si="27"/>
        <v>0</v>
      </c>
      <c r="P81" s="11">
        <f>VALUE(J_normdate(J_ADDDAY($D81,$O81,1)))</f>
        <v>13980911</v>
      </c>
      <c r="Q81" s="10">
        <f t="shared" si="28"/>
        <v>0</v>
      </c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  <c r="FY81" s="8"/>
      <c r="FZ81" s="8"/>
      <c r="GA81" s="8"/>
      <c r="GB81" s="8"/>
      <c r="GC81" s="8"/>
      <c r="GD81" s="8"/>
      <c r="GE81" s="8"/>
      <c r="GF81" s="8"/>
      <c r="GG81" s="8"/>
      <c r="GH81" s="8"/>
      <c r="GI81" s="8"/>
      <c r="GJ81" s="8"/>
      <c r="GK81" s="8"/>
      <c r="GL81" s="8"/>
      <c r="GM81" s="8"/>
      <c r="GN81" s="8"/>
      <c r="GO81" s="8"/>
      <c r="GP81" s="8"/>
      <c r="GQ81" s="8"/>
      <c r="GR81" s="8"/>
      <c r="GS81" s="8"/>
      <c r="GT81" s="8"/>
      <c r="GU81" s="8"/>
      <c r="GV81" s="8"/>
      <c r="GW81" s="8"/>
      <c r="GX81" s="8"/>
      <c r="GY81" s="8"/>
      <c r="GZ81" s="8"/>
      <c r="HA81" s="8"/>
      <c r="HB81" s="8"/>
      <c r="HC81" s="8"/>
      <c r="HD81" s="8"/>
      <c r="HE81" s="8"/>
      <c r="HF81" s="8"/>
      <c r="HG81" s="8"/>
      <c r="HH81" s="8"/>
      <c r="HI81" s="8"/>
      <c r="HJ81" s="8"/>
      <c r="HK81" s="8"/>
      <c r="HL81" s="8"/>
      <c r="HM81" s="8"/>
      <c r="HN81" s="8"/>
      <c r="HO81" s="8"/>
      <c r="HP81" s="8"/>
      <c r="HQ81" s="8"/>
      <c r="HR81" s="8"/>
      <c r="HS81" s="8"/>
      <c r="HT81" s="8"/>
      <c r="HU81" s="8"/>
      <c r="HV81" s="8"/>
      <c r="HW81" s="8"/>
      <c r="HX81" s="8"/>
      <c r="HY81" s="8"/>
      <c r="HZ81" s="8"/>
      <c r="IA81" s="8"/>
      <c r="IB81" s="8"/>
      <c r="IC81" s="8"/>
      <c r="ID81" s="8"/>
      <c r="IE81" s="8"/>
      <c r="IF81" s="8"/>
      <c r="IG81" s="8"/>
      <c r="IH81" s="8"/>
      <c r="II81" s="8"/>
      <c r="IJ81" s="8"/>
      <c r="IK81" s="8"/>
      <c r="IL81" s="8"/>
      <c r="IM81" s="8"/>
      <c r="IN81" s="8"/>
      <c r="IO81" s="8"/>
      <c r="IP81" s="8"/>
      <c r="IQ81" s="8"/>
      <c r="IR81" s="8"/>
      <c r="IS81" s="8"/>
      <c r="IT81" s="8"/>
      <c r="IU81" s="8"/>
      <c r="IV81" s="8"/>
      <c r="IW81" s="8"/>
      <c r="IX81" s="8"/>
      <c r="JA81" s="123"/>
      <c r="JB81" s="123"/>
      <c r="JC81" s="123"/>
      <c r="JD81" s="70"/>
    </row>
    <row r="82" spans="1:264" s="12" customFormat="1" ht="16.5" hidden="1" customHeight="1" x14ac:dyDescent="0.45">
      <c r="A82" s="32">
        <v>3.32</v>
      </c>
      <c r="B82" s="116"/>
      <c r="C82" s="117"/>
      <c r="D82" s="8" t="str">
        <f>IF(OR(j_WEEKDAY(J_ADDDAY(VLOOKUP(I82,A:F,6,FALSE),H82,1),0)=6,SUMIFS(Holieday[ok],Holieday[date],J_ADDDAY(VLOOKUP(I82,A:F,6,FALSE),H82,1)))=FALSE(),J_ADDDAY(VLOOKUP(I82,A:F,6,FALSE),H82,1),IF(OR(j_WEEKDAY(J_ADDDAY(VLOOKUP(I82,A:F,6,FALSE),H82+1,1),0)=6,SUMIFS(Holieday[ok],Holieday[date],J_ADDDAY(VLOOKUP(I82,A:F,6,FALSE),H82+1,1)))=FALSE(),J_ADDDAY(VLOOKUP(I82,A:F,6,FALSE),H82+1,1),IF(OR(j_WEEKDAY(J_ADDDAY(VLOOKUP(I82,A:F,6,FALSE),H82+2,1),0)=6,SUMIFS(Holieday[ok],Holieday[date],J_ADDDAY(VLOOKUP(I82,A:F,6,FALSE),H82+2,1)))=FALSE(),J_ADDDAY(VLOOKUP(I82,A:F,6,FALSE),H82+2,1),IF(OR(j_WEEKDAY(J_ADDDAY(VLOOKUP(I82,A:F,6,FALSE),H82+3,1),0)=6,SUMIFS(Holieday[ok],Holieday[date],J_ADDDAY(VLOOKUP(I82,A:F,6,FALSE),H82+3,1)))=FALSE(),J_ADDDAY(VLOOKUP(I82,A:F,6,FALSE),H82+3,1),IF(OR(j_WEEKDAY(J_ADDDAY(VLOOKUP(I82,A:F,6,FALSE),H82+4,1),0)=6,SUMIFS(Holieday[ok],Holieday[date],J_ADDDAY(VLOOKUP(I82,A:F,6,FALSE),H82+4,1)))=FALSE(),J_ADDDAY(VLOOKUP(I82,A:F,6,FALSE),H82+4,1),J_ADDDAY(VLOOKUP(I82,A:F,6,FALSE),H82+5,1))))))</f>
        <v>1398/09/10</v>
      </c>
      <c r="E82" s="2">
        <f t="shared" si="23"/>
        <v>13980910</v>
      </c>
      <c r="F82" s="13" t="str">
        <f>IF(N82=0,J_SUBDAY(D82,1,1),IF((N82-(NETWORKDAYS.INTL(J_GregorianDate(D82,1),J_GregorianDate(J_SUBDAY(J_ADDDAY(D82,N82,1),1,1),1),16,1)))+SUMIFS(Holieday[ok],Holieday[date],CONCATENATE("&gt;","=",D82),Holieday[date],CONCATENATE("&lt;","=",J_SUBDAY(J_ADDDAY(D82,N82,1),1,1)))-SUMIFS(Holieday[Friday],Holieday[date],CONCATENATE("&gt;","=",D82),Holieday[date],CONCATENATE("&lt;","=",J_SUBDAY(J_ADDDAY(D82,N82,1),1,1)))=0,J_SUBDAY(J_ADDDAY(D82,N82,1),1,1),IF((N82+1-(NETWORKDAYS.INTL(J_GregorianDate(D82,1),J_GregorianDate(J_SUBDAY(J_ADDDAY(D82,N82+1,1),1,1),1),16,1)))+SUMIFS(Holieday[ok],Holieday[date],CONCATENATE("&gt;","=",D82),Holieday[date],CONCATENATE("&lt;","=",J_SUBDAY(J_ADDDAY(D82,N82+1,1),1,1)))-SUMIFS(Holieday[Friday],Holieday[date],CONCATENATE("&gt;","=",D82),Holieday[date],CONCATENATE("&lt;","=",J_SUBDAY(J_ADDDAY(D82,N82+1,1),1,1)))=1,J_SUBDAY(J_ADDDAY(D82,N82+1,1),1,1),IF((N82+2-(NETWORKDAYS.INTL(J_GregorianDate(D82,1),J_GregorianDate(J_SUBDAY(J_ADDDAY(D82,N82+2,1),1,1),1),16,1)))+SUMIFS(Holieday[ok],Holieday[date],CONCATENATE("&gt;","=",D82),Holieday[date],CONCATENATE("&lt;","=",J_SUBDAY(J_ADDDAY(D82,N82+2,1),1,1)))-SUMIFS(Holieday[Friday],Holieday[date],CONCATENATE("&gt;","=",D82),Holieday[date],CONCATENATE("&lt;","=",J_SUBDAY(J_ADDDAY(D82,N82+2,1),1,1)))=2,J_SUBDAY(J_ADDDAY(D82,N82+2,1),1,1),IF((N82+3-(NETWORKDAYS.INTL(J_GregorianDate(D82,1),J_GregorianDate(J_SUBDAY(J_ADDDAY(D82,N82+3,1),1,1),1),16,1)))+SUMIFS(Holieday[ok],Holieday[date],CONCATENATE("&gt;","=",D82),Holieday[date],CONCATENATE("&lt;","=",J_SUBDAY(J_ADDDAY(D82,N82+3,1),1,1)))-SUMIFS(Holieday[Friday],Holieday[date],CONCATENATE("&gt;","=",D82),Holieday[date],CONCATENATE("&lt;","=",J_SUBDAY(J_ADDDAY(D82,N82+3,1),1,1)))=3,J_SUBDAY(J_ADDDAY(D82,N82+3,1),1,1),IF((N82+4-(NETWORKDAYS.INTL(J_GregorianDate(D82,1),J_GregorianDate(J_SUBDAY(J_ADDDAY(D82,N82+4,1),1,1),1),16,1)))+SUMIFS(Holieday[ok],Holieday[date],CONCATENATE("&gt;","=",D82),Holieday[date],CONCATENATE("&lt;","=",J_SUBDAY(J_ADDDAY(D82,N82+4,1),1,1)))-SUMIFS(Holieday[Friday],Holieday[date],CONCATENATE("&gt;","=",D82),Holieday[date],CONCATENATE("&lt;","=",J_SUBDAY(J_ADDDAY(D82,N82+4,1),1,1)))=4,J_SUBDAY(J_ADDDAY(D82,N82+4,1),1,1),IF((N82+5-(NETWORKDAYS.INTL(J_GregorianDate(D82,1),J_GregorianDate(J_SUBDAY(J_ADDDAY(D82,N82+5,1),1,1),1),16,1)))+SUMIFS(Holieday[ok],Holieday[date],CONCATENATE("&gt;","=",D82),Holieday[date],CONCATENATE("&lt;","=",J_SUBDAY(J_ADDDAY(D82,N82+5,1),1,1)))-SUMIFS(Holieday[Friday],Holieday[date],CONCATENATE("&gt;","=",D82),Holieday[date],CONCATENATE("&lt;","=",J_SUBDAY(J_ADDDAY(D82,N82+5,1),1,1)))=5,J_SUBDAY(J_ADDDAY(D82,N82+5,1),1,1),J_SUBDAY(J_ADDDAY(D82,N82+6,1),1,1))))))))</f>
        <v>1398/09/09</v>
      </c>
      <c r="G82" s="3">
        <f t="shared" si="24"/>
        <v>13980909</v>
      </c>
      <c r="H82" s="119"/>
      <c r="I82" s="120">
        <v>3.31</v>
      </c>
      <c r="J82" s="10">
        <f>j_WEEKDAY(D82,2)</f>
        <v>1</v>
      </c>
      <c r="K82" s="22">
        <f t="shared" si="25"/>
        <v>0</v>
      </c>
      <c r="L82" s="9">
        <f t="shared" si="26"/>
        <v>0</v>
      </c>
      <c r="M82" s="121">
        <v>0</v>
      </c>
      <c r="N82" s="118">
        <v>0</v>
      </c>
      <c r="O82" s="11">
        <f t="shared" si="27"/>
        <v>0</v>
      </c>
      <c r="P82" s="11">
        <f>VALUE(J_normdate(J_ADDDAY($D82,$O82,1)))</f>
        <v>13980910</v>
      </c>
      <c r="Q82" s="10">
        <f t="shared" si="28"/>
        <v>0</v>
      </c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  <c r="FZ82" s="8"/>
      <c r="GA82" s="8"/>
      <c r="GB82" s="8"/>
      <c r="GC82" s="8"/>
      <c r="GD82" s="8"/>
      <c r="GE82" s="8"/>
      <c r="GF82" s="8"/>
      <c r="GG82" s="8"/>
      <c r="GH82" s="8"/>
      <c r="GI82" s="8"/>
      <c r="GJ82" s="8"/>
      <c r="GK82" s="8"/>
      <c r="GL82" s="8"/>
      <c r="GM82" s="8"/>
      <c r="GN82" s="8"/>
      <c r="GO82" s="8"/>
      <c r="GP82" s="8"/>
      <c r="GQ82" s="8"/>
      <c r="GR82" s="8"/>
      <c r="GS82" s="8"/>
      <c r="GT82" s="8"/>
      <c r="GU82" s="8"/>
      <c r="GV82" s="8"/>
      <c r="GW82" s="8"/>
      <c r="GX82" s="8"/>
      <c r="GY82" s="8"/>
      <c r="GZ82" s="8"/>
      <c r="HA82" s="8"/>
      <c r="HB82" s="8"/>
      <c r="HC82" s="8"/>
      <c r="HD82" s="8"/>
      <c r="HE82" s="8"/>
      <c r="HF82" s="8"/>
      <c r="HG82" s="8"/>
      <c r="HH82" s="8"/>
      <c r="HI82" s="8"/>
      <c r="HJ82" s="8"/>
      <c r="HK82" s="8"/>
      <c r="HL82" s="8"/>
      <c r="HM82" s="8"/>
      <c r="HN82" s="8"/>
      <c r="HO82" s="8"/>
      <c r="HP82" s="8"/>
      <c r="HQ82" s="8"/>
      <c r="HR82" s="8"/>
      <c r="HS82" s="8"/>
      <c r="HT82" s="8"/>
      <c r="HU82" s="8"/>
      <c r="HV82" s="8"/>
      <c r="HW82" s="8"/>
      <c r="HX82" s="8"/>
      <c r="HY82" s="8"/>
      <c r="HZ82" s="8"/>
      <c r="IA82" s="8"/>
      <c r="IB82" s="8"/>
      <c r="IC82" s="8"/>
      <c r="ID82" s="8"/>
      <c r="IE82" s="8"/>
      <c r="IF82" s="8"/>
      <c r="IG82" s="8"/>
      <c r="IH82" s="8"/>
      <c r="II82" s="8"/>
      <c r="IJ82" s="8"/>
      <c r="IK82" s="8"/>
      <c r="IL82" s="8"/>
      <c r="IM82" s="8"/>
      <c r="IN82" s="8"/>
      <c r="IO82" s="8"/>
      <c r="IP82" s="8"/>
      <c r="IQ82" s="8"/>
      <c r="IR82" s="8"/>
      <c r="IS82" s="8"/>
      <c r="IT82" s="8"/>
      <c r="IU82" s="8"/>
      <c r="IV82" s="8"/>
      <c r="IW82" s="8"/>
      <c r="IX82" s="8"/>
      <c r="JA82" s="123"/>
      <c r="JB82" s="123"/>
      <c r="JC82" s="123"/>
      <c r="JD82" s="70"/>
    </row>
    <row r="83" spans="1:264" s="12" customFormat="1" ht="15.75" hidden="1" x14ac:dyDescent="0.45">
      <c r="A83" s="32">
        <v>3.33</v>
      </c>
      <c r="B83" s="116"/>
      <c r="C83" s="117"/>
      <c r="D83" s="8" t="str">
        <f>IF(OR(j_WEEKDAY(J_ADDDAY(VLOOKUP(I83,A:F,6,FALSE),H83,1),0)=6,SUMIFS(Holieday[ok],Holieday[date],J_ADDDAY(VLOOKUP(I83,A:F,6,FALSE),H83,1)))=FALSE(),J_ADDDAY(VLOOKUP(I83,A:F,6,FALSE),H83,1),IF(OR(j_WEEKDAY(J_ADDDAY(VLOOKUP(I83,A:F,6,FALSE),H83+1,1),0)=6,SUMIFS(Holieday[ok],Holieday[date],J_ADDDAY(VLOOKUP(I83,A:F,6,FALSE),H83+1,1)))=FALSE(),J_ADDDAY(VLOOKUP(I83,A:F,6,FALSE),H83+1,1),IF(OR(j_WEEKDAY(J_ADDDAY(VLOOKUP(I83,A:F,6,FALSE),H83+2,1),0)=6,SUMIFS(Holieday[ok],Holieday[date],J_ADDDAY(VLOOKUP(I83,A:F,6,FALSE),H83+2,1)))=FALSE(),J_ADDDAY(VLOOKUP(I83,A:F,6,FALSE),H83+2,1),IF(OR(j_WEEKDAY(J_ADDDAY(VLOOKUP(I83,A:F,6,FALSE),H83+3,1),0)=6,SUMIFS(Holieday[ok],Holieday[date],J_ADDDAY(VLOOKUP(I83,A:F,6,FALSE),H83+3,1)))=FALSE(),J_ADDDAY(VLOOKUP(I83,A:F,6,FALSE),H83+3,1),IF(OR(j_WEEKDAY(J_ADDDAY(VLOOKUP(I83,A:F,6,FALSE),H83+4,1),0)=6,SUMIFS(Holieday[ok],Holieday[date],J_ADDDAY(VLOOKUP(I83,A:F,6,FALSE),H83+4,1)))=FALSE(),J_ADDDAY(VLOOKUP(I83,A:F,6,FALSE),H83+4,1),J_ADDDAY(VLOOKUP(I83,A:F,6,FALSE),H83+5,1))))))</f>
        <v>1398/09/10</v>
      </c>
      <c r="E83" s="2">
        <f t="shared" si="23"/>
        <v>13980910</v>
      </c>
      <c r="F83" s="13" t="str">
        <f>IF(N83=0,J_SUBDAY(D83,1,1),IF((N83-(NETWORKDAYS.INTL(J_GregorianDate(D83,1),J_GregorianDate(J_SUBDAY(J_ADDDAY(D83,N83,1),1,1),1),16,1)))+SUMIFS(Holieday[ok],Holieday[date],CONCATENATE("&gt;","=",D83),Holieday[date],CONCATENATE("&lt;","=",J_SUBDAY(J_ADDDAY(D83,N83,1),1,1)))-SUMIFS(Holieday[Friday],Holieday[date],CONCATENATE("&gt;","=",D83),Holieday[date],CONCATENATE("&lt;","=",J_SUBDAY(J_ADDDAY(D83,N83,1),1,1)))=0,J_SUBDAY(J_ADDDAY(D83,N83,1),1,1),IF((N83+1-(NETWORKDAYS.INTL(J_GregorianDate(D83,1),J_GregorianDate(J_SUBDAY(J_ADDDAY(D83,N83+1,1),1,1),1),16,1)))+SUMIFS(Holieday[ok],Holieday[date],CONCATENATE("&gt;","=",D83),Holieday[date],CONCATENATE("&lt;","=",J_SUBDAY(J_ADDDAY(D83,N83+1,1),1,1)))-SUMIFS(Holieday[Friday],Holieday[date],CONCATENATE("&gt;","=",D83),Holieday[date],CONCATENATE("&lt;","=",J_SUBDAY(J_ADDDAY(D83,N83+1,1),1,1)))=1,J_SUBDAY(J_ADDDAY(D83,N83+1,1),1,1),IF((N83+2-(NETWORKDAYS.INTL(J_GregorianDate(D83,1),J_GregorianDate(J_SUBDAY(J_ADDDAY(D83,N83+2,1),1,1),1),16,1)))+SUMIFS(Holieday[ok],Holieday[date],CONCATENATE("&gt;","=",D83),Holieday[date],CONCATENATE("&lt;","=",J_SUBDAY(J_ADDDAY(D83,N83+2,1),1,1)))-SUMIFS(Holieday[Friday],Holieday[date],CONCATENATE("&gt;","=",D83),Holieday[date],CONCATENATE("&lt;","=",J_SUBDAY(J_ADDDAY(D83,N83+2,1),1,1)))=2,J_SUBDAY(J_ADDDAY(D83,N83+2,1),1,1),IF((N83+3-(NETWORKDAYS.INTL(J_GregorianDate(D83,1),J_GregorianDate(J_SUBDAY(J_ADDDAY(D83,N83+3,1),1,1),1),16,1)))+SUMIFS(Holieday[ok],Holieday[date],CONCATENATE("&gt;","=",D83),Holieday[date],CONCATENATE("&lt;","=",J_SUBDAY(J_ADDDAY(D83,N83+3,1),1,1)))-SUMIFS(Holieday[Friday],Holieday[date],CONCATENATE("&gt;","=",D83),Holieday[date],CONCATENATE("&lt;","=",J_SUBDAY(J_ADDDAY(D83,N83+3,1),1,1)))=3,J_SUBDAY(J_ADDDAY(D83,N83+3,1),1,1),IF((N83+4-(NETWORKDAYS.INTL(J_GregorianDate(D83,1),J_GregorianDate(J_SUBDAY(J_ADDDAY(D83,N83+4,1),1,1),1),16,1)))+SUMIFS(Holieday[ok],Holieday[date],CONCATENATE("&gt;","=",D83),Holieday[date],CONCATENATE("&lt;","=",J_SUBDAY(J_ADDDAY(D83,N83+4,1),1,1)))-SUMIFS(Holieday[Friday],Holieday[date],CONCATENATE("&gt;","=",D83),Holieday[date],CONCATENATE("&lt;","=",J_SUBDAY(J_ADDDAY(D83,N83+4,1),1,1)))=4,J_SUBDAY(J_ADDDAY(D83,N83+4,1),1,1),IF((N83+5-(NETWORKDAYS.INTL(J_GregorianDate(D83,1),J_GregorianDate(J_SUBDAY(J_ADDDAY(D83,N83+5,1),1,1),1),16,1)))+SUMIFS(Holieday[ok],Holieday[date],CONCATENATE("&gt;","=",D83),Holieday[date],CONCATENATE("&lt;","=",J_SUBDAY(J_ADDDAY(D83,N83+5,1),1,1)))-SUMIFS(Holieday[Friday],Holieday[date],CONCATENATE("&gt;","=",D83),Holieday[date],CONCATENATE("&lt;","=",J_SUBDAY(J_ADDDAY(D83,N83+5,1),1,1)))=5,J_SUBDAY(J_ADDDAY(D83,N83+5,1),1,1),J_SUBDAY(J_ADDDAY(D83,N83+6,1),1,1))))))))</f>
        <v>1398/09/09</v>
      </c>
      <c r="G83" s="3">
        <f t="shared" si="24"/>
        <v>13980909</v>
      </c>
      <c r="H83" s="119"/>
      <c r="I83" s="120">
        <v>3.31</v>
      </c>
      <c r="J83" s="10">
        <f>j_WEEKDAY(D83,2)</f>
        <v>1</v>
      </c>
      <c r="K83" s="22">
        <f t="shared" si="25"/>
        <v>0</v>
      </c>
      <c r="L83" s="9">
        <f t="shared" si="26"/>
        <v>0</v>
      </c>
      <c r="M83" s="121">
        <v>0</v>
      </c>
      <c r="N83" s="118">
        <v>0</v>
      </c>
      <c r="O83" s="11">
        <f t="shared" si="27"/>
        <v>0</v>
      </c>
      <c r="P83" s="11">
        <f>VALUE(J_normdate(J_ADDDAY($D83,$O83,1)))</f>
        <v>13980910</v>
      </c>
      <c r="Q83" s="10">
        <f t="shared" si="28"/>
        <v>0</v>
      </c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  <c r="FZ83" s="8"/>
      <c r="GA83" s="8"/>
      <c r="GB83" s="8"/>
      <c r="GC83" s="8"/>
      <c r="GD83" s="8"/>
      <c r="GE83" s="8"/>
      <c r="GF83" s="8"/>
      <c r="GG83" s="8"/>
      <c r="GH83" s="8"/>
      <c r="GI83" s="8"/>
      <c r="GJ83" s="8"/>
      <c r="GK83" s="8"/>
      <c r="GL83" s="8"/>
      <c r="GM83" s="8"/>
      <c r="GN83" s="8"/>
      <c r="GO83" s="8"/>
      <c r="GP83" s="8"/>
      <c r="GQ83" s="8"/>
      <c r="GR83" s="8"/>
      <c r="GS83" s="8"/>
      <c r="GT83" s="8"/>
      <c r="GU83" s="8"/>
      <c r="GV83" s="8"/>
      <c r="GW83" s="8"/>
      <c r="GX83" s="8"/>
      <c r="GY83" s="8"/>
      <c r="GZ83" s="8"/>
      <c r="HA83" s="8"/>
      <c r="HB83" s="8"/>
      <c r="HC83" s="8"/>
      <c r="HD83" s="8"/>
      <c r="HE83" s="8"/>
      <c r="HF83" s="8"/>
      <c r="HG83" s="8"/>
      <c r="HH83" s="8"/>
      <c r="HI83" s="8"/>
      <c r="HJ83" s="8"/>
      <c r="HK83" s="8"/>
      <c r="HL83" s="8"/>
      <c r="HM83" s="8"/>
      <c r="HN83" s="8"/>
      <c r="HO83" s="8"/>
      <c r="HP83" s="8"/>
      <c r="HQ83" s="8"/>
      <c r="HR83" s="8"/>
      <c r="HS83" s="8"/>
      <c r="HT83" s="8"/>
      <c r="HU83" s="8"/>
      <c r="HV83" s="8"/>
      <c r="HW83" s="8"/>
      <c r="HX83" s="8"/>
      <c r="HY83" s="8"/>
      <c r="HZ83" s="8"/>
      <c r="IA83" s="8"/>
      <c r="IB83" s="8"/>
      <c r="IC83" s="8"/>
      <c r="ID83" s="8"/>
      <c r="IE83" s="8"/>
      <c r="IF83" s="8"/>
      <c r="IG83" s="8"/>
      <c r="IH83" s="8"/>
      <c r="II83" s="8"/>
      <c r="IJ83" s="8"/>
      <c r="IK83" s="8"/>
      <c r="IL83" s="8"/>
      <c r="IM83" s="8"/>
      <c r="IN83" s="8"/>
      <c r="IO83" s="8"/>
      <c r="IP83" s="8"/>
      <c r="IQ83" s="8"/>
      <c r="IR83" s="8"/>
      <c r="IS83" s="8"/>
      <c r="IT83" s="8"/>
      <c r="IU83" s="8"/>
      <c r="IV83" s="8"/>
      <c r="IW83" s="8"/>
      <c r="IX83" s="8"/>
      <c r="JA83" s="123"/>
      <c r="JB83" s="123"/>
      <c r="JC83" s="123"/>
      <c r="JD83" s="70"/>
    </row>
    <row r="84" spans="1:264" s="12" customFormat="1" ht="15.75" hidden="1" x14ac:dyDescent="0.45">
      <c r="A84" s="32">
        <v>3.34</v>
      </c>
      <c r="B84" s="116"/>
      <c r="C84" s="117"/>
      <c r="D84" s="8" t="str">
        <f>IF(OR(j_WEEKDAY(J_ADDDAY(VLOOKUP(I84,A:F,6,FALSE),H84,1),0)=6,SUMIFS(Holieday[ok],Holieday[date],J_ADDDAY(VLOOKUP(I84,A:F,6,FALSE),H84,1)))=FALSE(),J_ADDDAY(VLOOKUP(I84,A:F,6,FALSE),H84,1),IF(OR(j_WEEKDAY(J_ADDDAY(VLOOKUP(I84,A:F,6,FALSE),H84+1,1),0)=6,SUMIFS(Holieday[ok],Holieday[date],J_ADDDAY(VLOOKUP(I84,A:F,6,FALSE),H84+1,1)))=FALSE(),J_ADDDAY(VLOOKUP(I84,A:F,6,FALSE),H84+1,1),IF(OR(j_WEEKDAY(J_ADDDAY(VLOOKUP(I84,A:F,6,FALSE),H84+2,1),0)=6,SUMIFS(Holieday[ok],Holieday[date],J_ADDDAY(VLOOKUP(I84,A:F,6,FALSE),H84+2,1)))=FALSE(),J_ADDDAY(VLOOKUP(I84,A:F,6,FALSE),H84+2,1),IF(OR(j_WEEKDAY(J_ADDDAY(VLOOKUP(I84,A:F,6,FALSE),H84+3,1),0)=6,SUMIFS(Holieday[ok],Holieday[date],J_ADDDAY(VLOOKUP(I84,A:F,6,FALSE),H84+3,1)))=FALSE(),J_ADDDAY(VLOOKUP(I84,A:F,6,FALSE),H84+3,1),IF(OR(j_WEEKDAY(J_ADDDAY(VLOOKUP(I84,A:F,6,FALSE),H84+4,1),0)=6,SUMIFS(Holieday[ok],Holieday[date],J_ADDDAY(VLOOKUP(I84,A:F,6,FALSE),H84+4,1)))=FALSE(),J_ADDDAY(VLOOKUP(I84,A:F,6,FALSE),H84+4,1),J_ADDDAY(VLOOKUP(I84,A:F,6,FALSE),H84+5,1))))))</f>
        <v>1398/09/09</v>
      </c>
      <c r="E84" s="2">
        <f t="shared" si="23"/>
        <v>13980909</v>
      </c>
      <c r="F84" s="13" t="str">
        <f>IF(N84=0,J_SUBDAY(D84,1,1),IF((N84-(NETWORKDAYS.INTL(J_GregorianDate(D84,1),J_GregorianDate(J_SUBDAY(J_ADDDAY(D84,N84,1),1,1),1),16,1)))+SUMIFS(Holieday[ok],Holieday[date],CONCATENATE("&gt;","=",D84),Holieday[date],CONCATENATE("&lt;","=",J_SUBDAY(J_ADDDAY(D84,N84,1),1,1)))-SUMIFS(Holieday[Friday],Holieday[date],CONCATENATE("&gt;","=",D84),Holieday[date],CONCATENATE("&lt;","=",J_SUBDAY(J_ADDDAY(D84,N84,1),1,1)))=0,J_SUBDAY(J_ADDDAY(D84,N84,1),1,1),IF((N84+1-(NETWORKDAYS.INTL(J_GregorianDate(D84,1),J_GregorianDate(J_SUBDAY(J_ADDDAY(D84,N84+1,1),1,1),1),16,1)))+SUMIFS(Holieday[ok],Holieday[date],CONCATENATE("&gt;","=",D84),Holieday[date],CONCATENATE("&lt;","=",J_SUBDAY(J_ADDDAY(D84,N84+1,1),1,1)))-SUMIFS(Holieday[Friday],Holieday[date],CONCATENATE("&gt;","=",D84),Holieday[date],CONCATENATE("&lt;","=",J_SUBDAY(J_ADDDAY(D84,N84+1,1),1,1)))=1,J_SUBDAY(J_ADDDAY(D84,N84+1,1),1,1),IF((N84+2-(NETWORKDAYS.INTL(J_GregorianDate(D84,1),J_GregorianDate(J_SUBDAY(J_ADDDAY(D84,N84+2,1),1,1),1),16,1)))+SUMIFS(Holieday[ok],Holieday[date],CONCATENATE("&gt;","=",D84),Holieday[date],CONCATENATE("&lt;","=",J_SUBDAY(J_ADDDAY(D84,N84+2,1),1,1)))-SUMIFS(Holieday[Friday],Holieday[date],CONCATENATE("&gt;","=",D84),Holieday[date],CONCATENATE("&lt;","=",J_SUBDAY(J_ADDDAY(D84,N84+2,1),1,1)))=2,J_SUBDAY(J_ADDDAY(D84,N84+2,1),1,1),IF((N84+3-(NETWORKDAYS.INTL(J_GregorianDate(D84,1),J_GregorianDate(J_SUBDAY(J_ADDDAY(D84,N84+3,1),1,1),1),16,1)))+SUMIFS(Holieday[ok],Holieday[date],CONCATENATE("&gt;","=",D84),Holieday[date],CONCATENATE("&lt;","=",J_SUBDAY(J_ADDDAY(D84,N84+3,1),1,1)))-SUMIFS(Holieday[Friday],Holieday[date],CONCATENATE("&gt;","=",D84),Holieday[date],CONCATENATE("&lt;","=",J_SUBDAY(J_ADDDAY(D84,N84+3,1),1,1)))=3,J_SUBDAY(J_ADDDAY(D84,N84+3,1),1,1),IF((N84+4-(NETWORKDAYS.INTL(J_GregorianDate(D84,1),J_GregorianDate(J_SUBDAY(J_ADDDAY(D84,N84+4,1),1,1),1),16,1)))+SUMIFS(Holieday[ok],Holieday[date],CONCATENATE("&gt;","=",D84),Holieday[date],CONCATENATE("&lt;","=",J_SUBDAY(J_ADDDAY(D84,N84+4,1),1,1)))-SUMIFS(Holieday[Friday],Holieday[date],CONCATENATE("&gt;","=",D84),Holieday[date],CONCATENATE("&lt;","=",J_SUBDAY(J_ADDDAY(D84,N84+4,1),1,1)))=4,J_SUBDAY(J_ADDDAY(D84,N84+4,1),1,1),IF((N84+5-(NETWORKDAYS.INTL(J_GregorianDate(D84,1),J_GregorianDate(J_SUBDAY(J_ADDDAY(D84,N84+5,1),1,1),1),16,1)))+SUMIFS(Holieday[ok],Holieday[date],CONCATENATE("&gt;","=",D84),Holieday[date],CONCATENATE("&lt;","=",J_SUBDAY(J_ADDDAY(D84,N84+5,1),1,1)))-SUMIFS(Holieday[Friday],Holieday[date],CONCATENATE("&gt;","=",D84),Holieday[date],CONCATENATE("&lt;","=",J_SUBDAY(J_ADDDAY(D84,N84+5,1),1,1)))=5,J_SUBDAY(J_ADDDAY(D84,N84+5,1),1,1),J_SUBDAY(J_ADDDAY(D84,N84+6,1),1,1))))))))</f>
        <v>1398/09/08</v>
      </c>
      <c r="G84" s="3">
        <f t="shared" si="24"/>
        <v>13980908</v>
      </c>
      <c r="H84" s="119"/>
      <c r="I84" s="120">
        <v>3.33</v>
      </c>
      <c r="J84" s="10">
        <f>j_WEEKDAY(D84,2)</f>
        <v>0</v>
      </c>
      <c r="K84" s="22">
        <f t="shared" si="25"/>
        <v>0</v>
      </c>
      <c r="L84" s="9">
        <f t="shared" si="26"/>
        <v>0</v>
      </c>
      <c r="M84" s="121">
        <v>0</v>
      </c>
      <c r="N84" s="118">
        <v>0</v>
      </c>
      <c r="O84" s="11">
        <f t="shared" si="27"/>
        <v>0</v>
      </c>
      <c r="P84" s="11">
        <f>VALUE(J_normdate(J_ADDDAY($D84,$O84,1)))</f>
        <v>13980909</v>
      </c>
      <c r="Q84" s="10">
        <f t="shared" si="28"/>
        <v>0</v>
      </c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  <c r="FZ84" s="8"/>
      <c r="GA84" s="8"/>
      <c r="GB84" s="8"/>
      <c r="GC84" s="8"/>
      <c r="GD84" s="8"/>
      <c r="GE84" s="8"/>
      <c r="GF84" s="8"/>
      <c r="GG84" s="8"/>
      <c r="GH84" s="8"/>
      <c r="GI84" s="8"/>
      <c r="GJ84" s="8"/>
      <c r="GK84" s="8"/>
      <c r="GL84" s="8"/>
      <c r="GM84" s="8"/>
      <c r="GN84" s="8"/>
      <c r="GO84" s="8"/>
      <c r="GP84" s="8"/>
      <c r="GQ84" s="8"/>
      <c r="GR84" s="8"/>
      <c r="GS84" s="8"/>
      <c r="GT84" s="8"/>
      <c r="GU84" s="8"/>
      <c r="GV84" s="8"/>
      <c r="GW84" s="8"/>
      <c r="GX84" s="8"/>
      <c r="GY84" s="8"/>
      <c r="GZ84" s="8"/>
      <c r="HA84" s="8"/>
      <c r="HB84" s="8"/>
      <c r="HC84" s="8"/>
      <c r="HD84" s="8"/>
      <c r="HE84" s="8"/>
      <c r="HF84" s="8"/>
      <c r="HG84" s="8"/>
      <c r="HH84" s="8"/>
      <c r="HI84" s="8"/>
      <c r="HJ84" s="8"/>
      <c r="HK84" s="8"/>
      <c r="HL84" s="8"/>
      <c r="HM84" s="8"/>
      <c r="HN84" s="8"/>
      <c r="HO84" s="8"/>
      <c r="HP84" s="8"/>
      <c r="HQ84" s="8"/>
      <c r="HR84" s="8"/>
      <c r="HS84" s="8"/>
      <c r="HT84" s="8"/>
      <c r="HU84" s="8"/>
      <c r="HV84" s="8"/>
      <c r="HW84" s="8"/>
      <c r="HX84" s="8"/>
      <c r="HY84" s="8"/>
      <c r="HZ84" s="8"/>
      <c r="IA84" s="8"/>
      <c r="IB84" s="8"/>
      <c r="IC84" s="8"/>
      <c r="ID84" s="8"/>
      <c r="IE84" s="8"/>
      <c r="IF84" s="8"/>
      <c r="IG84" s="8"/>
      <c r="IH84" s="8"/>
      <c r="II84" s="8"/>
      <c r="IJ84" s="8"/>
      <c r="IK84" s="8"/>
      <c r="IL84" s="8"/>
      <c r="IM84" s="8"/>
      <c r="IN84" s="8"/>
      <c r="IO84" s="8"/>
      <c r="IP84" s="8"/>
      <c r="IQ84" s="8"/>
      <c r="IR84" s="8"/>
      <c r="IS84" s="8"/>
      <c r="IT84" s="8"/>
      <c r="IU84" s="8"/>
      <c r="IV84" s="8"/>
      <c r="IW84" s="8"/>
      <c r="IX84" s="8"/>
      <c r="JA84" s="123"/>
      <c r="JB84" s="123"/>
      <c r="JC84" s="123"/>
      <c r="JD84" s="70"/>
    </row>
    <row r="85" spans="1:264" s="12" customFormat="1" ht="15.75" hidden="1" x14ac:dyDescent="0.45">
      <c r="A85" s="32">
        <v>3.35</v>
      </c>
      <c r="B85" s="116"/>
      <c r="C85" s="117"/>
      <c r="D85" s="8" t="str">
        <f>IF(OR(j_WEEKDAY(J_ADDDAY(VLOOKUP(I85,A:F,6,FALSE),H85,1),0)=6,SUMIFS(Holieday[ok],Holieday[date],J_ADDDAY(VLOOKUP(I85,A:F,6,FALSE),H85,1)))=FALSE(),J_ADDDAY(VLOOKUP(I85,A:F,6,FALSE),H85,1),IF(OR(j_WEEKDAY(J_ADDDAY(VLOOKUP(I85,A:F,6,FALSE),H85+1,1),0)=6,SUMIFS(Holieday[ok],Holieday[date],J_ADDDAY(VLOOKUP(I85,A:F,6,FALSE),H85+1,1)))=FALSE(),J_ADDDAY(VLOOKUP(I85,A:F,6,FALSE),H85+1,1),IF(OR(j_WEEKDAY(J_ADDDAY(VLOOKUP(I85,A:F,6,FALSE),H85+2,1),0)=6,SUMIFS(Holieday[ok],Holieday[date],J_ADDDAY(VLOOKUP(I85,A:F,6,FALSE),H85+2,1)))=FALSE(),J_ADDDAY(VLOOKUP(I85,A:F,6,FALSE),H85+2,1),IF(OR(j_WEEKDAY(J_ADDDAY(VLOOKUP(I85,A:F,6,FALSE),H85+3,1),0)=6,SUMIFS(Holieday[ok],Holieday[date],J_ADDDAY(VLOOKUP(I85,A:F,6,FALSE),H85+3,1)))=FALSE(),J_ADDDAY(VLOOKUP(I85,A:F,6,FALSE),H85+3,1),IF(OR(j_WEEKDAY(J_ADDDAY(VLOOKUP(I85,A:F,6,FALSE),H85+4,1),0)=6,SUMIFS(Holieday[ok],Holieday[date],J_ADDDAY(VLOOKUP(I85,A:F,6,FALSE),H85+4,1)))=FALSE(),J_ADDDAY(VLOOKUP(I85,A:F,6,FALSE),H85+4,1),J_ADDDAY(VLOOKUP(I85,A:F,6,FALSE),H85+5,1))))))</f>
        <v>1398/09/09</v>
      </c>
      <c r="E85" s="2">
        <f t="shared" si="23"/>
        <v>13980909</v>
      </c>
      <c r="F85" s="13" t="str">
        <f>IF(N85=0,J_SUBDAY(D85,1,1),IF((N85-(NETWORKDAYS.INTL(J_GregorianDate(D85,1),J_GregorianDate(J_SUBDAY(J_ADDDAY(D85,N85,1),1,1),1),16,1)))+SUMIFS(Holieday[ok],Holieday[date],CONCATENATE("&gt;","=",D85),Holieday[date],CONCATENATE("&lt;","=",J_SUBDAY(J_ADDDAY(D85,N85,1),1,1)))-SUMIFS(Holieday[Friday],Holieday[date],CONCATENATE("&gt;","=",D85),Holieday[date],CONCATENATE("&lt;","=",J_SUBDAY(J_ADDDAY(D85,N85,1),1,1)))=0,J_SUBDAY(J_ADDDAY(D85,N85,1),1,1),IF((N85+1-(NETWORKDAYS.INTL(J_GregorianDate(D85,1),J_GregorianDate(J_SUBDAY(J_ADDDAY(D85,N85+1,1),1,1),1),16,1)))+SUMIFS(Holieday[ok],Holieday[date],CONCATENATE("&gt;","=",D85),Holieday[date],CONCATENATE("&lt;","=",J_SUBDAY(J_ADDDAY(D85,N85+1,1),1,1)))-SUMIFS(Holieday[Friday],Holieday[date],CONCATENATE("&gt;","=",D85),Holieday[date],CONCATENATE("&lt;","=",J_SUBDAY(J_ADDDAY(D85,N85+1,1),1,1)))=1,J_SUBDAY(J_ADDDAY(D85,N85+1,1),1,1),IF((N85+2-(NETWORKDAYS.INTL(J_GregorianDate(D85,1),J_GregorianDate(J_SUBDAY(J_ADDDAY(D85,N85+2,1),1,1),1),16,1)))+SUMIFS(Holieday[ok],Holieday[date],CONCATENATE("&gt;","=",D85),Holieday[date],CONCATENATE("&lt;","=",J_SUBDAY(J_ADDDAY(D85,N85+2,1),1,1)))-SUMIFS(Holieday[Friday],Holieday[date],CONCATENATE("&gt;","=",D85),Holieday[date],CONCATENATE("&lt;","=",J_SUBDAY(J_ADDDAY(D85,N85+2,1),1,1)))=2,J_SUBDAY(J_ADDDAY(D85,N85+2,1),1,1),IF((N85+3-(NETWORKDAYS.INTL(J_GregorianDate(D85,1),J_GregorianDate(J_SUBDAY(J_ADDDAY(D85,N85+3,1),1,1),1),16,1)))+SUMIFS(Holieday[ok],Holieday[date],CONCATENATE("&gt;","=",D85),Holieday[date],CONCATENATE("&lt;","=",J_SUBDAY(J_ADDDAY(D85,N85+3,1),1,1)))-SUMIFS(Holieday[Friday],Holieday[date],CONCATENATE("&gt;","=",D85),Holieday[date],CONCATENATE("&lt;","=",J_SUBDAY(J_ADDDAY(D85,N85+3,1),1,1)))=3,J_SUBDAY(J_ADDDAY(D85,N85+3,1),1,1),IF((N85+4-(NETWORKDAYS.INTL(J_GregorianDate(D85,1),J_GregorianDate(J_SUBDAY(J_ADDDAY(D85,N85+4,1),1,1),1),16,1)))+SUMIFS(Holieday[ok],Holieday[date],CONCATENATE("&gt;","=",D85),Holieday[date],CONCATENATE("&lt;","=",J_SUBDAY(J_ADDDAY(D85,N85+4,1),1,1)))-SUMIFS(Holieday[Friday],Holieday[date],CONCATENATE("&gt;","=",D85),Holieday[date],CONCATENATE("&lt;","=",J_SUBDAY(J_ADDDAY(D85,N85+4,1),1,1)))=4,J_SUBDAY(J_ADDDAY(D85,N85+4,1),1,1),IF((N85+5-(NETWORKDAYS.INTL(J_GregorianDate(D85,1),J_GregorianDate(J_SUBDAY(J_ADDDAY(D85,N85+5,1),1,1),1),16,1)))+SUMIFS(Holieday[ok],Holieday[date],CONCATENATE("&gt;","=",D85),Holieday[date],CONCATENATE("&lt;","=",J_SUBDAY(J_ADDDAY(D85,N85+5,1),1,1)))-SUMIFS(Holieday[Friday],Holieday[date],CONCATENATE("&gt;","=",D85),Holieday[date],CONCATENATE("&lt;","=",J_SUBDAY(J_ADDDAY(D85,N85+5,1),1,1)))=5,J_SUBDAY(J_ADDDAY(D85,N85+5,1),1,1),J_SUBDAY(J_ADDDAY(D85,N85+6,1),1,1))))))))</f>
        <v>1398/09/08</v>
      </c>
      <c r="G85" s="3">
        <f t="shared" si="24"/>
        <v>13980908</v>
      </c>
      <c r="H85" s="119"/>
      <c r="I85" s="120">
        <v>3.33</v>
      </c>
      <c r="J85" s="10">
        <f>j_WEEKDAY(D85,2)</f>
        <v>0</v>
      </c>
      <c r="K85" s="22">
        <f t="shared" si="25"/>
        <v>0</v>
      </c>
      <c r="L85" s="9">
        <f t="shared" si="26"/>
        <v>0</v>
      </c>
      <c r="M85" s="121">
        <v>0</v>
      </c>
      <c r="N85" s="118">
        <v>0</v>
      </c>
      <c r="O85" s="11">
        <f t="shared" si="27"/>
        <v>0</v>
      </c>
      <c r="P85" s="11">
        <f>VALUE(J_normdate(J_ADDDAY($D85,$O85,1)))</f>
        <v>13980909</v>
      </c>
      <c r="Q85" s="10">
        <f t="shared" si="28"/>
        <v>0</v>
      </c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  <c r="FZ85" s="8"/>
      <c r="GA85" s="8"/>
      <c r="GB85" s="8"/>
      <c r="GC85" s="8"/>
      <c r="GD85" s="8"/>
      <c r="GE85" s="8"/>
      <c r="GF85" s="8"/>
      <c r="GG85" s="8"/>
      <c r="GH85" s="8"/>
      <c r="GI85" s="8"/>
      <c r="GJ85" s="8"/>
      <c r="GK85" s="8"/>
      <c r="GL85" s="8"/>
      <c r="GM85" s="8"/>
      <c r="GN85" s="8"/>
      <c r="GO85" s="8"/>
      <c r="GP85" s="8"/>
      <c r="GQ85" s="8"/>
      <c r="GR85" s="8"/>
      <c r="GS85" s="8"/>
      <c r="GT85" s="8"/>
      <c r="GU85" s="8"/>
      <c r="GV85" s="8"/>
      <c r="GW85" s="8"/>
      <c r="GX85" s="8"/>
      <c r="GY85" s="8"/>
      <c r="GZ85" s="8"/>
      <c r="HA85" s="8"/>
      <c r="HB85" s="8"/>
      <c r="HC85" s="8"/>
      <c r="HD85" s="8"/>
      <c r="HE85" s="8"/>
      <c r="HF85" s="8"/>
      <c r="HG85" s="8"/>
      <c r="HH85" s="8"/>
      <c r="HI85" s="8"/>
      <c r="HJ85" s="8"/>
      <c r="HK85" s="8"/>
      <c r="HL85" s="8"/>
      <c r="HM85" s="8"/>
      <c r="HN85" s="8"/>
      <c r="HO85" s="8"/>
      <c r="HP85" s="8"/>
      <c r="HQ85" s="8"/>
      <c r="HR85" s="8"/>
      <c r="HS85" s="8"/>
      <c r="HT85" s="8"/>
      <c r="HU85" s="8"/>
      <c r="HV85" s="8"/>
      <c r="HW85" s="8"/>
      <c r="HX85" s="8"/>
      <c r="HY85" s="8"/>
      <c r="HZ85" s="8"/>
      <c r="IA85" s="8"/>
      <c r="IB85" s="8"/>
      <c r="IC85" s="8"/>
      <c r="ID85" s="8"/>
      <c r="IE85" s="8"/>
      <c r="IF85" s="8"/>
      <c r="IG85" s="8"/>
      <c r="IH85" s="8"/>
      <c r="II85" s="8"/>
      <c r="IJ85" s="8"/>
      <c r="IK85" s="8"/>
      <c r="IL85" s="8"/>
      <c r="IM85" s="8"/>
      <c r="IN85" s="8"/>
      <c r="IO85" s="8"/>
      <c r="IP85" s="8"/>
      <c r="IQ85" s="8"/>
      <c r="IR85" s="8"/>
      <c r="IS85" s="8"/>
      <c r="IT85" s="8"/>
      <c r="IU85" s="8"/>
      <c r="IV85" s="8"/>
      <c r="IW85" s="8"/>
      <c r="IX85" s="8"/>
      <c r="JA85" s="123"/>
      <c r="JB85" s="123"/>
      <c r="JC85" s="123"/>
      <c r="JD85" s="70"/>
    </row>
    <row r="86" spans="1:264" s="12" customFormat="1" ht="15.75" hidden="1" x14ac:dyDescent="0.45">
      <c r="A86" s="32">
        <v>3.36</v>
      </c>
      <c r="B86" s="116"/>
      <c r="C86" s="117"/>
      <c r="D86" s="8" t="str">
        <f>IF(OR(j_WEEKDAY(J_ADDDAY(VLOOKUP(I86,A:F,6,FALSE),H86,1),0)=6,SUMIFS(Holieday[ok],Holieday[date],J_ADDDAY(VLOOKUP(I86,A:F,6,FALSE),H86,1)))=FALSE(),J_ADDDAY(VLOOKUP(I86,A:F,6,FALSE),H86,1),IF(OR(j_WEEKDAY(J_ADDDAY(VLOOKUP(I86,A:F,6,FALSE),H86+1,1),0)=6,SUMIFS(Holieday[ok],Holieday[date],J_ADDDAY(VLOOKUP(I86,A:F,6,FALSE),H86+1,1)))=FALSE(),J_ADDDAY(VLOOKUP(I86,A:F,6,FALSE),H86+1,1),IF(OR(j_WEEKDAY(J_ADDDAY(VLOOKUP(I86,A:F,6,FALSE),H86+2,1),0)=6,SUMIFS(Holieday[ok],Holieday[date],J_ADDDAY(VLOOKUP(I86,A:F,6,FALSE),H86+2,1)))=FALSE(),J_ADDDAY(VLOOKUP(I86,A:F,6,FALSE),H86+2,1),IF(OR(j_WEEKDAY(J_ADDDAY(VLOOKUP(I86,A:F,6,FALSE),H86+3,1),0)=6,SUMIFS(Holieday[ok],Holieday[date],J_ADDDAY(VLOOKUP(I86,A:F,6,FALSE),H86+3,1)))=FALSE(),J_ADDDAY(VLOOKUP(I86,A:F,6,FALSE),H86+3,1),IF(OR(j_WEEKDAY(J_ADDDAY(VLOOKUP(I86,A:F,6,FALSE),H86+4,1),0)=6,SUMIFS(Holieday[ok],Holieday[date],J_ADDDAY(VLOOKUP(I86,A:F,6,FALSE),H86+4,1)))=FALSE(),J_ADDDAY(VLOOKUP(I86,A:F,6,FALSE),H86+4,1),J_ADDDAY(VLOOKUP(I86,A:F,6,FALSE),H86+5,1))))))</f>
        <v>1398/09/09</v>
      </c>
      <c r="E86" s="2">
        <f t="shared" si="23"/>
        <v>13980909</v>
      </c>
      <c r="F86" s="13" t="str">
        <f>IF(N86=0,J_SUBDAY(D86,1,1),IF((N86-(NETWORKDAYS.INTL(J_GregorianDate(D86,1),J_GregorianDate(J_SUBDAY(J_ADDDAY(D86,N86,1),1,1),1),16,1)))+SUMIFS(Holieday[ok],Holieday[date],CONCATENATE("&gt;","=",D86),Holieday[date],CONCATENATE("&lt;","=",J_SUBDAY(J_ADDDAY(D86,N86,1),1,1)))-SUMIFS(Holieday[Friday],Holieday[date],CONCATENATE("&gt;","=",D86),Holieday[date],CONCATENATE("&lt;","=",J_SUBDAY(J_ADDDAY(D86,N86,1),1,1)))=0,J_SUBDAY(J_ADDDAY(D86,N86,1),1,1),IF((N86+1-(NETWORKDAYS.INTL(J_GregorianDate(D86,1),J_GregorianDate(J_SUBDAY(J_ADDDAY(D86,N86+1,1),1,1),1),16,1)))+SUMIFS(Holieday[ok],Holieday[date],CONCATENATE("&gt;","=",D86),Holieday[date],CONCATENATE("&lt;","=",J_SUBDAY(J_ADDDAY(D86,N86+1,1),1,1)))-SUMIFS(Holieday[Friday],Holieday[date],CONCATENATE("&gt;","=",D86),Holieday[date],CONCATENATE("&lt;","=",J_SUBDAY(J_ADDDAY(D86,N86+1,1),1,1)))=1,J_SUBDAY(J_ADDDAY(D86,N86+1,1),1,1),IF((N86+2-(NETWORKDAYS.INTL(J_GregorianDate(D86,1),J_GregorianDate(J_SUBDAY(J_ADDDAY(D86,N86+2,1),1,1),1),16,1)))+SUMIFS(Holieday[ok],Holieday[date],CONCATENATE("&gt;","=",D86),Holieday[date],CONCATENATE("&lt;","=",J_SUBDAY(J_ADDDAY(D86,N86+2,1),1,1)))-SUMIFS(Holieday[Friday],Holieday[date],CONCATENATE("&gt;","=",D86),Holieday[date],CONCATENATE("&lt;","=",J_SUBDAY(J_ADDDAY(D86,N86+2,1),1,1)))=2,J_SUBDAY(J_ADDDAY(D86,N86+2,1),1,1),IF((N86+3-(NETWORKDAYS.INTL(J_GregorianDate(D86,1),J_GregorianDate(J_SUBDAY(J_ADDDAY(D86,N86+3,1),1,1),1),16,1)))+SUMIFS(Holieday[ok],Holieday[date],CONCATENATE("&gt;","=",D86),Holieday[date],CONCATENATE("&lt;","=",J_SUBDAY(J_ADDDAY(D86,N86+3,1),1,1)))-SUMIFS(Holieday[Friday],Holieday[date],CONCATENATE("&gt;","=",D86),Holieday[date],CONCATENATE("&lt;","=",J_SUBDAY(J_ADDDAY(D86,N86+3,1),1,1)))=3,J_SUBDAY(J_ADDDAY(D86,N86+3,1),1,1),IF((N86+4-(NETWORKDAYS.INTL(J_GregorianDate(D86,1),J_GregorianDate(J_SUBDAY(J_ADDDAY(D86,N86+4,1),1,1),1),16,1)))+SUMIFS(Holieday[ok],Holieday[date],CONCATENATE("&gt;","=",D86),Holieday[date],CONCATENATE("&lt;","=",J_SUBDAY(J_ADDDAY(D86,N86+4,1),1,1)))-SUMIFS(Holieday[Friday],Holieday[date],CONCATENATE("&gt;","=",D86),Holieday[date],CONCATENATE("&lt;","=",J_SUBDAY(J_ADDDAY(D86,N86+4,1),1,1)))=4,J_SUBDAY(J_ADDDAY(D86,N86+4,1),1,1),IF((N86+5-(NETWORKDAYS.INTL(J_GregorianDate(D86,1),J_GregorianDate(J_SUBDAY(J_ADDDAY(D86,N86+5,1),1,1),1),16,1)))+SUMIFS(Holieday[ok],Holieday[date],CONCATENATE("&gt;","=",D86),Holieday[date],CONCATENATE("&lt;","=",J_SUBDAY(J_ADDDAY(D86,N86+5,1),1,1)))-SUMIFS(Holieday[Friday],Holieday[date],CONCATENATE("&gt;","=",D86),Holieday[date],CONCATENATE("&lt;","=",J_SUBDAY(J_ADDDAY(D86,N86+5,1),1,1)))=5,J_SUBDAY(J_ADDDAY(D86,N86+5,1),1,1),J_SUBDAY(J_ADDDAY(D86,N86+6,1),1,1))))))))</f>
        <v>1398/09/08</v>
      </c>
      <c r="G86" s="3">
        <f t="shared" si="24"/>
        <v>13980908</v>
      </c>
      <c r="H86" s="119"/>
      <c r="I86" s="120">
        <v>3.35</v>
      </c>
      <c r="J86" s="10">
        <f>j_WEEKDAY(D86,2)</f>
        <v>0</v>
      </c>
      <c r="K86" s="22">
        <f t="shared" si="25"/>
        <v>0</v>
      </c>
      <c r="L86" s="9">
        <f t="shared" si="26"/>
        <v>0</v>
      </c>
      <c r="M86" s="121">
        <v>0</v>
      </c>
      <c r="N86" s="118">
        <v>0</v>
      </c>
      <c r="O86" s="11">
        <f t="shared" si="27"/>
        <v>0</v>
      </c>
      <c r="P86" s="11">
        <f>VALUE(J_normdate(J_ADDDAY($D86,$O86,1)))</f>
        <v>13980909</v>
      </c>
      <c r="Q86" s="10">
        <f t="shared" si="28"/>
        <v>0</v>
      </c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  <c r="FZ86" s="8"/>
      <c r="GA86" s="8"/>
      <c r="GB86" s="8"/>
      <c r="GC86" s="8"/>
      <c r="GD86" s="8"/>
      <c r="GE86" s="8"/>
      <c r="GF86" s="8"/>
      <c r="GG86" s="8"/>
      <c r="GH86" s="8"/>
      <c r="GI86" s="8"/>
      <c r="GJ86" s="8"/>
      <c r="GK86" s="8"/>
      <c r="GL86" s="8"/>
      <c r="GM86" s="8"/>
      <c r="GN86" s="8"/>
      <c r="GO86" s="8"/>
      <c r="GP86" s="8"/>
      <c r="GQ86" s="8"/>
      <c r="GR86" s="8"/>
      <c r="GS86" s="8"/>
      <c r="GT86" s="8"/>
      <c r="GU86" s="8"/>
      <c r="GV86" s="8"/>
      <c r="GW86" s="8"/>
      <c r="GX86" s="8"/>
      <c r="GY86" s="8"/>
      <c r="GZ86" s="8"/>
      <c r="HA86" s="8"/>
      <c r="HB86" s="8"/>
      <c r="HC86" s="8"/>
      <c r="HD86" s="8"/>
      <c r="HE86" s="8"/>
      <c r="HF86" s="8"/>
      <c r="HG86" s="8"/>
      <c r="HH86" s="8"/>
      <c r="HI86" s="8"/>
      <c r="HJ86" s="8"/>
      <c r="HK86" s="8"/>
      <c r="HL86" s="8"/>
      <c r="HM86" s="8"/>
      <c r="HN86" s="8"/>
      <c r="HO86" s="8"/>
      <c r="HP86" s="8"/>
      <c r="HQ86" s="8"/>
      <c r="HR86" s="8"/>
      <c r="HS86" s="8"/>
      <c r="HT86" s="8"/>
      <c r="HU86" s="8"/>
      <c r="HV86" s="8"/>
      <c r="HW86" s="8"/>
      <c r="HX86" s="8"/>
      <c r="HY86" s="8"/>
      <c r="HZ86" s="8"/>
      <c r="IA86" s="8"/>
      <c r="IB86" s="8"/>
      <c r="IC86" s="8"/>
      <c r="ID86" s="8"/>
      <c r="IE86" s="8"/>
      <c r="IF86" s="8"/>
      <c r="IG86" s="8"/>
      <c r="IH86" s="8"/>
      <c r="II86" s="8"/>
      <c r="IJ86" s="8"/>
      <c r="IK86" s="8"/>
      <c r="IL86" s="8"/>
      <c r="IM86" s="8"/>
      <c r="IN86" s="8"/>
      <c r="IO86" s="8"/>
      <c r="IP86" s="8"/>
      <c r="IQ86" s="8"/>
      <c r="IR86" s="8"/>
      <c r="IS86" s="8"/>
      <c r="IT86" s="8"/>
      <c r="IU86" s="8"/>
      <c r="IV86" s="8"/>
      <c r="IW86" s="8"/>
      <c r="IX86" s="8"/>
      <c r="JA86" s="123"/>
      <c r="JB86" s="123"/>
      <c r="JC86" s="123"/>
      <c r="JD86" s="70"/>
    </row>
    <row r="87" spans="1:264" s="193" customFormat="1" ht="15.75" x14ac:dyDescent="0.45">
      <c r="A87" s="192">
        <v>4</v>
      </c>
      <c r="B87" s="112" t="s">
        <v>149</v>
      </c>
      <c r="C87" s="113"/>
      <c r="D87" s="196" t="str">
        <f>FDate(MIN(E88:E108))</f>
        <v>1398/07/02</v>
      </c>
      <c r="E87" s="193">
        <f>VALUE(J_normdate(D87))</f>
        <v>13980702</v>
      </c>
      <c r="F87" s="196" t="str">
        <f>J_SUBDAY(J_ADDDAY(D87,L87,1),1,1)</f>
        <v>1398/08/22</v>
      </c>
      <c r="G87" s="196">
        <f t="shared" ref="G87:G118" si="29">VALUE(J_normdate(F87))</f>
        <v>13980822</v>
      </c>
      <c r="H87" s="114"/>
      <c r="I87" s="115"/>
      <c r="J87" s="195">
        <f>j_WEEKDAY(D87,2)</f>
        <v>3</v>
      </c>
      <c r="K87" s="197">
        <f>SUM(K88:K108)</f>
        <v>0</v>
      </c>
      <c r="L87" s="198">
        <f>J_DIFF(D87,FDate(MAX(G88:G108)))+1</f>
        <v>51</v>
      </c>
      <c r="M87" s="199">
        <f>IF(SUM(L88:L108)&lt;&gt;0,SUMPRODUCT(L88:L108,M88:M108)/SUM(L88:L108),0)</f>
        <v>0</v>
      </c>
      <c r="N87" s="200">
        <f>IF(F87&gt;=D87,NETWORKDAYS.INTL(J_GregorianDate(D87,1),J_GregorianDate(F87,1),16,1)-SUMIFS(Holieday[ok],Holieday[date],CONCATENATE("&gt;","=",D87),Holieday[date],CONCATENATE("&lt;","=",F87))+SUMIFS(Holieday[Friday],Holieday[date],CONCATENATE("&gt;","=",D87),Holieday[date],CONCATENATE("&lt;","=",F87)),0)</f>
        <v>40</v>
      </c>
      <c r="O87" s="191">
        <f t="shared" ref="O87:O100" si="30">ROUNDDOWN(M87*L87,0)</f>
        <v>0</v>
      </c>
      <c r="P87" s="191">
        <f>VALUE(J_normdate(J_ADDDAY($D87,$O87,1)))</f>
        <v>13980702</v>
      </c>
      <c r="Q87" s="195">
        <f t="shared" ref="Q87:Q100" si="31">L87-O87</f>
        <v>51</v>
      </c>
      <c r="IY87" s="30"/>
      <c r="IZ87" s="42"/>
      <c r="JA87" s="223"/>
      <c r="JB87" s="223"/>
      <c r="JC87" s="223"/>
    </row>
    <row r="88" spans="1:264" s="226" customFormat="1" ht="15.75" x14ac:dyDescent="0.45">
      <c r="A88" s="201">
        <v>4.0999999999999996</v>
      </c>
      <c r="B88" s="116" t="s">
        <v>119</v>
      </c>
      <c r="C88" s="117" t="s">
        <v>111</v>
      </c>
      <c r="D88" s="205" t="str">
        <f>IF(OR(j_WEEKDAY(J_ADDDAY(VLOOKUP(I88,A:F,6,FALSE),H88,1),0)=6,SUMIFS(Holieday[ok],Holieday[date],J_ADDDAY(VLOOKUP(I88,A:F,6,FALSE),H88,1)))=FALSE(),J_ADDDAY(VLOOKUP(I88,A:F,6,FALSE),H88,1),IF(OR(j_WEEKDAY(J_ADDDAY(VLOOKUP(I88,A:F,6,FALSE),H88+1,1),0)=6,SUMIFS(Holieday[ok],Holieday[date],J_ADDDAY(VLOOKUP(I88,A:F,6,FALSE),H88+1,1)))=FALSE(),J_ADDDAY(VLOOKUP(I88,A:F,6,FALSE),H88+1,1),IF(OR(j_WEEKDAY(J_ADDDAY(VLOOKUP(I88,A:F,6,FALSE),H88+2,1),0)=6,SUMIFS(Holieday[ok],Holieday[date],J_ADDDAY(VLOOKUP(I88,A:F,6,FALSE),H88+2,1)))=FALSE(),J_ADDDAY(VLOOKUP(I88,A:F,6,FALSE),H88+2,1),IF(OR(j_WEEKDAY(J_ADDDAY(VLOOKUP(I88,A:F,6,FALSE),H88+3,1),0)=6,SUMIFS(Holieday[ok],Holieday[date],J_ADDDAY(VLOOKUP(I88,A:F,6,FALSE),H88+3,1)))=FALSE(),J_ADDDAY(VLOOKUP(I88,A:F,6,FALSE),H88+3,1),IF(OR(j_WEEKDAY(J_ADDDAY(VLOOKUP(I88,A:F,6,FALSE),H88+4,1),0)=6,SUMIFS(Holieday[ok],Holieday[date],J_ADDDAY(VLOOKUP(I88,A:F,6,FALSE),H88+4,1)))=FALSE(),J_ADDDAY(VLOOKUP(I88,A:F,6,FALSE),H88+4,1),J_ADDDAY(VLOOKUP(I88,A:F,6,FALSE),H88+5,1))))))</f>
        <v>1398/07/02</v>
      </c>
      <c r="E88" s="193">
        <f t="shared" ref="E88:E118" si="32">VALUE(J_normdate(D88))</f>
        <v>13980702</v>
      </c>
      <c r="F88" s="205" t="str">
        <f>IF(N88=0,J_SUBDAY(D88,1,1),IF((N88-NETWORKDAYS.INTL(J_GregorianDate(D88,1),J_GregorianDate(J_SUBDAY(J_ADDDAY(D88,N88,1),1,1),1),16,1)-SUMIFS(Holieday[ok],Holieday[date],CONCATENATE("&gt;","=",D88),Holieday[date],CONCATENATE("&lt;","=",J_SUBDAY(J_ADDDAY(D88,N88,1),1,1)))+SUMIFS(Holieday[Friday],Holieday[date],CONCATENATE("&gt;","=",D88),Holieday[date],CONCATENATE("&lt;","=",J_SUBDAY(J_ADDDAY(D88,N88,1),1,1))))=0,J_SUBDAY(J_ADDDAY(D88,N88,1),1,1),IF((N88-NETWORKDAYS.INTL(J_GregorianDate(D88,1),J_GregorianDate(J_SUBDAY(J_ADDDAY(D88,N88,1),1,1),1),16,1)-SUMIFS(Holieday[ok],Holieday[date],CONCATENATE("&gt;","=",D88),Holieday[date],CONCATENATE("&lt;","=",J_SUBDAY(J_ADDDAY(D88,N88,1),1,1)))+SUMIFS(Holieday[Friday],Holieday[date],CONCATENATE("&gt;","=",D88),Holieday[date],CONCATENATE("&lt;","=",J_SUBDAY(J_ADDDAY(D88,N88,1),1,1))))=1,J_SUBDAY(J_ADDDAY(D88,N88+1,1),1,1),IF((N88-NETWORKDAYS.INTL(J_GregorianDate(D88,1),J_GregorianDate(J_SUBDAY(J_ADDDAY(D88,N88,1),1,1),1),16,1)-SUMIFS(Holieday[ok],Holieday[date],CONCATENATE("&gt;","=",D88),Holieday[date],CONCATENATE("&lt;","=",J_SUBDAY(J_ADDDAY(D88,N88,1),1,1)))+SUMIFS(Holieday[Friday],Holieday[date],CONCATENATE("&gt;","=",D88),Holieday[date],CONCATENATE("&lt;","=",J_SUBDAY(J_ADDDAY(D88,N88,1),1,1))))=2,J_SUBDAY(J_ADDDAY(D88,N88+2,1),1,1),J_SUBDAY(J_ADDDAY(D88,N88+3,1),1,1)))))</f>
        <v>1398/07/03</v>
      </c>
      <c r="G88" s="196">
        <f t="shared" si="29"/>
        <v>13980703</v>
      </c>
      <c r="H88" s="119"/>
      <c r="I88" s="120">
        <v>1.2</v>
      </c>
      <c r="J88" s="204">
        <f>j_WEEKDAY(D88,2)</f>
        <v>3</v>
      </c>
      <c r="K88" s="206">
        <f t="shared" ref="K88:K108" si="33">SUM(JA88:JC88)</f>
        <v>0</v>
      </c>
      <c r="L88" s="207">
        <f t="shared" ref="L88:L108" si="34">J_DIFF(D88,F88)+1</f>
        <v>2</v>
      </c>
      <c r="M88" s="121">
        <v>0</v>
      </c>
      <c r="N88" s="118">
        <v>2</v>
      </c>
      <c r="O88" s="208">
        <f t="shared" si="30"/>
        <v>0</v>
      </c>
      <c r="P88" s="208">
        <f>VALUE(J_normdate(J_ADDDAY($D88,$O88,1)))</f>
        <v>13980702</v>
      </c>
      <c r="Q88" s="204">
        <f t="shared" si="31"/>
        <v>2</v>
      </c>
      <c r="R88" s="202"/>
      <c r="S88" s="202"/>
      <c r="T88" s="202"/>
      <c r="U88" s="202"/>
      <c r="V88" s="202"/>
      <c r="W88" s="202"/>
      <c r="X88" s="202"/>
      <c r="Y88" s="202"/>
      <c r="Z88" s="202"/>
      <c r="AA88" s="202"/>
      <c r="AB88" s="202"/>
      <c r="AC88" s="202"/>
      <c r="AD88" s="202"/>
      <c r="AE88" s="202"/>
      <c r="AF88" s="202"/>
      <c r="AG88" s="202"/>
      <c r="AH88" s="202"/>
      <c r="AI88" s="202"/>
      <c r="AJ88" s="202"/>
      <c r="AK88" s="202"/>
      <c r="AL88" s="202"/>
      <c r="AM88" s="202"/>
      <c r="AN88" s="202"/>
      <c r="AO88" s="202"/>
      <c r="AP88" s="202"/>
      <c r="AQ88" s="202"/>
      <c r="AR88" s="202"/>
      <c r="AS88" s="202"/>
      <c r="AT88" s="202"/>
      <c r="AU88" s="202"/>
      <c r="AV88" s="202"/>
      <c r="AW88" s="202"/>
      <c r="AX88" s="202"/>
      <c r="AY88" s="202"/>
      <c r="AZ88" s="202"/>
      <c r="BA88" s="202"/>
      <c r="BB88" s="202"/>
      <c r="BC88" s="202"/>
      <c r="BD88" s="202"/>
      <c r="BE88" s="202"/>
      <c r="BF88" s="202"/>
      <c r="BG88" s="202"/>
      <c r="BH88" s="202"/>
      <c r="BI88" s="202"/>
      <c r="BJ88" s="202"/>
      <c r="BK88" s="202"/>
      <c r="BL88" s="202"/>
      <c r="BM88" s="202"/>
      <c r="BN88" s="202"/>
      <c r="BO88" s="202"/>
      <c r="BP88" s="202"/>
      <c r="BQ88" s="202"/>
      <c r="BR88" s="202"/>
      <c r="BS88" s="202"/>
      <c r="BT88" s="202"/>
      <c r="BU88" s="202"/>
      <c r="BV88" s="202"/>
      <c r="BW88" s="202"/>
      <c r="BX88" s="202"/>
      <c r="BY88" s="202"/>
      <c r="BZ88" s="202"/>
      <c r="CA88" s="202"/>
      <c r="CB88" s="202"/>
      <c r="CC88" s="202"/>
      <c r="CD88" s="202"/>
      <c r="CE88" s="202"/>
      <c r="CF88" s="202"/>
      <c r="CG88" s="202"/>
      <c r="CH88" s="202"/>
      <c r="CI88" s="202"/>
      <c r="CJ88" s="202"/>
      <c r="CK88" s="202"/>
      <c r="CL88" s="202"/>
      <c r="CM88" s="202"/>
      <c r="CN88" s="202"/>
      <c r="CO88" s="202"/>
      <c r="CP88" s="202"/>
      <c r="CQ88" s="202"/>
      <c r="CR88" s="202"/>
      <c r="CS88" s="202"/>
      <c r="CT88" s="202"/>
      <c r="CU88" s="202"/>
      <c r="CV88" s="202"/>
      <c r="CW88" s="202"/>
      <c r="CX88" s="202"/>
      <c r="CY88" s="202"/>
      <c r="CZ88" s="202"/>
      <c r="DA88" s="202"/>
      <c r="DB88" s="202"/>
      <c r="DC88" s="202"/>
      <c r="DD88" s="202"/>
      <c r="DE88" s="202"/>
      <c r="DF88" s="202"/>
      <c r="DG88" s="202"/>
      <c r="DH88" s="202"/>
      <c r="DI88" s="202"/>
      <c r="DJ88" s="202"/>
      <c r="DK88" s="202"/>
      <c r="DL88" s="202"/>
      <c r="DM88" s="202"/>
      <c r="DN88" s="202"/>
      <c r="DO88" s="202"/>
      <c r="DP88" s="202"/>
      <c r="DQ88" s="202"/>
      <c r="DR88" s="202"/>
      <c r="DS88" s="202"/>
      <c r="DT88" s="202"/>
      <c r="DU88" s="202"/>
      <c r="DV88" s="202"/>
      <c r="DW88" s="202"/>
      <c r="DX88" s="202"/>
      <c r="DY88" s="202"/>
      <c r="DZ88" s="202"/>
      <c r="EA88" s="202"/>
      <c r="EB88" s="202"/>
      <c r="EC88" s="202"/>
      <c r="ED88" s="202"/>
      <c r="EE88" s="202"/>
      <c r="EF88" s="202"/>
      <c r="EG88" s="202"/>
      <c r="EH88" s="202"/>
      <c r="EI88" s="202"/>
      <c r="EJ88" s="202"/>
      <c r="EK88" s="202"/>
      <c r="EL88" s="202"/>
      <c r="EM88" s="202"/>
      <c r="EN88" s="202"/>
      <c r="EO88" s="202"/>
      <c r="EP88" s="202"/>
      <c r="EQ88" s="202"/>
      <c r="ER88" s="202"/>
      <c r="ES88" s="202"/>
      <c r="ET88" s="202"/>
      <c r="EU88" s="202"/>
      <c r="EV88" s="202"/>
      <c r="EW88" s="202"/>
      <c r="EX88" s="202"/>
      <c r="EY88" s="202"/>
      <c r="EZ88" s="202"/>
      <c r="FA88" s="202"/>
      <c r="FB88" s="202"/>
      <c r="FC88" s="202"/>
      <c r="FD88" s="202"/>
      <c r="FE88" s="202"/>
      <c r="FF88" s="202"/>
      <c r="FG88" s="202"/>
      <c r="FH88" s="202"/>
      <c r="FI88" s="202"/>
      <c r="FJ88" s="202"/>
      <c r="FK88" s="202"/>
      <c r="FL88" s="202"/>
      <c r="FM88" s="202"/>
      <c r="FN88" s="202"/>
      <c r="FO88" s="202"/>
      <c r="FP88" s="202"/>
      <c r="FQ88" s="202"/>
      <c r="FR88" s="202"/>
      <c r="FS88" s="202"/>
      <c r="FT88" s="202"/>
      <c r="FU88" s="202"/>
      <c r="FV88" s="202"/>
      <c r="FW88" s="202"/>
      <c r="FX88" s="202"/>
      <c r="FY88" s="202"/>
      <c r="FZ88" s="202"/>
      <c r="GA88" s="202"/>
      <c r="GB88" s="202"/>
      <c r="GC88" s="202"/>
      <c r="GD88" s="202"/>
      <c r="GE88" s="202"/>
      <c r="GF88" s="202"/>
      <c r="GG88" s="202"/>
      <c r="GH88" s="202"/>
      <c r="GI88" s="202"/>
      <c r="GJ88" s="202"/>
      <c r="GK88" s="202"/>
      <c r="GL88" s="202"/>
      <c r="GM88" s="202"/>
      <c r="GN88" s="202"/>
      <c r="GO88" s="202"/>
      <c r="GP88" s="202"/>
      <c r="GQ88" s="202"/>
      <c r="GR88" s="202"/>
      <c r="GS88" s="202"/>
      <c r="GT88" s="202"/>
      <c r="GU88" s="202"/>
      <c r="GV88" s="202"/>
      <c r="GW88" s="202"/>
      <c r="GX88" s="202"/>
      <c r="GY88" s="202"/>
      <c r="GZ88" s="202"/>
      <c r="HA88" s="202"/>
      <c r="HB88" s="202"/>
      <c r="HC88" s="202"/>
      <c r="HD88" s="202"/>
      <c r="HE88" s="202"/>
      <c r="HF88" s="202"/>
      <c r="HG88" s="202"/>
      <c r="HH88" s="202"/>
      <c r="HI88" s="202"/>
      <c r="HJ88" s="202"/>
      <c r="HK88" s="202"/>
      <c r="HL88" s="202"/>
      <c r="HM88" s="202"/>
      <c r="HN88" s="202"/>
      <c r="HO88" s="202"/>
      <c r="HP88" s="202"/>
      <c r="HQ88" s="202"/>
      <c r="HR88" s="202"/>
      <c r="HS88" s="202"/>
      <c r="HT88" s="202"/>
      <c r="HU88" s="202"/>
      <c r="HV88" s="202"/>
      <c r="HW88" s="202"/>
      <c r="HX88" s="202"/>
      <c r="HY88" s="202"/>
      <c r="HZ88" s="202"/>
      <c r="IA88" s="202"/>
      <c r="IB88" s="202"/>
      <c r="IC88" s="202"/>
      <c r="ID88" s="202"/>
      <c r="IE88" s="202"/>
      <c r="IF88" s="202"/>
      <c r="IG88" s="202"/>
      <c r="IH88" s="202"/>
      <c r="II88" s="202"/>
      <c r="IJ88" s="202"/>
      <c r="IK88" s="202"/>
      <c r="IL88" s="202"/>
      <c r="IM88" s="202"/>
      <c r="IN88" s="202"/>
      <c r="IO88" s="202"/>
      <c r="IP88" s="202"/>
      <c r="IQ88" s="202"/>
      <c r="IR88" s="202"/>
      <c r="IS88" s="202"/>
      <c r="IT88" s="202"/>
      <c r="IU88" s="202"/>
      <c r="IV88" s="202"/>
      <c r="IW88" s="202"/>
      <c r="IX88" s="202"/>
      <c r="IY88" s="31">
        <v>2</v>
      </c>
      <c r="IZ88" s="43">
        <f>(TEXT(K88,"[m]")/60)*VLOOKUP(IY88,'Income Person-hours'!A$2:C$5,3,FALSE)</f>
        <v>0</v>
      </c>
      <c r="JA88" s="122"/>
      <c r="JB88" s="122"/>
      <c r="JC88" s="122"/>
      <c r="JD88" s="227">
        <f>SUM((TEXT(JA88,"[M]")/60)*'Income Person-hours'!$D$3,(TEXT(JB88,"[M]")/60)*'Income Person-hours'!$D$4,(TEXT(JC88,"[M]")/60)*'Income Person-hours'!$D$5)</f>
        <v>0</v>
      </c>
    </row>
    <row r="89" spans="1:264" s="226" customFormat="1" ht="15.75" x14ac:dyDescent="0.45">
      <c r="A89" s="201">
        <v>4.2</v>
      </c>
      <c r="B89" s="116" t="s">
        <v>147</v>
      </c>
      <c r="C89" s="117" t="s">
        <v>79</v>
      </c>
      <c r="D89" s="205" t="str">
        <f>IF(OR(j_WEEKDAY(J_ADDDAY(VLOOKUP(I89,A:F,6,FALSE),H89,1),0)=6,SUMIFS(Holieday[ok],Holieday[date],J_ADDDAY(VLOOKUP(I89,A:F,6,FALSE),H89,1)))=FALSE(),J_ADDDAY(VLOOKUP(I89,A:F,6,FALSE),H89,1),IF(OR(j_WEEKDAY(J_ADDDAY(VLOOKUP(I89,A:F,6,FALSE),H89+1,1),0)=6,SUMIFS(Holieday[ok],Holieday[date],J_ADDDAY(VLOOKUP(I89,A:F,6,FALSE),H89+1,1)))=FALSE(),J_ADDDAY(VLOOKUP(I89,A:F,6,FALSE),H89+1,1),IF(OR(j_WEEKDAY(J_ADDDAY(VLOOKUP(I89,A:F,6,FALSE),H89+2,1),0)=6,SUMIFS(Holieday[ok],Holieday[date],J_ADDDAY(VLOOKUP(I89,A:F,6,FALSE),H89+2,1)))=FALSE(),J_ADDDAY(VLOOKUP(I89,A:F,6,FALSE),H89+2,1),IF(OR(j_WEEKDAY(J_ADDDAY(VLOOKUP(I89,A:F,6,FALSE),H89+3,1),0)=6,SUMIFS(Holieday[ok],Holieday[date],J_ADDDAY(VLOOKUP(I89,A:F,6,FALSE),H89+3,1)))=FALSE(),J_ADDDAY(VLOOKUP(I89,A:F,6,FALSE),H89+3,1),IF(OR(j_WEEKDAY(J_ADDDAY(VLOOKUP(I89,A:F,6,FALSE),H89+4,1),0)=6,SUMIFS(Holieday[ok],Holieday[date],J_ADDDAY(VLOOKUP(I89,A:F,6,FALSE),H89+4,1)))=FALSE(),J_ADDDAY(VLOOKUP(I89,A:F,6,FALSE),H89+4,1),J_ADDDAY(VLOOKUP(I89,A:F,6,FALSE),H89+5,1))))))</f>
        <v>1398/07/04</v>
      </c>
      <c r="E89" s="193">
        <f t="shared" si="32"/>
        <v>13980704</v>
      </c>
      <c r="F89" s="205" t="str">
        <f>IF(N89=0,J_SUBDAY(D89,1,1),IF((N89-NETWORKDAYS.INTL(J_GregorianDate(D89,1),J_GregorianDate(J_SUBDAY(J_ADDDAY(D89,N89,1),1,1),1),16,1)-SUMIFS(Holieday[ok],Holieday[date],CONCATENATE("&gt;","=",D89),Holieday[date],CONCATENATE("&lt;","=",J_SUBDAY(J_ADDDAY(D89,N89,1),1,1)))+SUMIFS(Holieday[Friday],Holieday[date],CONCATENATE("&gt;","=",D89),Holieday[date],CONCATENATE("&lt;","=",J_SUBDAY(J_ADDDAY(D89,N89,1),1,1))))=0,J_SUBDAY(J_ADDDAY(D89,N89,1),1,1),IF((N89-NETWORKDAYS.INTL(J_GregorianDate(D89,1),J_GregorianDate(J_SUBDAY(J_ADDDAY(D89,N89,1),1,1),1),16,1)-SUMIFS(Holieday[ok],Holieday[date],CONCATENATE("&gt;","=",D89),Holieday[date],CONCATENATE("&lt;","=",J_SUBDAY(J_ADDDAY(D89,N89,1),1,1)))+SUMIFS(Holieday[Friday],Holieday[date],CONCATENATE("&gt;","=",D89),Holieday[date],CONCATENATE("&lt;","=",J_SUBDAY(J_ADDDAY(D89,N89,1),1,1))))=1,J_SUBDAY(J_ADDDAY(D89,N89+1,1),1,1),IF((N89-NETWORKDAYS.INTL(J_GregorianDate(D89,1),J_GregorianDate(J_SUBDAY(J_ADDDAY(D89,N89,1),1,1),1),16,1)-SUMIFS(Holieday[ok],Holieday[date],CONCATENATE("&gt;","=",D89),Holieday[date],CONCATENATE("&lt;","=",J_SUBDAY(J_ADDDAY(D89,N89,1),1,1)))+SUMIFS(Holieday[Friday],Holieday[date],CONCATENATE("&gt;","=",D89),Holieday[date],CONCATENATE("&lt;","=",J_SUBDAY(J_ADDDAY(D89,N89,1),1,1))))=2,J_SUBDAY(J_ADDDAY(D89,N89+2,1),1,1),J_SUBDAY(J_ADDDAY(D89,N89+3,1),1,1)))))</f>
        <v>1398/07/09</v>
      </c>
      <c r="G89" s="196">
        <f t="shared" si="29"/>
        <v>13980709</v>
      </c>
      <c r="H89" s="119">
        <v>1</v>
      </c>
      <c r="I89" s="120">
        <v>4.0999999999999996</v>
      </c>
      <c r="J89" s="204">
        <f>j_WEEKDAY(D89,2)</f>
        <v>5</v>
      </c>
      <c r="K89" s="206">
        <f t="shared" si="33"/>
        <v>0</v>
      </c>
      <c r="L89" s="207">
        <f t="shared" si="34"/>
        <v>6</v>
      </c>
      <c r="M89" s="121">
        <v>0</v>
      </c>
      <c r="N89" s="118">
        <v>5</v>
      </c>
      <c r="O89" s="208">
        <f t="shared" si="30"/>
        <v>0</v>
      </c>
      <c r="P89" s="208">
        <f>VALUE(J_normdate(J_ADDDAY($D89,$O89,1)))</f>
        <v>13980704</v>
      </c>
      <c r="Q89" s="204">
        <f t="shared" si="31"/>
        <v>6</v>
      </c>
      <c r="R89" s="202"/>
      <c r="S89" s="202"/>
      <c r="T89" s="202"/>
      <c r="U89" s="202"/>
      <c r="V89" s="202"/>
      <c r="W89" s="202"/>
      <c r="X89" s="202"/>
      <c r="Y89" s="202"/>
      <c r="Z89" s="202"/>
      <c r="AA89" s="202"/>
      <c r="AB89" s="202"/>
      <c r="AC89" s="202"/>
      <c r="AD89" s="202"/>
      <c r="AE89" s="202"/>
      <c r="AF89" s="202"/>
      <c r="AG89" s="202"/>
      <c r="AH89" s="202"/>
      <c r="AI89" s="202"/>
      <c r="AJ89" s="202"/>
      <c r="AK89" s="202"/>
      <c r="AL89" s="202"/>
      <c r="AM89" s="202"/>
      <c r="AN89" s="202"/>
      <c r="AO89" s="202"/>
      <c r="AP89" s="202"/>
      <c r="AQ89" s="202"/>
      <c r="AR89" s="202"/>
      <c r="AS89" s="202"/>
      <c r="AT89" s="202"/>
      <c r="AU89" s="202"/>
      <c r="AV89" s="202"/>
      <c r="AW89" s="202"/>
      <c r="AX89" s="202"/>
      <c r="AY89" s="202"/>
      <c r="AZ89" s="202"/>
      <c r="BA89" s="202"/>
      <c r="BB89" s="202"/>
      <c r="BC89" s="202"/>
      <c r="BD89" s="202"/>
      <c r="BE89" s="202"/>
      <c r="BF89" s="202"/>
      <c r="BG89" s="202"/>
      <c r="BH89" s="202"/>
      <c r="BI89" s="202"/>
      <c r="BJ89" s="202"/>
      <c r="BK89" s="202"/>
      <c r="BL89" s="202"/>
      <c r="BM89" s="202"/>
      <c r="BN89" s="202"/>
      <c r="BO89" s="202"/>
      <c r="BP89" s="202"/>
      <c r="BQ89" s="202"/>
      <c r="BR89" s="202"/>
      <c r="BS89" s="202"/>
      <c r="BT89" s="202"/>
      <c r="BU89" s="202"/>
      <c r="BV89" s="202"/>
      <c r="BW89" s="202"/>
      <c r="BX89" s="202"/>
      <c r="BY89" s="202"/>
      <c r="BZ89" s="202"/>
      <c r="CA89" s="202"/>
      <c r="CB89" s="202"/>
      <c r="CC89" s="202"/>
      <c r="CD89" s="202"/>
      <c r="CE89" s="202"/>
      <c r="CF89" s="202"/>
      <c r="CG89" s="202"/>
      <c r="CH89" s="202"/>
      <c r="CI89" s="202"/>
      <c r="CJ89" s="202"/>
      <c r="CK89" s="202"/>
      <c r="CL89" s="202"/>
      <c r="CM89" s="202"/>
      <c r="CN89" s="202"/>
      <c r="CO89" s="202"/>
      <c r="CP89" s="202"/>
      <c r="CQ89" s="202"/>
      <c r="CR89" s="202"/>
      <c r="CS89" s="202"/>
      <c r="CT89" s="202"/>
      <c r="CU89" s="202"/>
      <c r="CV89" s="202"/>
      <c r="CW89" s="202"/>
      <c r="CX89" s="202"/>
      <c r="CY89" s="202"/>
      <c r="CZ89" s="202"/>
      <c r="DA89" s="202"/>
      <c r="DB89" s="202"/>
      <c r="DC89" s="202"/>
      <c r="DD89" s="202"/>
      <c r="DE89" s="202"/>
      <c r="DF89" s="202"/>
      <c r="DG89" s="202"/>
      <c r="DH89" s="202"/>
      <c r="DI89" s="202"/>
      <c r="DJ89" s="202"/>
      <c r="DK89" s="202"/>
      <c r="DL89" s="202"/>
      <c r="DM89" s="202"/>
      <c r="DN89" s="202"/>
      <c r="DO89" s="202"/>
      <c r="DP89" s="202"/>
      <c r="DQ89" s="202"/>
      <c r="DR89" s="202"/>
      <c r="DS89" s="202"/>
      <c r="DT89" s="202"/>
      <c r="DU89" s="202"/>
      <c r="DV89" s="202"/>
      <c r="DW89" s="202"/>
      <c r="DX89" s="202"/>
      <c r="DY89" s="202"/>
      <c r="DZ89" s="202"/>
      <c r="EA89" s="202"/>
      <c r="EB89" s="202"/>
      <c r="EC89" s="202"/>
      <c r="ED89" s="202"/>
      <c r="EE89" s="202"/>
      <c r="EF89" s="202"/>
      <c r="EG89" s="202"/>
      <c r="EH89" s="202"/>
      <c r="EI89" s="202"/>
      <c r="EJ89" s="202"/>
      <c r="EK89" s="202"/>
      <c r="EL89" s="202"/>
      <c r="EM89" s="202"/>
      <c r="EN89" s="202"/>
      <c r="EO89" s="202"/>
      <c r="EP89" s="202"/>
      <c r="EQ89" s="202"/>
      <c r="ER89" s="202"/>
      <c r="ES89" s="202"/>
      <c r="ET89" s="202"/>
      <c r="EU89" s="202"/>
      <c r="EV89" s="202"/>
      <c r="EW89" s="202"/>
      <c r="EX89" s="202"/>
      <c r="EY89" s="202"/>
      <c r="EZ89" s="202"/>
      <c r="FA89" s="202"/>
      <c r="FB89" s="202"/>
      <c r="FC89" s="202"/>
      <c r="FD89" s="202"/>
      <c r="FE89" s="202"/>
      <c r="FF89" s="202"/>
      <c r="FG89" s="202"/>
      <c r="FH89" s="202"/>
      <c r="FI89" s="202"/>
      <c r="FJ89" s="202"/>
      <c r="FK89" s="202"/>
      <c r="FL89" s="202"/>
      <c r="FM89" s="202"/>
      <c r="FN89" s="202"/>
      <c r="FO89" s="202"/>
      <c r="FP89" s="202"/>
      <c r="FQ89" s="202"/>
      <c r="FR89" s="202"/>
      <c r="FS89" s="202"/>
      <c r="FT89" s="202"/>
      <c r="FU89" s="202"/>
      <c r="FV89" s="202"/>
      <c r="FW89" s="202"/>
      <c r="FX89" s="202"/>
      <c r="FY89" s="202"/>
      <c r="FZ89" s="202"/>
      <c r="GA89" s="202"/>
      <c r="GB89" s="202"/>
      <c r="GC89" s="202"/>
      <c r="GD89" s="202"/>
      <c r="GE89" s="202"/>
      <c r="GF89" s="202"/>
      <c r="GG89" s="202"/>
      <c r="GH89" s="202"/>
      <c r="GI89" s="202"/>
      <c r="GJ89" s="202"/>
      <c r="GK89" s="202"/>
      <c r="GL89" s="202"/>
      <c r="GM89" s="202"/>
      <c r="GN89" s="202"/>
      <c r="GO89" s="202"/>
      <c r="GP89" s="202"/>
      <c r="GQ89" s="202"/>
      <c r="GR89" s="202"/>
      <c r="GS89" s="202"/>
      <c r="GT89" s="202"/>
      <c r="GU89" s="202"/>
      <c r="GV89" s="202"/>
      <c r="GW89" s="202"/>
      <c r="GX89" s="202"/>
      <c r="GY89" s="202"/>
      <c r="GZ89" s="202"/>
      <c r="HA89" s="202"/>
      <c r="HB89" s="202"/>
      <c r="HC89" s="202"/>
      <c r="HD89" s="202"/>
      <c r="HE89" s="202"/>
      <c r="HF89" s="202"/>
      <c r="HG89" s="202"/>
      <c r="HH89" s="202"/>
      <c r="HI89" s="202"/>
      <c r="HJ89" s="202"/>
      <c r="HK89" s="202"/>
      <c r="HL89" s="202"/>
      <c r="HM89" s="202"/>
      <c r="HN89" s="202"/>
      <c r="HO89" s="202"/>
      <c r="HP89" s="202"/>
      <c r="HQ89" s="202"/>
      <c r="HR89" s="202"/>
      <c r="HS89" s="202"/>
      <c r="HT89" s="202"/>
      <c r="HU89" s="202"/>
      <c r="HV89" s="202"/>
      <c r="HW89" s="202"/>
      <c r="HX89" s="202"/>
      <c r="HY89" s="202"/>
      <c r="HZ89" s="202"/>
      <c r="IA89" s="202"/>
      <c r="IB89" s="202"/>
      <c r="IC89" s="202"/>
      <c r="ID89" s="202"/>
      <c r="IE89" s="202"/>
      <c r="IF89" s="202"/>
      <c r="IG89" s="202"/>
      <c r="IH89" s="202"/>
      <c r="II89" s="202"/>
      <c r="IJ89" s="202"/>
      <c r="IK89" s="202"/>
      <c r="IL89" s="202"/>
      <c r="IM89" s="202"/>
      <c r="IN89" s="202"/>
      <c r="IO89" s="202"/>
      <c r="IP89" s="202"/>
      <c r="IQ89" s="202"/>
      <c r="IR89" s="202"/>
      <c r="IS89" s="202"/>
      <c r="IT89" s="202"/>
      <c r="IU89" s="202"/>
      <c r="IV89" s="202"/>
      <c r="IW89" s="202"/>
      <c r="IX89" s="202"/>
      <c r="IY89" s="31">
        <v>3</v>
      </c>
      <c r="IZ89" s="43">
        <f>(TEXT(K89,"[m]")/60)*VLOOKUP(IY89,'Income Person-hours'!A$2:C$5,3,FALSE)</f>
        <v>0</v>
      </c>
      <c r="JA89" s="122"/>
      <c r="JB89" s="122"/>
      <c r="JC89" s="122"/>
      <c r="JD89" s="227">
        <f>SUM((TEXT(JA89,"[M]")/60)*'Income Person-hours'!$D$3,(TEXT(JB89,"[M]")/60)*'Income Person-hours'!$D$4,(TEXT(JC89,"[M]")/60)*'Income Person-hours'!$D$5)</f>
        <v>0</v>
      </c>
    </row>
    <row r="90" spans="1:264" s="226" customFormat="1" ht="15.75" x14ac:dyDescent="0.45">
      <c r="A90" s="201">
        <v>4.3</v>
      </c>
      <c r="B90" s="116" t="s">
        <v>162</v>
      </c>
      <c r="C90" s="117" t="s">
        <v>110</v>
      </c>
      <c r="D90" s="205" t="str">
        <f>IF(OR(j_WEEKDAY(J_ADDDAY(VLOOKUP(I90,A:F,6,FALSE),H90,1),0)=6,SUMIFS(Holieday[ok],Holieday[date],J_ADDDAY(VLOOKUP(I90,A:F,6,FALSE),H90,1)))=FALSE(),J_ADDDAY(VLOOKUP(I90,A:F,6,FALSE),H90,1),IF(OR(j_WEEKDAY(J_ADDDAY(VLOOKUP(I90,A:F,6,FALSE),H90+1,1),0)=6,SUMIFS(Holieday[ok],Holieday[date],J_ADDDAY(VLOOKUP(I90,A:F,6,FALSE),H90+1,1)))=FALSE(),J_ADDDAY(VLOOKUP(I90,A:F,6,FALSE),H90+1,1),IF(OR(j_WEEKDAY(J_ADDDAY(VLOOKUP(I90,A:F,6,FALSE),H90+2,1),0)=6,SUMIFS(Holieday[ok],Holieday[date],J_ADDDAY(VLOOKUP(I90,A:F,6,FALSE),H90+2,1)))=FALSE(),J_ADDDAY(VLOOKUP(I90,A:F,6,FALSE),H90+2,1),IF(OR(j_WEEKDAY(J_ADDDAY(VLOOKUP(I90,A:F,6,FALSE),H90+3,1),0)=6,SUMIFS(Holieday[ok],Holieday[date],J_ADDDAY(VLOOKUP(I90,A:F,6,FALSE),H90+3,1)))=FALSE(),J_ADDDAY(VLOOKUP(I90,A:F,6,FALSE),H90+3,1),IF(OR(j_WEEKDAY(J_ADDDAY(VLOOKUP(I90,A:F,6,FALSE),H90+4,1),0)=6,SUMIFS(Holieday[ok],Holieday[date],J_ADDDAY(VLOOKUP(I90,A:F,6,FALSE),H90+4,1)))=FALSE(),J_ADDDAY(VLOOKUP(I90,A:F,6,FALSE),H90+4,1),J_ADDDAY(VLOOKUP(I90,A:F,6,FALSE),H90+5,1))))))</f>
        <v>1398/07/20</v>
      </c>
      <c r="E90" s="193">
        <f t="shared" si="32"/>
        <v>13980720</v>
      </c>
      <c r="F90" s="205" t="str">
        <f>IF(N90=0,J_SUBDAY(D90,1,1),IF((N90-NETWORKDAYS.INTL(J_GregorianDate(D90,1),J_GregorianDate(J_SUBDAY(J_ADDDAY(D90,N90,1),1,1),1),16,1)-SUMIFS(Holieday[ok],Holieday[date],CONCATENATE("&gt;","=",D90),Holieday[date],CONCATENATE("&lt;","=",J_SUBDAY(J_ADDDAY(D90,N90,1),1,1)))+SUMIFS(Holieday[Friday],Holieday[date],CONCATENATE("&gt;","=",D90),Holieday[date],CONCATENATE("&lt;","=",J_SUBDAY(J_ADDDAY(D90,N90,1),1,1))))=0,J_SUBDAY(J_ADDDAY(D90,N90,1),1,1),IF((N90-NETWORKDAYS.INTL(J_GregorianDate(D90,1),J_GregorianDate(J_SUBDAY(J_ADDDAY(D90,N90,1),1,1),1),16,1)-SUMIFS(Holieday[ok],Holieday[date],CONCATENATE("&gt;","=",D90),Holieday[date],CONCATENATE("&lt;","=",J_SUBDAY(J_ADDDAY(D90,N90,1),1,1)))+SUMIFS(Holieday[Friday],Holieday[date],CONCATENATE("&gt;","=",D90),Holieday[date],CONCATENATE("&lt;","=",J_SUBDAY(J_ADDDAY(D90,N90,1),1,1))))=1,J_SUBDAY(J_ADDDAY(D90,N90+1,1),1,1),IF((N90-NETWORKDAYS.INTL(J_GregorianDate(D90,1),J_GregorianDate(J_SUBDAY(J_ADDDAY(D90,N90,1),1,1),1),16,1)-SUMIFS(Holieday[ok],Holieday[date],CONCATENATE("&gt;","=",D90),Holieday[date],CONCATENATE("&lt;","=",J_SUBDAY(J_ADDDAY(D90,N90,1),1,1)))+SUMIFS(Holieday[Friday],Holieday[date],CONCATENATE("&gt;","=",D90),Holieday[date],CONCATENATE("&lt;","=",J_SUBDAY(J_ADDDAY(D90,N90,1),1,1))))=2,J_SUBDAY(J_ADDDAY(D90,N90+2,1),1,1),J_SUBDAY(J_ADDDAY(D90,N90+3,1),1,1)))))</f>
        <v>1398/07/29</v>
      </c>
      <c r="G90" s="196">
        <f t="shared" si="29"/>
        <v>13980729</v>
      </c>
      <c r="H90" s="119">
        <v>10</v>
      </c>
      <c r="I90" s="120">
        <v>4.2</v>
      </c>
      <c r="J90" s="204">
        <f>j_WEEKDAY(D90,2)</f>
        <v>0</v>
      </c>
      <c r="K90" s="206">
        <f t="shared" si="33"/>
        <v>0</v>
      </c>
      <c r="L90" s="207">
        <f t="shared" si="34"/>
        <v>10</v>
      </c>
      <c r="M90" s="121">
        <v>0</v>
      </c>
      <c r="N90" s="118">
        <v>10</v>
      </c>
      <c r="O90" s="208">
        <f t="shared" si="30"/>
        <v>0</v>
      </c>
      <c r="P90" s="208">
        <f>VALUE(J_normdate(J_ADDDAY($D90,$O90,1)))</f>
        <v>13980720</v>
      </c>
      <c r="Q90" s="204">
        <f t="shared" si="31"/>
        <v>10</v>
      </c>
      <c r="R90" s="202"/>
      <c r="S90" s="202"/>
      <c r="T90" s="202"/>
      <c r="U90" s="202"/>
      <c r="V90" s="202"/>
      <c r="W90" s="202"/>
      <c r="X90" s="202"/>
      <c r="Y90" s="202"/>
      <c r="Z90" s="202"/>
      <c r="AA90" s="202"/>
      <c r="AB90" s="202"/>
      <c r="AC90" s="202"/>
      <c r="AD90" s="202"/>
      <c r="AE90" s="202"/>
      <c r="AF90" s="202"/>
      <c r="AG90" s="202"/>
      <c r="AH90" s="202"/>
      <c r="AI90" s="202"/>
      <c r="AJ90" s="202"/>
      <c r="AK90" s="202"/>
      <c r="AL90" s="202"/>
      <c r="AM90" s="202"/>
      <c r="AN90" s="202"/>
      <c r="AO90" s="202"/>
      <c r="AP90" s="202"/>
      <c r="AQ90" s="202"/>
      <c r="AR90" s="202"/>
      <c r="AS90" s="202"/>
      <c r="AT90" s="202"/>
      <c r="AU90" s="202"/>
      <c r="AV90" s="202"/>
      <c r="AW90" s="202"/>
      <c r="AX90" s="202"/>
      <c r="AY90" s="202"/>
      <c r="AZ90" s="202"/>
      <c r="BA90" s="202"/>
      <c r="BB90" s="202"/>
      <c r="BC90" s="202"/>
      <c r="BD90" s="202"/>
      <c r="BE90" s="202"/>
      <c r="BF90" s="202"/>
      <c r="BG90" s="202"/>
      <c r="BH90" s="202"/>
      <c r="BI90" s="202"/>
      <c r="BJ90" s="202"/>
      <c r="BK90" s="202"/>
      <c r="BL90" s="202"/>
      <c r="BM90" s="202"/>
      <c r="BN90" s="202"/>
      <c r="BO90" s="202"/>
      <c r="BP90" s="202"/>
      <c r="BQ90" s="202"/>
      <c r="BR90" s="202"/>
      <c r="BS90" s="202"/>
      <c r="BT90" s="202"/>
      <c r="BU90" s="202"/>
      <c r="BV90" s="202"/>
      <c r="BW90" s="202"/>
      <c r="BX90" s="202"/>
      <c r="BY90" s="202"/>
      <c r="BZ90" s="202"/>
      <c r="CA90" s="202"/>
      <c r="CB90" s="202"/>
      <c r="CC90" s="202"/>
      <c r="CD90" s="202"/>
      <c r="CE90" s="202"/>
      <c r="CF90" s="202"/>
      <c r="CG90" s="202"/>
      <c r="CH90" s="202"/>
      <c r="CI90" s="202"/>
      <c r="CJ90" s="202"/>
      <c r="CK90" s="202"/>
      <c r="CL90" s="202"/>
      <c r="CM90" s="202"/>
      <c r="CN90" s="202"/>
      <c r="CO90" s="202"/>
      <c r="CP90" s="202"/>
      <c r="CQ90" s="202"/>
      <c r="CR90" s="202"/>
      <c r="CS90" s="202"/>
      <c r="CT90" s="202"/>
      <c r="CU90" s="202"/>
      <c r="CV90" s="202"/>
      <c r="CW90" s="202"/>
      <c r="CX90" s="202"/>
      <c r="CY90" s="202"/>
      <c r="CZ90" s="202"/>
      <c r="DA90" s="202"/>
      <c r="DB90" s="202"/>
      <c r="DC90" s="202"/>
      <c r="DD90" s="202"/>
      <c r="DE90" s="202"/>
      <c r="DF90" s="202"/>
      <c r="DG90" s="202"/>
      <c r="DH90" s="202"/>
      <c r="DI90" s="202"/>
      <c r="DJ90" s="202"/>
      <c r="DK90" s="202"/>
      <c r="DL90" s="202"/>
      <c r="DM90" s="202"/>
      <c r="DN90" s="202"/>
      <c r="DO90" s="202"/>
      <c r="DP90" s="202"/>
      <c r="DQ90" s="202"/>
      <c r="DR90" s="202"/>
      <c r="DS90" s="202"/>
      <c r="DT90" s="202"/>
      <c r="DU90" s="202"/>
      <c r="DV90" s="202"/>
      <c r="DW90" s="202"/>
      <c r="DX90" s="202"/>
      <c r="DY90" s="202"/>
      <c r="DZ90" s="202"/>
      <c r="EA90" s="202"/>
      <c r="EB90" s="202"/>
      <c r="EC90" s="202"/>
      <c r="ED90" s="202"/>
      <c r="EE90" s="202"/>
      <c r="EF90" s="202"/>
      <c r="EG90" s="202"/>
      <c r="EH90" s="202"/>
      <c r="EI90" s="202"/>
      <c r="EJ90" s="202"/>
      <c r="EK90" s="202"/>
      <c r="EL90" s="202"/>
      <c r="EM90" s="202"/>
      <c r="EN90" s="202"/>
      <c r="EO90" s="202"/>
      <c r="EP90" s="202"/>
      <c r="EQ90" s="202"/>
      <c r="ER90" s="202"/>
      <c r="ES90" s="202"/>
      <c r="ET90" s="202"/>
      <c r="EU90" s="202"/>
      <c r="EV90" s="202"/>
      <c r="EW90" s="202"/>
      <c r="EX90" s="202"/>
      <c r="EY90" s="202"/>
      <c r="EZ90" s="202"/>
      <c r="FA90" s="202"/>
      <c r="FB90" s="202"/>
      <c r="FC90" s="202"/>
      <c r="FD90" s="202"/>
      <c r="FE90" s="202"/>
      <c r="FF90" s="202"/>
      <c r="FG90" s="202"/>
      <c r="FH90" s="202"/>
      <c r="FI90" s="202"/>
      <c r="FJ90" s="202"/>
      <c r="FK90" s="202"/>
      <c r="FL90" s="202"/>
      <c r="FM90" s="202"/>
      <c r="FN90" s="202"/>
      <c r="FO90" s="202"/>
      <c r="FP90" s="202"/>
      <c r="FQ90" s="202"/>
      <c r="FR90" s="202"/>
      <c r="FS90" s="202"/>
      <c r="FT90" s="202"/>
      <c r="FU90" s="202"/>
      <c r="FV90" s="202"/>
      <c r="FW90" s="202"/>
      <c r="FX90" s="202"/>
      <c r="FY90" s="202"/>
      <c r="FZ90" s="202"/>
      <c r="GA90" s="202"/>
      <c r="GB90" s="202"/>
      <c r="GC90" s="202"/>
      <c r="GD90" s="202"/>
      <c r="GE90" s="202"/>
      <c r="GF90" s="202"/>
      <c r="GG90" s="202"/>
      <c r="GH90" s="202"/>
      <c r="GI90" s="202"/>
      <c r="GJ90" s="202"/>
      <c r="GK90" s="202"/>
      <c r="GL90" s="202"/>
      <c r="GM90" s="202"/>
      <c r="GN90" s="202"/>
      <c r="GO90" s="202"/>
      <c r="GP90" s="202"/>
      <c r="GQ90" s="202"/>
      <c r="GR90" s="202"/>
      <c r="GS90" s="202"/>
      <c r="GT90" s="202"/>
      <c r="GU90" s="202"/>
      <c r="GV90" s="202"/>
      <c r="GW90" s="202"/>
      <c r="GX90" s="202"/>
      <c r="GY90" s="202"/>
      <c r="GZ90" s="202"/>
      <c r="HA90" s="202"/>
      <c r="HB90" s="202"/>
      <c r="HC90" s="202"/>
      <c r="HD90" s="202"/>
      <c r="HE90" s="202"/>
      <c r="HF90" s="202"/>
      <c r="HG90" s="202"/>
      <c r="HH90" s="202"/>
      <c r="HI90" s="202"/>
      <c r="HJ90" s="202"/>
      <c r="HK90" s="202"/>
      <c r="HL90" s="202"/>
      <c r="HM90" s="202"/>
      <c r="HN90" s="202"/>
      <c r="HO90" s="202"/>
      <c r="HP90" s="202"/>
      <c r="HQ90" s="202"/>
      <c r="HR90" s="202"/>
      <c r="HS90" s="202"/>
      <c r="HT90" s="202"/>
      <c r="HU90" s="202"/>
      <c r="HV90" s="202"/>
      <c r="HW90" s="202"/>
      <c r="HX90" s="202"/>
      <c r="HY90" s="202"/>
      <c r="HZ90" s="202"/>
      <c r="IA90" s="202"/>
      <c r="IB90" s="202"/>
      <c r="IC90" s="202"/>
      <c r="ID90" s="202"/>
      <c r="IE90" s="202"/>
      <c r="IF90" s="202"/>
      <c r="IG90" s="202"/>
      <c r="IH90" s="202"/>
      <c r="II90" s="202"/>
      <c r="IJ90" s="202"/>
      <c r="IK90" s="202"/>
      <c r="IL90" s="202"/>
      <c r="IM90" s="202"/>
      <c r="IN90" s="202"/>
      <c r="IO90" s="202"/>
      <c r="IP90" s="202"/>
      <c r="IQ90" s="202"/>
      <c r="IR90" s="202"/>
      <c r="IS90" s="202"/>
      <c r="IT90" s="202"/>
      <c r="IU90" s="202"/>
      <c r="IV90" s="202"/>
      <c r="IW90" s="202"/>
      <c r="IX90" s="202"/>
      <c r="IY90" s="31">
        <v>3</v>
      </c>
      <c r="IZ90" s="43">
        <f>(TEXT(K90,"[m]")/60)*VLOOKUP(IY90,'Income Person-hours'!A$2:C$5,3,FALSE)</f>
        <v>0</v>
      </c>
      <c r="JA90" s="122"/>
      <c r="JB90" s="122"/>
      <c r="JC90" s="122"/>
      <c r="JD90" s="227">
        <f>SUM((TEXT(JA90,"[M]")/60)*'Income Person-hours'!$D$3,(TEXT(JB90,"[M]")/60)*'Income Person-hours'!$D$4,(TEXT(JC90,"[M]")/60)*'Income Person-hours'!$D$5)</f>
        <v>0</v>
      </c>
    </row>
    <row r="91" spans="1:264" s="226" customFormat="1" ht="15.75" x14ac:dyDescent="0.45">
      <c r="A91" s="201">
        <v>4.4000000000000004</v>
      </c>
      <c r="B91" s="116" t="s">
        <v>161</v>
      </c>
      <c r="C91" s="117" t="s">
        <v>110</v>
      </c>
      <c r="D91" s="205" t="str">
        <f>IF(OR(j_WEEKDAY(J_ADDDAY(VLOOKUP(I91,A:F,6,FALSE),H91,1),0)=6,SUMIFS(Holieday[ok],Holieday[date],J_ADDDAY(VLOOKUP(I91,A:F,6,FALSE),H91,1)))=FALSE(),J_ADDDAY(VLOOKUP(I91,A:F,6,FALSE),H91,1),IF(OR(j_WEEKDAY(J_ADDDAY(VLOOKUP(I91,A:F,6,FALSE),H91+1,1),0)=6,SUMIFS(Holieday[ok],Holieday[date],J_ADDDAY(VLOOKUP(I91,A:F,6,FALSE),H91+1,1)))=FALSE(),J_ADDDAY(VLOOKUP(I91,A:F,6,FALSE),H91+1,1),IF(OR(j_WEEKDAY(J_ADDDAY(VLOOKUP(I91,A:F,6,FALSE),H91+2,1),0)=6,SUMIFS(Holieday[ok],Holieday[date],J_ADDDAY(VLOOKUP(I91,A:F,6,FALSE),H91+2,1)))=FALSE(),J_ADDDAY(VLOOKUP(I91,A:F,6,FALSE),H91+2,1),IF(OR(j_WEEKDAY(J_ADDDAY(VLOOKUP(I91,A:F,6,FALSE),H91+3,1),0)=6,SUMIFS(Holieday[ok],Holieday[date],J_ADDDAY(VLOOKUP(I91,A:F,6,FALSE),H91+3,1)))=FALSE(),J_ADDDAY(VLOOKUP(I91,A:F,6,FALSE),H91+3,1),IF(OR(j_WEEKDAY(J_ADDDAY(VLOOKUP(I91,A:F,6,FALSE),H91+4,1),0)=6,SUMIFS(Holieday[ok],Holieday[date],J_ADDDAY(VLOOKUP(I91,A:F,6,FALSE),H91+4,1)))=FALSE(),J_ADDDAY(VLOOKUP(I91,A:F,6,FALSE),H91+4,1),J_ADDDAY(VLOOKUP(I91,A:F,6,FALSE),H91+5,1))))))</f>
        <v>1398/08/01</v>
      </c>
      <c r="E91" s="193">
        <f t="shared" si="32"/>
        <v>13980801</v>
      </c>
      <c r="F91" s="205" t="str">
        <f>IF(N91=0,J_SUBDAY(D91,1,1),IF((N91-NETWORKDAYS.INTL(J_GregorianDate(D91,1),J_GregorianDate(J_SUBDAY(J_ADDDAY(D91,N91,1),1,1),1),16,1)-SUMIFS(Holieday[ok],Holieday[date],CONCATENATE("&gt;","=",D91),Holieday[date],CONCATENATE("&lt;","=",J_SUBDAY(J_ADDDAY(D91,N91,1),1,1)))+SUMIFS(Holieday[Friday],Holieday[date],CONCATENATE("&gt;","=",D91),Holieday[date],CONCATENATE("&lt;","=",J_SUBDAY(J_ADDDAY(D91,N91,1),1,1))))=0,J_SUBDAY(J_ADDDAY(D91,N91,1),1,1),IF((N91-NETWORKDAYS.INTL(J_GregorianDate(D91,1),J_GregorianDate(J_SUBDAY(J_ADDDAY(D91,N91,1),1,1),1),16,1)-SUMIFS(Holieday[ok],Holieday[date],CONCATENATE("&gt;","=",D91),Holieday[date],CONCATENATE("&lt;","=",J_SUBDAY(J_ADDDAY(D91,N91,1),1,1)))+SUMIFS(Holieday[Friday],Holieday[date],CONCATENATE("&gt;","=",D91),Holieday[date],CONCATENATE("&lt;","=",J_SUBDAY(J_ADDDAY(D91,N91,1),1,1))))=1,J_SUBDAY(J_ADDDAY(D91,N91+1,1),1,1),IF((N91-NETWORKDAYS.INTL(J_GregorianDate(D91,1),J_GregorianDate(J_SUBDAY(J_ADDDAY(D91,N91,1),1,1),1),16,1)-SUMIFS(Holieday[ok],Holieday[date],CONCATENATE("&gt;","=",D91),Holieday[date],CONCATENATE("&lt;","=",J_SUBDAY(J_ADDDAY(D91,N91,1),1,1)))+SUMIFS(Holieday[Friday],Holieday[date],CONCATENATE("&gt;","=",D91),Holieday[date],CONCATENATE("&lt;","=",J_SUBDAY(J_ADDDAY(D91,N91,1),1,1))))=2,J_SUBDAY(J_ADDDAY(D91,N91+2,1),1,1),J_SUBDAY(J_ADDDAY(D91,N91+3,1),1,1)))))</f>
        <v>1398/08/11</v>
      </c>
      <c r="G91" s="196">
        <f t="shared" si="29"/>
        <v>13980811</v>
      </c>
      <c r="H91" s="119">
        <v>2</v>
      </c>
      <c r="I91" s="120">
        <v>4.3</v>
      </c>
      <c r="J91" s="204">
        <f>j_WEEKDAY(D91,2)</f>
        <v>4</v>
      </c>
      <c r="K91" s="206">
        <f t="shared" si="33"/>
        <v>0</v>
      </c>
      <c r="L91" s="207">
        <f t="shared" si="34"/>
        <v>11</v>
      </c>
      <c r="M91" s="121">
        <v>0</v>
      </c>
      <c r="N91" s="118">
        <v>8</v>
      </c>
      <c r="O91" s="208">
        <f t="shared" si="30"/>
        <v>0</v>
      </c>
      <c r="P91" s="208">
        <f>VALUE(J_normdate(J_ADDDAY($D91,$O91,1)))</f>
        <v>13980801</v>
      </c>
      <c r="Q91" s="204">
        <f t="shared" si="31"/>
        <v>11</v>
      </c>
      <c r="R91" s="202"/>
      <c r="S91" s="202"/>
      <c r="T91" s="202"/>
      <c r="U91" s="202"/>
      <c r="V91" s="202"/>
      <c r="W91" s="202"/>
      <c r="X91" s="202"/>
      <c r="Y91" s="202"/>
      <c r="Z91" s="202"/>
      <c r="AA91" s="202"/>
      <c r="AB91" s="202"/>
      <c r="AC91" s="202"/>
      <c r="AD91" s="202"/>
      <c r="AE91" s="202"/>
      <c r="AF91" s="202"/>
      <c r="AG91" s="202"/>
      <c r="AH91" s="202"/>
      <c r="AI91" s="202"/>
      <c r="AJ91" s="202"/>
      <c r="AK91" s="202"/>
      <c r="AL91" s="202"/>
      <c r="AM91" s="202"/>
      <c r="AN91" s="202"/>
      <c r="AO91" s="202"/>
      <c r="AP91" s="202"/>
      <c r="AQ91" s="202"/>
      <c r="AR91" s="202"/>
      <c r="AS91" s="202"/>
      <c r="AT91" s="202"/>
      <c r="AU91" s="202"/>
      <c r="AV91" s="202"/>
      <c r="AW91" s="202"/>
      <c r="AX91" s="202"/>
      <c r="AY91" s="202"/>
      <c r="AZ91" s="202"/>
      <c r="BA91" s="202"/>
      <c r="BB91" s="202"/>
      <c r="BC91" s="202"/>
      <c r="BD91" s="202"/>
      <c r="BE91" s="202"/>
      <c r="BF91" s="202"/>
      <c r="BG91" s="202"/>
      <c r="BH91" s="202"/>
      <c r="BI91" s="202"/>
      <c r="BJ91" s="202"/>
      <c r="BK91" s="202"/>
      <c r="BL91" s="202"/>
      <c r="BM91" s="202"/>
      <c r="BN91" s="202"/>
      <c r="BO91" s="202"/>
      <c r="BP91" s="202"/>
      <c r="BQ91" s="202"/>
      <c r="BR91" s="202"/>
      <c r="BS91" s="202"/>
      <c r="BT91" s="202"/>
      <c r="BU91" s="202"/>
      <c r="BV91" s="202"/>
      <c r="BW91" s="202"/>
      <c r="BX91" s="202"/>
      <c r="BY91" s="202"/>
      <c r="BZ91" s="202"/>
      <c r="CA91" s="202"/>
      <c r="CB91" s="202"/>
      <c r="CC91" s="202"/>
      <c r="CD91" s="202"/>
      <c r="CE91" s="202"/>
      <c r="CF91" s="202"/>
      <c r="CG91" s="202"/>
      <c r="CH91" s="202"/>
      <c r="CI91" s="202"/>
      <c r="CJ91" s="202"/>
      <c r="CK91" s="202"/>
      <c r="CL91" s="202"/>
      <c r="CM91" s="202"/>
      <c r="CN91" s="202"/>
      <c r="CO91" s="202"/>
      <c r="CP91" s="202"/>
      <c r="CQ91" s="202"/>
      <c r="CR91" s="202"/>
      <c r="CS91" s="202"/>
      <c r="CT91" s="202"/>
      <c r="CU91" s="202"/>
      <c r="CV91" s="202"/>
      <c r="CW91" s="202"/>
      <c r="CX91" s="202"/>
      <c r="CY91" s="202"/>
      <c r="CZ91" s="202"/>
      <c r="DA91" s="202"/>
      <c r="DB91" s="202"/>
      <c r="DC91" s="202"/>
      <c r="DD91" s="202"/>
      <c r="DE91" s="202"/>
      <c r="DF91" s="202"/>
      <c r="DG91" s="202"/>
      <c r="DH91" s="202"/>
      <c r="DI91" s="202"/>
      <c r="DJ91" s="202"/>
      <c r="DK91" s="202"/>
      <c r="DL91" s="202"/>
      <c r="DM91" s="202"/>
      <c r="DN91" s="202"/>
      <c r="DO91" s="202"/>
      <c r="DP91" s="202"/>
      <c r="DQ91" s="202"/>
      <c r="DR91" s="202"/>
      <c r="DS91" s="202"/>
      <c r="DT91" s="202"/>
      <c r="DU91" s="202"/>
      <c r="DV91" s="202"/>
      <c r="DW91" s="202"/>
      <c r="DX91" s="202"/>
      <c r="DY91" s="202"/>
      <c r="DZ91" s="202"/>
      <c r="EA91" s="202"/>
      <c r="EB91" s="202"/>
      <c r="EC91" s="202"/>
      <c r="ED91" s="202"/>
      <c r="EE91" s="202"/>
      <c r="EF91" s="202"/>
      <c r="EG91" s="202"/>
      <c r="EH91" s="202"/>
      <c r="EI91" s="202"/>
      <c r="EJ91" s="202"/>
      <c r="EK91" s="202"/>
      <c r="EL91" s="202"/>
      <c r="EM91" s="202"/>
      <c r="EN91" s="202"/>
      <c r="EO91" s="202"/>
      <c r="EP91" s="202"/>
      <c r="EQ91" s="202"/>
      <c r="ER91" s="202"/>
      <c r="ES91" s="202"/>
      <c r="ET91" s="202"/>
      <c r="EU91" s="202"/>
      <c r="EV91" s="202"/>
      <c r="EW91" s="202"/>
      <c r="EX91" s="202"/>
      <c r="EY91" s="202"/>
      <c r="EZ91" s="202"/>
      <c r="FA91" s="202"/>
      <c r="FB91" s="202"/>
      <c r="FC91" s="202"/>
      <c r="FD91" s="202"/>
      <c r="FE91" s="202"/>
      <c r="FF91" s="202"/>
      <c r="FG91" s="202"/>
      <c r="FH91" s="202"/>
      <c r="FI91" s="202"/>
      <c r="FJ91" s="202"/>
      <c r="FK91" s="202"/>
      <c r="FL91" s="202"/>
      <c r="FM91" s="202"/>
      <c r="FN91" s="202"/>
      <c r="FO91" s="202"/>
      <c r="FP91" s="202"/>
      <c r="FQ91" s="202"/>
      <c r="FR91" s="202"/>
      <c r="FS91" s="202"/>
      <c r="FT91" s="202"/>
      <c r="FU91" s="202"/>
      <c r="FV91" s="202"/>
      <c r="FW91" s="202"/>
      <c r="FX91" s="202"/>
      <c r="FY91" s="202"/>
      <c r="FZ91" s="202"/>
      <c r="GA91" s="202"/>
      <c r="GB91" s="202"/>
      <c r="GC91" s="202"/>
      <c r="GD91" s="202"/>
      <c r="GE91" s="202"/>
      <c r="GF91" s="202"/>
      <c r="GG91" s="202"/>
      <c r="GH91" s="202"/>
      <c r="GI91" s="202"/>
      <c r="GJ91" s="202"/>
      <c r="GK91" s="202"/>
      <c r="GL91" s="202"/>
      <c r="GM91" s="202"/>
      <c r="GN91" s="202"/>
      <c r="GO91" s="202"/>
      <c r="GP91" s="202"/>
      <c r="GQ91" s="202"/>
      <c r="GR91" s="202"/>
      <c r="GS91" s="202"/>
      <c r="GT91" s="202"/>
      <c r="GU91" s="202"/>
      <c r="GV91" s="202"/>
      <c r="GW91" s="202"/>
      <c r="GX91" s="202"/>
      <c r="GY91" s="202"/>
      <c r="GZ91" s="202"/>
      <c r="HA91" s="202"/>
      <c r="HB91" s="202"/>
      <c r="HC91" s="202"/>
      <c r="HD91" s="202"/>
      <c r="HE91" s="202"/>
      <c r="HF91" s="202"/>
      <c r="HG91" s="202"/>
      <c r="HH91" s="202"/>
      <c r="HI91" s="202"/>
      <c r="HJ91" s="202"/>
      <c r="HK91" s="202"/>
      <c r="HL91" s="202"/>
      <c r="HM91" s="202"/>
      <c r="HN91" s="202"/>
      <c r="HO91" s="202"/>
      <c r="HP91" s="202"/>
      <c r="HQ91" s="202"/>
      <c r="HR91" s="202"/>
      <c r="HS91" s="202"/>
      <c r="HT91" s="202"/>
      <c r="HU91" s="202"/>
      <c r="HV91" s="202"/>
      <c r="HW91" s="202"/>
      <c r="HX91" s="202"/>
      <c r="HY91" s="202"/>
      <c r="HZ91" s="202"/>
      <c r="IA91" s="202"/>
      <c r="IB91" s="202"/>
      <c r="IC91" s="202"/>
      <c r="ID91" s="202"/>
      <c r="IE91" s="202"/>
      <c r="IF91" s="202"/>
      <c r="IG91" s="202"/>
      <c r="IH91" s="202"/>
      <c r="II91" s="202"/>
      <c r="IJ91" s="202"/>
      <c r="IK91" s="202"/>
      <c r="IL91" s="202"/>
      <c r="IM91" s="202"/>
      <c r="IN91" s="202"/>
      <c r="IO91" s="202"/>
      <c r="IP91" s="202"/>
      <c r="IQ91" s="202"/>
      <c r="IR91" s="202"/>
      <c r="IS91" s="202"/>
      <c r="IT91" s="202"/>
      <c r="IU91" s="202"/>
      <c r="IV91" s="202"/>
      <c r="IW91" s="202"/>
      <c r="IX91" s="202"/>
      <c r="IY91" s="31">
        <v>3</v>
      </c>
      <c r="IZ91" s="43">
        <f>(TEXT(K91,"[m]")/60)*VLOOKUP(IY91,'Income Person-hours'!A$2:C$5,3,FALSE)</f>
        <v>0</v>
      </c>
      <c r="JA91" s="122"/>
      <c r="JB91" s="122"/>
      <c r="JC91" s="122"/>
      <c r="JD91" s="227">
        <f>SUM((TEXT(JA91,"[M]")/60)*'Income Person-hours'!$D$3,(TEXT(JB91,"[M]")/60)*'Income Person-hours'!$D$4,(TEXT(JC91,"[M]")/60)*'Income Person-hours'!$D$5)</f>
        <v>0</v>
      </c>
    </row>
    <row r="92" spans="1:264" s="12" customFormat="1" ht="15.75" x14ac:dyDescent="0.45">
      <c r="A92" s="201">
        <v>4.5</v>
      </c>
      <c r="B92" s="116" t="s">
        <v>148</v>
      </c>
      <c r="C92" s="117" t="s">
        <v>110</v>
      </c>
      <c r="D92" s="13" t="str">
        <f>IF(OR(j_WEEKDAY(J_ADDDAY(VLOOKUP(I92,A:F,6,FALSE),H92,1),0)=6,SUMIFS(Holieday[ok],Holieday[date],J_ADDDAY(VLOOKUP(I92,A:F,6,FALSE),H92,1)))=FALSE(),J_ADDDAY(VLOOKUP(I92,A:F,6,FALSE),H92,1),IF(OR(j_WEEKDAY(J_ADDDAY(VLOOKUP(I92,A:F,6,FALSE),H92+1,1),0)=6,SUMIFS(Holieday[ok],Holieday[date],J_ADDDAY(VLOOKUP(I92,A:F,6,FALSE),H92+1,1)))=FALSE(),J_ADDDAY(VLOOKUP(I92,A:F,6,FALSE),H92+1,1),IF(OR(j_WEEKDAY(J_ADDDAY(VLOOKUP(I92,A:F,6,FALSE),H92+2,1),0)=6,SUMIFS(Holieday[ok],Holieday[date],J_ADDDAY(VLOOKUP(I92,A:F,6,FALSE),H92+2,1)))=FALSE(),J_ADDDAY(VLOOKUP(I92,A:F,6,FALSE),H92+2,1),IF(OR(j_WEEKDAY(J_ADDDAY(VLOOKUP(I92,A:F,6,FALSE),H92+3,1),0)=6,SUMIFS(Holieday[ok],Holieday[date],J_ADDDAY(VLOOKUP(I92,A:F,6,FALSE),H92+3,1)))=FALSE(),J_ADDDAY(VLOOKUP(I92,A:F,6,FALSE),H92+3,1),IF(OR(j_WEEKDAY(J_ADDDAY(VLOOKUP(I92,A:F,6,FALSE),H92+4,1),0)=6,SUMIFS(Holieday[ok],Holieday[date],J_ADDDAY(VLOOKUP(I92,A:F,6,FALSE),H92+4,1)))=FALSE(),J_ADDDAY(VLOOKUP(I92,A:F,6,FALSE),H92+4,1),J_ADDDAY(VLOOKUP(I92,A:F,6,FALSE),H92+5,1))))))</f>
        <v>1398/08/13</v>
      </c>
      <c r="E92" s="2">
        <f t="shared" si="32"/>
        <v>13980813</v>
      </c>
      <c r="F92" s="13" t="str">
        <f>IF(N92=0,J_SUBDAY(D92,1,1),IF((N92-NETWORKDAYS.INTL(J_GregorianDate(D92,1),J_GregorianDate(J_SUBDAY(J_ADDDAY(D92,N92,1),1,1),1),16,1)-SUMIFS(Holieday[ok],Holieday[date],CONCATENATE("&gt;","=",D92),Holieday[date],CONCATENATE("&lt;","=",J_SUBDAY(J_ADDDAY(D92,N92,1),1,1)))+SUMIFS(Holieday[Friday],Holieday[date],CONCATENATE("&gt;","=",D92),Holieday[date],CONCATENATE("&lt;","=",J_SUBDAY(J_ADDDAY(D92,N92,1),1,1))))=0,J_SUBDAY(J_ADDDAY(D92,N92,1),1,1),IF((N92-NETWORKDAYS.INTL(J_GregorianDate(D92,1),J_GregorianDate(J_SUBDAY(J_ADDDAY(D92,N92,1),1,1),1),16,1)-SUMIFS(Holieday[ok],Holieday[date],CONCATENATE("&gt;","=",D92),Holieday[date],CONCATENATE("&lt;","=",J_SUBDAY(J_ADDDAY(D92,N92,1),1,1)))+SUMIFS(Holieday[Friday],Holieday[date],CONCATENATE("&gt;","=",D92),Holieday[date],CONCATENATE("&lt;","=",J_SUBDAY(J_ADDDAY(D92,N92,1),1,1))))=1,J_SUBDAY(J_ADDDAY(D92,N92+1,1),1,1),IF((N92-NETWORKDAYS.INTL(J_GregorianDate(D92,1),J_GregorianDate(J_SUBDAY(J_ADDDAY(D92,N92,1),1,1),1),16,1)-SUMIFS(Holieday[ok],Holieday[date],CONCATENATE("&gt;","=",D92),Holieday[date],CONCATENATE("&lt;","=",J_SUBDAY(J_ADDDAY(D92,N92,1),1,1)))+SUMIFS(Holieday[Friday],Holieday[date],CONCATENATE("&gt;","=",D92),Holieday[date],CONCATENATE("&lt;","=",J_SUBDAY(J_ADDDAY(D92,N92,1),1,1))))=2,J_SUBDAY(J_ADDDAY(D92,N92+2,1),1,1),J_SUBDAY(J_ADDDAY(D92,N92+3,1),1,1)))))</f>
        <v>1398/08/13</v>
      </c>
      <c r="G92" s="3">
        <f t="shared" si="29"/>
        <v>13980813</v>
      </c>
      <c r="H92" s="119">
        <v>2</v>
      </c>
      <c r="I92" s="120">
        <v>4.4000000000000004</v>
      </c>
      <c r="J92" s="204">
        <f>j_WEEKDAY(D92,2)</f>
        <v>2</v>
      </c>
      <c r="K92" s="22">
        <f t="shared" si="33"/>
        <v>0</v>
      </c>
      <c r="L92" s="9">
        <f t="shared" si="34"/>
        <v>1</v>
      </c>
      <c r="M92" s="121">
        <v>0</v>
      </c>
      <c r="N92" s="118">
        <v>1</v>
      </c>
      <c r="O92" s="11">
        <f t="shared" si="30"/>
        <v>0</v>
      </c>
      <c r="P92" s="11">
        <f>VALUE(J_normdate(J_ADDDAY($D92,$O92,1)))</f>
        <v>13980813</v>
      </c>
      <c r="Q92" s="10">
        <f t="shared" si="31"/>
        <v>1</v>
      </c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  <c r="FZ92" s="8"/>
      <c r="GA92" s="8"/>
      <c r="GB92" s="8"/>
      <c r="GC92" s="8"/>
      <c r="GD92" s="8"/>
      <c r="GE92" s="8"/>
      <c r="GF92" s="8"/>
      <c r="GG92" s="8"/>
      <c r="GH92" s="8"/>
      <c r="GI92" s="8"/>
      <c r="GJ92" s="8"/>
      <c r="GK92" s="8"/>
      <c r="GL92" s="8"/>
      <c r="GM92" s="8"/>
      <c r="GN92" s="8"/>
      <c r="GO92" s="8"/>
      <c r="GP92" s="8"/>
      <c r="GQ92" s="8"/>
      <c r="GR92" s="8"/>
      <c r="GS92" s="8"/>
      <c r="GT92" s="8"/>
      <c r="GU92" s="8"/>
      <c r="GV92" s="8"/>
      <c r="GW92" s="8"/>
      <c r="GX92" s="8"/>
      <c r="GY92" s="8"/>
      <c r="GZ92" s="8"/>
      <c r="HA92" s="8"/>
      <c r="HB92" s="8"/>
      <c r="HC92" s="8"/>
      <c r="HD92" s="8"/>
      <c r="HE92" s="8"/>
      <c r="HF92" s="8"/>
      <c r="HG92" s="8"/>
      <c r="HH92" s="8"/>
      <c r="HI92" s="8"/>
      <c r="HJ92" s="8"/>
      <c r="HK92" s="8"/>
      <c r="HL92" s="8"/>
      <c r="HM92" s="8"/>
      <c r="HN92" s="8"/>
      <c r="HO92" s="8"/>
      <c r="HP92" s="8"/>
      <c r="HQ92" s="8"/>
      <c r="HR92" s="8"/>
      <c r="HS92" s="8"/>
      <c r="HT92" s="8"/>
      <c r="HU92" s="8"/>
      <c r="HV92" s="8"/>
      <c r="HW92" s="8"/>
      <c r="HX92" s="8"/>
      <c r="HY92" s="8"/>
      <c r="HZ92" s="8"/>
      <c r="IA92" s="8"/>
      <c r="IB92" s="8"/>
      <c r="IC92" s="8"/>
      <c r="ID92" s="8"/>
      <c r="IE92" s="8"/>
      <c r="IF92" s="8"/>
      <c r="IG92" s="8"/>
      <c r="IH92" s="8"/>
      <c r="II92" s="8"/>
      <c r="IJ92" s="8"/>
      <c r="IK92" s="8"/>
      <c r="IL92" s="8"/>
      <c r="IM92" s="8"/>
      <c r="IN92" s="8"/>
      <c r="IO92" s="8"/>
      <c r="IP92" s="8"/>
      <c r="IQ92" s="8"/>
      <c r="IR92" s="8"/>
      <c r="IS92" s="8"/>
      <c r="IT92" s="8"/>
      <c r="IU92" s="8"/>
      <c r="IV92" s="8"/>
      <c r="IW92" s="8"/>
      <c r="IX92" s="8"/>
      <c r="IY92" s="31">
        <v>1</v>
      </c>
      <c r="IZ92" s="43">
        <f>(TEXT(K92,"[m]")/60)*VLOOKUP(IY92,'Income Person-hours'!A$2:C$5,3,FALSE)</f>
        <v>0</v>
      </c>
      <c r="JA92" s="123"/>
      <c r="JB92" s="123"/>
      <c r="JC92" s="123"/>
      <c r="JD92" s="70">
        <f>SUM((TEXT(JA92,"[M]")/60)*'Income Person-hours'!$D$3,(TEXT(JB92,"[M]")/60)*'Income Person-hours'!$D$4,(TEXT(JC92,"[M]")/60)*'Income Person-hours'!$D$5)</f>
        <v>0</v>
      </c>
    </row>
    <row r="93" spans="1:264" s="12" customFormat="1" ht="15.75" x14ac:dyDescent="0.45">
      <c r="A93" s="201">
        <v>4.5999999999999996</v>
      </c>
      <c r="B93" s="116" t="s">
        <v>150</v>
      </c>
      <c r="C93" s="117" t="s">
        <v>110</v>
      </c>
      <c r="D93" s="13" t="str">
        <f>IF(OR(j_WEEKDAY(J_ADDDAY(VLOOKUP(I93,A:F,6,FALSE),H93,1),0)=6,SUMIFS(Holieday[ok],Holieday[date],J_ADDDAY(VLOOKUP(I93,A:F,6,FALSE),H93,1)))=FALSE(),J_ADDDAY(VLOOKUP(I93,A:F,6,FALSE),H93,1),IF(OR(j_WEEKDAY(J_ADDDAY(VLOOKUP(I93,A:F,6,FALSE),H93+1,1),0)=6,SUMIFS(Holieday[ok],Holieday[date],J_ADDDAY(VLOOKUP(I93,A:F,6,FALSE),H93+1,1)))=FALSE(),J_ADDDAY(VLOOKUP(I93,A:F,6,FALSE),H93+1,1),IF(OR(j_WEEKDAY(J_ADDDAY(VLOOKUP(I93,A:F,6,FALSE),H93+2,1),0)=6,SUMIFS(Holieday[ok],Holieday[date],J_ADDDAY(VLOOKUP(I93,A:F,6,FALSE),H93+2,1)))=FALSE(),J_ADDDAY(VLOOKUP(I93,A:F,6,FALSE),H93+2,1),IF(OR(j_WEEKDAY(J_ADDDAY(VLOOKUP(I93,A:F,6,FALSE),H93+3,1),0)=6,SUMIFS(Holieday[ok],Holieday[date],J_ADDDAY(VLOOKUP(I93,A:F,6,FALSE),H93+3,1)))=FALSE(),J_ADDDAY(VLOOKUP(I93,A:F,6,FALSE),H93+3,1),IF(OR(j_WEEKDAY(J_ADDDAY(VLOOKUP(I93,A:F,6,FALSE),H93+4,1),0)=6,SUMIFS(Holieday[ok],Holieday[date],J_ADDDAY(VLOOKUP(I93,A:F,6,FALSE),H93+4,1)))=FALSE(),J_ADDDAY(VLOOKUP(I93,A:F,6,FALSE),H93+4,1),J_ADDDAY(VLOOKUP(I93,A:F,6,FALSE),H93+5,1))))))</f>
        <v>1398/08/18</v>
      </c>
      <c r="E93" s="2">
        <f t="shared" si="32"/>
        <v>13980818</v>
      </c>
      <c r="F93" s="13" t="str">
        <f>IF(N93=0,J_SUBDAY(D93,1,1),IF((N93-NETWORKDAYS.INTL(J_GregorianDate(D93,1),J_GregorianDate(J_SUBDAY(J_ADDDAY(D93,N93,1),1,1),1),16,1)-SUMIFS(Holieday[ok],Holieday[date],CONCATENATE("&gt;","=",D93),Holieday[date],CONCATENATE("&lt;","=",J_SUBDAY(J_ADDDAY(D93,N93,1),1,1)))+SUMIFS(Holieday[Friday],Holieday[date],CONCATENATE("&gt;","=",D93),Holieday[date],CONCATENATE("&lt;","=",J_SUBDAY(J_ADDDAY(D93,N93,1),1,1))))=0,J_SUBDAY(J_ADDDAY(D93,N93,1),1,1),IF((N93-NETWORKDAYS.INTL(J_GregorianDate(D93,1),J_GregorianDate(J_SUBDAY(J_ADDDAY(D93,N93,1),1,1),1),16,1)-SUMIFS(Holieday[ok],Holieday[date],CONCATENATE("&gt;","=",D93),Holieday[date],CONCATENATE("&lt;","=",J_SUBDAY(J_ADDDAY(D93,N93,1),1,1)))+SUMIFS(Holieday[Friday],Holieday[date],CONCATENATE("&gt;","=",D93),Holieday[date],CONCATENATE("&lt;","=",J_SUBDAY(J_ADDDAY(D93,N93,1),1,1))))=1,J_SUBDAY(J_ADDDAY(D93,N93+1,1),1,1),IF((N93-NETWORKDAYS.INTL(J_GregorianDate(D93,1),J_GregorianDate(J_SUBDAY(J_ADDDAY(D93,N93,1),1,1),1),16,1)-SUMIFS(Holieday[ok],Holieday[date],CONCATENATE("&gt;","=",D93),Holieday[date],CONCATENATE("&lt;","=",J_SUBDAY(J_ADDDAY(D93,N93,1),1,1)))+SUMIFS(Holieday[Friday],Holieday[date],CONCATENATE("&gt;","=",D93),Holieday[date],CONCATENATE("&lt;","=",J_SUBDAY(J_ADDDAY(D93,N93,1),1,1))))=2,J_SUBDAY(J_ADDDAY(D93,N93+2,1),1,1),J_SUBDAY(J_ADDDAY(D93,N93+3,1),1,1)))))</f>
        <v>1398/08/22</v>
      </c>
      <c r="G93" s="3">
        <f t="shared" si="29"/>
        <v>13980822</v>
      </c>
      <c r="H93" s="119">
        <v>5</v>
      </c>
      <c r="I93" s="120">
        <v>4.5</v>
      </c>
      <c r="J93" s="204">
        <f>j_WEEKDAY(D93,2)</f>
        <v>0</v>
      </c>
      <c r="K93" s="22">
        <f t="shared" si="33"/>
        <v>0</v>
      </c>
      <c r="L93" s="9">
        <f t="shared" si="34"/>
        <v>5</v>
      </c>
      <c r="M93" s="121">
        <v>0</v>
      </c>
      <c r="N93" s="118">
        <v>5</v>
      </c>
      <c r="O93" s="11">
        <f t="shared" si="30"/>
        <v>0</v>
      </c>
      <c r="P93" s="11">
        <f>VALUE(J_normdate(J_ADDDAY($D93,$O93,1)))</f>
        <v>13980818</v>
      </c>
      <c r="Q93" s="10">
        <f t="shared" si="31"/>
        <v>5</v>
      </c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  <c r="FZ93" s="8"/>
      <c r="GA93" s="8"/>
      <c r="GB93" s="8"/>
      <c r="GC93" s="8"/>
      <c r="GD93" s="8"/>
      <c r="GE93" s="8"/>
      <c r="GF93" s="8"/>
      <c r="GG93" s="8"/>
      <c r="GH93" s="8"/>
      <c r="GI93" s="8"/>
      <c r="GJ93" s="8"/>
      <c r="GK93" s="8"/>
      <c r="GL93" s="8"/>
      <c r="GM93" s="8"/>
      <c r="GN93" s="8"/>
      <c r="GO93" s="8"/>
      <c r="GP93" s="8"/>
      <c r="GQ93" s="8"/>
      <c r="GR93" s="8"/>
      <c r="GS93" s="8"/>
      <c r="GT93" s="8"/>
      <c r="GU93" s="8"/>
      <c r="GV93" s="8"/>
      <c r="GW93" s="8"/>
      <c r="GX93" s="8"/>
      <c r="GY93" s="8"/>
      <c r="GZ93" s="8"/>
      <c r="HA93" s="8"/>
      <c r="HB93" s="8"/>
      <c r="HC93" s="8"/>
      <c r="HD93" s="8"/>
      <c r="HE93" s="8"/>
      <c r="HF93" s="8"/>
      <c r="HG93" s="8"/>
      <c r="HH93" s="8"/>
      <c r="HI93" s="8"/>
      <c r="HJ93" s="8"/>
      <c r="HK93" s="8"/>
      <c r="HL93" s="8"/>
      <c r="HM93" s="8"/>
      <c r="HN93" s="8"/>
      <c r="HO93" s="8"/>
      <c r="HP93" s="8"/>
      <c r="HQ93" s="8"/>
      <c r="HR93" s="8"/>
      <c r="HS93" s="8"/>
      <c r="HT93" s="8"/>
      <c r="HU93" s="8"/>
      <c r="HV93" s="8"/>
      <c r="HW93" s="8"/>
      <c r="HX93" s="8"/>
      <c r="HY93" s="8"/>
      <c r="HZ93" s="8"/>
      <c r="IA93" s="8"/>
      <c r="IB93" s="8"/>
      <c r="IC93" s="8"/>
      <c r="ID93" s="8"/>
      <c r="IE93" s="8"/>
      <c r="IF93" s="8"/>
      <c r="IG93" s="8"/>
      <c r="IH93" s="8"/>
      <c r="II93" s="8"/>
      <c r="IJ93" s="8"/>
      <c r="IK93" s="8"/>
      <c r="IL93" s="8"/>
      <c r="IM93" s="8"/>
      <c r="IN93" s="8"/>
      <c r="IO93" s="8"/>
      <c r="IP93" s="8"/>
      <c r="IQ93" s="8"/>
      <c r="IR93" s="8"/>
      <c r="IS93" s="8"/>
      <c r="IT93" s="8"/>
      <c r="IU93" s="8"/>
      <c r="IV93" s="8"/>
      <c r="IW93" s="8"/>
      <c r="IX93" s="8"/>
      <c r="IY93" s="31">
        <v>3</v>
      </c>
      <c r="IZ93" s="43">
        <f>(TEXT(K93,"[m]")/60)*VLOOKUP(IY93,'Income Person-hours'!A$2:C$5,3,FALSE)</f>
        <v>0</v>
      </c>
      <c r="JA93" s="123"/>
      <c r="JB93" s="123"/>
      <c r="JC93" s="123"/>
      <c r="JD93" s="70">
        <f>SUM((TEXT(JA93,"[M]")/60)*'Income Person-hours'!$D$3,(TEXT(JB93,"[M]")/60)*'Income Person-hours'!$D$4,(TEXT(JC93,"[M]")/60)*'Income Person-hours'!$D$5)</f>
        <v>0</v>
      </c>
    </row>
    <row r="94" spans="1:264" s="12" customFormat="1" ht="15.75" hidden="1" x14ac:dyDescent="0.45">
      <c r="A94" s="201">
        <v>4.7</v>
      </c>
      <c r="B94" s="116"/>
      <c r="C94" s="117"/>
      <c r="D94" s="13" t="str">
        <f>IF(OR(j_WEEKDAY(J_ADDDAY(VLOOKUP(I94,A:F,6,FALSE),H94,1),0)=6,SUMIFS(Holieday[ok],Holieday[date],J_ADDDAY(VLOOKUP(I94,A:F,6,FALSE),H94,1)))=FALSE(),J_ADDDAY(VLOOKUP(I94,A:F,6,FALSE),H94,1),IF(OR(j_WEEKDAY(J_ADDDAY(VLOOKUP(I94,A:F,6,FALSE),H94+1,1),0)=6,SUMIFS(Holieday[ok],Holieday[date],J_ADDDAY(VLOOKUP(I94,A:F,6,FALSE),H94+1,1)))=FALSE(),J_ADDDAY(VLOOKUP(I94,A:F,6,FALSE),H94+1,1),IF(OR(j_WEEKDAY(J_ADDDAY(VLOOKUP(I94,A:F,6,FALSE),H94+2,1),0)=6,SUMIFS(Holieday[ok],Holieday[date],J_ADDDAY(VLOOKUP(I94,A:F,6,FALSE),H94+2,1)))=FALSE(),J_ADDDAY(VLOOKUP(I94,A:F,6,FALSE),H94+2,1),IF(OR(j_WEEKDAY(J_ADDDAY(VLOOKUP(I94,A:F,6,FALSE),H94+3,1),0)=6,SUMIFS(Holieday[ok],Holieday[date],J_ADDDAY(VLOOKUP(I94,A:F,6,FALSE),H94+3,1)))=FALSE(),J_ADDDAY(VLOOKUP(I94,A:F,6,FALSE),H94+3,1),IF(OR(j_WEEKDAY(J_ADDDAY(VLOOKUP(I94,A:F,6,FALSE),H94+4,1),0)=6,SUMIFS(Holieday[ok],Holieday[date],J_ADDDAY(VLOOKUP(I94,A:F,6,FALSE),H94+4,1)))=FALSE(),J_ADDDAY(VLOOKUP(I94,A:F,6,FALSE),H94+4,1),J_ADDDAY(VLOOKUP(I94,A:F,6,FALSE),H94+5,1))))))</f>
        <v>1398/07/02</v>
      </c>
      <c r="E94" s="2">
        <f t="shared" si="32"/>
        <v>13980702</v>
      </c>
      <c r="F94" s="13" t="str">
        <f>IF(N94=0,J_SUBDAY(D94,1,1),IF((N94-NETWORKDAYS.INTL(J_GregorianDate(D94,1),J_GregorianDate(J_SUBDAY(J_ADDDAY(D94,N94,1),1,1),1),16,1)-SUMIFS(Holieday[ok],Holieday[date],CONCATENATE("&gt;","=",D94),Holieday[date],CONCATENATE("&lt;","=",J_SUBDAY(J_ADDDAY(D94,N94,1),1,1)))+SUMIFS(Holieday[Friday],Holieday[date],CONCATENATE("&gt;","=",D94),Holieday[date],CONCATENATE("&lt;","=",J_SUBDAY(J_ADDDAY(D94,N94,1),1,1))))=0,J_SUBDAY(J_ADDDAY(D94,N94,1),1,1),IF((N94-NETWORKDAYS.INTL(J_GregorianDate(D94,1),J_GregorianDate(J_SUBDAY(J_ADDDAY(D94,N94,1),1,1),1),16,1)-SUMIFS(Holieday[ok],Holieday[date],CONCATENATE("&gt;","=",D94),Holieday[date],CONCATENATE("&lt;","=",J_SUBDAY(J_ADDDAY(D94,N94,1),1,1)))+SUMIFS(Holieday[Friday],Holieday[date],CONCATENATE("&gt;","=",D94),Holieday[date],CONCATENATE("&lt;","=",J_SUBDAY(J_ADDDAY(D94,N94,1),1,1))))=1,J_SUBDAY(J_ADDDAY(D94,N94+1,1),1,1),IF((N94-NETWORKDAYS.INTL(J_GregorianDate(D94,1),J_GregorianDate(J_SUBDAY(J_ADDDAY(D94,N94,1),1,1),1),16,1)-SUMIFS(Holieday[ok],Holieday[date],CONCATENATE("&gt;","=",D94),Holieday[date],CONCATENATE("&lt;","=",J_SUBDAY(J_ADDDAY(D94,N94,1),1,1)))+SUMIFS(Holieday[Friday],Holieday[date],CONCATENATE("&gt;","=",D94),Holieday[date],CONCATENATE("&lt;","=",J_SUBDAY(J_ADDDAY(D94,N94,1),1,1))))=2,J_SUBDAY(J_ADDDAY(D94,N94+2,1),1,1),J_SUBDAY(J_ADDDAY(D94,N94+3,1),1,1)))))</f>
        <v>1398/07/01</v>
      </c>
      <c r="G94" s="3">
        <f t="shared" si="29"/>
        <v>13980701</v>
      </c>
      <c r="H94" s="119"/>
      <c r="I94" s="120">
        <v>1.2</v>
      </c>
      <c r="J94" s="204">
        <f>j_WEEKDAY(D94,2)</f>
        <v>3</v>
      </c>
      <c r="K94" s="22">
        <f t="shared" si="33"/>
        <v>0</v>
      </c>
      <c r="L94" s="9">
        <f t="shared" si="34"/>
        <v>0</v>
      </c>
      <c r="M94" s="121">
        <v>0</v>
      </c>
      <c r="N94" s="118">
        <v>0</v>
      </c>
      <c r="O94" s="11">
        <f t="shared" si="30"/>
        <v>0</v>
      </c>
      <c r="P94" s="11">
        <f>VALUE(J_normdate(J_ADDDAY($D94,$O94,1)))</f>
        <v>13980702</v>
      </c>
      <c r="Q94" s="10">
        <f t="shared" si="31"/>
        <v>0</v>
      </c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  <c r="FZ94" s="8"/>
      <c r="GA94" s="8"/>
      <c r="GB94" s="8"/>
      <c r="GC94" s="8"/>
      <c r="GD94" s="8"/>
      <c r="GE94" s="8"/>
      <c r="GF94" s="8"/>
      <c r="GG94" s="8"/>
      <c r="GH94" s="8"/>
      <c r="GI94" s="8"/>
      <c r="GJ94" s="8"/>
      <c r="GK94" s="8"/>
      <c r="GL94" s="8"/>
      <c r="GM94" s="8"/>
      <c r="GN94" s="8"/>
      <c r="GO94" s="8"/>
      <c r="GP94" s="8"/>
      <c r="GQ94" s="8"/>
      <c r="GR94" s="8"/>
      <c r="GS94" s="8"/>
      <c r="GT94" s="8"/>
      <c r="GU94" s="8"/>
      <c r="GV94" s="8"/>
      <c r="GW94" s="8"/>
      <c r="GX94" s="8"/>
      <c r="GY94" s="8"/>
      <c r="GZ94" s="8"/>
      <c r="HA94" s="8"/>
      <c r="HB94" s="8"/>
      <c r="HC94" s="8"/>
      <c r="HD94" s="8"/>
      <c r="HE94" s="8"/>
      <c r="HF94" s="8"/>
      <c r="HG94" s="8"/>
      <c r="HH94" s="8"/>
      <c r="HI94" s="8"/>
      <c r="HJ94" s="8"/>
      <c r="HK94" s="8"/>
      <c r="HL94" s="8"/>
      <c r="HM94" s="8"/>
      <c r="HN94" s="8"/>
      <c r="HO94" s="8"/>
      <c r="HP94" s="8"/>
      <c r="HQ94" s="8"/>
      <c r="HR94" s="8"/>
      <c r="HS94" s="8"/>
      <c r="HT94" s="8"/>
      <c r="HU94" s="8"/>
      <c r="HV94" s="8"/>
      <c r="HW94" s="8"/>
      <c r="HX94" s="8"/>
      <c r="HY94" s="8"/>
      <c r="HZ94" s="8"/>
      <c r="IA94" s="8"/>
      <c r="IB94" s="8"/>
      <c r="IC94" s="8"/>
      <c r="ID94" s="8"/>
      <c r="IE94" s="8"/>
      <c r="IF94" s="8"/>
      <c r="IG94" s="8"/>
      <c r="IH94" s="8"/>
      <c r="II94" s="8"/>
      <c r="IJ94" s="8"/>
      <c r="IK94" s="8"/>
      <c r="IL94" s="8"/>
      <c r="IM94" s="8"/>
      <c r="IN94" s="8"/>
      <c r="IO94" s="8"/>
      <c r="IP94" s="8"/>
      <c r="IQ94" s="8"/>
      <c r="IR94" s="8"/>
      <c r="IS94" s="8"/>
      <c r="IT94" s="8"/>
      <c r="IU94" s="8"/>
      <c r="IV94" s="8"/>
      <c r="IW94" s="8"/>
      <c r="IX94" s="8"/>
      <c r="IY94" s="31">
        <v>1</v>
      </c>
      <c r="IZ94" s="35">
        <f>(TEXT(K94,"[m]")/60)*VLOOKUP(IY94,'Income Person-hours'!A$2:C$5,3,FALSE)</f>
        <v>0</v>
      </c>
      <c r="JA94" s="123"/>
      <c r="JB94" s="123"/>
      <c r="JC94" s="123"/>
      <c r="JD94" s="70">
        <f>SUM((TEXT(JA94,"[M]")/60)*'Income Person-hours'!$D$3,(TEXT(JB94,"[M]")/60)*'Income Person-hours'!$D$4,(TEXT(JC94,"[M]")/60)*'Income Person-hours'!$D$5)</f>
        <v>0</v>
      </c>
    </row>
    <row r="95" spans="1:264" s="12" customFormat="1" ht="15.75" hidden="1" x14ac:dyDescent="0.45">
      <c r="A95" s="201">
        <v>4.8</v>
      </c>
      <c r="B95" s="116"/>
      <c r="C95" s="117"/>
      <c r="D95" s="13" t="str">
        <f>IF(OR(j_WEEKDAY(J_ADDDAY(VLOOKUP(I95,A:F,6,FALSE),H95,1),0)=6,SUMIFS(Holieday[ok],Holieday[date],J_ADDDAY(VLOOKUP(I95,A:F,6,FALSE),H95,1)))=FALSE(),J_ADDDAY(VLOOKUP(I95,A:F,6,FALSE),H95,1),IF(OR(j_WEEKDAY(J_ADDDAY(VLOOKUP(I95,A:F,6,FALSE),H95+1,1),0)=6,SUMIFS(Holieday[ok],Holieday[date],J_ADDDAY(VLOOKUP(I95,A:F,6,FALSE),H95+1,1)))=FALSE(),J_ADDDAY(VLOOKUP(I95,A:F,6,FALSE),H95+1,1),IF(OR(j_WEEKDAY(J_ADDDAY(VLOOKUP(I95,A:F,6,FALSE),H95+2,1),0)=6,SUMIFS(Holieday[ok],Holieday[date],J_ADDDAY(VLOOKUP(I95,A:F,6,FALSE),H95+2,1)))=FALSE(),J_ADDDAY(VLOOKUP(I95,A:F,6,FALSE),H95+2,1),IF(OR(j_WEEKDAY(J_ADDDAY(VLOOKUP(I95,A:F,6,FALSE),H95+3,1),0)=6,SUMIFS(Holieday[ok],Holieday[date],J_ADDDAY(VLOOKUP(I95,A:F,6,FALSE),H95+3,1)))=FALSE(),J_ADDDAY(VLOOKUP(I95,A:F,6,FALSE),H95+3,1),IF(OR(j_WEEKDAY(J_ADDDAY(VLOOKUP(I95,A:F,6,FALSE),H95+4,1),0)=6,SUMIFS(Holieday[ok],Holieday[date],J_ADDDAY(VLOOKUP(I95,A:F,6,FALSE),H95+4,1)))=FALSE(),J_ADDDAY(VLOOKUP(I95,A:F,6,FALSE),H95+4,1),J_ADDDAY(VLOOKUP(I95,A:F,6,FALSE),H95+5,1))))))</f>
        <v>1398/07/02</v>
      </c>
      <c r="E95" s="2">
        <f t="shared" si="32"/>
        <v>13980702</v>
      </c>
      <c r="F95" s="13" t="str">
        <f>IF(N95=0,J_SUBDAY(D95,1,1),IF((N95-NETWORKDAYS.INTL(J_GregorianDate(D95,1),J_GregorianDate(J_SUBDAY(J_ADDDAY(D95,N95,1),1,1),1),16,1)-SUMIFS(Holieday[ok],Holieday[date],CONCATENATE("&gt;","=",D95),Holieday[date],CONCATENATE("&lt;","=",J_SUBDAY(J_ADDDAY(D95,N95,1),1,1)))+SUMIFS(Holieday[Friday],Holieday[date],CONCATENATE("&gt;","=",D95),Holieday[date],CONCATENATE("&lt;","=",J_SUBDAY(J_ADDDAY(D95,N95,1),1,1))))=0,J_SUBDAY(J_ADDDAY(D95,N95,1),1,1),IF((N95-NETWORKDAYS.INTL(J_GregorianDate(D95,1),J_GregorianDate(J_SUBDAY(J_ADDDAY(D95,N95,1),1,1),1),16,1)-SUMIFS(Holieday[ok],Holieday[date],CONCATENATE("&gt;","=",D95),Holieday[date],CONCATENATE("&lt;","=",J_SUBDAY(J_ADDDAY(D95,N95,1),1,1)))+SUMIFS(Holieday[Friday],Holieday[date],CONCATENATE("&gt;","=",D95),Holieday[date],CONCATENATE("&lt;","=",J_SUBDAY(J_ADDDAY(D95,N95,1),1,1))))=1,J_SUBDAY(J_ADDDAY(D95,N95+1,1),1,1),IF((N95-NETWORKDAYS.INTL(J_GregorianDate(D95,1),J_GregorianDate(J_SUBDAY(J_ADDDAY(D95,N95,1),1,1),1),16,1)-SUMIFS(Holieday[ok],Holieday[date],CONCATENATE("&gt;","=",D95),Holieday[date],CONCATENATE("&lt;","=",J_SUBDAY(J_ADDDAY(D95,N95,1),1,1)))+SUMIFS(Holieday[Friday],Holieday[date],CONCATENATE("&gt;","=",D95),Holieday[date],CONCATENATE("&lt;","=",J_SUBDAY(J_ADDDAY(D95,N95,1),1,1))))=2,J_SUBDAY(J_ADDDAY(D95,N95+2,1),1,1),J_SUBDAY(J_ADDDAY(D95,N95+3,1),1,1)))))</f>
        <v>1398/07/01</v>
      </c>
      <c r="G95" s="3">
        <f t="shared" si="29"/>
        <v>13980701</v>
      </c>
      <c r="H95" s="119"/>
      <c r="I95" s="120">
        <v>1.2</v>
      </c>
      <c r="J95" s="204">
        <f>j_WEEKDAY(D95,2)</f>
        <v>3</v>
      </c>
      <c r="K95" s="22">
        <f t="shared" si="33"/>
        <v>0</v>
      </c>
      <c r="L95" s="9">
        <f t="shared" si="34"/>
        <v>0</v>
      </c>
      <c r="M95" s="121">
        <v>0</v>
      </c>
      <c r="N95" s="118">
        <v>0</v>
      </c>
      <c r="O95" s="11">
        <f t="shared" si="30"/>
        <v>0</v>
      </c>
      <c r="P95" s="11">
        <f>VALUE(J_normdate(J_ADDDAY($D95,$O95,1)))</f>
        <v>13980702</v>
      </c>
      <c r="Q95" s="10">
        <f t="shared" si="31"/>
        <v>0</v>
      </c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  <c r="FZ95" s="8"/>
      <c r="GA95" s="8"/>
      <c r="GB95" s="8"/>
      <c r="GC95" s="8"/>
      <c r="GD95" s="8"/>
      <c r="GE95" s="8"/>
      <c r="GF95" s="8"/>
      <c r="GG95" s="8"/>
      <c r="GH95" s="8"/>
      <c r="GI95" s="8"/>
      <c r="GJ95" s="8"/>
      <c r="GK95" s="8"/>
      <c r="GL95" s="8"/>
      <c r="GM95" s="8"/>
      <c r="GN95" s="8"/>
      <c r="GO95" s="8"/>
      <c r="GP95" s="8"/>
      <c r="GQ95" s="8"/>
      <c r="GR95" s="8"/>
      <c r="GS95" s="8"/>
      <c r="GT95" s="8"/>
      <c r="GU95" s="8"/>
      <c r="GV95" s="8"/>
      <c r="GW95" s="8"/>
      <c r="GX95" s="8"/>
      <c r="GY95" s="8"/>
      <c r="GZ95" s="8"/>
      <c r="HA95" s="8"/>
      <c r="HB95" s="8"/>
      <c r="HC95" s="8"/>
      <c r="HD95" s="8"/>
      <c r="HE95" s="8"/>
      <c r="HF95" s="8"/>
      <c r="HG95" s="8"/>
      <c r="HH95" s="8"/>
      <c r="HI95" s="8"/>
      <c r="HJ95" s="8"/>
      <c r="HK95" s="8"/>
      <c r="HL95" s="8"/>
      <c r="HM95" s="8"/>
      <c r="HN95" s="8"/>
      <c r="HO95" s="8"/>
      <c r="HP95" s="8"/>
      <c r="HQ95" s="8"/>
      <c r="HR95" s="8"/>
      <c r="HS95" s="8"/>
      <c r="HT95" s="8"/>
      <c r="HU95" s="8"/>
      <c r="HV95" s="8"/>
      <c r="HW95" s="8"/>
      <c r="HX95" s="8"/>
      <c r="HY95" s="8"/>
      <c r="HZ95" s="8"/>
      <c r="IA95" s="8"/>
      <c r="IB95" s="8"/>
      <c r="IC95" s="8"/>
      <c r="ID95" s="8"/>
      <c r="IE95" s="8"/>
      <c r="IF95" s="8"/>
      <c r="IG95" s="8"/>
      <c r="IH95" s="8"/>
      <c r="II95" s="8"/>
      <c r="IJ95" s="8"/>
      <c r="IK95" s="8"/>
      <c r="IL95" s="8"/>
      <c r="IM95" s="8"/>
      <c r="IN95" s="8"/>
      <c r="IO95" s="8"/>
      <c r="IP95" s="8"/>
      <c r="IQ95" s="8"/>
      <c r="IR95" s="8"/>
      <c r="IS95" s="8"/>
      <c r="IT95" s="8"/>
      <c r="IU95" s="8"/>
      <c r="IV95" s="8"/>
      <c r="IW95" s="8"/>
      <c r="IX95" s="8"/>
      <c r="IY95" s="31">
        <v>1</v>
      </c>
      <c r="IZ95" s="35">
        <f>(TEXT(K95,"[m]")/60)*VLOOKUP(IY95,'Income Person-hours'!A$2:C$5,3,FALSE)</f>
        <v>0</v>
      </c>
      <c r="JA95" s="123"/>
      <c r="JB95" s="123"/>
      <c r="JC95" s="123"/>
      <c r="JD95" s="70">
        <f>SUM((TEXT(JA95,"[M]")/60)*'Income Person-hours'!$D$3,(TEXT(JB95,"[M]")/60)*'Income Person-hours'!$D$4,(TEXT(JC95,"[M]")/60)*'Income Person-hours'!$D$5)</f>
        <v>0</v>
      </c>
    </row>
    <row r="96" spans="1:264" s="12" customFormat="1" ht="15.75" hidden="1" x14ac:dyDescent="0.45">
      <c r="A96" s="201">
        <v>4.9000000000000004</v>
      </c>
      <c r="B96" s="116"/>
      <c r="C96" s="117"/>
      <c r="D96" s="13" t="str">
        <f>IF(OR(j_WEEKDAY(J_ADDDAY(VLOOKUP(I96,A:F,6,FALSE),H96,1),0)=6,SUMIFS(Holieday[ok],Holieday[date],J_ADDDAY(VLOOKUP(I96,A:F,6,FALSE),H96,1)))=FALSE(),J_ADDDAY(VLOOKUP(I96,A:F,6,FALSE),H96,1),IF(OR(j_WEEKDAY(J_ADDDAY(VLOOKUP(I96,A:F,6,FALSE),H96+1,1),0)=6,SUMIFS(Holieday[ok],Holieday[date],J_ADDDAY(VLOOKUP(I96,A:F,6,FALSE),H96+1,1)))=FALSE(),J_ADDDAY(VLOOKUP(I96,A:F,6,FALSE),H96+1,1),IF(OR(j_WEEKDAY(J_ADDDAY(VLOOKUP(I96,A:F,6,FALSE),H96+2,1),0)=6,SUMIFS(Holieday[ok],Holieday[date],J_ADDDAY(VLOOKUP(I96,A:F,6,FALSE),H96+2,1)))=FALSE(),J_ADDDAY(VLOOKUP(I96,A:F,6,FALSE),H96+2,1),IF(OR(j_WEEKDAY(J_ADDDAY(VLOOKUP(I96,A:F,6,FALSE),H96+3,1),0)=6,SUMIFS(Holieday[ok],Holieday[date],J_ADDDAY(VLOOKUP(I96,A:F,6,FALSE),H96+3,1)))=FALSE(),J_ADDDAY(VLOOKUP(I96,A:F,6,FALSE),H96+3,1),IF(OR(j_WEEKDAY(J_ADDDAY(VLOOKUP(I96,A:F,6,FALSE),H96+4,1),0)=6,SUMIFS(Holieday[ok],Holieday[date],J_ADDDAY(VLOOKUP(I96,A:F,6,FALSE),H96+4,1)))=FALSE(),J_ADDDAY(VLOOKUP(I96,A:F,6,FALSE),H96+4,1),J_ADDDAY(VLOOKUP(I96,A:F,6,FALSE),H96+5,1))))))</f>
        <v>1398/07/02</v>
      </c>
      <c r="E96" s="2">
        <f t="shared" si="32"/>
        <v>13980702</v>
      </c>
      <c r="F96" s="13" t="str">
        <f>IF(N96=0,J_SUBDAY(D96,1,1),IF((N96-NETWORKDAYS.INTL(J_GregorianDate(D96,1),J_GregorianDate(J_SUBDAY(J_ADDDAY(D96,N96,1),1,1),1),16,1)-SUMIFS(Holieday[ok],Holieday[date],CONCATENATE("&gt;","=",D96),Holieday[date],CONCATENATE("&lt;","=",J_SUBDAY(J_ADDDAY(D96,N96,1),1,1)))+SUMIFS(Holieday[Friday],Holieday[date],CONCATENATE("&gt;","=",D96),Holieday[date],CONCATENATE("&lt;","=",J_SUBDAY(J_ADDDAY(D96,N96,1),1,1))))=0,J_SUBDAY(J_ADDDAY(D96,N96,1),1,1),IF((N96-NETWORKDAYS.INTL(J_GregorianDate(D96,1),J_GregorianDate(J_SUBDAY(J_ADDDAY(D96,N96,1),1,1),1),16,1)-SUMIFS(Holieday[ok],Holieday[date],CONCATENATE("&gt;","=",D96),Holieday[date],CONCATENATE("&lt;","=",J_SUBDAY(J_ADDDAY(D96,N96,1),1,1)))+SUMIFS(Holieday[Friday],Holieday[date],CONCATENATE("&gt;","=",D96),Holieday[date],CONCATENATE("&lt;","=",J_SUBDAY(J_ADDDAY(D96,N96,1),1,1))))=1,J_SUBDAY(J_ADDDAY(D96,N96+1,1),1,1),IF((N96-NETWORKDAYS.INTL(J_GregorianDate(D96,1),J_GregorianDate(J_SUBDAY(J_ADDDAY(D96,N96,1),1,1),1),16,1)-SUMIFS(Holieday[ok],Holieday[date],CONCATENATE("&gt;","=",D96),Holieday[date],CONCATENATE("&lt;","=",J_SUBDAY(J_ADDDAY(D96,N96,1),1,1)))+SUMIFS(Holieday[Friday],Holieday[date],CONCATENATE("&gt;","=",D96),Holieday[date],CONCATENATE("&lt;","=",J_SUBDAY(J_ADDDAY(D96,N96,1),1,1))))=2,J_SUBDAY(J_ADDDAY(D96,N96+2,1),1,1),J_SUBDAY(J_ADDDAY(D96,N96+3,1),1,1)))))</f>
        <v>1398/07/01</v>
      </c>
      <c r="G96" s="3">
        <f t="shared" si="29"/>
        <v>13980701</v>
      </c>
      <c r="H96" s="119"/>
      <c r="I96" s="120">
        <v>1.2</v>
      </c>
      <c r="J96" s="10">
        <f>j_WEEKDAY(D96,2)</f>
        <v>3</v>
      </c>
      <c r="K96" s="22">
        <f t="shared" si="33"/>
        <v>0</v>
      </c>
      <c r="L96" s="9">
        <f t="shared" si="34"/>
        <v>0</v>
      </c>
      <c r="M96" s="121">
        <v>0</v>
      </c>
      <c r="N96" s="118">
        <v>0</v>
      </c>
      <c r="O96" s="11">
        <f t="shared" si="30"/>
        <v>0</v>
      </c>
      <c r="P96" s="11">
        <f>VALUE(J_normdate(J_ADDDAY($D96,$O96,1)))</f>
        <v>13980702</v>
      </c>
      <c r="Q96" s="10">
        <f t="shared" si="31"/>
        <v>0</v>
      </c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  <c r="FZ96" s="8"/>
      <c r="GA96" s="8"/>
      <c r="GB96" s="8"/>
      <c r="GC96" s="8"/>
      <c r="GD96" s="8"/>
      <c r="GE96" s="8"/>
      <c r="GF96" s="8"/>
      <c r="GG96" s="8"/>
      <c r="GH96" s="8"/>
      <c r="GI96" s="8"/>
      <c r="GJ96" s="8"/>
      <c r="GK96" s="8"/>
      <c r="GL96" s="8"/>
      <c r="GM96" s="8"/>
      <c r="GN96" s="8"/>
      <c r="GO96" s="8"/>
      <c r="GP96" s="8"/>
      <c r="GQ96" s="8"/>
      <c r="GR96" s="8"/>
      <c r="GS96" s="8"/>
      <c r="GT96" s="8"/>
      <c r="GU96" s="8"/>
      <c r="GV96" s="8"/>
      <c r="GW96" s="8"/>
      <c r="GX96" s="8"/>
      <c r="GY96" s="8"/>
      <c r="GZ96" s="8"/>
      <c r="HA96" s="8"/>
      <c r="HB96" s="8"/>
      <c r="HC96" s="8"/>
      <c r="HD96" s="8"/>
      <c r="HE96" s="8"/>
      <c r="HF96" s="8"/>
      <c r="HG96" s="8"/>
      <c r="HH96" s="8"/>
      <c r="HI96" s="8"/>
      <c r="HJ96" s="8"/>
      <c r="HK96" s="8"/>
      <c r="HL96" s="8"/>
      <c r="HM96" s="8"/>
      <c r="HN96" s="8"/>
      <c r="HO96" s="8"/>
      <c r="HP96" s="8"/>
      <c r="HQ96" s="8"/>
      <c r="HR96" s="8"/>
      <c r="HS96" s="8"/>
      <c r="HT96" s="8"/>
      <c r="HU96" s="8"/>
      <c r="HV96" s="8"/>
      <c r="HW96" s="8"/>
      <c r="HX96" s="8"/>
      <c r="HY96" s="8"/>
      <c r="HZ96" s="8"/>
      <c r="IA96" s="8"/>
      <c r="IB96" s="8"/>
      <c r="IC96" s="8"/>
      <c r="ID96" s="8"/>
      <c r="IE96" s="8"/>
      <c r="IF96" s="8"/>
      <c r="IG96" s="8"/>
      <c r="IH96" s="8"/>
      <c r="II96" s="8"/>
      <c r="IJ96" s="8"/>
      <c r="IK96" s="8"/>
      <c r="IL96" s="8"/>
      <c r="IM96" s="8"/>
      <c r="IN96" s="8"/>
      <c r="IO96" s="8"/>
      <c r="IP96" s="8"/>
      <c r="IQ96" s="8"/>
      <c r="IR96" s="8"/>
      <c r="IS96" s="8"/>
      <c r="IT96" s="8"/>
      <c r="IU96" s="8"/>
      <c r="IV96" s="8"/>
      <c r="IW96" s="8"/>
      <c r="IX96" s="8"/>
      <c r="IY96" s="31">
        <v>1</v>
      </c>
      <c r="IZ96" s="35">
        <f>(TEXT(K96,"[m]")/60)*VLOOKUP(IY96,'Income Person-hours'!A$2:C$5,3,FALSE)</f>
        <v>0</v>
      </c>
      <c r="JA96" s="123"/>
      <c r="JB96" s="123"/>
      <c r="JC96" s="123"/>
      <c r="JD96" s="70">
        <f>SUM((TEXT(JA96,"[M]")/60)*'Income Person-hours'!$D$3,(TEXT(JB96,"[M]")/60)*'Income Person-hours'!$D$4,(TEXT(JC96,"[M]")/60)*'Income Person-hours'!$D$5)</f>
        <v>0</v>
      </c>
    </row>
    <row r="97" spans="1:264" s="12" customFormat="1" ht="15.75" hidden="1" x14ac:dyDescent="0.45">
      <c r="A97" s="32">
        <v>4.1100000000000003</v>
      </c>
      <c r="B97" s="126"/>
      <c r="C97" s="117"/>
      <c r="D97" s="13" t="str">
        <f>IF(OR(j_WEEKDAY(J_ADDDAY(VLOOKUP(I97,A:F,6,FALSE),H97,1),0)=6,SUMIFS(Holieday[ok],Holieday[date],J_ADDDAY(VLOOKUP(I97,A:F,6,FALSE),H97,1)))=FALSE(),J_ADDDAY(VLOOKUP(I97,A:F,6,FALSE),H97,1),IF(OR(j_WEEKDAY(J_ADDDAY(VLOOKUP(I97,A:F,6,FALSE),H97+1,1),0)=6,SUMIFS(Holieday[ok],Holieday[date],J_ADDDAY(VLOOKUP(I97,A:F,6,FALSE),H97+1,1)))=FALSE(),J_ADDDAY(VLOOKUP(I97,A:F,6,FALSE),H97+1,1),IF(OR(j_WEEKDAY(J_ADDDAY(VLOOKUP(I97,A:F,6,FALSE),H97+2,1),0)=6,SUMIFS(Holieday[ok],Holieday[date],J_ADDDAY(VLOOKUP(I97,A:F,6,FALSE),H97+2,1)))=FALSE(),J_ADDDAY(VLOOKUP(I97,A:F,6,FALSE),H97+2,1),IF(OR(j_WEEKDAY(J_ADDDAY(VLOOKUP(I97,A:F,6,FALSE),H97+3,1),0)=6,SUMIFS(Holieday[ok],Holieday[date],J_ADDDAY(VLOOKUP(I97,A:F,6,FALSE),H97+3,1)))=FALSE(),J_ADDDAY(VLOOKUP(I97,A:F,6,FALSE),H97+3,1),IF(OR(j_WEEKDAY(J_ADDDAY(VLOOKUP(I97,A:F,6,FALSE),H97+4,1),0)=6,SUMIFS(Holieday[ok],Holieday[date],J_ADDDAY(VLOOKUP(I97,A:F,6,FALSE),H97+4,1)))=FALSE(),J_ADDDAY(VLOOKUP(I97,A:F,6,FALSE),H97+4,1),J_ADDDAY(VLOOKUP(I97,A:F,6,FALSE),H97+5,1))))))</f>
        <v>1398/07/02</v>
      </c>
      <c r="E97" s="2">
        <f t="shared" si="32"/>
        <v>13980702</v>
      </c>
      <c r="F97" s="13" t="str">
        <f>IF(N97=0,J_SUBDAY(D97,1,1),IF((N97-NETWORKDAYS.INTL(J_GregorianDate(D97,1),J_GregorianDate(J_SUBDAY(J_ADDDAY(D97,N97,1),1,1),1),16,1)-SUMIFS(Holieday[ok],Holieday[date],CONCATENATE("&gt;","=",D97),Holieday[date],CONCATENATE("&lt;","=",J_SUBDAY(J_ADDDAY(D97,N97,1),1,1)))+SUMIFS(Holieday[Friday],Holieday[date],CONCATENATE("&gt;","=",D97),Holieday[date],CONCATENATE("&lt;","=",J_SUBDAY(J_ADDDAY(D97,N97,1),1,1))))=0,J_SUBDAY(J_ADDDAY(D97,N97,1),1,1),IF((N97-NETWORKDAYS.INTL(J_GregorianDate(D97,1),J_GregorianDate(J_SUBDAY(J_ADDDAY(D97,N97,1),1,1),1),16,1)-SUMIFS(Holieday[ok],Holieday[date],CONCATENATE("&gt;","=",D97),Holieday[date],CONCATENATE("&lt;","=",J_SUBDAY(J_ADDDAY(D97,N97,1),1,1)))+SUMIFS(Holieday[Friday],Holieday[date],CONCATENATE("&gt;","=",D97),Holieday[date],CONCATENATE("&lt;","=",J_SUBDAY(J_ADDDAY(D97,N97,1),1,1))))=1,J_SUBDAY(J_ADDDAY(D97,N97+1,1),1,1),IF((N97-NETWORKDAYS.INTL(J_GregorianDate(D97,1),J_GregorianDate(J_SUBDAY(J_ADDDAY(D97,N97,1),1,1),1),16,1)-SUMIFS(Holieday[ok],Holieday[date],CONCATENATE("&gt;","=",D97),Holieday[date],CONCATENATE("&lt;","=",J_SUBDAY(J_ADDDAY(D97,N97,1),1,1)))+SUMIFS(Holieday[Friday],Holieday[date],CONCATENATE("&gt;","=",D97),Holieday[date],CONCATENATE("&lt;","=",J_SUBDAY(J_ADDDAY(D97,N97,1),1,1))))=2,J_SUBDAY(J_ADDDAY(D97,N97+2,1),1,1),J_SUBDAY(J_ADDDAY(D97,N97+3,1),1,1)))))</f>
        <v>1398/07/01</v>
      </c>
      <c r="G97" s="3">
        <f t="shared" si="29"/>
        <v>13980701</v>
      </c>
      <c r="H97" s="119"/>
      <c r="I97" s="120">
        <v>1.2</v>
      </c>
      <c r="J97" s="10">
        <f>j_WEEKDAY(D97,2)</f>
        <v>3</v>
      </c>
      <c r="K97" s="22">
        <f t="shared" si="33"/>
        <v>0</v>
      </c>
      <c r="L97" s="9">
        <f t="shared" si="34"/>
        <v>0</v>
      </c>
      <c r="M97" s="121">
        <v>0</v>
      </c>
      <c r="N97" s="118">
        <v>0</v>
      </c>
      <c r="O97" s="11">
        <f t="shared" si="30"/>
        <v>0</v>
      </c>
      <c r="P97" s="11">
        <f>VALUE(J_normdate(J_ADDDAY($D97,$O97,1)))</f>
        <v>13980702</v>
      </c>
      <c r="Q97" s="10">
        <f t="shared" si="31"/>
        <v>0</v>
      </c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  <c r="ES97" s="8"/>
      <c r="ET97" s="8"/>
      <c r="EU97" s="8"/>
      <c r="EV97" s="8"/>
      <c r="EW97" s="8"/>
      <c r="EX97" s="8"/>
      <c r="EY97" s="8"/>
      <c r="EZ97" s="8"/>
      <c r="FA97" s="8"/>
      <c r="FB97" s="8"/>
      <c r="FC97" s="8"/>
      <c r="FD97" s="8"/>
      <c r="FE97" s="8"/>
      <c r="FF97" s="8"/>
      <c r="FG97" s="8"/>
      <c r="FH97" s="8"/>
      <c r="FI97" s="8"/>
      <c r="FJ97" s="8"/>
      <c r="FK97" s="8"/>
      <c r="FL97" s="8"/>
      <c r="FM97" s="8"/>
      <c r="FN97" s="8"/>
      <c r="FO97" s="8"/>
      <c r="FP97" s="8"/>
      <c r="FQ97" s="8"/>
      <c r="FR97" s="8"/>
      <c r="FS97" s="8"/>
      <c r="FT97" s="8"/>
      <c r="FU97" s="8"/>
      <c r="FV97" s="8"/>
      <c r="FW97" s="8"/>
      <c r="FX97" s="8"/>
      <c r="FY97" s="8"/>
      <c r="FZ97" s="8"/>
      <c r="GA97" s="8"/>
      <c r="GB97" s="8"/>
      <c r="GC97" s="8"/>
      <c r="GD97" s="8"/>
      <c r="GE97" s="8"/>
      <c r="GF97" s="8"/>
      <c r="GG97" s="8"/>
      <c r="GH97" s="8"/>
      <c r="GI97" s="8"/>
      <c r="GJ97" s="8"/>
      <c r="GK97" s="8"/>
      <c r="GL97" s="8"/>
      <c r="GM97" s="8"/>
      <c r="GN97" s="8"/>
      <c r="GO97" s="8"/>
      <c r="GP97" s="8"/>
      <c r="GQ97" s="8"/>
      <c r="GR97" s="8"/>
      <c r="GS97" s="8"/>
      <c r="GT97" s="8"/>
      <c r="GU97" s="8"/>
      <c r="GV97" s="8"/>
      <c r="GW97" s="8"/>
      <c r="GX97" s="8"/>
      <c r="GY97" s="8"/>
      <c r="GZ97" s="8"/>
      <c r="HA97" s="8"/>
      <c r="HB97" s="8"/>
      <c r="HC97" s="8"/>
      <c r="HD97" s="8"/>
      <c r="HE97" s="8"/>
      <c r="HF97" s="8"/>
      <c r="HG97" s="8"/>
      <c r="HH97" s="8"/>
      <c r="HI97" s="8"/>
      <c r="HJ97" s="8"/>
      <c r="HK97" s="8"/>
      <c r="HL97" s="8"/>
      <c r="HM97" s="8"/>
      <c r="HN97" s="8"/>
      <c r="HO97" s="8"/>
      <c r="HP97" s="8"/>
      <c r="HQ97" s="8"/>
      <c r="HR97" s="8"/>
      <c r="HS97" s="8"/>
      <c r="HT97" s="8"/>
      <c r="HU97" s="8"/>
      <c r="HV97" s="8"/>
      <c r="HW97" s="8"/>
      <c r="HX97" s="8"/>
      <c r="HY97" s="8"/>
      <c r="HZ97" s="8"/>
      <c r="IA97" s="8"/>
      <c r="IB97" s="8"/>
      <c r="IC97" s="8"/>
      <c r="ID97" s="8"/>
      <c r="IE97" s="8"/>
      <c r="IF97" s="8"/>
      <c r="IG97" s="8"/>
      <c r="IH97" s="8"/>
      <c r="II97" s="8"/>
      <c r="IJ97" s="8"/>
      <c r="IK97" s="8"/>
      <c r="IL97" s="8"/>
      <c r="IM97" s="8"/>
      <c r="IN97" s="8"/>
      <c r="IO97" s="8"/>
      <c r="IP97" s="8"/>
      <c r="IQ97" s="8"/>
      <c r="IR97" s="8"/>
      <c r="IS97" s="8"/>
      <c r="IT97" s="8"/>
      <c r="IU97" s="8"/>
      <c r="IV97" s="8"/>
      <c r="IW97" s="8"/>
      <c r="IX97" s="8"/>
      <c r="IY97" s="31">
        <v>1</v>
      </c>
      <c r="IZ97" s="35">
        <f>(TEXT(K97,"[m]")/60)*VLOOKUP(IY97,'Income Person-hours'!A$2:C$5,3,FALSE)</f>
        <v>0</v>
      </c>
      <c r="JA97" s="123"/>
      <c r="JB97" s="123"/>
      <c r="JC97" s="123"/>
      <c r="JD97" s="70">
        <f>SUM((TEXT(JA97,"[M]")/60)*'Income Person-hours'!$D$3,(TEXT(JB97,"[M]")/60)*'Income Person-hours'!$D$4,(TEXT(JC97,"[M]")/60)*'Income Person-hours'!$D$5)</f>
        <v>0</v>
      </c>
    </row>
    <row r="98" spans="1:264" s="12" customFormat="1" ht="15.75" hidden="1" x14ac:dyDescent="0.45">
      <c r="A98" s="32">
        <v>4.12</v>
      </c>
      <c r="B98" s="126"/>
      <c r="C98" s="117"/>
      <c r="D98" s="13" t="str">
        <f>IF(OR(j_WEEKDAY(J_ADDDAY(VLOOKUP(I98,A:F,6,FALSE),H98,1),0)=6,SUMIFS(Holieday[ok],Holieday[date],J_ADDDAY(VLOOKUP(I98,A:F,6,FALSE),H98,1)))=FALSE(),J_ADDDAY(VLOOKUP(I98,A:F,6,FALSE),H98,1),IF(OR(j_WEEKDAY(J_ADDDAY(VLOOKUP(I98,A:F,6,FALSE),H98+1,1),0)=6,SUMIFS(Holieday[ok],Holieday[date],J_ADDDAY(VLOOKUP(I98,A:F,6,FALSE),H98+1,1)))=FALSE(),J_ADDDAY(VLOOKUP(I98,A:F,6,FALSE),H98+1,1),IF(OR(j_WEEKDAY(J_ADDDAY(VLOOKUP(I98,A:F,6,FALSE),H98+2,1),0)=6,SUMIFS(Holieday[ok],Holieday[date],J_ADDDAY(VLOOKUP(I98,A:F,6,FALSE),H98+2,1)))=FALSE(),J_ADDDAY(VLOOKUP(I98,A:F,6,FALSE),H98+2,1),IF(OR(j_WEEKDAY(J_ADDDAY(VLOOKUP(I98,A:F,6,FALSE),H98+3,1),0)=6,SUMIFS(Holieday[ok],Holieday[date],J_ADDDAY(VLOOKUP(I98,A:F,6,FALSE),H98+3,1)))=FALSE(),J_ADDDAY(VLOOKUP(I98,A:F,6,FALSE),H98+3,1),IF(OR(j_WEEKDAY(J_ADDDAY(VLOOKUP(I98,A:F,6,FALSE),H98+4,1),0)=6,SUMIFS(Holieday[ok],Holieday[date],J_ADDDAY(VLOOKUP(I98,A:F,6,FALSE),H98+4,1)))=FALSE(),J_ADDDAY(VLOOKUP(I98,A:F,6,FALSE),H98+4,1),J_ADDDAY(VLOOKUP(I98,A:F,6,FALSE),H98+5,1))))))</f>
        <v>1398/07/02</v>
      </c>
      <c r="E98" s="2">
        <f t="shared" si="32"/>
        <v>13980702</v>
      </c>
      <c r="F98" s="13" t="str">
        <f>IF(N98=0,J_SUBDAY(D98,1,1),IF((N98-NETWORKDAYS.INTL(J_GregorianDate(D98,1),J_GregorianDate(J_SUBDAY(J_ADDDAY(D98,N98,1),1,1),1),16,1)-SUMIFS(Holieday[ok],Holieday[date],CONCATENATE("&gt;","=",D98),Holieday[date],CONCATENATE("&lt;","=",J_SUBDAY(J_ADDDAY(D98,N98,1),1,1)))+SUMIFS(Holieday[Friday],Holieday[date],CONCATENATE("&gt;","=",D98),Holieday[date],CONCATENATE("&lt;","=",J_SUBDAY(J_ADDDAY(D98,N98,1),1,1))))=0,J_SUBDAY(J_ADDDAY(D98,N98,1),1,1),IF((N98-NETWORKDAYS.INTL(J_GregorianDate(D98,1),J_GregorianDate(J_SUBDAY(J_ADDDAY(D98,N98,1),1,1),1),16,1)-SUMIFS(Holieday[ok],Holieday[date],CONCATENATE("&gt;","=",D98),Holieday[date],CONCATENATE("&lt;","=",J_SUBDAY(J_ADDDAY(D98,N98,1),1,1)))+SUMIFS(Holieday[Friday],Holieday[date],CONCATENATE("&gt;","=",D98),Holieday[date],CONCATENATE("&lt;","=",J_SUBDAY(J_ADDDAY(D98,N98,1),1,1))))=1,J_SUBDAY(J_ADDDAY(D98,N98+1,1),1,1),IF((N98-NETWORKDAYS.INTL(J_GregorianDate(D98,1),J_GregorianDate(J_SUBDAY(J_ADDDAY(D98,N98,1),1,1),1),16,1)-SUMIFS(Holieday[ok],Holieday[date],CONCATENATE("&gt;","=",D98),Holieday[date],CONCATENATE("&lt;","=",J_SUBDAY(J_ADDDAY(D98,N98,1),1,1)))+SUMIFS(Holieday[Friday],Holieday[date],CONCATENATE("&gt;","=",D98),Holieday[date],CONCATENATE("&lt;","=",J_SUBDAY(J_ADDDAY(D98,N98,1),1,1))))=2,J_SUBDAY(J_ADDDAY(D98,N98+2,1),1,1),J_SUBDAY(J_ADDDAY(D98,N98+3,1),1,1)))))</f>
        <v>1398/07/01</v>
      </c>
      <c r="G98" s="3">
        <f t="shared" si="29"/>
        <v>13980701</v>
      </c>
      <c r="H98" s="119"/>
      <c r="I98" s="120">
        <v>1.2</v>
      </c>
      <c r="J98" s="10">
        <f>j_WEEKDAY(D98,2)</f>
        <v>3</v>
      </c>
      <c r="K98" s="22">
        <f t="shared" si="33"/>
        <v>0</v>
      </c>
      <c r="L98" s="9">
        <f t="shared" si="34"/>
        <v>0</v>
      </c>
      <c r="M98" s="121">
        <v>0</v>
      </c>
      <c r="N98" s="118">
        <v>0</v>
      </c>
      <c r="O98" s="11">
        <f t="shared" si="30"/>
        <v>0</v>
      </c>
      <c r="P98" s="11">
        <f>VALUE(J_normdate(J_ADDDAY($D98,$O98,1)))</f>
        <v>13980702</v>
      </c>
      <c r="Q98" s="10">
        <f t="shared" si="31"/>
        <v>0</v>
      </c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  <c r="ES98" s="8"/>
      <c r="ET98" s="8"/>
      <c r="EU98" s="8"/>
      <c r="EV98" s="8"/>
      <c r="EW98" s="8"/>
      <c r="EX98" s="8"/>
      <c r="EY98" s="8"/>
      <c r="EZ98" s="8"/>
      <c r="FA98" s="8"/>
      <c r="FB98" s="8"/>
      <c r="FC98" s="8"/>
      <c r="FD98" s="8"/>
      <c r="FE98" s="8"/>
      <c r="FF98" s="8"/>
      <c r="FG98" s="8"/>
      <c r="FH98" s="8"/>
      <c r="FI98" s="8"/>
      <c r="FJ98" s="8"/>
      <c r="FK98" s="8"/>
      <c r="FL98" s="8"/>
      <c r="FM98" s="8"/>
      <c r="FN98" s="8"/>
      <c r="FO98" s="8"/>
      <c r="FP98" s="8"/>
      <c r="FQ98" s="8"/>
      <c r="FR98" s="8"/>
      <c r="FS98" s="8"/>
      <c r="FT98" s="8"/>
      <c r="FU98" s="8"/>
      <c r="FV98" s="8"/>
      <c r="FW98" s="8"/>
      <c r="FX98" s="8"/>
      <c r="FY98" s="8"/>
      <c r="FZ98" s="8"/>
      <c r="GA98" s="8"/>
      <c r="GB98" s="8"/>
      <c r="GC98" s="8"/>
      <c r="GD98" s="8"/>
      <c r="GE98" s="8"/>
      <c r="GF98" s="8"/>
      <c r="GG98" s="8"/>
      <c r="GH98" s="8"/>
      <c r="GI98" s="8"/>
      <c r="GJ98" s="8"/>
      <c r="GK98" s="8"/>
      <c r="GL98" s="8"/>
      <c r="GM98" s="8"/>
      <c r="GN98" s="8"/>
      <c r="GO98" s="8"/>
      <c r="GP98" s="8"/>
      <c r="GQ98" s="8"/>
      <c r="GR98" s="8"/>
      <c r="GS98" s="8"/>
      <c r="GT98" s="8"/>
      <c r="GU98" s="8"/>
      <c r="GV98" s="8"/>
      <c r="GW98" s="8"/>
      <c r="GX98" s="8"/>
      <c r="GY98" s="8"/>
      <c r="GZ98" s="8"/>
      <c r="HA98" s="8"/>
      <c r="HB98" s="8"/>
      <c r="HC98" s="8"/>
      <c r="HD98" s="8"/>
      <c r="HE98" s="8"/>
      <c r="HF98" s="8"/>
      <c r="HG98" s="8"/>
      <c r="HH98" s="8"/>
      <c r="HI98" s="8"/>
      <c r="HJ98" s="8"/>
      <c r="HK98" s="8"/>
      <c r="HL98" s="8"/>
      <c r="HM98" s="8"/>
      <c r="HN98" s="8"/>
      <c r="HO98" s="8"/>
      <c r="HP98" s="8"/>
      <c r="HQ98" s="8"/>
      <c r="HR98" s="8"/>
      <c r="HS98" s="8"/>
      <c r="HT98" s="8"/>
      <c r="HU98" s="8"/>
      <c r="HV98" s="8"/>
      <c r="HW98" s="8"/>
      <c r="HX98" s="8"/>
      <c r="HY98" s="8"/>
      <c r="HZ98" s="8"/>
      <c r="IA98" s="8"/>
      <c r="IB98" s="8"/>
      <c r="IC98" s="8"/>
      <c r="ID98" s="8"/>
      <c r="IE98" s="8"/>
      <c r="IF98" s="8"/>
      <c r="IG98" s="8"/>
      <c r="IH98" s="8"/>
      <c r="II98" s="8"/>
      <c r="IJ98" s="8"/>
      <c r="IK98" s="8"/>
      <c r="IL98" s="8"/>
      <c r="IM98" s="8"/>
      <c r="IN98" s="8"/>
      <c r="IO98" s="8"/>
      <c r="IP98" s="8"/>
      <c r="IQ98" s="8"/>
      <c r="IR98" s="8"/>
      <c r="IS98" s="8"/>
      <c r="IT98" s="8"/>
      <c r="IU98" s="8"/>
      <c r="IV98" s="8"/>
      <c r="IW98" s="8"/>
      <c r="IX98" s="8"/>
      <c r="IY98" s="31">
        <v>1</v>
      </c>
      <c r="IZ98" s="35">
        <f>(TEXT(K98,"[m]")/60)*VLOOKUP(IY98,'Income Person-hours'!A$2:C$5,3,FALSE)</f>
        <v>0</v>
      </c>
      <c r="JA98" s="123"/>
      <c r="JB98" s="123"/>
      <c r="JC98" s="123"/>
      <c r="JD98" s="70">
        <f>SUM((TEXT(JA98,"[M]")/60)*'Income Person-hours'!$D$3,(TEXT(JB98,"[M]")/60)*'Income Person-hours'!$D$4,(TEXT(JC98,"[M]")/60)*'Income Person-hours'!$D$5)</f>
        <v>0</v>
      </c>
    </row>
    <row r="99" spans="1:264" s="12" customFormat="1" ht="15.75" hidden="1" x14ac:dyDescent="0.45">
      <c r="A99" s="32">
        <v>4.13</v>
      </c>
      <c r="B99" s="126"/>
      <c r="C99" s="117"/>
      <c r="D99" s="13" t="str">
        <f>IF(OR(j_WEEKDAY(J_ADDDAY(VLOOKUP(I99,A:F,6,FALSE),H99,1),0)=6,SUMIFS(Holieday[ok],Holieday[date],J_ADDDAY(VLOOKUP(I99,A:F,6,FALSE),H99,1)))=FALSE(),J_ADDDAY(VLOOKUP(I99,A:F,6,FALSE),H99,1),IF(OR(j_WEEKDAY(J_ADDDAY(VLOOKUP(I99,A:F,6,FALSE),H99+1,1),0)=6,SUMIFS(Holieday[ok],Holieday[date],J_ADDDAY(VLOOKUP(I99,A:F,6,FALSE),H99+1,1)))=FALSE(),J_ADDDAY(VLOOKUP(I99,A:F,6,FALSE),H99+1,1),IF(OR(j_WEEKDAY(J_ADDDAY(VLOOKUP(I99,A:F,6,FALSE),H99+2,1),0)=6,SUMIFS(Holieday[ok],Holieday[date],J_ADDDAY(VLOOKUP(I99,A:F,6,FALSE),H99+2,1)))=FALSE(),J_ADDDAY(VLOOKUP(I99,A:F,6,FALSE),H99+2,1),IF(OR(j_WEEKDAY(J_ADDDAY(VLOOKUP(I99,A:F,6,FALSE),H99+3,1),0)=6,SUMIFS(Holieday[ok],Holieday[date],J_ADDDAY(VLOOKUP(I99,A:F,6,FALSE),H99+3,1)))=FALSE(),J_ADDDAY(VLOOKUP(I99,A:F,6,FALSE),H99+3,1),IF(OR(j_WEEKDAY(J_ADDDAY(VLOOKUP(I99,A:F,6,FALSE),H99+4,1),0)=6,SUMIFS(Holieday[ok],Holieday[date],J_ADDDAY(VLOOKUP(I99,A:F,6,FALSE),H99+4,1)))=FALSE(),J_ADDDAY(VLOOKUP(I99,A:F,6,FALSE),H99+4,1),J_ADDDAY(VLOOKUP(I99,A:F,6,FALSE),H99+5,1))))))</f>
        <v>1398/07/02</v>
      </c>
      <c r="E99" s="2">
        <f t="shared" si="32"/>
        <v>13980702</v>
      </c>
      <c r="F99" s="13" t="str">
        <f>IF(N99=0,J_SUBDAY(D99,1,1),IF((N99-NETWORKDAYS.INTL(J_GregorianDate(D99,1),J_GregorianDate(J_SUBDAY(J_ADDDAY(D99,N99,1),1,1),1),16,1)-SUMIFS(Holieday[ok],Holieday[date],CONCATENATE("&gt;","=",D99),Holieday[date],CONCATENATE("&lt;","=",J_SUBDAY(J_ADDDAY(D99,N99,1),1,1)))+SUMIFS(Holieday[Friday],Holieday[date],CONCATENATE("&gt;","=",D99),Holieday[date],CONCATENATE("&lt;","=",J_SUBDAY(J_ADDDAY(D99,N99,1),1,1))))=0,J_SUBDAY(J_ADDDAY(D99,N99,1),1,1),IF((N99-NETWORKDAYS.INTL(J_GregorianDate(D99,1),J_GregorianDate(J_SUBDAY(J_ADDDAY(D99,N99,1),1,1),1),16,1)-SUMIFS(Holieday[ok],Holieday[date],CONCATENATE("&gt;","=",D99),Holieday[date],CONCATENATE("&lt;","=",J_SUBDAY(J_ADDDAY(D99,N99,1),1,1)))+SUMIFS(Holieday[Friday],Holieday[date],CONCATENATE("&gt;","=",D99),Holieday[date],CONCATENATE("&lt;","=",J_SUBDAY(J_ADDDAY(D99,N99,1),1,1))))=1,J_SUBDAY(J_ADDDAY(D99,N99+1,1),1,1),IF((N99-NETWORKDAYS.INTL(J_GregorianDate(D99,1),J_GregorianDate(J_SUBDAY(J_ADDDAY(D99,N99,1),1,1),1),16,1)-SUMIFS(Holieday[ok],Holieday[date],CONCATENATE("&gt;","=",D99),Holieday[date],CONCATENATE("&lt;","=",J_SUBDAY(J_ADDDAY(D99,N99,1),1,1)))+SUMIFS(Holieday[Friday],Holieday[date],CONCATENATE("&gt;","=",D99),Holieday[date],CONCATENATE("&lt;","=",J_SUBDAY(J_ADDDAY(D99,N99,1),1,1))))=2,J_SUBDAY(J_ADDDAY(D99,N99+2,1),1,1),J_SUBDAY(J_ADDDAY(D99,N99+3,1),1,1)))))</f>
        <v>1398/07/01</v>
      </c>
      <c r="G99" s="3">
        <f t="shared" si="29"/>
        <v>13980701</v>
      </c>
      <c r="H99" s="119"/>
      <c r="I99" s="120">
        <v>1.2</v>
      </c>
      <c r="J99" s="10">
        <f>j_WEEKDAY(D99,2)</f>
        <v>3</v>
      </c>
      <c r="K99" s="22">
        <f t="shared" si="33"/>
        <v>0</v>
      </c>
      <c r="L99" s="9">
        <f t="shared" si="34"/>
        <v>0</v>
      </c>
      <c r="M99" s="121">
        <v>0</v>
      </c>
      <c r="N99" s="118">
        <v>0</v>
      </c>
      <c r="O99" s="11">
        <f t="shared" si="30"/>
        <v>0</v>
      </c>
      <c r="P99" s="11">
        <f>VALUE(J_normdate(J_ADDDAY($D99,$O99,1)))</f>
        <v>13980702</v>
      </c>
      <c r="Q99" s="10">
        <f t="shared" si="31"/>
        <v>0</v>
      </c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  <c r="ES99" s="8"/>
      <c r="ET99" s="8"/>
      <c r="EU99" s="8"/>
      <c r="EV99" s="8"/>
      <c r="EW99" s="8"/>
      <c r="EX99" s="8"/>
      <c r="EY99" s="8"/>
      <c r="EZ99" s="8"/>
      <c r="FA99" s="8"/>
      <c r="FB99" s="8"/>
      <c r="FC99" s="8"/>
      <c r="FD99" s="8"/>
      <c r="FE99" s="8"/>
      <c r="FF99" s="8"/>
      <c r="FG99" s="8"/>
      <c r="FH99" s="8"/>
      <c r="FI99" s="8"/>
      <c r="FJ99" s="8"/>
      <c r="FK99" s="8"/>
      <c r="FL99" s="8"/>
      <c r="FM99" s="8"/>
      <c r="FN99" s="8"/>
      <c r="FO99" s="8"/>
      <c r="FP99" s="8"/>
      <c r="FQ99" s="8"/>
      <c r="FR99" s="8"/>
      <c r="FS99" s="8"/>
      <c r="FT99" s="8"/>
      <c r="FU99" s="8"/>
      <c r="FV99" s="8"/>
      <c r="FW99" s="8"/>
      <c r="FX99" s="8"/>
      <c r="FY99" s="8"/>
      <c r="FZ99" s="8"/>
      <c r="GA99" s="8"/>
      <c r="GB99" s="8"/>
      <c r="GC99" s="8"/>
      <c r="GD99" s="8"/>
      <c r="GE99" s="8"/>
      <c r="GF99" s="8"/>
      <c r="GG99" s="8"/>
      <c r="GH99" s="8"/>
      <c r="GI99" s="8"/>
      <c r="GJ99" s="8"/>
      <c r="GK99" s="8"/>
      <c r="GL99" s="8"/>
      <c r="GM99" s="8"/>
      <c r="GN99" s="8"/>
      <c r="GO99" s="8"/>
      <c r="GP99" s="8"/>
      <c r="GQ99" s="8"/>
      <c r="GR99" s="8"/>
      <c r="GS99" s="8"/>
      <c r="GT99" s="8"/>
      <c r="GU99" s="8"/>
      <c r="GV99" s="8"/>
      <c r="GW99" s="8"/>
      <c r="GX99" s="8"/>
      <c r="GY99" s="8"/>
      <c r="GZ99" s="8"/>
      <c r="HA99" s="8"/>
      <c r="HB99" s="8"/>
      <c r="HC99" s="8"/>
      <c r="HD99" s="8"/>
      <c r="HE99" s="8"/>
      <c r="HF99" s="8"/>
      <c r="HG99" s="8"/>
      <c r="HH99" s="8"/>
      <c r="HI99" s="8"/>
      <c r="HJ99" s="8"/>
      <c r="HK99" s="8"/>
      <c r="HL99" s="8"/>
      <c r="HM99" s="8"/>
      <c r="HN99" s="8"/>
      <c r="HO99" s="8"/>
      <c r="HP99" s="8"/>
      <c r="HQ99" s="8"/>
      <c r="HR99" s="8"/>
      <c r="HS99" s="8"/>
      <c r="HT99" s="8"/>
      <c r="HU99" s="8"/>
      <c r="HV99" s="8"/>
      <c r="HW99" s="8"/>
      <c r="HX99" s="8"/>
      <c r="HY99" s="8"/>
      <c r="HZ99" s="8"/>
      <c r="IA99" s="8"/>
      <c r="IB99" s="8"/>
      <c r="IC99" s="8"/>
      <c r="ID99" s="8"/>
      <c r="IE99" s="8"/>
      <c r="IF99" s="8"/>
      <c r="IG99" s="8"/>
      <c r="IH99" s="8"/>
      <c r="II99" s="8"/>
      <c r="IJ99" s="8"/>
      <c r="IK99" s="8"/>
      <c r="IL99" s="8"/>
      <c r="IM99" s="8"/>
      <c r="IN99" s="8"/>
      <c r="IO99" s="8"/>
      <c r="IP99" s="8"/>
      <c r="IQ99" s="8"/>
      <c r="IR99" s="8"/>
      <c r="IS99" s="8"/>
      <c r="IT99" s="8"/>
      <c r="IU99" s="8"/>
      <c r="IV99" s="8"/>
      <c r="IW99" s="8"/>
      <c r="IX99" s="8"/>
      <c r="IY99" s="31">
        <v>1</v>
      </c>
      <c r="IZ99" s="35">
        <f>(TEXT(K99,"[m]")/60)*VLOOKUP(IY99,'Income Person-hours'!A$2:C$5,3,FALSE)</f>
        <v>0</v>
      </c>
      <c r="JA99" s="123"/>
      <c r="JB99" s="123"/>
      <c r="JC99" s="123"/>
      <c r="JD99" s="70">
        <f>SUM((TEXT(JA99,"[M]")/60)*'Income Person-hours'!$D$3,(TEXT(JB99,"[M]")/60)*'Income Person-hours'!$D$4,(TEXT(JC99,"[M]")/60)*'Income Person-hours'!$D$5)</f>
        <v>0</v>
      </c>
    </row>
    <row r="100" spans="1:264" s="12" customFormat="1" ht="15.75" hidden="1" x14ac:dyDescent="0.45">
      <c r="A100" s="32">
        <v>4.1399999999999997</v>
      </c>
      <c r="B100" s="126"/>
      <c r="C100" s="117"/>
      <c r="D100" s="13" t="str">
        <f>IF(OR(j_WEEKDAY(J_ADDDAY(VLOOKUP(I100,A:F,6,FALSE),H100,1),0)=6,SUMIFS(Holieday[ok],Holieday[date],J_ADDDAY(VLOOKUP(I100,A:F,6,FALSE),H100,1)))=FALSE(),J_ADDDAY(VLOOKUP(I100,A:F,6,FALSE),H100,1),IF(OR(j_WEEKDAY(J_ADDDAY(VLOOKUP(I100,A:F,6,FALSE),H100+1,1),0)=6,SUMIFS(Holieday[ok],Holieday[date],J_ADDDAY(VLOOKUP(I100,A:F,6,FALSE),H100+1,1)))=FALSE(),J_ADDDAY(VLOOKUP(I100,A:F,6,FALSE),H100+1,1),IF(OR(j_WEEKDAY(J_ADDDAY(VLOOKUP(I100,A:F,6,FALSE),H100+2,1),0)=6,SUMIFS(Holieday[ok],Holieday[date],J_ADDDAY(VLOOKUP(I100,A:F,6,FALSE),H100+2,1)))=FALSE(),J_ADDDAY(VLOOKUP(I100,A:F,6,FALSE),H100+2,1),IF(OR(j_WEEKDAY(J_ADDDAY(VLOOKUP(I100,A:F,6,FALSE),H100+3,1),0)=6,SUMIFS(Holieday[ok],Holieday[date],J_ADDDAY(VLOOKUP(I100,A:F,6,FALSE),H100+3,1)))=FALSE(),J_ADDDAY(VLOOKUP(I100,A:F,6,FALSE),H100+3,1),IF(OR(j_WEEKDAY(J_ADDDAY(VLOOKUP(I100,A:F,6,FALSE),H100+4,1),0)=6,SUMIFS(Holieday[ok],Holieday[date],J_ADDDAY(VLOOKUP(I100,A:F,6,FALSE),H100+4,1)))=FALSE(),J_ADDDAY(VLOOKUP(I100,A:F,6,FALSE),H100+4,1),J_ADDDAY(VLOOKUP(I100,A:F,6,FALSE),H100+5,1))))))</f>
        <v>1398/07/02</v>
      </c>
      <c r="E100" s="2">
        <f t="shared" si="32"/>
        <v>13980702</v>
      </c>
      <c r="F100" s="13" t="str">
        <f>IF(N100=0,J_SUBDAY(D100,1,1),IF((N100-NETWORKDAYS.INTL(J_GregorianDate(D100,1),J_GregorianDate(J_SUBDAY(J_ADDDAY(D100,N100,1),1,1),1),16,1)-SUMIFS(Holieday[ok],Holieday[date],CONCATENATE("&gt;","=",D100),Holieday[date],CONCATENATE("&lt;","=",J_SUBDAY(J_ADDDAY(D100,N100,1),1,1)))+SUMIFS(Holieday[Friday],Holieday[date],CONCATENATE("&gt;","=",D100),Holieday[date],CONCATENATE("&lt;","=",J_SUBDAY(J_ADDDAY(D100,N100,1),1,1))))=0,J_SUBDAY(J_ADDDAY(D100,N100,1),1,1),IF((N100-NETWORKDAYS.INTL(J_GregorianDate(D100,1),J_GregorianDate(J_SUBDAY(J_ADDDAY(D100,N100,1),1,1),1),16,1)-SUMIFS(Holieday[ok],Holieday[date],CONCATENATE("&gt;","=",D100),Holieday[date],CONCATENATE("&lt;","=",J_SUBDAY(J_ADDDAY(D100,N100,1),1,1)))+SUMIFS(Holieday[Friday],Holieday[date],CONCATENATE("&gt;","=",D100),Holieday[date],CONCATENATE("&lt;","=",J_SUBDAY(J_ADDDAY(D100,N100,1),1,1))))=1,J_SUBDAY(J_ADDDAY(D100,N100+1,1),1,1),IF((N100-NETWORKDAYS.INTL(J_GregorianDate(D100,1),J_GregorianDate(J_SUBDAY(J_ADDDAY(D100,N100,1),1,1),1),16,1)-SUMIFS(Holieday[ok],Holieday[date],CONCATENATE("&gt;","=",D100),Holieday[date],CONCATENATE("&lt;","=",J_SUBDAY(J_ADDDAY(D100,N100,1),1,1)))+SUMIFS(Holieday[Friday],Holieday[date],CONCATENATE("&gt;","=",D100),Holieday[date],CONCATENATE("&lt;","=",J_SUBDAY(J_ADDDAY(D100,N100,1),1,1))))=2,J_SUBDAY(J_ADDDAY(D100,N100+2,1),1,1),J_SUBDAY(J_ADDDAY(D100,N100+3,1),1,1)))))</f>
        <v>1398/07/01</v>
      </c>
      <c r="G100" s="3">
        <f t="shared" si="29"/>
        <v>13980701</v>
      </c>
      <c r="H100" s="119"/>
      <c r="I100" s="120">
        <v>1.2</v>
      </c>
      <c r="J100" s="10">
        <f>j_WEEKDAY(D100,2)</f>
        <v>3</v>
      </c>
      <c r="K100" s="22">
        <f t="shared" si="33"/>
        <v>0</v>
      </c>
      <c r="L100" s="9">
        <f t="shared" si="34"/>
        <v>0</v>
      </c>
      <c r="M100" s="121">
        <v>0</v>
      </c>
      <c r="N100" s="118">
        <v>0</v>
      </c>
      <c r="O100" s="11">
        <f t="shared" si="30"/>
        <v>0</v>
      </c>
      <c r="P100" s="11">
        <f>VALUE(J_normdate(J_ADDDAY($D100,$O100,1)))</f>
        <v>13980702</v>
      </c>
      <c r="Q100" s="10">
        <f t="shared" si="31"/>
        <v>0</v>
      </c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  <c r="BL100" s="8"/>
      <c r="BM100" s="8"/>
      <c r="BN100" s="8"/>
      <c r="BO100" s="8"/>
      <c r="BP100" s="8"/>
      <c r="BQ100" s="8"/>
      <c r="BR100" s="8"/>
      <c r="BS100" s="8"/>
      <c r="BT100" s="8"/>
      <c r="BU100" s="8"/>
      <c r="BV100" s="8"/>
      <c r="BW100" s="8"/>
      <c r="BX100" s="8"/>
      <c r="BY100" s="8"/>
      <c r="BZ100" s="8"/>
      <c r="CA100" s="8"/>
      <c r="CB100" s="8"/>
      <c r="CC100" s="8"/>
      <c r="CD100" s="8"/>
      <c r="CE100" s="8"/>
      <c r="CF100" s="8"/>
      <c r="CG100" s="8"/>
      <c r="CH100" s="8"/>
      <c r="CI100" s="8"/>
      <c r="CJ100" s="8"/>
      <c r="CK100" s="8"/>
      <c r="CL100" s="8"/>
      <c r="CM100" s="8"/>
      <c r="CN100" s="8"/>
      <c r="CO100" s="8"/>
      <c r="CP100" s="8"/>
      <c r="CQ100" s="8"/>
      <c r="CR100" s="8"/>
      <c r="CS100" s="8"/>
      <c r="CT100" s="8"/>
      <c r="CU100" s="8"/>
      <c r="CV100" s="8"/>
      <c r="CW100" s="8"/>
      <c r="CX100" s="8"/>
      <c r="CY100" s="8"/>
      <c r="CZ100" s="8"/>
      <c r="DA100" s="8"/>
      <c r="DB100" s="8"/>
      <c r="DC100" s="8"/>
      <c r="DD100" s="8"/>
      <c r="DE100" s="8"/>
      <c r="DF100" s="8"/>
      <c r="DG100" s="8"/>
      <c r="DH100" s="8"/>
      <c r="DI100" s="8"/>
      <c r="DJ100" s="8"/>
      <c r="DK100" s="8"/>
      <c r="DL100" s="8"/>
      <c r="DM100" s="8"/>
      <c r="DN100" s="8"/>
      <c r="DO100" s="8"/>
      <c r="DP100" s="8"/>
      <c r="DQ100" s="8"/>
      <c r="DR100" s="8"/>
      <c r="DS100" s="8"/>
      <c r="DT100" s="8"/>
      <c r="DU100" s="8"/>
      <c r="DV100" s="8"/>
      <c r="DW100" s="8"/>
      <c r="DX100" s="8"/>
      <c r="DY100" s="8"/>
      <c r="DZ100" s="8"/>
      <c r="EA100" s="8"/>
      <c r="EB100" s="8"/>
      <c r="EC100" s="8"/>
      <c r="ED100" s="8"/>
      <c r="EE100" s="8"/>
      <c r="EF100" s="8"/>
      <c r="EG100" s="8"/>
      <c r="EH100" s="8"/>
      <c r="EI100" s="8"/>
      <c r="EJ100" s="8"/>
      <c r="EK100" s="8"/>
      <c r="EL100" s="8"/>
      <c r="EM100" s="8"/>
      <c r="EN100" s="8"/>
      <c r="EO100" s="8"/>
      <c r="EP100" s="8"/>
      <c r="EQ100" s="8"/>
      <c r="ER100" s="8"/>
      <c r="ES100" s="8"/>
      <c r="ET100" s="8"/>
      <c r="EU100" s="8"/>
      <c r="EV100" s="8"/>
      <c r="EW100" s="8"/>
      <c r="EX100" s="8"/>
      <c r="EY100" s="8"/>
      <c r="EZ100" s="8"/>
      <c r="FA100" s="8"/>
      <c r="FB100" s="8"/>
      <c r="FC100" s="8"/>
      <c r="FD100" s="8"/>
      <c r="FE100" s="8"/>
      <c r="FF100" s="8"/>
      <c r="FG100" s="8"/>
      <c r="FH100" s="8"/>
      <c r="FI100" s="8"/>
      <c r="FJ100" s="8"/>
      <c r="FK100" s="8"/>
      <c r="FL100" s="8"/>
      <c r="FM100" s="8"/>
      <c r="FN100" s="8"/>
      <c r="FO100" s="8"/>
      <c r="FP100" s="8"/>
      <c r="FQ100" s="8"/>
      <c r="FR100" s="8"/>
      <c r="FS100" s="8"/>
      <c r="FT100" s="8"/>
      <c r="FU100" s="8"/>
      <c r="FV100" s="8"/>
      <c r="FW100" s="8"/>
      <c r="FX100" s="8"/>
      <c r="FY100" s="8"/>
      <c r="FZ100" s="8"/>
      <c r="GA100" s="8"/>
      <c r="GB100" s="8"/>
      <c r="GC100" s="8"/>
      <c r="GD100" s="8"/>
      <c r="GE100" s="8"/>
      <c r="GF100" s="8"/>
      <c r="GG100" s="8"/>
      <c r="GH100" s="8"/>
      <c r="GI100" s="8"/>
      <c r="GJ100" s="8"/>
      <c r="GK100" s="8"/>
      <c r="GL100" s="8"/>
      <c r="GM100" s="8"/>
      <c r="GN100" s="8"/>
      <c r="GO100" s="8"/>
      <c r="GP100" s="8"/>
      <c r="GQ100" s="8"/>
      <c r="GR100" s="8"/>
      <c r="GS100" s="8"/>
      <c r="GT100" s="8"/>
      <c r="GU100" s="8"/>
      <c r="GV100" s="8"/>
      <c r="GW100" s="8"/>
      <c r="GX100" s="8"/>
      <c r="GY100" s="8"/>
      <c r="GZ100" s="8"/>
      <c r="HA100" s="8"/>
      <c r="HB100" s="8"/>
      <c r="HC100" s="8"/>
      <c r="HD100" s="8"/>
      <c r="HE100" s="8"/>
      <c r="HF100" s="8"/>
      <c r="HG100" s="8"/>
      <c r="HH100" s="8"/>
      <c r="HI100" s="8"/>
      <c r="HJ100" s="8"/>
      <c r="HK100" s="8"/>
      <c r="HL100" s="8"/>
      <c r="HM100" s="8"/>
      <c r="HN100" s="8"/>
      <c r="HO100" s="8"/>
      <c r="HP100" s="8"/>
      <c r="HQ100" s="8"/>
      <c r="HR100" s="8"/>
      <c r="HS100" s="8"/>
      <c r="HT100" s="8"/>
      <c r="HU100" s="8"/>
      <c r="HV100" s="8"/>
      <c r="HW100" s="8"/>
      <c r="HX100" s="8"/>
      <c r="HY100" s="8"/>
      <c r="HZ100" s="8"/>
      <c r="IA100" s="8"/>
      <c r="IB100" s="8"/>
      <c r="IC100" s="8"/>
      <c r="ID100" s="8"/>
      <c r="IE100" s="8"/>
      <c r="IF100" s="8"/>
      <c r="IG100" s="8"/>
      <c r="IH100" s="8"/>
      <c r="II100" s="8"/>
      <c r="IJ100" s="8"/>
      <c r="IK100" s="8"/>
      <c r="IL100" s="8"/>
      <c r="IM100" s="8"/>
      <c r="IN100" s="8"/>
      <c r="IO100" s="8"/>
      <c r="IP100" s="8"/>
      <c r="IQ100" s="8"/>
      <c r="IR100" s="8"/>
      <c r="IS100" s="8"/>
      <c r="IT100" s="8"/>
      <c r="IU100" s="8"/>
      <c r="IV100" s="8"/>
      <c r="IW100" s="8"/>
      <c r="IX100" s="8"/>
      <c r="JA100" s="123"/>
      <c r="JB100" s="123"/>
      <c r="JC100" s="123"/>
      <c r="JD100" s="70">
        <f>SUM((TEXT(JA100,"[M]")/60)*'Income Person-hours'!$D$3,(TEXT(JB100,"[M]")/60)*'Income Person-hours'!$D$4,(TEXT(JC100,"[M]")/60)*'Income Person-hours'!$D$5)</f>
        <v>0</v>
      </c>
    </row>
    <row r="101" spans="1:264" s="12" customFormat="1" ht="15.75" hidden="1" x14ac:dyDescent="0.45">
      <c r="A101" s="32">
        <v>4.1500000000000004</v>
      </c>
      <c r="B101" s="126"/>
      <c r="C101" s="117"/>
      <c r="D101" s="13" t="str">
        <f>IF(OR(j_WEEKDAY(J_ADDDAY(VLOOKUP(I101,A:F,6,FALSE),H101,1),0)=6,SUMIFS(Holieday[ok],Holieday[date],J_ADDDAY(VLOOKUP(I101,A:F,6,FALSE),H101,1)))=FALSE(),J_ADDDAY(VLOOKUP(I101,A:F,6,FALSE),H101,1),IF(OR(j_WEEKDAY(J_ADDDAY(VLOOKUP(I101,A:F,6,FALSE),H101+1,1),0)=6,SUMIFS(Holieday[ok],Holieday[date],J_ADDDAY(VLOOKUP(I101,A:F,6,FALSE),H101+1,1)))=FALSE(),J_ADDDAY(VLOOKUP(I101,A:F,6,FALSE),H101+1,1),IF(OR(j_WEEKDAY(J_ADDDAY(VLOOKUP(I101,A:F,6,FALSE),H101+2,1),0)=6,SUMIFS(Holieday[ok],Holieday[date],J_ADDDAY(VLOOKUP(I101,A:F,6,FALSE),H101+2,1)))=FALSE(),J_ADDDAY(VLOOKUP(I101,A:F,6,FALSE),H101+2,1),IF(OR(j_WEEKDAY(J_ADDDAY(VLOOKUP(I101,A:F,6,FALSE),H101+3,1),0)=6,SUMIFS(Holieday[ok],Holieday[date],J_ADDDAY(VLOOKUP(I101,A:F,6,FALSE),H101+3,1)))=FALSE(),J_ADDDAY(VLOOKUP(I101,A:F,6,FALSE),H101+3,1),IF(OR(j_WEEKDAY(J_ADDDAY(VLOOKUP(I101,A:F,6,FALSE),H101+4,1),0)=6,SUMIFS(Holieday[ok],Holieday[date],J_ADDDAY(VLOOKUP(I101,A:F,6,FALSE),H101+4,1)))=FALSE(),J_ADDDAY(VLOOKUP(I101,A:F,6,FALSE),H101+4,1),J_ADDDAY(VLOOKUP(I101,A:F,6,FALSE),H101+5,1))))))</f>
        <v>1398/07/02</v>
      </c>
      <c r="E101" s="2">
        <f t="shared" si="32"/>
        <v>13980702</v>
      </c>
      <c r="F101" s="13" t="str">
        <f>IF(N101=0,J_SUBDAY(D101,1,1),IF((N101-NETWORKDAYS.INTL(J_GregorianDate(D101,1),J_GregorianDate(J_SUBDAY(J_ADDDAY(D101,N101,1),1,1),1),16,1)-SUMIFS(Holieday[ok],Holieday[date],CONCATENATE("&gt;","=",D101),Holieday[date],CONCATENATE("&lt;","=",J_SUBDAY(J_ADDDAY(D101,N101,1),1,1)))+SUMIFS(Holieday[Friday],Holieday[date],CONCATENATE("&gt;","=",D101),Holieday[date],CONCATENATE("&lt;","=",J_SUBDAY(J_ADDDAY(D101,N101,1),1,1))))=0,J_SUBDAY(J_ADDDAY(D101,N101,1),1,1),IF((N101-NETWORKDAYS.INTL(J_GregorianDate(D101,1),J_GregorianDate(J_SUBDAY(J_ADDDAY(D101,N101,1),1,1),1),16,1)-SUMIFS(Holieday[ok],Holieday[date],CONCATENATE("&gt;","=",D101),Holieday[date],CONCATENATE("&lt;","=",J_SUBDAY(J_ADDDAY(D101,N101,1),1,1)))+SUMIFS(Holieday[Friday],Holieday[date],CONCATENATE("&gt;","=",D101),Holieday[date],CONCATENATE("&lt;","=",J_SUBDAY(J_ADDDAY(D101,N101,1),1,1))))=1,J_SUBDAY(J_ADDDAY(D101,N101+1,1),1,1),IF((N101-NETWORKDAYS.INTL(J_GregorianDate(D101,1),J_GregorianDate(J_SUBDAY(J_ADDDAY(D101,N101,1),1,1),1),16,1)-SUMIFS(Holieday[ok],Holieday[date],CONCATENATE("&gt;","=",D101),Holieday[date],CONCATENATE("&lt;","=",J_SUBDAY(J_ADDDAY(D101,N101,1),1,1)))+SUMIFS(Holieday[Friday],Holieday[date],CONCATENATE("&gt;","=",D101),Holieday[date],CONCATENATE("&lt;","=",J_SUBDAY(J_ADDDAY(D101,N101,1),1,1))))=2,J_SUBDAY(J_ADDDAY(D101,N101+2,1),1,1),J_SUBDAY(J_ADDDAY(D101,N101+3,1),1,1)))))</f>
        <v>1398/07/01</v>
      </c>
      <c r="G101" s="3">
        <f t="shared" si="29"/>
        <v>13980701</v>
      </c>
      <c r="H101" s="119"/>
      <c r="I101" s="120">
        <v>1.2</v>
      </c>
      <c r="J101" s="10">
        <f>j_WEEKDAY(D101,2)</f>
        <v>3</v>
      </c>
      <c r="K101" s="22">
        <f t="shared" si="33"/>
        <v>0</v>
      </c>
      <c r="L101" s="9">
        <f t="shared" si="34"/>
        <v>0</v>
      </c>
      <c r="M101" s="121">
        <v>0</v>
      </c>
      <c r="N101" s="118">
        <v>0</v>
      </c>
      <c r="O101" s="11">
        <f t="shared" ref="O101:O108" si="35">ROUNDDOWN(M101*L101,0)</f>
        <v>0</v>
      </c>
      <c r="P101" s="11">
        <f>VALUE(J_normdate(J_ADDDAY($D101,$O101,1)))</f>
        <v>13980702</v>
      </c>
      <c r="Q101" s="10">
        <f t="shared" ref="Q101:Q108" si="36">L101-O101</f>
        <v>0</v>
      </c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/>
      <c r="BK101" s="8"/>
      <c r="BL101" s="8"/>
      <c r="BM101" s="8"/>
      <c r="BN101" s="8"/>
      <c r="BO101" s="8"/>
      <c r="BP101" s="8"/>
      <c r="BQ101" s="8"/>
      <c r="BR101" s="8"/>
      <c r="BS101" s="8"/>
      <c r="BT101" s="8"/>
      <c r="BU101" s="8"/>
      <c r="BV101" s="8"/>
      <c r="BW101" s="8"/>
      <c r="BX101" s="8"/>
      <c r="BY101" s="8"/>
      <c r="BZ101" s="8"/>
      <c r="CA101" s="8"/>
      <c r="CB101" s="8"/>
      <c r="CC101" s="8"/>
      <c r="CD101" s="8"/>
      <c r="CE101" s="8"/>
      <c r="CF101" s="8"/>
      <c r="CG101" s="8"/>
      <c r="CH101" s="8"/>
      <c r="CI101" s="8"/>
      <c r="CJ101" s="8"/>
      <c r="CK101" s="8"/>
      <c r="CL101" s="8"/>
      <c r="CM101" s="8"/>
      <c r="CN101" s="8"/>
      <c r="CO101" s="8"/>
      <c r="CP101" s="8"/>
      <c r="CQ101" s="8"/>
      <c r="CR101" s="8"/>
      <c r="CS101" s="8"/>
      <c r="CT101" s="8"/>
      <c r="CU101" s="8"/>
      <c r="CV101" s="8"/>
      <c r="CW101" s="8"/>
      <c r="CX101" s="8"/>
      <c r="CY101" s="8"/>
      <c r="CZ101" s="8"/>
      <c r="DA101" s="8"/>
      <c r="DB101" s="8"/>
      <c r="DC101" s="8"/>
      <c r="DD101" s="8"/>
      <c r="DE101" s="8"/>
      <c r="DF101" s="8"/>
      <c r="DG101" s="8"/>
      <c r="DH101" s="8"/>
      <c r="DI101" s="8"/>
      <c r="DJ101" s="8"/>
      <c r="DK101" s="8"/>
      <c r="DL101" s="8"/>
      <c r="DM101" s="8"/>
      <c r="DN101" s="8"/>
      <c r="DO101" s="8"/>
      <c r="DP101" s="8"/>
      <c r="DQ101" s="8"/>
      <c r="DR101" s="8"/>
      <c r="DS101" s="8"/>
      <c r="DT101" s="8"/>
      <c r="DU101" s="8"/>
      <c r="DV101" s="8"/>
      <c r="DW101" s="8"/>
      <c r="DX101" s="8"/>
      <c r="DY101" s="8"/>
      <c r="DZ101" s="8"/>
      <c r="EA101" s="8"/>
      <c r="EB101" s="8"/>
      <c r="EC101" s="8"/>
      <c r="ED101" s="8"/>
      <c r="EE101" s="8"/>
      <c r="EF101" s="8"/>
      <c r="EG101" s="8"/>
      <c r="EH101" s="8"/>
      <c r="EI101" s="8"/>
      <c r="EJ101" s="8"/>
      <c r="EK101" s="8"/>
      <c r="EL101" s="8"/>
      <c r="EM101" s="8"/>
      <c r="EN101" s="8"/>
      <c r="EO101" s="8"/>
      <c r="EP101" s="8"/>
      <c r="EQ101" s="8"/>
      <c r="ER101" s="8"/>
      <c r="ES101" s="8"/>
      <c r="ET101" s="8"/>
      <c r="EU101" s="8"/>
      <c r="EV101" s="8"/>
      <c r="EW101" s="8"/>
      <c r="EX101" s="8"/>
      <c r="EY101" s="8"/>
      <c r="EZ101" s="8"/>
      <c r="FA101" s="8"/>
      <c r="FB101" s="8"/>
      <c r="FC101" s="8"/>
      <c r="FD101" s="8"/>
      <c r="FE101" s="8"/>
      <c r="FF101" s="8"/>
      <c r="FG101" s="8"/>
      <c r="FH101" s="8"/>
      <c r="FI101" s="8"/>
      <c r="FJ101" s="8"/>
      <c r="FK101" s="8"/>
      <c r="FL101" s="8"/>
      <c r="FM101" s="8"/>
      <c r="FN101" s="8"/>
      <c r="FO101" s="8"/>
      <c r="FP101" s="8"/>
      <c r="FQ101" s="8"/>
      <c r="FR101" s="8"/>
      <c r="FS101" s="8"/>
      <c r="FT101" s="8"/>
      <c r="FU101" s="8"/>
      <c r="FV101" s="8"/>
      <c r="FW101" s="8"/>
      <c r="FX101" s="8"/>
      <c r="FY101" s="8"/>
      <c r="FZ101" s="8"/>
      <c r="GA101" s="8"/>
      <c r="GB101" s="8"/>
      <c r="GC101" s="8"/>
      <c r="GD101" s="8"/>
      <c r="GE101" s="8"/>
      <c r="GF101" s="8"/>
      <c r="GG101" s="8"/>
      <c r="GH101" s="8"/>
      <c r="GI101" s="8"/>
      <c r="GJ101" s="8"/>
      <c r="GK101" s="8"/>
      <c r="GL101" s="8"/>
      <c r="GM101" s="8"/>
      <c r="GN101" s="8"/>
      <c r="GO101" s="8"/>
      <c r="GP101" s="8"/>
      <c r="GQ101" s="8"/>
      <c r="GR101" s="8"/>
      <c r="GS101" s="8"/>
      <c r="GT101" s="8"/>
      <c r="GU101" s="8"/>
      <c r="GV101" s="8"/>
      <c r="GW101" s="8"/>
      <c r="GX101" s="8"/>
      <c r="GY101" s="8"/>
      <c r="GZ101" s="8"/>
      <c r="HA101" s="8"/>
      <c r="HB101" s="8"/>
      <c r="HC101" s="8"/>
      <c r="HD101" s="8"/>
      <c r="HE101" s="8"/>
      <c r="HF101" s="8"/>
      <c r="HG101" s="8"/>
      <c r="HH101" s="8"/>
      <c r="HI101" s="8"/>
      <c r="HJ101" s="8"/>
      <c r="HK101" s="8"/>
      <c r="HL101" s="8"/>
      <c r="HM101" s="8"/>
      <c r="HN101" s="8"/>
      <c r="HO101" s="8"/>
      <c r="HP101" s="8"/>
      <c r="HQ101" s="8"/>
      <c r="HR101" s="8"/>
      <c r="HS101" s="8"/>
      <c r="HT101" s="8"/>
      <c r="HU101" s="8"/>
      <c r="HV101" s="8"/>
      <c r="HW101" s="8"/>
      <c r="HX101" s="8"/>
      <c r="HY101" s="8"/>
      <c r="HZ101" s="8"/>
      <c r="IA101" s="8"/>
      <c r="IB101" s="8"/>
      <c r="IC101" s="8"/>
      <c r="ID101" s="8"/>
      <c r="IE101" s="8"/>
      <c r="IF101" s="8"/>
      <c r="IG101" s="8"/>
      <c r="IH101" s="8"/>
      <c r="II101" s="8"/>
      <c r="IJ101" s="8"/>
      <c r="IK101" s="8"/>
      <c r="IL101" s="8"/>
      <c r="IM101" s="8"/>
      <c r="IN101" s="8"/>
      <c r="IO101" s="8"/>
      <c r="IP101" s="8"/>
      <c r="IQ101" s="8"/>
      <c r="IR101" s="8"/>
      <c r="IS101" s="8"/>
      <c r="IT101" s="8"/>
      <c r="IU101" s="8"/>
      <c r="IV101" s="8"/>
      <c r="IW101" s="8"/>
      <c r="IX101" s="8"/>
      <c r="JA101" s="123"/>
      <c r="JB101" s="123"/>
      <c r="JC101" s="123"/>
      <c r="JD101" s="70">
        <f>SUM((TEXT(JA101,"[M]")/60)*'Income Person-hours'!$D$3,(TEXT(JB101,"[M]")/60)*'Income Person-hours'!$D$4,(TEXT(JC101,"[M]")/60)*'Income Person-hours'!$D$5)</f>
        <v>0</v>
      </c>
    </row>
    <row r="102" spans="1:264" s="12" customFormat="1" ht="15.75" hidden="1" x14ac:dyDescent="0.45">
      <c r="A102" s="32">
        <v>4.16</v>
      </c>
      <c r="B102" s="126"/>
      <c r="C102" s="117"/>
      <c r="D102" s="13" t="str">
        <f>IF(OR(j_WEEKDAY(J_ADDDAY(VLOOKUP(I102,A:F,6,FALSE),H102,1),0)=6,SUMIFS(Holieday[ok],Holieday[date],J_ADDDAY(VLOOKUP(I102,A:F,6,FALSE),H102,1)))=FALSE(),J_ADDDAY(VLOOKUP(I102,A:F,6,FALSE),H102,1),IF(OR(j_WEEKDAY(J_ADDDAY(VLOOKUP(I102,A:F,6,FALSE),H102+1,1),0)=6,SUMIFS(Holieday[ok],Holieday[date],J_ADDDAY(VLOOKUP(I102,A:F,6,FALSE),H102+1,1)))=FALSE(),J_ADDDAY(VLOOKUP(I102,A:F,6,FALSE),H102+1,1),IF(OR(j_WEEKDAY(J_ADDDAY(VLOOKUP(I102,A:F,6,FALSE),H102+2,1),0)=6,SUMIFS(Holieday[ok],Holieday[date],J_ADDDAY(VLOOKUP(I102,A:F,6,FALSE),H102+2,1)))=FALSE(),J_ADDDAY(VLOOKUP(I102,A:F,6,FALSE),H102+2,1),IF(OR(j_WEEKDAY(J_ADDDAY(VLOOKUP(I102,A:F,6,FALSE),H102+3,1),0)=6,SUMIFS(Holieday[ok],Holieday[date],J_ADDDAY(VLOOKUP(I102,A:F,6,FALSE),H102+3,1)))=FALSE(),J_ADDDAY(VLOOKUP(I102,A:F,6,FALSE),H102+3,1),IF(OR(j_WEEKDAY(J_ADDDAY(VLOOKUP(I102,A:F,6,FALSE),H102+4,1),0)=6,SUMIFS(Holieday[ok],Holieday[date],J_ADDDAY(VLOOKUP(I102,A:F,6,FALSE),H102+4,1)))=FALSE(),J_ADDDAY(VLOOKUP(I102,A:F,6,FALSE),H102+4,1),J_ADDDAY(VLOOKUP(I102,A:F,6,FALSE),H102+5,1))))))</f>
        <v>1398/07/02</v>
      </c>
      <c r="E102" s="2">
        <f t="shared" si="32"/>
        <v>13980702</v>
      </c>
      <c r="F102" s="13" t="str">
        <f>IF(N102=0,J_SUBDAY(D102,1,1),IF((N102-NETWORKDAYS.INTL(J_GregorianDate(D102,1),J_GregorianDate(J_SUBDAY(J_ADDDAY(D102,N102,1),1,1),1),16,1)-SUMIFS(Holieday[ok],Holieday[date],CONCATENATE("&gt;","=",D102),Holieday[date],CONCATENATE("&lt;","=",J_SUBDAY(J_ADDDAY(D102,N102,1),1,1)))+SUMIFS(Holieday[Friday],Holieday[date],CONCATENATE("&gt;","=",D102),Holieday[date],CONCATENATE("&lt;","=",J_SUBDAY(J_ADDDAY(D102,N102,1),1,1))))=0,J_SUBDAY(J_ADDDAY(D102,N102,1),1,1),IF((N102-NETWORKDAYS.INTL(J_GregorianDate(D102,1),J_GregorianDate(J_SUBDAY(J_ADDDAY(D102,N102,1),1,1),1),16,1)-SUMIFS(Holieday[ok],Holieday[date],CONCATENATE("&gt;","=",D102),Holieday[date],CONCATENATE("&lt;","=",J_SUBDAY(J_ADDDAY(D102,N102,1),1,1)))+SUMIFS(Holieday[Friday],Holieday[date],CONCATENATE("&gt;","=",D102),Holieday[date],CONCATENATE("&lt;","=",J_SUBDAY(J_ADDDAY(D102,N102,1),1,1))))=1,J_SUBDAY(J_ADDDAY(D102,N102+1,1),1,1),IF((N102-NETWORKDAYS.INTL(J_GregorianDate(D102,1),J_GregorianDate(J_SUBDAY(J_ADDDAY(D102,N102,1),1,1),1),16,1)-SUMIFS(Holieday[ok],Holieday[date],CONCATENATE("&gt;","=",D102),Holieday[date],CONCATENATE("&lt;","=",J_SUBDAY(J_ADDDAY(D102,N102,1),1,1)))+SUMIFS(Holieday[Friday],Holieday[date],CONCATENATE("&gt;","=",D102),Holieday[date],CONCATENATE("&lt;","=",J_SUBDAY(J_ADDDAY(D102,N102,1),1,1))))=2,J_SUBDAY(J_ADDDAY(D102,N102+2,1),1,1),J_SUBDAY(J_ADDDAY(D102,N102+3,1),1,1)))))</f>
        <v>1398/07/01</v>
      </c>
      <c r="G102" s="3">
        <f t="shared" si="29"/>
        <v>13980701</v>
      </c>
      <c r="H102" s="119"/>
      <c r="I102" s="120">
        <v>1.2</v>
      </c>
      <c r="J102" s="10">
        <f>j_WEEKDAY(D102,2)</f>
        <v>3</v>
      </c>
      <c r="K102" s="22">
        <f t="shared" si="33"/>
        <v>0</v>
      </c>
      <c r="L102" s="9">
        <f t="shared" si="34"/>
        <v>0</v>
      </c>
      <c r="M102" s="121">
        <v>0</v>
      </c>
      <c r="N102" s="118">
        <v>0</v>
      </c>
      <c r="O102" s="11">
        <f t="shared" si="35"/>
        <v>0</v>
      </c>
      <c r="P102" s="11">
        <f>VALUE(J_normdate(J_ADDDAY($D102,$O102,1)))</f>
        <v>13980702</v>
      </c>
      <c r="Q102" s="10">
        <f t="shared" si="36"/>
        <v>0</v>
      </c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 s="8"/>
      <c r="BK102" s="8"/>
      <c r="BL102" s="8"/>
      <c r="BM102" s="8"/>
      <c r="BN102" s="8"/>
      <c r="BO102" s="8"/>
      <c r="BP102" s="8"/>
      <c r="BQ102" s="8"/>
      <c r="BR102" s="8"/>
      <c r="BS102" s="8"/>
      <c r="BT102" s="8"/>
      <c r="BU102" s="8"/>
      <c r="BV102" s="8"/>
      <c r="BW102" s="8"/>
      <c r="BX102" s="8"/>
      <c r="BY102" s="8"/>
      <c r="BZ102" s="8"/>
      <c r="CA102" s="8"/>
      <c r="CB102" s="8"/>
      <c r="CC102" s="8"/>
      <c r="CD102" s="8"/>
      <c r="CE102" s="8"/>
      <c r="CF102" s="8"/>
      <c r="CG102" s="8"/>
      <c r="CH102" s="8"/>
      <c r="CI102" s="8"/>
      <c r="CJ102" s="8"/>
      <c r="CK102" s="8"/>
      <c r="CL102" s="8"/>
      <c r="CM102" s="8"/>
      <c r="CN102" s="8"/>
      <c r="CO102" s="8"/>
      <c r="CP102" s="8"/>
      <c r="CQ102" s="8"/>
      <c r="CR102" s="8"/>
      <c r="CS102" s="8"/>
      <c r="CT102" s="8"/>
      <c r="CU102" s="8"/>
      <c r="CV102" s="8"/>
      <c r="CW102" s="8"/>
      <c r="CX102" s="8"/>
      <c r="CY102" s="8"/>
      <c r="CZ102" s="8"/>
      <c r="DA102" s="8"/>
      <c r="DB102" s="8"/>
      <c r="DC102" s="8"/>
      <c r="DD102" s="8"/>
      <c r="DE102" s="8"/>
      <c r="DF102" s="8"/>
      <c r="DG102" s="8"/>
      <c r="DH102" s="8"/>
      <c r="DI102" s="8"/>
      <c r="DJ102" s="8"/>
      <c r="DK102" s="8"/>
      <c r="DL102" s="8"/>
      <c r="DM102" s="8"/>
      <c r="DN102" s="8"/>
      <c r="DO102" s="8"/>
      <c r="DP102" s="8"/>
      <c r="DQ102" s="8"/>
      <c r="DR102" s="8"/>
      <c r="DS102" s="8"/>
      <c r="DT102" s="8"/>
      <c r="DU102" s="8"/>
      <c r="DV102" s="8"/>
      <c r="DW102" s="8"/>
      <c r="DX102" s="8"/>
      <c r="DY102" s="8"/>
      <c r="DZ102" s="8"/>
      <c r="EA102" s="8"/>
      <c r="EB102" s="8"/>
      <c r="EC102" s="8"/>
      <c r="ED102" s="8"/>
      <c r="EE102" s="8"/>
      <c r="EF102" s="8"/>
      <c r="EG102" s="8"/>
      <c r="EH102" s="8"/>
      <c r="EI102" s="8"/>
      <c r="EJ102" s="8"/>
      <c r="EK102" s="8"/>
      <c r="EL102" s="8"/>
      <c r="EM102" s="8"/>
      <c r="EN102" s="8"/>
      <c r="EO102" s="8"/>
      <c r="EP102" s="8"/>
      <c r="EQ102" s="8"/>
      <c r="ER102" s="8"/>
      <c r="ES102" s="8"/>
      <c r="ET102" s="8"/>
      <c r="EU102" s="8"/>
      <c r="EV102" s="8"/>
      <c r="EW102" s="8"/>
      <c r="EX102" s="8"/>
      <c r="EY102" s="8"/>
      <c r="EZ102" s="8"/>
      <c r="FA102" s="8"/>
      <c r="FB102" s="8"/>
      <c r="FC102" s="8"/>
      <c r="FD102" s="8"/>
      <c r="FE102" s="8"/>
      <c r="FF102" s="8"/>
      <c r="FG102" s="8"/>
      <c r="FH102" s="8"/>
      <c r="FI102" s="8"/>
      <c r="FJ102" s="8"/>
      <c r="FK102" s="8"/>
      <c r="FL102" s="8"/>
      <c r="FM102" s="8"/>
      <c r="FN102" s="8"/>
      <c r="FO102" s="8"/>
      <c r="FP102" s="8"/>
      <c r="FQ102" s="8"/>
      <c r="FR102" s="8"/>
      <c r="FS102" s="8"/>
      <c r="FT102" s="8"/>
      <c r="FU102" s="8"/>
      <c r="FV102" s="8"/>
      <c r="FW102" s="8"/>
      <c r="FX102" s="8"/>
      <c r="FY102" s="8"/>
      <c r="FZ102" s="8"/>
      <c r="GA102" s="8"/>
      <c r="GB102" s="8"/>
      <c r="GC102" s="8"/>
      <c r="GD102" s="8"/>
      <c r="GE102" s="8"/>
      <c r="GF102" s="8"/>
      <c r="GG102" s="8"/>
      <c r="GH102" s="8"/>
      <c r="GI102" s="8"/>
      <c r="GJ102" s="8"/>
      <c r="GK102" s="8"/>
      <c r="GL102" s="8"/>
      <c r="GM102" s="8"/>
      <c r="GN102" s="8"/>
      <c r="GO102" s="8"/>
      <c r="GP102" s="8"/>
      <c r="GQ102" s="8"/>
      <c r="GR102" s="8"/>
      <c r="GS102" s="8"/>
      <c r="GT102" s="8"/>
      <c r="GU102" s="8"/>
      <c r="GV102" s="8"/>
      <c r="GW102" s="8"/>
      <c r="GX102" s="8"/>
      <c r="GY102" s="8"/>
      <c r="GZ102" s="8"/>
      <c r="HA102" s="8"/>
      <c r="HB102" s="8"/>
      <c r="HC102" s="8"/>
      <c r="HD102" s="8"/>
      <c r="HE102" s="8"/>
      <c r="HF102" s="8"/>
      <c r="HG102" s="8"/>
      <c r="HH102" s="8"/>
      <c r="HI102" s="8"/>
      <c r="HJ102" s="8"/>
      <c r="HK102" s="8"/>
      <c r="HL102" s="8"/>
      <c r="HM102" s="8"/>
      <c r="HN102" s="8"/>
      <c r="HO102" s="8"/>
      <c r="HP102" s="8"/>
      <c r="HQ102" s="8"/>
      <c r="HR102" s="8"/>
      <c r="HS102" s="8"/>
      <c r="HT102" s="8"/>
      <c r="HU102" s="8"/>
      <c r="HV102" s="8"/>
      <c r="HW102" s="8"/>
      <c r="HX102" s="8"/>
      <c r="HY102" s="8"/>
      <c r="HZ102" s="8"/>
      <c r="IA102" s="8"/>
      <c r="IB102" s="8"/>
      <c r="IC102" s="8"/>
      <c r="ID102" s="8"/>
      <c r="IE102" s="8"/>
      <c r="IF102" s="8"/>
      <c r="IG102" s="8"/>
      <c r="IH102" s="8"/>
      <c r="II102" s="8"/>
      <c r="IJ102" s="8"/>
      <c r="IK102" s="8"/>
      <c r="IL102" s="8"/>
      <c r="IM102" s="8"/>
      <c r="IN102" s="8"/>
      <c r="IO102" s="8"/>
      <c r="IP102" s="8"/>
      <c r="IQ102" s="8"/>
      <c r="IR102" s="8"/>
      <c r="IS102" s="8"/>
      <c r="IT102" s="8"/>
      <c r="IU102" s="8"/>
      <c r="IV102" s="8"/>
      <c r="IW102" s="8"/>
      <c r="IX102" s="8"/>
      <c r="JA102" s="123"/>
      <c r="JB102" s="123"/>
      <c r="JC102" s="123"/>
      <c r="JD102" s="70">
        <f>SUM((TEXT(JA102,"[M]")/60)*'Income Person-hours'!$D$3,(TEXT(JB102,"[M]")/60)*'Income Person-hours'!$D$4,(TEXT(JC102,"[M]")/60)*'Income Person-hours'!$D$5)</f>
        <v>0</v>
      </c>
    </row>
    <row r="103" spans="1:264" s="12" customFormat="1" ht="15.75" hidden="1" x14ac:dyDescent="0.45">
      <c r="A103" s="32">
        <v>4.17</v>
      </c>
      <c r="B103" s="126"/>
      <c r="C103" s="117"/>
      <c r="D103" s="13" t="str">
        <f>IF(OR(j_WEEKDAY(J_ADDDAY(VLOOKUP(I103,A:F,6,FALSE),H103,1),0)=6,SUMIFS(Holieday[ok],Holieday[date],J_ADDDAY(VLOOKUP(I103,A:F,6,FALSE),H103,1)))=FALSE(),J_ADDDAY(VLOOKUP(I103,A:F,6,FALSE),H103,1),IF(OR(j_WEEKDAY(J_ADDDAY(VLOOKUP(I103,A:F,6,FALSE),H103+1,1),0)=6,SUMIFS(Holieday[ok],Holieday[date],J_ADDDAY(VLOOKUP(I103,A:F,6,FALSE),H103+1,1)))=FALSE(),J_ADDDAY(VLOOKUP(I103,A:F,6,FALSE),H103+1,1),IF(OR(j_WEEKDAY(J_ADDDAY(VLOOKUP(I103,A:F,6,FALSE),H103+2,1),0)=6,SUMIFS(Holieday[ok],Holieday[date],J_ADDDAY(VLOOKUP(I103,A:F,6,FALSE),H103+2,1)))=FALSE(),J_ADDDAY(VLOOKUP(I103,A:F,6,FALSE),H103+2,1),IF(OR(j_WEEKDAY(J_ADDDAY(VLOOKUP(I103,A:F,6,FALSE),H103+3,1),0)=6,SUMIFS(Holieday[ok],Holieday[date],J_ADDDAY(VLOOKUP(I103,A:F,6,FALSE),H103+3,1)))=FALSE(),J_ADDDAY(VLOOKUP(I103,A:F,6,FALSE),H103+3,1),IF(OR(j_WEEKDAY(J_ADDDAY(VLOOKUP(I103,A:F,6,FALSE),H103+4,1),0)=6,SUMIFS(Holieday[ok],Holieday[date],J_ADDDAY(VLOOKUP(I103,A:F,6,FALSE),H103+4,1)))=FALSE(),J_ADDDAY(VLOOKUP(I103,A:F,6,FALSE),H103+4,1),J_ADDDAY(VLOOKUP(I103,A:F,6,FALSE),H103+5,1))))))</f>
        <v>1398/07/02</v>
      </c>
      <c r="E103" s="2">
        <f t="shared" si="32"/>
        <v>13980702</v>
      </c>
      <c r="F103" s="13" t="str">
        <f>IF(N103=0,J_SUBDAY(D103,1,1),IF((N103-NETWORKDAYS.INTL(J_GregorianDate(D103,1),J_GregorianDate(J_SUBDAY(J_ADDDAY(D103,N103,1),1,1),1),16,1)-SUMIFS(Holieday[ok],Holieday[date],CONCATENATE("&gt;","=",D103),Holieday[date],CONCATENATE("&lt;","=",J_SUBDAY(J_ADDDAY(D103,N103,1),1,1)))+SUMIFS(Holieday[Friday],Holieday[date],CONCATENATE("&gt;","=",D103),Holieday[date],CONCATENATE("&lt;","=",J_SUBDAY(J_ADDDAY(D103,N103,1),1,1))))=0,J_SUBDAY(J_ADDDAY(D103,N103,1),1,1),IF((N103-NETWORKDAYS.INTL(J_GregorianDate(D103,1),J_GregorianDate(J_SUBDAY(J_ADDDAY(D103,N103,1),1,1),1),16,1)-SUMIFS(Holieday[ok],Holieday[date],CONCATENATE("&gt;","=",D103),Holieday[date],CONCATENATE("&lt;","=",J_SUBDAY(J_ADDDAY(D103,N103,1),1,1)))+SUMIFS(Holieday[Friday],Holieday[date],CONCATENATE("&gt;","=",D103),Holieday[date],CONCATENATE("&lt;","=",J_SUBDAY(J_ADDDAY(D103,N103,1),1,1))))=1,J_SUBDAY(J_ADDDAY(D103,N103+1,1),1,1),IF((N103-NETWORKDAYS.INTL(J_GregorianDate(D103,1),J_GregorianDate(J_SUBDAY(J_ADDDAY(D103,N103,1),1,1),1),16,1)-SUMIFS(Holieday[ok],Holieday[date],CONCATENATE("&gt;","=",D103),Holieday[date],CONCATENATE("&lt;","=",J_SUBDAY(J_ADDDAY(D103,N103,1),1,1)))+SUMIFS(Holieday[Friday],Holieday[date],CONCATENATE("&gt;","=",D103),Holieday[date],CONCATENATE("&lt;","=",J_SUBDAY(J_ADDDAY(D103,N103,1),1,1))))=2,J_SUBDAY(J_ADDDAY(D103,N103+2,1),1,1),J_SUBDAY(J_ADDDAY(D103,N103+3,1),1,1)))))</f>
        <v>1398/07/01</v>
      </c>
      <c r="G103" s="3">
        <f t="shared" si="29"/>
        <v>13980701</v>
      </c>
      <c r="H103" s="119"/>
      <c r="I103" s="120">
        <v>1.2</v>
      </c>
      <c r="J103" s="10">
        <f>j_WEEKDAY(D103,2)</f>
        <v>3</v>
      </c>
      <c r="K103" s="22">
        <f t="shared" si="33"/>
        <v>0</v>
      </c>
      <c r="L103" s="9">
        <f t="shared" si="34"/>
        <v>0</v>
      </c>
      <c r="M103" s="121">
        <v>0</v>
      </c>
      <c r="N103" s="118">
        <v>0</v>
      </c>
      <c r="O103" s="11">
        <f t="shared" si="35"/>
        <v>0</v>
      </c>
      <c r="P103" s="11">
        <f>VALUE(J_normdate(J_ADDDAY($D103,$O103,1)))</f>
        <v>13980702</v>
      </c>
      <c r="Q103" s="10">
        <f t="shared" si="36"/>
        <v>0</v>
      </c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 s="8"/>
      <c r="BK103" s="8"/>
      <c r="BL103" s="8"/>
      <c r="BM103" s="8"/>
      <c r="BN103" s="8"/>
      <c r="BO103" s="8"/>
      <c r="BP103" s="8"/>
      <c r="BQ103" s="8"/>
      <c r="BR103" s="8"/>
      <c r="BS103" s="8"/>
      <c r="BT103" s="8"/>
      <c r="BU103" s="8"/>
      <c r="BV103" s="8"/>
      <c r="BW103" s="8"/>
      <c r="BX103" s="8"/>
      <c r="BY103" s="8"/>
      <c r="BZ103" s="8"/>
      <c r="CA103" s="8"/>
      <c r="CB103" s="8"/>
      <c r="CC103" s="8"/>
      <c r="CD103" s="8"/>
      <c r="CE103" s="8"/>
      <c r="CF103" s="8"/>
      <c r="CG103" s="8"/>
      <c r="CH103" s="8"/>
      <c r="CI103" s="8"/>
      <c r="CJ103" s="8"/>
      <c r="CK103" s="8"/>
      <c r="CL103" s="8"/>
      <c r="CM103" s="8"/>
      <c r="CN103" s="8"/>
      <c r="CO103" s="8"/>
      <c r="CP103" s="8"/>
      <c r="CQ103" s="8"/>
      <c r="CR103" s="8"/>
      <c r="CS103" s="8"/>
      <c r="CT103" s="8"/>
      <c r="CU103" s="8"/>
      <c r="CV103" s="8"/>
      <c r="CW103" s="8"/>
      <c r="CX103" s="8"/>
      <c r="CY103" s="8"/>
      <c r="CZ103" s="8"/>
      <c r="DA103" s="8"/>
      <c r="DB103" s="8"/>
      <c r="DC103" s="8"/>
      <c r="DD103" s="8"/>
      <c r="DE103" s="8"/>
      <c r="DF103" s="8"/>
      <c r="DG103" s="8"/>
      <c r="DH103" s="8"/>
      <c r="DI103" s="8"/>
      <c r="DJ103" s="8"/>
      <c r="DK103" s="8"/>
      <c r="DL103" s="8"/>
      <c r="DM103" s="8"/>
      <c r="DN103" s="8"/>
      <c r="DO103" s="8"/>
      <c r="DP103" s="8"/>
      <c r="DQ103" s="8"/>
      <c r="DR103" s="8"/>
      <c r="DS103" s="8"/>
      <c r="DT103" s="8"/>
      <c r="DU103" s="8"/>
      <c r="DV103" s="8"/>
      <c r="DW103" s="8"/>
      <c r="DX103" s="8"/>
      <c r="DY103" s="8"/>
      <c r="DZ103" s="8"/>
      <c r="EA103" s="8"/>
      <c r="EB103" s="8"/>
      <c r="EC103" s="8"/>
      <c r="ED103" s="8"/>
      <c r="EE103" s="8"/>
      <c r="EF103" s="8"/>
      <c r="EG103" s="8"/>
      <c r="EH103" s="8"/>
      <c r="EI103" s="8"/>
      <c r="EJ103" s="8"/>
      <c r="EK103" s="8"/>
      <c r="EL103" s="8"/>
      <c r="EM103" s="8"/>
      <c r="EN103" s="8"/>
      <c r="EO103" s="8"/>
      <c r="EP103" s="8"/>
      <c r="EQ103" s="8"/>
      <c r="ER103" s="8"/>
      <c r="ES103" s="8"/>
      <c r="ET103" s="8"/>
      <c r="EU103" s="8"/>
      <c r="EV103" s="8"/>
      <c r="EW103" s="8"/>
      <c r="EX103" s="8"/>
      <c r="EY103" s="8"/>
      <c r="EZ103" s="8"/>
      <c r="FA103" s="8"/>
      <c r="FB103" s="8"/>
      <c r="FC103" s="8"/>
      <c r="FD103" s="8"/>
      <c r="FE103" s="8"/>
      <c r="FF103" s="8"/>
      <c r="FG103" s="8"/>
      <c r="FH103" s="8"/>
      <c r="FI103" s="8"/>
      <c r="FJ103" s="8"/>
      <c r="FK103" s="8"/>
      <c r="FL103" s="8"/>
      <c r="FM103" s="8"/>
      <c r="FN103" s="8"/>
      <c r="FO103" s="8"/>
      <c r="FP103" s="8"/>
      <c r="FQ103" s="8"/>
      <c r="FR103" s="8"/>
      <c r="FS103" s="8"/>
      <c r="FT103" s="8"/>
      <c r="FU103" s="8"/>
      <c r="FV103" s="8"/>
      <c r="FW103" s="8"/>
      <c r="FX103" s="8"/>
      <c r="FY103" s="8"/>
      <c r="FZ103" s="8"/>
      <c r="GA103" s="8"/>
      <c r="GB103" s="8"/>
      <c r="GC103" s="8"/>
      <c r="GD103" s="8"/>
      <c r="GE103" s="8"/>
      <c r="GF103" s="8"/>
      <c r="GG103" s="8"/>
      <c r="GH103" s="8"/>
      <c r="GI103" s="8"/>
      <c r="GJ103" s="8"/>
      <c r="GK103" s="8"/>
      <c r="GL103" s="8"/>
      <c r="GM103" s="8"/>
      <c r="GN103" s="8"/>
      <c r="GO103" s="8"/>
      <c r="GP103" s="8"/>
      <c r="GQ103" s="8"/>
      <c r="GR103" s="8"/>
      <c r="GS103" s="8"/>
      <c r="GT103" s="8"/>
      <c r="GU103" s="8"/>
      <c r="GV103" s="8"/>
      <c r="GW103" s="8"/>
      <c r="GX103" s="8"/>
      <c r="GY103" s="8"/>
      <c r="GZ103" s="8"/>
      <c r="HA103" s="8"/>
      <c r="HB103" s="8"/>
      <c r="HC103" s="8"/>
      <c r="HD103" s="8"/>
      <c r="HE103" s="8"/>
      <c r="HF103" s="8"/>
      <c r="HG103" s="8"/>
      <c r="HH103" s="8"/>
      <c r="HI103" s="8"/>
      <c r="HJ103" s="8"/>
      <c r="HK103" s="8"/>
      <c r="HL103" s="8"/>
      <c r="HM103" s="8"/>
      <c r="HN103" s="8"/>
      <c r="HO103" s="8"/>
      <c r="HP103" s="8"/>
      <c r="HQ103" s="8"/>
      <c r="HR103" s="8"/>
      <c r="HS103" s="8"/>
      <c r="HT103" s="8"/>
      <c r="HU103" s="8"/>
      <c r="HV103" s="8"/>
      <c r="HW103" s="8"/>
      <c r="HX103" s="8"/>
      <c r="HY103" s="8"/>
      <c r="HZ103" s="8"/>
      <c r="IA103" s="8"/>
      <c r="IB103" s="8"/>
      <c r="IC103" s="8"/>
      <c r="ID103" s="8"/>
      <c r="IE103" s="8"/>
      <c r="IF103" s="8"/>
      <c r="IG103" s="8"/>
      <c r="IH103" s="8"/>
      <c r="II103" s="8"/>
      <c r="IJ103" s="8"/>
      <c r="IK103" s="8"/>
      <c r="IL103" s="8"/>
      <c r="IM103" s="8"/>
      <c r="IN103" s="8"/>
      <c r="IO103" s="8"/>
      <c r="IP103" s="8"/>
      <c r="IQ103" s="8"/>
      <c r="IR103" s="8"/>
      <c r="IS103" s="8"/>
      <c r="IT103" s="8"/>
      <c r="IU103" s="8"/>
      <c r="IV103" s="8"/>
      <c r="IW103" s="8"/>
      <c r="IX103" s="8"/>
      <c r="JA103" s="123"/>
      <c r="JB103" s="123"/>
      <c r="JC103" s="123"/>
      <c r="JD103" s="70">
        <f>SUM((TEXT(JA103,"[M]")/60)*'Income Person-hours'!$D$3,(TEXT(JB103,"[M]")/60)*'Income Person-hours'!$D$4,(TEXT(JC103,"[M]")/60)*'Income Person-hours'!$D$5)</f>
        <v>0</v>
      </c>
    </row>
    <row r="104" spans="1:264" s="12" customFormat="1" ht="15.75" hidden="1" x14ac:dyDescent="0.45">
      <c r="A104" s="32">
        <v>4.18</v>
      </c>
      <c r="B104" s="126"/>
      <c r="C104" s="117"/>
      <c r="D104" s="13" t="str">
        <f>IF(OR(j_WEEKDAY(J_ADDDAY(VLOOKUP(I104,A:F,6,FALSE),H104,1),0)=6,SUMIFS(Holieday[ok],Holieday[date],J_ADDDAY(VLOOKUP(I104,A:F,6,FALSE),H104,1)))=FALSE(),J_ADDDAY(VLOOKUP(I104,A:F,6,FALSE),H104,1),IF(OR(j_WEEKDAY(J_ADDDAY(VLOOKUP(I104,A:F,6,FALSE),H104+1,1),0)=6,SUMIFS(Holieday[ok],Holieday[date],J_ADDDAY(VLOOKUP(I104,A:F,6,FALSE),H104+1,1)))=FALSE(),J_ADDDAY(VLOOKUP(I104,A:F,6,FALSE),H104+1,1),IF(OR(j_WEEKDAY(J_ADDDAY(VLOOKUP(I104,A:F,6,FALSE),H104+2,1),0)=6,SUMIFS(Holieday[ok],Holieday[date],J_ADDDAY(VLOOKUP(I104,A:F,6,FALSE),H104+2,1)))=FALSE(),J_ADDDAY(VLOOKUP(I104,A:F,6,FALSE),H104+2,1),IF(OR(j_WEEKDAY(J_ADDDAY(VLOOKUP(I104,A:F,6,FALSE),H104+3,1),0)=6,SUMIFS(Holieday[ok],Holieday[date],J_ADDDAY(VLOOKUP(I104,A:F,6,FALSE),H104+3,1)))=FALSE(),J_ADDDAY(VLOOKUP(I104,A:F,6,FALSE),H104+3,1),IF(OR(j_WEEKDAY(J_ADDDAY(VLOOKUP(I104,A:F,6,FALSE),H104+4,1),0)=6,SUMIFS(Holieday[ok],Holieday[date],J_ADDDAY(VLOOKUP(I104,A:F,6,FALSE),H104+4,1)))=FALSE(),J_ADDDAY(VLOOKUP(I104,A:F,6,FALSE),H104+4,1),J_ADDDAY(VLOOKUP(I104,A:F,6,FALSE),H104+5,1))))))</f>
        <v>1398/07/02</v>
      </c>
      <c r="E104" s="2">
        <f t="shared" si="32"/>
        <v>13980702</v>
      </c>
      <c r="F104" s="13" t="str">
        <f>IF(N104=0,J_SUBDAY(D104,1,1),IF((N104-NETWORKDAYS.INTL(J_GregorianDate(D104,1),J_GregorianDate(J_SUBDAY(J_ADDDAY(D104,N104,1),1,1),1),16,1)-SUMIFS(Holieday[ok],Holieday[date],CONCATENATE("&gt;","=",D104),Holieday[date],CONCATENATE("&lt;","=",J_SUBDAY(J_ADDDAY(D104,N104,1),1,1)))+SUMIFS(Holieday[Friday],Holieday[date],CONCATENATE("&gt;","=",D104),Holieday[date],CONCATENATE("&lt;","=",J_SUBDAY(J_ADDDAY(D104,N104,1),1,1))))=0,J_SUBDAY(J_ADDDAY(D104,N104,1),1,1),IF((N104-NETWORKDAYS.INTL(J_GregorianDate(D104,1),J_GregorianDate(J_SUBDAY(J_ADDDAY(D104,N104,1),1,1),1),16,1)-SUMIFS(Holieday[ok],Holieday[date],CONCATENATE("&gt;","=",D104),Holieday[date],CONCATENATE("&lt;","=",J_SUBDAY(J_ADDDAY(D104,N104,1),1,1)))+SUMIFS(Holieday[Friday],Holieday[date],CONCATENATE("&gt;","=",D104),Holieday[date],CONCATENATE("&lt;","=",J_SUBDAY(J_ADDDAY(D104,N104,1),1,1))))=1,J_SUBDAY(J_ADDDAY(D104,N104+1,1),1,1),IF((N104-NETWORKDAYS.INTL(J_GregorianDate(D104,1),J_GregorianDate(J_SUBDAY(J_ADDDAY(D104,N104,1),1,1),1),16,1)-SUMIFS(Holieday[ok],Holieday[date],CONCATENATE("&gt;","=",D104),Holieday[date],CONCATENATE("&lt;","=",J_SUBDAY(J_ADDDAY(D104,N104,1),1,1)))+SUMIFS(Holieday[Friday],Holieday[date],CONCATENATE("&gt;","=",D104),Holieday[date],CONCATENATE("&lt;","=",J_SUBDAY(J_ADDDAY(D104,N104,1),1,1))))=2,J_SUBDAY(J_ADDDAY(D104,N104+2,1),1,1),J_SUBDAY(J_ADDDAY(D104,N104+3,1),1,1)))))</f>
        <v>1398/07/01</v>
      </c>
      <c r="G104" s="3">
        <f t="shared" si="29"/>
        <v>13980701</v>
      </c>
      <c r="H104" s="119"/>
      <c r="I104" s="120">
        <v>1.2</v>
      </c>
      <c r="J104" s="10">
        <f>j_WEEKDAY(D104,2)</f>
        <v>3</v>
      </c>
      <c r="K104" s="22">
        <f t="shared" si="33"/>
        <v>0</v>
      </c>
      <c r="L104" s="9">
        <f t="shared" si="34"/>
        <v>0</v>
      </c>
      <c r="M104" s="121">
        <v>0</v>
      </c>
      <c r="N104" s="118">
        <v>0</v>
      </c>
      <c r="O104" s="11">
        <f t="shared" si="35"/>
        <v>0</v>
      </c>
      <c r="P104" s="11">
        <f>VALUE(J_normdate(J_ADDDAY($D104,$O104,1)))</f>
        <v>13980702</v>
      </c>
      <c r="Q104" s="10">
        <f t="shared" si="36"/>
        <v>0</v>
      </c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 s="8"/>
      <c r="BK104" s="8"/>
      <c r="BL104" s="8"/>
      <c r="BM104" s="8"/>
      <c r="BN104" s="8"/>
      <c r="BO104" s="8"/>
      <c r="BP104" s="8"/>
      <c r="BQ104" s="8"/>
      <c r="BR104" s="8"/>
      <c r="BS104" s="8"/>
      <c r="BT104" s="8"/>
      <c r="BU104" s="8"/>
      <c r="BV104" s="8"/>
      <c r="BW104" s="8"/>
      <c r="BX104" s="8"/>
      <c r="BY104" s="8"/>
      <c r="BZ104" s="8"/>
      <c r="CA104" s="8"/>
      <c r="CB104" s="8"/>
      <c r="CC104" s="8"/>
      <c r="CD104" s="8"/>
      <c r="CE104" s="8"/>
      <c r="CF104" s="8"/>
      <c r="CG104" s="8"/>
      <c r="CH104" s="8"/>
      <c r="CI104" s="8"/>
      <c r="CJ104" s="8"/>
      <c r="CK104" s="8"/>
      <c r="CL104" s="8"/>
      <c r="CM104" s="8"/>
      <c r="CN104" s="8"/>
      <c r="CO104" s="8"/>
      <c r="CP104" s="8"/>
      <c r="CQ104" s="8"/>
      <c r="CR104" s="8"/>
      <c r="CS104" s="8"/>
      <c r="CT104" s="8"/>
      <c r="CU104" s="8"/>
      <c r="CV104" s="8"/>
      <c r="CW104" s="8"/>
      <c r="CX104" s="8"/>
      <c r="CY104" s="8"/>
      <c r="CZ104" s="8"/>
      <c r="DA104" s="8"/>
      <c r="DB104" s="8"/>
      <c r="DC104" s="8"/>
      <c r="DD104" s="8"/>
      <c r="DE104" s="8"/>
      <c r="DF104" s="8"/>
      <c r="DG104" s="8"/>
      <c r="DH104" s="8"/>
      <c r="DI104" s="8"/>
      <c r="DJ104" s="8"/>
      <c r="DK104" s="8"/>
      <c r="DL104" s="8"/>
      <c r="DM104" s="8"/>
      <c r="DN104" s="8"/>
      <c r="DO104" s="8"/>
      <c r="DP104" s="8"/>
      <c r="DQ104" s="8"/>
      <c r="DR104" s="8"/>
      <c r="DS104" s="8"/>
      <c r="DT104" s="8"/>
      <c r="DU104" s="8"/>
      <c r="DV104" s="8"/>
      <c r="DW104" s="8"/>
      <c r="DX104" s="8"/>
      <c r="DY104" s="8"/>
      <c r="DZ104" s="8"/>
      <c r="EA104" s="8"/>
      <c r="EB104" s="8"/>
      <c r="EC104" s="8"/>
      <c r="ED104" s="8"/>
      <c r="EE104" s="8"/>
      <c r="EF104" s="8"/>
      <c r="EG104" s="8"/>
      <c r="EH104" s="8"/>
      <c r="EI104" s="8"/>
      <c r="EJ104" s="8"/>
      <c r="EK104" s="8"/>
      <c r="EL104" s="8"/>
      <c r="EM104" s="8"/>
      <c r="EN104" s="8"/>
      <c r="EO104" s="8"/>
      <c r="EP104" s="8"/>
      <c r="EQ104" s="8"/>
      <c r="ER104" s="8"/>
      <c r="ES104" s="8"/>
      <c r="ET104" s="8"/>
      <c r="EU104" s="8"/>
      <c r="EV104" s="8"/>
      <c r="EW104" s="8"/>
      <c r="EX104" s="8"/>
      <c r="EY104" s="8"/>
      <c r="EZ104" s="8"/>
      <c r="FA104" s="8"/>
      <c r="FB104" s="8"/>
      <c r="FC104" s="8"/>
      <c r="FD104" s="8"/>
      <c r="FE104" s="8"/>
      <c r="FF104" s="8"/>
      <c r="FG104" s="8"/>
      <c r="FH104" s="8"/>
      <c r="FI104" s="8"/>
      <c r="FJ104" s="8"/>
      <c r="FK104" s="8"/>
      <c r="FL104" s="8"/>
      <c r="FM104" s="8"/>
      <c r="FN104" s="8"/>
      <c r="FO104" s="8"/>
      <c r="FP104" s="8"/>
      <c r="FQ104" s="8"/>
      <c r="FR104" s="8"/>
      <c r="FS104" s="8"/>
      <c r="FT104" s="8"/>
      <c r="FU104" s="8"/>
      <c r="FV104" s="8"/>
      <c r="FW104" s="8"/>
      <c r="FX104" s="8"/>
      <c r="FY104" s="8"/>
      <c r="FZ104" s="8"/>
      <c r="GA104" s="8"/>
      <c r="GB104" s="8"/>
      <c r="GC104" s="8"/>
      <c r="GD104" s="8"/>
      <c r="GE104" s="8"/>
      <c r="GF104" s="8"/>
      <c r="GG104" s="8"/>
      <c r="GH104" s="8"/>
      <c r="GI104" s="8"/>
      <c r="GJ104" s="8"/>
      <c r="GK104" s="8"/>
      <c r="GL104" s="8"/>
      <c r="GM104" s="8"/>
      <c r="GN104" s="8"/>
      <c r="GO104" s="8"/>
      <c r="GP104" s="8"/>
      <c r="GQ104" s="8"/>
      <c r="GR104" s="8"/>
      <c r="GS104" s="8"/>
      <c r="GT104" s="8"/>
      <c r="GU104" s="8"/>
      <c r="GV104" s="8"/>
      <c r="GW104" s="8"/>
      <c r="GX104" s="8"/>
      <c r="GY104" s="8"/>
      <c r="GZ104" s="8"/>
      <c r="HA104" s="8"/>
      <c r="HB104" s="8"/>
      <c r="HC104" s="8"/>
      <c r="HD104" s="8"/>
      <c r="HE104" s="8"/>
      <c r="HF104" s="8"/>
      <c r="HG104" s="8"/>
      <c r="HH104" s="8"/>
      <c r="HI104" s="8"/>
      <c r="HJ104" s="8"/>
      <c r="HK104" s="8"/>
      <c r="HL104" s="8"/>
      <c r="HM104" s="8"/>
      <c r="HN104" s="8"/>
      <c r="HO104" s="8"/>
      <c r="HP104" s="8"/>
      <c r="HQ104" s="8"/>
      <c r="HR104" s="8"/>
      <c r="HS104" s="8"/>
      <c r="HT104" s="8"/>
      <c r="HU104" s="8"/>
      <c r="HV104" s="8"/>
      <c r="HW104" s="8"/>
      <c r="HX104" s="8"/>
      <c r="HY104" s="8"/>
      <c r="HZ104" s="8"/>
      <c r="IA104" s="8"/>
      <c r="IB104" s="8"/>
      <c r="IC104" s="8"/>
      <c r="ID104" s="8"/>
      <c r="IE104" s="8"/>
      <c r="IF104" s="8"/>
      <c r="IG104" s="8"/>
      <c r="IH104" s="8"/>
      <c r="II104" s="8"/>
      <c r="IJ104" s="8"/>
      <c r="IK104" s="8"/>
      <c r="IL104" s="8"/>
      <c r="IM104" s="8"/>
      <c r="IN104" s="8"/>
      <c r="IO104" s="8"/>
      <c r="IP104" s="8"/>
      <c r="IQ104" s="8"/>
      <c r="IR104" s="8"/>
      <c r="IS104" s="8"/>
      <c r="IT104" s="8"/>
      <c r="IU104" s="8"/>
      <c r="IV104" s="8"/>
      <c r="IW104" s="8"/>
      <c r="IX104" s="8"/>
      <c r="JA104" s="123"/>
      <c r="JB104" s="123"/>
      <c r="JC104" s="123"/>
      <c r="JD104" s="70">
        <f>SUM((TEXT(JA104,"[M]")/60)*'Income Person-hours'!$D$3,(TEXT(JB104,"[M]")/60)*'Income Person-hours'!$D$4,(TEXT(JC104,"[M]")/60)*'Income Person-hours'!$D$5)</f>
        <v>0</v>
      </c>
    </row>
    <row r="105" spans="1:264" s="12" customFormat="1" ht="15.75" hidden="1" x14ac:dyDescent="0.45">
      <c r="A105" s="32">
        <v>4.1900000000000004</v>
      </c>
      <c r="B105" s="126"/>
      <c r="C105" s="117"/>
      <c r="D105" s="13" t="str">
        <f>IF(OR(j_WEEKDAY(J_ADDDAY(VLOOKUP(I105,A:F,6,FALSE),H105,1),0)=6,SUMIFS(Holieday[ok],Holieday[date],J_ADDDAY(VLOOKUP(I105,A:F,6,FALSE),H105,1)))=FALSE(),J_ADDDAY(VLOOKUP(I105,A:F,6,FALSE),H105,1),IF(OR(j_WEEKDAY(J_ADDDAY(VLOOKUP(I105,A:F,6,FALSE),H105+1,1),0)=6,SUMIFS(Holieday[ok],Holieday[date],J_ADDDAY(VLOOKUP(I105,A:F,6,FALSE),H105+1,1)))=FALSE(),J_ADDDAY(VLOOKUP(I105,A:F,6,FALSE),H105+1,1),IF(OR(j_WEEKDAY(J_ADDDAY(VLOOKUP(I105,A:F,6,FALSE),H105+2,1),0)=6,SUMIFS(Holieday[ok],Holieday[date],J_ADDDAY(VLOOKUP(I105,A:F,6,FALSE),H105+2,1)))=FALSE(),J_ADDDAY(VLOOKUP(I105,A:F,6,FALSE),H105+2,1),IF(OR(j_WEEKDAY(J_ADDDAY(VLOOKUP(I105,A:F,6,FALSE),H105+3,1),0)=6,SUMIFS(Holieday[ok],Holieday[date],J_ADDDAY(VLOOKUP(I105,A:F,6,FALSE),H105+3,1)))=FALSE(),J_ADDDAY(VLOOKUP(I105,A:F,6,FALSE),H105+3,1),IF(OR(j_WEEKDAY(J_ADDDAY(VLOOKUP(I105,A:F,6,FALSE),H105+4,1),0)=6,SUMIFS(Holieday[ok],Holieday[date],J_ADDDAY(VLOOKUP(I105,A:F,6,FALSE),H105+4,1)))=FALSE(),J_ADDDAY(VLOOKUP(I105,A:F,6,FALSE),H105+4,1),J_ADDDAY(VLOOKUP(I105,A:F,6,FALSE),H105+5,1))))))</f>
        <v>1398/07/02</v>
      </c>
      <c r="E105" s="2">
        <f t="shared" si="32"/>
        <v>13980702</v>
      </c>
      <c r="F105" s="13" t="str">
        <f>IF(N105=0,J_SUBDAY(D105,1,1),IF((N105-NETWORKDAYS.INTL(J_GregorianDate(D105,1),J_GregorianDate(J_SUBDAY(J_ADDDAY(D105,N105,1),1,1),1),16,1)-SUMIFS(Holieday[ok],Holieday[date],CONCATENATE("&gt;","=",D105),Holieday[date],CONCATENATE("&lt;","=",J_SUBDAY(J_ADDDAY(D105,N105,1),1,1)))+SUMIFS(Holieday[Friday],Holieday[date],CONCATENATE("&gt;","=",D105),Holieday[date],CONCATENATE("&lt;","=",J_SUBDAY(J_ADDDAY(D105,N105,1),1,1))))=0,J_SUBDAY(J_ADDDAY(D105,N105,1),1,1),IF((N105-NETWORKDAYS.INTL(J_GregorianDate(D105,1),J_GregorianDate(J_SUBDAY(J_ADDDAY(D105,N105,1),1,1),1),16,1)-SUMIFS(Holieday[ok],Holieday[date],CONCATENATE("&gt;","=",D105),Holieday[date],CONCATENATE("&lt;","=",J_SUBDAY(J_ADDDAY(D105,N105,1),1,1)))+SUMIFS(Holieday[Friday],Holieday[date],CONCATENATE("&gt;","=",D105),Holieday[date],CONCATENATE("&lt;","=",J_SUBDAY(J_ADDDAY(D105,N105,1),1,1))))=1,J_SUBDAY(J_ADDDAY(D105,N105+1,1),1,1),IF((N105-NETWORKDAYS.INTL(J_GregorianDate(D105,1),J_GregorianDate(J_SUBDAY(J_ADDDAY(D105,N105,1),1,1),1),16,1)-SUMIFS(Holieday[ok],Holieday[date],CONCATENATE("&gt;","=",D105),Holieday[date],CONCATENATE("&lt;","=",J_SUBDAY(J_ADDDAY(D105,N105,1),1,1)))+SUMIFS(Holieday[Friday],Holieday[date],CONCATENATE("&gt;","=",D105),Holieday[date],CONCATENATE("&lt;","=",J_SUBDAY(J_ADDDAY(D105,N105,1),1,1))))=2,J_SUBDAY(J_ADDDAY(D105,N105+2,1),1,1),J_SUBDAY(J_ADDDAY(D105,N105+3,1),1,1)))))</f>
        <v>1398/07/01</v>
      </c>
      <c r="G105" s="3">
        <f t="shared" si="29"/>
        <v>13980701</v>
      </c>
      <c r="H105" s="119"/>
      <c r="I105" s="120">
        <v>1.2</v>
      </c>
      <c r="J105" s="10">
        <f>j_WEEKDAY(D105,2)</f>
        <v>3</v>
      </c>
      <c r="K105" s="22">
        <f t="shared" si="33"/>
        <v>0</v>
      </c>
      <c r="L105" s="9">
        <f t="shared" si="34"/>
        <v>0</v>
      </c>
      <c r="M105" s="121">
        <v>0</v>
      </c>
      <c r="N105" s="118">
        <v>0</v>
      </c>
      <c r="O105" s="11">
        <f t="shared" si="35"/>
        <v>0</v>
      </c>
      <c r="P105" s="11">
        <f>VALUE(J_normdate(J_ADDDAY($D105,$O105,1)))</f>
        <v>13980702</v>
      </c>
      <c r="Q105" s="10">
        <f t="shared" si="36"/>
        <v>0</v>
      </c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 s="8"/>
      <c r="BK105" s="8"/>
      <c r="BL105" s="8"/>
      <c r="BM105" s="8"/>
      <c r="BN105" s="8"/>
      <c r="BO105" s="8"/>
      <c r="BP105" s="8"/>
      <c r="BQ105" s="8"/>
      <c r="BR105" s="8"/>
      <c r="BS105" s="8"/>
      <c r="BT105" s="8"/>
      <c r="BU105" s="8"/>
      <c r="BV105" s="8"/>
      <c r="BW105" s="8"/>
      <c r="BX105" s="8"/>
      <c r="BY105" s="8"/>
      <c r="BZ105" s="8"/>
      <c r="CA105" s="8"/>
      <c r="CB105" s="8"/>
      <c r="CC105" s="8"/>
      <c r="CD105" s="8"/>
      <c r="CE105" s="8"/>
      <c r="CF105" s="8"/>
      <c r="CG105" s="8"/>
      <c r="CH105" s="8"/>
      <c r="CI105" s="8"/>
      <c r="CJ105" s="8"/>
      <c r="CK105" s="8"/>
      <c r="CL105" s="8"/>
      <c r="CM105" s="8"/>
      <c r="CN105" s="8"/>
      <c r="CO105" s="8"/>
      <c r="CP105" s="8"/>
      <c r="CQ105" s="8"/>
      <c r="CR105" s="8"/>
      <c r="CS105" s="8"/>
      <c r="CT105" s="8"/>
      <c r="CU105" s="8"/>
      <c r="CV105" s="8"/>
      <c r="CW105" s="8"/>
      <c r="CX105" s="8"/>
      <c r="CY105" s="8"/>
      <c r="CZ105" s="8"/>
      <c r="DA105" s="8"/>
      <c r="DB105" s="8"/>
      <c r="DC105" s="8"/>
      <c r="DD105" s="8"/>
      <c r="DE105" s="8"/>
      <c r="DF105" s="8"/>
      <c r="DG105" s="8"/>
      <c r="DH105" s="8"/>
      <c r="DI105" s="8"/>
      <c r="DJ105" s="8"/>
      <c r="DK105" s="8"/>
      <c r="DL105" s="8"/>
      <c r="DM105" s="8"/>
      <c r="DN105" s="8"/>
      <c r="DO105" s="8"/>
      <c r="DP105" s="8"/>
      <c r="DQ105" s="8"/>
      <c r="DR105" s="8"/>
      <c r="DS105" s="8"/>
      <c r="DT105" s="8"/>
      <c r="DU105" s="8"/>
      <c r="DV105" s="8"/>
      <c r="DW105" s="8"/>
      <c r="DX105" s="8"/>
      <c r="DY105" s="8"/>
      <c r="DZ105" s="8"/>
      <c r="EA105" s="8"/>
      <c r="EB105" s="8"/>
      <c r="EC105" s="8"/>
      <c r="ED105" s="8"/>
      <c r="EE105" s="8"/>
      <c r="EF105" s="8"/>
      <c r="EG105" s="8"/>
      <c r="EH105" s="8"/>
      <c r="EI105" s="8"/>
      <c r="EJ105" s="8"/>
      <c r="EK105" s="8"/>
      <c r="EL105" s="8"/>
      <c r="EM105" s="8"/>
      <c r="EN105" s="8"/>
      <c r="EO105" s="8"/>
      <c r="EP105" s="8"/>
      <c r="EQ105" s="8"/>
      <c r="ER105" s="8"/>
      <c r="ES105" s="8"/>
      <c r="ET105" s="8"/>
      <c r="EU105" s="8"/>
      <c r="EV105" s="8"/>
      <c r="EW105" s="8"/>
      <c r="EX105" s="8"/>
      <c r="EY105" s="8"/>
      <c r="EZ105" s="8"/>
      <c r="FA105" s="8"/>
      <c r="FB105" s="8"/>
      <c r="FC105" s="8"/>
      <c r="FD105" s="8"/>
      <c r="FE105" s="8"/>
      <c r="FF105" s="8"/>
      <c r="FG105" s="8"/>
      <c r="FH105" s="8"/>
      <c r="FI105" s="8"/>
      <c r="FJ105" s="8"/>
      <c r="FK105" s="8"/>
      <c r="FL105" s="8"/>
      <c r="FM105" s="8"/>
      <c r="FN105" s="8"/>
      <c r="FO105" s="8"/>
      <c r="FP105" s="8"/>
      <c r="FQ105" s="8"/>
      <c r="FR105" s="8"/>
      <c r="FS105" s="8"/>
      <c r="FT105" s="8"/>
      <c r="FU105" s="8"/>
      <c r="FV105" s="8"/>
      <c r="FW105" s="8"/>
      <c r="FX105" s="8"/>
      <c r="FY105" s="8"/>
      <c r="FZ105" s="8"/>
      <c r="GA105" s="8"/>
      <c r="GB105" s="8"/>
      <c r="GC105" s="8"/>
      <c r="GD105" s="8"/>
      <c r="GE105" s="8"/>
      <c r="GF105" s="8"/>
      <c r="GG105" s="8"/>
      <c r="GH105" s="8"/>
      <c r="GI105" s="8"/>
      <c r="GJ105" s="8"/>
      <c r="GK105" s="8"/>
      <c r="GL105" s="8"/>
      <c r="GM105" s="8"/>
      <c r="GN105" s="8"/>
      <c r="GO105" s="8"/>
      <c r="GP105" s="8"/>
      <c r="GQ105" s="8"/>
      <c r="GR105" s="8"/>
      <c r="GS105" s="8"/>
      <c r="GT105" s="8"/>
      <c r="GU105" s="8"/>
      <c r="GV105" s="8"/>
      <c r="GW105" s="8"/>
      <c r="GX105" s="8"/>
      <c r="GY105" s="8"/>
      <c r="GZ105" s="8"/>
      <c r="HA105" s="8"/>
      <c r="HB105" s="8"/>
      <c r="HC105" s="8"/>
      <c r="HD105" s="8"/>
      <c r="HE105" s="8"/>
      <c r="HF105" s="8"/>
      <c r="HG105" s="8"/>
      <c r="HH105" s="8"/>
      <c r="HI105" s="8"/>
      <c r="HJ105" s="8"/>
      <c r="HK105" s="8"/>
      <c r="HL105" s="8"/>
      <c r="HM105" s="8"/>
      <c r="HN105" s="8"/>
      <c r="HO105" s="8"/>
      <c r="HP105" s="8"/>
      <c r="HQ105" s="8"/>
      <c r="HR105" s="8"/>
      <c r="HS105" s="8"/>
      <c r="HT105" s="8"/>
      <c r="HU105" s="8"/>
      <c r="HV105" s="8"/>
      <c r="HW105" s="8"/>
      <c r="HX105" s="8"/>
      <c r="HY105" s="8"/>
      <c r="HZ105" s="8"/>
      <c r="IA105" s="8"/>
      <c r="IB105" s="8"/>
      <c r="IC105" s="8"/>
      <c r="ID105" s="8"/>
      <c r="IE105" s="8"/>
      <c r="IF105" s="8"/>
      <c r="IG105" s="8"/>
      <c r="IH105" s="8"/>
      <c r="II105" s="8"/>
      <c r="IJ105" s="8"/>
      <c r="IK105" s="8"/>
      <c r="IL105" s="8"/>
      <c r="IM105" s="8"/>
      <c r="IN105" s="8"/>
      <c r="IO105" s="8"/>
      <c r="IP105" s="8"/>
      <c r="IQ105" s="8"/>
      <c r="IR105" s="8"/>
      <c r="IS105" s="8"/>
      <c r="IT105" s="8"/>
      <c r="IU105" s="8"/>
      <c r="IV105" s="8"/>
      <c r="IW105" s="8"/>
      <c r="IX105" s="8"/>
      <c r="JA105" s="123"/>
      <c r="JB105" s="123"/>
      <c r="JC105" s="123"/>
      <c r="JD105" s="70">
        <f>SUM((TEXT(JA105,"[M]")/60)*'Income Person-hours'!$D$3,(TEXT(JB105,"[M]")/60)*'Income Person-hours'!$D$4,(TEXT(JC105,"[M]")/60)*'Income Person-hours'!$D$5)</f>
        <v>0</v>
      </c>
    </row>
    <row r="106" spans="1:264" s="12" customFormat="1" ht="15.75" hidden="1" x14ac:dyDescent="0.45">
      <c r="A106" s="32">
        <v>4.21</v>
      </c>
      <c r="B106" s="126"/>
      <c r="C106" s="117"/>
      <c r="D106" s="13" t="str">
        <f>IF(OR(j_WEEKDAY(J_ADDDAY(VLOOKUP(I106,A:F,6,FALSE),H106,1),0)=6,SUMIFS(Holieday[ok],Holieday[date],J_ADDDAY(VLOOKUP(I106,A:F,6,FALSE),H106,1)))=FALSE(),J_ADDDAY(VLOOKUP(I106,A:F,6,FALSE),H106,1),IF(OR(j_WEEKDAY(J_ADDDAY(VLOOKUP(I106,A:F,6,FALSE),H106+1,1),0)=6,SUMIFS(Holieday[ok],Holieday[date],J_ADDDAY(VLOOKUP(I106,A:F,6,FALSE),H106+1,1)))=FALSE(),J_ADDDAY(VLOOKUP(I106,A:F,6,FALSE),H106+1,1),IF(OR(j_WEEKDAY(J_ADDDAY(VLOOKUP(I106,A:F,6,FALSE),H106+2,1),0)=6,SUMIFS(Holieday[ok],Holieday[date],J_ADDDAY(VLOOKUP(I106,A:F,6,FALSE),H106+2,1)))=FALSE(),J_ADDDAY(VLOOKUP(I106,A:F,6,FALSE),H106+2,1),IF(OR(j_WEEKDAY(J_ADDDAY(VLOOKUP(I106,A:F,6,FALSE),H106+3,1),0)=6,SUMIFS(Holieday[ok],Holieday[date],J_ADDDAY(VLOOKUP(I106,A:F,6,FALSE),H106+3,1)))=FALSE(),J_ADDDAY(VLOOKUP(I106,A:F,6,FALSE),H106+3,1),IF(OR(j_WEEKDAY(J_ADDDAY(VLOOKUP(I106,A:F,6,FALSE),H106+4,1),0)=6,SUMIFS(Holieday[ok],Holieday[date],J_ADDDAY(VLOOKUP(I106,A:F,6,FALSE),H106+4,1)))=FALSE(),J_ADDDAY(VLOOKUP(I106,A:F,6,FALSE),H106+4,1),J_ADDDAY(VLOOKUP(I106,A:F,6,FALSE),H106+5,1))))))</f>
        <v>1398/07/02</v>
      </c>
      <c r="E106" s="2">
        <f t="shared" si="32"/>
        <v>13980702</v>
      </c>
      <c r="F106" s="13" t="str">
        <f>IF(N106=0,J_SUBDAY(D106,1,1),IF((N106-NETWORKDAYS.INTL(J_GregorianDate(D106,1),J_GregorianDate(J_SUBDAY(J_ADDDAY(D106,N106,1),1,1),1),16,1)-SUMIFS(Holieday[ok],Holieday[date],CONCATENATE("&gt;","=",D106),Holieday[date],CONCATENATE("&lt;","=",J_SUBDAY(J_ADDDAY(D106,N106,1),1,1)))+SUMIFS(Holieday[Friday],Holieday[date],CONCATENATE("&gt;","=",D106),Holieday[date],CONCATENATE("&lt;","=",J_SUBDAY(J_ADDDAY(D106,N106,1),1,1))))=0,J_SUBDAY(J_ADDDAY(D106,N106,1),1,1),IF((N106-NETWORKDAYS.INTL(J_GregorianDate(D106,1),J_GregorianDate(J_SUBDAY(J_ADDDAY(D106,N106,1),1,1),1),16,1)-SUMIFS(Holieday[ok],Holieday[date],CONCATENATE("&gt;","=",D106),Holieday[date],CONCATENATE("&lt;","=",J_SUBDAY(J_ADDDAY(D106,N106,1),1,1)))+SUMIFS(Holieday[Friday],Holieday[date],CONCATENATE("&gt;","=",D106),Holieday[date],CONCATENATE("&lt;","=",J_SUBDAY(J_ADDDAY(D106,N106,1),1,1))))=1,J_SUBDAY(J_ADDDAY(D106,N106+1,1),1,1),IF((N106-NETWORKDAYS.INTL(J_GregorianDate(D106,1),J_GregorianDate(J_SUBDAY(J_ADDDAY(D106,N106,1),1,1),1),16,1)-SUMIFS(Holieday[ok],Holieday[date],CONCATENATE("&gt;","=",D106),Holieday[date],CONCATENATE("&lt;","=",J_SUBDAY(J_ADDDAY(D106,N106,1),1,1)))+SUMIFS(Holieday[Friday],Holieday[date],CONCATENATE("&gt;","=",D106),Holieday[date],CONCATENATE("&lt;","=",J_SUBDAY(J_ADDDAY(D106,N106,1),1,1))))=2,J_SUBDAY(J_ADDDAY(D106,N106+2,1),1,1),J_SUBDAY(J_ADDDAY(D106,N106+3,1),1,1)))))</f>
        <v>1398/07/01</v>
      </c>
      <c r="G106" s="3">
        <f t="shared" si="29"/>
        <v>13980701</v>
      </c>
      <c r="H106" s="119"/>
      <c r="I106" s="120">
        <v>1.2</v>
      </c>
      <c r="J106" s="10">
        <f>j_WEEKDAY(D106,2)</f>
        <v>3</v>
      </c>
      <c r="K106" s="22">
        <f t="shared" si="33"/>
        <v>0</v>
      </c>
      <c r="L106" s="9">
        <f t="shared" si="34"/>
        <v>0</v>
      </c>
      <c r="M106" s="121">
        <v>0</v>
      </c>
      <c r="N106" s="118">
        <v>0</v>
      </c>
      <c r="O106" s="11">
        <f t="shared" si="35"/>
        <v>0</v>
      </c>
      <c r="P106" s="11">
        <f>VALUE(J_normdate(J_ADDDAY($D106,$O106,1)))</f>
        <v>13980702</v>
      </c>
      <c r="Q106" s="10">
        <f t="shared" si="36"/>
        <v>0</v>
      </c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8"/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 s="8"/>
      <c r="BK106" s="8"/>
      <c r="BL106" s="8"/>
      <c r="BM106" s="8"/>
      <c r="BN106" s="8"/>
      <c r="BO106" s="8"/>
      <c r="BP106" s="8"/>
      <c r="BQ106" s="8"/>
      <c r="BR106" s="8"/>
      <c r="BS106" s="8"/>
      <c r="BT106" s="8"/>
      <c r="BU106" s="8"/>
      <c r="BV106" s="8"/>
      <c r="BW106" s="8"/>
      <c r="BX106" s="8"/>
      <c r="BY106" s="8"/>
      <c r="BZ106" s="8"/>
      <c r="CA106" s="8"/>
      <c r="CB106" s="8"/>
      <c r="CC106" s="8"/>
      <c r="CD106" s="8"/>
      <c r="CE106" s="8"/>
      <c r="CF106" s="8"/>
      <c r="CG106" s="8"/>
      <c r="CH106" s="8"/>
      <c r="CI106" s="8"/>
      <c r="CJ106" s="8"/>
      <c r="CK106" s="8"/>
      <c r="CL106" s="8"/>
      <c r="CM106" s="8"/>
      <c r="CN106" s="8"/>
      <c r="CO106" s="8"/>
      <c r="CP106" s="8"/>
      <c r="CQ106" s="8"/>
      <c r="CR106" s="8"/>
      <c r="CS106" s="8"/>
      <c r="CT106" s="8"/>
      <c r="CU106" s="8"/>
      <c r="CV106" s="8"/>
      <c r="CW106" s="8"/>
      <c r="CX106" s="8"/>
      <c r="CY106" s="8"/>
      <c r="CZ106" s="8"/>
      <c r="DA106" s="8"/>
      <c r="DB106" s="8"/>
      <c r="DC106" s="8"/>
      <c r="DD106" s="8"/>
      <c r="DE106" s="8"/>
      <c r="DF106" s="8"/>
      <c r="DG106" s="8"/>
      <c r="DH106" s="8"/>
      <c r="DI106" s="8"/>
      <c r="DJ106" s="8"/>
      <c r="DK106" s="8"/>
      <c r="DL106" s="8"/>
      <c r="DM106" s="8"/>
      <c r="DN106" s="8"/>
      <c r="DO106" s="8"/>
      <c r="DP106" s="8"/>
      <c r="DQ106" s="8"/>
      <c r="DR106" s="8"/>
      <c r="DS106" s="8"/>
      <c r="DT106" s="8"/>
      <c r="DU106" s="8"/>
      <c r="DV106" s="8"/>
      <c r="DW106" s="8"/>
      <c r="DX106" s="8"/>
      <c r="DY106" s="8"/>
      <c r="DZ106" s="8"/>
      <c r="EA106" s="8"/>
      <c r="EB106" s="8"/>
      <c r="EC106" s="8"/>
      <c r="ED106" s="8"/>
      <c r="EE106" s="8"/>
      <c r="EF106" s="8"/>
      <c r="EG106" s="8"/>
      <c r="EH106" s="8"/>
      <c r="EI106" s="8"/>
      <c r="EJ106" s="8"/>
      <c r="EK106" s="8"/>
      <c r="EL106" s="8"/>
      <c r="EM106" s="8"/>
      <c r="EN106" s="8"/>
      <c r="EO106" s="8"/>
      <c r="EP106" s="8"/>
      <c r="EQ106" s="8"/>
      <c r="ER106" s="8"/>
      <c r="ES106" s="8"/>
      <c r="ET106" s="8"/>
      <c r="EU106" s="8"/>
      <c r="EV106" s="8"/>
      <c r="EW106" s="8"/>
      <c r="EX106" s="8"/>
      <c r="EY106" s="8"/>
      <c r="EZ106" s="8"/>
      <c r="FA106" s="8"/>
      <c r="FB106" s="8"/>
      <c r="FC106" s="8"/>
      <c r="FD106" s="8"/>
      <c r="FE106" s="8"/>
      <c r="FF106" s="8"/>
      <c r="FG106" s="8"/>
      <c r="FH106" s="8"/>
      <c r="FI106" s="8"/>
      <c r="FJ106" s="8"/>
      <c r="FK106" s="8"/>
      <c r="FL106" s="8"/>
      <c r="FM106" s="8"/>
      <c r="FN106" s="8"/>
      <c r="FO106" s="8"/>
      <c r="FP106" s="8"/>
      <c r="FQ106" s="8"/>
      <c r="FR106" s="8"/>
      <c r="FS106" s="8"/>
      <c r="FT106" s="8"/>
      <c r="FU106" s="8"/>
      <c r="FV106" s="8"/>
      <c r="FW106" s="8"/>
      <c r="FX106" s="8"/>
      <c r="FY106" s="8"/>
      <c r="FZ106" s="8"/>
      <c r="GA106" s="8"/>
      <c r="GB106" s="8"/>
      <c r="GC106" s="8"/>
      <c r="GD106" s="8"/>
      <c r="GE106" s="8"/>
      <c r="GF106" s="8"/>
      <c r="GG106" s="8"/>
      <c r="GH106" s="8"/>
      <c r="GI106" s="8"/>
      <c r="GJ106" s="8"/>
      <c r="GK106" s="8"/>
      <c r="GL106" s="8"/>
      <c r="GM106" s="8"/>
      <c r="GN106" s="8"/>
      <c r="GO106" s="8"/>
      <c r="GP106" s="8"/>
      <c r="GQ106" s="8"/>
      <c r="GR106" s="8"/>
      <c r="GS106" s="8"/>
      <c r="GT106" s="8"/>
      <c r="GU106" s="8"/>
      <c r="GV106" s="8"/>
      <c r="GW106" s="8"/>
      <c r="GX106" s="8"/>
      <c r="GY106" s="8"/>
      <c r="GZ106" s="8"/>
      <c r="HA106" s="8"/>
      <c r="HB106" s="8"/>
      <c r="HC106" s="8"/>
      <c r="HD106" s="8"/>
      <c r="HE106" s="8"/>
      <c r="HF106" s="8"/>
      <c r="HG106" s="8"/>
      <c r="HH106" s="8"/>
      <c r="HI106" s="8"/>
      <c r="HJ106" s="8"/>
      <c r="HK106" s="8"/>
      <c r="HL106" s="8"/>
      <c r="HM106" s="8"/>
      <c r="HN106" s="8"/>
      <c r="HO106" s="8"/>
      <c r="HP106" s="8"/>
      <c r="HQ106" s="8"/>
      <c r="HR106" s="8"/>
      <c r="HS106" s="8"/>
      <c r="HT106" s="8"/>
      <c r="HU106" s="8"/>
      <c r="HV106" s="8"/>
      <c r="HW106" s="8"/>
      <c r="HX106" s="8"/>
      <c r="HY106" s="8"/>
      <c r="HZ106" s="8"/>
      <c r="IA106" s="8"/>
      <c r="IB106" s="8"/>
      <c r="IC106" s="8"/>
      <c r="ID106" s="8"/>
      <c r="IE106" s="8"/>
      <c r="IF106" s="8"/>
      <c r="IG106" s="8"/>
      <c r="IH106" s="8"/>
      <c r="II106" s="8"/>
      <c r="IJ106" s="8"/>
      <c r="IK106" s="8"/>
      <c r="IL106" s="8"/>
      <c r="IM106" s="8"/>
      <c r="IN106" s="8"/>
      <c r="IO106" s="8"/>
      <c r="IP106" s="8"/>
      <c r="IQ106" s="8"/>
      <c r="IR106" s="8"/>
      <c r="IS106" s="8"/>
      <c r="IT106" s="8"/>
      <c r="IU106" s="8"/>
      <c r="IV106" s="8"/>
      <c r="IW106" s="8"/>
      <c r="IX106" s="8"/>
      <c r="JA106" s="123"/>
      <c r="JB106" s="123"/>
      <c r="JC106" s="123"/>
      <c r="JD106" s="70">
        <f>SUM((TEXT(JA106,"[M]")/60)*'Income Person-hours'!$D$3,(TEXT(JB106,"[M]")/60)*'Income Person-hours'!$D$4,(TEXT(JC106,"[M]")/60)*'Income Person-hours'!$D$5)</f>
        <v>0</v>
      </c>
    </row>
    <row r="107" spans="1:264" s="12" customFormat="1" ht="15.75" hidden="1" x14ac:dyDescent="0.45">
      <c r="A107" s="32">
        <v>4.22</v>
      </c>
      <c r="B107" s="126"/>
      <c r="C107" s="117"/>
      <c r="D107" s="13" t="str">
        <f>IF(OR(j_WEEKDAY(J_ADDDAY(VLOOKUP(I107,A:F,6,FALSE),H107,1),0)=6,SUMIFS(Holieday[ok],Holieday[date],J_ADDDAY(VLOOKUP(I107,A:F,6,FALSE),H107,1)))=FALSE(),J_ADDDAY(VLOOKUP(I107,A:F,6,FALSE),H107,1),IF(OR(j_WEEKDAY(J_ADDDAY(VLOOKUP(I107,A:F,6,FALSE),H107+1,1),0)=6,SUMIFS(Holieday[ok],Holieday[date],J_ADDDAY(VLOOKUP(I107,A:F,6,FALSE),H107+1,1)))=FALSE(),J_ADDDAY(VLOOKUP(I107,A:F,6,FALSE),H107+1,1),IF(OR(j_WEEKDAY(J_ADDDAY(VLOOKUP(I107,A:F,6,FALSE),H107+2,1),0)=6,SUMIFS(Holieday[ok],Holieday[date],J_ADDDAY(VLOOKUP(I107,A:F,6,FALSE),H107+2,1)))=FALSE(),J_ADDDAY(VLOOKUP(I107,A:F,6,FALSE),H107+2,1),IF(OR(j_WEEKDAY(J_ADDDAY(VLOOKUP(I107,A:F,6,FALSE),H107+3,1),0)=6,SUMIFS(Holieday[ok],Holieday[date],J_ADDDAY(VLOOKUP(I107,A:F,6,FALSE),H107+3,1)))=FALSE(),J_ADDDAY(VLOOKUP(I107,A:F,6,FALSE),H107+3,1),IF(OR(j_WEEKDAY(J_ADDDAY(VLOOKUP(I107,A:F,6,FALSE),H107+4,1),0)=6,SUMIFS(Holieday[ok],Holieday[date],J_ADDDAY(VLOOKUP(I107,A:F,6,FALSE),H107+4,1)))=FALSE(),J_ADDDAY(VLOOKUP(I107,A:F,6,FALSE),H107+4,1),J_ADDDAY(VLOOKUP(I107,A:F,6,FALSE),H107+5,1))))))</f>
        <v>1398/07/02</v>
      </c>
      <c r="E107" s="2">
        <f t="shared" si="32"/>
        <v>13980702</v>
      </c>
      <c r="F107" s="13" t="str">
        <f>IF(N107=0,J_SUBDAY(D107,1,1),IF((N107-NETWORKDAYS.INTL(J_GregorianDate(D107,1),J_GregorianDate(J_SUBDAY(J_ADDDAY(D107,N107,1),1,1),1),16,1)-SUMIFS(Holieday[ok],Holieday[date],CONCATENATE("&gt;","=",D107),Holieday[date],CONCATENATE("&lt;","=",J_SUBDAY(J_ADDDAY(D107,N107,1),1,1)))+SUMIFS(Holieday[Friday],Holieday[date],CONCATENATE("&gt;","=",D107),Holieday[date],CONCATENATE("&lt;","=",J_SUBDAY(J_ADDDAY(D107,N107,1),1,1))))=0,J_SUBDAY(J_ADDDAY(D107,N107,1),1,1),IF((N107-NETWORKDAYS.INTL(J_GregorianDate(D107,1),J_GregorianDate(J_SUBDAY(J_ADDDAY(D107,N107,1),1,1),1),16,1)-SUMIFS(Holieday[ok],Holieday[date],CONCATENATE("&gt;","=",D107),Holieday[date],CONCATENATE("&lt;","=",J_SUBDAY(J_ADDDAY(D107,N107,1),1,1)))+SUMIFS(Holieday[Friday],Holieday[date],CONCATENATE("&gt;","=",D107),Holieday[date],CONCATENATE("&lt;","=",J_SUBDAY(J_ADDDAY(D107,N107,1),1,1))))=1,J_SUBDAY(J_ADDDAY(D107,N107+1,1),1,1),IF((N107-NETWORKDAYS.INTL(J_GregorianDate(D107,1),J_GregorianDate(J_SUBDAY(J_ADDDAY(D107,N107,1),1,1),1),16,1)-SUMIFS(Holieday[ok],Holieday[date],CONCATENATE("&gt;","=",D107),Holieday[date],CONCATENATE("&lt;","=",J_SUBDAY(J_ADDDAY(D107,N107,1),1,1)))+SUMIFS(Holieday[Friday],Holieday[date],CONCATENATE("&gt;","=",D107),Holieday[date],CONCATENATE("&lt;","=",J_SUBDAY(J_ADDDAY(D107,N107,1),1,1))))=2,J_SUBDAY(J_ADDDAY(D107,N107+2,1),1,1),J_SUBDAY(J_ADDDAY(D107,N107+3,1),1,1)))))</f>
        <v>1398/07/01</v>
      </c>
      <c r="G107" s="3">
        <f t="shared" si="29"/>
        <v>13980701</v>
      </c>
      <c r="H107" s="119"/>
      <c r="I107" s="120">
        <v>1.2</v>
      </c>
      <c r="J107" s="10">
        <f>j_WEEKDAY(D107,2)</f>
        <v>3</v>
      </c>
      <c r="K107" s="22">
        <f t="shared" si="33"/>
        <v>0</v>
      </c>
      <c r="L107" s="9">
        <f t="shared" si="34"/>
        <v>0</v>
      </c>
      <c r="M107" s="121">
        <v>0</v>
      </c>
      <c r="N107" s="118">
        <v>0</v>
      </c>
      <c r="O107" s="11">
        <f t="shared" si="35"/>
        <v>0</v>
      </c>
      <c r="P107" s="11">
        <f>VALUE(J_normdate(J_ADDDAY($D107,$O107,1)))</f>
        <v>13980702</v>
      </c>
      <c r="Q107" s="10">
        <f t="shared" si="36"/>
        <v>0</v>
      </c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8"/>
      <c r="AI107" s="8"/>
      <c r="AJ107" s="8"/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 s="8"/>
      <c r="BK107" s="8"/>
      <c r="BL107" s="8"/>
      <c r="BM107" s="8"/>
      <c r="BN107" s="8"/>
      <c r="BO107" s="8"/>
      <c r="BP107" s="8"/>
      <c r="BQ107" s="8"/>
      <c r="BR107" s="8"/>
      <c r="BS107" s="8"/>
      <c r="BT107" s="8"/>
      <c r="BU107" s="8"/>
      <c r="BV107" s="8"/>
      <c r="BW107" s="8"/>
      <c r="BX107" s="8"/>
      <c r="BY107" s="8"/>
      <c r="BZ107" s="8"/>
      <c r="CA107" s="8"/>
      <c r="CB107" s="8"/>
      <c r="CC107" s="8"/>
      <c r="CD107" s="8"/>
      <c r="CE107" s="8"/>
      <c r="CF107" s="8"/>
      <c r="CG107" s="8"/>
      <c r="CH107" s="8"/>
      <c r="CI107" s="8"/>
      <c r="CJ107" s="8"/>
      <c r="CK107" s="8"/>
      <c r="CL107" s="8"/>
      <c r="CM107" s="8"/>
      <c r="CN107" s="8"/>
      <c r="CO107" s="8"/>
      <c r="CP107" s="8"/>
      <c r="CQ107" s="8"/>
      <c r="CR107" s="8"/>
      <c r="CS107" s="8"/>
      <c r="CT107" s="8"/>
      <c r="CU107" s="8"/>
      <c r="CV107" s="8"/>
      <c r="CW107" s="8"/>
      <c r="CX107" s="8"/>
      <c r="CY107" s="8"/>
      <c r="CZ107" s="8"/>
      <c r="DA107" s="8"/>
      <c r="DB107" s="8"/>
      <c r="DC107" s="8"/>
      <c r="DD107" s="8"/>
      <c r="DE107" s="8"/>
      <c r="DF107" s="8"/>
      <c r="DG107" s="8"/>
      <c r="DH107" s="8"/>
      <c r="DI107" s="8"/>
      <c r="DJ107" s="8"/>
      <c r="DK107" s="8"/>
      <c r="DL107" s="8"/>
      <c r="DM107" s="8"/>
      <c r="DN107" s="8"/>
      <c r="DO107" s="8"/>
      <c r="DP107" s="8"/>
      <c r="DQ107" s="8"/>
      <c r="DR107" s="8"/>
      <c r="DS107" s="8"/>
      <c r="DT107" s="8"/>
      <c r="DU107" s="8"/>
      <c r="DV107" s="8"/>
      <c r="DW107" s="8"/>
      <c r="DX107" s="8"/>
      <c r="DY107" s="8"/>
      <c r="DZ107" s="8"/>
      <c r="EA107" s="8"/>
      <c r="EB107" s="8"/>
      <c r="EC107" s="8"/>
      <c r="ED107" s="8"/>
      <c r="EE107" s="8"/>
      <c r="EF107" s="8"/>
      <c r="EG107" s="8"/>
      <c r="EH107" s="8"/>
      <c r="EI107" s="8"/>
      <c r="EJ107" s="8"/>
      <c r="EK107" s="8"/>
      <c r="EL107" s="8"/>
      <c r="EM107" s="8"/>
      <c r="EN107" s="8"/>
      <c r="EO107" s="8"/>
      <c r="EP107" s="8"/>
      <c r="EQ107" s="8"/>
      <c r="ER107" s="8"/>
      <c r="ES107" s="8"/>
      <c r="ET107" s="8"/>
      <c r="EU107" s="8"/>
      <c r="EV107" s="8"/>
      <c r="EW107" s="8"/>
      <c r="EX107" s="8"/>
      <c r="EY107" s="8"/>
      <c r="EZ107" s="8"/>
      <c r="FA107" s="8"/>
      <c r="FB107" s="8"/>
      <c r="FC107" s="8"/>
      <c r="FD107" s="8"/>
      <c r="FE107" s="8"/>
      <c r="FF107" s="8"/>
      <c r="FG107" s="8"/>
      <c r="FH107" s="8"/>
      <c r="FI107" s="8"/>
      <c r="FJ107" s="8"/>
      <c r="FK107" s="8"/>
      <c r="FL107" s="8"/>
      <c r="FM107" s="8"/>
      <c r="FN107" s="8"/>
      <c r="FO107" s="8"/>
      <c r="FP107" s="8"/>
      <c r="FQ107" s="8"/>
      <c r="FR107" s="8"/>
      <c r="FS107" s="8"/>
      <c r="FT107" s="8"/>
      <c r="FU107" s="8"/>
      <c r="FV107" s="8"/>
      <c r="FW107" s="8"/>
      <c r="FX107" s="8"/>
      <c r="FY107" s="8"/>
      <c r="FZ107" s="8"/>
      <c r="GA107" s="8"/>
      <c r="GB107" s="8"/>
      <c r="GC107" s="8"/>
      <c r="GD107" s="8"/>
      <c r="GE107" s="8"/>
      <c r="GF107" s="8"/>
      <c r="GG107" s="8"/>
      <c r="GH107" s="8"/>
      <c r="GI107" s="8"/>
      <c r="GJ107" s="8"/>
      <c r="GK107" s="8"/>
      <c r="GL107" s="8"/>
      <c r="GM107" s="8"/>
      <c r="GN107" s="8"/>
      <c r="GO107" s="8"/>
      <c r="GP107" s="8"/>
      <c r="GQ107" s="8"/>
      <c r="GR107" s="8"/>
      <c r="GS107" s="8"/>
      <c r="GT107" s="8"/>
      <c r="GU107" s="8"/>
      <c r="GV107" s="8"/>
      <c r="GW107" s="8"/>
      <c r="GX107" s="8"/>
      <c r="GY107" s="8"/>
      <c r="GZ107" s="8"/>
      <c r="HA107" s="8"/>
      <c r="HB107" s="8"/>
      <c r="HC107" s="8"/>
      <c r="HD107" s="8"/>
      <c r="HE107" s="8"/>
      <c r="HF107" s="8"/>
      <c r="HG107" s="8"/>
      <c r="HH107" s="8"/>
      <c r="HI107" s="8"/>
      <c r="HJ107" s="8"/>
      <c r="HK107" s="8"/>
      <c r="HL107" s="8"/>
      <c r="HM107" s="8"/>
      <c r="HN107" s="8"/>
      <c r="HO107" s="8"/>
      <c r="HP107" s="8"/>
      <c r="HQ107" s="8"/>
      <c r="HR107" s="8"/>
      <c r="HS107" s="8"/>
      <c r="HT107" s="8"/>
      <c r="HU107" s="8"/>
      <c r="HV107" s="8"/>
      <c r="HW107" s="8"/>
      <c r="HX107" s="8"/>
      <c r="HY107" s="8"/>
      <c r="HZ107" s="8"/>
      <c r="IA107" s="8"/>
      <c r="IB107" s="8"/>
      <c r="IC107" s="8"/>
      <c r="ID107" s="8"/>
      <c r="IE107" s="8"/>
      <c r="IF107" s="8"/>
      <c r="IG107" s="8"/>
      <c r="IH107" s="8"/>
      <c r="II107" s="8"/>
      <c r="IJ107" s="8"/>
      <c r="IK107" s="8"/>
      <c r="IL107" s="8"/>
      <c r="IM107" s="8"/>
      <c r="IN107" s="8"/>
      <c r="IO107" s="8"/>
      <c r="IP107" s="8"/>
      <c r="IQ107" s="8"/>
      <c r="IR107" s="8"/>
      <c r="IS107" s="8"/>
      <c r="IT107" s="8"/>
      <c r="IU107" s="8"/>
      <c r="IV107" s="8"/>
      <c r="IW107" s="8"/>
      <c r="IX107" s="8"/>
      <c r="JA107" s="123"/>
      <c r="JB107" s="123"/>
      <c r="JC107" s="123"/>
      <c r="JD107" s="70">
        <f>SUM((TEXT(JA107,"[M]")/60)*'Income Person-hours'!$D$3,(TEXT(JB107,"[M]")/60)*'Income Person-hours'!$D$4,(TEXT(JC107,"[M]")/60)*'Income Person-hours'!$D$5)</f>
        <v>0</v>
      </c>
    </row>
    <row r="108" spans="1:264" s="12" customFormat="1" ht="15.75" hidden="1" x14ac:dyDescent="0.45">
      <c r="A108" s="32">
        <v>4.2300000000000004</v>
      </c>
      <c r="B108" s="126"/>
      <c r="C108" s="117"/>
      <c r="D108" s="13" t="str">
        <f>IF(OR(j_WEEKDAY(J_ADDDAY(VLOOKUP(I108,A:F,6,FALSE),H108,1),0)=6,SUMIFS(Holieday[ok],Holieday[date],J_ADDDAY(VLOOKUP(I108,A:F,6,FALSE),H108,1)))=FALSE(),J_ADDDAY(VLOOKUP(I108,A:F,6,FALSE),H108,1),IF(OR(j_WEEKDAY(J_ADDDAY(VLOOKUP(I108,A:F,6,FALSE),H108+1,1),0)=6,SUMIFS(Holieday[ok],Holieday[date],J_ADDDAY(VLOOKUP(I108,A:F,6,FALSE),H108+1,1)))=FALSE(),J_ADDDAY(VLOOKUP(I108,A:F,6,FALSE),H108+1,1),IF(OR(j_WEEKDAY(J_ADDDAY(VLOOKUP(I108,A:F,6,FALSE),H108+2,1),0)=6,SUMIFS(Holieday[ok],Holieday[date],J_ADDDAY(VLOOKUP(I108,A:F,6,FALSE),H108+2,1)))=FALSE(),J_ADDDAY(VLOOKUP(I108,A:F,6,FALSE),H108+2,1),IF(OR(j_WEEKDAY(J_ADDDAY(VLOOKUP(I108,A:F,6,FALSE),H108+3,1),0)=6,SUMIFS(Holieday[ok],Holieday[date],J_ADDDAY(VLOOKUP(I108,A:F,6,FALSE),H108+3,1)))=FALSE(),J_ADDDAY(VLOOKUP(I108,A:F,6,FALSE),H108+3,1),IF(OR(j_WEEKDAY(J_ADDDAY(VLOOKUP(I108,A:F,6,FALSE),H108+4,1),0)=6,SUMIFS(Holieday[ok],Holieday[date],J_ADDDAY(VLOOKUP(I108,A:F,6,FALSE),H108+4,1)))=FALSE(),J_ADDDAY(VLOOKUP(I108,A:F,6,FALSE),H108+4,1),J_ADDDAY(VLOOKUP(I108,A:F,6,FALSE),H108+5,1))))))</f>
        <v>1398/07/02</v>
      </c>
      <c r="E108" s="2">
        <f t="shared" si="32"/>
        <v>13980702</v>
      </c>
      <c r="F108" s="13" t="str">
        <f>IF(N108=0,J_SUBDAY(D108,1,1),IF((N108-NETWORKDAYS.INTL(J_GregorianDate(D108,1),J_GregorianDate(J_SUBDAY(J_ADDDAY(D108,N108,1),1,1),1),16,1)-SUMIFS(Holieday[ok],Holieday[date],CONCATENATE("&gt;","=",D108),Holieday[date],CONCATENATE("&lt;","=",J_SUBDAY(J_ADDDAY(D108,N108,1),1,1)))+SUMIFS(Holieday[Friday],Holieday[date],CONCATENATE("&gt;","=",D108),Holieday[date],CONCATENATE("&lt;","=",J_SUBDAY(J_ADDDAY(D108,N108,1),1,1))))=0,J_SUBDAY(J_ADDDAY(D108,N108,1),1,1),IF((N108-NETWORKDAYS.INTL(J_GregorianDate(D108,1),J_GregorianDate(J_SUBDAY(J_ADDDAY(D108,N108,1),1,1),1),16,1)-SUMIFS(Holieday[ok],Holieday[date],CONCATENATE("&gt;","=",D108),Holieday[date],CONCATENATE("&lt;","=",J_SUBDAY(J_ADDDAY(D108,N108,1),1,1)))+SUMIFS(Holieday[Friday],Holieday[date],CONCATENATE("&gt;","=",D108),Holieday[date],CONCATENATE("&lt;","=",J_SUBDAY(J_ADDDAY(D108,N108,1),1,1))))=1,J_SUBDAY(J_ADDDAY(D108,N108+1,1),1,1),IF((N108-NETWORKDAYS.INTL(J_GregorianDate(D108,1),J_GregorianDate(J_SUBDAY(J_ADDDAY(D108,N108,1),1,1),1),16,1)-SUMIFS(Holieday[ok],Holieday[date],CONCATENATE("&gt;","=",D108),Holieday[date],CONCATENATE("&lt;","=",J_SUBDAY(J_ADDDAY(D108,N108,1),1,1)))+SUMIFS(Holieday[Friday],Holieday[date],CONCATENATE("&gt;","=",D108),Holieday[date],CONCATENATE("&lt;","=",J_SUBDAY(J_ADDDAY(D108,N108,1),1,1))))=2,J_SUBDAY(J_ADDDAY(D108,N108+2,1),1,1),J_SUBDAY(J_ADDDAY(D108,N108+3,1),1,1)))))</f>
        <v>1398/07/01</v>
      </c>
      <c r="G108" s="3">
        <f t="shared" si="29"/>
        <v>13980701</v>
      </c>
      <c r="H108" s="119"/>
      <c r="I108" s="120">
        <v>1.2</v>
      </c>
      <c r="J108" s="10">
        <f>j_WEEKDAY(D108,2)</f>
        <v>3</v>
      </c>
      <c r="K108" s="22">
        <f t="shared" si="33"/>
        <v>0</v>
      </c>
      <c r="L108" s="9">
        <f t="shared" si="34"/>
        <v>0</v>
      </c>
      <c r="M108" s="121">
        <v>0</v>
      </c>
      <c r="N108" s="118">
        <v>0</v>
      </c>
      <c r="O108" s="11">
        <f t="shared" si="35"/>
        <v>0</v>
      </c>
      <c r="P108" s="11">
        <f>VALUE(J_normdate(J_ADDDAY($D108,$O108,1)))</f>
        <v>13980702</v>
      </c>
      <c r="Q108" s="10">
        <f t="shared" si="36"/>
        <v>0</v>
      </c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 s="8"/>
      <c r="BK108" s="8"/>
      <c r="BL108" s="8"/>
      <c r="BM108" s="8"/>
      <c r="BN108" s="8"/>
      <c r="BO108" s="8"/>
      <c r="BP108" s="8"/>
      <c r="BQ108" s="8"/>
      <c r="BR108" s="8"/>
      <c r="BS108" s="8"/>
      <c r="BT108" s="8"/>
      <c r="BU108" s="8"/>
      <c r="BV108" s="8"/>
      <c r="BW108" s="8"/>
      <c r="BX108" s="8"/>
      <c r="BY108" s="8"/>
      <c r="BZ108" s="8"/>
      <c r="CA108" s="8"/>
      <c r="CB108" s="8"/>
      <c r="CC108" s="8"/>
      <c r="CD108" s="8"/>
      <c r="CE108" s="8"/>
      <c r="CF108" s="8"/>
      <c r="CG108" s="8"/>
      <c r="CH108" s="8"/>
      <c r="CI108" s="8"/>
      <c r="CJ108" s="8"/>
      <c r="CK108" s="8"/>
      <c r="CL108" s="8"/>
      <c r="CM108" s="8"/>
      <c r="CN108" s="8"/>
      <c r="CO108" s="8"/>
      <c r="CP108" s="8"/>
      <c r="CQ108" s="8"/>
      <c r="CR108" s="8"/>
      <c r="CS108" s="8"/>
      <c r="CT108" s="8"/>
      <c r="CU108" s="8"/>
      <c r="CV108" s="8"/>
      <c r="CW108" s="8"/>
      <c r="CX108" s="8"/>
      <c r="CY108" s="8"/>
      <c r="CZ108" s="8"/>
      <c r="DA108" s="8"/>
      <c r="DB108" s="8"/>
      <c r="DC108" s="8"/>
      <c r="DD108" s="8"/>
      <c r="DE108" s="8"/>
      <c r="DF108" s="8"/>
      <c r="DG108" s="8"/>
      <c r="DH108" s="8"/>
      <c r="DI108" s="8"/>
      <c r="DJ108" s="8"/>
      <c r="DK108" s="8"/>
      <c r="DL108" s="8"/>
      <c r="DM108" s="8"/>
      <c r="DN108" s="8"/>
      <c r="DO108" s="8"/>
      <c r="DP108" s="8"/>
      <c r="DQ108" s="8"/>
      <c r="DR108" s="8"/>
      <c r="DS108" s="8"/>
      <c r="DT108" s="8"/>
      <c r="DU108" s="8"/>
      <c r="DV108" s="8"/>
      <c r="DW108" s="8"/>
      <c r="DX108" s="8"/>
      <c r="DY108" s="8"/>
      <c r="DZ108" s="8"/>
      <c r="EA108" s="8"/>
      <c r="EB108" s="8"/>
      <c r="EC108" s="8"/>
      <c r="ED108" s="8"/>
      <c r="EE108" s="8"/>
      <c r="EF108" s="8"/>
      <c r="EG108" s="8"/>
      <c r="EH108" s="8"/>
      <c r="EI108" s="8"/>
      <c r="EJ108" s="8"/>
      <c r="EK108" s="8"/>
      <c r="EL108" s="8"/>
      <c r="EM108" s="8"/>
      <c r="EN108" s="8"/>
      <c r="EO108" s="8"/>
      <c r="EP108" s="8"/>
      <c r="EQ108" s="8"/>
      <c r="ER108" s="8"/>
      <c r="ES108" s="8"/>
      <c r="ET108" s="8"/>
      <c r="EU108" s="8"/>
      <c r="EV108" s="8"/>
      <c r="EW108" s="8"/>
      <c r="EX108" s="8"/>
      <c r="EY108" s="8"/>
      <c r="EZ108" s="8"/>
      <c r="FA108" s="8"/>
      <c r="FB108" s="8"/>
      <c r="FC108" s="8"/>
      <c r="FD108" s="8"/>
      <c r="FE108" s="8"/>
      <c r="FF108" s="8"/>
      <c r="FG108" s="8"/>
      <c r="FH108" s="8"/>
      <c r="FI108" s="8"/>
      <c r="FJ108" s="8"/>
      <c r="FK108" s="8"/>
      <c r="FL108" s="8"/>
      <c r="FM108" s="8"/>
      <c r="FN108" s="8"/>
      <c r="FO108" s="8"/>
      <c r="FP108" s="8"/>
      <c r="FQ108" s="8"/>
      <c r="FR108" s="8"/>
      <c r="FS108" s="8"/>
      <c r="FT108" s="8"/>
      <c r="FU108" s="8"/>
      <c r="FV108" s="8"/>
      <c r="FW108" s="8"/>
      <c r="FX108" s="8"/>
      <c r="FY108" s="8"/>
      <c r="FZ108" s="8"/>
      <c r="GA108" s="8"/>
      <c r="GB108" s="8"/>
      <c r="GC108" s="8"/>
      <c r="GD108" s="8"/>
      <c r="GE108" s="8"/>
      <c r="GF108" s="8"/>
      <c r="GG108" s="8"/>
      <c r="GH108" s="8"/>
      <c r="GI108" s="8"/>
      <c r="GJ108" s="8"/>
      <c r="GK108" s="8"/>
      <c r="GL108" s="8"/>
      <c r="GM108" s="8"/>
      <c r="GN108" s="8"/>
      <c r="GO108" s="8"/>
      <c r="GP108" s="8"/>
      <c r="GQ108" s="8"/>
      <c r="GR108" s="8"/>
      <c r="GS108" s="8"/>
      <c r="GT108" s="8"/>
      <c r="GU108" s="8"/>
      <c r="GV108" s="8"/>
      <c r="GW108" s="8"/>
      <c r="GX108" s="8"/>
      <c r="GY108" s="8"/>
      <c r="GZ108" s="8"/>
      <c r="HA108" s="8"/>
      <c r="HB108" s="8"/>
      <c r="HC108" s="8"/>
      <c r="HD108" s="8"/>
      <c r="HE108" s="8"/>
      <c r="HF108" s="8"/>
      <c r="HG108" s="8"/>
      <c r="HH108" s="8"/>
      <c r="HI108" s="8"/>
      <c r="HJ108" s="8"/>
      <c r="HK108" s="8"/>
      <c r="HL108" s="8"/>
      <c r="HM108" s="8"/>
      <c r="HN108" s="8"/>
      <c r="HO108" s="8"/>
      <c r="HP108" s="8"/>
      <c r="HQ108" s="8"/>
      <c r="HR108" s="8"/>
      <c r="HS108" s="8"/>
      <c r="HT108" s="8"/>
      <c r="HU108" s="8"/>
      <c r="HV108" s="8"/>
      <c r="HW108" s="8"/>
      <c r="HX108" s="8"/>
      <c r="HY108" s="8"/>
      <c r="HZ108" s="8"/>
      <c r="IA108" s="8"/>
      <c r="IB108" s="8"/>
      <c r="IC108" s="8"/>
      <c r="ID108" s="8"/>
      <c r="IE108" s="8"/>
      <c r="IF108" s="8"/>
      <c r="IG108" s="8"/>
      <c r="IH108" s="8"/>
      <c r="II108" s="8"/>
      <c r="IJ108" s="8"/>
      <c r="IK108" s="8"/>
      <c r="IL108" s="8"/>
      <c r="IM108" s="8"/>
      <c r="IN108" s="8"/>
      <c r="IO108" s="8"/>
      <c r="IP108" s="8"/>
      <c r="IQ108" s="8"/>
      <c r="IR108" s="8"/>
      <c r="IS108" s="8"/>
      <c r="IT108" s="8"/>
      <c r="IU108" s="8"/>
      <c r="IV108" s="8"/>
      <c r="IW108" s="8"/>
      <c r="IX108" s="8"/>
      <c r="JA108" s="123"/>
      <c r="JB108" s="123"/>
      <c r="JC108" s="123"/>
      <c r="JD108" s="70">
        <f>SUM((TEXT(JA108,"[M]")/60)*'Income Person-hours'!$D$3,(TEXT(JB108,"[M]")/60)*'Income Person-hours'!$D$4,(TEXT(JC108,"[M]")/60)*'Income Person-hours'!$D$5)</f>
        <v>0</v>
      </c>
    </row>
    <row r="109" spans="1:264" s="193" customFormat="1" ht="15.75" x14ac:dyDescent="0.45">
      <c r="A109" s="192">
        <v>5</v>
      </c>
      <c r="B109" s="112" t="s">
        <v>133</v>
      </c>
      <c r="C109" s="113"/>
      <c r="D109" s="195" t="str">
        <f>FDate(MIN(E110:E130))</f>
        <v>1398/06/31</v>
      </c>
      <c r="E109" s="193">
        <f t="shared" si="32"/>
        <v>13980631</v>
      </c>
      <c r="F109" s="195" t="str">
        <f>J_SUBDAY(J_ADDDAY(D109,L109,1),1,1)</f>
        <v>1398/09/20</v>
      </c>
      <c r="G109" s="196">
        <f t="shared" si="29"/>
        <v>13980920</v>
      </c>
      <c r="H109" s="114"/>
      <c r="I109" s="115"/>
      <c r="J109" s="195">
        <f>j_WEEKDAY(D109,2)</f>
        <v>1</v>
      </c>
      <c r="K109" s="197">
        <f>SUM(K110:K130)</f>
        <v>0</v>
      </c>
      <c r="L109" s="198">
        <f>J_DIFF(D109,FDate(MAX(G110:G130)))+1</f>
        <v>81</v>
      </c>
      <c r="M109" s="199">
        <f>IF(SUM(L110:L130)&lt;&gt;0,SUMPRODUCT(L110:L130,M110:M130)/SUM(L110:L130),0)</f>
        <v>0</v>
      </c>
      <c r="N109" s="200">
        <f>IF(F109&gt;=D109,NETWORKDAYS.INTL(J_GregorianDate(D109,1),J_GregorianDate(F109,1),16,1)-SUMIFS(Holieday[ok],Holieday[date],CONCATENATE("&gt;","=",D109),Holieday[date],CONCATENATE("&lt;","=",F109))+SUMIFS(Holieday[Friday],Holieday[date],CONCATENATE("&gt;","=",D109),Holieday[date],CONCATENATE("&lt;","=",F109)),0)</f>
        <v>66</v>
      </c>
      <c r="O109" s="191">
        <f>ROUNDDOWN(M109*L109,0)</f>
        <v>0</v>
      </c>
      <c r="P109" s="191">
        <f>VALUE(J_normdate(J_ADDDAY($D109,$O109,1)))</f>
        <v>13980631</v>
      </c>
      <c r="Q109" s="195">
        <f>L109-O109</f>
        <v>81</v>
      </c>
      <c r="IY109" s="30"/>
      <c r="IZ109" s="42"/>
      <c r="JA109" s="223"/>
      <c r="JB109" s="223"/>
      <c r="JC109" s="223"/>
      <c r="JD109" s="224"/>
    </row>
    <row r="110" spans="1:264" s="226" customFormat="1" ht="15.75" x14ac:dyDescent="0.45">
      <c r="A110" s="201">
        <v>5.0999999999999996</v>
      </c>
      <c r="B110" s="245" t="s">
        <v>134</v>
      </c>
      <c r="C110" s="117" t="s">
        <v>79</v>
      </c>
      <c r="D110" s="204" t="str">
        <f>IF(OR(j_WEEKDAY(J_ADDDAY(VLOOKUP(I110,A:F,6,FALSE),H110,1),0)=6,SUMIFS(Holieday[ok],Holieday[date],J_ADDDAY(VLOOKUP(I110,A:F,6,FALSE),H110,1)))=FALSE(),J_ADDDAY(VLOOKUP(I110,A:F,6,FALSE),H110,1),IF(OR(j_WEEKDAY(J_ADDDAY(VLOOKUP(I110,A:F,6,FALSE),H110+1,1),0)=6,SUMIFS(Holieday[ok],Holieday[date],J_ADDDAY(VLOOKUP(I110,A:F,6,FALSE),H110+1,1)))=FALSE(),J_ADDDAY(VLOOKUP(I110,A:F,6,FALSE),H110+1,1),IF(OR(j_WEEKDAY(J_ADDDAY(VLOOKUP(I110,A:F,6,FALSE),H110+2,1),0)=6,SUMIFS(Holieday[ok],Holieday[date],J_ADDDAY(VLOOKUP(I110,A:F,6,FALSE),H110+2,1)))=FALSE(),J_ADDDAY(VLOOKUP(I110,A:F,6,FALSE),H110+2,1),IF(OR(j_WEEKDAY(J_ADDDAY(VLOOKUP(I110,A:F,6,FALSE),H110+3,1),0)=6,SUMIFS(Holieday[ok],Holieday[date],J_ADDDAY(VLOOKUP(I110,A:F,6,FALSE),H110+3,1)))=FALSE(),J_ADDDAY(VLOOKUP(I110,A:F,6,FALSE),H110+3,1),IF(OR(j_WEEKDAY(J_ADDDAY(VLOOKUP(I110,A:F,6,FALSE),H110+4,1),0)=6,SUMIFS(Holieday[ok],Holieday[date],J_ADDDAY(VLOOKUP(I110,A:F,6,FALSE),H110+4,1)))=FALSE(),J_ADDDAY(VLOOKUP(I110,A:F,6,FALSE),H110+4,1),J_ADDDAY(VLOOKUP(I110,A:F,6,FALSE),H110+5,1))))))</f>
        <v>1398/06/31</v>
      </c>
      <c r="E110" s="193">
        <f t="shared" si="32"/>
        <v>13980631</v>
      </c>
      <c r="F110" s="204" t="str">
        <f>IF(N110=0,J_SUBDAY(D110,1,1),IF((N110-NETWORKDAYS.INTL(J_GregorianDate(D110,1),J_GregorianDate(J_SUBDAY(J_ADDDAY(D110,N110,1),1,1),1),16,1)-SUMIFS(Holieday[ok],Holieday[date],CONCATENATE("&gt;","=",D110),Holieday[date],CONCATENATE("&lt;","=",J_SUBDAY(J_ADDDAY(D110,N110,1),1,1)))+SUMIFS(Holieday[Friday],Holieday[date],CONCATENATE("&gt;","=",D110),Holieday[date],CONCATENATE("&lt;","=",J_SUBDAY(J_ADDDAY(D110,N110,1),1,1))))=0,J_SUBDAY(J_ADDDAY(D110,N110,1),1,1),IF((N110-NETWORKDAYS.INTL(J_GregorianDate(D110,1),J_GregorianDate(J_SUBDAY(J_ADDDAY(D110,N110,1),1,1),1),16,1)-SUMIFS(Holieday[ok],Holieday[date],CONCATENATE("&gt;","=",D110),Holieday[date],CONCATENATE("&lt;","=",J_SUBDAY(J_ADDDAY(D110,N110,1),1,1)))+SUMIFS(Holieday[Friday],Holieday[date],CONCATENATE("&gt;","=",D110),Holieday[date],CONCATENATE("&lt;","=",J_SUBDAY(J_ADDDAY(D110,N110,1),1,1))))=1,J_SUBDAY(J_ADDDAY(D110,N110+1,1),1,1),IF((N110-NETWORKDAYS.INTL(J_GregorianDate(D110,1),J_GregorianDate(J_SUBDAY(J_ADDDAY(D110,N110,1),1,1),1),16,1)-SUMIFS(Holieday[ok],Holieday[date],CONCATENATE("&gt;","=",D110),Holieday[date],CONCATENATE("&lt;","=",J_SUBDAY(J_ADDDAY(D110,N110,1),1,1)))+SUMIFS(Holieday[Friday],Holieday[date],CONCATENATE("&gt;","=",D110),Holieday[date],CONCATENATE("&lt;","=",J_SUBDAY(J_ADDDAY(D110,N110,1),1,1))))=2,J_SUBDAY(J_ADDDAY(D110,N110+2,1),1,1),J_SUBDAY(J_ADDDAY(D110,N110+3,1),1,1)))))</f>
        <v>1398/07/07</v>
      </c>
      <c r="G110" s="196">
        <f t="shared" si="29"/>
        <v>13980707</v>
      </c>
      <c r="H110" s="119"/>
      <c r="I110" s="120">
        <v>1.1000000000000001</v>
      </c>
      <c r="J110" s="204">
        <f>j_WEEKDAY(D110,2)</f>
        <v>1</v>
      </c>
      <c r="K110" s="206">
        <f>SUM(JA110:JC110)</f>
        <v>0</v>
      </c>
      <c r="L110" s="207">
        <f t="shared" ref="L110:L130" si="37">J_DIFF(D110,F110)+1</f>
        <v>8</v>
      </c>
      <c r="M110" s="121">
        <v>0</v>
      </c>
      <c r="N110" s="118">
        <v>7</v>
      </c>
      <c r="O110" s="208">
        <f>ROUNDDOWN(M110*L110,0)</f>
        <v>0</v>
      </c>
      <c r="P110" s="208">
        <f>VALUE(J_normdate(J_ADDDAY($D110,$O110,1)))</f>
        <v>13980631</v>
      </c>
      <c r="Q110" s="204">
        <f>L110-O110</f>
        <v>8</v>
      </c>
      <c r="R110" s="202"/>
      <c r="S110" s="202"/>
      <c r="T110" s="202"/>
      <c r="U110" s="202"/>
      <c r="V110" s="202"/>
      <c r="W110" s="202"/>
      <c r="X110" s="202"/>
      <c r="Y110" s="202"/>
      <c r="Z110" s="202"/>
      <c r="AA110" s="202"/>
      <c r="AB110" s="202"/>
      <c r="AC110" s="202"/>
      <c r="AD110" s="202"/>
      <c r="AE110" s="202"/>
      <c r="AF110" s="202"/>
      <c r="AG110" s="202"/>
      <c r="AH110" s="202"/>
      <c r="AI110" s="202"/>
      <c r="AJ110" s="202"/>
      <c r="AK110" s="202"/>
      <c r="AL110" s="202"/>
      <c r="AM110" s="202"/>
      <c r="AN110" s="202"/>
      <c r="AO110" s="202"/>
      <c r="AP110" s="202"/>
      <c r="AQ110" s="202"/>
      <c r="AR110" s="202"/>
      <c r="AS110" s="202"/>
      <c r="AT110" s="202"/>
      <c r="AU110" s="202"/>
      <c r="AV110" s="202"/>
      <c r="AW110" s="202"/>
      <c r="AX110" s="202"/>
      <c r="AY110" s="202"/>
      <c r="AZ110" s="202"/>
      <c r="BA110" s="202"/>
      <c r="BB110" s="202"/>
      <c r="BC110" s="202"/>
      <c r="BD110" s="202"/>
      <c r="BE110" s="202"/>
      <c r="BF110" s="202"/>
      <c r="BG110" s="202"/>
      <c r="BH110" s="202"/>
      <c r="BI110" s="202"/>
      <c r="BJ110" s="202"/>
      <c r="BK110" s="202"/>
      <c r="BL110" s="202"/>
      <c r="BM110" s="202"/>
      <c r="BN110" s="202"/>
      <c r="BO110" s="202"/>
      <c r="BP110" s="202"/>
      <c r="BQ110" s="202"/>
      <c r="BR110" s="202"/>
      <c r="BS110" s="202"/>
      <c r="BT110" s="202"/>
      <c r="BU110" s="202"/>
      <c r="BV110" s="202"/>
      <c r="BW110" s="202"/>
      <c r="BX110" s="202"/>
      <c r="BY110" s="202"/>
      <c r="BZ110" s="202"/>
      <c r="CA110" s="202"/>
      <c r="CB110" s="202"/>
      <c r="CC110" s="202"/>
      <c r="CD110" s="202"/>
      <c r="CE110" s="202"/>
      <c r="CF110" s="202"/>
      <c r="CG110" s="202"/>
      <c r="CH110" s="202"/>
      <c r="CI110" s="202"/>
      <c r="CJ110" s="202"/>
      <c r="CK110" s="202"/>
      <c r="CL110" s="202"/>
      <c r="CM110" s="202"/>
      <c r="CN110" s="202"/>
      <c r="CO110" s="202"/>
      <c r="CP110" s="202"/>
      <c r="CQ110" s="202"/>
      <c r="CR110" s="202"/>
      <c r="CS110" s="202"/>
      <c r="CT110" s="202"/>
      <c r="CU110" s="202"/>
      <c r="CV110" s="202"/>
      <c r="CW110" s="202"/>
      <c r="CX110" s="202"/>
      <c r="CY110" s="202"/>
      <c r="CZ110" s="202"/>
      <c r="DA110" s="202"/>
      <c r="DB110" s="202"/>
      <c r="DC110" s="202"/>
      <c r="DD110" s="202"/>
      <c r="DE110" s="202"/>
      <c r="DF110" s="202"/>
      <c r="DG110" s="202"/>
      <c r="DH110" s="202"/>
      <c r="DI110" s="202"/>
      <c r="DJ110" s="202"/>
      <c r="DK110" s="202"/>
      <c r="DL110" s="202"/>
      <c r="DM110" s="202"/>
      <c r="DN110" s="202"/>
      <c r="DO110" s="202"/>
      <c r="DP110" s="202"/>
      <c r="DQ110" s="202"/>
      <c r="DR110" s="202"/>
      <c r="DS110" s="202"/>
      <c r="DT110" s="202"/>
      <c r="DU110" s="202"/>
      <c r="DV110" s="202"/>
      <c r="DW110" s="202"/>
      <c r="DX110" s="202"/>
      <c r="DY110" s="202"/>
      <c r="DZ110" s="202"/>
      <c r="EA110" s="202"/>
      <c r="EB110" s="202"/>
      <c r="EC110" s="202"/>
      <c r="ED110" s="202"/>
      <c r="EE110" s="202"/>
      <c r="EF110" s="202"/>
      <c r="EG110" s="202"/>
      <c r="EH110" s="202"/>
      <c r="EI110" s="202"/>
      <c r="EJ110" s="202"/>
      <c r="EK110" s="202"/>
      <c r="EL110" s="202"/>
      <c r="EM110" s="202"/>
      <c r="EN110" s="202"/>
      <c r="EO110" s="202"/>
      <c r="EP110" s="202"/>
      <c r="EQ110" s="202"/>
      <c r="ER110" s="202"/>
      <c r="ES110" s="202"/>
      <c r="ET110" s="202"/>
      <c r="EU110" s="202"/>
      <c r="EV110" s="202"/>
      <c r="EW110" s="202"/>
      <c r="EX110" s="202"/>
      <c r="EY110" s="202"/>
      <c r="EZ110" s="202"/>
      <c r="FA110" s="202"/>
      <c r="FB110" s="202"/>
      <c r="FC110" s="202"/>
      <c r="FD110" s="202"/>
      <c r="FE110" s="202"/>
      <c r="FF110" s="202"/>
      <c r="FG110" s="202"/>
      <c r="FH110" s="202"/>
      <c r="FI110" s="202"/>
      <c r="FJ110" s="202"/>
      <c r="FK110" s="202"/>
      <c r="FL110" s="202"/>
      <c r="FM110" s="202"/>
      <c r="FN110" s="202"/>
      <c r="FO110" s="202"/>
      <c r="FP110" s="202"/>
      <c r="FQ110" s="202"/>
      <c r="FR110" s="202"/>
      <c r="FS110" s="202"/>
      <c r="FT110" s="202"/>
      <c r="FU110" s="202"/>
      <c r="FV110" s="202"/>
      <c r="FW110" s="202"/>
      <c r="FX110" s="202"/>
      <c r="FY110" s="202"/>
      <c r="FZ110" s="202"/>
      <c r="GA110" s="202"/>
      <c r="GB110" s="202"/>
      <c r="GC110" s="202"/>
      <c r="GD110" s="202"/>
      <c r="GE110" s="202"/>
      <c r="GF110" s="202"/>
      <c r="GG110" s="202"/>
      <c r="GH110" s="202"/>
      <c r="GI110" s="202"/>
      <c r="GJ110" s="202"/>
      <c r="GK110" s="202"/>
      <c r="GL110" s="202"/>
      <c r="GM110" s="202"/>
      <c r="GN110" s="202"/>
      <c r="GO110" s="202"/>
      <c r="GP110" s="202"/>
      <c r="GQ110" s="202"/>
      <c r="GR110" s="202"/>
      <c r="GS110" s="202"/>
      <c r="GT110" s="202"/>
      <c r="GU110" s="202"/>
      <c r="GV110" s="202"/>
      <c r="GW110" s="202"/>
      <c r="GX110" s="202"/>
      <c r="GY110" s="202"/>
      <c r="GZ110" s="202"/>
      <c r="HA110" s="202"/>
      <c r="HB110" s="202"/>
      <c r="HC110" s="202"/>
      <c r="HD110" s="202"/>
      <c r="HE110" s="202"/>
      <c r="HF110" s="202"/>
      <c r="HG110" s="202"/>
      <c r="HH110" s="202"/>
      <c r="HI110" s="202"/>
      <c r="HJ110" s="202"/>
      <c r="HK110" s="202"/>
      <c r="HL110" s="202"/>
      <c r="HM110" s="202"/>
      <c r="HN110" s="202"/>
      <c r="HO110" s="202"/>
      <c r="HP110" s="202"/>
      <c r="HQ110" s="202"/>
      <c r="HR110" s="202"/>
      <c r="HS110" s="202"/>
      <c r="HT110" s="202"/>
      <c r="HU110" s="202"/>
      <c r="HV110" s="202"/>
      <c r="HW110" s="202"/>
      <c r="HX110" s="202"/>
      <c r="HY110" s="202"/>
      <c r="HZ110" s="202"/>
      <c r="IA110" s="202"/>
      <c r="IB110" s="202"/>
      <c r="IC110" s="202"/>
      <c r="ID110" s="202"/>
      <c r="IE110" s="202"/>
      <c r="IF110" s="202"/>
      <c r="IG110" s="202"/>
      <c r="IH110" s="202"/>
      <c r="II110" s="202"/>
      <c r="IJ110" s="202"/>
      <c r="IK110" s="202"/>
      <c r="IL110" s="202"/>
      <c r="IM110" s="202"/>
      <c r="IN110" s="202"/>
      <c r="IO110" s="202"/>
      <c r="IP110" s="202"/>
      <c r="IQ110" s="202"/>
      <c r="IR110" s="202"/>
      <c r="IS110" s="202"/>
      <c r="IT110" s="202"/>
      <c r="IU110" s="202"/>
      <c r="IV110" s="202"/>
      <c r="IW110" s="202"/>
      <c r="IX110" s="202"/>
      <c r="IY110" s="31">
        <v>2</v>
      </c>
      <c r="IZ110" s="43">
        <f>(TEXT(K110,"[m]")/60)*VLOOKUP(IY110,'Income Person-hours'!A$2:C$5,3,FALSE)</f>
        <v>0</v>
      </c>
      <c r="JA110" s="122"/>
      <c r="JB110" s="122"/>
      <c r="JC110" s="122"/>
      <c r="JD110" s="227">
        <f>SUM((TEXT(JA110,"[M]")/60)*'Income Person-hours'!$D$3,(TEXT(JB110,"[M]")/60)*'Income Person-hours'!$D$4,(TEXT(JC110,"[M]")/60)*'Income Person-hours'!$D$5)</f>
        <v>0</v>
      </c>
    </row>
    <row r="111" spans="1:264" s="226" customFormat="1" ht="15.75" x14ac:dyDescent="0.45">
      <c r="A111" s="201">
        <v>5.2</v>
      </c>
      <c r="B111" s="116" t="s">
        <v>135</v>
      </c>
      <c r="C111" s="117" t="s">
        <v>111</v>
      </c>
      <c r="D111" s="205" t="str">
        <f>IF(OR(j_WEEKDAY(J_ADDDAY(VLOOKUP(I111,A:F,6,FALSE),H111,1),0)=6,SUMIFS(Holieday[ok],Holieday[date],J_ADDDAY(VLOOKUP(I111,A:F,6,FALSE),H111,1)))=FALSE(),J_ADDDAY(VLOOKUP(I111,A:F,6,FALSE),H111,1),IF(OR(j_WEEKDAY(J_ADDDAY(VLOOKUP(I111,A:F,6,FALSE),H111+1,1),0)=6,SUMIFS(Holieday[ok],Holieday[date],J_ADDDAY(VLOOKUP(I111,A:F,6,FALSE),H111+1,1)))=FALSE(),J_ADDDAY(VLOOKUP(I111,A:F,6,FALSE),H111+1,1),IF(OR(j_WEEKDAY(J_ADDDAY(VLOOKUP(I111,A:F,6,FALSE),H111+2,1),0)=6,SUMIFS(Holieday[ok],Holieday[date],J_ADDDAY(VLOOKUP(I111,A:F,6,FALSE),H111+2,1)))=FALSE(),J_ADDDAY(VLOOKUP(I111,A:F,6,FALSE),H111+2,1),IF(OR(j_WEEKDAY(J_ADDDAY(VLOOKUP(I111,A:F,6,FALSE),H111+3,1),0)=6,SUMIFS(Holieday[ok],Holieday[date],J_ADDDAY(VLOOKUP(I111,A:F,6,FALSE),H111+3,1)))=FALSE(),J_ADDDAY(VLOOKUP(I111,A:F,6,FALSE),H111+3,1),IF(OR(j_WEEKDAY(J_ADDDAY(VLOOKUP(I111,A:F,6,FALSE),H111+4,1),0)=6,SUMIFS(Holieday[ok],Holieday[date],J_ADDDAY(VLOOKUP(I111,A:F,6,FALSE),H111+4,1)))=FALSE(),J_ADDDAY(VLOOKUP(I111,A:F,6,FALSE),H111+4,1),J_ADDDAY(VLOOKUP(I111,A:F,6,FALSE),H111+5,1))))))</f>
        <v>1398/07/08</v>
      </c>
      <c r="E111" s="193">
        <f t="shared" si="32"/>
        <v>13980708</v>
      </c>
      <c r="F111" s="204" t="str">
        <f>IF(N111=0,J_SUBDAY(D111,1,1),IF((N111-NETWORKDAYS.INTL(J_GregorianDate(D111,1),J_GregorianDate(J_SUBDAY(J_ADDDAY(D111,N111,1),1,1),1),16,1)-SUMIFS(Holieday[ok],Holieday[date],CONCATENATE("&gt;","=",D111),Holieday[date],CONCATENATE("&lt;","=",J_SUBDAY(J_ADDDAY(D111,N111,1),1,1)))+SUMIFS(Holieday[Friday],Holieday[date],CONCATENATE("&gt;","=",D111),Holieday[date],CONCATENATE("&lt;","=",J_SUBDAY(J_ADDDAY(D111,N111,1),1,1))))=0,J_SUBDAY(J_ADDDAY(D111,N111,1),1,1),IF((N111-NETWORKDAYS.INTL(J_GregorianDate(D111,1),J_GregorianDate(J_SUBDAY(J_ADDDAY(D111,N111,1),1,1),1),16,1)-SUMIFS(Holieday[ok],Holieday[date],CONCATENATE("&gt;","=",D111),Holieday[date],CONCATENATE("&lt;","=",J_SUBDAY(J_ADDDAY(D111,N111,1),1,1)))+SUMIFS(Holieday[Friday],Holieday[date],CONCATENATE("&gt;","=",D111),Holieday[date],CONCATENATE("&lt;","=",J_SUBDAY(J_ADDDAY(D111,N111,1),1,1))))=1,J_SUBDAY(J_ADDDAY(D111,N111+1,1),1,1),IF((N111-NETWORKDAYS.INTL(J_GregorianDate(D111,1),J_GregorianDate(J_SUBDAY(J_ADDDAY(D111,N111,1),1,1),1),16,1)-SUMIFS(Holieday[ok],Holieday[date],CONCATENATE("&gt;","=",D111),Holieday[date],CONCATENATE("&lt;","=",J_SUBDAY(J_ADDDAY(D111,N111,1),1,1)))+SUMIFS(Holieday[Friday],Holieday[date],CONCATENATE("&gt;","=",D111),Holieday[date],CONCATENATE("&lt;","=",J_SUBDAY(J_ADDDAY(D111,N111,1),1,1))))=2,J_SUBDAY(J_ADDDAY(D111,N111+2,1),1,1),J_SUBDAY(J_ADDDAY(D111,N111+3,1),1,1)))))</f>
        <v>1398/07/10</v>
      </c>
      <c r="G111" s="196">
        <f t="shared" si="29"/>
        <v>13980710</v>
      </c>
      <c r="H111" s="119">
        <v>1</v>
      </c>
      <c r="I111" s="120">
        <v>5.0999999999999996</v>
      </c>
      <c r="J111" s="204">
        <f>j_WEEKDAY(D111,2)</f>
        <v>2</v>
      </c>
      <c r="K111" s="206">
        <f>SUM(JA111:JC111)</f>
        <v>0</v>
      </c>
      <c r="L111" s="207">
        <f t="shared" si="37"/>
        <v>3</v>
      </c>
      <c r="M111" s="121">
        <v>0</v>
      </c>
      <c r="N111" s="118">
        <v>3</v>
      </c>
      <c r="O111" s="208">
        <f t="shared" ref="O111:O130" si="38">ROUNDDOWN(M111*L111,0)</f>
        <v>0</v>
      </c>
      <c r="P111" s="208">
        <f>VALUE(J_normdate(J_ADDDAY($D111,$O111,1)))</f>
        <v>13980708</v>
      </c>
      <c r="Q111" s="204">
        <f t="shared" ref="Q111:Q130" si="39">L111-O111</f>
        <v>3</v>
      </c>
      <c r="R111" s="202"/>
      <c r="S111" s="202"/>
      <c r="T111" s="202"/>
      <c r="U111" s="202"/>
      <c r="V111" s="202"/>
      <c r="W111" s="202"/>
      <c r="X111" s="202"/>
      <c r="Y111" s="202"/>
      <c r="Z111" s="202"/>
      <c r="AA111" s="202"/>
      <c r="AB111" s="202"/>
      <c r="AC111" s="202"/>
      <c r="AD111" s="202"/>
      <c r="AE111" s="202"/>
      <c r="AF111" s="202"/>
      <c r="AG111" s="202"/>
      <c r="AH111" s="202"/>
      <c r="AI111" s="202"/>
      <c r="AJ111" s="202"/>
      <c r="AK111" s="202"/>
      <c r="AL111" s="202"/>
      <c r="AM111" s="202"/>
      <c r="AN111" s="202"/>
      <c r="AO111" s="202"/>
      <c r="AP111" s="202"/>
      <c r="AQ111" s="202"/>
      <c r="AR111" s="202"/>
      <c r="AS111" s="202"/>
      <c r="AT111" s="202"/>
      <c r="AU111" s="202"/>
      <c r="AV111" s="202"/>
      <c r="AW111" s="202"/>
      <c r="AX111" s="202"/>
      <c r="AY111" s="202"/>
      <c r="AZ111" s="202"/>
      <c r="BA111" s="202"/>
      <c r="BB111" s="202"/>
      <c r="BC111" s="202"/>
      <c r="BD111" s="202"/>
      <c r="BE111" s="202"/>
      <c r="BF111" s="202"/>
      <c r="BG111" s="202"/>
      <c r="BH111" s="202"/>
      <c r="BI111" s="202"/>
      <c r="BJ111" s="202"/>
      <c r="BK111" s="202"/>
      <c r="BL111" s="202"/>
      <c r="BM111" s="202"/>
      <c r="BN111" s="202"/>
      <c r="BO111" s="202"/>
      <c r="BP111" s="202"/>
      <c r="BQ111" s="202"/>
      <c r="BR111" s="202"/>
      <c r="BS111" s="202"/>
      <c r="BT111" s="202"/>
      <c r="BU111" s="202"/>
      <c r="BV111" s="202"/>
      <c r="BW111" s="202"/>
      <c r="BX111" s="202"/>
      <c r="BY111" s="202"/>
      <c r="BZ111" s="202"/>
      <c r="CA111" s="202"/>
      <c r="CB111" s="202"/>
      <c r="CC111" s="202"/>
      <c r="CD111" s="202"/>
      <c r="CE111" s="202"/>
      <c r="CF111" s="202"/>
      <c r="CG111" s="202"/>
      <c r="CH111" s="202"/>
      <c r="CI111" s="202"/>
      <c r="CJ111" s="202"/>
      <c r="CK111" s="202"/>
      <c r="CL111" s="202"/>
      <c r="CM111" s="202"/>
      <c r="CN111" s="202"/>
      <c r="CO111" s="202"/>
      <c r="CP111" s="202"/>
      <c r="CQ111" s="202"/>
      <c r="CR111" s="202"/>
      <c r="CS111" s="202"/>
      <c r="CT111" s="202"/>
      <c r="CU111" s="202"/>
      <c r="CV111" s="202"/>
      <c r="CW111" s="202"/>
      <c r="CX111" s="202"/>
      <c r="CY111" s="202"/>
      <c r="CZ111" s="202"/>
      <c r="DA111" s="202"/>
      <c r="DB111" s="202"/>
      <c r="DC111" s="202"/>
      <c r="DD111" s="202"/>
      <c r="DE111" s="202"/>
      <c r="DF111" s="202"/>
      <c r="DG111" s="202"/>
      <c r="DH111" s="202"/>
      <c r="DI111" s="202"/>
      <c r="DJ111" s="202"/>
      <c r="DK111" s="202"/>
      <c r="DL111" s="202"/>
      <c r="DM111" s="202"/>
      <c r="DN111" s="202"/>
      <c r="DO111" s="202"/>
      <c r="DP111" s="202"/>
      <c r="DQ111" s="202"/>
      <c r="DR111" s="202"/>
      <c r="DS111" s="202"/>
      <c r="DT111" s="202"/>
      <c r="DU111" s="202"/>
      <c r="DV111" s="202"/>
      <c r="DW111" s="202"/>
      <c r="DX111" s="202"/>
      <c r="DY111" s="202"/>
      <c r="DZ111" s="202"/>
      <c r="EA111" s="202"/>
      <c r="EB111" s="202"/>
      <c r="EC111" s="202"/>
      <c r="ED111" s="202"/>
      <c r="EE111" s="202"/>
      <c r="EF111" s="202"/>
      <c r="EG111" s="202"/>
      <c r="EH111" s="202"/>
      <c r="EI111" s="202"/>
      <c r="EJ111" s="202"/>
      <c r="EK111" s="202"/>
      <c r="EL111" s="202"/>
      <c r="EM111" s="202"/>
      <c r="EN111" s="202"/>
      <c r="EO111" s="202"/>
      <c r="EP111" s="202"/>
      <c r="EQ111" s="202"/>
      <c r="ER111" s="202"/>
      <c r="ES111" s="202"/>
      <c r="ET111" s="202"/>
      <c r="EU111" s="202"/>
      <c r="EV111" s="202"/>
      <c r="EW111" s="202"/>
      <c r="EX111" s="202"/>
      <c r="EY111" s="202"/>
      <c r="EZ111" s="202"/>
      <c r="FA111" s="202"/>
      <c r="FB111" s="202"/>
      <c r="FC111" s="202"/>
      <c r="FD111" s="202"/>
      <c r="FE111" s="202"/>
      <c r="FF111" s="202"/>
      <c r="FG111" s="202"/>
      <c r="FH111" s="202"/>
      <c r="FI111" s="202"/>
      <c r="FJ111" s="202"/>
      <c r="FK111" s="202"/>
      <c r="FL111" s="202"/>
      <c r="FM111" s="202"/>
      <c r="FN111" s="202"/>
      <c r="FO111" s="202"/>
      <c r="FP111" s="202"/>
      <c r="FQ111" s="202"/>
      <c r="FR111" s="202"/>
      <c r="FS111" s="202"/>
      <c r="FT111" s="202"/>
      <c r="FU111" s="202"/>
      <c r="FV111" s="202"/>
      <c r="FW111" s="202"/>
      <c r="FX111" s="202"/>
      <c r="FY111" s="202"/>
      <c r="FZ111" s="202"/>
      <c r="GA111" s="202"/>
      <c r="GB111" s="202"/>
      <c r="GC111" s="202"/>
      <c r="GD111" s="202"/>
      <c r="GE111" s="202"/>
      <c r="GF111" s="202"/>
      <c r="GG111" s="202"/>
      <c r="GH111" s="202"/>
      <c r="GI111" s="202"/>
      <c r="GJ111" s="202"/>
      <c r="GK111" s="202"/>
      <c r="GL111" s="202"/>
      <c r="GM111" s="202"/>
      <c r="GN111" s="202"/>
      <c r="GO111" s="202"/>
      <c r="GP111" s="202"/>
      <c r="GQ111" s="202"/>
      <c r="GR111" s="202"/>
      <c r="GS111" s="202"/>
      <c r="GT111" s="202"/>
      <c r="GU111" s="202"/>
      <c r="GV111" s="202"/>
      <c r="GW111" s="202"/>
      <c r="GX111" s="202"/>
      <c r="GY111" s="202"/>
      <c r="GZ111" s="202"/>
      <c r="HA111" s="202"/>
      <c r="HB111" s="202"/>
      <c r="HC111" s="202"/>
      <c r="HD111" s="202"/>
      <c r="HE111" s="202"/>
      <c r="HF111" s="202"/>
      <c r="HG111" s="202"/>
      <c r="HH111" s="202"/>
      <c r="HI111" s="202"/>
      <c r="HJ111" s="202"/>
      <c r="HK111" s="202"/>
      <c r="HL111" s="202"/>
      <c r="HM111" s="202"/>
      <c r="HN111" s="202"/>
      <c r="HO111" s="202"/>
      <c r="HP111" s="202"/>
      <c r="HQ111" s="202"/>
      <c r="HR111" s="202"/>
      <c r="HS111" s="202"/>
      <c r="HT111" s="202"/>
      <c r="HU111" s="202"/>
      <c r="HV111" s="202"/>
      <c r="HW111" s="202"/>
      <c r="HX111" s="202"/>
      <c r="HY111" s="202"/>
      <c r="HZ111" s="202"/>
      <c r="IA111" s="202"/>
      <c r="IB111" s="202"/>
      <c r="IC111" s="202"/>
      <c r="ID111" s="202"/>
      <c r="IE111" s="202"/>
      <c r="IF111" s="202"/>
      <c r="IG111" s="202"/>
      <c r="IH111" s="202"/>
      <c r="II111" s="202"/>
      <c r="IJ111" s="202"/>
      <c r="IK111" s="202"/>
      <c r="IL111" s="202"/>
      <c r="IM111" s="202"/>
      <c r="IN111" s="202"/>
      <c r="IO111" s="202"/>
      <c r="IP111" s="202"/>
      <c r="IQ111" s="202"/>
      <c r="IR111" s="202"/>
      <c r="IS111" s="202"/>
      <c r="IT111" s="202"/>
      <c r="IU111" s="202"/>
      <c r="IV111" s="202"/>
      <c r="IW111" s="202"/>
      <c r="IX111" s="202"/>
      <c r="IY111" s="31">
        <v>2</v>
      </c>
      <c r="IZ111" s="43">
        <f>(TEXT(K111,"[m]")/60)*VLOOKUP(IY111,'Income Person-hours'!A$2:C$5,3,FALSE)</f>
        <v>0</v>
      </c>
      <c r="JA111" s="122"/>
      <c r="JB111" s="122"/>
      <c r="JC111" s="122"/>
      <c r="JD111" s="227">
        <f>SUM((TEXT(JA111,"[M]")/60)*'Income Person-hours'!$D$3,(TEXT(JB111,"[M]")/60)*'Income Person-hours'!$D$4,(TEXT(JC111,"[M]")/60)*'Income Person-hours'!$D$5)</f>
        <v>0</v>
      </c>
    </row>
    <row r="112" spans="1:264" s="226" customFormat="1" ht="15.75" x14ac:dyDescent="0.45">
      <c r="A112" s="209">
        <v>5.3</v>
      </c>
      <c r="B112" s="116" t="s">
        <v>136</v>
      </c>
      <c r="C112" s="117" t="s">
        <v>79</v>
      </c>
      <c r="D112" s="204" t="str">
        <f>IF(OR(j_WEEKDAY(J_ADDDAY(VLOOKUP(I112,A:F,6,FALSE),H112,1),0)=6,SUMIFS(Holieday[ok],Holieday[date],J_ADDDAY(VLOOKUP(I112,A:F,6,FALSE),H112,1)))=FALSE(),J_ADDDAY(VLOOKUP(I112,A:F,6,FALSE),H112,1),IF(OR(j_WEEKDAY(J_ADDDAY(VLOOKUP(I112,A:F,6,FALSE),H112+1,1),0)=6,SUMIFS(Holieday[ok],Holieday[date],J_ADDDAY(VLOOKUP(I112,A:F,6,FALSE),H112+1,1)))=FALSE(),J_ADDDAY(VLOOKUP(I112,A:F,6,FALSE),H112+1,1),IF(OR(j_WEEKDAY(J_ADDDAY(VLOOKUP(I112,A:F,6,FALSE),H112+2,1),0)=6,SUMIFS(Holieday[ok],Holieday[date],J_ADDDAY(VLOOKUP(I112,A:F,6,FALSE),H112+2,1)))=FALSE(),J_ADDDAY(VLOOKUP(I112,A:F,6,FALSE),H112+2,1),IF(OR(j_WEEKDAY(J_ADDDAY(VLOOKUP(I112,A:F,6,FALSE),H112+3,1),0)=6,SUMIFS(Holieday[ok],Holieday[date],J_ADDDAY(VLOOKUP(I112,A:F,6,FALSE),H112+3,1)))=FALSE(),J_ADDDAY(VLOOKUP(I112,A:F,6,FALSE),H112+3,1),IF(OR(j_WEEKDAY(J_ADDDAY(VLOOKUP(I112,A:F,6,FALSE),H112+4,1),0)=6,SUMIFS(Holieday[ok],Holieday[date],J_ADDDAY(VLOOKUP(I112,A:F,6,FALSE),H112+4,1)))=FALSE(),J_ADDDAY(VLOOKUP(I112,A:F,6,FALSE),H112+4,1),J_ADDDAY(VLOOKUP(I112,A:F,6,FALSE),H112+5,1))))))</f>
        <v>1398/07/11</v>
      </c>
      <c r="E112" s="193">
        <f t="shared" si="32"/>
        <v>13980711</v>
      </c>
      <c r="F112" s="204" t="str">
        <f>IF(N112=0,J_SUBDAY(D112,1,1),IF((N112-NETWORKDAYS.INTL(J_GregorianDate(D112,1),J_GregorianDate(J_SUBDAY(J_ADDDAY(D112,N112,1),1,1),1),16,1)-SUMIFS(Holieday[ok],Holieday[date],CONCATENATE("&gt;","=",D112),Holieday[date],CONCATENATE("&lt;","=",J_SUBDAY(J_ADDDAY(D112,N112,1),1,1)))+SUMIFS(Holieday[Friday],Holieday[date],CONCATENATE("&gt;","=",D112),Holieday[date],CONCATENATE("&lt;","=",J_SUBDAY(J_ADDDAY(D112,N112,1),1,1))))=0,J_SUBDAY(J_ADDDAY(D112,N112,1),1,1),IF((N112-NETWORKDAYS.INTL(J_GregorianDate(D112,1),J_GregorianDate(J_SUBDAY(J_ADDDAY(D112,N112,1),1,1),1),16,1)-SUMIFS(Holieday[ok],Holieday[date],CONCATENATE("&gt;","=",D112),Holieday[date],CONCATENATE("&lt;","=",J_SUBDAY(J_ADDDAY(D112,N112,1),1,1)))+SUMIFS(Holieday[Friday],Holieday[date],CONCATENATE("&gt;","=",D112),Holieday[date],CONCATENATE("&lt;","=",J_SUBDAY(J_ADDDAY(D112,N112,1),1,1))))=1,J_SUBDAY(J_ADDDAY(D112,N112+1,1),1,1),IF((N112-NETWORKDAYS.INTL(J_GregorianDate(D112,1),J_GregorianDate(J_SUBDAY(J_ADDDAY(D112,N112,1),1,1),1),16,1)-SUMIFS(Holieday[ok],Holieday[date],CONCATENATE("&gt;","=",D112),Holieday[date],CONCATENATE("&lt;","=",J_SUBDAY(J_ADDDAY(D112,N112,1),1,1)))+SUMIFS(Holieday[Friday],Holieday[date],CONCATENATE("&gt;","=",D112),Holieday[date],CONCATENATE("&lt;","=",J_SUBDAY(J_ADDDAY(D112,N112,1),1,1))))=2,J_SUBDAY(J_ADDDAY(D112,N112+2,1),1,1),J_SUBDAY(J_ADDDAY(D112,N112+3,1),1,1)))))</f>
        <v>1398/07/22</v>
      </c>
      <c r="G112" s="196">
        <f t="shared" si="29"/>
        <v>13980722</v>
      </c>
      <c r="H112" s="119">
        <v>1</v>
      </c>
      <c r="I112" s="120">
        <v>5.2</v>
      </c>
      <c r="J112" s="204">
        <f>j_WEEKDAY(D112,2)</f>
        <v>5</v>
      </c>
      <c r="K112" s="206">
        <f>SUM(JA112:JC112)</f>
        <v>0</v>
      </c>
      <c r="L112" s="207">
        <f t="shared" si="37"/>
        <v>12</v>
      </c>
      <c r="M112" s="121">
        <v>0</v>
      </c>
      <c r="N112" s="118">
        <v>10</v>
      </c>
      <c r="O112" s="208">
        <f t="shared" si="38"/>
        <v>0</v>
      </c>
      <c r="P112" s="208">
        <f>VALUE(J_normdate(J_ADDDAY($D112,$O112,1)))</f>
        <v>13980711</v>
      </c>
      <c r="Q112" s="204">
        <f t="shared" si="39"/>
        <v>12</v>
      </c>
      <c r="R112" s="202"/>
      <c r="S112" s="202"/>
      <c r="T112" s="202"/>
      <c r="U112" s="202"/>
      <c r="V112" s="202"/>
      <c r="W112" s="202"/>
      <c r="X112" s="202"/>
      <c r="Y112" s="202"/>
      <c r="Z112" s="202"/>
      <c r="AA112" s="202"/>
      <c r="AB112" s="202"/>
      <c r="AC112" s="202"/>
      <c r="AD112" s="202"/>
      <c r="AE112" s="202"/>
      <c r="AF112" s="202"/>
      <c r="AG112" s="202"/>
      <c r="AH112" s="202"/>
      <c r="AI112" s="202"/>
      <c r="AJ112" s="202"/>
      <c r="AK112" s="202"/>
      <c r="AL112" s="202"/>
      <c r="AM112" s="202"/>
      <c r="AN112" s="202"/>
      <c r="AO112" s="202"/>
      <c r="AP112" s="202"/>
      <c r="AQ112" s="202"/>
      <c r="AR112" s="202"/>
      <c r="AS112" s="202"/>
      <c r="AT112" s="202"/>
      <c r="AU112" s="202"/>
      <c r="AV112" s="202"/>
      <c r="AW112" s="202"/>
      <c r="AX112" s="202"/>
      <c r="AY112" s="202"/>
      <c r="AZ112" s="202"/>
      <c r="BA112" s="202"/>
      <c r="BB112" s="202"/>
      <c r="BC112" s="202"/>
      <c r="BD112" s="202"/>
      <c r="BE112" s="202"/>
      <c r="BF112" s="202"/>
      <c r="BG112" s="202"/>
      <c r="BH112" s="202"/>
      <c r="BI112" s="202"/>
      <c r="BJ112" s="202"/>
      <c r="BK112" s="202"/>
      <c r="BL112" s="202"/>
      <c r="BM112" s="202"/>
      <c r="BN112" s="202"/>
      <c r="BO112" s="202"/>
      <c r="BP112" s="202"/>
      <c r="BQ112" s="202"/>
      <c r="BR112" s="202"/>
      <c r="BS112" s="202"/>
      <c r="BT112" s="202"/>
      <c r="BU112" s="202"/>
      <c r="BV112" s="202"/>
      <c r="BW112" s="202"/>
      <c r="BX112" s="202"/>
      <c r="BY112" s="202"/>
      <c r="BZ112" s="202"/>
      <c r="CA112" s="202"/>
      <c r="CB112" s="202"/>
      <c r="CC112" s="202"/>
      <c r="CD112" s="202"/>
      <c r="CE112" s="202"/>
      <c r="CF112" s="202"/>
      <c r="CG112" s="202"/>
      <c r="CH112" s="202"/>
      <c r="CI112" s="202"/>
      <c r="CJ112" s="202"/>
      <c r="CK112" s="202"/>
      <c r="CL112" s="202"/>
      <c r="CM112" s="202"/>
      <c r="CN112" s="202"/>
      <c r="CO112" s="202"/>
      <c r="CP112" s="202"/>
      <c r="CQ112" s="202"/>
      <c r="CR112" s="202"/>
      <c r="CS112" s="202"/>
      <c r="CT112" s="202"/>
      <c r="CU112" s="202"/>
      <c r="CV112" s="202"/>
      <c r="CW112" s="202"/>
      <c r="CX112" s="202"/>
      <c r="CY112" s="202"/>
      <c r="CZ112" s="202"/>
      <c r="DA112" s="202"/>
      <c r="DB112" s="202"/>
      <c r="DC112" s="202"/>
      <c r="DD112" s="202"/>
      <c r="DE112" s="202"/>
      <c r="DF112" s="202"/>
      <c r="DG112" s="202"/>
      <c r="DH112" s="202"/>
      <c r="DI112" s="202"/>
      <c r="DJ112" s="202"/>
      <c r="DK112" s="202"/>
      <c r="DL112" s="202"/>
      <c r="DM112" s="202"/>
      <c r="DN112" s="202"/>
      <c r="DO112" s="202"/>
      <c r="DP112" s="202"/>
      <c r="DQ112" s="202"/>
      <c r="DR112" s="202"/>
      <c r="DS112" s="202"/>
      <c r="DT112" s="202"/>
      <c r="DU112" s="202"/>
      <c r="DV112" s="202"/>
      <c r="DW112" s="202"/>
      <c r="DX112" s="202"/>
      <c r="DY112" s="202"/>
      <c r="DZ112" s="202"/>
      <c r="EA112" s="202"/>
      <c r="EB112" s="202"/>
      <c r="EC112" s="202"/>
      <c r="ED112" s="202"/>
      <c r="EE112" s="202"/>
      <c r="EF112" s="202"/>
      <c r="EG112" s="202"/>
      <c r="EH112" s="202"/>
      <c r="EI112" s="202"/>
      <c r="EJ112" s="202"/>
      <c r="EK112" s="202"/>
      <c r="EL112" s="202"/>
      <c r="EM112" s="202"/>
      <c r="EN112" s="202"/>
      <c r="EO112" s="202"/>
      <c r="EP112" s="202"/>
      <c r="EQ112" s="202"/>
      <c r="ER112" s="202"/>
      <c r="ES112" s="202"/>
      <c r="ET112" s="202"/>
      <c r="EU112" s="202"/>
      <c r="EV112" s="202"/>
      <c r="EW112" s="202"/>
      <c r="EX112" s="202"/>
      <c r="EY112" s="202"/>
      <c r="EZ112" s="202"/>
      <c r="FA112" s="202"/>
      <c r="FB112" s="202"/>
      <c r="FC112" s="202"/>
      <c r="FD112" s="202"/>
      <c r="FE112" s="202"/>
      <c r="FF112" s="202"/>
      <c r="FG112" s="202"/>
      <c r="FH112" s="202"/>
      <c r="FI112" s="202"/>
      <c r="FJ112" s="202"/>
      <c r="FK112" s="202"/>
      <c r="FL112" s="202"/>
      <c r="FM112" s="202"/>
      <c r="FN112" s="202"/>
      <c r="FO112" s="202"/>
      <c r="FP112" s="202"/>
      <c r="FQ112" s="202"/>
      <c r="FR112" s="202"/>
      <c r="FS112" s="202"/>
      <c r="FT112" s="202"/>
      <c r="FU112" s="202"/>
      <c r="FV112" s="202"/>
      <c r="FW112" s="202"/>
      <c r="FX112" s="202"/>
      <c r="FY112" s="202"/>
      <c r="FZ112" s="202"/>
      <c r="GA112" s="202"/>
      <c r="GB112" s="202"/>
      <c r="GC112" s="202"/>
      <c r="GD112" s="202"/>
      <c r="GE112" s="202"/>
      <c r="GF112" s="202"/>
      <c r="GG112" s="202"/>
      <c r="GH112" s="202"/>
      <c r="GI112" s="202"/>
      <c r="GJ112" s="202"/>
      <c r="GK112" s="202"/>
      <c r="GL112" s="202"/>
      <c r="GM112" s="202"/>
      <c r="GN112" s="202"/>
      <c r="GO112" s="202"/>
      <c r="GP112" s="202"/>
      <c r="GQ112" s="202"/>
      <c r="GR112" s="202"/>
      <c r="GS112" s="202"/>
      <c r="GT112" s="202"/>
      <c r="GU112" s="202"/>
      <c r="GV112" s="202"/>
      <c r="GW112" s="202"/>
      <c r="GX112" s="202"/>
      <c r="GY112" s="202"/>
      <c r="GZ112" s="202"/>
      <c r="HA112" s="202"/>
      <c r="HB112" s="202"/>
      <c r="HC112" s="202"/>
      <c r="HD112" s="202"/>
      <c r="HE112" s="202"/>
      <c r="HF112" s="202"/>
      <c r="HG112" s="202"/>
      <c r="HH112" s="202"/>
      <c r="HI112" s="202"/>
      <c r="HJ112" s="202"/>
      <c r="HK112" s="202"/>
      <c r="HL112" s="202"/>
      <c r="HM112" s="202"/>
      <c r="HN112" s="202"/>
      <c r="HO112" s="202"/>
      <c r="HP112" s="202"/>
      <c r="HQ112" s="202"/>
      <c r="HR112" s="202"/>
      <c r="HS112" s="202"/>
      <c r="HT112" s="202"/>
      <c r="HU112" s="202"/>
      <c r="HV112" s="202"/>
      <c r="HW112" s="202"/>
      <c r="HX112" s="202"/>
      <c r="HY112" s="202"/>
      <c r="HZ112" s="202"/>
      <c r="IA112" s="202"/>
      <c r="IB112" s="202"/>
      <c r="IC112" s="202"/>
      <c r="ID112" s="202"/>
      <c r="IE112" s="202"/>
      <c r="IF112" s="202"/>
      <c r="IG112" s="202"/>
      <c r="IH112" s="202"/>
      <c r="II112" s="202"/>
      <c r="IJ112" s="202"/>
      <c r="IK112" s="202"/>
      <c r="IL112" s="202"/>
      <c r="IM112" s="202"/>
      <c r="IN112" s="202"/>
      <c r="IO112" s="202"/>
      <c r="IP112" s="202"/>
      <c r="IQ112" s="202"/>
      <c r="IR112" s="202"/>
      <c r="IS112" s="202"/>
      <c r="IT112" s="202"/>
      <c r="IU112" s="202"/>
      <c r="IV112" s="202"/>
      <c r="IW112" s="202"/>
      <c r="IX112" s="202"/>
      <c r="IY112" s="31">
        <v>3</v>
      </c>
      <c r="IZ112" s="43">
        <f>(TEXT(K112,"[m]")/60)*VLOOKUP(IY112,'Income Person-hours'!A$2:C$5,3,FALSE)</f>
        <v>0</v>
      </c>
      <c r="JA112" s="122"/>
      <c r="JB112" s="122"/>
      <c r="JC112" s="122"/>
      <c r="JD112" s="227">
        <f>SUM((TEXT(JA112,"[M]")/60)*'Income Person-hours'!$D$3,(TEXT(JB112,"[M]")/60)*'Income Person-hours'!$D$4,(TEXT(JC112,"[M]")/60)*'Income Person-hours'!$D$5)</f>
        <v>0</v>
      </c>
    </row>
    <row r="113" spans="1:264" s="12" customFormat="1" ht="15.75" x14ac:dyDescent="0.45">
      <c r="A113" s="201">
        <v>5.4</v>
      </c>
      <c r="B113" s="116" t="s">
        <v>133</v>
      </c>
      <c r="C113" s="117" t="s">
        <v>111</v>
      </c>
      <c r="D113" s="13" t="str">
        <f>IF(OR(j_WEEKDAY(J_ADDDAY(VLOOKUP(I113,A:F,6,FALSE),H113,1),0)=6,SUMIFS(Holieday[ok],Holieday[date],J_ADDDAY(VLOOKUP(I113,A:F,6,FALSE),H113,1)))=FALSE(),J_ADDDAY(VLOOKUP(I113,A:F,6,FALSE),H113,1),IF(OR(j_WEEKDAY(J_ADDDAY(VLOOKUP(I113,A:F,6,FALSE),H113+1,1),0)=6,SUMIFS(Holieday[ok],Holieday[date],J_ADDDAY(VLOOKUP(I113,A:F,6,FALSE),H113+1,1)))=FALSE(),J_ADDDAY(VLOOKUP(I113,A:F,6,FALSE),H113+1,1),IF(OR(j_WEEKDAY(J_ADDDAY(VLOOKUP(I113,A:F,6,FALSE),H113+2,1),0)=6,SUMIFS(Holieday[ok],Holieday[date],J_ADDDAY(VLOOKUP(I113,A:F,6,FALSE),H113+2,1)))=FALSE(),J_ADDDAY(VLOOKUP(I113,A:F,6,FALSE),H113+2,1),IF(OR(j_WEEKDAY(J_ADDDAY(VLOOKUP(I113,A:F,6,FALSE),H113+3,1),0)=6,SUMIFS(Holieday[ok],Holieday[date],J_ADDDAY(VLOOKUP(I113,A:F,6,FALSE),H113+3,1)))=FALSE(),J_ADDDAY(VLOOKUP(I113,A:F,6,FALSE),H113+3,1),IF(OR(j_WEEKDAY(J_ADDDAY(VLOOKUP(I113,A:F,6,FALSE),H113+4,1),0)=6,SUMIFS(Holieday[ok],Holieday[date],J_ADDDAY(VLOOKUP(I113,A:F,6,FALSE),H113+4,1)))=FALSE(),J_ADDDAY(VLOOKUP(I113,A:F,6,FALSE),H113+4,1),J_ADDDAY(VLOOKUP(I113,A:F,6,FALSE),H113+5,1))))))</f>
        <v>1398/07/23</v>
      </c>
      <c r="E113" s="2">
        <f t="shared" si="32"/>
        <v>13980723</v>
      </c>
      <c r="F113" s="13" t="str">
        <f>IF(N113=0,J_SUBDAY(D113,1,1),IF((N113-NETWORKDAYS.INTL(J_GregorianDate(D113,1),J_GregorianDate(J_SUBDAY(J_ADDDAY(D113,N113,1),1,1),1),16,1)-SUMIFS(Holieday[ok],Holieday[date],CONCATENATE("&gt;","=",D113),Holieday[date],CONCATENATE("&lt;","=",J_SUBDAY(J_ADDDAY(D113,N113,1),1,1)))+SUMIFS(Holieday[Friday],Holieday[date],CONCATENATE("&gt;","=",D113),Holieday[date],CONCATENATE("&lt;","=",J_SUBDAY(J_ADDDAY(D113,N113,1),1,1))))=0,J_SUBDAY(J_ADDDAY(D113,N113,1),1,1),IF((N113-NETWORKDAYS.INTL(J_GregorianDate(D113,1),J_GregorianDate(J_SUBDAY(J_ADDDAY(D113,N113,1),1,1),1),16,1)-SUMIFS(Holieday[ok],Holieday[date],CONCATENATE("&gt;","=",D113),Holieday[date],CONCATENATE("&lt;","=",J_SUBDAY(J_ADDDAY(D113,N113,1),1,1)))+SUMIFS(Holieday[Friday],Holieday[date],CONCATENATE("&gt;","=",D113),Holieday[date],CONCATENATE("&lt;","=",J_SUBDAY(J_ADDDAY(D113,N113,1),1,1))))=1,J_SUBDAY(J_ADDDAY(D113,N113+1,1),1,1),IF((N113-NETWORKDAYS.INTL(J_GregorianDate(D113,1),J_GregorianDate(J_SUBDAY(J_ADDDAY(D113,N113,1),1,1),1),16,1)-SUMIFS(Holieday[ok],Holieday[date],CONCATENATE("&gt;","=",D113),Holieday[date],CONCATENATE("&lt;","=",J_SUBDAY(J_ADDDAY(D113,N113,1),1,1)))+SUMIFS(Holieday[Friday],Holieday[date],CONCATENATE("&gt;","=",D113),Holieday[date],CONCATENATE("&lt;","=",J_SUBDAY(J_ADDDAY(D113,N113,1),1,1))))=2,J_SUBDAY(J_ADDDAY(D113,N113+2,1),1,1),J_SUBDAY(J_ADDDAY(D113,N113+3,1),1,1)))))</f>
        <v>1398/08/12</v>
      </c>
      <c r="G113" s="3">
        <f t="shared" si="29"/>
        <v>13980812</v>
      </c>
      <c r="H113" s="119">
        <v>1</v>
      </c>
      <c r="I113" s="120">
        <v>5.3</v>
      </c>
      <c r="J113" s="10">
        <f>j_WEEKDAY(D113,2)</f>
        <v>3</v>
      </c>
      <c r="K113" s="22">
        <f>SUM(JA113:JC113)</f>
        <v>0</v>
      </c>
      <c r="L113" s="9">
        <f t="shared" si="37"/>
        <v>20</v>
      </c>
      <c r="M113" s="121">
        <v>0</v>
      </c>
      <c r="N113" s="118">
        <v>20</v>
      </c>
      <c r="O113" s="11">
        <f t="shared" si="38"/>
        <v>0</v>
      </c>
      <c r="P113" s="11">
        <f>VALUE(J_normdate(J_ADDDAY($D113,$O113,1)))</f>
        <v>13980723</v>
      </c>
      <c r="Q113" s="10">
        <f t="shared" si="39"/>
        <v>20</v>
      </c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 s="8"/>
      <c r="BK113" s="8"/>
      <c r="BL113" s="8"/>
      <c r="BM113" s="8"/>
      <c r="BN113" s="8"/>
      <c r="BO113" s="8"/>
      <c r="BP113" s="8"/>
      <c r="BQ113" s="8"/>
      <c r="BR113" s="8"/>
      <c r="BS113" s="8"/>
      <c r="BT113" s="8"/>
      <c r="BU113" s="8"/>
      <c r="BV113" s="8"/>
      <c r="BW113" s="8"/>
      <c r="BX113" s="8"/>
      <c r="BY113" s="8"/>
      <c r="BZ113" s="8"/>
      <c r="CA113" s="8"/>
      <c r="CB113" s="8"/>
      <c r="CC113" s="8"/>
      <c r="CD113" s="8"/>
      <c r="CE113" s="8"/>
      <c r="CF113" s="8"/>
      <c r="CG113" s="8"/>
      <c r="CH113" s="8"/>
      <c r="CI113" s="8"/>
      <c r="CJ113" s="8"/>
      <c r="CK113" s="8"/>
      <c r="CL113" s="8"/>
      <c r="CM113" s="8"/>
      <c r="CN113" s="8"/>
      <c r="CO113" s="8"/>
      <c r="CP113" s="8"/>
      <c r="CQ113" s="8"/>
      <c r="CR113" s="8"/>
      <c r="CS113" s="8"/>
      <c r="CT113" s="8"/>
      <c r="CU113" s="8"/>
      <c r="CV113" s="8"/>
      <c r="CW113" s="8"/>
      <c r="CX113" s="8"/>
      <c r="CY113" s="8"/>
      <c r="CZ113" s="8"/>
      <c r="DA113" s="8"/>
      <c r="DB113" s="8"/>
      <c r="DC113" s="8"/>
      <c r="DD113" s="8"/>
      <c r="DE113" s="8"/>
      <c r="DF113" s="8"/>
      <c r="DG113" s="8"/>
      <c r="DH113" s="8"/>
      <c r="DI113" s="8"/>
      <c r="DJ113" s="8"/>
      <c r="DK113" s="8"/>
      <c r="DL113" s="8"/>
      <c r="DM113" s="8"/>
      <c r="DN113" s="8"/>
      <c r="DO113" s="8"/>
      <c r="DP113" s="8"/>
      <c r="DQ113" s="8"/>
      <c r="DR113" s="8"/>
      <c r="DS113" s="8"/>
      <c r="DT113" s="8"/>
      <c r="DU113" s="8"/>
      <c r="DV113" s="8"/>
      <c r="DW113" s="8"/>
      <c r="DX113" s="8"/>
      <c r="DY113" s="8"/>
      <c r="DZ113" s="8"/>
      <c r="EA113" s="8"/>
      <c r="EB113" s="8"/>
      <c r="EC113" s="8"/>
      <c r="ED113" s="8"/>
      <c r="EE113" s="8"/>
      <c r="EF113" s="8"/>
      <c r="EG113" s="8"/>
      <c r="EH113" s="8"/>
      <c r="EI113" s="8"/>
      <c r="EJ113" s="8"/>
      <c r="EK113" s="8"/>
      <c r="EL113" s="8"/>
      <c r="EM113" s="8"/>
      <c r="EN113" s="8"/>
      <c r="EO113" s="8"/>
      <c r="EP113" s="8"/>
      <c r="EQ113" s="8"/>
      <c r="ER113" s="8"/>
      <c r="ES113" s="8"/>
      <c r="ET113" s="8"/>
      <c r="EU113" s="8"/>
      <c r="EV113" s="8"/>
      <c r="EW113" s="8"/>
      <c r="EX113" s="8"/>
      <c r="EY113" s="8"/>
      <c r="EZ113" s="8"/>
      <c r="FA113" s="8"/>
      <c r="FB113" s="8"/>
      <c r="FC113" s="8"/>
      <c r="FD113" s="8"/>
      <c r="FE113" s="8"/>
      <c r="FF113" s="8"/>
      <c r="FG113" s="8"/>
      <c r="FH113" s="8"/>
      <c r="FI113" s="8"/>
      <c r="FJ113" s="8"/>
      <c r="FK113" s="8"/>
      <c r="FL113" s="8"/>
      <c r="FM113" s="8"/>
      <c r="FN113" s="8"/>
      <c r="FO113" s="8"/>
      <c r="FP113" s="8"/>
      <c r="FQ113" s="8"/>
      <c r="FR113" s="8"/>
      <c r="FS113" s="8"/>
      <c r="FT113" s="8"/>
      <c r="FU113" s="8"/>
      <c r="FV113" s="8"/>
      <c r="FW113" s="8"/>
      <c r="FX113" s="8"/>
      <c r="FY113" s="8"/>
      <c r="FZ113" s="8"/>
      <c r="GA113" s="8"/>
      <c r="GB113" s="8"/>
      <c r="GC113" s="8"/>
      <c r="GD113" s="8"/>
      <c r="GE113" s="8"/>
      <c r="GF113" s="8"/>
      <c r="GG113" s="8"/>
      <c r="GH113" s="8"/>
      <c r="GI113" s="8"/>
      <c r="GJ113" s="8"/>
      <c r="GK113" s="8"/>
      <c r="GL113" s="8"/>
      <c r="GM113" s="8"/>
      <c r="GN113" s="8"/>
      <c r="GO113" s="8"/>
      <c r="GP113" s="8"/>
      <c r="GQ113" s="8"/>
      <c r="GR113" s="8"/>
      <c r="GS113" s="8"/>
      <c r="GT113" s="8"/>
      <c r="GU113" s="8"/>
      <c r="GV113" s="8"/>
      <c r="GW113" s="8"/>
      <c r="GX113" s="8"/>
      <c r="GY113" s="8"/>
      <c r="GZ113" s="8"/>
      <c r="HA113" s="8"/>
      <c r="HB113" s="8"/>
      <c r="HC113" s="8"/>
      <c r="HD113" s="8"/>
      <c r="HE113" s="8"/>
      <c r="HF113" s="8"/>
      <c r="HG113" s="8"/>
      <c r="HH113" s="8"/>
      <c r="HI113" s="8"/>
      <c r="HJ113" s="8"/>
      <c r="HK113" s="8"/>
      <c r="HL113" s="8"/>
      <c r="HM113" s="8"/>
      <c r="HN113" s="8"/>
      <c r="HO113" s="8"/>
      <c r="HP113" s="8"/>
      <c r="HQ113" s="8"/>
      <c r="HR113" s="8"/>
      <c r="HS113" s="8"/>
      <c r="HT113" s="8"/>
      <c r="HU113" s="8"/>
      <c r="HV113" s="8"/>
      <c r="HW113" s="8"/>
      <c r="HX113" s="8"/>
      <c r="HY113" s="8"/>
      <c r="HZ113" s="8"/>
      <c r="IA113" s="8"/>
      <c r="IB113" s="8"/>
      <c r="IC113" s="8"/>
      <c r="ID113" s="8"/>
      <c r="IE113" s="8"/>
      <c r="IF113" s="8"/>
      <c r="IG113" s="8"/>
      <c r="IH113" s="8"/>
      <c r="II113" s="8"/>
      <c r="IJ113" s="8"/>
      <c r="IK113" s="8"/>
      <c r="IL113" s="8"/>
      <c r="IM113" s="8"/>
      <c r="IN113" s="8"/>
      <c r="IO113" s="8"/>
      <c r="IP113" s="8"/>
      <c r="IQ113" s="8"/>
      <c r="IR113" s="8"/>
      <c r="IS113" s="8"/>
      <c r="IT113" s="8"/>
      <c r="IU113" s="8"/>
      <c r="IV113" s="8"/>
      <c r="IW113" s="8"/>
      <c r="IX113" s="8"/>
      <c r="IY113" s="31">
        <v>3</v>
      </c>
      <c r="IZ113" s="43">
        <f>(TEXT(K113,"[m]")/60)*VLOOKUP(IY113,'Income Person-hours'!A$2:C$5,3,FALSE)</f>
        <v>0</v>
      </c>
      <c r="JA113" s="122"/>
      <c r="JB113" s="122"/>
      <c r="JC113" s="122"/>
      <c r="JD113" s="70">
        <f>SUM((TEXT(JA113,"[M]")/60)*'Income Person-hours'!$D$3,(TEXT(JB113,"[M]")/60)*'Income Person-hours'!$D$4,(TEXT(JC113,"[M]")/60)*'Income Person-hours'!$D$5)</f>
        <v>0</v>
      </c>
    </row>
    <row r="114" spans="1:264" s="12" customFormat="1" ht="15.75" x14ac:dyDescent="0.45">
      <c r="A114" s="201">
        <v>5.5</v>
      </c>
      <c r="B114" s="116" t="s">
        <v>137</v>
      </c>
      <c r="C114" s="117" t="s">
        <v>79</v>
      </c>
      <c r="D114" s="13" t="str">
        <f>IF(OR(j_WEEKDAY(J_ADDDAY(VLOOKUP(I114,A:F,6,FALSE),H114,1),0)=6,SUMIFS(Holieday[ok],Holieday[date],J_ADDDAY(VLOOKUP(I114,A:F,6,FALSE),H114,1)))=FALSE(),J_ADDDAY(VLOOKUP(I114,A:F,6,FALSE),H114,1),IF(OR(j_WEEKDAY(J_ADDDAY(VLOOKUP(I114,A:F,6,FALSE),H114+1,1),0)=6,SUMIFS(Holieday[ok],Holieday[date],J_ADDDAY(VLOOKUP(I114,A:F,6,FALSE),H114+1,1)))=FALSE(),J_ADDDAY(VLOOKUP(I114,A:F,6,FALSE),H114+1,1),IF(OR(j_WEEKDAY(J_ADDDAY(VLOOKUP(I114,A:F,6,FALSE),H114+2,1),0)=6,SUMIFS(Holieday[ok],Holieday[date],J_ADDDAY(VLOOKUP(I114,A:F,6,FALSE),H114+2,1)))=FALSE(),J_ADDDAY(VLOOKUP(I114,A:F,6,FALSE),H114+2,1),IF(OR(j_WEEKDAY(J_ADDDAY(VLOOKUP(I114,A:F,6,FALSE),H114+3,1),0)=6,SUMIFS(Holieday[ok],Holieday[date],J_ADDDAY(VLOOKUP(I114,A:F,6,FALSE),H114+3,1)))=FALSE(),J_ADDDAY(VLOOKUP(I114,A:F,6,FALSE),H114+3,1),IF(OR(j_WEEKDAY(J_ADDDAY(VLOOKUP(I114,A:F,6,FALSE),H114+4,1),0)=6,SUMIFS(Holieday[ok],Holieday[date],J_ADDDAY(VLOOKUP(I114,A:F,6,FALSE),H114+4,1)))=FALSE(),J_ADDDAY(VLOOKUP(I114,A:F,6,FALSE),H114+4,1),J_ADDDAY(VLOOKUP(I114,A:F,6,FALSE),H114+5,1))))))</f>
        <v>1398/08/13</v>
      </c>
      <c r="E114" s="2">
        <f t="shared" si="32"/>
        <v>13980813</v>
      </c>
      <c r="F114" s="13" t="str">
        <f>IF(N114=0,J_SUBDAY(D114,1,1),IF((N114-NETWORKDAYS.INTL(J_GregorianDate(D114,1),J_GregorianDate(J_SUBDAY(J_ADDDAY(D114,N114,1),1,1),1),16,1)-SUMIFS(Holieday[ok],Holieday[date],CONCATENATE("&gt;","=",D114),Holieday[date],CONCATENATE("&lt;","=",J_SUBDAY(J_ADDDAY(D114,N114,1),1,1)))+SUMIFS(Holieday[Friday],Holieday[date],CONCATENATE("&gt;","=",D114),Holieday[date],CONCATENATE("&lt;","=",J_SUBDAY(J_ADDDAY(D114,N114,1),1,1))))=0,J_SUBDAY(J_ADDDAY(D114,N114,1),1,1),IF((N114-NETWORKDAYS.INTL(J_GregorianDate(D114,1),J_GregorianDate(J_SUBDAY(J_ADDDAY(D114,N114,1),1,1),1),16,1)-SUMIFS(Holieday[ok],Holieday[date],CONCATENATE("&gt;","=",D114),Holieday[date],CONCATENATE("&lt;","=",J_SUBDAY(J_ADDDAY(D114,N114,1),1,1)))+SUMIFS(Holieday[Friday],Holieday[date],CONCATENATE("&gt;","=",D114),Holieday[date],CONCATENATE("&lt;","=",J_SUBDAY(J_ADDDAY(D114,N114,1),1,1))))=1,J_SUBDAY(J_ADDDAY(D114,N114+1,1),1,1),IF((N114-NETWORKDAYS.INTL(J_GregorianDate(D114,1),J_GregorianDate(J_SUBDAY(J_ADDDAY(D114,N114,1),1,1),1),16,1)-SUMIFS(Holieday[ok],Holieday[date],CONCATENATE("&gt;","=",D114),Holieday[date],CONCATENATE("&lt;","=",J_SUBDAY(J_ADDDAY(D114,N114,1),1,1)))+SUMIFS(Holieday[Friday],Holieday[date],CONCATENATE("&gt;","=",D114),Holieday[date],CONCATENATE("&lt;","=",J_SUBDAY(J_ADDDAY(D114,N114,1),1,1))))=2,J_SUBDAY(J_ADDDAY(D114,N114+2,1),1,1),J_SUBDAY(J_ADDDAY(D114,N114+3,1),1,1)))))</f>
        <v>1398/08/22</v>
      </c>
      <c r="G114" s="3">
        <f t="shared" si="29"/>
        <v>13980822</v>
      </c>
      <c r="H114" s="119">
        <v>1</v>
      </c>
      <c r="I114" s="120">
        <v>5.4</v>
      </c>
      <c r="J114" s="10">
        <f>j_WEEKDAY(D114,2)</f>
        <v>2</v>
      </c>
      <c r="K114" s="22">
        <f t="shared" ref="K114:K130" si="40">SUM(JA114:JC114)</f>
        <v>0</v>
      </c>
      <c r="L114" s="9">
        <f t="shared" si="37"/>
        <v>10</v>
      </c>
      <c r="M114" s="121">
        <v>0</v>
      </c>
      <c r="N114" s="118">
        <v>10</v>
      </c>
      <c r="O114" s="11">
        <f t="shared" si="38"/>
        <v>0</v>
      </c>
      <c r="P114" s="11">
        <f>VALUE(J_normdate(J_ADDDAY($D114,$O114,1)))</f>
        <v>13980813</v>
      </c>
      <c r="Q114" s="10">
        <f t="shared" si="39"/>
        <v>10</v>
      </c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 s="8"/>
      <c r="BK114" s="8"/>
      <c r="BL114" s="8"/>
      <c r="BM114" s="8"/>
      <c r="BN114" s="8"/>
      <c r="BO114" s="8"/>
      <c r="BP114" s="8"/>
      <c r="BQ114" s="8"/>
      <c r="BR114" s="8"/>
      <c r="BS114" s="8"/>
      <c r="BT114" s="8"/>
      <c r="BU114" s="8"/>
      <c r="BV114" s="8"/>
      <c r="BW114" s="8"/>
      <c r="BX114" s="8"/>
      <c r="BY114" s="8"/>
      <c r="BZ114" s="8"/>
      <c r="CA114" s="8"/>
      <c r="CB114" s="8"/>
      <c r="CC114" s="8"/>
      <c r="CD114" s="8"/>
      <c r="CE114" s="8"/>
      <c r="CF114" s="8"/>
      <c r="CG114" s="8"/>
      <c r="CH114" s="8"/>
      <c r="CI114" s="8"/>
      <c r="CJ114" s="8"/>
      <c r="CK114" s="8"/>
      <c r="CL114" s="8"/>
      <c r="CM114" s="8"/>
      <c r="CN114" s="8"/>
      <c r="CO114" s="8"/>
      <c r="CP114" s="8"/>
      <c r="CQ114" s="8"/>
      <c r="CR114" s="8"/>
      <c r="CS114" s="8"/>
      <c r="CT114" s="8"/>
      <c r="CU114" s="8"/>
      <c r="CV114" s="8"/>
      <c r="CW114" s="8"/>
      <c r="CX114" s="8"/>
      <c r="CY114" s="8"/>
      <c r="CZ114" s="8"/>
      <c r="DA114" s="8"/>
      <c r="DB114" s="8"/>
      <c r="DC114" s="8"/>
      <c r="DD114" s="8"/>
      <c r="DE114" s="8"/>
      <c r="DF114" s="8"/>
      <c r="DG114" s="8"/>
      <c r="DH114" s="8"/>
      <c r="DI114" s="8"/>
      <c r="DJ114" s="8"/>
      <c r="DK114" s="8"/>
      <c r="DL114" s="8"/>
      <c r="DM114" s="8"/>
      <c r="DN114" s="8"/>
      <c r="DO114" s="8"/>
      <c r="DP114" s="8"/>
      <c r="DQ114" s="8"/>
      <c r="DR114" s="8"/>
      <c r="DS114" s="8"/>
      <c r="DT114" s="8"/>
      <c r="DU114" s="8"/>
      <c r="DV114" s="8"/>
      <c r="DW114" s="8"/>
      <c r="DX114" s="8"/>
      <c r="DY114" s="8"/>
      <c r="DZ114" s="8"/>
      <c r="EA114" s="8"/>
      <c r="EB114" s="8"/>
      <c r="EC114" s="8"/>
      <c r="ED114" s="8"/>
      <c r="EE114" s="8"/>
      <c r="EF114" s="8"/>
      <c r="EG114" s="8"/>
      <c r="EH114" s="8"/>
      <c r="EI114" s="8"/>
      <c r="EJ114" s="8"/>
      <c r="EK114" s="8"/>
      <c r="EL114" s="8"/>
      <c r="EM114" s="8"/>
      <c r="EN114" s="8"/>
      <c r="EO114" s="8"/>
      <c r="EP114" s="8"/>
      <c r="EQ114" s="8"/>
      <c r="ER114" s="8"/>
      <c r="ES114" s="8"/>
      <c r="ET114" s="8"/>
      <c r="EU114" s="8"/>
      <c r="EV114" s="8"/>
      <c r="EW114" s="8"/>
      <c r="EX114" s="8"/>
      <c r="EY114" s="8"/>
      <c r="EZ114" s="8"/>
      <c r="FA114" s="8"/>
      <c r="FB114" s="8"/>
      <c r="FC114" s="8"/>
      <c r="FD114" s="8"/>
      <c r="FE114" s="8"/>
      <c r="FF114" s="8"/>
      <c r="FG114" s="8"/>
      <c r="FH114" s="8"/>
      <c r="FI114" s="8"/>
      <c r="FJ114" s="8"/>
      <c r="FK114" s="8"/>
      <c r="FL114" s="8"/>
      <c r="FM114" s="8"/>
      <c r="FN114" s="8"/>
      <c r="FO114" s="8"/>
      <c r="FP114" s="8"/>
      <c r="FQ114" s="8"/>
      <c r="FR114" s="8"/>
      <c r="FS114" s="8"/>
      <c r="FT114" s="8"/>
      <c r="FU114" s="8"/>
      <c r="FV114" s="8"/>
      <c r="FW114" s="8"/>
      <c r="FX114" s="8"/>
      <c r="FY114" s="8"/>
      <c r="FZ114" s="8"/>
      <c r="GA114" s="8"/>
      <c r="GB114" s="8"/>
      <c r="GC114" s="8"/>
      <c r="GD114" s="8"/>
      <c r="GE114" s="8"/>
      <c r="GF114" s="8"/>
      <c r="GG114" s="8"/>
      <c r="GH114" s="8"/>
      <c r="GI114" s="8"/>
      <c r="GJ114" s="8"/>
      <c r="GK114" s="8"/>
      <c r="GL114" s="8"/>
      <c r="GM114" s="8"/>
      <c r="GN114" s="8"/>
      <c r="GO114" s="8"/>
      <c r="GP114" s="8"/>
      <c r="GQ114" s="8"/>
      <c r="GR114" s="8"/>
      <c r="GS114" s="8"/>
      <c r="GT114" s="8"/>
      <c r="GU114" s="8"/>
      <c r="GV114" s="8"/>
      <c r="GW114" s="8"/>
      <c r="GX114" s="8"/>
      <c r="GY114" s="8"/>
      <c r="GZ114" s="8"/>
      <c r="HA114" s="8"/>
      <c r="HB114" s="8"/>
      <c r="HC114" s="8"/>
      <c r="HD114" s="8"/>
      <c r="HE114" s="8"/>
      <c r="HF114" s="8"/>
      <c r="HG114" s="8"/>
      <c r="HH114" s="8"/>
      <c r="HI114" s="8"/>
      <c r="HJ114" s="8"/>
      <c r="HK114" s="8"/>
      <c r="HL114" s="8"/>
      <c r="HM114" s="8"/>
      <c r="HN114" s="8"/>
      <c r="HO114" s="8"/>
      <c r="HP114" s="8"/>
      <c r="HQ114" s="8"/>
      <c r="HR114" s="8"/>
      <c r="HS114" s="8"/>
      <c r="HT114" s="8"/>
      <c r="HU114" s="8"/>
      <c r="HV114" s="8"/>
      <c r="HW114" s="8"/>
      <c r="HX114" s="8"/>
      <c r="HY114" s="8"/>
      <c r="HZ114" s="8"/>
      <c r="IA114" s="8"/>
      <c r="IB114" s="8"/>
      <c r="IC114" s="8"/>
      <c r="ID114" s="8"/>
      <c r="IE114" s="8"/>
      <c r="IF114" s="8"/>
      <c r="IG114" s="8"/>
      <c r="IH114" s="8"/>
      <c r="II114" s="8"/>
      <c r="IJ114" s="8"/>
      <c r="IK114" s="8"/>
      <c r="IL114" s="8"/>
      <c r="IM114" s="8"/>
      <c r="IN114" s="8"/>
      <c r="IO114" s="8"/>
      <c r="IP114" s="8"/>
      <c r="IQ114" s="8"/>
      <c r="IR114" s="8"/>
      <c r="IS114" s="8"/>
      <c r="IT114" s="8"/>
      <c r="IU114" s="8"/>
      <c r="IV114" s="8"/>
      <c r="IW114" s="8"/>
      <c r="IX114" s="8"/>
      <c r="JA114" s="123"/>
      <c r="JB114" s="123"/>
      <c r="JC114" s="123"/>
      <c r="JD114" s="70">
        <f>SUM((TEXT(JA114,"[M]")/60)*'Income Person-hours'!$D$3,(TEXT(JB114,"[M]")/60)*'Income Person-hours'!$D$4,(TEXT(JC114,"[M]")/60)*'Income Person-hours'!$D$5)</f>
        <v>0</v>
      </c>
    </row>
    <row r="115" spans="1:264" s="12" customFormat="1" ht="15.75" x14ac:dyDescent="0.45">
      <c r="A115" s="261">
        <v>5.6</v>
      </c>
      <c r="B115" s="116" t="s">
        <v>138</v>
      </c>
      <c r="C115" s="117" t="s">
        <v>79</v>
      </c>
      <c r="D115" s="13" t="str">
        <f>IF(OR(j_WEEKDAY(J_ADDDAY(VLOOKUP(I115,A:F,6,FALSE),H115,1),0)=6,SUMIFS(Holieday[ok],Holieday[date],J_ADDDAY(VLOOKUP(I115,A:F,6,FALSE),H115,1)))=FALSE(),J_ADDDAY(VLOOKUP(I115,A:F,6,FALSE),H115,1),IF(OR(j_WEEKDAY(J_ADDDAY(VLOOKUP(I115,A:F,6,FALSE),H115+1,1),0)=6,SUMIFS(Holieday[ok],Holieday[date],J_ADDDAY(VLOOKUP(I115,A:F,6,FALSE),H115+1,1)))=FALSE(),J_ADDDAY(VLOOKUP(I115,A:F,6,FALSE),H115+1,1),IF(OR(j_WEEKDAY(J_ADDDAY(VLOOKUP(I115,A:F,6,FALSE),H115+2,1),0)=6,SUMIFS(Holieday[ok],Holieday[date],J_ADDDAY(VLOOKUP(I115,A:F,6,FALSE),H115+2,1)))=FALSE(),J_ADDDAY(VLOOKUP(I115,A:F,6,FALSE),H115+2,1),IF(OR(j_WEEKDAY(J_ADDDAY(VLOOKUP(I115,A:F,6,FALSE),H115+3,1),0)=6,SUMIFS(Holieday[ok],Holieday[date],J_ADDDAY(VLOOKUP(I115,A:F,6,FALSE),H115+3,1)))=FALSE(),J_ADDDAY(VLOOKUP(I115,A:F,6,FALSE),H115+3,1),IF(OR(j_WEEKDAY(J_ADDDAY(VLOOKUP(I115,A:F,6,FALSE),H115+4,1),0)=6,SUMIFS(Holieday[ok],Holieday[date],J_ADDDAY(VLOOKUP(I115,A:F,6,FALSE),H115+4,1)))=FALSE(),J_ADDDAY(VLOOKUP(I115,A:F,6,FALSE),H115+4,1),J_ADDDAY(VLOOKUP(I115,A:F,6,FALSE),H115+5,1))))))</f>
        <v>1398/07/23</v>
      </c>
      <c r="E115" s="2">
        <f t="shared" si="32"/>
        <v>13980723</v>
      </c>
      <c r="F115" s="13" t="str">
        <f>IF(N115=0,J_SUBDAY(D115,1,1),IF((N115-NETWORKDAYS.INTL(J_GregorianDate(D115,1),J_GregorianDate(J_SUBDAY(J_ADDDAY(D115,N115,1),1,1),1),16,1)-SUMIFS(Holieday[ok],Holieday[date],CONCATENATE("&gt;","=",D115),Holieday[date],CONCATENATE("&lt;","=",J_SUBDAY(J_ADDDAY(D115,N115,1),1,1)))+SUMIFS(Holieday[Friday],Holieday[date],CONCATENATE("&gt;","=",D115),Holieday[date],CONCATENATE("&lt;","=",J_SUBDAY(J_ADDDAY(D115,N115,1),1,1))))=0,J_SUBDAY(J_ADDDAY(D115,N115,1),1,1),IF((N115-NETWORKDAYS.INTL(J_GregorianDate(D115,1),J_GregorianDate(J_SUBDAY(J_ADDDAY(D115,N115,1),1,1),1),16,1)-SUMIFS(Holieday[ok],Holieday[date],CONCATENATE("&gt;","=",D115),Holieday[date],CONCATENATE("&lt;","=",J_SUBDAY(J_ADDDAY(D115,N115,1),1,1)))+SUMIFS(Holieday[Friday],Holieday[date],CONCATENATE("&gt;","=",D115),Holieday[date],CONCATENATE("&lt;","=",J_SUBDAY(J_ADDDAY(D115,N115,1),1,1))))=1,J_SUBDAY(J_ADDDAY(D115,N115+1,1),1,1),IF((N115-NETWORKDAYS.INTL(J_GregorianDate(D115,1),J_GregorianDate(J_SUBDAY(J_ADDDAY(D115,N115,1),1,1),1),16,1)-SUMIFS(Holieday[ok],Holieday[date],CONCATENATE("&gt;","=",D115),Holieday[date],CONCATENATE("&lt;","=",J_SUBDAY(J_ADDDAY(D115,N115,1),1,1)))+SUMIFS(Holieday[Friday],Holieday[date],CONCATENATE("&gt;","=",D115),Holieday[date],CONCATENATE("&lt;","=",J_SUBDAY(J_ADDDAY(D115,N115,1),1,1))))=2,J_SUBDAY(J_ADDDAY(D115,N115+2,1),1,1),J_SUBDAY(J_ADDDAY(D115,N115+3,1),1,1)))))</f>
        <v>1398/09/20</v>
      </c>
      <c r="G115" s="3">
        <f t="shared" si="29"/>
        <v>13980920</v>
      </c>
      <c r="H115" s="119">
        <v>1</v>
      </c>
      <c r="I115" s="120">
        <v>5.3</v>
      </c>
      <c r="J115" s="10">
        <f>j_WEEKDAY(D115,2)</f>
        <v>3</v>
      </c>
      <c r="K115" s="22">
        <f t="shared" si="40"/>
        <v>0</v>
      </c>
      <c r="L115" s="9">
        <f t="shared" si="37"/>
        <v>58</v>
      </c>
      <c r="M115" s="121">
        <v>0</v>
      </c>
      <c r="N115" s="118">
        <v>55</v>
      </c>
      <c r="O115" s="11">
        <f t="shared" si="38"/>
        <v>0</v>
      </c>
      <c r="P115" s="11">
        <f>VALUE(J_normdate(J_ADDDAY($D115,$O115,1)))</f>
        <v>13980723</v>
      </c>
      <c r="Q115" s="10">
        <f t="shared" si="39"/>
        <v>58</v>
      </c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 s="8"/>
      <c r="BK115" s="8"/>
      <c r="BL115" s="8"/>
      <c r="BM115" s="8"/>
      <c r="BN115" s="8"/>
      <c r="BO115" s="8"/>
      <c r="BP115" s="8"/>
      <c r="BQ115" s="8"/>
      <c r="BR115" s="8"/>
      <c r="BS115" s="8"/>
      <c r="BT115" s="8"/>
      <c r="BU115" s="8"/>
      <c r="BV115" s="8"/>
      <c r="BW115" s="8"/>
      <c r="BX115" s="8"/>
      <c r="BY115" s="8"/>
      <c r="BZ115" s="8"/>
      <c r="CA115" s="8"/>
      <c r="CB115" s="8"/>
      <c r="CC115" s="8"/>
      <c r="CD115" s="8"/>
      <c r="CE115" s="8"/>
      <c r="CF115" s="8"/>
      <c r="CG115" s="8"/>
      <c r="CH115" s="8"/>
      <c r="CI115" s="8"/>
      <c r="CJ115" s="8"/>
      <c r="CK115" s="8"/>
      <c r="CL115" s="8"/>
      <c r="CM115" s="8"/>
      <c r="CN115" s="8"/>
      <c r="CO115" s="8"/>
      <c r="CP115" s="8"/>
      <c r="CQ115" s="8"/>
      <c r="CR115" s="8"/>
      <c r="CS115" s="8"/>
      <c r="CT115" s="8"/>
      <c r="CU115" s="8"/>
      <c r="CV115" s="8"/>
      <c r="CW115" s="8"/>
      <c r="CX115" s="8"/>
      <c r="CY115" s="8"/>
      <c r="CZ115" s="8"/>
      <c r="DA115" s="8"/>
      <c r="DB115" s="8"/>
      <c r="DC115" s="8"/>
      <c r="DD115" s="8"/>
      <c r="DE115" s="8"/>
      <c r="DF115" s="8"/>
      <c r="DG115" s="8"/>
      <c r="DH115" s="8"/>
      <c r="DI115" s="8"/>
      <c r="DJ115" s="8"/>
      <c r="DK115" s="8"/>
      <c r="DL115" s="8"/>
      <c r="DM115" s="8"/>
      <c r="DN115" s="8"/>
      <c r="DO115" s="8"/>
      <c r="DP115" s="8"/>
      <c r="DQ115" s="8"/>
      <c r="DR115" s="8"/>
      <c r="DS115" s="8"/>
      <c r="DT115" s="8"/>
      <c r="DU115" s="8"/>
      <c r="DV115" s="8"/>
      <c r="DW115" s="8"/>
      <c r="DX115" s="8"/>
      <c r="DY115" s="8"/>
      <c r="DZ115" s="8"/>
      <c r="EA115" s="8"/>
      <c r="EB115" s="8"/>
      <c r="EC115" s="8"/>
      <c r="ED115" s="8"/>
      <c r="EE115" s="8"/>
      <c r="EF115" s="8"/>
      <c r="EG115" s="8"/>
      <c r="EH115" s="8"/>
      <c r="EI115" s="8"/>
      <c r="EJ115" s="8"/>
      <c r="EK115" s="8"/>
      <c r="EL115" s="8"/>
      <c r="EM115" s="8"/>
      <c r="EN115" s="8"/>
      <c r="EO115" s="8"/>
      <c r="EP115" s="8"/>
      <c r="EQ115" s="8"/>
      <c r="ER115" s="8"/>
      <c r="ES115" s="8"/>
      <c r="ET115" s="8"/>
      <c r="EU115" s="8"/>
      <c r="EV115" s="8"/>
      <c r="EW115" s="8"/>
      <c r="EX115" s="8"/>
      <c r="EY115" s="8"/>
      <c r="EZ115" s="8"/>
      <c r="FA115" s="8"/>
      <c r="FB115" s="8"/>
      <c r="FC115" s="8"/>
      <c r="FD115" s="8"/>
      <c r="FE115" s="8"/>
      <c r="FF115" s="8"/>
      <c r="FG115" s="8"/>
      <c r="FH115" s="8"/>
      <c r="FI115" s="8"/>
      <c r="FJ115" s="8"/>
      <c r="FK115" s="8"/>
      <c r="FL115" s="8"/>
      <c r="FM115" s="8"/>
      <c r="FN115" s="8"/>
      <c r="FO115" s="8"/>
      <c r="FP115" s="8"/>
      <c r="FQ115" s="8"/>
      <c r="FR115" s="8"/>
      <c r="FS115" s="8"/>
      <c r="FT115" s="8"/>
      <c r="FU115" s="8"/>
      <c r="FV115" s="8"/>
      <c r="FW115" s="8"/>
      <c r="FX115" s="8"/>
      <c r="FY115" s="8"/>
      <c r="FZ115" s="8"/>
      <c r="GA115" s="8"/>
      <c r="GB115" s="8"/>
      <c r="GC115" s="8"/>
      <c r="GD115" s="8"/>
      <c r="GE115" s="8"/>
      <c r="GF115" s="8"/>
      <c r="GG115" s="8"/>
      <c r="GH115" s="8"/>
      <c r="GI115" s="8"/>
      <c r="GJ115" s="8"/>
      <c r="GK115" s="8"/>
      <c r="GL115" s="8"/>
      <c r="GM115" s="8"/>
      <c r="GN115" s="8"/>
      <c r="GO115" s="8"/>
      <c r="GP115" s="8"/>
      <c r="GQ115" s="8"/>
      <c r="GR115" s="8"/>
      <c r="GS115" s="8"/>
      <c r="GT115" s="8"/>
      <c r="GU115" s="8"/>
      <c r="GV115" s="8"/>
      <c r="GW115" s="8"/>
      <c r="GX115" s="8"/>
      <c r="GY115" s="8"/>
      <c r="GZ115" s="8"/>
      <c r="HA115" s="8"/>
      <c r="HB115" s="8"/>
      <c r="HC115" s="8"/>
      <c r="HD115" s="8"/>
      <c r="HE115" s="8"/>
      <c r="HF115" s="8"/>
      <c r="HG115" s="8"/>
      <c r="HH115" s="8"/>
      <c r="HI115" s="8"/>
      <c r="HJ115" s="8"/>
      <c r="HK115" s="8"/>
      <c r="HL115" s="8"/>
      <c r="HM115" s="8"/>
      <c r="HN115" s="8"/>
      <c r="HO115" s="8"/>
      <c r="HP115" s="8"/>
      <c r="HQ115" s="8"/>
      <c r="HR115" s="8"/>
      <c r="HS115" s="8"/>
      <c r="HT115" s="8"/>
      <c r="HU115" s="8"/>
      <c r="HV115" s="8"/>
      <c r="HW115" s="8"/>
      <c r="HX115" s="8"/>
      <c r="HY115" s="8"/>
      <c r="HZ115" s="8"/>
      <c r="IA115" s="8"/>
      <c r="IB115" s="8"/>
      <c r="IC115" s="8"/>
      <c r="ID115" s="8"/>
      <c r="IE115" s="8"/>
      <c r="IF115" s="8"/>
      <c r="IG115" s="8"/>
      <c r="IH115" s="8"/>
      <c r="II115" s="8"/>
      <c r="IJ115" s="8"/>
      <c r="IK115" s="8"/>
      <c r="IL115" s="8"/>
      <c r="IM115" s="8"/>
      <c r="IN115" s="8"/>
      <c r="IO115" s="8"/>
      <c r="IP115" s="8"/>
      <c r="IQ115" s="8"/>
      <c r="IR115" s="8"/>
      <c r="IS115" s="8"/>
      <c r="IT115" s="8"/>
      <c r="IU115" s="8"/>
      <c r="IV115" s="8"/>
      <c r="IW115" s="8"/>
      <c r="IX115" s="8"/>
      <c r="JA115" s="122"/>
      <c r="JB115" s="122"/>
      <c r="JC115" s="122"/>
      <c r="JD115" s="70">
        <f>SUM((TEXT(JA115,"[M]")/60)*'Income Person-hours'!$D$3,(TEXT(JB115,"[M]")/60)*'Income Person-hours'!$D$4,(TEXT(JC115,"[M]")/60)*'Income Person-hours'!$D$5)</f>
        <v>0</v>
      </c>
    </row>
    <row r="116" spans="1:264" s="12" customFormat="1" ht="15.75" hidden="1" x14ac:dyDescent="0.45">
      <c r="A116" s="201">
        <v>5.7</v>
      </c>
      <c r="B116" s="116"/>
      <c r="C116" s="117"/>
      <c r="D116" s="13" t="str">
        <f>IF(OR(j_WEEKDAY(J_ADDDAY(VLOOKUP(I116,A:F,6,FALSE),H116,1),0)=6,SUMIFS(Holieday[ok],Holieday[date],J_ADDDAY(VLOOKUP(I116,A:F,6,FALSE),H116,1)))=FALSE(),J_ADDDAY(VLOOKUP(I116,A:F,6,FALSE),H116,1),IF(OR(j_WEEKDAY(J_ADDDAY(VLOOKUP(I116,A:F,6,FALSE),H116+1,1),0)=6,SUMIFS(Holieday[ok],Holieday[date],J_ADDDAY(VLOOKUP(I116,A:F,6,FALSE),H116+1,1)))=FALSE(),J_ADDDAY(VLOOKUP(I116,A:F,6,FALSE),H116+1,1),IF(OR(j_WEEKDAY(J_ADDDAY(VLOOKUP(I116,A:F,6,FALSE),H116+2,1),0)=6,SUMIFS(Holieday[ok],Holieday[date],J_ADDDAY(VLOOKUP(I116,A:F,6,FALSE),H116+2,1)))=FALSE(),J_ADDDAY(VLOOKUP(I116,A:F,6,FALSE),H116+2,1),IF(OR(j_WEEKDAY(J_ADDDAY(VLOOKUP(I116,A:F,6,FALSE),H116+3,1),0)=6,SUMIFS(Holieday[ok],Holieday[date],J_ADDDAY(VLOOKUP(I116,A:F,6,FALSE),H116+3,1)))=FALSE(),J_ADDDAY(VLOOKUP(I116,A:F,6,FALSE),H116+3,1),IF(OR(j_WEEKDAY(J_ADDDAY(VLOOKUP(I116,A:F,6,FALSE),H116+4,1),0)=6,SUMIFS(Holieday[ok],Holieday[date],J_ADDDAY(VLOOKUP(I116,A:F,6,FALSE),H116+4,1)))=FALSE(),J_ADDDAY(VLOOKUP(I116,A:F,6,FALSE),H116+4,1),J_ADDDAY(VLOOKUP(I116,A:F,6,FALSE),H116+5,1))))))</f>
        <v>1398/09/12</v>
      </c>
      <c r="E116" s="2">
        <f t="shared" si="32"/>
        <v>13980912</v>
      </c>
      <c r="F116" s="13" t="str">
        <f>IF(N116=0,J_SUBDAY(D116,1,1),IF((N116-NETWORKDAYS.INTL(J_GregorianDate(D116,1),J_GregorianDate(J_SUBDAY(J_ADDDAY(D116,N116,1),1,1),1),16,1)-SUMIFS(Holieday[ok],Holieday[date],CONCATENATE("&gt;","=",D116),Holieday[date],CONCATENATE("&lt;","=",J_SUBDAY(J_ADDDAY(D116,N116,1),1,1)))+SUMIFS(Holieday[Friday],Holieday[date],CONCATENATE("&gt;","=",D116),Holieday[date],CONCATENATE("&lt;","=",J_SUBDAY(J_ADDDAY(D116,N116,1),1,1))))=0,J_SUBDAY(J_ADDDAY(D116,N116,1),1,1),IF((N116-NETWORKDAYS.INTL(J_GregorianDate(D116,1),J_GregorianDate(J_SUBDAY(J_ADDDAY(D116,N116,1),1,1),1),16,1)-SUMIFS(Holieday[ok],Holieday[date],CONCATENATE("&gt;","=",D116),Holieday[date],CONCATENATE("&lt;","=",J_SUBDAY(J_ADDDAY(D116,N116,1),1,1)))+SUMIFS(Holieday[Friday],Holieday[date],CONCATENATE("&gt;","=",D116),Holieday[date],CONCATENATE("&lt;","=",J_SUBDAY(J_ADDDAY(D116,N116,1),1,1))))=1,J_SUBDAY(J_ADDDAY(D116,N116+1,1),1,1),IF((N116-NETWORKDAYS.INTL(J_GregorianDate(D116,1),J_GregorianDate(J_SUBDAY(J_ADDDAY(D116,N116,1),1,1),1),16,1)-SUMIFS(Holieday[ok],Holieday[date],CONCATENATE("&gt;","=",D116),Holieday[date],CONCATENATE("&lt;","=",J_SUBDAY(J_ADDDAY(D116,N116,1),1,1)))+SUMIFS(Holieday[Friday],Holieday[date],CONCATENATE("&gt;","=",D116),Holieday[date],CONCATENATE("&lt;","=",J_SUBDAY(J_ADDDAY(D116,N116,1),1,1))))=2,J_SUBDAY(J_ADDDAY(D116,N116+2,1),1,1),J_SUBDAY(J_ADDDAY(D116,N116+3,1),1,1)))))</f>
        <v>1398/09/11</v>
      </c>
      <c r="G116" s="3">
        <f t="shared" si="29"/>
        <v>13980911</v>
      </c>
      <c r="H116" s="119">
        <v>-8</v>
      </c>
      <c r="I116" s="120">
        <v>5.6</v>
      </c>
      <c r="J116" s="10">
        <f>j_WEEKDAY(D116,2)</f>
        <v>3</v>
      </c>
      <c r="K116" s="22">
        <f t="shared" si="40"/>
        <v>0</v>
      </c>
      <c r="L116" s="9">
        <f t="shared" si="37"/>
        <v>0</v>
      </c>
      <c r="M116" s="121">
        <v>0</v>
      </c>
      <c r="N116" s="118">
        <v>0</v>
      </c>
      <c r="O116" s="11">
        <f t="shared" si="38"/>
        <v>0</v>
      </c>
      <c r="P116" s="11">
        <f>VALUE(J_normdate(J_ADDDAY($D116,$O116,1)))</f>
        <v>13980912</v>
      </c>
      <c r="Q116" s="10">
        <f t="shared" si="39"/>
        <v>0</v>
      </c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 s="8"/>
      <c r="BK116" s="8"/>
      <c r="BL116" s="8"/>
      <c r="BM116" s="8"/>
      <c r="BN116" s="8"/>
      <c r="BO116" s="8"/>
      <c r="BP116" s="8"/>
      <c r="BQ116" s="8"/>
      <c r="BR116" s="8"/>
      <c r="BS116" s="8"/>
      <c r="BT116" s="8"/>
      <c r="BU116" s="8"/>
      <c r="BV116" s="8"/>
      <c r="BW116" s="8"/>
      <c r="BX116" s="8"/>
      <c r="BY116" s="8"/>
      <c r="BZ116" s="8"/>
      <c r="CA116" s="8"/>
      <c r="CB116" s="8"/>
      <c r="CC116" s="8"/>
      <c r="CD116" s="8"/>
      <c r="CE116" s="8"/>
      <c r="CF116" s="8"/>
      <c r="CG116" s="8"/>
      <c r="CH116" s="8"/>
      <c r="CI116" s="8"/>
      <c r="CJ116" s="8"/>
      <c r="CK116" s="8"/>
      <c r="CL116" s="8"/>
      <c r="CM116" s="8"/>
      <c r="CN116" s="8"/>
      <c r="CO116" s="8"/>
      <c r="CP116" s="8"/>
      <c r="CQ116" s="8"/>
      <c r="CR116" s="8"/>
      <c r="CS116" s="8"/>
      <c r="CT116" s="8"/>
      <c r="CU116" s="8"/>
      <c r="CV116" s="8"/>
      <c r="CW116" s="8"/>
      <c r="CX116" s="8"/>
      <c r="CY116" s="8"/>
      <c r="CZ116" s="8"/>
      <c r="DA116" s="8"/>
      <c r="DB116" s="8"/>
      <c r="DC116" s="8"/>
      <c r="DD116" s="8"/>
      <c r="DE116" s="8"/>
      <c r="DF116" s="8"/>
      <c r="DG116" s="8"/>
      <c r="DH116" s="8"/>
      <c r="DI116" s="8"/>
      <c r="DJ116" s="8"/>
      <c r="DK116" s="8"/>
      <c r="DL116" s="8"/>
      <c r="DM116" s="8"/>
      <c r="DN116" s="8"/>
      <c r="DO116" s="8"/>
      <c r="DP116" s="8"/>
      <c r="DQ116" s="8"/>
      <c r="DR116" s="8"/>
      <c r="DS116" s="8"/>
      <c r="DT116" s="8"/>
      <c r="DU116" s="8"/>
      <c r="DV116" s="8"/>
      <c r="DW116" s="8"/>
      <c r="DX116" s="8"/>
      <c r="DY116" s="8"/>
      <c r="DZ116" s="8"/>
      <c r="EA116" s="8"/>
      <c r="EB116" s="8"/>
      <c r="EC116" s="8"/>
      <c r="ED116" s="8"/>
      <c r="EE116" s="8"/>
      <c r="EF116" s="8"/>
      <c r="EG116" s="8"/>
      <c r="EH116" s="8"/>
      <c r="EI116" s="8"/>
      <c r="EJ116" s="8"/>
      <c r="EK116" s="8"/>
      <c r="EL116" s="8"/>
      <c r="EM116" s="8"/>
      <c r="EN116" s="8"/>
      <c r="EO116" s="8"/>
      <c r="EP116" s="8"/>
      <c r="EQ116" s="8"/>
      <c r="ER116" s="8"/>
      <c r="ES116" s="8"/>
      <c r="ET116" s="8"/>
      <c r="EU116" s="8"/>
      <c r="EV116" s="8"/>
      <c r="EW116" s="8"/>
      <c r="EX116" s="8"/>
      <c r="EY116" s="8"/>
      <c r="EZ116" s="8"/>
      <c r="FA116" s="8"/>
      <c r="FB116" s="8"/>
      <c r="FC116" s="8"/>
      <c r="FD116" s="8"/>
      <c r="FE116" s="8"/>
      <c r="FF116" s="8"/>
      <c r="FG116" s="8"/>
      <c r="FH116" s="8"/>
      <c r="FI116" s="8"/>
      <c r="FJ116" s="8"/>
      <c r="FK116" s="8"/>
      <c r="FL116" s="8"/>
      <c r="FM116" s="8"/>
      <c r="FN116" s="8"/>
      <c r="FO116" s="8"/>
      <c r="FP116" s="8"/>
      <c r="FQ116" s="8"/>
      <c r="FR116" s="8"/>
      <c r="FS116" s="8"/>
      <c r="FT116" s="8"/>
      <c r="FU116" s="8"/>
      <c r="FV116" s="8"/>
      <c r="FW116" s="8"/>
      <c r="FX116" s="8"/>
      <c r="FY116" s="8"/>
      <c r="FZ116" s="8"/>
      <c r="GA116" s="8"/>
      <c r="GB116" s="8"/>
      <c r="GC116" s="8"/>
      <c r="GD116" s="8"/>
      <c r="GE116" s="8"/>
      <c r="GF116" s="8"/>
      <c r="GG116" s="8"/>
      <c r="GH116" s="8"/>
      <c r="GI116" s="8"/>
      <c r="GJ116" s="8"/>
      <c r="GK116" s="8"/>
      <c r="GL116" s="8"/>
      <c r="GM116" s="8"/>
      <c r="GN116" s="8"/>
      <c r="GO116" s="8"/>
      <c r="GP116" s="8"/>
      <c r="GQ116" s="8"/>
      <c r="GR116" s="8"/>
      <c r="GS116" s="8"/>
      <c r="GT116" s="8"/>
      <c r="GU116" s="8"/>
      <c r="GV116" s="8"/>
      <c r="GW116" s="8"/>
      <c r="GX116" s="8"/>
      <c r="GY116" s="8"/>
      <c r="GZ116" s="8"/>
      <c r="HA116" s="8"/>
      <c r="HB116" s="8"/>
      <c r="HC116" s="8"/>
      <c r="HD116" s="8"/>
      <c r="HE116" s="8"/>
      <c r="HF116" s="8"/>
      <c r="HG116" s="8"/>
      <c r="HH116" s="8"/>
      <c r="HI116" s="8"/>
      <c r="HJ116" s="8"/>
      <c r="HK116" s="8"/>
      <c r="HL116" s="8"/>
      <c r="HM116" s="8"/>
      <c r="HN116" s="8"/>
      <c r="HO116" s="8"/>
      <c r="HP116" s="8"/>
      <c r="HQ116" s="8"/>
      <c r="HR116" s="8"/>
      <c r="HS116" s="8"/>
      <c r="HT116" s="8"/>
      <c r="HU116" s="8"/>
      <c r="HV116" s="8"/>
      <c r="HW116" s="8"/>
      <c r="HX116" s="8"/>
      <c r="HY116" s="8"/>
      <c r="HZ116" s="8"/>
      <c r="IA116" s="8"/>
      <c r="IB116" s="8"/>
      <c r="IC116" s="8"/>
      <c r="ID116" s="8"/>
      <c r="IE116" s="8"/>
      <c r="IF116" s="8"/>
      <c r="IG116" s="8"/>
      <c r="IH116" s="8"/>
      <c r="II116" s="8"/>
      <c r="IJ116" s="8"/>
      <c r="IK116" s="8"/>
      <c r="IL116" s="8"/>
      <c r="IM116" s="8"/>
      <c r="IN116" s="8"/>
      <c r="IO116" s="8"/>
      <c r="IP116" s="8"/>
      <c r="IQ116" s="8"/>
      <c r="IR116" s="8"/>
      <c r="IS116" s="8"/>
      <c r="IT116" s="8"/>
      <c r="IU116" s="8"/>
      <c r="IV116" s="8"/>
      <c r="IW116" s="8"/>
      <c r="IX116" s="8"/>
      <c r="JA116" s="122"/>
      <c r="JB116" s="122"/>
      <c r="JC116" s="122"/>
      <c r="JD116" s="70">
        <f>SUM((TEXT(JA116,"[M]")/60)*'Income Person-hours'!$D$3,(TEXT(JB116,"[M]")/60)*'Income Person-hours'!$D$4,(TEXT(JC116,"[M]")/60)*'Income Person-hours'!$D$5)</f>
        <v>0</v>
      </c>
    </row>
    <row r="117" spans="1:264" s="12" customFormat="1" ht="15.75" hidden="1" x14ac:dyDescent="0.45">
      <c r="A117" s="201">
        <v>5.8</v>
      </c>
      <c r="B117" s="116"/>
      <c r="C117" s="117"/>
      <c r="D117" s="13" t="str">
        <f>IF(OR(j_WEEKDAY(J_ADDDAY(VLOOKUP(I117,A:F,6,FALSE),H117,1),0)=6,SUMIFS(Holieday[ok],Holieday[date],J_ADDDAY(VLOOKUP(I117,A:F,6,FALSE),H117,1)))=FALSE(),J_ADDDAY(VLOOKUP(I117,A:F,6,FALSE),H117,1),IF(OR(j_WEEKDAY(J_ADDDAY(VLOOKUP(I117,A:F,6,FALSE),H117+1,1),0)=6,SUMIFS(Holieday[ok],Holieday[date],J_ADDDAY(VLOOKUP(I117,A:F,6,FALSE),H117+1,1)))=FALSE(),J_ADDDAY(VLOOKUP(I117,A:F,6,FALSE),H117+1,1),IF(OR(j_WEEKDAY(J_ADDDAY(VLOOKUP(I117,A:F,6,FALSE),H117+2,1),0)=6,SUMIFS(Holieday[ok],Holieday[date],J_ADDDAY(VLOOKUP(I117,A:F,6,FALSE),H117+2,1)))=FALSE(),J_ADDDAY(VLOOKUP(I117,A:F,6,FALSE),H117+2,1),IF(OR(j_WEEKDAY(J_ADDDAY(VLOOKUP(I117,A:F,6,FALSE),H117+3,1),0)=6,SUMIFS(Holieday[ok],Holieday[date],J_ADDDAY(VLOOKUP(I117,A:F,6,FALSE),H117+3,1)))=FALSE(),J_ADDDAY(VLOOKUP(I117,A:F,6,FALSE),H117+3,1),IF(OR(j_WEEKDAY(J_ADDDAY(VLOOKUP(I117,A:F,6,FALSE),H117+4,1),0)=6,SUMIFS(Holieday[ok],Holieday[date],J_ADDDAY(VLOOKUP(I117,A:F,6,FALSE),H117+4,1)))=FALSE(),J_ADDDAY(VLOOKUP(I117,A:F,6,FALSE),H117+4,1),J_ADDDAY(VLOOKUP(I117,A:F,6,FALSE),H117+5,1))))))</f>
        <v>1398/09/11</v>
      </c>
      <c r="E117" s="2">
        <f t="shared" si="32"/>
        <v>13980911</v>
      </c>
      <c r="F117" s="13" t="str">
        <f>IF(N117=0,J_SUBDAY(D117,1,1),IF((N117-NETWORKDAYS.INTL(J_GregorianDate(D117,1),J_GregorianDate(J_SUBDAY(J_ADDDAY(D117,N117,1),1,1),1),16,1)-SUMIFS(Holieday[ok],Holieday[date],CONCATENATE("&gt;","=",D117),Holieday[date],CONCATENATE("&lt;","=",J_SUBDAY(J_ADDDAY(D117,N117,1),1,1)))+SUMIFS(Holieday[Friday],Holieday[date],CONCATENATE("&gt;","=",D117),Holieday[date],CONCATENATE("&lt;","=",J_SUBDAY(J_ADDDAY(D117,N117,1),1,1))))=0,J_SUBDAY(J_ADDDAY(D117,N117,1),1,1),IF((N117-NETWORKDAYS.INTL(J_GregorianDate(D117,1),J_GregorianDate(J_SUBDAY(J_ADDDAY(D117,N117,1),1,1),1),16,1)-SUMIFS(Holieday[ok],Holieday[date],CONCATENATE("&gt;","=",D117),Holieday[date],CONCATENATE("&lt;","=",J_SUBDAY(J_ADDDAY(D117,N117,1),1,1)))+SUMIFS(Holieday[Friday],Holieday[date],CONCATENATE("&gt;","=",D117),Holieday[date],CONCATENATE("&lt;","=",J_SUBDAY(J_ADDDAY(D117,N117,1),1,1))))=1,J_SUBDAY(J_ADDDAY(D117,N117+1,1),1,1),IF((N117-NETWORKDAYS.INTL(J_GregorianDate(D117,1),J_GregorianDate(J_SUBDAY(J_ADDDAY(D117,N117,1),1,1),1),16,1)-SUMIFS(Holieday[ok],Holieday[date],CONCATENATE("&gt;","=",D117),Holieday[date],CONCATENATE("&lt;","=",J_SUBDAY(J_ADDDAY(D117,N117,1),1,1)))+SUMIFS(Holieday[Friday],Holieday[date],CONCATENATE("&gt;","=",D117),Holieday[date],CONCATENATE("&lt;","=",J_SUBDAY(J_ADDDAY(D117,N117,1),1,1))))=2,J_SUBDAY(J_ADDDAY(D117,N117+2,1),1,1),J_SUBDAY(J_ADDDAY(D117,N117+3,1),1,1)))))</f>
        <v>1398/09/10</v>
      </c>
      <c r="G117" s="3">
        <f t="shared" si="29"/>
        <v>13980910</v>
      </c>
      <c r="H117" s="119"/>
      <c r="I117" s="120">
        <v>5.7</v>
      </c>
      <c r="J117" s="10">
        <f>j_WEEKDAY(D117,2)</f>
        <v>2</v>
      </c>
      <c r="K117" s="22">
        <f t="shared" si="40"/>
        <v>0</v>
      </c>
      <c r="L117" s="9">
        <f t="shared" si="37"/>
        <v>0</v>
      </c>
      <c r="M117" s="121">
        <v>0</v>
      </c>
      <c r="N117" s="118">
        <v>0</v>
      </c>
      <c r="O117" s="11">
        <f t="shared" si="38"/>
        <v>0</v>
      </c>
      <c r="P117" s="11">
        <f>VALUE(J_normdate(J_ADDDAY($D117,$O117,1)))</f>
        <v>13980911</v>
      </c>
      <c r="Q117" s="10">
        <f t="shared" si="39"/>
        <v>0</v>
      </c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 s="8"/>
      <c r="BK117" s="8"/>
      <c r="BL117" s="8"/>
      <c r="BM117" s="8"/>
      <c r="BN117" s="8"/>
      <c r="BO117" s="8"/>
      <c r="BP117" s="8"/>
      <c r="BQ117" s="8"/>
      <c r="BR117" s="8"/>
      <c r="BS117" s="8"/>
      <c r="BT117" s="8"/>
      <c r="BU117" s="8"/>
      <c r="BV117" s="8"/>
      <c r="BW117" s="8"/>
      <c r="BX117" s="8"/>
      <c r="BY117" s="8"/>
      <c r="BZ117" s="8"/>
      <c r="CA117" s="8"/>
      <c r="CB117" s="8"/>
      <c r="CC117" s="8"/>
      <c r="CD117" s="8"/>
      <c r="CE117" s="8"/>
      <c r="CF117" s="8"/>
      <c r="CG117" s="8"/>
      <c r="CH117" s="8"/>
      <c r="CI117" s="8"/>
      <c r="CJ117" s="8"/>
      <c r="CK117" s="8"/>
      <c r="CL117" s="8"/>
      <c r="CM117" s="8"/>
      <c r="CN117" s="8"/>
      <c r="CO117" s="8"/>
      <c r="CP117" s="8"/>
      <c r="CQ117" s="8"/>
      <c r="CR117" s="8"/>
      <c r="CS117" s="8"/>
      <c r="CT117" s="8"/>
      <c r="CU117" s="8"/>
      <c r="CV117" s="8"/>
      <c r="CW117" s="8"/>
      <c r="CX117" s="8"/>
      <c r="CY117" s="8"/>
      <c r="CZ117" s="8"/>
      <c r="DA117" s="8"/>
      <c r="DB117" s="8"/>
      <c r="DC117" s="8"/>
      <c r="DD117" s="8"/>
      <c r="DE117" s="8"/>
      <c r="DF117" s="8"/>
      <c r="DG117" s="8"/>
      <c r="DH117" s="8"/>
      <c r="DI117" s="8"/>
      <c r="DJ117" s="8"/>
      <c r="DK117" s="8"/>
      <c r="DL117" s="8"/>
      <c r="DM117" s="8"/>
      <c r="DN117" s="8"/>
      <c r="DO117" s="8"/>
      <c r="DP117" s="8"/>
      <c r="DQ117" s="8"/>
      <c r="DR117" s="8"/>
      <c r="DS117" s="8"/>
      <c r="DT117" s="8"/>
      <c r="DU117" s="8"/>
      <c r="DV117" s="8"/>
      <c r="DW117" s="8"/>
      <c r="DX117" s="8"/>
      <c r="DY117" s="8"/>
      <c r="DZ117" s="8"/>
      <c r="EA117" s="8"/>
      <c r="EB117" s="8"/>
      <c r="EC117" s="8"/>
      <c r="ED117" s="8"/>
      <c r="EE117" s="8"/>
      <c r="EF117" s="8"/>
      <c r="EG117" s="8"/>
      <c r="EH117" s="8"/>
      <c r="EI117" s="8"/>
      <c r="EJ117" s="8"/>
      <c r="EK117" s="8"/>
      <c r="EL117" s="8"/>
      <c r="EM117" s="8"/>
      <c r="EN117" s="8"/>
      <c r="EO117" s="8"/>
      <c r="EP117" s="8"/>
      <c r="EQ117" s="8"/>
      <c r="ER117" s="8"/>
      <c r="ES117" s="8"/>
      <c r="ET117" s="8"/>
      <c r="EU117" s="8"/>
      <c r="EV117" s="8"/>
      <c r="EW117" s="8"/>
      <c r="EX117" s="8"/>
      <c r="EY117" s="8"/>
      <c r="EZ117" s="8"/>
      <c r="FA117" s="8"/>
      <c r="FB117" s="8"/>
      <c r="FC117" s="8"/>
      <c r="FD117" s="8"/>
      <c r="FE117" s="8"/>
      <c r="FF117" s="8"/>
      <c r="FG117" s="8"/>
      <c r="FH117" s="8"/>
      <c r="FI117" s="8"/>
      <c r="FJ117" s="8"/>
      <c r="FK117" s="8"/>
      <c r="FL117" s="8"/>
      <c r="FM117" s="8"/>
      <c r="FN117" s="8"/>
      <c r="FO117" s="8"/>
      <c r="FP117" s="8"/>
      <c r="FQ117" s="8"/>
      <c r="FR117" s="8"/>
      <c r="FS117" s="8"/>
      <c r="FT117" s="8"/>
      <c r="FU117" s="8"/>
      <c r="FV117" s="8"/>
      <c r="FW117" s="8"/>
      <c r="FX117" s="8"/>
      <c r="FY117" s="8"/>
      <c r="FZ117" s="8"/>
      <c r="GA117" s="8"/>
      <c r="GB117" s="8"/>
      <c r="GC117" s="8"/>
      <c r="GD117" s="8"/>
      <c r="GE117" s="8"/>
      <c r="GF117" s="8"/>
      <c r="GG117" s="8"/>
      <c r="GH117" s="8"/>
      <c r="GI117" s="8"/>
      <c r="GJ117" s="8"/>
      <c r="GK117" s="8"/>
      <c r="GL117" s="8"/>
      <c r="GM117" s="8"/>
      <c r="GN117" s="8"/>
      <c r="GO117" s="8"/>
      <c r="GP117" s="8"/>
      <c r="GQ117" s="8"/>
      <c r="GR117" s="8"/>
      <c r="GS117" s="8"/>
      <c r="GT117" s="8"/>
      <c r="GU117" s="8"/>
      <c r="GV117" s="8"/>
      <c r="GW117" s="8"/>
      <c r="GX117" s="8"/>
      <c r="GY117" s="8"/>
      <c r="GZ117" s="8"/>
      <c r="HA117" s="8"/>
      <c r="HB117" s="8"/>
      <c r="HC117" s="8"/>
      <c r="HD117" s="8"/>
      <c r="HE117" s="8"/>
      <c r="HF117" s="8"/>
      <c r="HG117" s="8"/>
      <c r="HH117" s="8"/>
      <c r="HI117" s="8"/>
      <c r="HJ117" s="8"/>
      <c r="HK117" s="8"/>
      <c r="HL117" s="8"/>
      <c r="HM117" s="8"/>
      <c r="HN117" s="8"/>
      <c r="HO117" s="8"/>
      <c r="HP117" s="8"/>
      <c r="HQ117" s="8"/>
      <c r="HR117" s="8"/>
      <c r="HS117" s="8"/>
      <c r="HT117" s="8"/>
      <c r="HU117" s="8"/>
      <c r="HV117" s="8"/>
      <c r="HW117" s="8"/>
      <c r="HX117" s="8"/>
      <c r="HY117" s="8"/>
      <c r="HZ117" s="8"/>
      <c r="IA117" s="8"/>
      <c r="IB117" s="8"/>
      <c r="IC117" s="8"/>
      <c r="ID117" s="8"/>
      <c r="IE117" s="8"/>
      <c r="IF117" s="8"/>
      <c r="IG117" s="8"/>
      <c r="IH117" s="8"/>
      <c r="II117" s="8"/>
      <c r="IJ117" s="8"/>
      <c r="IK117" s="8"/>
      <c r="IL117" s="8"/>
      <c r="IM117" s="8"/>
      <c r="IN117" s="8"/>
      <c r="IO117" s="8"/>
      <c r="IP117" s="8"/>
      <c r="IQ117" s="8"/>
      <c r="IR117" s="8"/>
      <c r="IS117" s="8"/>
      <c r="IT117" s="8"/>
      <c r="IU117" s="8"/>
      <c r="IV117" s="8"/>
      <c r="IW117" s="8"/>
      <c r="IX117" s="8"/>
      <c r="JA117" s="123"/>
      <c r="JB117" s="123"/>
      <c r="JC117" s="123"/>
      <c r="JD117" s="70">
        <f>SUM((TEXT(JA117,"[M]")/60)*'Income Person-hours'!$D$3,(TEXT(JB117,"[M]")/60)*'Income Person-hours'!$D$4,(TEXT(JC117,"[M]")/60)*'Income Person-hours'!$D$5)</f>
        <v>0</v>
      </c>
    </row>
    <row r="118" spans="1:264" s="12" customFormat="1" ht="15.75" hidden="1" x14ac:dyDescent="0.45">
      <c r="A118" s="209">
        <v>5.9</v>
      </c>
      <c r="B118" s="116"/>
      <c r="C118" s="117"/>
      <c r="D118" s="13" t="str">
        <f>IF(OR(j_WEEKDAY(J_ADDDAY(VLOOKUP(I118,A:F,6,FALSE),H118,1),0)=6,SUMIFS(Holieday[ok],Holieday[date],J_ADDDAY(VLOOKUP(I118,A:F,6,FALSE),H118,1)))=FALSE(),J_ADDDAY(VLOOKUP(I118,A:F,6,FALSE),H118,1),IF(OR(j_WEEKDAY(J_ADDDAY(VLOOKUP(I118,A:F,6,FALSE),H118+1,1),0)=6,SUMIFS(Holieday[ok],Holieday[date],J_ADDDAY(VLOOKUP(I118,A:F,6,FALSE),H118+1,1)))=FALSE(),J_ADDDAY(VLOOKUP(I118,A:F,6,FALSE),H118+1,1),IF(OR(j_WEEKDAY(J_ADDDAY(VLOOKUP(I118,A:F,6,FALSE),H118+2,1),0)=6,SUMIFS(Holieday[ok],Holieday[date],J_ADDDAY(VLOOKUP(I118,A:F,6,FALSE),H118+2,1)))=FALSE(),J_ADDDAY(VLOOKUP(I118,A:F,6,FALSE),H118+2,1),IF(OR(j_WEEKDAY(J_ADDDAY(VLOOKUP(I118,A:F,6,FALSE),H118+3,1),0)=6,SUMIFS(Holieday[ok],Holieday[date],J_ADDDAY(VLOOKUP(I118,A:F,6,FALSE),H118+3,1)))=FALSE(),J_ADDDAY(VLOOKUP(I118,A:F,6,FALSE),H118+3,1),IF(OR(j_WEEKDAY(J_ADDDAY(VLOOKUP(I118,A:F,6,FALSE),H118+4,1),0)=6,SUMIFS(Holieday[ok],Holieday[date],J_ADDDAY(VLOOKUP(I118,A:F,6,FALSE),H118+4,1)))=FALSE(),J_ADDDAY(VLOOKUP(I118,A:F,6,FALSE),H118+4,1),J_ADDDAY(VLOOKUP(I118,A:F,6,FALSE),H118+5,1))))))</f>
        <v>1398/09/11</v>
      </c>
      <c r="E118" s="2">
        <f t="shared" si="32"/>
        <v>13980911</v>
      </c>
      <c r="F118" s="13" t="str">
        <f>IF(N118=0,J_SUBDAY(D118,1,1),IF((N118-NETWORKDAYS.INTL(J_GregorianDate(D118,1),J_GregorianDate(J_SUBDAY(J_ADDDAY(D118,N118,1),1,1),1),16,1)-SUMIFS(Holieday[ok],Holieday[date],CONCATENATE("&gt;","=",D118),Holieday[date],CONCATENATE("&lt;","=",J_SUBDAY(J_ADDDAY(D118,N118,1),1,1)))+SUMIFS(Holieday[Friday],Holieday[date],CONCATENATE("&gt;","=",D118),Holieday[date],CONCATENATE("&lt;","=",J_SUBDAY(J_ADDDAY(D118,N118,1),1,1))))=0,J_SUBDAY(J_ADDDAY(D118,N118,1),1,1),IF((N118-NETWORKDAYS.INTL(J_GregorianDate(D118,1),J_GregorianDate(J_SUBDAY(J_ADDDAY(D118,N118,1),1,1),1),16,1)-SUMIFS(Holieday[ok],Holieday[date],CONCATENATE("&gt;","=",D118),Holieday[date],CONCATENATE("&lt;","=",J_SUBDAY(J_ADDDAY(D118,N118,1),1,1)))+SUMIFS(Holieday[Friday],Holieday[date],CONCATENATE("&gt;","=",D118),Holieday[date],CONCATENATE("&lt;","=",J_SUBDAY(J_ADDDAY(D118,N118,1),1,1))))=1,J_SUBDAY(J_ADDDAY(D118,N118+1,1),1,1),IF((N118-NETWORKDAYS.INTL(J_GregorianDate(D118,1),J_GregorianDate(J_SUBDAY(J_ADDDAY(D118,N118,1),1,1),1),16,1)-SUMIFS(Holieday[ok],Holieday[date],CONCATENATE("&gt;","=",D118),Holieday[date],CONCATENATE("&lt;","=",J_SUBDAY(J_ADDDAY(D118,N118,1),1,1)))+SUMIFS(Holieday[Friday],Holieday[date],CONCATENATE("&gt;","=",D118),Holieday[date],CONCATENATE("&lt;","=",J_SUBDAY(J_ADDDAY(D118,N118,1),1,1))))=2,J_SUBDAY(J_ADDDAY(D118,N118+2,1),1,1),J_SUBDAY(J_ADDDAY(D118,N118+3,1),1,1)))))</f>
        <v>1398/09/10</v>
      </c>
      <c r="G118" s="3">
        <f t="shared" si="29"/>
        <v>13980910</v>
      </c>
      <c r="H118" s="119"/>
      <c r="I118" s="120">
        <v>5.7</v>
      </c>
      <c r="J118" s="10">
        <f>j_WEEKDAY(D118,2)</f>
        <v>2</v>
      </c>
      <c r="K118" s="22">
        <f t="shared" si="40"/>
        <v>0</v>
      </c>
      <c r="L118" s="9">
        <f t="shared" si="37"/>
        <v>0</v>
      </c>
      <c r="M118" s="121">
        <v>0</v>
      </c>
      <c r="N118" s="118">
        <v>0</v>
      </c>
      <c r="O118" s="11">
        <f t="shared" si="38"/>
        <v>0</v>
      </c>
      <c r="P118" s="11">
        <f>VALUE(J_normdate(J_ADDDAY($D118,$O118,1)))</f>
        <v>13980911</v>
      </c>
      <c r="Q118" s="10">
        <f t="shared" si="39"/>
        <v>0</v>
      </c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 s="8"/>
      <c r="BK118" s="8"/>
      <c r="BL118" s="8"/>
      <c r="BM118" s="8"/>
      <c r="BN118" s="8"/>
      <c r="BO118" s="8"/>
      <c r="BP118" s="8"/>
      <c r="BQ118" s="8"/>
      <c r="BR118" s="8"/>
      <c r="BS118" s="8"/>
      <c r="BT118" s="8"/>
      <c r="BU118" s="8"/>
      <c r="BV118" s="8"/>
      <c r="BW118" s="8"/>
      <c r="BX118" s="8"/>
      <c r="BY118" s="8"/>
      <c r="BZ118" s="8"/>
      <c r="CA118" s="8"/>
      <c r="CB118" s="8"/>
      <c r="CC118" s="8"/>
      <c r="CD118" s="8"/>
      <c r="CE118" s="8"/>
      <c r="CF118" s="8"/>
      <c r="CG118" s="8"/>
      <c r="CH118" s="8"/>
      <c r="CI118" s="8"/>
      <c r="CJ118" s="8"/>
      <c r="CK118" s="8"/>
      <c r="CL118" s="8"/>
      <c r="CM118" s="8"/>
      <c r="CN118" s="8"/>
      <c r="CO118" s="8"/>
      <c r="CP118" s="8"/>
      <c r="CQ118" s="8"/>
      <c r="CR118" s="8"/>
      <c r="CS118" s="8"/>
      <c r="CT118" s="8"/>
      <c r="CU118" s="8"/>
      <c r="CV118" s="8"/>
      <c r="CW118" s="8"/>
      <c r="CX118" s="8"/>
      <c r="CY118" s="8"/>
      <c r="CZ118" s="8"/>
      <c r="DA118" s="8"/>
      <c r="DB118" s="8"/>
      <c r="DC118" s="8"/>
      <c r="DD118" s="8"/>
      <c r="DE118" s="8"/>
      <c r="DF118" s="8"/>
      <c r="DG118" s="8"/>
      <c r="DH118" s="8"/>
      <c r="DI118" s="8"/>
      <c r="DJ118" s="8"/>
      <c r="DK118" s="8"/>
      <c r="DL118" s="8"/>
      <c r="DM118" s="8"/>
      <c r="DN118" s="8"/>
      <c r="DO118" s="8"/>
      <c r="DP118" s="8"/>
      <c r="DQ118" s="8"/>
      <c r="DR118" s="8"/>
      <c r="DS118" s="8"/>
      <c r="DT118" s="8"/>
      <c r="DU118" s="8"/>
      <c r="DV118" s="8"/>
      <c r="DW118" s="8"/>
      <c r="DX118" s="8"/>
      <c r="DY118" s="8"/>
      <c r="DZ118" s="8"/>
      <c r="EA118" s="8"/>
      <c r="EB118" s="8"/>
      <c r="EC118" s="8"/>
      <c r="ED118" s="8"/>
      <c r="EE118" s="8"/>
      <c r="EF118" s="8"/>
      <c r="EG118" s="8"/>
      <c r="EH118" s="8"/>
      <c r="EI118" s="8"/>
      <c r="EJ118" s="8"/>
      <c r="EK118" s="8"/>
      <c r="EL118" s="8"/>
      <c r="EM118" s="8"/>
      <c r="EN118" s="8"/>
      <c r="EO118" s="8"/>
      <c r="EP118" s="8"/>
      <c r="EQ118" s="8"/>
      <c r="ER118" s="8"/>
      <c r="ES118" s="8"/>
      <c r="ET118" s="8"/>
      <c r="EU118" s="8"/>
      <c r="EV118" s="8"/>
      <c r="EW118" s="8"/>
      <c r="EX118" s="8"/>
      <c r="EY118" s="8"/>
      <c r="EZ118" s="8"/>
      <c r="FA118" s="8"/>
      <c r="FB118" s="8"/>
      <c r="FC118" s="8"/>
      <c r="FD118" s="8"/>
      <c r="FE118" s="8"/>
      <c r="FF118" s="8"/>
      <c r="FG118" s="8"/>
      <c r="FH118" s="8"/>
      <c r="FI118" s="8"/>
      <c r="FJ118" s="8"/>
      <c r="FK118" s="8"/>
      <c r="FL118" s="8"/>
      <c r="FM118" s="8"/>
      <c r="FN118" s="8"/>
      <c r="FO118" s="8"/>
      <c r="FP118" s="8"/>
      <c r="FQ118" s="8"/>
      <c r="FR118" s="8"/>
      <c r="FS118" s="8"/>
      <c r="FT118" s="8"/>
      <c r="FU118" s="8"/>
      <c r="FV118" s="8"/>
      <c r="FW118" s="8"/>
      <c r="FX118" s="8"/>
      <c r="FY118" s="8"/>
      <c r="FZ118" s="8"/>
      <c r="GA118" s="8"/>
      <c r="GB118" s="8"/>
      <c r="GC118" s="8"/>
      <c r="GD118" s="8"/>
      <c r="GE118" s="8"/>
      <c r="GF118" s="8"/>
      <c r="GG118" s="8"/>
      <c r="GH118" s="8"/>
      <c r="GI118" s="8"/>
      <c r="GJ118" s="8"/>
      <c r="GK118" s="8"/>
      <c r="GL118" s="8"/>
      <c r="GM118" s="8"/>
      <c r="GN118" s="8"/>
      <c r="GO118" s="8"/>
      <c r="GP118" s="8"/>
      <c r="GQ118" s="8"/>
      <c r="GR118" s="8"/>
      <c r="GS118" s="8"/>
      <c r="GT118" s="8"/>
      <c r="GU118" s="8"/>
      <c r="GV118" s="8"/>
      <c r="GW118" s="8"/>
      <c r="GX118" s="8"/>
      <c r="GY118" s="8"/>
      <c r="GZ118" s="8"/>
      <c r="HA118" s="8"/>
      <c r="HB118" s="8"/>
      <c r="HC118" s="8"/>
      <c r="HD118" s="8"/>
      <c r="HE118" s="8"/>
      <c r="HF118" s="8"/>
      <c r="HG118" s="8"/>
      <c r="HH118" s="8"/>
      <c r="HI118" s="8"/>
      <c r="HJ118" s="8"/>
      <c r="HK118" s="8"/>
      <c r="HL118" s="8"/>
      <c r="HM118" s="8"/>
      <c r="HN118" s="8"/>
      <c r="HO118" s="8"/>
      <c r="HP118" s="8"/>
      <c r="HQ118" s="8"/>
      <c r="HR118" s="8"/>
      <c r="HS118" s="8"/>
      <c r="HT118" s="8"/>
      <c r="HU118" s="8"/>
      <c r="HV118" s="8"/>
      <c r="HW118" s="8"/>
      <c r="HX118" s="8"/>
      <c r="HY118" s="8"/>
      <c r="HZ118" s="8"/>
      <c r="IA118" s="8"/>
      <c r="IB118" s="8"/>
      <c r="IC118" s="8"/>
      <c r="ID118" s="8"/>
      <c r="IE118" s="8"/>
      <c r="IF118" s="8"/>
      <c r="IG118" s="8"/>
      <c r="IH118" s="8"/>
      <c r="II118" s="8"/>
      <c r="IJ118" s="8"/>
      <c r="IK118" s="8"/>
      <c r="IL118" s="8"/>
      <c r="IM118" s="8"/>
      <c r="IN118" s="8"/>
      <c r="IO118" s="8"/>
      <c r="IP118" s="8"/>
      <c r="IQ118" s="8"/>
      <c r="IR118" s="8"/>
      <c r="IS118" s="8"/>
      <c r="IT118" s="8"/>
      <c r="IU118" s="8"/>
      <c r="IV118" s="8"/>
      <c r="IW118" s="8"/>
      <c r="IX118" s="8"/>
      <c r="JA118" s="123"/>
      <c r="JB118" s="123"/>
      <c r="JC118" s="123"/>
      <c r="JD118" s="70">
        <f>SUM((TEXT(JA118,"[M]")/60)*'Income Person-hours'!$D$3,(TEXT(JB118,"[M]")/60)*'Income Person-hours'!$D$4,(TEXT(JC118,"[M]")/60)*'Income Person-hours'!$D$5)</f>
        <v>0</v>
      </c>
    </row>
    <row r="119" spans="1:264" s="12" customFormat="1" ht="15.75" hidden="1" x14ac:dyDescent="0.45">
      <c r="A119" s="32">
        <v>5.1100000000000003</v>
      </c>
      <c r="B119" s="116"/>
      <c r="C119" s="117"/>
      <c r="D119" s="13" t="str">
        <f>IF(OR(j_WEEKDAY(J_ADDDAY(VLOOKUP(I119,A:F,6,FALSE),H119,1),0)=6,SUMIFS(Holieday[ok],Holieday[date],J_ADDDAY(VLOOKUP(I119,A:F,6,FALSE),H119,1)))=FALSE(),J_ADDDAY(VLOOKUP(I119,A:F,6,FALSE),H119,1),IF(OR(j_WEEKDAY(J_ADDDAY(VLOOKUP(I119,A:F,6,FALSE),H119+1,1),0)=6,SUMIFS(Holieday[ok],Holieday[date],J_ADDDAY(VLOOKUP(I119,A:F,6,FALSE),H119+1,1)))=FALSE(),J_ADDDAY(VLOOKUP(I119,A:F,6,FALSE),H119+1,1),IF(OR(j_WEEKDAY(J_ADDDAY(VLOOKUP(I119,A:F,6,FALSE),H119+2,1),0)=6,SUMIFS(Holieday[ok],Holieday[date],J_ADDDAY(VLOOKUP(I119,A:F,6,FALSE),H119+2,1)))=FALSE(),J_ADDDAY(VLOOKUP(I119,A:F,6,FALSE),H119+2,1),IF(OR(j_WEEKDAY(J_ADDDAY(VLOOKUP(I119,A:F,6,FALSE),H119+3,1),0)=6,SUMIFS(Holieday[ok],Holieday[date],J_ADDDAY(VLOOKUP(I119,A:F,6,FALSE),H119+3,1)))=FALSE(),J_ADDDAY(VLOOKUP(I119,A:F,6,FALSE),H119+3,1),IF(OR(j_WEEKDAY(J_ADDDAY(VLOOKUP(I119,A:F,6,FALSE),H119+4,1),0)=6,SUMIFS(Holieday[ok],Holieday[date],J_ADDDAY(VLOOKUP(I119,A:F,6,FALSE),H119+4,1)))=FALSE(),J_ADDDAY(VLOOKUP(I119,A:F,6,FALSE),H119+4,1),J_ADDDAY(VLOOKUP(I119,A:F,6,FALSE),H119+5,1))))))</f>
        <v>1398/09/11</v>
      </c>
      <c r="E119" s="2">
        <f t="shared" ref="E119:E150" si="41">VALUE(J_normdate(D119))</f>
        <v>13980911</v>
      </c>
      <c r="F119" s="13" t="str">
        <f>IF(N119=0,J_SUBDAY(D119,1,1),IF((N119-NETWORKDAYS.INTL(J_GregorianDate(D119,1),J_GregorianDate(J_SUBDAY(J_ADDDAY(D119,N119,1),1,1),1),16,1)-SUMIFS(Holieday[ok],Holieday[date],CONCATENATE("&gt;","=",D119),Holieday[date],CONCATENATE("&lt;","=",J_SUBDAY(J_ADDDAY(D119,N119,1),1,1)))+SUMIFS(Holieday[Friday],Holieday[date],CONCATENATE("&gt;","=",D119),Holieday[date],CONCATENATE("&lt;","=",J_SUBDAY(J_ADDDAY(D119,N119,1),1,1))))=0,J_SUBDAY(J_ADDDAY(D119,N119,1),1,1),IF((N119-NETWORKDAYS.INTL(J_GregorianDate(D119,1),J_GregorianDate(J_SUBDAY(J_ADDDAY(D119,N119,1),1,1),1),16,1)-SUMIFS(Holieday[ok],Holieday[date],CONCATENATE("&gt;","=",D119),Holieday[date],CONCATENATE("&lt;","=",J_SUBDAY(J_ADDDAY(D119,N119,1),1,1)))+SUMIFS(Holieday[Friday],Holieday[date],CONCATENATE("&gt;","=",D119),Holieday[date],CONCATENATE("&lt;","=",J_SUBDAY(J_ADDDAY(D119,N119,1),1,1))))=1,J_SUBDAY(J_ADDDAY(D119,N119+1,1),1,1),IF((N119-NETWORKDAYS.INTL(J_GregorianDate(D119,1),J_GregorianDate(J_SUBDAY(J_ADDDAY(D119,N119,1),1,1),1),16,1)-SUMIFS(Holieday[ok],Holieday[date],CONCATENATE("&gt;","=",D119),Holieday[date],CONCATENATE("&lt;","=",J_SUBDAY(J_ADDDAY(D119,N119,1),1,1)))+SUMIFS(Holieday[Friday],Holieday[date],CONCATENATE("&gt;","=",D119),Holieday[date],CONCATENATE("&lt;","=",J_SUBDAY(J_ADDDAY(D119,N119,1),1,1))))=2,J_SUBDAY(J_ADDDAY(D119,N119+2,1),1,1),J_SUBDAY(J_ADDDAY(D119,N119+3,1),1,1)))))</f>
        <v>1398/09/10</v>
      </c>
      <c r="G119" s="3">
        <f t="shared" ref="G119:G150" si="42">VALUE(J_normdate(F119))</f>
        <v>13980910</v>
      </c>
      <c r="H119" s="119"/>
      <c r="I119" s="120">
        <v>5.7</v>
      </c>
      <c r="J119" s="10">
        <f>j_WEEKDAY(D119,2)</f>
        <v>2</v>
      </c>
      <c r="K119" s="22">
        <f t="shared" si="40"/>
        <v>0</v>
      </c>
      <c r="L119" s="9">
        <f t="shared" si="37"/>
        <v>0</v>
      </c>
      <c r="M119" s="121">
        <v>0</v>
      </c>
      <c r="N119" s="118">
        <v>0</v>
      </c>
      <c r="O119" s="11">
        <f t="shared" si="38"/>
        <v>0</v>
      </c>
      <c r="P119" s="11">
        <f>VALUE(J_normdate(J_ADDDAY($D119,$O119,1)))</f>
        <v>13980911</v>
      </c>
      <c r="Q119" s="10">
        <f t="shared" si="39"/>
        <v>0</v>
      </c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 s="8"/>
      <c r="BK119" s="8"/>
      <c r="BL119" s="8"/>
      <c r="BM119" s="8"/>
      <c r="BN119" s="8"/>
      <c r="BO119" s="8"/>
      <c r="BP119" s="8"/>
      <c r="BQ119" s="8"/>
      <c r="BR119" s="8"/>
      <c r="BS119" s="8"/>
      <c r="BT119" s="8"/>
      <c r="BU119" s="8"/>
      <c r="BV119" s="8"/>
      <c r="BW119" s="8"/>
      <c r="BX119" s="8"/>
      <c r="BY119" s="8"/>
      <c r="BZ119" s="8"/>
      <c r="CA119" s="8"/>
      <c r="CB119" s="8"/>
      <c r="CC119" s="8"/>
      <c r="CD119" s="8"/>
      <c r="CE119" s="8"/>
      <c r="CF119" s="8"/>
      <c r="CG119" s="8"/>
      <c r="CH119" s="8"/>
      <c r="CI119" s="8"/>
      <c r="CJ119" s="8"/>
      <c r="CK119" s="8"/>
      <c r="CL119" s="8"/>
      <c r="CM119" s="8"/>
      <c r="CN119" s="8"/>
      <c r="CO119" s="8"/>
      <c r="CP119" s="8"/>
      <c r="CQ119" s="8"/>
      <c r="CR119" s="8"/>
      <c r="CS119" s="8"/>
      <c r="CT119" s="8"/>
      <c r="CU119" s="8"/>
      <c r="CV119" s="8"/>
      <c r="CW119" s="8"/>
      <c r="CX119" s="8"/>
      <c r="CY119" s="8"/>
      <c r="CZ119" s="8"/>
      <c r="DA119" s="8"/>
      <c r="DB119" s="8"/>
      <c r="DC119" s="8"/>
      <c r="DD119" s="8"/>
      <c r="DE119" s="8"/>
      <c r="DF119" s="8"/>
      <c r="DG119" s="8"/>
      <c r="DH119" s="8"/>
      <c r="DI119" s="8"/>
      <c r="DJ119" s="8"/>
      <c r="DK119" s="8"/>
      <c r="DL119" s="8"/>
      <c r="DM119" s="8"/>
      <c r="DN119" s="8"/>
      <c r="DO119" s="8"/>
      <c r="DP119" s="8"/>
      <c r="DQ119" s="8"/>
      <c r="DR119" s="8"/>
      <c r="DS119" s="8"/>
      <c r="DT119" s="8"/>
      <c r="DU119" s="8"/>
      <c r="DV119" s="8"/>
      <c r="DW119" s="8"/>
      <c r="DX119" s="8"/>
      <c r="DY119" s="8"/>
      <c r="DZ119" s="8"/>
      <c r="EA119" s="8"/>
      <c r="EB119" s="8"/>
      <c r="EC119" s="8"/>
      <c r="ED119" s="8"/>
      <c r="EE119" s="8"/>
      <c r="EF119" s="8"/>
      <c r="EG119" s="8"/>
      <c r="EH119" s="8"/>
      <c r="EI119" s="8"/>
      <c r="EJ119" s="8"/>
      <c r="EK119" s="8"/>
      <c r="EL119" s="8"/>
      <c r="EM119" s="8"/>
      <c r="EN119" s="8"/>
      <c r="EO119" s="8"/>
      <c r="EP119" s="8"/>
      <c r="EQ119" s="8"/>
      <c r="ER119" s="8"/>
      <c r="ES119" s="8"/>
      <c r="ET119" s="8"/>
      <c r="EU119" s="8"/>
      <c r="EV119" s="8"/>
      <c r="EW119" s="8"/>
      <c r="EX119" s="8"/>
      <c r="EY119" s="8"/>
      <c r="EZ119" s="8"/>
      <c r="FA119" s="8"/>
      <c r="FB119" s="8"/>
      <c r="FC119" s="8"/>
      <c r="FD119" s="8"/>
      <c r="FE119" s="8"/>
      <c r="FF119" s="8"/>
      <c r="FG119" s="8"/>
      <c r="FH119" s="8"/>
      <c r="FI119" s="8"/>
      <c r="FJ119" s="8"/>
      <c r="FK119" s="8"/>
      <c r="FL119" s="8"/>
      <c r="FM119" s="8"/>
      <c r="FN119" s="8"/>
      <c r="FO119" s="8"/>
      <c r="FP119" s="8"/>
      <c r="FQ119" s="8"/>
      <c r="FR119" s="8"/>
      <c r="FS119" s="8"/>
      <c r="FT119" s="8"/>
      <c r="FU119" s="8"/>
      <c r="FV119" s="8"/>
      <c r="FW119" s="8"/>
      <c r="FX119" s="8"/>
      <c r="FY119" s="8"/>
      <c r="FZ119" s="8"/>
      <c r="GA119" s="8"/>
      <c r="GB119" s="8"/>
      <c r="GC119" s="8"/>
      <c r="GD119" s="8"/>
      <c r="GE119" s="8"/>
      <c r="GF119" s="8"/>
      <c r="GG119" s="8"/>
      <c r="GH119" s="8"/>
      <c r="GI119" s="8"/>
      <c r="GJ119" s="8"/>
      <c r="GK119" s="8"/>
      <c r="GL119" s="8"/>
      <c r="GM119" s="8"/>
      <c r="GN119" s="8"/>
      <c r="GO119" s="8"/>
      <c r="GP119" s="8"/>
      <c r="GQ119" s="8"/>
      <c r="GR119" s="8"/>
      <c r="GS119" s="8"/>
      <c r="GT119" s="8"/>
      <c r="GU119" s="8"/>
      <c r="GV119" s="8"/>
      <c r="GW119" s="8"/>
      <c r="GX119" s="8"/>
      <c r="GY119" s="8"/>
      <c r="GZ119" s="8"/>
      <c r="HA119" s="8"/>
      <c r="HB119" s="8"/>
      <c r="HC119" s="8"/>
      <c r="HD119" s="8"/>
      <c r="HE119" s="8"/>
      <c r="HF119" s="8"/>
      <c r="HG119" s="8"/>
      <c r="HH119" s="8"/>
      <c r="HI119" s="8"/>
      <c r="HJ119" s="8"/>
      <c r="HK119" s="8"/>
      <c r="HL119" s="8"/>
      <c r="HM119" s="8"/>
      <c r="HN119" s="8"/>
      <c r="HO119" s="8"/>
      <c r="HP119" s="8"/>
      <c r="HQ119" s="8"/>
      <c r="HR119" s="8"/>
      <c r="HS119" s="8"/>
      <c r="HT119" s="8"/>
      <c r="HU119" s="8"/>
      <c r="HV119" s="8"/>
      <c r="HW119" s="8"/>
      <c r="HX119" s="8"/>
      <c r="HY119" s="8"/>
      <c r="HZ119" s="8"/>
      <c r="IA119" s="8"/>
      <c r="IB119" s="8"/>
      <c r="IC119" s="8"/>
      <c r="ID119" s="8"/>
      <c r="IE119" s="8"/>
      <c r="IF119" s="8"/>
      <c r="IG119" s="8"/>
      <c r="IH119" s="8"/>
      <c r="II119" s="8"/>
      <c r="IJ119" s="8"/>
      <c r="IK119" s="8"/>
      <c r="IL119" s="8"/>
      <c r="IM119" s="8"/>
      <c r="IN119" s="8"/>
      <c r="IO119" s="8"/>
      <c r="IP119" s="8"/>
      <c r="IQ119" s="8"/>
      <c r="IR119" s="8"/>
      <c r="IS119" s="8"/>
      <c r="IT119" s="8"/>
      <c r="IU119" s="8"/>
      <c r="IV119" s="8"/>
      <c r="IW119" s="8"/>
      <c r="IX119" s="8"/>
      <c r="JA119" s="123"/>
      <c r="JB119" s="123"/>
      <c r="JC119" s="123"/>
      <c r="JD119" s="70">
        <f>SUM((TEXT(JA119,"[M]")/60)*'Income Person-hours'!$D$3,(TEXT(JB119,"[M]")/60)*'Income Person-hours'!$D$4,(TEXT(JC119,"[M]")/60)*'Income Person-hours'!$D$5)</f>
        <v>0</v>
      </c>
    </row>
    <row r="120" spans="1:264" s="12" customFormat="1" ht="15.75" hidden="1" x14ac:dyDescent="0.45">
      <c r="A120" s="32">
        <v>5.12</v>
      </c>
      <c r="B120" s="116"/>
      <c r="C120" s="117"/>
      <c r="D120" s="13" t="str">
        <f>IF(OR(j_WEEKDAY(J_ADDDAY(VLOOKUP(I120,A:F,6,FALSE),H120,1),0)=6,SUMIFS(Holieday[ok],Holieday[date],J_ADDDAY(VLOOKUP(I120,A:F,6,FALSE),H120,1)))=FALSE(),J_ADDDAY(VLOOKUP(I120,A:F,6,FALSE),H120,1),IF(OR(j_WEEKDAY(J_ADDDAY(VLOOKUP(I120,A:F,6,FALSE),H120+1,1),0)=6,SUMIFS(Holieday[ok],Holieday[date],J_ADDDAY(VLOOKUP(I120,A:F,6,FALSE),H120+1,1)))=FALSE(),J_ADDDAY(VLOOKUP(I120,A:F,6,FALSE),H120+1,1),IF(OR(j_WEEKDAY(J_ADDDAY(VLOOKUP(I120,A:F,6,FALSE),H120+2,1),0)=6,SUMIFS(Holieday[ok],Holieday[date],J_ADDDAY(VLOOKUP(I120,A:F,6,FALSE),H120+2,1)))=FALSE(),J_ADDDAY(VLOOKUP(I120,A:F,6,FALSE),H120+2,1),IF(OR(j_WEEKDAY(J_ADDDAY(VLOOKUP(I120,A:F,6,FALSE),H120+3,1),0)=6,SUMIFS(Holieday[ok],Holieday[date],J_ADDDAY(VLOOKUP(I120,A:F,6,FALSE),H120+3,1)))=FALSE(),J_ADDDAY(VLOOKUP(I120,A:F,6,FALSE),H120+3,1),IF(OR(j_WEEKDAY(J_ADDDAY(VLOOKUP(I120,A:F,6,FALSE),H120+4,1),0)=6,SUMIFS(Holieday[ok],Holieday[date],J_ADDDAY(VLOOKUP(I120,A:F,6,FALSE),H120+4,1)))=FALSE(),J_ADDDAY(VLOOKUP(I120,A:F,6,FALSE),H120+4,1),J_ADDDAY(VLOOKUP(I120,A:F,6,FALSE),H120+5,1))))))</f>
        <v>1398/09/11</v>
      </c>
      <c r="E120" s="2">
        <f t="shared" si="41"/>
        <v>13980911</v>
      </c>
      <c r="F120" s="13" t="str">
        <f>IF(N120=0,J_SUBDAY(D120,1,1),IF((N120-NETWORKDAYS.INTL(J_GregorianDate(D120,1),J_GregorianDate(J_SUBDAY(J_ADDDAY(D120,N120,1),1,1),1),16,1)-SUMIFS(Holieday[ok],Holieday[date],CONCATENATE("&gt;","=",D120),Holieday[date],CONCATENATE("&lt;","=",J_SUBDAY(J_ADDDAY(D120,N120,1),1,1)))+SUMIFS(Holieday[Friday],Holieday[date],CONCATENATE("&gt;","=",D120),Holieday[date],CONCATENATE("&lt;","=",J_SUBDAY(J_ADDDAY(D120,N120,1),1,1))))=0,J_SUBDAY(J_ADDDAY(D120,N120,1),1,1),IF((N120-NETWORKDAYS.INTL(J_GregorianDate(D120,1),J_GregorianDate(J_SUBDAY(J_ADDDAY(D120,N120,1),1,1),1),16,1)-SUMIFS(Holieday[ok],Holieday[date],CONCATENATE("&gt;","=",D120),Holieday[date],CONCATENATE("&lt;","=",J_SUBDAY(J_ADDDAY(D120,N120,1),1,1)))+SUMIFS(Holieday[Friday],Holieday[date],CONCATENATE("&gt;","=",D120),Holieday[date],CONCATENATE("&lt;","=",J_SUBDAY(J_ADDDAY(D120,N120,1),1,1))))=1,J_SUBDAY(J_ADDDAY(D120,N120+1,1),1,1),IF((N120-NETWORKDAYS.INTL(J_GregorianDate(D120,1),J_GregorianDate(J_SUBDAY(J_ADDDAY(D120,N120,1),1,1),1),16,1)-SUMIFS(Holieday[ok],Holieday[date],CONCATENATE("&gt;","=",D120),Holieday[date],CONCATENATE("&lt;","=",J_SUBDAY(J_ADDDAY(D120,N120,1),1,1)))+SUMIFS(Holieday[Friday],Holieday[date],CONCATENATE("&gt;","=",D120),Holieday[date],CONCATENATE("&lt;","=",J_SUBDAY(J_ADDDAY(D120,N120,1),1,1))))=2,J_SUBDAY(J_ADDDAY(D120,N120+2,1),1,1),J_SUBDAY(J_ADDDAY(D120,N120+3,1),1,1)))))</f>
        <v>1398/09/10</v>
      </c>
      <c r="G120" s="3">
        <f t="shared" si="42"/>
        <v>13980910</v>
      </c>
      <c r="H120" s="119"/>
      <c r="I120" s="120">
        <v>5.7</v>
      </c>
      <c r="J120" s="10">
        <f>j_WEEKDAY(D120,2)</f>
        <v>2</v>
      </c>
      <c r="K120" s="22">
        <f t="shared" si="40"/>
        <v>0</v>
      </c>
      <c r="L120" s="9">
        <f t="shared" si="37"/>
        <v>0</v>
      </c>
      <c r="M120" s="121">
        <v>0</v>
      </c>
      <c r="N120" s="118">
        <v>0</v>
      </c>
      <c r="O120" s="11">
        <f t="shared" si="38"/>
        <v>0</v>
      </c>
      <c r="P120" s="11">
        <f>VALUE(J_normdate(J_ADDDAY($D120,$O120,1)))</f>
        <v>13980911</v>
      </c>
      <c r="Q120" s="10">
        <f t="shared" si="39"/>
        <v>0</v>
      </c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 s="8"/>
      <c r="BK120" s="8"/>
      <c r="BL120" s="8"/>
      <c r="BM120" s="8"/>
      <c r="BN120" s="8"/>
      <c r="BO120" s="8"/>
      <c r="BP120" s="8"/>
      <c r="BQ120" s="8"/>
      <c r="BR120" s="8"/>
      <c r="BS120" s="8"/>
      <c r="BT120" s="8"/>
      <c r="BU120" s="8"/>
      <c r="BV120" s="8"/>
      <c r="BW120" s="8"/>
      <c r="BX120" s="8"/>
      <c r="BY120" s="8"/>
      <c r="BZ120" s="8"/>
      <c r="CA120" s="8"/>
      <c r="CB120" s="8"/>
      <c r="CC120" s="8"/>
      <c r="CD120" s="8"/>
      <c r="CE120" s="8"/>
      <c r="CF120" s="8"/>
      <c r="CG120" s="8"/>
      <c r="CH120" s="8"/>
      <c r="CI120" s="8"/>
      <c r="CJ120" s="8"/>
      <c r="CK120" s="8"/>
      <c r="CL120" s="8"/>
      <c r="CM120" s="8"/>
      <c r="CN120" s="8"/>
      <c r="CO120" s="8"/>
      <c r="CP120" s="8"/>
      <c r="CQ120" s="8"/>
      <c r="CR120" s="8"/>
      <c r="CS120" s="8"/>
      <c r="CT120" s="8"/>
      <c r="CU120" s="8"/>
      <c r="CV120" s="8"/>
      <c r="CW120" s="8"/>
      <c r="CX120" s="8"/>
      <c r="CY120" s="8"/>
      <c r="CZ120" s="8"/>
      <c r="DA120" s="8"/>
      <c r="DB120" s="8"/>
      <c r="DC120" s="8"/>
      <c r="DD120" s="8"/>
      <c r="DE120" s="8"/>
      <c r="DF120" s="8"/>
      <c r="DG120" s="8"/>
      <c r="DH120" s="8"/>
      <c r="DI120" s="8"/>
      <c r="DJ120" s="8"/>
      <c r="DK120" s="8"/>
      <c r="DL120" s="8"/>
      <c r="DM120" s="8"/>
      <c r="DN120" s="8"/>
      <c r="DO120" s="8"/>
      <c r="DP120" s="8"/>
      <c r="DQ120" s="8"/>
      <c r="DR120" s="8"/>
      <c r="DS120" s="8"/>
      <c r="DT120" s="8"/>
      <c r="DU120" s="8"/>
      <c r="DV120" s="8"/>
      <c r="DW120" s="8"/>
      <c r="DX120" s="8"/>
      <c r="DY120" s="8"/>
      <c r="DZ120" s="8"/>
      <c r="EA120" s="8"/>
      <c r="EB120" s="8"/>
      <c r="EC120" s="8"/>
      <c r="ED120" s="8"/>
      <c r="EE120" s="8"/>
      <c r="EF120" s="8"/>
      <c r="EG120" s="8"/>
      <c r="EH120" s="8"/>
      <c r="EI120" s="8"/>
      <c r="EJ120" s="8"/>
      <c r="EK120" s="8"/>
      <c r="EL120" s="8"/>
      <c r="EM120" s="8"/>
      <c r="EN120" s="8"/>
      <c r="EO120" s="8"/>
      <c r="EP120" s="8"/>
      <c r="EQ120" s="8"/>
      <c r="ER120" s="8"/>
      <c r="ES120" s="8"/>
      <c r="ET120" s="8"/>
      <c r="EU120" s="8"/>
      <c r="EV120" s="8"/>
      <c r="EW120" s="8"/>
      <c r="EX120" s="8"/>
      <c r="EY120" s="8"/>
      <c r="EZ120" s="8"/>
      <c r="FA120" s="8"/>
      <c r="FB120" s="8"/>
      <c r="FC120" s="8"/>
      <c r="FD120" s="8"/>
      <c r="FE120" s="8"/>
      <c r="FF120" s="8"/>
      <c r="FG120" s="8"/>
      <c r="FH120" s="8"/>
      <c r="FI120" s="8"/>
      <c r="FJ120" s="8"/>
      <c r="FK120" s="8"/>
      <c r="FL120" s="8"/>
      <c r="FM120" s="8"/>
      <c r="FN120" s="8"/>
      <c r="FO120" s="8"/>
      <c r="FP120" s="8"/>
      <c r="FQ120" s="8"/>
      <c r="FR120" s="8"/>
      <c r="FS120" s="8"/>
      <c r="FT120" s="8"/>
      <c r="FU120" s="8"/>
      <c r="FV120" s="8"/>
      <c r="FW120" s="8"/>
      <c r="FX120" s="8"/>
      <c r="FY120" s="8"/>
      <c r="FZ120" s="8"/>
      <c r="GA120" s="8"/>
      <c r="GB120" s="8"/>
      <c r="GC120" s="8"/>
      <c r="GD120" s="8"/>
      <c r="GE120" s="8"/>
      <c r="GF120" s="8"/>
      <c r="GG120" s="8"/>
      <c r="GH120" s="8"/>
      <c r="GI120" s="8"/>
      <c r="GJ120" s="8"/>
      <c r="GK120" s="8"/>
      <c r="GL120" s="8"/>
      <c r="GM120" s="8"/>
      <c r="GN120" s="8"/>
      <c r="GO120" s="8"/>
      <c r="GP120" s="8"/>
      <c r="GQ120" s="8"/>
      <c r="GR120" s="8"/>
      <c r="GS120" s="8"/>
      <c r="GT120" s="8"/>
      <c r="GU120" s="8"/>
      <c r="GV120" s="8"/>
      <c r="GW120" s="8"/>
      <c r="GX120" s="8"/>
      <c r="GY120" s="8"/>
      <c r="GZ120" s="8"/>
      <c r="HA120" s="8"/>
      <c r="HB120" s="8"/>
      <c r="HC120" s="8"/>
      <c r="HD120" s="8"/>
      <c r="HE120" s="8"/>
      <c r="HF120" s="8"/>
      <c r="HG120" s="8"/>
      <c r="HH120" s="8"/>
      <c r="HI120" s="8"/>
      <c r="HJ120" s="8"/>
      <c r="HK120" s="8"/>
      <c r="HL120" s="8"/>
      <c r="HM120" s="8"/>
      <c r="HN120" s="8"/>
      <c r="HO120" s="8"/>
      <c r="HP120" s="8"/>
      <c r="HQ120" s="8"/>
      <c r="HR120" s="8"/>
      <c r="HS120" s="8"/>
      <c r="HT120" s="8"/>
      <c r="HU120" s="8"/>
      <c r="HV120" s="8"/>
      <c r="HW120" s="8"/>
      <c r="HX120" s="8"/>
      <c r="HY120" s="8"/>
      <c r="HZ120" s="8"/>
      <c r="IA120" s="8"/>
      <c r="IB120" s="8"/>
      <c r="IC120" s="8"/>
      <c r="ID120" s="8"/>
      <c r="IE120" s="8"/>
      <c r="IF120" s="8"/>
      <c r="IG120" s="8"/>
      <c r="IH120" s="8"/>
      <c r="II120" s="8"/>
      <c r="IJ120" s="8"/>
      <c r="IK120" s="8"/>
      <c r="IL120" s="8"/>
      <c r="IM120" s="8"/>
      <c r="IN120" s="8"/>
      <c r="IO120" s="8"/>
      <c r="IP120" s="8"/>
      <c r="IQ120" s="8"/>
      <c r="IR120" s="8"/>
      <c r="IS120" s="8"/>
      <c r="IT120" s="8"/>
      <c r="IU120" s="8"/>
      <c r="IV120" s="8"/>
      <c r="IW120" s="8"/>
      <c r="IX120" s="8"/>
      <c r="JA120" s="123"/>
      <c r="JB120" s="123"/>
      <c r="JC120" s="123"/>
      <c r="JD120" s="70">
        <f>SUM((TEXT(JA120,"[M]")/60)*'Income Person-hours'!$D$3,(TEXT(JB120,"[M]")/60)*'Income Person-hours'!$D$4,(TEXT(JC120,"[M]")/60)*'Income Person-hours'!$D$5)</f>
        <v>0</v>
      </c>
    </row>
    <row r="121" spans="1:264" s="12" customFormat="1" ht="15.75" hidden="1" x14ac:dyDescent="0.45">
      <c r="A121" s="32">
        <v>5.13</v>
      </c>
      <c r="B121" s="116"/>
      <c r="C121" s="117"/>
      <c r="D121" s="13" t="str">
        <f>IF(OR(j_WEEKDAY(J_ADDDAY(VLOOKUP(I121,A:F,6,FALSE),H121,1),0)=6,SUMIFS(Holieday[ok],Holieday[date],J_ADDDAY(VLOOKUP(I121,A:F,6,FALSE),H121,1)))=FALSE(),J_ADDDAY(VLOOKUP(I121,A:F,6,FALSE),H121,1),IF(OR(j_WEEKDAY(J_ADDDAY(VLOOKUP(I121,A:F,6,FALSE),H121+1,1),0)=6,SUMIFS(Holieday[ok],Holieday[date],J_ADDDAY(VLOOKUP(I121,A:F,6,FALSE),H121+1,1)))=FALSE(),J_ADDDAY(VLOOKUP(I121,A:F,6,FALSE),H121+1,1),IF(OR(j_WEEKDAY(J_ADDDAY(VLOOKUP(I121,A:F,6,FALSE),H121+2,1),0)=6,SUMIFS(Holieday[ok],Holieday[date],J_ADDDAY(VLOOKUP(I121,A:F,6,FALSE),H121+2,1)))=FALSE(),J_ADDDAY(VLOOKUP(I121,A:F,6,FALSE),H121+2,1),IF(OR(j_WEEKDAY(J_ADDDAY(VLOOKUP(I121,A:F,6,FALSE),H121+3,1),0)=6,SUMIFS(Holieday[ok],Holieday[date],J_ADDDAY(VLOOKUP(I121,A:F,6,FALSE),H121+3,1)))=FALSE(),J_ADDDAY(VLOOKUP(I121,A:F,6,FALSE),H121+3,1),IF(OR(j_WEEKDAY(J_ADDDAY(VLOOKUP(I121,A:F,6,FALSE),H121+4,1),0)=6,SUMIFS(Holieday[ok],Holieday[date],J_ADDDAY(VLOOKUP(I121,A:F,6,FALSE),H121+4,1)))=FALSE(),J_ADDDAY(VLOOKUP(I121,A:F,6,FALSE),H121+4,1),J_ADDDAY(VLOOKUP(I121,A:F,6,FALSE),H121+5,1))))))</f>
        <v>1398/09/11</v>
      </c>
      <c r="E121" s="2">
        <f t="shared" si="41"/>
        <v>13980911</v>
      </c>
      <c r="F121" s="13" t="str">
        <f>IF(N121=0,J_SUBDAY(D121,1,1),IF((N121-NETWORKDAYS.INTL(J_GregorianDate(D121,1),J_GregorianDate(J_SUBDAY(J_ADDDAY(D121,N121,1),1,1),1),16,1)-SUMIFS(Holieday[ok],Holieday[date],CONCATENATE("&gt;","=",D121),Holieday[date],CONCATENATE("&lt;","=",J_SUBDAY(J_ADDDAY(D121,N121,1),1,1)))+SUMIFS(Holieday[Friday],Holieday[date],CONCATENATE("&gt;","=",D121),Holieday[date],CONCATENATE("&lt;","=",J_SUBDAY(J_ADDDAY(D121,N121,1),1,1))))=0,J_SUBDAY(J_ADDDAY(D121,N121,1),1,1),IF((N121-NETWORKDAYS.INTL(J_GregorianDate(D121,1),J_GregorianDate(J_SUBDAY(J_ADDDAY(D121,N121,1),1,1),1),16,1)-SUMIFS(Holieday[ok],Holieday[date],CONCATENATE("&gt;","=",D121),Holieday[date],CONCATENATE("&lt;","=",J_SUBDAY(J_ADDDAY(D121,N121,1),1,1)))+SUMIFS(Holieday[Friday],Holieday[date],CONCATENATE("&gt;","=",D121),Holieday[date],CONCATENATE("&lt;","=",J_SUBDAY(J_ADDDAY(D121,N121,1),1,1))))=1,J_SUBDAY(J_ADDDAY(D121,N121+1,1),1,1),IF((N121-NETWORKDAYS.INTL(J_GregorianDate(D121,1),J_GregorianDate(J_SUBDAY(J_ADDDAY(D121,N121,1),1,1),1),16,1)-SUMIFS(Holieday[ok],Holieday[date],CONCATENATE("&gt;","=",D121),Holieday[date],CONCATENATE("&lt;","=",J_SUBDAY(J_ADDDAY(D121,N121,1),1,1)))+SUMIFS(Holieday[Friday],Holieday[date],CONCATENATE("&gt;","=",D121),Holieday[date],CONCATENATE("&lt;","=",J_SUBDAY(J_ADDDAY(D121,N121,1),1,1))))=2,J_SUBDAY(J_ADDDAY(D121,N121+2,1),1,1),J_SUBDAY(J_ADDDAY(D121,N121+3,1),1,1)))))</f>
        <v>1398/09/10</v>
      </c>
      <c r="G121" s="3">
        <f t="shared" si="42"/>
        <v>13980910</v>
      </c>
      <c r="H121" s="119"/>
      <c r="I121" s="120">
        <v>5.7</v>
      </c>
      <c r="J121" s="10">
        <f>j_WEEKDAY(D121,2)</f>
        <v>2</v>
      </c>
      <c r="K121" s="22">
        <f t="shared" si="40"/>
        <v>0</v>
      </c>
      <c r="L121" s="9">
        <f t="shared" si="37"/>
        <v>0</v>
      </c>
      <c r="M121" s="121">
        <v>0</v>
      </c>
      <c r="N121" s="118">
        <v>0</v>
      </c>
      <c r="O121" s="11">
        <f t="shared" si="38"/>
        <v>0</v>
      </c>
      <c r="P121" s="11">
        <f>VALUE(J_normdate(J_ADDDAY($D121,$O121,1)))</f>
        <v>13980911</v>
      </c>
      <c r="Q121" s="10">
        <f t="shared" si="39"/>
        <v>0</v>
      </c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 s="8"/>
      <c r="BK121" s="8"/>
      <c r="BL121" s="8"/>
      <c r="BM121" s="8"/>
      <c r="BN121" s="8"/>
      <c r="BO121" s="8"/>
      <c r="BP121" s="8"/>
      <c r="BQ121" s="8"/>
      <c r="BR121" s="8"/>
      <c r="BS121" s="8"/>
      <c r="BT121" s="8"/>
      <c r="BU121" s="8"/>
      <c r="BV121" s="8"/>
      <c r="BW121" s="8"/>
      <c r="BX121" s="8"/>
      <c r="BY121" s="8"/>
      <c r="BZ121" s="8"/>
      <c r="CA121" s="8"/>
      <c r="CB121" s="8"/>
      <c r="CC121" s="8"/>
      <c r="CD121" s="8"/>
      <c r="CE121" s="8"/>
      <c r="CF121" s="8"/>
      <c r="CG121" s="8"/>
      <c r="CH121" s="8"/>
      <c r="CI121" s="8"/>
      <c r="CJ121" s="8"/>
      <c r="CK121" s="8"/>
      <c r="CL121" s="8"/>
      <c r="CM121" s="8"/>
      <c r="CN121" s="8"/>
      <c r="CO121" s="8"/>
      <c r="CP121" s="8"/>
      <c r="CQ121" s="8"/>
      <c r="CR121" s="8"/>
      <c r="CS121" s="8"/>
      <c r="CT121" s="8"/>
      <c r="CU121" s="8"/>
      <c r="CV121" s="8"/>
      <c r="CW121" s="8"/>
      <c r="CX121" s="8"/>
      <c r="CY121" s="8"/>
      <c r="CZ121" s="8"/>
      <c r="DA121" s="8"/>
      <c r="DB121" s="8"/>
      <c r="DC121" s="8"/>
      <c r="DD121" s="8"/>
      <c r="DE121" s="8"/>
      <c r="DF121" s="8"/>
      <c r="DG121" s="8"/>
      <c r="DH121" s="8"/>
      <c r="DI121" s="8"/>
      <c r="DJ121" s="8"/>
      <c r="DK121" s="8"/>
      <c r="DL121" s="8"/>
      <c r="DM121" s="8"/>
      <c r="DN121" s="8"/>
      <c r="DO121" s="8"/>
      <c r="DP121" s="8"/>
      <c r="DQ121" s="8"/>
      <c r="DR121" s="8"/>
      <c r="DS121" s="8"/>
      <c r="DT121" s="8"/>
      <c r="DU121" s="8"/>
      <c r="DV121" s="8"/>
      <c r="DW121" s="8"/>
      <c r="DX121" s="8"/>
      <c r="DY121" s="8"/>
      <c r="DZ121" s="8"/>
      <c r="EA121" s="8"/>
      <c r="EB121" s="8"/>
      <c r="EC121" s="8"/>
      <c r="ED121" s="8"/>
      <c r="EE121" s="8"/>
      <c r="EF121" s="8"/>
      <c r="EG121" s="8"/>
      <c r="EH121" s="8"/>
      <c r="EI121" s="8"/>
      <c r="EJ121" s="8"/>
      <c r="EK121" s="8"/>
      <c r="EL121" s="8"/>
      <c r="EM121" s="8"/>
      <c r="EN121" s="8"/>
      <c r="EO121" s="8"/>
      <c r="EP121" s="8"/>
      <c r="EQ121" s="8"/>
      <c r="ER121" s="8"/>
      <c r="ES121" s="8"/>
      <c r="ET121" s="8"/>
      <c r="EU121" s="8"/>
      <c r="EV121" s="8"/>
      <c r="EW121" s="8"/>
      <c r="EX121" s="8"/>
      <c r="EY121" s="8"/>
      <c r="EZ121" s="8"/>
      <c r="FA121" s="8"/>
      <c r="FB121" s="8"/>
      <c r="FC121" s="8"/>
      <c r="FD121" s="8"/>
      <c r="FE121" s="8"/>
      <c r="FF121" s="8"/>
      <c r="FG121" s="8"/>
      <c r="FH121" s="8"/>
      <c r="FI121" s="8"/>
      <c r="FJ121" s="8"/>
      <c r="FK121" s="8"/>
      <c r="FL121" s="8"/>
      <c r="FM121" s="8"/>
      <c r="FN121" s="8"/>
      <c r="FO121" s="8"/>
      <c r="FP121" s="8"/>
      <c r="FQ121" s="8"/>
      <c r="FR121" s="8"/>
      <c r="FS121" s="8"/>
      <c r="FT121" s="8"/>
      <c r="FU121" s="8"/>
      <c r="FV121" s="8"/>
      <c r="FW121" s="8"/>
      <c r="FX121" s="8"/>
      <c r="FY121" s="8"/>
      <c r="FZ121" s="8"/>
      <c r="GA121" s="8"/>
      <c r="GB121" s="8"/>
      <c r="GC121" s="8"/>
      <c r="GD121" s="8"/>
      <c r="GE121" s="8"/>
      <c r="GF121" s="8"/>
      <c r="GG121" s="8"/>
      <c r="GH121" s="8"/>
      <c r="GI121" s="8"/>
      <c r="GJ121" s="8"/>
      <c r="GK121" s="8"/>
      <c r="GL121" s="8"/>
      <c r="GM121" s="8"/>
      <c r="GN121" s="8"/>
      <c r="GO121" s="8"/>
      <c r="GP121" s="8"/>
      <c r="GQ121" s="8"/>
      <c r="GR121" s="8"/>
      <c r="GS121" s="8"/>
      <c r="GT121" s="8"/>
      <c r="GU121" s="8"/>
      <c r="GV121" s="8"/>
      <c r="GW121" s="8"/>
      <c r="GX121" s="8"/>
      <c r="GY121" s="8"/>
      <c r="GZ121" s="8"/>
      <c r="HA121" s="8"/>
      <c r="HB121" s="8"/>
      <c r="HC121" s="8"/>
      <c r="HD121" s="8"/>
      <c r="HE121" s="8"/>
      <c r="HF121" s="8"/>
      <c r="HG121" s="8"/>
      <c r="HH121" s="8"/>
      <c r="HI121" s="8"/>
      <c r="HJ121" s="8"/>
      <c r="HK121" s="8"/>
      <c r="HL121" s="8"/>
      <c r="HM121" s="8"/>
      <c r="HN121" s="8"/>
      <c r="HO121" s="8"/>
      <c r="HP121" s="8"/>
      <c r="HQ121" s="8"/>
      <c r="HR121" s="8"/>
      <c r="HS121" s="8"/>
      <c r="HT121" s="8"/>
      <c r="HU121" s="8"/>
      <c r="HV121" s="8"/>
      <c r="HW121" s="8"/>
      <c r="HX121" s="8"/>
      <c r="HY121" s="8"/>
      <c r="HZ121" s="8"/>
      <c r="IA121" s="8"/>
      <c r="IB121" s="8"/>
      <c r="IC121" s="8"/>
      <c r="ID121" s="8"/>
      <c r="IE121" s="8"/>
      <c r="IF121" s="8"/>
      <c r="IG121" s="8"/>
      <c r="IH121" s="8"/>
      <c r="II121" s="8"/>
      <c r="IJ121" s="8"/>
      <c r="IK121" s="8"/>
      <c r="IL121" s="8"/>
      <c r="IM121" s="8"/>
      <c r="IN121" s="8"/>
      <c r="IO121" s="8"/>
      <c r="IP121" s="8"/>
      <c r="IQ121" s="8"/>
      <c r="IR121" s="8"/>
      <c r="IS121" s="8"/>
      <c r="IT121" s="8"/>
      <c r="IU121" s="8"/>
      <c r="IV121" s="8"/>
      <c r="IW121" s="8"/>
      <c r="IX121" s="8"/>
      <c r="JA121" s="123"/>
      <c r="JB121" s="123"/>
      <c r="JC121" s="123"/>
      <c r="JD121" s="70">
        <f>SUM((TEXT(JA121,"[M]")/60)*'Income Person-hours'!$D$3,(TEXT(JB121,"[M]")/60)*'Income Person-hours'!$D$4,(TEXT(JC121,"[M]")/60)*'Income Person-hours'!$D$5)</f>
        <v>0</v>
      </c>
    </row>
    <row r="122" spans="1:264" s="12" customFormat="1" ht="15.75" hidden="1" x14ac:dyDescent="0.45">
      <c r="A122" s="32">
        <v>5.14</v>
      </c>
      <c r="B122" s="116"/>
      <c r="C122" s="117"/>
      <c r="D122" s="13" t="str">
        <f>IF(OR(j_WEEKDAY(J_ADDDAY(VLOOKUP(I122,A:F,6,FALSE),H122,1),0)=6,SUMIFS(Holieday[ok],Holieday[date],J_ADDDAY(VLOOKUP(I122,A:F,6,FALSE),H122,1)))=FALSE(),J_ADDDAY(VLOOKUP(I122,A:F,6,FALSE),H122,1),IF(OR(j_WEEKDAY(J_ADDDAY(VLOOKUP(I122,A:F,6,FALSE),H122+1,1),0)=6,SUMIFS(Holieday[ok],Holieday[date],J_ADDDAY(VLOOKUP(I122,A:F,6,FALSE),H122+1,1)))=FALSE(),J_ADDDAY(VLOOKUP(I122,A:F,6,FALSE),H122+1,1),IF(OR(j_WEEKDAY(J_ADDDAY(VLOOKUP(I122,A:F,6,FALSE),H122+2,1),0)=6,SUMIFS(Holieday[ok],Holieday[date],J_ADDDAY(VLOOKUP(I122,A:F,6,FALSE),H122+2,1)))=FALSE(),J_ADDDAY(VLOOKUP(I122,A:F,6,FALSE),H122+2,1),IF(OR(j_WEEKDAY(J_ADDDAY(VLOOKUP(I122,A:F,6,FALSE),H122+3,1),0)=6,SUMIFS(Holieday[ok],Holieday[date],J_ADDDAY(VLOOKUP(I122,A:F,6,FALSE),H122+3,1)))=FALSE(),J_ADDDAY(VLOOKUP(I122,A:F,6,FALSE),H122+3,1),IF(OR(j_WEEKDAY(J_ADDDAY(VLOOKUP(I122,A:F,6,FALSE),H122+4,1),0)=6,SUMIFS(Holieday[ok],Holieday[date],J_ADDDAY(VLOOKUP(I122,A:F,6,FALSE),H122+4,1)))=FALSE(),J_ADDDAY(VLOOKUP(I122,A:F,6,FALSE),H122+4,1),J_ADDDAY(VLOOKUP(I122,A:F,6,FALSE),H122+5,1))))))</f>
        <v>1398/09/11</v>
      </c>
      <c r="E122" s="2">
        <f t="shared" si="41"/>
        <v>13980911</v>
      </c>
      <c r="F122" s="13" t="str">
        <f>IF(N122=0,J_SUBDAY(D122,1,1),IF((N122-NETWORKDAYS.INTL(J_GregorianDate(D122,1),J_GregorianDate(J_SUBDAY(J_ADDDAY(D122,N122,1),1,1),1),16,1)-SUMIFS(Holieday[ok],Holieday[date],CONCATENATE("&gt;","=",D122),Holieday[date],CONCATENATE("&lt;","=",J_SUBDAY(J_ADDDAY(D122,N122,1),1,1)))+SUMIFS(Holieday[Friday],Holieday[date],CONCATENATE("&gt;","=",D122),Holieday[date],CONCATENATE("&lt;","=",J_SUBDAY(J_ADDDAY(D122,N122,1),1,1))))=0,J_SUBDAY(J_ADDDAY(D122,N122,1),1,1),IF((N122-NETWORKDAYS.INTL(J_GregorianDate(D122,1),J_GregorianDate(J_SUBDAY(J_ADDDAY(D122,N122,1),1,1),1),16,1)-SUMIFS(Holieday[ok],Holieday[date],CONCATENATE("&gt;","=",D122),Holieday[date],CONCATENATE("&lt;","=",J_SUBDAY(J_ADDDAY(D122,N122,1),1,1)))+SUMIFS(Holieday[Friday],Holieday[date],CONCATENATE("&gt;","=",D122),Holieday[date],CONCATENATE("&lt;","=",J_SUBDAY(J_ADDDAY(D122,N122,1),1,1))))=1,J_SUBDAY(J_ADDDAY(D122,N122+1,1),1,1),IF((N122-NETWORKDAYS.INTL(J_GregorianDate(D122,1),J_GregorianDate(J_SUBDAY(J_ADDDAY(D122,N122,1),1,1),1),16,1)-SUMIFS(Holieday[ok],Holieday[date],CONCATENATE("&gt;","=",D122),Holieday[date],CONCATENATE("&lt;","=",J_SUBDAY(J_ADDDAY(D122,N122,1),1,1)))+SUMIFS(Holieday[Friday],Holieday[date],CONCATENATE("&gt;","=",D122),Holieday[date],CONCATENATE("&lt;","=",J_SUBDAY(J_ADDDAY(D122,N122,1),1,1))))=2,J_SUBDAY(J_ADDDAY(D122,N122+2,1),1,1),J_SUBDAY(J_ADDDAY(D122,N122+3,1),1,1)))))</f>
        <v>1398/09/10</v>
      </c>
      <c r="G122" s="3">
        <f t="shared" si="42"/>
        <v>13980910</v>
      </c>
      <c r="H122" s="119"/>
      <c r="I122" s="120">
        <v>5.7</v>
      </c>
      <c r="J122" s="10">
        <f>j_WEEKDAY(D122,2)</f>
        <v>2</v>
      </c>
      <c r="K122" s="22">
        <f t="shared" si="40"/>
        <v>0</v>
      </c>
      <c r="L122" s="9">
        <f t="shared" si="37"/>
        <v>0</v>
      </c>
      <c r="M122" s="121">
        <v>0</v>
      </c>
      <c r="N122" s="118">
        <v>0</v>
      </c>
      <c r="O122" s="11">
        <f t="shared" si="38"/>
        <v>0</v>
      </c>
      <c r="P122" s="11">
        <f>VALUE(J_normdate(J_ADDDAY($D122,$O122,1)))</f>
        <v>13980911</v>
      </c>
      <c r="Q122" s="10">
        <f t="shared" si="39"/>
        <v>0</v>
      </c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 s="8"/>
      <c r="BK122" s="8"/>
      <c r="BL122" s="8"/>
      <c r="BM122" s="8"/>
      <c r="BN122" s="8"/>
      <c r="BO122" s="8"/>
      <c r="BP122" s="8"/>
      <c r="BQ122" s="8"/>
      <c r="BR122" s="8"/>
      <c r="BS122" s="8"/>
      <c r="BT122" s="8"/>
      <c r="BU122" s="8"/>
      <c r="BV122" s="8"/>
      <c r="BW122" s="8"/>
      <c r="BX122" s="8"/>
      <c r="BY122" s="8"/>
      <c r="BZ122" s="8"/>
      <c r="CA122" s="8"/>
      <c r="CB122" s="8"/>
      <c r="CC122" s="8"/>
      <c r="CD122" s="8"/>
      <c r="CE122" s="8"/>
      <c r="CF122" s="8"/>
      <c r="CG122" s="8"/>
      <c r="CH122" s="8"/>
      <c r="CI122" s="8"/>
      <c r="CJ122" s="8"/>
      <c r="CK122" s="8"/>
      <c r="CL122" s="8"/>
      <c r="CM122" s="8"/>
      <c r="CN122" s="8"/>
      <c r="CO122" s="8"/>
      <c r="CP122" s="8"/>
      <c r="CQ122" s="8"/>
      <c r="CR122" s="8"/>
      <c r="CS122" s="8"/>
      <c r="CT122" s="8"/>
      <c r="CU122" s="8"/>
      <c r="CV122" s="8"/>
      <c r="CW122" s="8"/>
      <c r="CX122" s="8"/>
      <c r="CY122" s="8"/>
      <c r="CZ122" s="8"/>
      <c r="DA122" s="8"/>
      <c r="DB122" s="8"/>
      <c r="DC122" s="8"/>
      <c r="DD122" s="8"/>
      <c r="DE122" s="8"/>
      <c r="DF122" s="8"/>
      <c r="DG122" s="8"/>
      <c r="DH122" s="8"/>
      <c r="DI122" s="8"/>
      <c r="DJ122" s="8"/>
      <c r="DK122" s="8"/>
      <c r="DL122" s="8"/>
      <c r="DM122" s="8"/>
      <c r="DN122" s="8"/>
      <c r="DO122" s="8"/>
      <c r="DP122" s="8"/>
      <c r="DQ122" s="8"/>
      <c r="DR122" s="8"/>
      <c r="DS122" s="8"/>
      <c r="DT122" s="8"/>
      <c r="DU122" s="8"/>
      <c r="DV122" s="8"/>
      <c r="DW122" s="8"/>
      <c r="DX122" s="8"/>
      <c r="DY122" s="8"/>
      <c r="DZ122" s="8"/>
      <c r="EA122" s="8"/>
      <c r="EB122" s="8"/>
      <c r="EC122" s="8"/>
      <c r="ED122" s="8"/>
      <c r="EE122" s="8"/>
      <c r="EF122" s="8"/>
      <c r="EG122" s="8"/>
      <c r="EH122" s="8"/>
      <c r="EI122" s="8"/>
      <c r="EJ122" s="8"/>
      <c r="EK122" s="8"/>
      <c r="EL122" s="8"/>
      <c r="EM122" s="8"/>
      <c r="EN122" s="8"/>
      <c r="EO122" s="8"/>
      <c r="EP122" s="8"/>
      <c r="EQ122" s="8"/>
      <c r="ER122" s="8"/>
      <c r="ES122" s="8"/>
      <c r="ET122" s="8"/>
      <c r="EU122" s="8"/>
      <c r="EV122" s="8"/>
      <c r="EW122" s="8"/>
      <c r="EX122" s="8"/>
      <c r="EY122" s="8"/>
      <c r="EZ122" s="8"/>
      <c r="FA122" s="8"/>
      <c r="FB122" s="8"/>
      <c r="FC122" s="8"/>
      <c r="FD122" s="8"/>
      <c r="FE122" s="8"/>
      <c r="FF122" s="8"/>
      <c r="FG122" s="8"/>
      <c r="FH122" s="8"/>
      <c r="FI122" s="8"/>
      <c r="FJ122" s="8"/>
      <c r="FK122" s="8"/>
      <c r="FL122" s="8"/>
      <c r="FM122" s="8"/>
      <c r="FN122" s="8"/>
      <c r="FO122" s="8"/>
      <c r="FP122" s="8"/>
      <c r="FQ122" s="8"/>
      <c r="FR122" s="8"/>
      <c r="FS122" s="8"/>
      <c r="FT122" s="8"/>
      <c r="FU122" s="8"/>
      <c r="FV122" s="8"/>
      <c r="FW122" s="8"/>
      <c r="FX122" s="8"/>
      <c r="FY122" s="8"/>
      <c r="FZ122" s="8"/>
      <c r="GA122" s="8"/>
      <c r="GB122" s="8"/>
      <c r="GC122" s="8"/>
      <c r="GD122" s="8"/>
      <c r="GE122" s="8"/>
      <c r="GF122" s="8"/>
      <c r="GG122" s="8"/>
      <c r="GH122" s="8"/>
      <c r="GI122" s="8"/>
      <c r="GJ122" s="8"/>
      <c r="GK122" s="8"/>
      <c r="GL122" s="8"/>
      <c r="GM122" s="8"/>
      <c r="GN122" s="8"/>
      <c r="GO122" s="8"/>
      <c r="GP122" s="8"/>
      <c r="GQ122" s="8"/>
      <c r="GR122" s="8"/>
      <c r="GS122" s="8"/>
      <c r="GT122" s="8"/>
      <c r="GU122" s="8"/>
      <c r="GV122" s="8"/>
      <c r="GW122" s="8"/>
      <c r="GX122" s="8"/>
      <c r="GY122" s="8"/>
      <c r="GZ122" s="8"/>
      <c r="HA122" s="8"/>
      <c r="HB122" s="8"/>
      <c r="HC122" s="8"/>
      <c r="HD122" s="8"/>
      <c r="HE122" s="8"/>
      <c r="HF122" s="8"/>
      <c r="HG122" s="8"/>
      <c r="HH122" s="8"/>
      <c r="HI122" s="8"/>
      <c r="HJ122" s="8"/>
      <c r="HK122" s="8"/>
      <c r="HL122" s="8"/>
      <c r="HM122" s="8"/>
      <c r="HN122" s="8"/>
      <c r="HO122" s="8"/>
      <c r="HP122" s="8"/>
      <c r="HQ122" s="8"/>
      <c r="HR122" s="8"/>
      <c r="HS122" s="8"/>
      <c r="HT122" s="8"/>
      <c r="HU122" s="8"/>
      <c r="HV122" s="8"/>
      <c r="HW122" s="8"/>
      <c r="HX122" s="8"/>
      <c r="HY122" s="8"/>
      <c r="HZ122" s="8"/>
      <c r="IA122" s="8"/>
      <c r="IB122" s="8"/>
      <c r="IC122" s="8"/>
      <c r="ID122" s="8"/>
      <c r="IE122" s="8"/>
      <c r="IF122" s="8"/>
      <c r="IG122" s="8"/>
      <c r="IH122" s="8"/>
      <c r="II122" s="8"/>
      <c r="IJ122" s="8"/>
      <c r="IK122" s="8"/>
      <c r="IL122" s="8"/>
      <c r="IM122" s="8"/>
      <c r="IN122" s="8"/>
      <c r="IO122" s="8"/>
      <c r="IP122" s="8"/>
      <c r="IQ122" s="8"/>
      <c r="IR122" s="8"/>
      <c r="IS122" s="8"/>
      <c r="IT122" s="8"/>
      <c r="IU122" s="8"/>
      <c r="IV122" s="8"/>
      <c r="IW122" s="8"/>
      <c r="IX122" s="8"/>
      <c r="JA122" s="123"/>
      <c r="JB122" s="123"/>
      <c r="JC122" s="123"/>
      <c r="JD122" s="70">
        <f>SUM((TEXT(JA122,"[M]")/60)*'Income Person-hours'!$D$3,(TEXT(JB122,"[M]")/60)*'Income Person-hours'!$D$4,(TEXT(JC122,"[M]")/60)*'Income Person-hours'!$D$5)</f>
        <v>0</v>
      </c>
    </row>
    <row r="123" spans="1:264" s="12" customFormat="1" ht="15.75" hidden="1" x14ac:dyDescent="0.45">
      <c r="A123" s="32">
        <v>5.15</v>
      </c>
      <c r="B123" s="126"/>
      <c r="C123" s="117"/>
      <c r="D123" s="13" t="str">
        <f>IF(OR(j_WEEKDAY(J_ADDDAY(VLOOKUP(I123,A:F,6,FALSE),H123,1),0)=6,SUMIFS(Holieday[ok],Holieday[date],J_ADDDAY(VLOOKUP(I123,A:F,6,FALSE),H123,1)))=FALSE(),J_ADDDAY(VLOOKUP(I123,A:F,6,FALSE),H123,1),IF(OR(j_WEEKDAY(J_ADDDAY(VLOOKUP(I123,A:F,6,FALSE),H123+1,1),0)=6,SUMIFS(Holieday[ok],Holieday[date],J_ADDDAY(VLOOKUP(I123,A:F,6,FALSE),H123+1,1)))=FALSE(),J_ADDDAY(VLOOKUP(I123,A:F,6,FALSE),H123+1,1),IF(OR(j_WEEKDAY(J_ADDDAY(VLOOKUP(I123,A:F,6,FALSE),H123+2,1),0)=6,SUMIFS(Holieday[ok],Holieday[date],J_ADDDAY(VLOOKUP(I123,A:F,6,FALSE),H123+2,1)))=FALSE(),J_ADDDAY(VLOOKUP(I123,A:F,6,FALSE),H123+2,1),IF(OR(j_WEEKDAY(J_ADDDAY(VLOOKUP(I123,A:F,6,FALSE),H123+3,1),0)=6,SUMIFS(Holieday[ok],Holieday[date],J_ADDDAY(VLOOKUP(I123,A:F,6,FALSE),H123+3,1)))=FALSE(),J_ADDDAY(VLOOKUP(I123,A:F,6,FALSE),H123+3,1),IF(OR(j_WEEKDAY(J_ADDDAY(VLOOKUP(I123,A:F,6,FALSE),H123+4,1),0)=6,SUMIFS(Holieday[ok],Holieday[date],J_ADDDAY(VLOOKUP(I123,A:F,6,FALSE),H123+4,1)))=FALSE(),J_ADDDAY(VLOOKUP(I123,A:F,6,FALSE),H123+4,1),J_ADDDAY(VLOOKUP(I123,A:F,6,FALSE),H123+5,1))))))</f>
        <v>1398/09/11</v>
      </c>
      <c r="E123" s="2">
        <f t="shared" si="41"/>
        <v>13980911</v>
      </c>
      <c r="F123" s="13" t="str">
        <f>IF(N123=0,J_SUBDAY(D123,1,1),IF((N123-NETWORKDAYS.INTL(J_GregorianDate(D123,1),J_GregorianDate(J_SUBDAY(J_ADDDAY(D123,N123,1),1,1),1),16,1)-SUMIFS(Holieday[ok],Holieday[date],CONCATENATE("&gt;","=",D123),Holieday[date],CONCATENATE("&lt;","=",J_SUBDAY(J_ADDDAY(D123,N123,1),1,1)))+SUMIFS(Holieday[Friday],Holieday[date],CONCATENATE("&gt;","=",D123),Holieday[date],CONCATENATE("&lt;","=",J_SUBDAY(J_ADDDAY(D123,N123,1),1,1))))=0,J_SUBDAY(J_ADDDAY(D123,N123,1),1,1),IF((N123-NETWORKDAYS.INTL(J_GregorianDate(D123,1),J_GregorianDate(J_SUBDAY(J_ADDDAY(D123,N123,1),1,1),1),16,1)-SUMIFS(Holieday[ok],Holieday[date],CONCATENATE("&gt;","=",D123),Holieday[date],CONCATENATE("&lt;","=",J_SUBDAY(J_ADDDAY(D123,N123,1),1,1)))+SUMIFS(Holieday[Friday],Holieday[date],CONCATENATE("&gt;","=",D123),Holieday[date],CONCATENATE("&lt;","=",J_SUBDAY(J_ADDDAY(D123,N123,1),1,1))))=1,J_SUBDAY(J_ADDDAY(D123,N123+1,1),1,1),IF((N123-NETWORKDAYS.INTL(J_GregorianDate(D123,1),J_GregorianDate(J_SUBDAY(J_ADDDAY(D123,N123,1),1,1),1),16,1)-SUMIFS(Holieday[ok],Holieday[date],CONCATENATE("&gt;","=",D123),Holieday[date],CONCATENATE("&lt;","=",J_SUBDAY(J_ADDDAY(D123,N123,1),1,1)))+SUMIFS(Holieday[Friday],Holieday[date],CONCATENATE("&gt;","=",D123),Holieday[date],CONCATENATE("&lt;","=",J_SUBDAY(J_ADDDAY(D123,N123,1),1,1))))=2,J_SUBDAY(J_ADDDAY(D123,N123+2,1),1,1),J_SUBDAY(J_ADDDAY(D123,N123+3,1),1,1)))))</f>
        <v>1398/09/10</v>
      </c>
      <c r="G123" s="3">
        <f t="shared" si="42"/>
        <v>13980910</v>
      </c>
      <c r="H123" s="119"/>
      <c r="I123" s="120">
        <v>5.7</v>
      </c>
      <c r="J123" s="10">
        <f>j_WEEKDAY(D123,2)</f>
        <v>2</v>
      </c>
      <c r="K123" s="22">
        <f t="shared" si="40"/>
        <v>0</v>
      </c>
      <c r="L123" s="9">
        <f t="shared" si="37"/>
        <v>0</v>
      </c>
      <c r="M123" s="121">
        <v>0</v>
      </c>
      <c r="N123" s="118">
        <v>0</v>
      </c>
      <c r="O123" s="11">
        <f t="shared" si="38"/>
        <v>0</v>
      </c>
      <c r="P123" s="11">
        <f>VALUE(J_normdate(J_ADDDAY($D123,$O123,1)))</f>
        <v>13980911</v>
      </c>
      <c r="Q123" s="10">
        <f t="shared" si="39"/>
        <v>0</v>
      </c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 s="8"/>
      <c r="BK123" s="8"/>
      <c r="BL123" s="8"/>
      <c r="BM123" s="8"/>
      <c r="BN123" s="8"/>
      <c r="BO123" s="8"/>
      <c r="BP123" s="8"/>
      <c r="BQ123" s="8"/>
      <c r="BR123" s="8"/>
      <c r="BS123" s="8"/>
      <c r="BT123" s="8"/>
      <c r="BU123" s="8"/>
      <c r="BV123" s="8"/>
      <c r="BW123" s="8"/>
      <c r="BX123" s="8"/>
      <c r="BY123" s="8"/>
      <c r="BZ123" s="8"/>
      <c r="CA123" s="8"/>
      <c r="CB123" s="8"/>
      <c r="CC123" s="8"/>
      <c r="CD123" s="8"/>
      <c r="CE123" s="8"/>
      <c r="CF123" s="8"/>
      <c r="CG123" s="8"/>
      <c r="CH123" s="8"/>
      <c r="CI123" s="8"/>
      <c r="CJ123" s="8"/>
      <c r="CK123" s="8"/>
      <c r="CL123" s="8"/>
      <c r="CM123" s="8"/>
      <c r="CN123" s="8"/>
      <c r="CO123" s="8"/>
      <c r="CP123" s="8"/>
      <c r="CQ123" s="8"/>
      <c r="CR123" s="8"/>
      <c r="CS123" s="8"/>
      <c r="CT123" s="8"/>
      <c r="CU123" s="8"/>
      <c r="CV123" s="8"/>
      <c r="CW123" s="8"/>
      <c r="CX123" s="8"/>
      <c r="CY123" s="8"/>
      <c r="CZ123" s="8"/>
      <c r="DA123" s="8"/>
      <c r="DB123" s="8"/>
      <c r="DC123" s="8"/>
      <c r="DD123" s="8"/>
      <c r="DE123" s="8"/>
      <c r="DF123" s="8"/>
      <c r="DG123" s="8"/>
      <c r="DH123" s="8"/>
      <c r="DI123" s="8"/>
      <c r="DJ123" s="8"/>
      <c r="DK123" s="8"/>
      <c r="DL123" s="8"/>
      <c r="DM123" s="8"/>
      <c r="DN123" s="8"/>
      <c r="DO123" s="8"/>
      <c r="DP123" s="8"/>
      <c r="DQ123" s="8"/>
      <c r="DR123" s="8"/>
      <c r="DS123" s="8"/>
      <c r="DT123" s="8"/>
      <c r="DU123" s="8"/>
      <c r="DV123" s="8"/>
      <c r="DW123" s="8"/>
      <c r="DX123" s="8"/>
      <c r="DY123" s="8"/>
      <c r="DZ123" s="8"/>
      <c r="EA123" s="8"/>
      <c r="EB123" s="8"/>
      <c r="EC123" s="8"/>
      <c r="ED123" s="8"/>
      <c r="EE123" s="8"/>
      <c r="EF123" s="8"/>
      <c r="EG123" s="8"/>
      <c r="EH123" s="8"/>
      <c r="EI123" s="8"/>
      <c r="EJ123" s="8"/>
      <c r="EK123" s="8"/>
      <c r="EL123" s="8"/>
      <c r="EM123" s="8"/>
      <c r="EN123" s="8"/>
      <c r="EO123" s="8"/>
      <c r="EP123" s="8"/>
      <c r="EQ123" s="8"/>
      <c r="ER123" s="8"/>
      <c r="ES123" s="8"/>
      <c r="ET123" s="8"/>
      <c r="EU123" s="8"/>
      <c r="EV123" s="8"/>
      <c r="EW123" s="8"/>
      <c r="EX123" s="8"/>
      <c r="EY123" s="8"/>
      <c r="EZ123" s="8"/>
      <c r="FA123" s="8"/>
      <c r="FB123" s="8"/>
      <c r="FC123" s="8"/>
      <c r="FD123" s="8"/>
      <c r="FE123" s="8"/>
      <c r="FF123" s="8"/>
      <c r="FG123" s="8"/>
      <c r="FH123" s="8"/>
      <c r="FI123" s="8"/>
      <c r="FJ123" s="8"/>
      <c r="FK123" s="8"/>
      <c r="FL123" s="8"/>
      <c r="FM123" s="8"/>
      <c r="FN123" s="8"/>
      <c r="FO123" s="8"/>
      <c r="FP123" s="8"/>
      <c r="FQ123" s="8"/>
      <c r="FR123" s="8"/>
      <c r="FS123" s="8"/>
      <c r="FT123" s="8"/>
      <c r="FU123" s="8"/>
      <c r="FV123" s="8"/>
      <c r="FW123" s="8"/>
      <c r="FX123" s="8"/>
      <c r="FY123" s="8"/>
      <c r="FZ123" s="8"/>
      <c r="GA123" s="8"/>
      <c r="GB123" s="8"/>
      <c r="GC123" s="8"/>
      <c r="GD123" s="8"/>
      <c r="GE123" s="8"/>
      <c r="GF123" s="8"/>
      <c r="GG123" s="8"/>
      <c r="GH123" s="8"/>
      <c r="GI123" s="8"/>
      <c r="GJ123" s="8"/>
      <c r="GK123" s="8"/>
      <c r="GL123" s="8"/>
      <c r="GM123" s="8"/>
      <c r="GN123" s="8"/>
      <c r="GO123" s="8"/>
      <c r="GP123" s="8"/>
      <c r="GQ123" s="8"/>
      <c r="GR123" s="8"/>
      <c r="GS123" s="8"/>
      <c r="GT123" s="8"/>
      <c r="GU123" s="8"/>
      <c r="GV123" s="8"/>
      <c r="GW123" s="8"/>
      <c r="GX123" s="8"/>
      <c r="GY123" s="8"/>
      <c r="GZ123" s="8"/>
      <c r="HA123" s="8"/>
      <c r="HB123" s="8"/>
      <c r="HC123" s="8"/>
      <c r="HD123" s="8"/>
      <c r="HE123" s="8"/>
      <c r="HF123" s="8"/>
      <c r="HG123" s="8"/>
      <c r="HH123" s="8"/>
      <c r="HI123" s="8"/>
      <c r="HJ123" s="8"/>
      <c r="HK123" s="8"/>
      <c r="HL123" s="8"/>
      <c r="HM123" s="8"/>
      <c r="HN123" s="8"/>
      <c r="HO123" s="8"/>
      <c r="HP123" s="8"/>
      <c r="HQ123" s="8"/>
      <c r="HR123" s="8"/>
      <c r="HS123" s="8"/>
      <c r="HT123" s="8"/>
      <c r="HU123" s="8"/>
      <c r="HV123" s="8"/>
      <c r="HW123" s="8"/>
      <c r="HX123" s="8"/>
      <c r="HY123" s="8"/>
      <c r="HZ123" s="8"/>
      <c r="IA123" s="8"/>
      <c r="IB123" s="8"/>
      <c r="IC123" s="8"/>
      <c r="ID123" s="8"/>
      <c r="IE123" s="8"/>
      <c r="IF123" s="8"/>
      <c r="IG123" s="8"/>
      <c r="IH123" s="8"/>
      <c r="II123" s="8"/>
      <c r="IJ123" s="8"/>
      <c r="IK123" s="8"/>
      <c r="IL123" s="8"/>
      <c r="IM123" s="8"/>
      <c r="IN123" s="8"/>
      <c r="IO123" s="8"/>
      <c r="IP123" s="8"/>
      <c r="IQ123" s="8"/>
      <c r="IR123" s="8"/>
      <c r="IS123" s="8"/>
      <c r="IT123" s="8"/>
      <c r="IU123" s="8"/>
      <c r="IV123" s="8"/>
      <c r="IW123" s="8"/>
      <c r="IX123" s="8"/>
      <c r="JA123" s="123"/>
      <c r="JB123" s="123"/>
      <c r="JC123" s="123"/>
      <c r="JD123" s="70">
        <f>SUM((TEXT(JA123,"[M]")/60)*'Income Person-hours'!$D$3,(TEXT(JB123,"[M]")/60)*'Income Person-hours'!$D$4,(TEXT(JC123,"[M]")/60)*'Income Person-hours'!$D$5)</f>
        <v>0</v>
      </c>
    </row>
    <row r="124" spans="1:264" s="12" customFormat="1" ht="15.75" hidden="1" x14ac:dyDescent="0.45">
      <c r="A124" s="32">
        <v>5.16</v>
      </c>
      <c r="B124" s="126"/>
      <c r="C124" s="117"/>
      <c r="D124" s="13" t="str">
        <f>IF(OR(j_WEEKDAY(J_ADDDAY(VLOOKUP(I124,A:F,6,FALSE),H124,1),0)=6,SUMIFS(Holieday[ok],Holieday[date],J_ADDDAY(VLOOKUP(I124,A:F,6,FALSE),H124,1)))=FALSE(),J_ADDDAY(VLOOKUP(I124,A:F,6,FALSE),H124,1),IF(OR(j_WEEKDAY(J_ADDDAY(VLOOKUP(I124,A:F,6,FALSE),H124+1,1),0)=6,SUMIFS(Holieday[ok],Holieday[date],J_ADDDAY(VLOOKUP(I124,A:F,6,FALSE),H124+1,1)))=FALSE(),J_ADDDAY(VLOOKUP(I124,A:F,6,FALSE),H124+1,1),IF(OR(j_WEEKDAY(J_ADDDAY(VLOOKUP(I124,A:F,6,FALSE),H124+2,1),0)=6,SUMIFS(Holieday[ok],Holieday[date],J_ADDDAY(VLOOKUP(I124,A:F,6,FALSE),H124+2,1)))=FALSE(),J_ADDDAY(VLOOKUP(I124,A:F,6,FALSE),H124+2,1),IF(OR(j_WEEKDAY(J_ADDDAY(VLOOKUP(I124,A:F,6,FALSE),H124+3,1),0)=6,SUMIFS(Holieday[ok],Holieday[date],J_ADDDAY(VLOOKUP(I124,A:F,6,FALSE),H124+3,1)))=FALSE(),J_ADDDAY(VLOOKUP(I124,A:F,6,FALSE),H124+3,1),IF(OR(j_WEEKDAY(J_ADDDAY(VLOOKUP(I124,A:F,6,FALSE),H124+4,1),0)=6,SUMIFS(Holieday[ok],Holieday[date],J_ADDDAY(VLOOKUP(I124,A:F,6,FALSE),H124+4,1)))=FALSE(),J_ADDDAY(VLOOKUP(I124,A:F,6,FALSE),H124+4,1),J_ADDDAY(VLOOKUP(I124,A:F,6,FALSE),H124+5,1))))))</f>
        <v>1398/09/11</v>
      </c>
      <c r="E124" s="2">
        <f t="shared" si="41"/>
        <v>13980911</v>
      </c>
      <c r="F124" s="13" t="str">
        <f>IF(N124=0,J_SUBDAY(D124,1,1),IF((N124-NETWORKDAYS.INTL(J_GregorianDate(D124,1),J_GregorianDate(J_SUBDAY(J_ADDDAY(D124,N124,1),1,1),1),16,1)-SUMIFS(Holieday[ok],Holieday[date],CONCATENATE("&gt;","=",D124),Holieday[date],CONCATENATE("&lt;","=",J_SUBDAY(J_ADDDAY(D124,N124,1),1,1)))+SUMIFS(Holieday[Friday],Holieday[date],CONCATENATE("&gt;","=",D124),Holieday[date],CONCATENATE("&lt;","=",J_SUBDAY(J_ADDDAY(D124,N124,1),1,1))))=0,J_SUBDAY(J_ADDDAY(D124,N124,1),1,1),IF((N124-NETWORKDAYS.INTL(J_GregorianDate(D124,1),J_GregorianDate(J_SUBDAY(J_ADDDAY(D124,N124,1),1,1),1),16,1)-SUMIFS(Holieday[ok],Holieday[date],CONCATENATE("&gt;","=",D124),Holieday[date],CONCATENATE("&lt;","=",J_SUBDAY(J_ADDDAY(D124,N124,1),1,1)))+SUMIFS(Holieday[Friday],Holieday[date],CONCATENATE("&gt;","=",D124),Holieday[date],CONCATENATE("&lt;","=",J_SUBDAY(J_ADDDAY(D124,N124,1),1,1))))=1,J_SUBDAY(J_ADDDAY(D124,N124+1,1),1,1),IF((N124-NETWORKDAYS.INTL(J_GregorianDate(D124,1),J_GregorianDate(J_SUBDAY(J_ADDDAY(D124,N124,1),1,1),1),16,1)-SUMIFS(Holieday[ok],Holieday[date],CONCATENATE("&gt;","=",D124),Holieday[date],CONCATENATE("&lt;","=",J_SUBDAY(J_ADDDAY(D124,N124,1),1,1)))+SUMIFS(Holieday[Friday],Holieday[date],CONCATENATE("&gt;","=",D124),Holieday[date],CONCATENATE("&lt;","=",J_SUBDAY(J_ADDDAY(D124,N124,1),1,1))))=2,J_SUBDAY(J_ADDDAY(D124,N124+2,1),1,1),J_SUBDAY(J_ADDDAY(D124,N124+3,1),1,1)))))</f>
        <v>1398/09/10</v>
      </c>
      <c r="G124" s="3">
        <f t="shared" si="42"/>
        <v>13980910</v>
      </c>
      <c r="H124" s="119"/>
      <c r="I124" s="120">
        <v>5.7</v>
      </c>
      <c r="J124" s="10">
        <f>j_WEEKDAY(D124,2)</f>
        <v>2</v>
      </c>
      <c r="K124" s="22">
        <f t="shared" si="40"/>
        <v>0</v>
      </c>
      <c r="L124" s="9">
        <f t="shared" si="37"/>
        <v>0</v>
      </c>
      <c r="M124" s="121">
        <v>0</v>
      </c>
      <c r="N124" s="118">
        <v>0</v>
      </c>
      <c r="O124" s="11">
        <f t="shared" si="38"/>
        <v>0</v>
      </c>
      <c r="P124" s="11">
        <f>VALUE(J_normdate(J_ADDDAY($D124,$O124,1)))</f>
        <v>13980911</v>
      </c>
      <c r="Q124" s="10">
        <f t="shared" si="39"/>
        <v>0</v>
      </c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  <c r="BA124" s="8"/>
      <c r="BB124" s="8"/>
      <c r="BC124" s="8"/>
      <c r="BD124" s="8"/>
      <c r="BE124" s="8"/>
      <c r="BF124" s="8"/>
      <c r="BG124" s="8"/>
      <c r="BH124" s="8"/>
      <c r="BI124" s="8"/>
      <c r="BJ124" s="8"/>
      <c r="BK124" s="8"/>
      <c r="BL124" s="8"/>
      <c r="BM124" s="8"/>
      <c r="BN124" s="8"/>
      <c r="BO124" s="8"/>
      <c r="BP124" s="8"/>
      <c r="BQ124" s="8"/>
      <c r="BR124" s="8"/>
      <c r="BS124" s="8"/>
      <c r="BT124" s="8"/>
      <c r="BU124" s="8"/>
      <c r="BV124" s="8"/>
      <c r="BW124" s="8"/>
      <c r="BX124" s="8"/>
      <c r="BY124" s="8"/>
      <c r="BZ124" s="8"/>
      <c r="CA124" s="8"/>
      <c r="CB124" s="8"/>
      <c r="CC124" s="8"/>
      <c r="CD124" s="8"/>
      <c r="CE124" s="8"/>
      <c r="CF124" s="8"/>
      <c r="CG124" s="8"/>
      <c r="CH124" s="8"/>
      <c r="CI124" s="8"/>
      <c r="CJ124" s="8"/>
      <c r="CK124" s="8"/>
      <c r="CL124" s="8"/>
      <c r="CM124" s="8"/>
      <c r="CN124" s="8"/>
      <c r="CO124" s="8"/>
      <c r="CP124" s="8"/>
      <c r="CQ124" s="8"/>
      <c r="CR124" s="8"/>
      <c r="CS124" s="8"/>
      <c r="CT124" s="8"/>
      <c r="CU124" s="8"/>
      <c r="CV124" s="8"/>
      <c r="CW124" s="8"/>
      <c r="CX124" s="8"/>
      <c r="CY124" s="8"/>
      <c r="CZ124" s="8"/>
      <c r="DA124" s="8"/>
      <c r="DB124" s="8"/>
      <c r="DC124" s="8"/>
      <c r="DD124" s="8"/>
      <c r="DE124" s="8"/>
      <c r="DF124" s="8"/>
      <c r="DG124" s="8"/>
      <c r="DH124" s="8"/>
      <c r="DI124" s="8"/>
      <c r="DJ124" s="8"/>
      <c r="DK124" s="8"/>
      <c r="DL124" s="8"/>
      <c r="DM124" s="8"/>
      <c r="DN124" s="8"/>
      <c r="DO124" s="8"/>
      <c r="DP124" s="8"/>
      <c r="DQ124" s="8"/>
      <c r="DR124" s="8"/>
      <c r="DS124" s="8"/>
      <c r="DT124" s="8"/>
      <c r="DU124" s="8"/>
      <c r="DV124" s="8"/>
      <c r="DW124" s="8"/>
      <c r="DX124" s="8"/>
      <c r="DY124" s="8"/>
      <c r="DZ124" s="8"/>
      <c r="EA124" s="8"/>
      <c r="EB124" s="8"/>
      <c r="EC124" s="8"/>
      <c r="ED124" s="8"/>
      <c r="EE124" s="8"/>
      <c r="EF124" s="8"/>
      <c r="EG124" s="8"/>
      <c r="EH124" s="8"/>
      <c r="EI124" s="8"/>
      <c r="EJ124" s="8"/>
      <c r="EK124" s="8"/>
      <c r="EL124" s="8"/>
      <c r="EM124" s="8"/>
      <c r="EN124" s="8"/>
      <c r="EO124" s="8"/>
      <c r="EP124" s="8"/>
      <c r="EQ124" s="8"/>
      <c r="ER124" s="8"/>
      <c r="ES124" s="8"/>
      <c r="ET124" s="8"/>
      <c r="EU124" s="8"/>
      <c r="EV124" s="8"/>
      <c r="EW124" s="8"/>
      <c r="EX124" s="8"/>
      <c r="EY124" s="8"/>
      <c r="EZ124" s="8"/>
      <c r="FA124" s="8"/>
      <c r="FB124" s="8"/>
      <c r="FC124" s="8"/>
      <c r="FD124" s="8"/>
      <c r="FE124" s="8"/>
      <c r="FF124" s="8"/>
      <c r="FG124" s="8"/>
      <c r="FH124" s="8"/>
      <c r="FI124" s="8"/>
      <c r="FJ124" s="8"/>
      <c r="FK124" s="8"/>
      <c r="FL124" s="8"/>
      <c r="FM124" s="8"/>
      <c r="FN124" s="8"/>
      <c r="FO124" s="8"/>
      <c r="FP124" s="8"/>
      <c r="FQ124" s="8"/>
      <c r="FR124" s="8"/>
      <c r="FS124" s="8"/>
      <c r="FT124" s="8"/>
      <c r="FU124" s="8"/>
      <c r="FV124" s="8"/>
      <c r="FW124" s="8"/>
      <c r="FX124" s="8"/>
      <c r="FY124" s="8"/>
      <c r="FZ124" s="8"/>
      <c r="GA124" s="8"/>
      <c r="GB124" s="8"/>
      <c r="GC124" s="8"/>
      <c r="GD124" s="8"/>
      <c r="GE124" s="8"/>
      <c r="GF124" s="8"/>
      <c r="GG124" s="8"/>
      <c r="GH124" s="8"/>
      <c r="GI124" s="8"/>
      <c r="GJ124" s="8"/>
      <c r="GK124" s="8"/>
      <c r="GL124" s="8"/>
      <c r="GM124" s="8"/>
      <c r="GN124" s="8"/>
      <c r="GO124" s="8"/>
      <c r="GP124" s="8"/>
      <c r="GQ124" s="8"/>
      <c r="GR124" s="8"/>
      <c r="GS124" s="8"/>
      <c r="GT124" s="8"/>
      <c r="GU124" s="8"/>
      <c r="GV124" s="8"/>
      <c r="GW124" s="8"/>
      <c r="GX124" s="8"/>
      <c r="GY124" s="8"/>
      <c r="GZ124" s="8"/>
      <c r="HA124" s="8"/>
      <c r="HB124" s="8"/>
      <c r="HC124" s="8"/>
      <c r="HD124" s="8"/>
      <c r="HE124" s="8"/>
      <c r="HF124" s="8"/>
      <c r="HG124" s="8"/>
      <c r="HH124" s="8"/>
      <c r="HI124" s="8"/>
      <c r="HJ124" s="8"/>
      <c r="HK124" s="8"/>
      <c r="HL124" s="8"/>
      <c r="HM124" s="8"/>
      <c r="HN124" s="8"/>
      <c r="HO124" s="8"/>
      <c r="HP124" s="8"/>
      <c r="HQ124" s="8"/>
      <c r="HR124" s="8"/>
      <c r="HS124" s="8"/>
      <c r="HT124" s="8"/>
      <c r="HU124" s="8"/>
      <c r="HV124" s="8"/>
      <c r="HW124" s="8"/>
      <c r="HX124" s="8"/>
      <c r="HY124" s="8"/>
      <c r="HZ124" s="8"/>
      <c r="IA124" s="8"/>
      <c r="IB124" s="8"/>
      <c r="IC124" s="8"/>
      <c r="ID124" s="8"/>
      <c r="IE124" s="8"/>
      <c r="IF124" s="8"/>
      <c r="IG124" s="8"/>
      <c r="IH124" s="8"/>
      <c r="II124" s="8"/>
      <c r="IJ124" s="8"/>
      <c r="IK124" s="8"/>
      <c r="IL124" s="8"/>
      <c r="IM124" s="8"/>
      <c r="IN124" s="8"/>
      <c r="IO124" s="8"/>
      <c r="IP124" s="8"/>
      <c r="IQ124" s="8"/>
      <c r="IR124" s="8"/>
      <c r="IS124" s="8"/>
      <c r="IT124" s="8"/>
      <c r="IU124" s="8"/>
      <c r="IV124" s="8"/>
      <c r="IW124" s="8"/>
      <c r="IX124" s="8"/>
      <c r="JA124" s="123"/>
      <c r="JB124" s="123"/>
      <c r="JC124" s="123"/>
      <c r="JD124" s="70">
        <f>SUM((TEXT(JA124,"[M]")/60)*'Income Person-hours'!$D$3,(TEXT(JB124,"[M]")/60)*'Income Person-hours'!$D$4,(TEXT(JC124,"[M]")/60)*'Income Person-hours'!$D$5)</f>
        <v>0</v>
      </c>
    </row>
    <row r="125" spans="1:264" s="12" customFormat="1" ht="15.75" hidden="1" x14ac:dyDescent="0.45">
      <c r="A125" s="32">
        <v>5.17</v>
      </c>
      <c r="B125" s="126"/>
      <c r="C125" s="117"/>
      <c r="D125" s="13" t="str">
        <f>IF(OR(j_WEEKDAY(J_ADDDAY(VLOOKUP(I125,A:F,6,FALSE),H125,1),0)=6,SUMIFS(Holieday[ok],Holieday[date],J_ADDDAY(VLOOKUP(I125,A:F,6,FALSE),H125,1)))=FALSE(),J_ADDDAY(VLOOKUP(I125,A:F,6,FALSE),H125,1),IF(OR(j_WEEKDAY(J_ADDDAY(VLOOKUP(I125,A:F,6,FALSE),H125+1,1),0)=6,SUMIFS(Holieday[ok],Holieday[date],J_ADDDAY(VLOOKUP(I125,A:F,6,FALSE),H125+1,1)))=FALSE(),J_ADDDAY(VLOOKUP(I125,A:F,6,FALSE),H125+1,1),IF(OR(j_WEEKDAY(J_ADDDAY(VLOOKUP(I125,A:F,6,FALSE),H125+2,1),0)=6,SUMIFS(Holieday[ok],Holieday[date],J_ADDDAY(VLOOKUP(I125,A:F,6,FALSE),H125+2,1)))=FALSE(),J_ADDDAY(VLOOKUP(I125,A:F,6,FALSE),H125+2,1),IF(OR(j_WEEKDAY(J_ADDDAY(VLOOKUP(I125,A:F,6,FALSE),H125+3,1),0)=6,SUMIFS(Holieday[ok],Holieday[date],J_ADDDAY(VLOOKUP(I125,A:F,6,FALSE),H125+3,1)))=FALSE(),J_ADDDAY(VLOOKUP(I125,A:F,6,FALSE),H125+3,1),IF(OR(j_WEEKDAY(J_ADDDAY(VLOOKUP(I125,A:F,6,FALSE),H125+4,1),0)=6,SUMIFS(Holieday[ok],Holieday[date],J_ADDDAY(VLOOKUP(I125,A:F,6,FALSE),H125+4,1)))=FALSE(),J_ADDDAY(VLOOKUP(I125,A:F,6,FALSE),H125+4,1),J_ADDDAY(VLOOKUP(I125,A:F,6,FALSE),H125+5,1))))))</f>
        <v>1398/09/11</v>
      </c>
      <c r="E125" s="2">
        <f t="shared" si="41"/>
        <v>13980911</v>
      </c>
      <c r="F125" s="13" t="str">
        <f>IF(N125=0,J_SUBDAY(D125,1,1),IF((N125-NETWORKDAYS.INTL(J_GregorianDate(D125,1),J_GregorianDate(J_SUBDAY(J_ADDDAY(D125,N125,1),1,1),1),16,1)-SUMIFS(Holieday[ok],Holieday[date],CONCATENATE("&gt;","=",D125),Holieday[date],CONCATENATE("&lt;","=",J_SUBDAY(J_ADDDAY(D125,N125,1),1,1)))+SUMIFS(Holieday[Friday],Holieday[date],CONCATENATE("&gt;","=",D125),Holieday[date],CONCATENATE("&lt;","=",J_SUBDAY(J_ADDDAY(D125,N125,1),1,1))))=0,J_SUBDAY(J_ADDDAY(D125,N125,1),1,1),IF((N125-NETWORKDAYS.INTL(J_GregorianDate(D125,1),J_GregorianDate(J_SUBDAY(J_ADDDAY(D125,N125,1),1,1),1),16,1)-SUMIFS(Holieday[ok],Holieday[date],CONCATENATE("&gt;","=",D125),Holieday[date],CONCATENATE("&lt;","=",J_SUBDAY(J_ADDDAY(D125,N125,1),1,1)))+SUMIFS(Holieday[Friday],Holieday[date],CONCATENATE("&gt;","=",D125),Holieday[date],CONCATENATE("&lt;","=",J_SUBDAY(J_ADDDAY(D125,N125,1),1,1))))=1,J_SUBDAY(J_ADDDAY(D125,N125+1,1),1,1),IF((N125-NETWORKDAYS.INTL(J_GregorianDate(D125,1),J_GregorianDate(J_SUBDAY(J_ADDDAY(D125,N125,1),1,1),1),16,1)-SUMIFS(Holieday[ok],Holieday[date],CONCATENATE("&gt;","=",D125),Holieday[date],CONCATENATE("&lt;","=",J_SUBDAY(J_ADDDAY(D125,N125,1),1,1)))+SUMIFS(Holieday[Friday],Holieday[date],CONCATENATE("&gt;","=",D125),Holieday[date],CONCATENATE("&lt;","=",J_SUBDAY(J_ADDDAY(D125,N125,1),1,1))))=2,J_SUBDAY(J_ADDDAY(D125,N125+2,1),1,1),J_SUBDAY(J_ADDDAY(D125,N125+3,1),1,1)))))</f>
        <v>1398/09/10</v>
      </c>
      <c r="G125" s="3">
        <f t="shared" si="42"/>
        <v>13980910</v>
      </c>
      <c r="H125" s="119"/>
      <c r="I125" s="120">
        <v>5.7</v>
      </c>
      <c r="J125" s="10">
        <f>j_WEEKDAY(D125,2)</f>
        <v>2</v>
      </c>
      <c r="K125" s="22">
        <f t="shared" si="40"/>
        <v>0</v>
      </c>
      <c r="L125" s="9">
        <f t="shared" si="37"/>
        <v>0</v>
      </c>
      <c r="M125" s="121">
        <v>0</v>
      </c>
      <c r="N125" s="118">
        <v>0</v>
      </c>
      <c r="O125" s="11">
        <f t="shared" si="38"/>
        <v>0</v>
      </c>
      <c r="P125" s="11">
        <f>VALUE(J_normdate(J_ADDDAY($D125,$O125,1)))</f>
        <v>13980911</v>
      </c>
      <c r="Q125" s="10">
        <f t="shared" si="39"/>
        <v>0</v>
      </c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  <c r="AY125" s="8"/>
      <c r="AZ125" s="8"/>
      <c r="BA125" s="8"/>
      <c r="BB125" s="8"/>
      <c r="BC125" s="8"/>
      <c r="BD125" s="8"/>
      <c r="BE125" s="8"/>
      <c r="BF125" s="8"/>
      <c r="BG125" s="8"/>
      <c r="BH125" s="8"/>
      <c r="BI125" s="8"/>
      <c r="BJ125" s="8"/>
      <c r="BK125" s="8"/>
      <c r="BL125" s="8"/>
      <c r="BM125" s="8"/>
      <c r="BN125" s="8"/>
      <c r="BO125" s="8"/>
      <c r="BP125" s="8"/>
      <c r="BQ125" s="8"/>
      <c r="BR125" s="8"/>
      <c r="BS125" s="8"/>
      <c r="BT125" s="8"/>
      <c r="BU125" s="8"/>
      <c r="BV125" s="8"/>
      <c r="BW125" s="8"/>
      <c r="BX125" s="8"/>
      <c r="BY125" s="8"/>
      <c r="BZ125" s="8"/>
      <c r="CA125" s="8"/>
      <c r="CB125" s="8"/>
      <c r="CC125" s="8"/>
      <c r="CD125" s="8"/>
      <c r="CE125" s="8"/>
      <c r="CF125" s="8"/>
      <c r="CG125" s="8"/>
      <c r="CH125" s="8"/>
      <c r="CI125" s="8"/>
      <c r="CJ125" s="8"/>
      <c r="CK125" s="8"/>
      <c r="CL125" s="8"/>
      <c r="CM125" s="8"/>
      <c r="CN125" s="8"/>
      <c r="CO125" s="8"/>
      <c r="CP125" s="8"/>
      <c r="CQ125" s="8"/>
      <c r="CR125" s="8"/>
      <c r="CS125" s="8"/>
      <c r="CT125" s="8"/>
      <c r="CU125" s="8"/>
      <c r="CV125" s="8"/>
      <c r="CW125" s="8"/>
      <c r="CX125" s="8"/>
      <c r="CY125" s="8"/>
      <c r="CZ125" s="8"/>
      <c r="DA125" s="8"/>
      <c r="DB125" s="8"/>
      <c r="DC125" s="8"/>
      <c r="DD125" s="8"/>
      <c r="DE125" s="8"/>
      <c r="DF125" s="8"/>
      <c r="DG125" s="8"/>
      <c r="DH125" s="8"/>
      <c r="DI125" s="8"/>
      <c r="DJ125" s="8"/>
      <c r="DK125" s="8"/>
      <c r="DL125" s="8"/>
      <c r="DM125" s="8"/>
      <c r="DN125" s="8"/>
      <c r="DO125" s="8"/>
      <c r="DP125" s="8"/>
      <c r="DQ125" s="8"/>
      <c r="DR125" s="8"/>
      <c r="DS125" s="8"/>
      <c r="DT125" s="8"/>
      <c r="DU125" s="8"/>
      <c r="DV125" s="8"/>
      <c r="DW125" s="8"/>
      <c r="DX125" s="8"/>
      <c r="DY125" s="8"/>
      <c r="DZ125" s="8"/>
      <c r="EA125" s="8"/>
      <c r="EB125" s="8"/>
      <c r="EC125" s="8"/>
      <c r="ED125" s="8"/>
      <c r="EE125" s="8"/>
      <c r="EF125" s="8"/>
      <c r="EG125" s="8"/>
      <c r="EH125" s="8"/>
      <c r="EI125" s="8"/>
      <c r="EJ125" s="8"/>
      <c r="EK125" s="8"/>
      <c r="EL125" s="8"/>
      <c r="EM125" s="8"/>
      <c r="EN125" s="8"/>
      <c r="EO125" s="8"/>
      <c r="EP125" s="8"/>
      <c r="EQ125" s="8"/>
      <c r="ER125" s="8"/>
      <c r="ES125" s="8"/>
      <c r="ET125" s="8"/>
      <c r="EU125" s="8"/>
      <c r="EV125" s="8"/>
      <c r="EW125" s="8"/>
      <c r="EX125" s="8"/>
      <c r="EY125" s="8"/>
      <c r="EZ125" s="8"/>
      <c r="FA125" s="8"/>
      <c r="FB125" s="8"/>
      <c r="FC125" s="8"/>
      <c r="FD125" s="8"/>
      <c r="FE125" s="8"/>
      <c r="FF125" s="8"/>
      <c r="FG125" s="8"/>
      <c r="FH125" s="8"/>
      <c r="FI125" s="8"/>
      <c r="FJ125" s="8"/>
      <c r="FK125" s="8"/>
      <c r="FL125" s="8"/>
      <c r="FM125" s="8"/>
      <c r="FN125" s="8"/>
      <c r="FO125" s="8"/>
      <c r="FP125" s="8"/>
      <c r="FQ125" s="8"/>
      <c r="FR125" s="8"/>
      <c r="FS125" s="8"/>
      <c r="FT125" s="8"/>
      <c r="FU125" s="8"/>
      <c r="FV125" s="8"/>
      <c r="FW125" s="8"/>
      <c r="FX125" s="8"/>
      <c r="FY125" s="8"/>
      <c r="FZ125" s="8"/>
      <c r="GA125" s="8"/>
      <c r="GB125" s="8"/>
      <c r="GC125" s="8"/>
      <c r="GD125" s="8"/>
      <c r="GE125" s="8"/>
      <c r="GF125" s="8"/>
      <c r="GG125" s="8"/>
      <c r="GH125" s="8"/>
      <c r="GI125" s="8"/>
      <c r="GJ125" s="8"/>
      <c r="GK125" s="8"/>
      <c r="GL125" s="8"/>
      <c r="GM125" s="8"/>
      <c r="GN125" s="8"/>
      <c r="GO125" s="8"/>
      <c r="GP125" s="8"/>
      <c r="GQ125" s="8"/>
      <c r="GR125" s="8"/>
      <c r="GS125" s="8"/>
      <c r="GT125" s="8"/>
      <c r="GU125" s="8"/>
      <c r="GV125" s="8"/>
      <c r="GW125" s="8"/>
      <c r="GX125" s="8"/>
      <c r="GY125" s="8"/>
      <c r="GZ125" s="8"/>
      <c r="HA125" s="8"/>
      <c r="HB125" s="8"/>
      <c r="HC125" s="8"/>
      <c r="HD125" s="8"/>
      <c r="HE125" s="8"/>
      <c r="HF125" s="8"/>
      <c r="HG125" s="8"/>
      <c r="HH125" s="8"/>
      <c r="HI125" s="8"/>
      <c r="HJ125" s="8"/>
      <c r="HK125" s="8"/>
      <c r="HL125" s="8"/>
      <c r="HM125" s="8"/>
      <c r="HN125" s="8"/>
      <c r="HO125" s="8"/>
      <c r="HP125" s="8"/>
      <c r="HQ125" s="8"/>
      <c r="HR125" s="8"/>
      <c r="HS125" s="8"/>
      <c r="HT125" s="8"/>
      <c r="HU125" s="8"/>
      <c r="HV125" s="8"/>
      <c r="HW125" s="8"/>
      <c r="HX125" s="8"/>
      <c r="HY125" s="8"/>
      <c r="HZ125" s="8"/>
      <c r="IA125" s="8"/>
      <c r="IB125" s="8"/>
      <c r="IC125" s="8"/>
      <c r="ID125" s="8"/>
      <c r="IE125" s="8"/>
      <c r="IF125" s="8"/>
      <c r="IG125" s="8"/>
      <c r="IH125" s="8"/>
      <c r="II125" s="8"/>
      <c r="IJ125" s="8"/>
      <c r="IK125" s="8"/>
      <c r="IL125" s="8"/>
      <c r="IM125" s="8"/>
      <c r="IN125" s="8"/>
      <c r="IO125" s="8"/>
      <c r="IP125" s="8"/>
      <c r="IQ125" s="8"/>
      <c r="IR125" s="8"/>
      <c r="IS125" s="8"/>
      <c r="IT125" s="8"/>
      <c r="IU125" s="8"/>
      <c r="IV125" s="8"/>
      <c r="IW125" s="8"/>
      <c r="IX125" s="8"/>
      <c r="JA125" s="123"/>
      <c r="JB125" s="123"/>
      <c r="JC125" s="123"/>
      <c r="JD125" s="70">
        <f>SUM((TEXT(JA125,"[M]")/60)*'Income Person-hours'!$D$3,(TEXT(JB125,"[M]")/60)*'Income Person-hours'!$D$4,(TEXT(JC125,"[M]")/60)*'Income Person-hours'!$D$5)</f>
        <v>0</v>
      </c>
    </row>
    <row r="126" spans="1:264" s="12" customFormat="1" ht="15.75" hidden="1" x14ac:dyDescent="0.45">
      <c r="A126" s="32">
        <v>5.18</v>
      </c>
      <c r="B126" s="126"/>
      <c r="C126" s="117"/>
      <c r="D126" s="13" t="str">
        <f>IF(OR(j_WEEKDAY(J_ADDDAY(VLOOKUP(I126,A:F,6,FALSE),H126,1),0)=6,SUMIFS(Holieday[ok],Holieday[date],J_ADDDAY(VLOOKUP(I126,A:F,6,FALSE),H126,1)))=FALSE(),J_ADDDAY(VLOOKUP(I126,A:F,6,FALSE),H126,1),IF(OR(j_WEEKDAY(J_ADDDAY(VLOOKUP(I126,A:F,6,FALSE),H126+1,1),0)=6,SUMIFS(Holieday[ok],Holieday[date],J_ADDDAY(VLOOKUP(I126,A:F,6,FALSE),H126+1,1)))=FALSE(),J_ADDDAY(VLOOKUP(I126,A:F,6,FALSE),H126+1,1),IF(OR(j_WEEKDAY(J_ADDDAY(VLOOKUP(I126,A:F,6,FALSE),H126+2,1),0)=6,SUMIFS(Holieday[ok],Holieday[date],J_ADDDAY(VLOOKUP(I126,A:F,6,FALSE),H126+2,1)))=FALSE(),J_ADDDAY(VLOOKUP(I126,A:F,6,FALSE),H126+2,1),IF(OR(j_WEEKDAY(J_ADDDAY(VLOOKUP(I126,A:F,6,FALSE),H126+3,1),0)=6,SUMIFS(Holieday[ok],Holieday[date],J_ADDDAY(VLOOKUP(I126,A:F,6,FALSE),H126+3,1)))=FALSE(),J_ADDDAY(VLOOKUP(I126,A:F,6,FALSE),H126+3,1),IF(OR(j_WEEKDAY(J_ADDDAY(VLOOKUP(I126,A:F,6,FALSE),H126+4,1),0)=6,SUMIFS(Holieday[ok],Holieday[date],J_ADDDAY(VLOOKUP(I126,A:F,6,FALSE),H126+4,1)))=FALSE(),J_ADDDAY(VLOOKUP(I126,A:F,6,FALSE),H126+4,1),J_ADDDAY(VLOOKUP(I126,A:F,6,FALSE),H126+5,1))))))</f>
        <v>1398/09/11</v>
      </c>
      <c r="E126" s="2">
        <f t="shared" si="41"/>
        <v>13980911</v>
      </c>
      <c r="F126" s="13" t="str">
        <f>IF(N126=0,J_SUBDAY(D126,1,1),IF((N126-NETWORKDAYS.INTL(J_GregorianDate(D126,1),J_GregorianDate(J_SUBDAY(J_ADDDAY(D126,N126,1),1,1),1),16,1)-SUMIFS(Holieday[ok],Holieday[date],CONCATENATE("&gt;","=",D126),Holieday[date],CONCATENATE("&lt;","=",J_SUBDAY(J_ADDDAY(D126,N126,1),1,1)))+SUMIFS(Holieday[Friday],Holieday[date],CONCATENATE("&gt;","=",D126),Holieday[date],CONCATENATE("&lt;","=",J_SUBDAY(J_ADDDAY(D126,N126,1),1,1))))=0,J_SUBDAY(J_ADDDAY(D126,N126,1),1,1),IF((N126-NETWORKDAYS.INTL(J_GregorianDate(D126,1),J_GregorianDate(J_SUBDAY(J_ADDDAY(D126,N126,1),1,1),1),16,1)-SUMIFS(Holieday[ok],Holieday[date],CONCATENATE("&gt;","=",D126),Holieday[date],CONCATENATE("&lt;","=",J_SUBDAY(J_ADDDAY(D126,N126,1),1,1)))+SUMIFS(Holieday[Friday],Holieday[date],CONCATENATE("&gt;","=",D126),Holieday[date],CONCATENATE("&lt;","=",J_SUBDAY(J_ADDDAY(D126,N126,1),1,1))))=1,J_SUBDAY(J_ADDDAY(D126,N126+1,1),1,1),IF((N126-NETWORKDAYS.INTL(J_GregorianDate(D126,1),J_GregorianDate(J_SUBDAY(J_ADDDAY(D126,N126,1),1,1),1),16,1)-SUMIFS(Holieday[ok],Holieday[date],CONCATENATE("&gt;","=",D126),Holieday[date],CONCATENATE("&lt;","=",J_SUBDAY(J_ADDDAY(D126,N126,1),1,1)))+SUMIFS(Holieday[Friday],Holieday[date],CONCATENATE("&gt;","=",D126),Holieday[date],CONCATENATE("&lt;","=",J_SUBDAY(J_ADDDAY(D126,N126,1),1,1))))=2,J_SUBDAY(J_ADDDAY(D126,N126+2,1),1,1),J_SUBDAY(J_ADDDAY(D126,N126+3,1),1,1)))))</f>
        <v>1398/09/10</v>
      </c>
      <c r="G126" s="3">
        <f t="shared" si="42"/>
        <v>13980910</v>
      </c>
      <c r="H126" s="119"/>
      <c r="I126" s="120">
        <v>5.7</v>
      </c>
      <c r="J126" s="10">
        <f>j_WEEKDAY(D126,2)</f>
        <v>2</v>
      </c>
      <c r="K126" s="22">
        <f t="shared" si="40"/>
        <v>0</v>
      </c>
      <c r="L126" s="9">
        <f t="shared" si="37"/>
        <v>0</v>
      </c>
      <c r="M126" s="121">
        <v>0</v>
      </c>
      <c r="N126" s="118">
        <v>0</v>
      </c>
      <c r="O126" s="11">
        <f t="shared" si="38"/>
        <v>0</v>
      </c>
      <c r="P126" s="11">
        <f>VALUE(J_normdate(J_ADDDAY($D126,$O126,1)))</f>
        <v>13980911</v>
      </c>
      <c r="Q126" s="10">
        <f t="shared" si="39"/>
        <v>0</v>
      </c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 s="8"/>
      <c r="BA126" s="8"/>
      <c r="BB126" s="8"/>
      <c r="BC126" s="8"/>
      <c r="BD126" s="8"/>
      <c r="BE126" s="8"/>
      <c r="BF126" s="8"/>
      <c r="BG126" s="8"/>
      <c r="BH126" s="8"/>
      <c r="BI126" s="8"/>
      <c r="BJ126" s="8"/>
      <c r="BK126" s="8"/>
      <c r="BL126" s="8"/>
      <c r="BM126" s="8"/>
      <c r="BN126" s="8"/>
      <c r="BO126" s="8"/>
      <c r="BP126" s="8"/>
      <c r="BQ126" s="8"/>
      <c r="BR126" s="8"/>
      <c r="BS126" s="8"/>
      <c r="BT126" s="8"/>
      <c r="BU126" s="8"/>
      <c r="BV126" s="8"/>
      <c r="BW126" s="8"/>
      <c r="BX126" s="8"/>
      <c r="BY126" s="8"/>
      <c r="BZ126" s="8"/>
      <c r="CA126" s="8"/>
      <c r="CB126" s="8"/>
      <c r="CC126" s="8"/>
      <c r="CD126" s="8"/>
      <c r="CE126" s="8"/>
      <c r="CF126" s="8"/>
      <c r="CG126" s="8"/>
      <c r="CH126" s="8"/>
      <c r="CI126" s="8"/>
      <c r="CJ126" s="8"/>
      <c r="CK126" s="8"/>
      <c r="CL126" s="8"/>
      <c r="CM126" s="8"/>
      <c r="CN126" s="8"/>
      <c r="CO126" s="8"/>
      <c r="CP126" s="8"/>
      <c r="CQ126" s="8"/>
      <c r="CR126" s="8"/>
      <c r="CS126" s="8"/>
      <c r="CT126" s="8"/>
      <c r="CU126" s="8"/>
      <c r="CV126" s="8"/>
      <c r="CW126" s="8"/>
      <c r="CX126" s="8"/>
      <c r="CY126" s="8"/>
      <c r="CZ126" s="8"/>
      <c r="DA126" s="8"/>
      <c r="DB126" s="8"/>
      <c r="DC126" s="8"/>
      <c r="DD126" s="8"/>
      <c r="DE126" s="8"/>
      <c r="DF126" s="8"/>
      <c r="DG126" s="8"/>
      <c r="DH126" s="8"/>
      <c r="DI126" s="8"/>
      <c r="DJ126" s="8"/>
      <c r="DK126" s="8"/>
      <c r="DL126" s="8"/>
      <c r="DM126" s="8"/>
      <c r="DN126" s="8"/>
      <c r="DO126" s="8"/>
      <c r="DP126" s="8"/>
      <c r="DQ126" s="8"/>
      <c r="DR126" s="8"/>
      <c r="DS126" s="8"/>
      <c r="DT126" s="8"/>
      <c r="DU126" s="8"/>
      <c r="DV126" s="8"/>
      <c r="DW126" s="8"/>
      <c r="DX126" s="8"/>
      <c r="DY126" s="8"/>
      <c r="DZ126" s="8"/>
      <c r="EA126" s="8"/>
      <c r="EB126" s="8"/>
      <c r="EC126" s="8"/>
      <c r="ED126" s="8"/>
      <c r="EE126" s="8"/>
      <c r="EF126" s="8"/>
      <c r="EG126" s="8"/>
      <c r="EH126" s="8"/>
      <c r="EI126" s="8"/>
      <c r="EJ126" s="8"/>
      <c r="EK126" s="8"/>
      <c r="EL126" s="8"/>
      <c r="EM126" s="8"/>
      <c r="EN126" s="8"/>
      <c r="EO126" s="8"/>
      <c r="EP126" s="8"/>
      <c r="EQ126" s="8"/>
      <c r="ER126" s="8"/>
      <c r="ES126" s="8"/>
      <c r="ET126" s="8"/>
      <c r="EU126" s="8"/>
      <c r="EV126" s="8"/>
      <c r="EW126" s="8"/>
      <c r="EX126" s="8"/>
      <c r="EY126" s="8"/>
      <c r="EZ126" s="8"/>
      <c r="FA126" s="8"/>
      <c r="FB126" s="8"/>
      <c r="FC126" s="8"/>
      <c r="FD126" s="8"/>
      <c r="FE126" s="8"/>
      <c r="FF126" s="8"/>
      <c r="FG126" s="8"/>
      <c r="FH126" s="8"/>
      <c r="FI126" s="8"/>
      <c r="FJ126" s="8"/>
      <c r="FK126" s="8"/>
      <c r="FL126" s="8"/>
      <c r="FM126" s="8"/>
      <c r="FN126" s="8"/>
      <c r="FO126" s="8"/>
      <c r="FP126" s="8"/>
      <c r="FQ126" s="8"/>
      <c r="FR126" s="8"/>
      <c r="FS126" s="8"/>
      <c r="FT126" s="8"/>
      <c r="FU126" s="8"/>
      <c r="FV126" s="8"/>
      <c r="FW126" s="8"/>
      <c r="FX126" s="8"/>
      <c r="FY126" s="8"/>
      <c r="FZ126" s="8"/>
      <c r="GA126" s="8"/>
      <c r="GB126" s="8"/>
      <c r="GC126" s="8"/>
      <c r="GD126" s="8"/>
      <c r="GE126" s="8"/>
      <c r="GF126" s="8"/>
      <c r="GG126" s="8"/>
      <c r="GH126" s="8"/>
      <c r="GI126" s="8"/>
      <c r="GJ126" s="8"/>
      <c r="GK126" s="8"/>
      <c r="GL126" s="8"/>
      <c r="GM126" s="8"/>
      <c r="GN126" s="8"/>
      <c r="GO126" s="8"/>
      <c r="GP126" s="8"/>
      <c r="GQ126" s="8"/>
      <c r="GR126" s="8"/>
      <c r="GS126" s="8"/>
      <c r="GT126" s="8"/>
      <c r="GU126" s="8"/>
      <c r="GV126" s="8"/>
      <c r="GW126" s="8"/>
      <c r="GX126" s="8"/>
      <c r="GY126" s="8"/>
      <c r="GZ126" s="8"/>
      <c r="HA126" s="8"/>
      <c r="HB126" s="8"/>
      <c r="HC126" s="8"/>
      <c r="HD126" s="8"/>
      <c r="HE126" s="8"/>
      <c r="HF126" s="8"/>
      <c r="HG126" s="8"/>
      <c r="HH126" s="8"/>
      <c r="HI126" s="8"/>
      <c r="HJ126" s="8"/>
      <c r="HK126" s="8"/>
      <c r="HL126" s="8"/>
      <c r="HM126" s="8"/>
      <c r="HN126" s="8"/>
      <c r="HO126" s="8"/>
      <c r="HP126" s="8"/>
      <c r="HQ126" s="8"/>
      <c r="HR126" s="8"/>
      <c r="HS126" s="8"/>
      <c r="HT126" s="8"/>
      <c r="HU126" s="8"/>
      <c r="HV126" s="8"/>
      <c r="HW126" s="8"/>
      <c r="HX126" s="8"/>
      <c r="HY126" s="8"/>
      <c r="HZ126" s="8"/>
      <c r="IA126" s="8"/>
      <c r="IB126" s="8"/>
      <c r="IC126" s="8"/>
      <c r="ID126" s="8"/>
      <c r="IE126" s="8"/>
      <c r="IF126" s="8"/>
      <c r="IG126" s="8"/>
      <c r="IH126" s="8"/>
      <c r="II126" s="8"/>
      <c r="IJ126" s="8"/>
      <c r="IK126" s="8"/>
      <c r="IL126" s="8"/>
      <c r="IM126" s="8"/>
      <c r="IN126" s="8"/>
      <c r="IO126" s="8"/>
      <c r="IP126" s="8"/>
      <c r="IQ126" s="8"/>
      <c r="IR126" s="8"/>
      <c r="IS126" s="8"/>
      <c r="IT126" s="8"/>
      <c r="IU126" s="8"/>
      <c r="IV126" s="8"/>
      <c r="IW126" s="8"/>
      <c r="IX126" s="8"/>
      <c r="JA126" s="123"/>
      <c r="JB126" s="123"/>
      <c r="JC126" s="123"/>
      <c r="JD126" s="70">
        <f>SUM((TEXT(JA126,"[M]")/60)*'Income Person-hours'!$D$3,(TEXT(JB126,"[M]")/60)*'Income Person-hours'!$D$4,(TEXT(JC126,"[M]")/60)*'Income Person-hours'!$D$5)</f>
        <v>0</v>
      </c>
    </row>
    <row r="127" spans="1:264" s="12" customFormat="1" ht="15.75" hidden="1" x14ac:dyDescent="0.45">
      <c r="A127" s="32">
        <v>5.19</v>
      </c>
      <c r="B127" s="126"/>
      <c r="C127" s="117"/>
      <c r="D127" s="13" t="str">
        <f>IF(OR(j_WEEKDAY(J_ADDDAY(VLOOKUP(I127,A:F,6,FALSE),H127,1),0)=6,SUMIFS(Holieday[ok],Holieday[date],J_ADDDAY(VLOOKUP(I127,A:F,6,FALSE),H127,1)))=FALSE(),J_ADDDAY(VLOOKUP(I127,A:F,6,FALSE),H127,1),IF(OR(j_WEEKDAY(J_ADDDAY(VLOOKUP(I127,A:F,6,FALSE),H127+1,1),0)=6,SUMIFS(Holieday[ok],Holieday[date],J_ADDDAY(VLOOKUP(I127,A:F,6,FALSE),H127+1,1)))=FALSE(),J_ADDDAY(VLOOKUP(I127,A:F,6,FALSE),H127+1,1),IF(OR(j_WEEKDAY(J_ADDDAY(VLOOKUP(I127,A:F,6,FALSE),H127+2,1),0)=6,SUMIFS(Holieday[ok],Holieday[date],J_ADDDAY(VLOOKUP(I127,A:F,6,FALSE),H127+2,1)))=FALSE(),J_ADDDAY(VLOOKUP(I127,A:F,6,FALSE),H127+2,1),IF(OR(j_WEEKDAY(J_ADDDAY(VLOOKUP(I127,A:F,6,FALSE),H127+3,1),0)=6,SUMIFS(Holieday[ok],Holieday[date],J_ADDDAY(VLOOKUP(I127,A:F,6,FALSE),H127+3,1)))=FALSE(),J_ADDDAY(VLOOKUP(I127,A:F,6,FALSE),H127+3,1),IF(OR(j_WEEKDAY(J_ADDDAY(VLOOKUP(I127,A:F,6,FALSE),H127+4,1),0)=6,SUMIFS(Holieday[ok],Holieday[date],J_ADDDAY(VLOOKUP(I127,A:F,6,FALSE),H127+4,1)))=FALSE(),J_ADDDAY(VLOOKUP(I127,A:F,6,FALSE),H127+4,1),J_ADDDAY(VLOOKUP(I127,A:F,6,FALSE),H127+5,1))))))</f>
        <v>1398/09/11</v>
      </c>
      <c r="E127" s="2">
        <f t="shared" si="41"/>
        <v>13980911</v>
      </c>
      <c r="F127" s="13" t="str">
        <f>IF(N127=0,J_SUBDAY(D127,1,1),IF((N127-NETWORKDAYS.INTL(J_GregorianDate(D127,1),J_GregorianDate(J_SUBDAY(J_ADDDAY(D127,N127,1),1,1),1),16,1)-SUMIFS(Holieday[ok],Holieday[date],CONCATENATE("&gt;","=",D127),Holieday[date],CONCATENATE("&lt;","=",J_SUBDAY(J_ADDDAY(D127,N127,1),1,1)))+SUMIFS(Holieday[Friday],Holieday[date],CONCATENATE("&gt;","=",D127),Holieday[date],CONCATENATE("&lt;","=",J_SUBDAY(J_ADDDAY(D127,N127,1),1,1))))=0,J_SUBDAY(J_ADDDAY(D127,N127,1),1,1),IF((N127-NETWORKDAYS.INTL(J_GregorianDate(D127,1),J_GregorianDate(J_SUBDAY(J_ADDDAY(D127,N127,1),1,1),1),16,1)-SUMIFS(Holieday[ok],Holieday[date],CONCATENATE("&gt;","=",D127),Holieday[date],CONCATENATE("&lt;","=",J_SUBDAY(J_ADDDAY(D127,N127,1),1,1)))+SUMIFS(Holieday[Friday],Holieday[date],CONCATENATE("&gt;","=",D127),Holieday[date],CONCATENATE("&lt;","=",J_SUBDAY(J_ADDDAY(D127,N127,1),1,1))))=1,J_SUBDAY(J_ADDDAY(D127,N127+1,1),1,1),IF((N127-NETWORKDAYS.INTL(J_GregorianDate(D127,1),J_GregorianDate(J_SUBDAY(J_ADDDAY(D127,N127,1),1,1),1),16,1)-SUMIFS(Holieday[ok],Holieday[date],CONCATENATE("&gt;","=",D127),Holieday[date],CONCATENATE("&lt;","=",J_SUBDAY(J_ADDDAY(D127,N127,1),1,1)))+SUMIFS(Holieday[Friday],Holieday[date],CONCATENATE("&gt;","=",D127),Holieday[date],CONCATENATE("&lt;","=",J_SUBDAY(J_ADDDAY(D127,N127,1),1,1))))=2,J_SUBDAY(J_ADDDAY(D127,N127+2,1),1,1),J_SUBDAY(J_ADDDAY(D127,N127+3,1),1,1)))))</f>
        <v>1398/09/10</v>
      </c>
      <c r="G127" s="3">
        <f t="shared" si="42"/>
        <v>13980910</v>
      </c>
      <c r="H127" s="119"/>
      <c r="I127" s="120">
        <v>5.7</v>
      </c>
      <c r="J127" s="10">
        <f>j_WEEKDAY(D127,2)</f>
        <v>2</v>
      </c>
      <c r="K127" s="22">
        <f t="shared" si="40"/>
        <v>0</v>
      </c>
      <c r="L127" s="9">
        <f t="shared" si="37"/>
        <v>0</v>
      </c>
      <c r="M127" s="121">
        <v>0</v>
      </c>
      <c r="N127" s="118">
        <v>0</v>
      </c>
      <c r="O127" s="11">
        <f t="shared" si="38"/>
        <v>0</v>
      </c>
      <c r="P127" s="11">
        <f>VALUE(J_normdate(J_ADDDAY($D127,$O127,1)))</f>
        <v>13980911</v>
      </c>
      <c r="Q127" s="10">
        <f t="shared" si="39"/>
        <v>0</v>
      </c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8"/>
      <c r="BA127" s="8"/>
      <c r="BB127" s="8"/>
      <c r="BC127" s="8"/>
      <c r="BD127" s="8"/>
      <c r="BE127" s="8"/>
      <c r="BF127" s="8"/>
      <c r="BG127" s="8"/>
      <c r="BH127" s="8"/>
      <c r="BI127" s="8"/>
      <c r="BJ127" s="8"/>
      <c r="BK127" s="8"/>
      <c r="BL127" s="8"/>
      <c r="BM127" s="8"/>
      <c r="BN127" s="8"/>
      <c r="BO127" s="8"/>
      <c r="BP127" s="8"/>
      <c r="BQ127" s="8"/>
      <c r="BR127" s="8"/>
      <c r="BS127" s="8"/>
      <c r="BT127" s="8"/>
      <c r="BU127" s="8"/>
      <c r="BV127" s="8"/>
      <c r="BW127" s="8"/>
      <c r="BX127" s="8"/>
      <c r="BY127" s="8"/>
      <c r="BZ127" s="8"/>
      <c r="CA127" s="8"/>
      <c r="CB127" s="8"/>
      <c r="CC127" s="8"/>
      <c r="CD127" s="8"/>
      <c r="CE127" s="8"/>
      <c r="CF127" s="8"/>
      <c r="CG127" s="8"/>
      <c r="CH127" s="8"/>
      <c r="CI127" s="8"/>
      <c r="CJ127" s="8"/>
      <c r="CK127" s="8"/>
      <c r="CL127" s="8"/>
      <c r="CM127" s="8"/>
      <c r="CN127" s="8"/>
      <c r="CO127" s="8"/>
      <c r="CP127" s="8"/>
      <c r="CQ127" s="8"/>
      <c r="CR127" s="8"/>
      <c r="CS127" s="8"/>
      <c r="CT127" s="8"/>
      <c r="CU127" s="8"/>
      <c r="CV127" s="8"/>
      <c r="CW127" s="8"/>
      <c r="CX127" s="8"/>
      <c r="CY127" s="8"/>
      <c r="CZ127" s="8"/>
      <c r="DA127" s="8"/>
      <c r="DB127" s="8"/>
      <c r="DC127" s="8"/>
      <c r="DD127" s="8"/>
      <c r="DE127" s="8"/>
      <c r="DF127" s="8"/>
      <c r="DG127" s="8"/>
      <c r="DH127" s="8"/>
      <c r="DI127" s="8"/>
      <c r="DJ127" s="8"/>
      <c r="DK127" s="8"/>
      <c r="DL127" s="8"/>
      <c r="DM127" s="8"/>
      <c r="DN127" s="8"/>
      <c r="DO127" s="8"/>
      <c r="DP127" s="8"/>
      <c r="DQ127" s="8"/>
      <c r="DR127" s="8"/>
      <c r="DS127" s="8"/>
      <c r="DT127" s="8"/>
      <c r="DU127" s="8"/>
      <c r="DV127" s="8"/>
      <c r="DW127" s="8"/>
      <c r="DX127" s="8"/>
      <c r="DY127" s="8"/>
      <c r="DZ127" s="8"/>
      <c r="EA127" s="8"/>
      <c r="EB127" s="8"/>
      <c r="EC127" s="8"/>
      <c r="ED127" s="8"/>
      <c r="EE127" s="8"/>
      <c r="EF127" s="8"/>
      <c r="EG127" s="8"/>
      <c r="EH127" s="8"/>
      <c r="EI127" s="8"/>
      <c r="EJ127" s="8"/>
      <c r="EK127" s="8"/>
      <c r="EL127" s="8"/>
      <c r="EM127" s="8"/>
      <c r="EN127" s="8"/>
      <c r="EO127" s="8"/>
      <c r="EP127" s="8"/>
      <c r="EQ127" s="8"/>
      <c r="ER127" s="8"/>
      <c r="ES127" s="8"/>
      <c r="ET127" s="8"/>
      <c r="EU127" s="8"/>
      <c r="EV127" s="8"/>
      <c r="EW127" s="8"/>
      <c r="EX127" s="8"/>
      <c r="EY127" s="8"/>
      <c r="EZ127" s="8"/>
      <c r="FA127" s="8"/>
      <c r="FB127" s="8"/>
      <c r="FC127" s="8"/>
      <c r="FD127" s="8"/>
      <c r="FE127" s="8"/>
      <c r="FF127" s="8"/>
      <c r="FG127" s="8"/>
      <c r="FH127" s="8"/>
      <c r="FI127" s="8"/>
      <c r="FJ127" s="8"/>
      <c r="FK127" s="8"/>
      <c r="FL127" s="8"/>
      <c r="FM127" s="8"/>
      <c r="FN127" s="8"/>
      <c r="FO127" s="8"/>
      <c r="FP127" s="8"/>
      <c r="FQ127" s="8"/>
      <c r="FR127" s="8"/>
      <c r="FS127" s="8"/>
      <c r="FT127" s="8"/>
      <c r="FU127" s="8"/>
      <c r="FV127" s="8"/>
      <c r="FW127" s="8"/>
      <c r="FX127" s="8"/>
      <c r="FY127" s="8"/>
      <c r="FZ127" s="8"/>
      <c r="GA127" s="8"/>
      <c r="GB127" s="8"/>
      <c r="GC127" s="8"/>
      <c r="GD127" s="8"/>
      <c r="GE127" s="8"/>
      <c r="GF127" s="8"/>
      <c r="GG127" s="8"/>
      <c r="GH127" s="8"/>
      <c r="GI127" s="8"/>
      <c r="GJ127" s="8"/>
      <c r="GK127" s="8"/>
      <c r="GL127" s="8"/>
      <c r="GM127" s="8"/>
      <c r="GN127" s="8"/>
      <c r="GO127" s="8"/>
      <c r="GP127" s="8"/>
      <c r="GQ127" s="8"/>
      <c r="GR127" s="8"/>
      <c r="GS127" s="8"/>
      <c r="GT127" s="8"/>
      <c r="GU127" s="8"/>
      <c r="GV127" s="8"/>
      <c r="GW127" s="8"/>
      <c r="GX127" s="8"/>
      <c r="GY127" s="8"/>
      <c r="GZ127" s="8"/>
      <c r="HA127" s="8"/>
      <c r="HB127" s="8"/>
      <c r="HC127" s="8"/>
      <c r="HD127" s="8"/>
      <c r="HE127" s="8"/>
      <c r="HF127" s="8"/>
      <c r="HG127" s="8"/>
      <c r="HH127" s="8"/>
      <c r="HI127" s="8"/>
      <c r="HJ127" s="8"/>
      <c r="HK127" s="8"/>
      <c r="HL127" s="8"/>
      <c r="HM127" s="8"/>
      <c r="HN127" s="8"/>
      <c r="HO127" s="8"/>
      <c r="HP127" s="8"/>
      <c r="HQ127" s="8"/>
      <c r="HR127" s="8"/>
      <c r="HS127" s="8"/>
      <c r="HT127" s="8"/>
      <c r="HU127" s="8"/>
      <c r="HV127" s="8"/>
      <c r="HW127" s="8"/>
      <c r="HX127" s="8"/>
      <c r="HY127" s="8"/>
      <c r="HZ127" s="8"/>
      <c r="IA127" s="8"/>
      <c r="IB127" s="8"/>
      <c r="IC127" s="8"/>
      <c r="ID127" s="8"/>
      <c r="IE127" s="8"/>
      <c r="IF127" s="8"/>
      <c r="IG127" s="8"/>
      <c r="IH127" s="8"/>
      <c r="II127" s="8"/>
      <c r="IJ127" s="8"/>
      <c r="IK127" s="8"/>
      <c r="IL127" s="8"/>
      <c r="IM127" s="8"/>
      <c r="IN127" s="8"/>
      <c r="IO127" s="8"/>
      <c r="IP127" s="8"/>
      <c r="IQ127" s="8"/>
      <c r="IR127" s="8"/>
      <c r="IS127" s="8"/>
      <c r="IT127" s="8"/>
      <c r="IU127" s="8"/>
      <c r="IV127" s="8"/>
      <c r="IW127" s="8"/>
      <c r="IX127" s="8"/>
      <c r="JA127" s="123"/>
      <c r="JB127" s="123"/>
      <c r="JC127" s="123"/>
      <c r="JD127" s="70">
        <f>SUM((TEXT(JA127,"[M]")/60)*'Income Person-hours'!$D$3,(TEXT(JB127,"[M]")/60)*'Income Person-hours'!$D$4,(TEXT(JC127,"[M]")/60)*'Income Person-hours'!$D$5)</f>
        <v>0</v>
      </c>
    </row>
    <row r="128" spans="1:264" s="12" customFormat="1" ht="15.75" hidden="1" x14ac:dyDescent="0.45">
      <c r="A128" s="32">
        <v>5.21</v>
      </c>
      <c r="B128" s="126"/>
      <c r="C128" s="117"/>
      <c r="D128" s="13" t="str">
        <f>IF(OR(j_WEEKDAY(J_ADDDAY(VLOOKUP(I128,A:F,6,FALSE),H128,1),0)=6,SUMIFS(Holieday[ok],Holieday[date],J_ADDDAY(VLOOKUP(I128,A:F,6,FALSE),H128,1)))=FALSE(),J_ADDDAY(VLOOKUP(I128,A:F,6,FALSE),H128,1),IF(OR(j_WEEKDAY(J_ADDDAY(VLOOKUP(I128,A:F,6,FALSE),H128+1,1),0)=6,SUMIFS(Holieday[ok],Holieday[date],J_ADDDAY(VLOOKUP(I128,A:F,6,FALSE),H128+1,1)))=FALSE(),J_ADDDAY(VLOOKUP(I128,A:F,6,FALSE),H128+1,1),IF(OR(j_WEEKDAY(J_ADDDAY(VLOOKUP(I128,A:F,6,FALSE),H128+2,1),0)=6,SUMIFS(Holieday[ok],Holieday[date],J_ADDDAY(VLOOKUP(I128,A:F,6,FALSE),H128+2,1)))=FALSE(),J_ADDDAY(VLOOKUP(I128,A:F,6,FALSE),H128+2,1),IF(OR(j_WEEKDAY(J_ADDDAY(VLOOKUP(I128,A:F,6,FALSE),H128+3,1),0)=6,SUMIFS(Holieday[ok],Holieday[date],J_ADDDAY(VLOOKUP(I128,A:F,6,FALSE),H128+3,1)))=FALSE(),J_ADDDAY(VLOOKUP(I128,A:F,6,FALSE),H128+3,1),IF(OR(j_WEEKDAY(J_ADDDAY(VLOOKUP(I128,A:F,6,FALSE),H128+4,1),0)=6,SUMIFS(Holieday[ok],Holieday[date],J_ADDDAY(VLOOKUP(I128,A:F,6,FALSE),H128+4,1)))=FALSE(),J_ADDDAY(VLOOKUP(I128,A:F,6,FALSE),H128+4,1),J_ADDDAY(VLOOKUP(I128,A:F,6,FALSE),H128+5,1))))))</f>
        <v>1398/09/11</v>
      </c>
      <c r="E128" s="2">
        <f t="shared" si="41"/>
        <v>13980911</v>
      </c>
      <c r="F128" s="13" t="str">
        <f>IF(N128=0,J_SUBDAY(D128,1,1),IF((N128-NETWORKDAYS.INTL(J_GregorianDate(D128,1),J_GregorianDate(J_SUBDAY(J_ADDDAY(D128,N128,1),1,1),1),16,1)-SUMIFS(Holieday[ok],Holieday[date],CONCATENATE("&gt;","=",D128),Holieday[date],CONCATENATE("&lt;","=",J_SUBDAY(J_ADDDAY(D128,N128,1),1,1)))+SUMIFS(Holieday[Friday],Holieday[date],CONCATENATE("&gt;","=",D128),Holieday[date],CONCATENATE("&lt;","=",J_SUBDAY(J_ADDDAY(D128,N128,1),1,1))))=0,J_SUBDAY(J_ADDDAY(D128,N128,1),1,1),IF((N128-NETWORKDAYS.INTL(J_GregorianDate(D128,1),J_GregorianDate(J_SUBDAY(J_ADDDAY(D128,N128,1),1,1),1),16,1)-SUMIFS(Holieday[ok],Holieday[date],CONCATENATE("&gt;","=",D128),Holieday[date],CONCATENATE("&lt;","=",J_SUBDAY(J_ADDDAY(D128,N128,1),1,1)))+SUMIFS(Holieday[Friday],Holieday[date],CONCATENATE("&gt;","=",D128),Holieday[date],CONCATENATE("&lt;","=",J_SUBDAY(J_ADDDAY(D128,N128,1),1,1))))=1,J_SUBDAY(J_ADDDAY(D128,N128+1,1),1,1),IF((N128-NETWORKDAYS.INTL(J_GregorianDate(D128,1),J_GregorianDate(J_SUBDAY(J_ADDDAY(D128,N128,1),1,1),1),16,1)-SUMIFS(Holieday[ok],Holieday[date],CONCATENATE("&gt;","=",D128),Holieday[date],CONCATENATE("&lt;","=",J_SUBDAY(J_ADDDAY(D128,N128,1),1,1)))+SUMIFS(Holieday[Friday],Holieday[date],CONCATENATE("&gt;","=",D128),Holieday[date],CONCATENATE("&lt;","=",J_SUBDAY(J_ADDDAY(D128,N128,1),1,1))))=2,J_SUBDAY(J_ADDDAY(D128,N128+2,1),1,1),J_SUBDAY(J_ADDDAY(D128,N128+3,1),1,1)))))</f>
        <v>1398/09/10</v>
      </c>
      <c r="G128" s="3">
        <f t="shared" si="42"/>
        <v>13980910</v>
      </c>
      <c r="H128" s="119"/>
      <c r="I128" s="120">
        <v>5.7</v>
      </c>
      <c r="J128" s="10">
        <f>j_WEEKDAY(D128,2)</f>
        <v>2</v>
      </c>
      <c r="K128" s="22">
        <f t="shared" si="40"/>
        <v>0</v>
      </c>
      <c r="L128" s="9">
        <f t="shared" si="37"/>
        <v>0</v>
      </c>
      <c r="M128" s="121">
        <v>0</v>
      </c>
      <c r="N128" s="118">
        <v>0</v>
      </c>
      <c r="O128" s="11">
        <f t="shared" si="38"/>
        <v>0</v>
      </c>
      <c r="P128" s="11">
        <f>VALUE(J_normdate(J_ADDDAY($D128,$O128,1)))</f>
        <v>13980911</v>
      </c>
      <c r="Q128" s="10">
        <f t="shared" si="39"/>
        <v>0</v>
      </c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D128" s="8"/>
      <c r="BE128" s="8"/>
      <c r="BF128" s="8"/>
      <c r="BG128" s="8"/>
      <c r="BH128" s="8"/>
      <c r="BI128" s="8"/>
      <c r="BJ128" s="8"/>
      <c r="BK128" s="8"/>
      <c r="BL128" s="8"/>
      <c r="BM128" s="8"/>
      <c r="BN128" s="8"/>
      <c r="BO128" s="8"/>
      <c r="BP128" s="8"/>
      <c r="BQ128" s="8"/>
      <c r="BR128" s="8"/>
      <c r="BS128" s="8"/>
      <c r="BT128" s="8"/>
      <c r="BU128" s="8"/>
      <c r="BV128" s="8"/>
      <c r="BW128" s="8"/>
      <c r="BX128" s="8"/>
      <c r="BY128" s="8"/>
      <c r="BZ128" s="8"/>
      <c r="CA128" s="8"/>
      <c r="CB128" s="8"/>
      <c r="CC128" s="8"/>
      <c r="CD128" s="8"/>
      <c r="CE128" s="8"/>
      <c r="CF128" s="8"/>
      <c r="CG128" s="8"/>
      <c r="CH128" s="8"/>
      <c r="CI128" s="8"/>
      <c r="CJ128" s="8"/>
      <c r="CK128" s="8"/>
      <c r="CL128" s="8"/>
      <c r="CM128" s="8"/>
      <c r="CN128" s="8"/>
      <c r="CO128" s="8"/>
      <c r="CP128" s="8"/>
      <c r="CQ128" s="8"/>
      <c r="CR128" s="8"/>
      <c r="CS128" s="8"/>
      <c r="CT128" s="8"/>
      <c r="CU128" s="8"/>
      <c r="CV128" s="8"/>
      <c r="CW128" s="8"/>
      <c r="CX128" s="8"/>
      <c r="CY128" s="8"/>
      <c r="CZ128" s="8"/>
      <c r="DA128" s="8"/>
      <c r="DB128" s="8"/>
      <c r="DC128" s="8"/>
      <c r="DD128" s="8"/>
      <c r="DE128" s="8"/>
      <c r="DF128" s="8"/>
      <c r="DG128" s="8"/>
      <c r="DH128" s="8"/>
      <c r="DI128" s="8"/>
      <c r="DJ128" s="8"/>
      <c r="DK128" s="8"/>
      <c r="DL128" s="8"/>
      <c r="DM128" s="8"/>
      <c r="DN128" s="8"/>
      <c r="DO128" s="8"/>
      <c r="DP128" s="8"/>
      <c r="DQ128" s="8"/>
      <c r="DR128" s="8"/>
      <c r="DS128" s="8"/>
      <c r="DT128" s="8"/>
      <c r="DU128" s="8"/>
      <c r="DV128" s="8"/>
      <c r="DW128" s="8"/>
      <c r="DX128" s="8"/>
      <c r="DY128" s="8"/>
      <c r="DZ128" s="8"/>
      <c r="EA128" s="8"/>
      <c r="EB128" s="8"/>
      <c r="EC128" s="8"/>
      <c r="ED128" s="8"/>
      <c r="EE128" s="8"/>
      <c r="EF128" s="8"/>
      <c r="EG128" s="8"/>
      <c r="EH128" s="8"/>
      <c r="EI128" s="8"/>
      <c r="EJ128" s="8"/>
      <c r="EK128" s="8"/>
      <c r="EL128" s="8"/>
      <c r="EM128" s="8"/>
      <c r="EN128" s="8"/>
      <c r="EO128" s="8"/>
      <c r="EP128" s="8"/>
      <c r="EQ128" s="8"/>
      <c r="ER128" s="8"/>
      <c r="ES128" s="8"/>
      <c r="ET128" s="8"/>
      <c r="EU128" s="8"/>
      <c r="EV128" s="8"/>
      <c r="EW128" s="8"/>
      <c r="EX128" s="8"/>
      <c r="EY128" s="8"/>
      <c r="EZ128" s="8"/>
      <c r="FA128" s="8"/>
      <c r="FB128" s="8"/>
      <c r="FC128" s="8"/>
      <c r="FD128" s="8"/>
      <c r="FE128" s="8"/>
      <c r="FF128" s="8"/>
      <c r="FG128" s="8"/>
      <c r="FH128" s="8"/>
      <c r="FI128" s="8"/>
      <c r="FJ128" s="8"/>
      <c r="FK128" s="8"/>
      <c r="FL128" s="8"/>
      <c r="FM128" s="8"/>
      <c r="FN128" s="8"/>
      <c r="FO128" s="8"/>
      <c r="FP128" s="8"/>
      <c r="FQ128" s="8"/>
      <c r="FR128" s="8"/>
      <c r="FS128" s="8"/>
      <c r="FT128" s="8"/>
      <c r="FU128" s="8"/>
      <c r="FV128" s="8"/>
      <c r="FW128" s="8"/>
      <c r="FX128" s="8"/>
      <c r="FY128" s="8"/>
      <c r="FZ128" s="8"/>
      <c r="GA128" s="8"/>
      <c r="GB128" s="8"/>
      <c r="GC128" s="8"/>
      <c r="GD128" s="8"/>
      <c r="GE128" s="8"/>
      <c r="GF128" s="8"/>
      <c r="GG128" s="8"/>
      <c r="GH128" s="8"/>
      <c r="GI128" s="8"/>
      <c r="GJ128" s="8"/>
      <c r="GK128" s="8"/>
      <c r="GL128" s="8"/>
      <c r="GM128" s="8"/>
      <c r="GN128" s="8"/>
      <c r="GO128" s="8"/>
      <c r="GP128" s="8"/>
      <c r="GQ128" s="8"/>
      <c r="GR128" s="8"/>
      <c r="GS128" s="8"/>
      <c r="GT128" s="8"/>
      <c r="GU128" s="8"/>
      <c r="GV128" s="8"/>
      <c r="GW128" s="8"/>
      <c r="GX128" s="8"/>
      <c r="GY128" s="8"/>
      <c r="GZ128" s="8"/>
      <c r="HA128" s="8"/>
      <c r="HB128" s="8"/>
      <c r="HC128" s="8"/>
      <c r="HD128" s="8"/>
      <c r="HE128" s="8"/>
      <c r="HF128" s="8"/>
      <c r="HG128" s="8"/>
      <c r="HH128" s="8"/>
      <c r="HI128" s="8"/>
      <c r="HJ128" s="8"/>
      <c r="HK128" s="8"/>
      <c r="HL128" s="8"/>
      <c r="HM128" s="8"/>
      <c r="HN128" s="8"/>
      <c r="HO128" s="8"/>
      <c r="HP128" s="8"/>
      <c r="HQ128" s="8"/>
      <c r="HR128" s="8"/>
      <c r="HS128" s="8"/>
      <c r="HT128" s="8"/>
      <c r="HU128" s="8"/>
      <c r="HV128" s="8"/>
      <c r="HW128" s="8"/>
      <c r="HX128" s="8"/>
      <c r="HY128" s="8"/>
      <c r="HZ128" s="8"/>
      <c r="IA128" s="8"/>
      <c r="IB128" s="8"/>
      <c r="IC128" s="8"/>
      <c r="ID128" s="8"/>
      <c r="IE128" s="8"/>
      <c r="IF128" s="8"/>
      <c r="IG128" s="8"/>
      <c r="IH128" s="8"/>
      <c r="II128" s="8"/>
      <c r="IJ128" s="8"/>
      <c r="IK128" s="8"/>
      <c r="IL128" s="8"/>
      <c r="IM128" s="8"/>
      <c r="IN128" s="8"/>
      <c r="IO128" s="8"/>
      <c r="IP128" s="8"/>
      <c r="IQ128" s="8"/>
      <c r="IR128" s="8"/>
      <c r="IS128" s="8"/>
      <c r="IT128" s="8"/>
      <c r="IU128" s="8"/>
      <c r="IV128" s="8"/>
      <c r="IW128" s="8"/>
      <c r="IX128" s="8"/>
      <c r="JA128" s="123"/>
      <c r="JB128" s="123"/>
      <c r="JC128" s="123"/>
      <c r="JD128" s="70">
        <f>SUM((TEXT(JA128,"[M]")/60)*'Income Person-hours'!$D$3,(TEXT(JB128,"[M]")/60)*'Income Person-hours'!$D$4,(TEXT(JC128,"[M]")/60)*'Income Person-hours'!$D$5)</f>
        <v>0</v>
      </c>
    </row>
    <row r="129" spans="1:16382" s="12" customFormat="1" ht="15.75" hidden="1" x14ac:dyDescent="0.45">
      <c r="A129" s="32">
        <v>5.22</v>
      </c>
      <c r="B129" s="126"/>
      <c r="C129" s="117"/>
      <c r="D129" s="13" t="str">
        <f>IF(OR(j_WEEKDAY(J_ADDDAY(VLOOKUP(I129,A:F,6,FALSE),H129,1),0)=6,SUMIFS(Holieday[ok],Holieday[date],J_ADDDAY(VLOOKUP(I129,A:F,6,FALSE),H129,1)))=FALSE(),J_ADDDAY(VLOOKUP(I129,A:F,6,FALSE),H129,1),IF(OR(j_WEEKDAY(J_ADDDAY(VLOOKUP(I129,A:F,6,FALSE),H129+1,1),0)=6,SUMIFS(Holieday[ok],Holieday[date],J_ADDDAY(VLOOKUP(I129,A:F,6,FALSE),H129+1,1)))=FALSE(),J_ADDDAY(VLOOKUP(I129,A:F,6,FALSE),H129+1,1),IF(OR(j_WEEKDAY(J_ADDDAY(VLOOKUP(I129,A:F,6,FALSE),H129+2,1),0)=6,SUMIFS(Holieday[ok],Holieday[date],J_ADDDAY(VLOOKUP(I129,A:F,6,FALSE),H129+2,1)))=FALSE(),J_ADDDAY(VLOOKUP(I129,A:F,6,FALSE),H129+2,1),IF(OR(j_WEEKDAY(J_ADDDAY(VLOOKUP(I129,A:F,6,FALSE),H129+3,1),0)=6,SUMIFS(Holieday[ok],Holieday[date],J_ADDDAY(VLOOKUP(I129,A:F,6,FALSE),H129+3,1)))=FALSE(),J_ADDDAY(VLOOKUP(I129,A:F,6,FALSE),H129+3,1),IF(OR(j_WEEKDAY(J_ADDDAY(VLOOKUP(I129,A:F,6,FALSE),H129+4,1),0)=6,SUMIFS(Holieday[ok],Holieday[date],J_ADDDAY(VLOOKUP(I129,A:F,6,FALSE),H129+4,1)))=FALSE(),J_ADDDAY(VLOOKUP(I129,A:F,6,FALSE),H129+4,1),J_ADDDAY(VLOOKUP(I129,A:F,6,FALSE),H129+5,1))))))</f>
        <v>1398/09/11</v>
      </c>
      <c r="E129" s="2">
        <f t="shared" si="41"/>
        <v>13980911</v>
      </c>
      <c r="F129" s="13" t="str">
        <f>IF(N129=0,J_SUBDAY(D129,1,1),IF((N129-NETWORKDAYS.INTL(J_GregorianDate(D129,1),J_GregorianDate(J_SUBDAY(J_ADDDAY(D129,N129,1),1,1),1),16,1)-SUMIFS(Holieday[ok],Holieday[date],CONCATENATE("&gt;","=",D129),Holieday[date],CONCATENATE("&lt;","=",J_SUBDAY(J_ADDDAY(D129,N129,1),1,1)))+SUMIFS(Holieday[Friday],Holieday[date],CONCATENATE("&gt;","=",D129),Holieday[date],CONCATENATE("&lt;","=",J_SUBDAY(J_ADDDAY(D129,N129,1),1,1))))=0,J_SUBDAY(J_ADDDAY(D129,N129,1),1,1),IF((N129-NETWORKDAYS.INTL(J_GregorianDate(D129,1),J_GregorianDate(J_SUBDAY(J_ADDDAY(D129,N129,1),1,1),1),16,1)-SUMIFS(Holieday[ok],Holieday[date],CONCATENATE("&gt;","=",D129),Holieday[date],CONCATENATE("&lt;","=",J_SUBDAY(J_ADDDAY(D129,N129,1),1,1)))+SUMIFS(Holieday[Friday],Holieday[date],CONCATENATE("&gt;","=",D129),Holieday[date],CONCATENATE("&lt;","=",J_SUBDAY(J_ADDDAY(D129,N129,1),1,1))))=1,J_SUBDAY(J_ADDDAY(D129,N129+1,1),1,1),IF((N129-NETWORKDAYS.INTL(J_GregorianDate(D129,1),J_GregorianDate(J_SUBDAY(J_ADDDAY(D129,N129,1),1,1),1),16,1)-SUMIFS(Holieday[ok],Holieday[date],CONCATENATE("&gt;","=",D129),Holieday[date],CONCATENATE("&lt;","=",J_SUBDAY(J_ADDDAY(D129,N129,1),1,1)))+SUMIFS(Holieday[Friday],Holieday[date],CONCATENATE("&gt;","=",D129),Holieday[date],CONCATENATE("&lt;","=",J_SUBDAY(J_ADDDAY(D129,N129,1),1,1))))=2,J_SUBDAY(J_ADDDAY(D129,N129+2,1),1,1),J_SUBDAY(J_ADDDAY(D129,N129+3,1),1,1)))))</f>
        <v>1398/09/10</v>
      </c>
      <c r="G129" s="3">
        <f t="shared" si="42"/>
        <v>13980910</v>
      </c>
      <c r="H129" s="119"/>
      <c r="I129" s="120">
        <v>5.7</v>
      </c>
      <c r="J129" s="10">
        <f>j_WEEKDAY(D129,2)</f>
        <v>2</v>
      </c>
      <c r="K129" s="22">
        <f t="shared" si="40"/>
        <v>0</v>
      </c>
      <c r="L129" s="9">
        <f t="shared" si="37"/>
        <v>0</v>
      </c>
      <c r="M129" s="121">
        <v>0</v>
      </c>
      <c r="N129" s="118">
        <v>0</v>
      </c>
      <c r="O129" s="11">
        <f t="shared" si="38"/>
        <v>0</v>
      </c>
      <c r="P129" s="11">
        <f>VALUE(J_normdate(J_ADDDAY($D129,$O129,1)))</f>
        <v>13980911</v>
      </c>
      <c r="Q129" s="10">
        <f t="shared" si="39"/>
        <v>0</v>
      </c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D129" s="8"/>
      <c r="BE129" s="8"/>
      <c r="BF129" s="8"/>
      <c r="BG129" s="8"/>
      <c r="BH129" s="8"/>
      <c r="BI129" s="8"/>
      <c r="BJ129" s="8"/>
      <c r="BK129" s="8"/>
      <c r="BL129" s="8"/>
      <c r="BM129" s="8"/>
      <c r="BN129" s="8"/>
      <c r="BO129" s="8"/>
      <c r="BP129" s="8"/>
      <c r="BQ129" s="8"/>
      <c r="BR129" s="8"/>
      <c r="BS129" s="8"/>
      <c r="BT129" s="8"/>
      <c r="BU129" s="8"/>
      <c r="BV129" s="8"/>
      <c r="BW129" s="8"/>
      <c r="BX129" s="8"/>
      <c r="BY129" s="8"/>
      <c r="BZ129" s="8"/>
      <c r="CA129" s="8"/>
      <c r="CB129" s="8"/>
      <c r="CC129" s="8"/>
      <c r="CD129" s="8"/>
      <c r="CE129" s="8"/>
      <c r="CF129" s="8"/>
      <c r="CG129" s="8"/>
      <c r="CH129" s="8"/>
      <c r="CI129" s="8"/>
      <c r="CJ129" s="8"/>
      <c r="CK129" s="8"/>
      <c r="CL129" s="8"/>
      <c r="CM129" s="8"/>
      <c r="CN129" s="8"/>
      <c r="CO129" s="8"/>
      <c r="CP129" s="8"/>
      <c r="CQ129" s="8"/>
      <c r="CR129" s="8"/>
      <c r="CS129" s="8"/>
      <c r="CT129" s="8"/>
      <c r="CU129" s="8"/>
      <c r="CV129" s="8"/>
      <c r="CW129" s="8"/>
      <c r="CX129" s="8"/>
      <c r="CY129" s="8"/>
      <c r="CZ129" s="8"/>
      <c r="DA129" s="8"/>
      <c r="DB129" s="8"/>
      <c r="DC129" s="8"/>
      <c r="DD129" s="8"/>
      <c r="DE129" s="8"/>
      <c r="DF129" s="8"/>
      <c r="DG129" s="8"/>
      <c r="DH129" s="8"/>
      <c r="DI129" s="8"/>
      <c r="DJ129" s="8"/>
      <c r="DK129" s="8"/>
      <c r="DL129" s="8"/>
      <c r="DM129" s="8"/>
      <c r="DN129" s="8"/>
      <c r="DO129" s="8"/>
      <c r="DP129" s="8"/>
      <c r="DQ129" s="8"/>
      <c r="DR129" s="8"/>
      <c r="DS129" s="8"/>
      <c r="DT129" s="8"/>
      <c r="DU129" s="8"/>
      <c r="DV129" s="8"/>
      <c r="DW129" s="8"/>
      <c r="DX129" s="8"/>
      <c r="DY129" s="8"/>
      <c r="DZ129" s="8"/>
      <c r="EA129" s="8"/>
      <c r="EB129" s="8"/>
      <c r="EC129" s="8"/>
      <c r="ED129" s="8"/>
      <c r="EE129" s="8"/>
      <c r="EF129" s="8"/>
      <c r="EG129" s="8"/>
      <c r="EH129" s="8"/>
      <c r="EI129" s="8"/>
      <c r="EJ129" s="8"/>
      <c r="EK129" s="8"/>
      <c r="EL129" s="8"/>
      <c r="EM129" s="8"/>
      <c r="EN129" s="8"/>
      <c r="EO129" s="8"/>
      <c r="EP129" s="8"/>
      <c r="EQ129" s="8"/>
      <c r="ER129" s="8"/>
      <c r="ES129" s="8"/>
      <c r="ET129" s="8"/>
      <c r="EU129" s="8"/>
      <c r="EV129" s="8"/>
      <c r="EW129" s="8"/>
      <c r="EX129" s="8"/>
      <c r="EY129" s="8"/>
      <c r="EZ129" s="8"/>
      <c r="FA129" s="8"/>
      <c r="FB129" s="8"/>
      <c r="FC129" s="8"/>
      <c r="FD129" s="8"/>
      <c r="FE129" s="8"/>
      <c r="FF129" s="8"/>
      <c r="FG129" s="8"/>
      <c r="FH129" s="8"/>
      <c r="FI129" s="8"/>
      <c r="FJ129" s="8"/>
      <c r="FK129" s="8"/>
      <c r="FL129" s="8"/>
      <c r="FM129" s="8"/>
      <c r="FN129" s="8"/>
      <c r="FO129" s="8"/>
      <c r="FP129" s="8"/>
      <c r="FQ129" s="8"/>
      <c r="FR129" s="8"/>
      <c r="FS129" s="8"/>
      <c r="FT129" s="8"/>
      <c r="FU129" s="8"/>
      <c r="FV129" s="8"/>
      <c r="FW129" s="8"/>
      <c r="FX129" s="8"/>
      <c r="FY129" s="8"/>
      <c r="FZ129" s="8"/>
      <c r="GA129" s="8"/>
      <c r="GB129" s="8"/>
      <c r="GC129" s="8"/>
      <c r="GD129" s="8"/>
      <c r="GE129" s="8"/>
      <c r="GF129" s="8"/>
      <c r="GG129" s="8"/>
      <c r="GH129" s="8"/>
      <c r="GI129" s="8"/>
      <c r="GJ129" s="8"/>
      <c r="GK129" s="8"/>
      <c r="GL129" s="8"/>
      <c r="GM129" s="8"/>
      <c r="GN129" s="8"/>
      <c r="GO129" s="8"/>
      <c r="GP129" s="8"/>
      <c r="GQ129" s="8"/>
      <c r="GR129" s="8"/>
      <c r="GS129" s="8"/>
      <c r="GT129" s="8"/>
      <c r="GU129" s="8"/>
      <c r="GV129" s="8"/>
      <c r="GW129" s="8"/>
      <c r="GX129" s="8"/>
      <c r="GY129" s="8"/>
      <c r="GZ129" s="8"/>
      <c r="HA129" s="8"/>
      <c r="HB129" s="8"/>
      <c r="HC129" s="8"/>
      <c r="HD129" s="8"/>
      <c r="HE129" s="8"/>
      <c r="HF129" s="8"/>
      <c r="HG129" s="8"/>
      <c r="HH129" s="8"/>
      <c r="HI129" s="8"/>
      <c r="HJ129" s="8"/>
      <c r="HK129" s="8"/>
      <c r="HL129" s="8"/>
      <c r="HM129" s="8"/>
      <c r="HN129" s="8"/>
      <c r="HO129" s="8"/>
      <c r="HP129" s="8"/>
      <c r="HQ129" s="8"/>
      <c r="HR129" s="8"/>
      <c r="HS129" s="8"/>
      <c r="HT129" s="8"/>
      <c r="HU129" s="8"/>
      <c r="HV129" s="8"/>
      <c r="HW129" s="8"/>
      <c r="HX129" s="8"/>
      <c r="HY129" s="8"/>
      <c r="HZ129" s="8"/>
      <c r="IA129" s="8"/>
      <c r="IB129" s="8"/>
      <c r="IC129" s="8"/>
      <c r="ID129" s="8"/>
      <c r="IE129" s="8"/>
      <c r="IF129" s="8"/>
      <c r="IG129" s="8"/>
      <c r="IH129" s="8"/>
      <c r="II129" s="8"/>
      <c r="IJ129" s="8"/>
      <c r="IK129" s="8"/>
      <c r="IL129" s="8"/>
      <c r="IM129" s="8"/>
      <c r="IN129" s="8"/>
      <c r="IO129" s="8"/>
      <c r="IP129" s="8"/>
      <c r="IQ129" s="8"/>
      <c r="IR129" s="8"/>
      <c r="IS129" s="8"/>
      <c r="IT129" s="8"/>
      <c r="IU129" s="8"/>
      <c r="IV129" s="8"/>
      <c r="IW129" s="8"/>
      <c r="IX129" s="8"/>
      <c r="JA129" s="123"/>
      <c r="JB129" s="123"/>
      <c r="JC129" s="123"/>
      <c r="JD129" s="70">
        <f>SUM((TEXT(JA129,"[M]")/60)*'Income Person-hours'!$D$3,(TEXT(JB129,"[M]")/60)*'Income Person-hours'!$D$4,(TEXT(JC129,"[M]")/60)*'Income Person-hours'!$D$5)</f>
        <v>0</v>
      </c>
    </row>
    <row r="130" spans="1:16382" s="12" customFormat="1" ht="15.75" hidden="1" x14ac:dyDescent="0.45">
      <c r="A130" s="32">
        <v>5.23</v>
      </c>
      <c r="B130" s="126"/>
      <c r="C130" s="117"/>
      <c r="D130" s="13" t="str">
        <f>IF(OR(j_WEEKDAY(J_ADDDAY(VLOOKUP(I130,A:F,6,FALSE),H130,1),0)=6,SUMIFS(Holieday[ok],Holieday[date],J_ADDDAY(VLOOKUP(I130,A:F,6,FALSE),H130,1)))=FALSE(),J_ADDDAY(VLOOKUP(I130,A:F,6,FALSE),H130,1),IF(OR(j_WEEKDAY(J_ADDDAY(VLOOKUP(I130,A:F,6,FALSE),H130+1,1),0)=6,SUMIFS(Holieday[ok],Holieday[date],J_ADDDAY(VLOOKUP(I130,A:F,6,FALSE),H130+1,1)))=FALSE(),J_ADDDAY(VLOOKUP(I130,A:F,6,FALSE),H130+1,1),IF(OR(j_WEEKDAY(J_ADDDAY(VLOOKUP(I130,A:F,6,FALSE),H130+2,1),0)=6,SUMIFS(Holieday[ok],Holieday[date],J_ADDDAY(VLOOKUP(I130,A:F,6,FALSE),H130+2,1)))=FALSE(),J_ADDDAY(VLOOKUP(I130,A:F,6,FALSE),H130+2,1),IF(OR(j_WEEKDAY(J_ADDDAY(VLOOKUP(I130,A:F,6,FALSE),H130+3,1),0)=6,SUMIFS(Holieday[ok],Holieday[date],J_ADDDAY(VLOOKUP(I130,A:F,6,FALSE),H130+3,1)))=FALSE(),J_ADDDAY(VLOOKUP(I130,A:F,6,FALSE),H130+3,1),IF(OR(j_WEEKDAY(J_ADDDAY(VLOOKUP(I130,A:F,6,FALSE),H130+4,1),0)=6,SUMIFS(Holieday[ok],Holieday[date],J_ADDDAY(VLOOKUP(I130,A:F,6,FALSE),H130+4,1)))=FALSE(),J_ADDDAY(VLOOKUP(I130,A:F,6,FALSE),H130+4,1),J_ADDDAY(VLOOKUP(I130,A:F,6,FALSE),H130+5,1))))))</f>
        <v>1398/09/11</v>
      </c>
      <c r="E130" s="2">
        <f t="shared" si="41"/>
        <v>13980911</v>
      </c>
      <c r="F130" s="13" t="str">
        <f>IF(N130=0,J_SUBDAY(D130,1,1),IF((N130-NETWORKDAYS.INTL(J_GregorianDate(D130,1),J_GregorianDate(J_SUBDAY(J_ADDDAY(D130,N130,1),1,1),1),16,1)-SUMIFS(Holieday[ok],Holieday[date],CONCATENATE("&gt;","=",D130),Holieday[date],CONCATENATE("&lt;","=",J_SUBDAY(J_ADDDAY(D130,N130,1),1,1)))+SUMIFS(Holieday[Friday],Holieday[date],CONCATENATE("&gt;","=",D130),Holieday[date],CONCATENATE("&lt;","=",J_SUBDAY(J_ADDDAY(D130,N130,1),1,1))))=0,J_SUBDAY(J_ADDDAY(D130,N130,1),1,1),IF((N130-NETWORKDAYS.INTL(J_GregorianDate(D130,1),J_GregorianDate(J_SUBDAY(J_ADDDAY(D130,N130,1),1,1),1),16,1)-SUMIFS(Holieday[ok],Holieday[date],CONCATENATE("&gt;","=",D130),Holieday[date],CONCATENATE("&lt;","=",J_SUBDAY(J_ADDDAY(D130,N130,1),1,1)))+SUMIFS(Holieday[Friday],Holieday[date],CONCATENATE("&gt;","=",D130),Holieday[date],CONCATENATE("&lt;","=",J_SUBDAY(J_ADDDAY(D130,N130,1),1,1))))=1,J_SUBDAY(J_ADDDAY(D130,N130+1,1),1,1),IF((N130-NETWORKDAYS.INTL(J_GregorianDate(D130,1),J_GregorianDate(J_SUBDAY(J_ADDDAY(D130,N130,1),1,1),1),16,1)-SUMIFS(Holieday[ok],Holieday[date],CONCATENATE("&gt;","=",D130),Holieday[date],CONCATENATE("&lt;","=",J_SUBDAY(J_ADDDAY(D130,N130,1),1,1)))+SUMIFS(Holieday[Friday],Holieday[date],CONCATENATE("&gt;","=",D130),Holieday[date],CONCATENATE("&lt;","=",J_SUBDAY(J_ADDDAY(D130,N130,1),1,1))))=2,J_SUBDAY(J_ADDDAY(D130,N130+2,1),1,1),J_SUBDAY(J_ADDDAY(D130,N130+3,1),1,1)))))</f>
        <v>1398/09/10</v>
      </c>
      <c r="G130" s="3">
        <f t="shared" si="42"/>
        <v>13980910</v>
      </c>
      <c r="H130" s="119"/>
      <c r="I130" s="120">
        <v>5.7</v>
      </c>
      <c r="J130" s="10">
        <f>j_WEEKDAY(D130,2)</f>
        <v>2</v>
      </c>
      <c r="K130" s="22">
        <f t="shared" si="40"/>
        <v>0</v>
      </c>
      <c r="L130" s="9">
        <f t="shared" si="37"/>
        <v>0</v>
      </c>
      <c r="M130" s="121">
        <v>0</v>
      </c>
      <c r="N130" s="118">
        <v>0</v>
      </c>
      <c r="O130" s="11">
        <f t="shared" si="38"/>
        <v>0</v>
      </c>
      <c r="P130" s="11">
        <f>VALUE(J_normdate(J_ADDDAY($D130,$O130,1)))</f>
        <v>13980911</v>
      </c>
      <c r="Q130" s="10">
        <f t="shared" si="39"/>
        <v>0</v>
      </c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 s="8"/>
      <c r="BA130" s="8"/>
      <c r="BB130" s="8"/>
      <c r="BC130" s="8"/>
      <c r="BD130" s="8"/>
      <c r="BE130" s="8"/>
      <c r="BF130" s="8"/>
      <c r="BG130" s="8"/>
      <c r="BH130" s="8"/>
      <c r="BI130" s="8"/>
      <c r="BJ130" s="8"/>
      <c r="BK130" s="8"/>
      <c r="BL130" s="8"/>
      <c r="BM130" s="8"/>
      <c r="BN130" s="8"/>
      <c r="BO130" s="8"/>
      <c r="BP130" s="8"/>
      <c r="BQ130" s="8"/>
      <c r="BR130" s="8"/>
      <c r="BS130" s="8"/>
      <c r="BT130" s="8"/>
      <c r="BU130" s="8"/>
      <c r="BV130" s="8"/>
      <c r="BW130" s="8"/>
      <c r="BX130" s="8"/>
      <c r="BY130" s="8"/>
      <c r="BZ130" s="8"/>
      <c r="CA130" s="8"/>
      <c r="CB130" s="8"/>
      <c r="CC130" s="8"/>
      <c r="CD130" s="8"/>
      <c r="CE130" s="8"/>
      <c r="CF130" s="8"/>
      <c r="CG130" s="8"/>
      <c r="CH130" s="8"/>
      <c r="CI130" s="8"/>
      <c r="CJ130" s="8"/>
      <c r="CK130" s="8"/>
      <c r="CL130" s="8"/>
      <c r="CM130" s="8"/>
      <c r="CN130" s="8"/>
      <c r="CO130" s="8"/>
      <c r="CP130" s="8"/>
      <c r="CQ130" s="8"/>
      <c r="CR130" s="8"/>
      <c r="CS130" s="8"/>
      <c r="CT130" s="8"/>
      <c r="CU130" s="8"/>
      <c r="CV130" s="8"/>
      <c r="CW130" s="8"/>
      <c r="CX130" s="8"/>
      <c r="CY130" s="8"/>
      <c r="CZ130" s="8"/>
      <c r="DA130" s="8"/>
      <c r="DB130" s="8"/>
      <c r="DC130" s="8"/>
      <c r="DD130" s="8"/>
      <c r="DE130" s="8"/>
      <c r="DF130" s="8"/>
      <c r="DG130" s="8"/>
      <c r="DH130" s="8"/>
      <c r="DI130" s="8"/>
      <c r="DJ130" s="8"/>
      <c r="DK130" s="8"/>
      <c r="DL130" s="8"/>
      <c r="DM130" s="8"/>
      <c r="DN130" s="8"/>
      <c r="DO130" s="8"/>
      <c r="DP130" s="8"/>
      <c r="DQ130" s="8"/>
      <c r="DR130" s="8"/>
      <c r="DS130" s="8"/>
      <c r="DT130" s="8"/>
      <c r="DU130" s="8"/>
      <c r="DV130" s="8"/>
      <c r="DW130" s="8"/>
      <c r="DX130" s="8"/>
      <c r="DY130" s="8"/>
      <c r="DZ130" s="8"/>
      <c r="EA130" s="8"/>
      <c r="EB130" s="8"/>
      <c r="EC130" s="8"/>
      <c r="ED130" s="8"/>
      <c r="EE130" s="8"/>
      <c r="EF130" s="8"/>
      <c r="EG130" s="8"/>
      <c r="EH130" s="8"/>
      <c r="EI130" s="8"/>
      <c r="EJ130" s="8"/>
      <c r="EK130" s="8"/>
      <c r="EL130" s="8"/>
      <c r="EM130" s="8"/>
      <c r="EN130" s="8"/>
      <c r="EO130" s="8"/>
      <c r="EP130" s="8"/>
      <c r="EQ130" s="8"/>
      <c r="ER130" s="8"/>
      <c r="ES130" s="8"/>
      <c r="ET130" s="8"/>
      <c r="EU130" s="8"/>
      <c r="EV130" s="8"/>
      <c r="EW130" s="8"/>
      <c r="EX130" s="8"/>
      <c r="EY130" s="8"/>
      <c r="EZ130" s="8"/>
      <c r="FA130" s="8"/>
      <c r="FB130" s="8"/>
      <c r="FC130" s="8"/>
      <c r="FD130" s="8"/>
      <c r="FE130" s="8"/>
      <c r="FF130" s="8"/>
      <c r="FG130" s="8"/>
      <c r="FH130" s="8"/>
      <c r="FI130" s="8"/>
      <c r="FJ130" s="8"/>
      <c r="FK130" s="8"/>
      <c r="FL130" s="8"/>
      <c r="FM130" s="8"/>
      <c r="FN130" s="8"/>
      <c r="FO130" s="8"/>
      <c r="FP130" s="8"/>
      <c r="FQ130" s="8"/>
      <c r="FR130" s="8"/>
      <c r="FS130" s="8"/>
      <c r="FT130" s="8"/>
      <c r="FU130" s="8"/>
      <c r="FV130" s="8"/>
      <c r="FW130" s="8"/>
      <c r="FX130" s="8"/>
      <c r="FY130" s="8"/>
      <c r="FZ130" s="8"/>
      <c r="GA130" s="8"/>
      <c r="GB130" s="8"/>
      <c r="GC130" s="8"/>
      <c r="GD130" s="8"/>
      <c r="GE130" s="8"/>
      <c r="GF130" s="8"/>
      <c r="GG130" s="8"/>
      <c r="GH130" s="8"/>
      <c r="GI130" s="8"/>
      <c r="GJ130" s="8"/>
      <c r="GK130" s="8"/>
      <c r="GL130" s="8"/>
      <c r="GM130" s="8"/>
      <c r="GN130" s="8"/>
      <c r="GO130" s="8"/>
      <c r="GP130" s="8"/>
      <c r="GQ130" s="8"/>
      <c r="GR130" s="8"/>
      <c r="GS130" s="8"/>
      <c r="GT130" s="8"/>
      <c r="GU130" s="8"/>
      <c r="GV130" s="8"/>
      <c r="GW130" s="8"/>
      <c r="GX130" s="8"/>
      <c r="GY130" s="8"/>
      <c r="GZ130" s="8"/>
      <c r="HA130" s="8"/>
      <c r="HB130" s="8"/>
      <c r="HC130" s="8"/>
      <c r="HD130" s="8"/>
      <c r="HE130" s="8"/>
      <c r="HF130" s="8"/>
      <c r="HG130" s="8"/>
      <c r="HH130" s="8"/>
      <c r="HI130" s="8"/>
      <c r="HJ130" s="8"/>
      <c r="HK130" s="8"/>
      <c r="HL130" s="8"/>
      <c r="HM130" s="8"/>
      <c r="HN130" s="8"/>
      <c r="HO130" s="8"/>
      <c r="HP130" s="8"/>
      <c r="HQ130" s="8"/>
      <c r="HR130" s="8"/>
      <c r="HS130" s="8"/>
      <c r="HT130" s="8"/>
      <c r="HU130" s="8"/>
      <c r="HV130" s="8"/>
      <c r="HW130" s="8"/>
      <c r="HX130" s="8"/>
      <c r="HY130" s="8"/>
      <c r="HZ130" s="8"/>
      <c r="IA130" s="8"/>
      <c r="IB130" s="8"/>
      <c r="IC130" s="8"/>
      <c r="ID130" s="8"/>
      <c r="IE130" s="8"/>
      <c r="IF130" s="8"/>
      <c r="IG130" s="8"/>
      <c r="IH130" s="8"/>
      <c r="II130" s="8"/>
      <c r="IJ130" s="8"/>
      <c r="IK130" s="8"/>
      <c r="IL130" s="8"/>
      <c r="IM130" s="8"/>
      <c r="IN130" s="8"/>
      <c r="IO130" s="8"/>
      <c r="IP130" s="8"/>
      <c r="IQ130" s="8"/>
      <c r="IR130" s="8"/>
      <c r="IS130" s="8"/>
      <c r="IT130" s="8"/>
      <c r="IU130" s="8"/>
      <c r="IV130" s="8"/>
      <c r="IW130" s="8"/>
      <c r="IX130" s="8"/>
      <c r="JA130" s="123"/>
      <c r="JB130" s="123"/>
      <c r="JC130" s="123"/>
      <c r="JD130" s="70">
        <f>SUM((TEXT(JA130,"[M]")/60)*'Income Person-hours'!$D$3,(TEXT(JB130,"[M]")/60)*'Income Person-hours'!$D$4,(TEXT(JC130,"[M]")/60)*'Income Person-hours'!$D$5)</f>
        <v>0</v>
      </c>
    </row>
    <row r="131" spans="1:16382" s="193" customFormat="1" ht="15.75" x14ac:dyDescent="0.45">
      <c r="A131" s="192">
        <v>6</v>
      </c>
      <c r="B131" s="112" t="s">
        <v>118</v>
      </c>
      <c r="C131" s="113"/>
      <c r="D131" s="195" t="str">
        <f>FDate(MIN(E132:E152))</f>
        <v>1398/07/01</v>
      </c>
      <c r="E131" s="193">
        <f t="shared" si="41"/>
        <v>13980701</v>
      </c>
      <c r="F131" s="195" t="str">
        <f>J_SUBDAY(J_ADDDAY(D131,L131,1),1,1)</f>
        <v>1398/07/29</v>
      </c>
      <c r="G131" s="196">
        <f t="shared" si="42"/>
        <v>13980729</v>
      </c>
      <c r="H131" s="114"/>
      <c r="I131" s="115"/>
      <c r="J131" s="195">
        <f>j_WEEKDAY(D131,2)</f>
        <v>2</v>
      </c>
      <c r="K131" s="197">
        <f>SUM(K132:K152)</f>
        <v>0</v>
      </c>
      <c r="L131" s="198">
        <f>J_DIFF(D131,FDate(MAX(G132:G152)))+1</f>
        <v>29</v>
      </c>
      <c r="M131" s="199">
        <f>IF(SUM(L132:L152)&lt;&gt;0,SUMPRODUCT(L132:L152,M132:M152)/SUM(L132:L152),0)</f>
        <v>0</v>
      </c>
      <c r="N131" s="200">
        <f>IF(F131&gt;=D131,NETWORKDAYS.INTL(J_GregorianDate(D131,1),J_GregorianDate(F131,1),16,1)-SUMIFS(Holieday[ok],Holieday[date],CONCATENATE("&gt;","=",D131),Holieday[date],CONCATENATE("&lt;","=",F131))+SUMIFS(Holieday[Friday],Holieday[date],CONCATENATE("&gt;","=",D131),Holieday[date],CONCATENATE("&lt;","=",F131)),0)</f>
        <v>24</v>
      </c>
      <c r="O131" s="191">
        <f t="shared" ref="O131:O132" si="43">ROUNDDOWN(M131*L131,0)</f>
        <v>0</v>
      </c>
      <c r="P131" s="191">
        <f>VALUE(J_normdate(J_ADDDAY($D131,$O131,1)))</f>
        <v>13980701</v>
      </c>
      <c r="Q131" s="195">
        <f t="shared" ref="Q131:Q132" si="44">L131-O131</f>
        <v>29</v>
      </c>
      <c r="IY131" s="30"/>
      <c r="IZ131" s="42"/>
      <c r="JA131" s="223"/>
      <c r="JB131" s="223"/>
      <c r="JC131" s="223"/>
      <c r="JD131" s="224"/>
    </row>
    <row r="132" spans="1:16382" s="176" customFormat="1" ht="15.75" x14ac:dyDescent="0.45">
      <c r="A132" s="247">
        <v>6.1</v>
      </c>
      <c r="B132" s="116" t="s">
        <v>151</v>
      </c>
      <c r="C132" s="117" t="s">
        <v>79</v>
      </c>
      <c r="D132" s="205" t="str">
        <f>IF(OR(j_WEEKDAY(J_ADDDAY(VLOOKUP(I132,A:F,6,FALSE),H132,1),0)=6,SUMIFS(Holieday[ok],Holieday[date],J_ADDDAY(VLOOKUP(I132,A:F,6,FALSE),H132,1)))=FALSE(),J_ADDDAY(VLOOKUP(I132,A:F,6,FALSE),H132,1),IF(OR(j_WEEKDAY(J_ADDDAY(VLOOKUP(I132,A:F,6,FALSE),H132+1,1),0)=6,SUMIFS(Holieday[ok],Holieday[date],J_ADDDAY(VLOOKUP(I132,A:F,6,FALSE),H132+1,1)))=FALSE(),J_ADDDAY(VLOOKUP(I132,A:F,6,FALSE),H132+1,1),IF(OR(j_WEEKDAY(J_ADDDAY(VLOOKUP(I132,A:F,6,FALSE),H132+2,1),0)=6,SUMIFS(Holieday[ok],Holieday[date],J_ADDDAY(VLOOKUP(I132,A:F,6,FALSE),H132+2,1)))=FALSE(),J_ADDDAY(VLOOKUP(I132,A:F,6,FALSE),H132+2,1),IF(OR(j_WEEKDAY(J_ADDDAY(VLOOKUP(I132,A:F,6,FALSE),H132+3,1),0)=6,SUMIFS(Holieday[ok],Holieday[date],J_ADDDAY(VLOOKUP(I132,A:F,6,FALSE),H132+3,1)))=FALSE(),J_ADDDAY(VLOOKUP(I132,A:F,6,FALSE),H132+3,1),IF(OR(j_WEEKDAY(J_ADDDAY(VLOOKUP(I132,A:F,6,FALSE),H132+4,1),0)=6,SUMIFS(Holieday[ok],Holieday[date],J_ADDDAY(VLOOKUP(I132,A:F,6,FALSE),H132+4,1)))=FALSE(),J_ADDDAY(VLOOKUP(I132,A:F,6,FALSE),H132+4,1),J_ADDDAY(VLOOKUP(I132,A:F,6,FALSE),H132+5,1))))))</f>
        <v>1398/07/01</v>
      </c>
      <c r="E132" s="193">
        <f t="shared" si="41"/>
        <v>13980701</v>
      </c>
      <c r="F132" s="204" t="str">
        <f>IF(N132=0,J_SUBDAY(D132,1,1),IF((N132-NETWORKDAYS.INTL(J_GregorianDate(D132,1),J_GregorianDate(J_SUBDAY(J_ADDDAY(D132,N132,1),1,1),1),16,1)-SUMIFS(Holieday[ok],Holieday[date],CONCATENATE("&gt;","=",D132),Holieday[date],CONCATENATE("&lt;","=",J_SUBDAY(J_ADDDAY(D132,N132,1),1,1)))+SUMIFS(Holieday[Friday],Holieday[date],CONCATENATE("&gt;","=",D132),Holieday[date],CONCATENATE("&lt;","=",J_SUBDAY(J_ADDDAY(D132,N132,1),1,1))))=0,J_SUBDAY(J_ADDDAY(D132,N132,1),1,1),IF((N132-NETWORKDAYS.INTL(J_GregorianDate(D132,1),J_GregorianDate(J_SUBDAY(J_ADDDAY(D132,N132,1),1,1),1),16,1)-SUMIFS(Holieday[ok],Holieday[date],CONCATENATE("&gt;","=",D132),Holieday[date],CONCATENATE("&lt;","=",J_SUBDAY(J_ADDDAY(D132,N132,1),1,1)))+SUMIFS(Holieday[Friday],Holieday[date],CONCATENATE("&gt;","=",D132),Holieday[date],CONCATENATE("&lt;","=",J_SUBDAY(J_ADDDAY(D132,N132,1),1,1))))=1,J_SUBDAY(J_ADDDAY(D132,N132+1,1),1,1),IF((N132-NETWORKDAYS.INTL(J_GregorianDate(D132,1),J_GregorianDate(J_SUBDAY(J_ADDDAY(D132,N132,1),1,1),1),16,1)-SUMIFS(Holieday[ok],Holieday[date],CONCATENATE("&gt;","=",D132),Holieday[date],CONCATENATE("&lt;","=",J_SUBDAY(J_ADDDAY(D132,N132,1),1,1)))+SUMIFS(Holieday[Friday],Holieday[date],CONCATENATE("&gt;","=",D132),Holieday[date],CONCATENATE("&lt;","=",J_SUBDAY(J_ADDDAY(D132,N132,1),1,1))))=2,J_SUBDAY(J_ADDDAY(D132,N132+2,1),1,1),J_SUBDAY(J_ADDDAY(D132,N132+3,1),1,1)))))</f>
        <v>1398/07/11</v>
      </c>
      <c r="G132" s="196">
        <f t="shared" si="42"/>
        <v>13980711</v>
      </c>
      <c r="H132" s="119">
        <v>1</v>
      </c>
      <c r="I132" s="120">
        <v>1.1000000000000001</v>
      </c>
      <c r="J132" s="204">
        <f>j_WEEKDAY(D132,2)</f>
        <v>2</v>
      </c>
      <c r="K132" s="206">
        <f t="shared" ref="K132:K152" si="45">SUM(JA132:JC132)</f>
        <v>0</v>
      </c>
      <c r="L132" s="260">
        <f t="shared" ref="L132:L152" si="46">J_DIFF(D132,F132)+1</f>
        <v>11</v>
      </c>
      <c r="M132" s="252">
        <v>0</v>
      </c>
      <c r="N132" s="118">
        <v>10</v>
      </c>
      <c r="O132" s="208">
        <f t="shared" si="43"/>
        <v>0</v>
      </c>
      <c r="P132" s="208">
        <f>VALUE(J_normdate(J_ADDDAY($D132,$O132,1)))</f>
        <v>13980701</v>
      </c>
      <c r="Q132" s="204">
        <f t="shared" si="44"/>
        <v>11</v>
      </c>
      <c r="R132" s="202"/>
      <c r="S132" s="202"/>
      <c r="T132" s="202"/>
      <c r="U132" s="202"/>
      <c r="V132" s="202"/>
      <c r="W132" s="202"/>
      <c r="X132" s="202"/>
      <c r="Y132" s="202"/>
      <c r="Z132" s="202"/>
      <c r="AA132" s="202"/>
      <c r="AB132" s="202"/>
      <c r="AC132" s="202"/>
      <c r="AD132" s="202"/>
      <c r="AE132" s="202"/>
      <c r="AF132" s="202"/>
      <c r="AG132" s="202"/>
      <c r="AH132" s="202"/>
      <c r="AI132" s="202"/>
      <c r="AJ132" s="202"/>
      <c r="AK132" s="202"/>
      <c r="AL132" s="202"/>
      <c r="AM132" s="202"/>
      <c r="AN132" s="202"/>
      <c r="AO132" s="202"/>
      <c r="AP132" s="202"/>
      <c r="AQ132" s="202"/>
      <c r="AR132" s="202"/>
      <c r="AS132" s="202"/>
      <c r="AT132" s="202"/>
      <c r="AU132" s="202"/>
      <c r="AV132" s="202"/>
      <c r="AW132" s="202"/>
      <c r="AX132" s="202"/>
      <c r="AY132" s="202"/>
      <c r="AZ132" s="202"/>
      <c r="BA132" s="202"/>
      <c r="BB132" s="202"/>
      <c r="BC132" s="202"/>
      <c r="BD132" s="202"/>
      <c r="BE132" s="202"/>
      <c r="BF132" s="202"/>
      <c r="BG132" s="202"/>
      <c r="BH132" s="202"/>
      <c r="BI132" s="202"/>
      <c r="BJ132" s="202"/>
      <c r="BK132" s="202"/>
      <c r="BL132" s="202"/>
      <c r="BM132" s="202"/>
      <c r="BN132" s="202"/>
      <c r="BO132" s="202"/>
      <c r="BP132" s="202"/>
      <c r="BQ132" s="202"/>
      <c r="BR132" s="202"/>
      <c r="BS132" s="202"/>
      <c r="BT132" s="202"/>
      <c r="BU132" s="202"/>
      <c r="BV132" s="202"/>
      <c r="BW132" s="202"/>
      <c r="BX132" s="202"/>
      <c r="BY132" s="202"/>
      <c r="BZ132" s="202"/>
      <c r="CA132" s="202"/>
      <c r="CB132" s="202"/>
      <c r="CC132" s="202"/>
      <c r="CD132" s="202"/>
      <c r="CE132" s="202"/>
      <c r="CF132" s="202"/>
      <c r="CG132" s="202"/>
      <c r="CH132" s="202"/>
      <c r="CI132" s="202"/>
      <c r="CJ132" s="202"/>
      <c r="CK132" s="202"/>
      <c r="CL132" s="202"/>
      <c r="CM132" s="202"/>
      <c r="CN132" s="202"/>
      <c r="CO132" s="202"/>
      <c r="CP132" s="202"/>
      <c r="CQ132" s="202"/>
      <c r="CR132" s="202"/>
      <c r="CS132" s="202"/>
      <c r="CT132" s="202"/>
      <c r="CU132" s="202"/>
      <c r="CV132" s="202"/>
      <c r="CW132" s="202"/>
      <c r="CX132" s="202"/>
      <c r="CY132" s="202"/>
      <c r="CZ132" s="202"/>
      <c r="DA132" s="202"/>
      <c r="DB132" s="202"/>
      <c r="DC132" s="202"/>
      <c r="DD132" s="202"/>
      <c r="DE132" s="202"/>
      <c r="DF132" s="202"/>
      <c r="DG132" s="202"/>
      <c r="DH132" s="202"/>
      <c r="DI132" s="202"/>
      <c r="DJ132" s="202"/>
      <c r="DK132" s="202"/>
      <c r="DL132" s="202"/>
      <c r="DM132" s="202"/>
      <c r="DN132" s="202"/>
      <c r="DO132" s="202"/>
      <c r="DP132" s="202"/>
      <c r="DQ132" s="202"/>
      <c r="DR132" s="202"/>
      <c r="DS132" s="202"/>
      <c r="DT132" s="202"/>
      <c r="DU132" s="202"/>
      <c r="DV132" s="202"/>
      <c r="DW132" s="202"/>
      <c r="DX132" s="202"/>
      <c r="DY132" s="202"/>
      <c r="DZ132" s="202"/>
      <c r="EA132" s="202"/>
      <c r="EB132" s="202"/>
      <c r="EC132" s="202"/>
      <c r="ED132" s="202"/>
      <c r="EE132" s="202"/>
      <c r="EF132" s="202"/>
      <c r="EG132" s="202"/>
      <c r="EH132" s="202"/>
      <c r="EI132" s="202"/>
      <c r="EJ132" s="202"/>
      <c r="EK132" s="202"/>
      <c r="EL132" s="202"/>
      <c r="EM132" s="202"/>
      <c r="EN132" s="202"/>
      <c r="EO132" s="202"/>
      <c r="EP132" s="202"/>
      <c r="EQ132" s="202"/>
      <c r="ER132" s="202"/>
      <c r="ES132" s="202"/>
      <c r="ET132" s="202"/>
      <c r="EU132" s="202"/>
      <c r="EV132" s="202"/>
      <c r="EW132" s="202"/>
      <c r="EX132" s="202"/>
      <c r="EY132" s="202"/>
      <c r="EZ132" s="202"/>
      <c r="FA132" s="202"/>
      <c r="FB132" s="202"/>
      <c r="FC132" s="202"/>
      <c r="FD132" s="202"/>
      <c r="FE132" s="202"/>
      <c r="FF132" s="202"/>
      <c r="FG132" s="202"/>
      <c r="FH132" s="202"/>
      <c r="FI132" s="202"/>
      <c r="FJ132" s="202"/>
      <c r="FK132" s="202"/>
      <c r="FL132" s="202"/>
      <c r="FM132" s="202"/>
      <c r="FN132" s="202"/>
      <c r="FO132" s="202"/>
      <c r="FP132" s="202"/>
      <c r="FQ132" s="202"/>
      <c r="FR132" s="202"/>
      <c r="FS132" s="202"/>
      <c r="FT132" s="202"/>
      <c r="FU132" s="202"/>
      <c r="FV132" s="202"/>
      <c r="FW132" s="202"/>
      <c r="FX132" s="202"/>
      <c r="FY132" s="202"/>
      <c r="FZ132" s="202"/>
      <c r="GA132" s="202"/>
      <c r="GB132" s="202"/>
      <c r="GC132" s="202"/>
      <c r="GD132" s="202"/>
      <c r="GE132" s="202"/>
      <c r="GF132" s="202"/>
      <c r="GG132" s="202"/>
      <c r="GH132" s="202"/>
      <c r="GI132" s="202"/>
      <c r="GJ132" s="202"/>
      <c r="GK132" s="202"/>
      <c r="GL132" s="202"/>
      <c r="GM132" s="202"/>
      <c r="GN132" s="202"/>
      <c r="GO132" s="202"/>
      <c r="GP132" s="202"/>
      <c r="GQ132" s="202"/>
      <c r="GR132" s="202"/>
      <c r="GS132" s="202"/>
      <c r="GT132" s="202"/>
      <c r="GU132" s="202"/>
      <c r="GV132" s="202"/>
      <c r="GW132" s="202"/>
      <c r="GX132" s="202"/>
      <c r="GY132" s="202"/>
      <c r="GZ132" s="202"/>
      <c r="HA132" s="202"/>
      <c r="HB132" s="202"/>
      <c r="HC132" s="202"/>
      <c r="HD132" s="202"/>
      <c r="HE132" s="202"/>
      <c r="HF132" s="202"/>
      <c r="HG132" s="202"/>
      <c r="HH132" s="202"/>
      <c r="HI132" s="202"/>
      <c r="HJ132" s="202"/>
      <c r="HK132" s="202"/>
      <c r="HL132" s="202"/>
      <c r="HM132" s="202"/>
      <c r="HN132" s="202"/>
      <c r="HO132" s="202"/>
      <c r="HP132" s="202"/>
      <c r="HQ132" s="202"/>
      <c r="HR132" s="202"/>
      <c r="HS132" s="202"/>
      <c r="HT132" s="202"/>
      <c r="HU132" s="202"/>
      <c r="HV132" s="202"/>
      <c r="HW132" s="202"/>
      <c r="HX132" s="202"/>
      <c r="HY132" s="202"/>
      <c r="HZ132" s="202"/>
      <c r="IA132" s="202"/>
      <c r="IB132" s="202"/>
      <c r="IC132" s="202"/>
      <c r="ID132" s="202"/>
      <c r="IE132" s="202"/>
      <c r="IF132" s="202"/>
      <c r="IG132" s="202"/>
      <c r="IH132" s="202"/>
      <c r="II132" s="202"/>
      <c r="IJ132" s="202"/>
      <c r="IK132" s="202"/>
      <c r="IL132" s="202"/>
      <c r="IM132" s="202"/>
      <c r="IN132" s="202"/>
      <c r="IO132" s="202"/>
      <c r="IP132" s="202"/>
      <c r="IQ132" s="202"/>
      <c r="IR132" s="202"/>
      <c r="IS132" s="202"/>
      <c r="IT132" s="202"/>
      <c r="IU132" s="202"/>
      <c r="IV132" s="202"/>
      <c r="IW132" s="202"/>
      <c r="IX132" s="202"/>
      <c r="IY132" s="254">
        <v>1</v>
      </c>
      <c r="IZ132" s="254">
        <f>(TEXT(K132,"[m]")/60)*VLOOKUP(IY132,'Income Person-hours'!A$2:C$5,3,FALSE)</f>
        <v>0</v>
      </c>
      <c r="JA132" s="249"/>
      <c r="JB132" s="255"/>
      <c r="JC132" s="256"/>
      <c r="JD132" s="257">
        <f>SUM((TEXT(JA132,"[M]")/60)*'Income Person-hours'!$D$3,(TEXT(JB132,"[M]")/60)*'Income Person-hours'!$D$4,(TEXT(JC132,"[M]")/60)*'Income Person-hours'!$D$5)</f>
        <v>0</v>
      </c>
      <c r="JE132" s="202"/>
      <c r="JF132" s="202"/>
      <c r="JG132" s="202"/>
      <c r="JH132" s="202"/>
      <c r="JI132" s="202"/>
      <c r="JJ132" s="202"/>
      <c r="JK132" s="202"/>
      <c r="JL132" s="202"/>
      <c r="JM132" s="202"/>
      <c r="JN132" s="202"/>
      <c r="JO132" s="202"/>
      <c r="JP132" s="202"/>
      <c r="JQ132" s="202"/>
      <c r="JR132" s="202"/>
      <c r="JS132" s="202"/>
      <c r="JT132" s="202"/>
      <c r="JU132" s="202"/>
      <c r="JV132" s="202"/>
      <c r="JW132" s="202"/>
      <c r="JX132" s="202"/>
      <c r="JY132" s="202"/>
      <c r="JZ132" s="202"/>
      <c r="KA132" s="202"/>
      <c r="KB132" s="202"/>
      <c r="KC132" s="202"/>
      <c r="KD132" s="202"/>
      <c r="KE132" s="202"/>
      <c r="KF132" s="202"/>
      <c r="KG132" s="202"/>
      <c r="KH132" s="202"/>
      <c r="KI132" s="202"/>
      <c r="KJ132" s="202"/>
      <c r="KK132" s="202"/>
      <c r="KL132" s="202"/>
      <c r="KM132" s="202"/>
      <c r="KN132" s="202"/>
      <c r="KO132" s="202"/>
      <c r="KP132" s="202"/>
      <c r="KQ132" s="202"/>
      <c r="KR132" s="202"/>
      <c r="KS132" s="202"/>
      <c r="KT132" s="202"/>
      <c r="KU132" s="202"/>
      <c r="KV132" s="202"/>
      <c r="KW132" s="202"/>
      <c r="KX132" s="202"/>
      <c r="KY132" s="202"/>
      <c r="KZ132" s="202"/>
      <c r="LA132" s="202"/>
      <c r="LB132" s="202"/>
      <c r="LC132" s="202"/>
      <c r="LD132" s="202"/>
      <c r="LE132" s="202"/>
      <c r="LF132" s="202"/>
      <c r="LG132" s="202"/>
      <c r="LH132" s="202"/>
      <c r="LI132" s="202"/>
      <c r="LJ132" s="202"/>
      <c r="LK132" s="202"/>
      <c r="LL132" s="202"/>
      <c r="LM132" s="202"/>
      <c r="LN132" s="202"/>
      <c r="LO132" s="202"/>
      <c r="LP132" s="202"/>
      <c r="LQ132" s="202"/>
      <c r="LR132" s="202"/>
      <c r="LS132" s="202"/>
      <c r="LT132" s="202"/>
      <c r="LU132" s="202"/>
      <c r="LV132" s="202"/>
      <c r="LW132" s="202"/>
      <c r="LX132" s="202"/>
      <c r="LY132" s="202"/>
      <c r="LZ132" s="202"/>
      <c r="MA132" s="202"/>
      <c r="MB132" s="202"/>
      <c r="MC132" s="202"/>
      <c r="MD132" s="202"/>
      <c r="ME132" s="202"/>
      <c r="MF132" s="202"/>
      <c r="MG132" s="202"/>
      <c r="MH132" s="202"/>
      <c r="MI132" s="202"/>
      <c r="MJ132" s="202"/>
      <c r="MK132" s="202"/>
      <c r="ML132" s="202"/>
      <c r="MM132" s="202"/>
      <c r="MN132" s="202"/>
      <c r="MO132" s="202"/>
      <c r="MP132" s="202"/>
      <c r="MQ132" s="202"/>
      <c r="MR132" s="202"/>
      <c r="MS132" s="202"/>
      <c r="MT132" s="202"/>
      <c r="MU132" s="202"/>
      <c r="MV132" s="202"/>
      <c r="MW132" s="202"/>
      <c r="MX132" s="202"/>
      <c r="MY132" s="202"/>
      <c r="MZ132" s="202"/>
      <c r="NA132" s="202"/>
      <c r="NB132" s="202"/>
      <c r="NC132" s="202"/>
      <c r="ND132" s="202"/>
      <c r="NE132" s="202"/>
      <c r="NF132" s="202"/>
      <c r="NG132" s="202"/>
      <c r="NH132" s="202"/>
      <c r="NI132" s="202"/>
      <c r="NJ132" s="202"/>
      <c r="NK132" s="202"/>
      <c r="NL132" s="202"/>
      <c r="NM132" s="202"/>
      <c r="NN132" s="202"/>
      <c r="NO132" s="202"/>
      <c r="NP132" s="202"/>
      <c r="NQ132" s="202"/>
      <c r="NR132" s="202"/>
      <c r="NS132" s="202"/>
      <c r="NT132" s="202"/>
      <c r="NU132" s="202"/>
      <c r="NV132" s="202"/>
      <c r="NW132" s="202"/>
      <c r="NX132" s="202"/>
      <c r="NY132" s="202"/>
      <c r="NZ132" s="202"/>
      <c r="OA132" s="202"/>
      <c r="OB132" s="202"/>
      <c r="OC132" s="202"/>
      <c r="OD132" s="202"/>
      <c r="OE132" s="202"/>
      <c r="OF132" s="202"/>
      <c r="OG132" s="202"/>
      <c r="OH132" s="202"/>
      <c r="OI132" s="202"/>
      <c r="OJ132" s="202"/>
      <c r="OK132" s="202"/>
      <c r="OL132" s="202"/>
      <c r="OM132" s="202"/>
      <c r="ON132" s="202"/>
      <c r="OO132" s="202"/>
      <c r="OP132" s="202"/>
      <c r="OQ132" s="202"/>
      <c r="OR132" s="202"/>
      <c r="OS132" s="202"/>
      <c r="OT132" s="202"/>
      <c r="OU132" s="202"/>
      <c r="OV132" s="202"/>
      <c r="OW132" s="202"/>
      <c r="OX132" s="202"/>
      <c r="OY132" s="202"/>
      <c r="OZ132" s="202"/>
      <c r="PA132" s="202"/>
      <c r="PB132" s="202"/>
      <c r="PC132" s="202"/>
      <c r="PD132" s="202"/>
      <c r="PE132" s="202"/>
      <c r="PF132" s="202"/>
      <c r="PG132" s="202"/>
      <c r="PH132" s="202"/>
      <c r="PI132" s="202"/>
      <c r="PJ132" s="202"/>
      <c r="PK132" s="202"/>
      <c r="PL132" s="202"/>
      <c r="PM132" s="202"/>
      <c r="PN132" s="202"/>
      <c r="PO132" s="202"/>
      <c r="PP132" s="202"/>
      <c r="PQ132" s="202"/>
      <c r="PR132" s="202"/>
      <c r="PS132" s="202"/>
      <c r="PT132" s="202"/>
      <c r="PU132" s="202"/>
      <c r="PV132" s="202"/>
      <c r="PW132" s="202"/>
      <c r="PX132" s="202"/>
      <c r="PY132" s="202"/>
      <c r="PZ132" s="202"/>
      <c r="QA132" s="202"/>
      <c r="QB132" s="202"/>
      <c r="QC132" s="202"/>
      <c r="QD132" s="202"/>
      <c r="QE132" s="202"/>
      <c r="QF132" s="202"/>
      <c r="QG132" s="202"/>
      <c r="QH132" s="202"/>
      <c r="QI132" s="202"/>
      <c r="QJ132" s="202"/>
      <c r="QK132" s="202"/>
      <c r="QL132" s="202"/>
      <c r="QM132" s="202"/>
      <c r="QN132" s="202"/>
      <c r="QO132" s="202"/>
      <c r="QP132" s="202"/>
      <c r="QQ132" s="202"/>
      <c r="QR132" s="202"/>
      <c r="QS132" s="202"/>
      <c r="QT132" s="202"/>
      <c r="QU132" s="202"/>
      <c r="QV132" s="202"/>
      <c r="QW132" s="202"/>
      <c r="QX132" s="202"/>
      <c r="QY132" s="202"/>
      <c r="QZ132" s="202"/>
      <c r="RA132" s="202"/>
      <c r="RB132" s="202"/>
      <c r="RC132" s="202"/>
      <c r="RD132" s="202"/>
      <c r="RE132" s="202"/>
      <c r="RF132" s="202"/>
      <c r="RG132" s="202"/>
      <c r="RH132" s="202"/>
      <c r="RI132" s="202"/>
      <c r="RJ132" s="202"/>
      <c r="RK132" s="202"/>
      <c r="RL132" s="202"/>
      <c r="RM132" s="202"/>
      <c r="RN132" s="202"/>
      <c r="RO132" s="202"/>
      <c r="RP132" s="202"/>
      <c r="RQ132" s="202"/>
      <c r="RR132" s="202"/>
      <c r="RS132" s="202"/>
      <c r="RT132" s="202"/>
      <c r="RU132" s="202"/>
      <c r="RV132" s="202"/>
      <c r="RW132" s="202"/>
      <c r="RX132" s="202"/>
      <c r="RY132" s="202"/>
      <c r="RZ132" s="202"/>
      <c r="SA132" s="202"/>
      <c r="SB132" s="202"/>
      <c r="SC132" s="202"/>
      <c r="SD132" s="202"/>
      <c r="SE132" s="202"/>
      <c r="SF132" s="202"/>
      <c r="SG132" s="202"/>
      <c r="SH132" s="202"/>
      <c r="SI132" s="202"/>
      <c r="SJ132" s="202"/>
      <c r="SK132" s="202"/>
      <c r="SL132" s="202"/>
      <c r="SM132" s="202"/>
      <c r="SN132" s="202"/>
      <c r="SO132" s="202"/>
      <c r="SP132" s="202"/>
      <c r="SQ132" s="202"/>
      <c r="SR132" s="202"/>
      <c r="SS132" s="202"/>
      <c r="ST132" s="202"/>
      <c r="SU132" s="202"/>
      <c r="SV132" s="202"/>
      <c r="SW132" s="202"/>
      <c r="SX132" s="202"/>
      <c r="SY132" s="202"/>
      <c r="SZ132" s="202"/>
      <c r="TA132" s="202"/>
      <c r="TB132" s="202"/>
      <c r="TC132" s="202"/>
      <c r="TD132" s="202"/>
      <c r="TE132" s="202"/>
      <c r="TF132" s="202"/>
      <c r="TG132" s="202"/>
      <c r="TH132" s="202"/>
      <c r="TI132" s="202"/>
      <c r="TJ132" s="202"/>
      <c r="TK132" s="202"/>
      <c r="TL132" s="202"/>
      <c r="TM132" s="202"/>
      <c r="TN132" s="202"/>
      <c r="TO132" s="202"/>
      <c r="TP132" s="202"/>
      <c r="TQ132" s="202"/>
      <c r="TR132" s="202"/>
      <c r="TS132" s="202"/>
      <c r="TT132" s="202"/>
      <c r="TU132" s="202"/>
      <c r="TV132" s="202"/>
      <c r="TW132" s="202"/>
      <c r="TX132" s="202"/>
      <c r="TY132" s="202"/>
      <c r="TZ132" s="202"/>
      <c r="UA132" s="202"/>
      <c r="UB132" s="202"/>
      <c r="UC132" s="202"/>
      <c r="UD132" s="202"/>
      <c r="UE132" s="202"/>
      <c r="UF132" s="202"/>
      <c r="UG132" s="202"/>
      <c r="UH132" s="202"/>
      <c r="UI132" s="202"/>
      <c r="UJ132" s="202"/>
      <c r="UK132" s="202"/>
      <c r="UL132" s="202"/>
      <c r="UM132" s="202"/>
      <c r="UN132" s="202"/>
      <c r="UO132" s="202"/>
      <c r="UP132" s="202"/>
      <c r="UQ132" s="202"/>
      <c r="UR132" s="202"/>
      <c r="US132" s="202"/>
      <c r="UT132" s="202"/>
      <c r="UU132" s="202"/>
      <c r="UV132" s="202"/>
      <c r="UW132" s="202"/>
      <c r="UX132" s="202"/>
      <c r="UY132" s="202"/>
      <c r="UZ132" s="202"/>
      <c r="VA132" s="202"/>
      <c r="VB132" s="202"/>
      <c r="VC132" s="202"/>
      <c r="VD132" s="202"/>
      <c r="VE132" s="202"/>
      <c r="VF132" s="202"/>
      <c r="VG132" s="202"/>
      <c r="VH132" s="202"/>
      <c r="VI132" s="202"/>
      <c r="VJ132" s="202"/>
      <c r="VK132" s="202"/>
      <c r="VL132" s="202"/>
      <c r="VM132" s="202"/>
      <c r="VN132" s="202"/>
      <c r="VO132" s="202"/>
      <c r="VP132" s="202"/>
      <c r="VQ132" s="202"/>
      <c r="VR132" s="202"/>
      <c r="VS132" s="202"/>
      <c r="VT132" s="202"/>
      <c r="VU132" s="202"/>
      <c r="VV132" s="202"/>
      <c r="VW132" s="202"/>
      <c r="VX132" s="202"/>
      <c r="VY132" s="202"/>
      <c r="VZ132" s="202"/>
      <c r="WA132" s="202"/>
      <c r="WB132" s="202"/>
      <c r="WC132" s="202"/>
      <c r="WD132" s="202"/>
      <c r="WE132" s="202"/>
      <c r="WF132" s="202"/>
      <c r="WG132" s="202"/>
      <c r="WH132" s="202"/>
      <c r="WI132" s="202"/>
      <c r="WJ132" s="202"/>
      <c r="WK132" s="202"/>
      <c r="WL132" s="202"/>
      <c r="WM132" s="202"/>
      <c r="WN132" s="202"/>
      <c r="WO132" s="202"/>
      <c r="WP132" s="202"/>
      <c r="WQ132" s="202"/>
      <c r="WR132" s="202"/>
      <c r="WS132" s="202"/>
      <c r="WT132" s="202"/>
      <c r="WU132" s="202"/>
      <c r="WV132" s="202"/>
      <c r="WW132" s="202"/>
      <c r="WX132" s="202"/>
      <c r="WY132" s="202"/>
      <c r="WZ132" s="202"/>
      <c r="XA132" s="202"/>
      <c r="XB132" s="202"/>
      <c r="XC132" s="202"/>
      <c r="XD132" s="202"/>
      <c r="XE132" s="202"/>
      <c r="XF132" s="202"/>
      <c r="XG132" s="202"/>
      <c r="XH132" s="202"/>
      <c r="XI132" s="202"/>
      <c r="XJ132" s="202"/>
      <c r="XK132" s="202"/>
      <c r="XL132" s="202"/>
      <c r="XM132" s="202"/>
      <c r="XN132" s="202"/>
      <c r="XO132" s="202"/>
      <c r="XP132" s="202"/>
      <c r="XQ132" s="202"/>
      <c r="XR132" s="202"/>
      <c r="XS132" s="202"/>
      <c r="XT132" s="202"/>
      <c r="XU132" s="202"/>
      <c r="XV132" s="202"/>
      <c r="XW132" s="202"/>
      <c r="XX132" s="202"/>
      <c r="XY132" s="202"/>
      <c r="XZ132" s="202"/>
      <c r="YA132" s="202"/>
      <c r="YB132" s="202"/>
      <c r="YC132" s="202"/>
      <c r="YD132" s="202"/>
      <c r="YE132" s="202"/>
      <c r="YF132" s="202"/>
      <c r="YG132" s="202"/>
      <c r="YH132" s="202"/>
      <c r="YI132" s="202"/>
      <c r="YJ132" s="202"/>
      <c r="YK132" s="202"/>
      <c r="YL132" s="202"/>
      <c r="YM132" s="202"/>
      <c r="YN132" s="202"/>
      <c r="YO132" s="202"/>
      <c r="YP132" s="202"/>
      <c r="YQ132" s="202"/>
      <c r="YR132" s="202"/>
      <c r="YS132" s="202"/>
      <c r="YT132" s="202"/>
      <c r="YU132" s="202"/>
      <c r="YV132" s="202"/>
      <c r="YW132" s="202"/>
      <c r="YX132" s="202"/>
      <c r="YY132" s="202"/>
      <c r="YZ132" s="202"/>
      <c r="ZA132" s="202"/>
      <c r="ZB132" s="202"/>
      <c r="ZC132" s="202"/>
      <c r="ZD132" s="202"/>
      <c r="ZE132" s="202"/>
      <c r="ZF132" s="202"/>
      <c r="ZG132" s="202"/>
      <c r="ZH132" s="202"/>
      <c r="ZI132" s="202"/>
      <c r="ZJ132" s="202"/>
      <c r="ZK132" s="202"/>
      <c r="ZL132" s="202"/>
      <c r="ZM132" s="202"/>
      <c r="ZN132" s="202"/>
      <c r="ZO132" s="202"/>
      <c r="ZP132" s="202"/>
      <c r="ZQ132" s="202"/>
      <c r="ZR132" s="202"/>
      <c r="ZS132" s="202"/>
      <c r="ZT132" s="202"/>
      <c r="ZU132" s="202"/>
      <c r="ZV132" s="202"/>
      <c r="ZW132" s="202"/>
      <c r="ZX132" s="202"/>
      <c r="ZY132" s="202"/>
      <c r="ZZ132" s="202"/>
      <c r="AAA132" s="202"/>
      <c r="AAB132" s="202"/>
      <c r="AAC132" s="202"/>
      <c r="AAD132" s="202"/>
      <c r="AAE132" s="202"/>
      <c r="AAF132" s="202"/>
      <c r="AAG132" s="202"/>
      <c r="AAH132" s="202"/>
      <c r="AAI132" s="202"/>
      <c r="AAJ132" s="202"/>
      <c r="AAK132" s="202"/>
      <c r="AAL132" s="202"/>
      <c r="AAM132" s="202"/>
      <c r="AAN132" s="202"/>
      <c r="AAO132" s="202"/>
      <c r="AAP132" s="202"/>
      <c r="AAQ132" s="202"/>
      <c r="AAR132" s="202"/>
      <c r="AAS132" s="202"/>
      <c r="AAT132" s="202"/>
      <c r="AAU132" s="202"/>
      <c r="AAV132" s="202"/>
      <c r="AAW132" s="202"/>
      <c r="AAX132" s="202"/>
      <c r="AAY132" s="202"/>
      <c r="AAZ132" s="202"/>
      <c r="ABA132" s="202"/>
      <c r="ABB132" s="202"/>
      <c r="ABC132" s="202"/>
      <c r="ABD132" s="202"/>
      <c r="ABE132" s="202"/>
      <c r="ABF132" s="202"/>
      <c r="ABG132" s="202"/>
      <c r="ABH132" s="202"/>
      <c r="ABI132" s="202"/>
      <c r="ABJ132" s="202"/>
      <c r="ABK132" s="202"/>
      <c r="ABL132" s="202"/>
      <c r="ABM132" s="202"/>
      <c r="ABN132" s="202"/>
      <c r="ABO132" s="202"/>
      <c r="ABP132" s="202"/>
      <c r="ABQ132" s="202"/>
      <c r="ABR132" s="202"/>
      <c r="ABS132" s="202"/>
      <c r="ABT132" s="202"/>
      <c r="ABU132" s="202"/>
      <c r="ABV132" s="202"/>
      <c r="ABW132" s="202"/>
      <c r="ABX132" s="202"/>
      <c r="ABY132" s="202"/>
      <c r="ABZ132" s="202"/>
      <c r="ACA132" s="202"/>
      <c r="ACB132" s="202"/>
      <c r="ACC132" s="202"/>
      <c r="ACD132" s="202"/>
      <c r="ACE132" s="202"/>
      <c r="ACF132" s="202"/>
      <c r="ACG132" s="202"/>
      <c r="ACH132" s="202"/>
      <c r="ACI132" s="202"/>
      <c r="ACJ132" s="202"/>
      <c r="ACK132" s="202"/>
      <c r="ACL132" s="202"/>
      <c r="ACM132" s="202"/>
      <c r="ACN132" s="202"/>
      <c r="ACO132" s="202"/>
      <c r="ACP132" s="202"/>
      <c r="ACQ132" s="202"/>
      <c r="ACR132" s="202"/>
      <c r="ACS132" s="202"/>
      <c r="ACT132" s="202"/>
      <c r="ACU132" s="202"/>
      <c r="ACV132" s="202"/>
      <c r="ACW132" s="202"/>
      <c r="ACX132" s="202"/>
      <c r="ACY132" s="202"/>
      <c r="ACZ132" s="202"/>
      <c r="ADA132" s="202"/>
      <c r="ADB132" s="202"/>
      <c r="ADC132" s="202"/>
      <c r="ADD132" s="202"/>
      <c r="ADE132" s="202"/>
      <c r="ADF132" s="202"/>
      <c r="ADG132" s="202"/>
      <c r="ADH132" s="202"/>
      <c r="ADI132" s="202"/>
      <c r="ADJ132" s="202"/>
      <c r="ADK132" s="202"/>
      <c r="ADL132" s="202"/>
      <c r="ADM132" s="202"/>
      <c r="ADN132" s="202"/>
      <c r="ADO132" s="202"/>
      <c r="ADP132" s="202"/>
      <c r="ADQ132" s="202"/>
      <c r="ADR132" s="202"/>
      <c r="ADS132" s="202"/>
      <c r="ADT132" s="202"/>
      <c r="ADU132" s="202"/>
      <c r="ADV132" s="202"/>
      <c r="ADW132" s="202"/>
      <c r="ADX132" s="202"/>
      <c r="ADY132" s="202"/>
      <c r="ADZ132" s="202"/>
      <c r="AEA132" s="202"/>
      <c r="AEB132" s="202"/>
      <c r="AEC132" s="202"/>
      <c r="AED132" s="202"/>
      <c r="AEE132" s="202"/>
      <c r="AEF132" s="202"/>
      <c r="AEG132" s="202"/>
      <c r="AEH132" s="202"/>
      <c r="AEI132" s="202"/>
      <c r="AEJ132" s="202"/>
      <c r="AEK132" s="202"/>
      <c r="AEL132" s="202"/>
      <c r="AEM132" s="202"/>
      <c r="AEN132" s="202"/>
      <c r="AEO132" s="202"/>
      <c r="AEP132" s="202"/>
      <c r="AEQ132" s="202"/>
      <c r="AER132" s="202"/>
      <c r="AES132" s="202"/>
      <c r="AET132" s="202"/>
      <c r="AEU132" s="202"/>
      <c r="AEV132" s="202"/>
      <c r="AEW132" s="202"/>
      <c r="AEX132" s="202"/>
      <c r="AEY132" s="202"/>
      <c r="AEZ132" s="202"/>
      <c r="AFA132" s="202"/>
      <c r="AFB132" s="202"/>
      <c r="AFC132" s="202"/>
      <c r="AFD132" s="202"/>
      <c r="AFE132" s="202"/>
      <c r="AFF132" s="202"/>
      <c r="AFG132" s="202"/>
      <c r="AFH132" s="202"/>
      <c r="AFI132" s="202"/>
      <c r="AFJ132" s="202"/>
      <c r="AFK132" s="202"/>
      <c r="AFL132" s="202"/>
      <c r="AFM132" s="202"/>
      <c r="AFN132" s="202"/>
      <c r="AFO132" s="202"/>
      <c r="AFP132" s="202"/>
      <c r="AFQ132" s="202"/>
      <c r="AFR132" s="202"/>
      <c r="AFS132" s="202"/>
      <c r="AFT132" s="202"/>
      <c r="AFU132" s="202"/>
      <c r="AFV132" s="202"/>
      <c r="AFW132" s="202"/>
      <c r="AFX132" s="202"/>
      <c r="AFY132" s="202"/>
      <c r="AFZ132" s="202"/>
      <c r="AGA132" s="202"/>
      <c r="AGB132" s="202"/>
      <c r="AGC132" s="202"/>
      <c r="AGD132" s="202"/>
      <c r="AGE132" s="202"/>
      <c r="AGF132" s="202"/>
      <c r="AGG132" s="202"/>
      <c r="AGH132" s="202"/>
      <c r="AGI132" s="202"/>
      <c r="AGJ132" s="202"/>
      <c r="AGK132" s="202"/>
      <c r="AGL132" s="202"/>
      <c r="AGM132" s="202"/>
      <c r="AGN132" s="202"/>
      <c r="AGO132" s="202"/>
      <c r="AGP132" s="202"/>
      <c r="AGQ132" s="202"/>
      <c r="AGR132" s="202"/>
      <c r="AGS132" s="202"/>
      <c r="AGT132" s="202"/>
      <c r="AGU132" s="202"/>
      <c r="AGV132" s="202"/>
      <c r="AGW132" s="202"/>
      <c r="AGX132" s="202"/>
      <c r="AGY132" s="202"/>
      <c r="AGZ132" s="202"/>
      <c r="AHA132" s="202"/>
      <c r="AHB132" s="202"/>
      <c r="AHC132" s="202"/>
      <c r="AHD132" s="202"/>
      <c r="AHE132" s="202"/>
      <c r="AHF132" s="202"/>
      <c r="AHG132" s="202"/>
      <c r="AHH132" s="202"/>
      <c r="AHI132" s="202"/>
      <c r="AHJ132" s="202"/>
      <c r="AHK132" s="202"/>
      <c r="AHL132" s="202"/>
      <c r="AHM132" s="202"/>
      <c r="AHN132" s="202"/>
      <c r="AHO132" s="202"/>
      <c r="AHP132" s="202"/>
      <c r="AHQ132" s="202"/>
      <c r="AHR132" s="202"/>
      <c r="AHS132" s="202"/>
      <c r="AHT132" s="202"/>
      <c r="AHU132" s="202"/>
      <c r="AHV132" s="202"/>
      <c r="AHW132" s="202"/>
      <c r="AHX132" s="202"/>
      <c r="AHY132" s="202"/>
      <c r="AHZ132" s="202"/>
      <c r="AIA132" s="202"/>
      <c r="AIB132" s="202"/>
      <c r="AIC132" s="202"/>
      <c r="AID132" s="202"/>
      <c r="AIE132" s="202"/>
      <c r="AIF132" s="202"/>
      <c r="AIG132" s="202"/>
      <c r="AIH132" s="202"/>
      <c r="AII132" s="202"/>
      <c r="AIJ132" s="202"/>
      <c r="AIK132" s="202"/>
      <c r="AIL132" s="202"/>
      <c r="AIM132" s="202"/>
      <c r="AIN132" s="202"/>
      <c r="AIO132" s="202"/>
      <c r="AIP132" s="202"/>
      <c r="AIQ132" s="202"/>
      <c r="AIR132" s="202"/>
      <c r="AIS132" s="202"/>
      <c r="AIT132" s="202"/>
      <c r="AIU132" s="202"/>
      <c r="AIV132" s="202"/>
      <c r="AIW132" s="202"/>
      <c r="AIX132" s="202"/>
      <c r="AIY132" s="202"/>
      <c r="AIZ132" s="202"/>
      <c r="AJA132" s="202"/>
      <c r="AJB132" s="202"/>
      <c r="AJC132" s="202"/>
      <c r="AJD132" s="202"/>
      <c r="AJE132" s="202"/>
      <c r="AJF132" s="202"/>
      <c r="AJG132" s="202"/>
      <c r="AJH132" s="202"/>
      <c r="AJI132" s="202"/>
      <c r="AJJ132" s="202"/>
      <c r="AJK132" s="202"/>
      <c r="AJL132" s="202"/>
      <c r="AJM132" s="202"/>
      <c r="AJN132" s="202"/>
      <c r="AJO132" s="202"/>
      <c r="AJP132" s="202"/>
      <c r="AJQ132" s="202"/>
      <c r="AJR132" s="202"/>
      <c r="AJS132" s="202"/>
      <c r="AJT132" s="202"/>
      <c r="AJU132" s="202"/>
      <c r="AJV132" s="202"/>
      <c r="AJW132" s="202"/>
      <c r="AJX132" s="202"/>
      <c r="AJY132" s="202"/>
      <c r="AJZ132" s="202"/>
      <c r="AKA132" s="202"/>
      <c r="AKB132" s="202"/>
      <c r="AKC132" s="202"/>
      <c r="AKD132" s="202"/>
      <c r="AKE132" s="202"/>
      <c r="AKF132" s="202"/>
      <c r="AKG132" s="202"/>
      <c r="AKH132" s="202"/>
      <c r="AKI132" s="202"/>
      <c r="AKJ132" s="202"/>
      <c r="AKK132" s="202"/>
      <c r="AKL132" s="202"/>
      <c r="AKM132" s="202"/>
      <c r="AKN132" s="202"/>
      <c r="AKO132" s="202"/>
      <c r="AKP132" s="202"/>
      <c r="AKQ132" s="202"/>
      <c r="AKR132" s="202"/>
      <c r="AKS132" s="202"/>
      <c r="AKT132" s="202"/>
      <c r="AKU132" s="202"/>
      <c r="AKV132" s="202"/>
      <c r="AKW132" s="202"/>
      <c r="AKX132" s="202"/>
      <c r="AKY132" s="202"/>
      <c r="AKZ132" s="202"/>
      <c r="ALA132" s="202"/>
      <c r="ALB132" s="202"/>
      <c r="ALC132" s="202"/>
      <c r="ALD132" s="202"/>
      <c r="ALE132" s="202"/>
      <c r="ALF132" s="202"/>
      <c r="ALG132" s="202"/>
      <c r="ALH132" s="202"/>
      <c r="ALI132" s="202"/>
      <c r="ALJ132" s="202"/>
      <c r="ALK132" s="202"/>
      <c r="ALL132" s="202"/>
      <c r="ALM132" s="202"/>
      <c r="ALN132" s="202"/>
      <c r="ALO132" s="202"/>
      <c r="ALP132" s="202"/>
      <c r="ALQ132" s="202"/>
      <c r="ALR132" s="202"/>
      <c r="ALS132" s="202"/>
      <c r="ALT132" s="202"/>
      <c r="ALU132" s="202"/>
      <c r="ALV132" s="202"/>
      <c r="ALW132" s="202"/>
      <c r="ALX132" s="202"/>
      <c r="ALY132" s="202"/>
      <c r="ALZ132" s="202"/>
      <c r="AMA132" s="202"/>
      <c r="AMB132" s="202"/>
      <c r="AMC132" s="202"/>
      <c r="AMD132" s="202"/>
      <c r="AME132" s="202"/>
      <c r="AMF132" s="202"/>
      <c r="AMG132" s="202"/>
      <c r="AMH132" s="202"/>
      <c r="AMI132" s="202"/>
      <c r="AMJ132" s="202"/>
      <c r="AMK132" s="202"/>
      <c r="AML132" s="202"/>
      <c r="AMM132" s="202"/>
      <c r="AMN132" s="202"/>
      <c r="AMO132" s="202"/>
      <c r="AMP132" s="202"/>
      <c r="AMQ132" s="202"/>
      <c r="AMR132" s="202"/>
      <c r="AMS132" s="202"/>
      <c r="AMT132" s="202"/>
      <c r="AMU132" s="202"/>
      <c r="AMV132" s="202"/>
      <c r="AMW132" s="202"/>
      <c r="AMX132" s="202"/>
      <c r="AMY132" s="202"/>
      <c r="AMZ132" s="202"/>
      <c r="ANA132" s="202"/>
      <c r="ANB132" s="202"/>
      <c r="ANC132" s="202"/>
      <c r="AND132" s="202"/>
      <c r="ANE132" s="202"/>
      <c r="ANF132" s="202"/>
      <c r="ANG132" s="202"/>
      <c r="ANH132" s="202"/>
      <c r="ANI132" s="202"/>
      <c r="ANJ132" s="202"/>
      <c r="ANK132" s="202"/>
      <c r="ANL132" s="202"/>
      <c r="ANM132" s="202"/>
      <c r="ANN132" s="202"/>
      <c r="ANO132" s="202"/>
      <c r="ANP132" s="202"/>
      <c r="ANQ132" s="202"/>
      <c r="ANR132" s="202"/>
      <c r="ANS132" s="202"/>
      <c r="ANT132" s="202"/>
      <c r="ANU132" s="202"/>
      <c r="ANV132" s="202"/>
      <c r="ANW132" s="202"/>
      <c r="ANX132" s="202"/>
      <c r="ANY132" s="202"/>
      <c r="ANZ132" s="202"/>
      <c r="AOA132" s="202"/>
      <c r="AOB132" s="202"/>
      <c r="AOC132" s="202"/>
      <c r="AOD132" s="202"/>
      <c r="AOE132" s="202"/>
      <c r="AOF132" s="202"/>
      <c r="AOG132" s="202"/>
      <c r="AOH132" s="202"/>
      <c r="AOI132" s="202"/>
      <c r="AOJ132" s="202"/>
      <c r="AOK132" s="202"/>
      <c r="AOL132" s="202"/>
      <c r="AOM132" s="202"/>
      <c r="AON132" s="202"/>
      <c r="AOO132" s="202"/>
      <c r="AOP132" s="202"/>
      <c r="AOQ132" s="202"/>
      <c r="AOR132" s="202"/>
      <c r="AOS132" s="202"/>
      <c r="AOT132" s="202"/>
      <c r="AOU132" s="202"/>
      <c r="AOV132" s="202"/>
      <c r="AOW132" s="202"/>
      <c r="AOX132" s="202"/>
      <c r="AOY132" s="202"/>
      <c r="AOZ132" s="202"/>
      <c r="APA132" s="202"/>
      <c r="APB132" s="202"/>
      <c r="APC132" s="202"/>
      <c r="APD132" s="202"/>
      <c r="APE132" s="202"/>
      <c r="APF132" s="202"/>
      <c r="APG132" s="202"/>
      <c r="APH132" s="202"/>
      <c r="API132" s="202"/>
      <c r="APJ132" s="202"/>
      <c r="APK132" s="202"/>
      <c r="APL132" s="202"/>
      <c r="APM132" s="202"/>
      <c r="APN132" s="202"/>
      <c r="APO132" s="202"/>
      <c r="APP132" s="202"/>
      <c r="APQ132" s="202"/>
      <c r="APR132" s="202"/>
      <c r="APS132" s="202"/>
      <c r="APT132" s="202"/>
      <c r="APU132" s="202"/>
      <c r="APV132" s="202"/>
      <c r="APW132" s="202"/>
      <c r="APX132" s="202"/>
      <c r="APY132" s="202"/>
      <c r="APZ132" s="202"/>
      <c r="AQA132" s="202"/>
      <c r="AQB132" s="202"/>
      <c r="AQC132" s="202"/>
      <c r="AQD132" s="202"/>
      <c r="AQE132" s="202"/>
      <c r="AQF132" s="202"/>
      <c r="AQG132" s="202"/>
      <c r="AQH132" s="202"/>
      <c r="AQI132" s="202"/>
      <c r="AQJ132" s="202"/>
      <c r="AQK132" s="202"/>
      <c r="AQL132" s="202"/>
      <c r="AQM132" s="202"/>
      <c r="AQN132" s="202"/>
      <c r="AQO132" s="202"/>
      <c r="AQP132" s="202"/>
      <c r="AQQ132" s="202"/>
      <c r="AQR132" s="202"/>
      <c r="AQS132" s="202"/>
      <c r="AQT132" s="202"/>
      <c r="AQU132" s="202"/>
      <c r="AQV132" s="202"/>
      <c r="AQW132" s="202"/>
      <c r="AQX132" s="202"/>
      <c r="AQY132" s="202"/>
      <c r="AQZ132" s="202"/>
      <c r="ARA132" s="202"/>
      <c r="ARB132" s="202"/>
      <c r="ARC132" s="202"/>
      <c r="ARD132" s="202"/>
      <c r="ARE132" s="202"/>
      <c r="ARF132" s="202"/>
      <c r="ARG132" s="202"/>
      <c r="ARH132" s="202"/>
      <c r="ARI132" s="202"/>
      <c r="ARJ132" s="202"/>
      <c r="ARK132" s="202"/>
      <c r="ARL132" s="202"/>
      <c r="ARM132" s="202"/>
      <c r="ARN132" s="202"/>
      <c r="ARO132" s="202"/>
      <c r="ARP132" s="202"/>
      <c r="ARQ132" s="202"/>
      <c r="ARR132" s="202"/>
      <c r="ARS132" s="202"/>
      <c r="ART132" s="202"/>
      <c r="ARU132" s="202"/>
      <c r="ARV132" s="202"/>
      <c r="ARW132" s="202"/>
      <c r="ARX132" s="202"/>
      <c r="ARY132" s="202"/>
      <c r="ARZ132" s="202"/>
      <c r="ASA132" s="202"/>
      <c r="ASB132" s="202"/>
      <c r="ASC132" s="202"/>
      <c r="ASD132" s="202"/>
      <c r="ASE132" s="202"/>
      <c r="ASF132" s="202"/>
      <c r="ASG132" s="202"/>
      <c r="ASH132" s="202"/>
      <c r="ASI132" s="202"/>
      <c r="ASJ132" s="202"/>
      <c r="ASK132" s="202"/>
      <c r="ASL132" s="202"/>
      <c r="ASM132" s="202"/>
      <c r="ASN132" s="202"/>
      <c r="ASO132" s="202"/>
      <c r="ASP132" s="202"/>
      <c r="ASQ132" s="202"/>
      <c r="ASR132" s="202"/>
      <c r="ASS132" s="202"/>
      <c r="AST132" s="202"/>
      <c r="ASU132" s="202"/>
      <c r="ASV132" s="202"/>
      <c r="ASW132" s="202"/>
      <c r="ASX132" s="202"/>
      <c r="ASY132" s="202"/>
      <c r="ASZ132" s="202"/>
      <c r="ATA132" s="202"/>
      <c r="ATB132" s="202"/>
      <c r="ATC132" s="202"/>
      <c r="ATD132" s="202"/>
      <c r="ATE132" s="202"/>
      <c r="ATF132" s="202"/>
      <c r="ATG132" s="202"/>
      <c r="ATH132" s="202"/>
      <c r="ATI132" s="202"/>
      <c r="ATJ132" s="202"/>
      <c r="ATK132" s="202"/>
      <c r="ATL132" s="202"/>
      <c r="ATM132" s="202"/>
      <c r="ATN132" s="202"/>
      <c r="ATO132" s="202"/>
      <c r="ATP132" s="202"/>
      <c r="ATQ132" s="202"/>
      <c r="ATR132" s="202"/>
      <c r="ATS132" s="202"/>
      <c r="ATT132" s="202"/>
      <c r="ATU132" s="202"/>
      <c r="ATV132" s="202"/>
      <c r="ATW132" s="202"/>
      <c r="ATX132" s="202"/>
      <c r="ATY132" s="202"/>
      <c r="ATZ132" s="202"/>
      <c r="AUA132" s="202"/>
      <c r="AUB132" s="202"/>
      <c r="AUC132" s="202"/>
      <c r="AUD132" s="202"/>
      <c r="AUE132" s="202"/>
      <c r="AUF132" s="202"/>
      <c r="AUG132" s="202"/>
      <c r="AUH132" s="202"/>
      <c r="AUI132" s="202"/>
      <c r="AUJ132" s="202"/>
      <c r="AUK132" s="202"/>
      <c r="AUL132" s="202"/>
      <c r="AUM132" s="202"/>
      <c r="AUN132" s="202"/>
      <c r="AUO132" s="202"/>
      <c r="AUP132" s="202"/>
      <c r="AUQ132" s="202"/>
      <c r="AUR132" s="202"/>
      <c r="AUS132" s="202"/>
      <c r="AUT132" s="202"/>
      <c r="AUU132" s="202"/>
      <c r="AUV132" s="202"/>
      <c r="AUW132" s="202"/>
      <c r="AUX132" s="202"/>
      <c r="AUY132" s="202"/>
      <c r="AUZ132" s="202"/>
      <c r="AVA132" s="202"/>
      <c r="AVB132" s="202"/>
      <c r="AVC132" s="202"/>
      <c r="AVD132" s="202"/>
      <c r="AVE132" s="202"/>
      <c r="AVF132" s="202"/>
      <c r="AVG132" s="202"/>
      <c r="AVH132" s="202"/>
      <c r="AVI132" s="202"/>
      <c r="AVJ132" s="202"/>
      <c r="AVK132" s="202"/>
      <c r="AVL132" s="202"/>
      <c r="AVM132" s="202"/>
      <c r="AVN132" s="202"/>
      <c r="AVO132" s="202"/>
      <c r="AVP132" s="202"/>
      <c r="AVQ132" s="202"/>
      <c r="AVR132" s="202"/>
      <c r="AVS132" s="202"/>
      <c r="AVT132" s="202"/>
      <c r="AVU132" s="202"/>
      <c r="AVV132" s="202"/>
      <c r="AVW132" s="202"/>
      <c r="AVX132" s="202"/>
      <c r="AVY132" s="202"/>
      <c r="AVZ132" s="202"/>
      <c r="AWA132" s="202"/>
      <c r="AWB132" s="202"/>
      <c r="AWC132" s="202"/>
      <c r="AWD132" s="202"/>
      <c r="AWE132" s="202"/>
      <c r="AWF132" s="202"/>
      <c r="AWG132" s="202"/>
      <c r="AWH132" s="202"/>
      <c r="AWI132" s="202"/>
      <c r="AWJ132" s="202"/>
      <c r="AWK132" s="202"/>
      <c r="AWL132" s="202"/>
      <c r="AWM132" s="202"/>
      <c r="AWN132" s="202"/>
      <c r="AWO132" s="202"/>
      <c r="AWP132" s="202"/>
      <c r="AWQ132" s="202"/>
      <c r="AWR132" s="202"/>
      <c r="AWS132" s="202"/>
      <c r="AWT132" s="202"/>
      <c r="AWU132" s="202"/>
      <c r="AWV132" s="202"/>
      <c r="AWW132" s="202"/>
      <c r="AWX132" s="202"/>
      <c r="AWY132" s="202"/>
      <c r="AWZ132" s="202"/>
      <c r="AXA132" s="202"/>
      <c r="AXB132" s="202"/>
      <c r="AXC132" s="202"/>
      <c r="AXD132" s="202"/>
      <c r="AXE132" s="202"/>
      <c r="AXF132" s="202"/>
      <c r="AXG132" s="202"/>
      <c r="AXH132" s="202"/>
      <c r="AXI132" s="202"/>
      <c r="AXJ132" s="202"/>
      <c r="AXK132" s="202"/>
      <c r="AXL132" s="202"/>
      <c r="AXM132" s="202"/>
      <c r="AXN132" s="202"/>
      <c r="AXO132" s="202"/>
      <c r="AXP132" s="202"/>
      <c r="AXQ132" s="202"/>
      <c r="AXR132" s="202"/>
      <c r="AXS132" s="202"/>
      <c r="AXT132" s="202"/>
      <c r="AXU132" s="202"/>
      <c r="AXV132" s="202"/>
      <c r="AXW132" s="202"/>
      <c r="AXX132" s="202"/>
      <c r="AXY132" s="202"/>
      <c r="AXZ132" s="202"/>
      <c r="AYA132" s="202"/>
      <c r="AYB132" s="202"/>
      <c r="AYC132" s="202"/>
      <c r="AYD132" s="202"/>
      <c r="AYE132" s="202"/>
      <c r="AYF132" s="202"/>
      <c r="AYG132" s="202"/>
      <c r="AYH132" s="202"/>
      <c r="AYI132" s="202"/>
      <c r="AYJ132" s="202"/>
      <c r="AYK132" s="202"/>
      <c r="AYL132" s="202"/>
      <c r="AYM132" s="202"/>
      <c r="AYN132" s="202"/>
      <c r="AYO132" s="202"/>
      <c r="AYP132" s="202"/>
      <c r="AYQ132" s="202"/>
      <c r="AYR132" s="202"/>
      <c r="AYS132" s="202"/>
      <c r="AYT132" s="202"/>
      <c r="AYU132" s="202"/>
      <c r="AYV132" s="202"/>
      <c r="AYW132" s="202"/>
      <c r="AYX132" s="202"/>
      <c r="AYY132" s="202"/>
      <c r="AYZ132" s="202"/>
      <c r="AZA132" s="202"/>
      <c r="AZB132" s="202"/>
      <c r="AZC132" s="202"/>
      <c r="AZD132" s="202"/>
      <c r="AZE132" s="202"/>
      <c r="AZF132" s="202"/>
      <c r="AZG132" s="202"/>
      <c r="AZH132" s="202"/>
      <c r="AZI132" s="202"/>
      <c r="AZJ132" s="202"/>
      <c r="AZK132" s="202"/>
      <c r="AZL132" s="202"/>
      <c r="AZM132" s="202"/>
      <c r="AZN132" s="202"/>
      <c r="AZO132" s="202"/>
      <c r="AZP132" s="202"/>
      <c r="AZQ132" s="202"/>
      <c r="AZR132" s="202"/>
      <c r="AZS132" s="202"/>
      <c r="AZT132" s="202"/>
      <c r="AZU132" s="202"/>
      <c r="AZV132" s="202"/>
      <c r="AZW132" s="202"/>
      <c r="AZX132" s="202"/>
      <c r="AZY132" s="202"/>
      <c r="AZZ132" s="202"/>
      <c r="BAA132" s="202"/>
      <c r="BAB132" s="202"/>
      <c r="BAC132" s="202"/>
      <c r="BAD132" s="202"/>
      <c r="BAE132" s="202"/>
      <c r="BAF132" s="202"/>
      <c r="BAG132" s="202"/>
      <c r="BAH132" s="202"/>
      <c r="BAI132" s="202"/>
      <c r="BAJ132" s="202"/>
      <c r="BAK132" s="202"/>
      <c r="BAL132" s="202"/>
      <c r="BAM132" s="202"/>
      <c r="BAN132" s="202"/>
      <c r="BAO132" s="202"/>
      <c r="BAP132" s="202"/>
      <c r="BAQ132" s="202"/>
      <c r="BAR132" s="202"/>
      <c r="BAS132" s="202"/>
      <c r="BAT132" s="202"/>
      <c r="BAU132" s="202"/>
      <c r="BAV132" s="202"/>
      <c r="BAW132" s="202"/>
      <c r="BAX132" s="202"/>
      <c r="BAY132" s="202"/>
      <c r="BAZ132" s="202"/>
      <c r="BBA132" s="202"/>
      <c r="BBB132" s="202"/>
      <c r="BBC132" s="202"/>
      <c r="BBD132" s="202"/>
      <c r="BBE132" s="202"/>
      <c r="BBF132" s="202"/>
      <c r="BBG132" s="202"/>
      <c r="BBH132" s="202"/>
      <c r="BBI132" s="202"/>
      <c r="BBJ132" s="202"/>
      <c r="BBK132" s="202"/>
      <c r="BBL132" s="202"/>
      <c r="BBM132" s="202"/>
      <c r="BBN132" s="202"/>
      <c r="BBO132" s="202"/>
      <c r="BBP132" s="202"/>
      <c r="BBQ132" s="202"/>
      <c r="BBR132" s="202"/>
      <c r="BBS132" s="202"/>
      <c r="BBT132" s="202"/>
      <c r="BBU132" s="202"/>
      <c r="BBV132" s="202"/>
      <c r="BBW132" s="202"/>
      <c r="BBX132" s="202"/>
      <c r="BBY132" s="202"/>
      <c r="BBZ132" s="202"/>
      <c r="BCA132" s="202"/>
      <c r="BCB132" s="202"/>
      <c r="BCC132" s="202"/>
      <c r="BCD132" s="202"/>
      <c r="BCE132" s="202"/>
      <c r="BCF132" s="202"/>
      <c r="BCG132" s="202"/>
      <c r="BCH132" s="202"/>
      <c r="BCI132" s="202"/>
      <c r="BCJ132" s="202"/>
      <c r="BCK132" s="202"/>
      <c r="BCL132" s="202"/>
      <c r="BCM132" s="202"/>
      <c r="BCN132" s="202"/>
      <c r="BCO132" s="202"/>
      <c r="BCP132" s="202"/>
      <c r="BCQ132" s="202"/>
      <c r="BCR132" s="202"/>
      <c r="BCS132" s="202"/>
      <c r="BCT132" s="202"/>
      <c r="BCU132" s="202"/>
      <c r="BCV132" s="202"/>
      <c r="BCW132" s="202"/>
      <c r="BCX132" s="202"/>
      <c r="BCY132" s="202"/>
      <c r="BCZ132" s="202"/>
      <c r="BDA132" s="202"/>
      <c r="BDB132" s="202"/>
      <c r="BDC132" s="202"/>
      <c r="BDD132" s="202"/>
      <c r="BDE132" s="202"/>
      <c r="BDF132" s="202"/>
      <c r="BDG132" s="202"/>
      <c r="BDH132" s="202"/>
      <c r="BDI132" s="202"/>
      <c r="BDJ132" s="202"/>
      <c r="BDK132" s="202"/>
      <c r="BDL132" s="202"/>
      <c r="BDM132" s="202"/>
      <c r="BDN132" s="202"/>
      <c r="BDO132" s="202"/>
      <c r="BDP132" s="202"/>
      <c r="BDQ132" s="202"/>
      <c r="BDR132" s="202"/>
      <c r="BDS132" s="202"/>
      <c r="BDT132" s="202"/>
      <c r="BDU132" s="202"/>
      <c r="BDV132" s="202"/>
      <c r="BDW132" s="202"/>
      <c r="BDX132" s="202"/>
      <c r="BDY132" s="202"/>
      <c r="BDZ132" s="202"/>
      <c r="BEA132" s="202"/>
      <c r="BEB132" s="202"/>
      <c r="BEC132" s="202"/>
      <c r="BED132" s="202"/>
      <c r="BEE132" s="202"/>
      <c r="BEF132" s="202"/>
      <c r="BEG132" s="202"/>
      <c r="BEH132" s="202"/>
      <c r="BEI132" s="202"/>
      <c r="BEJ132" s="202"/>
      <c r="BEK132" s="202"/>
      <c r="BEL132" s="202"/>
      <c r="BEM132" s="202"/>
      <c r="BEN132" s="202"/>
      <c r="BEO132" s="202"/>
      <c r="BEP132" s="202"/>
      <c r="BEQ132" s="202"/>
      <c r="BER132" s="202"/>
      <c r="BES132" s="202"/>
      <c r="BET132" s="202"/>
      <c r="BEU132" s="202"/>
      <c r="BEV132" s="202"/>
      <c r="BEW132" s="202"/>
      <c r="BEX132" s="202"/>
      <c r="BEY132" s="202"/>
      <c r="BEZ132" s="202"/>
      <c r="BFA132" s="202"/>
      <c r="BFB132" s="202"/>
      <c r="BFC132" s="202"/>
      <c r="BFD132" s="202"/>
      <c r="BFE132" s="202"/>
      <c r="BFF132" s="202"/>
      <c r="BFG132" s="202"/>
      <c r="BFH132" s="202"/>
      <c r="BFI132" s="202"/>
      <c r="BFJ132" s="202"/>
      <c r="BFK132" s="202"/>
      <c r="BFL132" s="202"/>
      <c r="BFM132" s="202"/>
      <c r="BFN132" s="202"/>
      <c r="BFO132" s="202"/>
      <c r="BFP132" s="202"/>
      <c r="BFQ132" s="202"/>
      <c r="BFR132" s="202"/>
      <c r="BFS132" s="202"/>
      <c r="BFT132" s="202"/>
      <c r="BFU132" s="202"/>
      <c r="BFV132" s="202"/>
      <c r="BFW132" s="202"/>
      <c r="BFX132" s="202"/>
      <c r="BFY132" s="202"/>
      <c r="BFZ132" s="202"/>
      <c r="BGA132" s="202"/>
      <c r="BGB132" s="202"/>
      <c r="BGC132" s="202"/>
      <c r="BGD132" s="202"/>
      <c r="BGE132" s="202"/>
      <c r="BGF132" s="202"/>
      <c r="BGG132" s="202"/>
      <c r="BGH132" s="202"/>
      <c r="BGI132" s="202"/>
      <c r="BGJ132" s="202"/>
      <c r="BGK132" s="202"/>
      <c r="BGL132" s="202"/>
      <c r="BGM132" s="202"/>
      <c r="BGN132" s="202"/>
      <c r="BGO132" s="202"/>
      <c r="BGP132" s="202"/>
      <c r="BGQ132" s="202"/>
      <c r="BGR132" s="202"/>
      <c r="BGS132" s="202"/>
      <c r="BGT132" s="202"/>
      <c r="BGU132" s="202"/>
      <c r="BGV132" s="202"/>
      <c r="BGW132" s="202"/>
      <c r="BGX132" s="202"/>
      <c r="BGY132" s="202"/>
      <c r="BGZ132" s="202"/>
      <c r="BHA132" s="202"/>
      <c r="BHB132" s="202"/>
      <c r="BHC132" s="202"/>
      <c r="BHD132" s="202"/>
      <c r="BHE132" s="202"/>
      <c r="BHF132" s="202"/>
      <c r="BHG132" s="202"/>
      <c r="BHH132" s="202"/>
      <c r="BHI132" s="202"/>
      <c r="BHJ132" s="202"/>
      <c r="BHK132" s="202"/>
      <c r="BHL132" s="202"/>
      <c r="BHM132" s="202"/>
      <c r="BHN132" s="202"/>
      <c r="BHO132" s="202"/>
      <c r="BHP132" s="202"/>
      <c r="BHQ132" s="202"/>
      <c r="BHR132" s="202"/>
      <c r="BHS132" s="202"/>
      <c r="BHT132" s="202"/>
      <c r="BHU132" s="202"/>
      <c r="BHV132" s="202"/>
      <c r="BHW132" s="202"/>
      <c r="BHX132" s="202"/>
      <c r="BHY132" s="202"/>
      <c r="BHZ132" s="202"/>
      <c r="BIA132" s="202"/>
      <c r="BIB132" s="202"/>
      <c r="BIC132" s="202"/>
      <c r="BID132" s="202"/>
      <c r="BIE132" s="202"/>
      <c r="BIF132" s="202"/>
      <c r="BIG132" s="202"/>
      <c r="BIH132" s="202"/>
      <c r="BII132" s="202"/>
      <c r="BIJ132" s="202"/>
      <c r="BIK132" s="202"/>
      <c r="BIL132" s="202"/>
      <c r="BIM132" s="202"/>
      <c r="BIN132" s="202"/>
      <c r="BIO132" s="202"/>
      <c r="BIP132" s="202"/>
      <c r="BIQ132" s="202"/>
      <c r="BIR132" s="202"/>
      <c r="BIS132" s="202"/>
      <c r="BIT132" s="202"/>
      <c r="BIU132" s="202"/>
      <c r="BIV132" s="202"/>
      <c r="BIW132" s="202"/>
      <c r="BIX132" s="202"/>
      <c r="BIY132" s="202"/>
      <c r="BIZ132" s="202"/>
      <c r="BJA132" s="202"/>
      <c r="BJB132" s="202"/>
      <c r="BJC132" s="202"/>
      <c r="BJD132" s="202"/>
      <c r="BJE132" s="202"/>
      <c r="BJF132" s="202"/>
      <c r="BJG132" s="202"/>
      <c r="BJH132" s="202"/>
      <c r="BJI132" s="202"/>
      <c r="BJJ132" s="202"/>
      <c r="BJK132" s="202"/>
      <c r="BJL132" s="202"/>
      <c r="BJM132" s="202"/>
      <c r="BJN132" s="202"/>
      <c r="BJO132" s="202"/>
      <c r="BJP132" s="202"/>
      <c r="BJQ132" s="202"/>
      <c r="BJR132" s="202"/>
      <c r="BJS132" s="202"/>
      <c r="BJT132" s="202"/>
      <c r="BJU132" s="202"/>
      <c r="BJV132" s="202"/>
      <c r="BJW132" s="202"/>
      <c r="BJX132" s="202"/>
      <c r="BJY132" s="202"/>
      <c r="BJZ132" s="202"/>
      <c r="BKA132" s="202"/>
      <c r="BKB132" s="202"/>
      <c r="BKC132" s="202"/>
      <c r="BKD132" s="202"/>
      <c r="BKE132" s="202"/>
      <c r="BKF132" s="202"/>
      <c r="BKG132" s="202"/>
      <c r="BKH132" s="202"/>
      <c r="BKI132" s="202"/>
      <c r="BKJ132" s="202"/>
      <c r="BKK132" s="202"/>
      <c r="BKL132" s="202"/>
      <c r="BKM132" s="202"/>
      <c r="BKN132" s="202"/>
      <c r="BKO132" s="202"/>
      <c r="BKP132" s="202"/>
      <c r="BKQ132" s="202"/>
      <c r="BKR132" s="202"/>
      <c r="BKS132" s="202"/>
      <c r="BKT132" s="202"/>
      <c r="BKU132" s="202"/>
      <c r="BKV132" s="202"/>
      <c r="BKW132" s="202"/>
      <c r="BKX132" s="202"/>
      <c r="BKY132" s="202"/>
      <c r="BKZ132" s="202"/>
      <c r="BLA132" s="202"/>
      <c r="BLB132" s="202"/>
      <c r="BLC132" s="202"/>
      <c r="BLD132" s="202"/>
      <c r="BLE132" s="202"/>
      <c r="BLF132" s="202"/>
      <c r="BLG132" s="202"/>
      <c r="BLH132" s="202"/>
      <c r="BLI132" s="202"/>
      <c r="BLJ132" s="202"/>
      <c r="BLK132" s="202"/>
      <c r="BLL132" s="202"/>
      <c r="BLM132" s="202"/>
      <c r="BLN132" s="202"/>
      <c r="BLO132" s="202"/>
      <c r="BLP132" s="202"/>
      <c r="BLQ132" s="202"/>
      <c r="BLR132" s="202"/>
      <c r="BLS132" s="202"/>
      <c r="BLT132" s="202"/>
      <c r="BLU132" s="202"/>
      <c r="BLV132" s="202"/>
      <c r="BLW132" s="202"/>
      <c r="BLX132" s="202"/>
      <c r="BLY132" s="202"/>
      <c r="BLZ132" s="202"/>
      <c r="BMA132" s="202"/>
      <c r="BMB132" s="202"/>
      <c r="BMC132" s="202"/>
      <c r="BMD132" s="202"/>
      <c r="BME132" s="202"/>
      <c r="BMF132" s="202"/>
      <c r="BMG132" s="202"/>
      <c r="BMH132" s="202"/>
      <c r="BMI132" s="202"/>
      <c r="BMJ132" s="202"/>
      <c r="BMK132" s="202"/>
      <c r="BML132" s="202"/>
      <c r="BMM132" s="202"/>
      <c r="BMN132" s="202"/>
      <c r="BMO132" s="202"/>
      <c r="BMP132" s="202"/>
      <c r="BMQ132" s="202"/>
      <c r="BMR132" s="202"/>
      <c r="BMS132" s="202"/>
      <c r="BMT132" s="202"/>
      <c r="BMU132" s="202"/>
      <c r="BMV132" s="202"/>
      <c r="BMW132" s="202"/>
      <c r="BMX132" s="202"/>
      <c r="BMY132" s="202"/>
      <c r="BMZ132" s="202"/>
      <c r="BNA132" s="202"/>
      <c r="BNB132" s="202"/>
      <c r="BNC132" s="202"/>
      <c r="BND132" s="202"/>
      <c r="BNE132" s="202"/>
      <c r="BNF132" s="202"/>
      <c r="BNG132" s="202"/>
      <c r="BNH132" s="202"/>
      <c r="BNI132" s="202"/>
      <c r="BNJ132" s="202"/>
      <c r="BNK132" s="202"/>
      <c r="BNL132" s="202"/>
      <c r="BNM132" s="202"/>
      <c r="BNN132" s="202"/>
      <c r="BNO132" s="202"/>
      <c r="BNP132" s="202"/>
      <c r="BNQ132" s="202"/>
      <c r="BNR132" s="202"/>
      <c r="BNS132" s="202"/>
      <c r="BNT132" s="202"/>
      <c r="BNU132" s="202"/>
      <c r="BNV132" s="202"/>
      <c r="BNW132" s="202"/>
      <c r="BNX132" s="202"/>
      <c r="BNY132" s="202"/>
      <c r="BNZ132" s="202"/>
      <c r="BOA132" s="202"/>
      <c r="BOB132" s="202"/>
      <c r="BOC132" s="202"/>
      <c r="BOD132" s="202"/>
      <c r="BOE132" s="202"/>
      <c r="BOF132" s="202"/>
      <c r="BOG132" s="202"/>
      <c r="BOH132" s="202"/>
      <c r="BOI132" s="202"/>
      <c r="BOJ132" s="202"/>
      <c r="BOK132" s="202"/>
      <c r="BOL132" s="202"/>
      <c r="BOM132" s="202"/>
      <c r="BON132" s="202"/>
      <c r="BOO132" s="202"/>
      <c r="BOP132" s="202"/>
      <c r="BOQ132" s="202"/>
      <c r="BOR132" s="202"/>
      <c r="BOS132" s="202"/>
      <c r="BOT132" s="202"/>
      <c r="BOU132" s="202"/>
      <c r="BOV132" s="202"/>
      <c r="BOW132" s="202"/>
      <c r="BOX132" s="202"/>
      <c r="BOY132" s="202"/>
      <c r="BOZ132" s="202"/>
      <c r="BPA132" s="202"/>
      <c r="BPB132" s="202"/>
      <c r="BPC132" s="202"/>
      <c r="BPD132" s="202"/>
      <c r="BPE132" s="202"/>
      <c r="BPF132" s="202"/>
      <c r="BPG132" s="202"/>
      <c r="BPH132" s="202"/>
      <c r="BPI132" s="202"/>
      <c r="BPJ132" s="202"/>
      <c r="BPK132" s="202"/>
      <c r="BPL132" s="202"/>
      <c r="BPM132" s="202"/>
      <c r="BPN132" s="202"/>
      <c r="BPO132" s="202"/>
      <c r="BPP132" s="202"/>
      <c r="BPQ132" s="202"/>
      <c r="BPR132" s="202"/>
      <c r="BPS132" s="202"/>
      <c r="BPT132" s="202"/>
      <c r="BPU132" s="202"/>
      <c r="BPV132" s="202"/>
      <c r="BPW132" s="202"/>
      <c r="BPX132" s="202"/>
      <c r="BPY132" s="202"/>
      <c r="BPZ132" s="202"/>
      <c r="BQA132" s="202"/>
      <c r="BQB132" s="202"/>
      <c r="BQC132" s="202"/>
      <c r="BQD132" s="202"/>
      <c r="BQE132" s="202"/>
      <c r="BQF132" s="202"/>
      <c r="BQG132" s="202"/>
      <c r="BQH132" s="202"/>
      <c r="BQI132" s="202"/>
      <c r="BQJ132" s="202"/>
      <c r="BQK132" s="202"/>
      <c r="BQL132" s="202"/>
      <c r="BQM132" s="202"/>
      <c r="BQN132" s="202"/>
      <c r="BQO132" s="202"/>
      <c r="BQP132" s="202"/>
      <c r="BQQ132" s="202"/>
      <c r="BQR132" s="202"/>
      <c r="BQS132" s="202"/>
      <c r="BQT132" s="202"/>
      <c r="BQU132" s="202"/>
      <c r="BQV132" s="202"/>
      <c r="BQW132" s="202"/>
      <c r="BQX132" s="202"/>
      <c r="BQY132" s="202"/>
      <c r="BQZ132" s="202"/>
      <c r="BRA132" s="202"/>
      <c r="BRB132" s="202"/>
      <c r="BRC132" s="202"/>
      <c r="BRD132" s="202"/>
      <c r="BRE132" s="202"/>
      <c r="BRF132" s="202"/>
      <c r="BRG132" s="202"/>
      <c r="BRH132" s="202"/>
      <c r="BRI132" s="202"/>
      <c r="BRJ132" s="202"/>
      <c r="BRK132" s="202"/>
      <c r="BRL132" s="202"/>
      <c r="BRM132" s="202"/>
      <c r="BRN132" s="202"/>
      <c r="BRO132" s="202"/>
      <c r="BRP132" s="202"/>
      <c r="BRQ132" s="202"/>
      <c r="BRR132" s="202"/>
      <c r="BRS132" s="202"/>
      <c r="BRT132" s="202"/>
      <c r="BRU132" s="202"/>
      <c r="BRV132" s="202"/>
      <c r="BRW132" s="202"/>
      <c r="BRX132" s="202"/>
      <c r="BRY132" s="202"/>
      <c r="BRZ132" s="202"/>
      <c r="BSA132" s="202"/>
      <c r="BSB132" s="202"/>
      <c r="BSC132" s="202"/>
      <c r="BSD132" s="202"/>
      <c r="BSE132" s="202"/>
      <c r="BSF132" s="202"/>
      <c r="BSG132" s="202"/>
      <c r="BSH132" s="202"/>
      <c r="BSI132" s="202"/>
      <c r="BSJ132" s="202"/>
      <c r="BSK132" s="202"/>
      <c r="BSL132" s="202"/>
      <c r="BSM132" s="202"/>
      <c r="BSN132" s="202"/>
      <c r="BSO132" s="202"/>
      <c r="BSP132" s="202"/>
      <c r="BSQ132" s="202"/>
      <c r="BSR132" s="202"/>
      <c r="BSS132" s="202"/>
      <c r="BST132" s="202"/>
      <c r="BSU132" s="202"/>
      <c r="BSV132" s="202"/>
      <c r="BSW132" s="202"/>
      <c r="BSX132" s="202"/>
      <c r="BSY132" s="202"/>
      <c r="BSZ132" s="202"/>
      <c r="BTA132" s="202"/>
      <c r="BTB132" s="202"/>
      <c r="BTC132" s="202"/>
      <c r="BTD132" s="202"/>
      <c r="BTE132" s="202"/>
      <c r="BTF132" s="202"/>
      <c r="BTG132" s="202"/>
      <c r="BTH132" s="202"/>
      <c r="BTI132" s="202"/>
      <c r="BTJ132" s="202"/>
      <c r="BTK132" s="202"/>
      <c r="BTL132" s="202"/>
      <c r="BTM132" s="202"/>
      <c r="BTN132" s="202"/>
      <c r="BTO132" s="202"/>
      <c r="BTP132" s="202"/>
      <c r="BTQ132" s="202"/>
      <c r="BTR132" s="202"/>
      <c r="BTS132" s="202"/>
      <c r="BTT132" s="202"/>
      <c r="BTU132" s="202"/>
      <c r="BTV132" s="202"/>
      <c r="BTW132" s="202"/>
      <c r="BTX132" s="202"/>
      <c r="BTY132" s="202"/>
      <c r="BTZ132" s="202"/>
      <c r="BUA132" s="202"/>
      <c r="BUB132" s="202"/>
      <c r="BUC132" s="202"/>
      <c r="BUD132" s="202"/>
      <c r="BUE132" s="202"/>
      <c r="BUF132" s="202"/>
      <c r="BUG132" s="202"/>
      <c r="BUH132" s="202"/>
      <c r="BUI132" s="202"/>
      <c r="BUJ132" s="202"/>
      <c r="BUK132" s="202"/>
      <c r="BUL132" s="202"/>
      <c r="BUM132" s="202"/>
      <c r="BUN132" s="202"/>
      <c r="BUO132" s="202"/>
      <c r="BUP132" s="202"/>
      <c r="BUQ132" s="202"/>
      <c r="BUR132" s="202"/>
      <c r="BUS132" s="202"/>
      <c r="BUT132" s="202"/>
      <c r="BUU132" s="202"/>
      <c r="BUV132" s="202"/>
      <c r="BUW132" s="202"/>
      <c r="BUX132" s="202"/>
      <c r="BUY132" s="202"/>
      <c r="BUZ132" s="202"/>
      <c r="BVA132" s="202"/>
      <c r="BVB132" s="202"/>
      <c r="BVC132" s="202"/>
      <c r="BVD132" s="202"/>
      <c r="BVE132" s="202"/>
      <c r="BVF132" s="202"/>
      <c r="BVG132" s="202"/>
      <c r="BVH132" s="202"/>
      <c r="BVI132" s="202"/>
      <c r="BVJ132" s="202"/>
      <c r="BVK132" s="202"/>
      <c r="BVL132" s="202"/>
      <c r="BVM132" s="202"/>
      <c r="BVN132" s="202"/>
      <c r="BVO132" s="202"/>
      <c r="BVP132" s="202"/>
      <c r="BVQ132" s="202"/>
      <c r="BVR132" s="202"/>
      <c r="BVS132" s="202"/>
      <c r="BVT132" s="202"/>
      <c r="BVU132" s="202"/>
      <c r="BVV132" s="202"/>
      <c r="BVW132" s="202"/>
      <c r="BVX132" s="202"/>
      <c r="BVY132" s="202"/>
      <c r="BVZ132" s="202"/>
      <c r="BWA132" s="202"/>
      <c r="BWB132" s="202"/>
      <c r="BWC132" s="202"/>
      <c r="BWD132" s="202"/>
      <c r="BWE132" s="202"/>
      <c r="BWF132" s="202"/>
      <c r="BWG132" s="202"/>
      <c r="BWH132" s="202"/>
      <c r="BWI132" s="202"/>
      <c r="BWJ132" s="202"/>
      <c r="BWK132" s="202"/>
      <c r="BWL132" s="202"/>
      <c r="BWM132" s="202"/>
      <c r="BWN132" s="202"/>
      <c r="BWO132" s="202"/>
      <c r="BWP132" s="202"/>
      <c r="BWQ132" s="202"/>
      <c r="BWR132" s="202"/>
      <c r="BWS132" s="202"/>
      <c r="BWT132" s="202"/>
      <c r="BWU132" s="202"/>
      <c r="BWV132" s="202"/>
      <c r="BWW132" s="202"/>
      <c r="BWX132" s="202"/>
      <c r="BWY132" s="202"/>
      <c r="BWZ132" s="202"/>
      <c r="BXA132" s="202"/>
      <c r="BXB132" s="202"/>
      <c r="BXC132" s="202"/>
      <c r="BXD132" s="202"/>
      <c r="BXE132" s="202"/>
      <c r="BXF132" s="202"/>
      <c r="BXG132" s="202"/>
      <c r="BXH132" s="202"/>
      <c r="BXI132" s="202"/>
      <c r="BXJ132" s="202"/>
      <c r="BXK132" s="202"/>
      <c r="BXL132" s="202"/>
      <c r="BXM132" s="202"/>
      <c r="BXN132" s="202"/>
      <c r="BXO132" s="202"/>
      <c r="BXP132" s="202"/>
      <c r="BXQ132" s="202"/>
      <c r="BXR132" s="202"/>
      <c r="BXS132" s="202"/>
      <c r="BXT132" s="202"/>
      <c r="BXU132" s="202"/>
      <c r="BXV132" s="202"/>
      <c r="BXW132" s="202"/>
      <c r="BXX132" s="202"/>
      <c r="BXY132" s="202"/>
      <c r="BXZ132" s="202"/>
      <c r="BYA132" s="202"/>
      <c r="BYB132" s="202"/>
      <c r="BYC132" s="202"/>
      <c r="BYD132" s="202"/>
      <c r="BYE132" s="202"/>
      <c r="BYF132" s="202"/>
      <c r="BYG132" s="202"/>
      <c r="BYH132" s="202"/>
      <c r="BYI132" s="202"/>
      <c r="BYJ132" s="202"/>
      <c r="BYK132" s="202"/>
      <c r="BYL132" s="202"/>
      <c r="BYM132" s="202"/>
      <c r="BYN132" s="202"/>
      <c r="BYO132" s="202"/>
      <c r="BYP132" s="202"/>
      <c r="BYQ132" s="202"/>
      <c r="BYR132" s="202"/>
      <c r="BYS132" s="202"/>
      <c r="BYT132" s="202"/>
      <c r="BYU132" s="202"/>
      <c r="BYV132" s="202"/>
      <c r="BYW132" s="202"/>
      <c r="BYX132" s="202"/>
      <c r="BYY132" s="202"/>
      <c r="BYZ132" s="202"/>
      <c r="BZA132" s="202"/>
      <c r="BZB132" s="202"/>
      <c r="BZC132" s="202"/>
      <c r="BZD132" s="202"/>
      <c r="BZE132" s="202"/>
      <c r="BZF132" s="202"/>
      <c r="BZG132" s="202"/>
      <c r="BZH132" s="202"/>
      <c r="BZI132" s="202"/>
      <c r="BZJ132" s="202"/>
      <c r="BZK132" s="202"/>
      <c r="BZL132" s="202"/>
      <c r="BZM132" s="202"/>
      <c r="BZN132" s="202"/>
      <c r="BZO132" s="202"/>
      <c r="BZP132" s="202"/>
      <c r="BZQ132" s="202"/>
      <c r="BZR132" s="202"/>
      <c r="BZS132" s="202"/>
      <c r="BZT132" s="202"/>
      <c r="BZU132" s="202"/>
      <c r="BZV132" s="202"/>
      <c r="BZW132" s="202"/>
      <c r="BZX132" s="202"/>
      <c r="BZY132" s="202"/>
      <c r="BZZ132" s="202"/>
      <c r="CAA132" s="202"/>
      <c r="CAB132" s="202"/>
      <c r="CAC132" s="202"/>
      <c r="CAD132" s="202"/>
      <c r="CAE132" s="202"/>
      <c r="CAF132" s="202"/>
      <c r="CAG132" s="202"/>
      <c r="CAH132" s="202"/>
      <c r="CAI132" s="202"/>
      <c r="CAJ132" s="202"/>
      <c r="CAK132" s="202"/>
      <c r="CAL132" s="202"/>
      <c r="CAM132" s="202"/>
      <c r="CAN132" s="202"/>
      <c r="CAO132" s="202"/>
      <c r="CAP132" s="202"/>
      <c r="CAQ132" s="202"/>
      <c r="CAR132" s="202"/>
      <c r="CAS132" s="202"/>
      <c r="CAT132" s="202"/>
      <c r="CAU132" s="202"/>
      <c r="CAV132" s="202"/>
      <c r="CAW132" s="202"/>
      <c r="CAX132" s="202"/>
      <c r="CAY132" s="202"/>
      <c r="CAZ132" s="202"/>
      <c r="CBA132" s="202"/>
      <c r="CBB132" s="202"/>
      <c r="CBC132" s="202"/>
      <c r="CBD132" s="202"/>
      <c r="CBE132" s="202"/>
      <c r="CBF132" s="202"/>
      <c r="CBG132" s="202"/>
      <c r="CBH132" s="202"/>
      <c r="CBI132" s="202"/>
      <c r="CBJ132" s="202"/>
      <c r="CBK132" s="202"/>
      <c r="CBL132" s="202"/>
      <c r="CBM132" s="202"/>
      <c r="CBN132" s="202"/>
      <c r="CBO132" s="202"/>
      <c r="CBP132" s="202"/>
      <c r="CBQ132" s="202"/>
      <c r="CBR132" s="202"/>
      <c r="CBS132" s="202"/>
      <c r="CBT132" s="202"/>
      <c r="CBU132" s="202"/>
      <c r="CBV132" s="202"/>
      <c r="CBW132" s="202"/>
      <c r="CBX132" s="202"/>
      <c r="CBY132" s="202"/>
      <c r="CBZ132" s="202"/>
      <c r="CCA132" s="202"/>
      <c r="CCB132" s="202"/>
      <c r="CCC132" s="202"/>
      <c r="CCD132" s="202"/>
      <c r="CCE132" s="202"/>
      <c r="CCF132" s="202"/>
      <c r="CCG132" s="202"/>
      <c r="CCH132" s="202"/>
      <c r="CCI132" s="202"/>
      <c r="CCJ132" s="202"/>
      <c r="CCK132" s="202"/>
      <c r="CCL132" s="202"/>
      <c r="CCM132" s="202"/>
      <c r="CCN132" s="202"/>
      <c r="CCO132" s="202"/>
      <c r="CCP132" s="202"/>
      <c r="CCQ132" s="202"/>
      <c r="CCR132" s="202"/>
      <c r="CCS132" s="202"/>
      <c r="CCT132" s="202"/>
      <c r="CCU132" s="202"/>
      <c r="CCV132" s="202"/>
      <c r="CCW132" s="202"/>
      <c r="CCX132" s="202"/>
      <c r="CCY132" s="202"/>
      <c r="CCZ132" s="202"/>
      <c r="CDA132" s="202"/>
      <c r="CDB132" s="202"/>
      <c r="CDC132" s="202"/>
      <c r="CDD132" s="202"/>
      <c r="CDE132" s="202"/>
      <c r="CDF132" s="202"/>
      <c r="CDG132" s="202"/>
      <c r="CDH132" s="202"/>
      <c r="CDI132" s="202"/>
      <c r="CDJ132" s="202"/>
      <c r="CDK132" s="202"/>
      <c r="CDL132" s="202"/>
      <c r="CDM132" s="202"/>
      <c r="CDN132" s="202"/>
      <c r="CDO132" s="202"/>
      <c r="CDP132" s="202"/>
      <c r="CDQ132" s="202"/>
      <c r="CDR132" s="202"/>
      <c r="CDS132" s="202"/>
      <c r="CDT132" s="202"/>
      <c r="CDU132" s="202"/>
      <c r="CDV132" s="202"/>
      <c r="CDW132" s="202"/>
      <c r="CDX132" s="202"/>
      <c r="CDY132" s="202"/>
      <c r="CDZ132" s="202"/>
      <c r="CEA132" s="202"/>
      <c r="CEB132" s="202"/>
      <c r="CEC132" s="202"/>
      <c r="CED132" s="202"/>
      <c r="CEE132" s="202"/>
      <c r="CEF132" s="202"/>
      <c r="CEG132" s="202"/>
      <c r="CEH132" s="202"/>
      <c r="CEI132" s="202"/>
      <c r="CEJ132" s="202"/>
      <c r="CEK132" s="202"/>
      <c r="CEL132" s="202"/>
      <c r="CEM132" s="202"/>
      <c r="CEN132" s="202"/>
      <c r="CEO132" s="202"/>
      <c r="CEP132" s="202"/>
      <c r="CEQ132" s="202"/>
      <c r="CER132" s="202"/>
      <c r="CES132" s="202"/>
      <c r="CET132" s="202"/>
      <c r="CEU132" s="202"/>
      <c r="CEV132" s="202"/>
      <c r="CEW132" s="202"/>
      <c r="CEX132" s="202"/>
      <c r="CEY132" s="202"/>
      <c r="CEZ132" s="202"/>
      <c r="CFA132" s="202"/>
      <c r="CFB132" s="202"/>
      <c r="CFC132" s="202"/>
      <c r="CFD132" s="202"/>
      <c r="CFE132" s="202"/>
      <c r="CFF132" s="202"/>
      <c r="CFG132" s="202"/>
      <c r="CFH132" s="202"/>
      <c r="CFI132" s="202"/>
      <c r="CFJ132" s="202"/>
      <c r="CFK132" s="202"/>
      <c r="CFL132" s="202"/>
      <c r="CFM132" s="202"/>
      <c r="CFN132" s="202"/>
      <c r="CFO132" s="202"/>
      <c r="CFP132" s="202"/>
      <c r="CFQ132" s="202"/>
      <c r="CFR132" s="202"/>
      <c r="CFS132" s="202"/>
      <c r="CFT132" s="202"/>
      <c r="CFU132" s="202"/>
      <c r="CFV132" s="202"/>
      <c r="CFW132" s="202"/>
      <c r="CFX132" s="202"/>
      <c r="CFY132" s="202"/>
      <c r="CFZ132" s="202"/>
      <c r="CGA132" s="202"/>
      <c r="CGB132" s="202"/>
      <c r="CGC132" s="202"/>
      <c r="CGD132" s="202"/>
      <c r="CGE132" s="202"/>
      <c r="CGF132" s="202"/>
      <c r="CGG132" s="202"/>
      <c r="CGH132" s="202"/>
      <c r="CGI132" s="202"/>
      <c r="CGJ132" s="202"/>
      <c r="CGK132" s="202"/>
      <c r="CGL132" s="202"/>
      <c r="CGM132" s="202"/>
      <c r="CGN132" s="202"/>
      <c r="CGO132" s="202"/>
      <c r="CGP132" s="202"/>
      <c r="CGQ132" s="202"/>
      <c r="CGR132" s="202"/>
      <c r="CGS132" s="202"/>
      <c r="CGT132" s="202"/>
      <c r="CGU132" s="202"/>
      <c r="CGV132" s="202"/>
      <c r="CGW132" s="202"/>
      <c r="CGX132" s="202"/>
      <c r="CGY132" s="202"/>
      <c r="CGZ132" s="202"/>
      <c r="CHA132" s="202"/>
      <c r="CHB132" s="202"/>
      <c r="CHC132" s="202"/>
      <c r="CHD132" s="202"/>
      <c r="CHE132" s="202"/>
      <c r="CHF132" s="202"/>
      <c r="CHG132" s="202"/>
      <c r="CHH132" s="202"/>
      <c r="CHI132" s="202"/>
      <c r="CHJ132" s="202"/>
      <c r="CHK132" s="202"/>
      <c r="CHL132" s="202"/>
      <c r="CHM132" s="202"/>
      <c r="CHN132" s="202"/>
      <c r="CHO132" s="202"/>
      <c r="CHP132" s="202"/>
      <c r="CHQ132" s="202"/>
      <c r="CHR132" s="202"/>
      <c r="CHS132" s="202"/>
      <c r="CHT132" s="202"/>
      <c r="CHU132" s="202"/>
      <c r="CHV132" s="202"/>
      <c r="CHW132" s="202"/>
      <c r="CHX132" s="202"/>
      <c r="CHY132" s="202"/>
      <c r="CHZ132" s="202"/>
      <c r="CIA132" s="202"/>
      <c r="CIB132" s="202"/>
      <c r="CIC132" s="202"/>
      <c r="CID132" s="202"/>
      <c r="CIE132" s="202"/>
      <c r="CIF132" s="202"/>
      <c r="CIG132" s="202"/>
      <c r="CIH132" s="202"/>
      <c r="CII132" s="202"/>
      <c r="CIJ132" s="202"/>
      <c r="CIK132" s="202"/>
      <c r="CIL132" s="202"/>
      <c r="CIM132" s="202"/>
      <c r="CIN132" s="202"/>
      <c r="CIO132" s="202"/>
      <c r="CIP132" s="202"/>
      <c r="CIQ132" s="202"/>
      <c r="CIR132" s="202"/>
      <c r="CIS132" s="202"/>
      <c r="CIT132" s="202"/>
      <c r="CIU132" s="202"/>
      <c r="CIV132" s="202"/>
      <c r="CIW132" s="202"/>
      <c r="CIX132" s="202"/>
      <c r="CIY132" s="202"/>
      <c r="CIZ132" s="202"/>
      <c r="CJA132" s="202"/>
      <c r="CJB132" s="202"/>
      <c r="CJC132" s="202"/>
      <c r="CJD132" s="202"/>
      <c r="CJE132" s="202"/>
      <c r="CJF132" s="202"/>
      <c r="CJG132" s="202"/>
      <c r="CJH132" s="202"/>
      <c r="CJI132" s="202"/>
      <c r="CJJ132" s="202"/>
      <c r="CJK132" s="202"/>
      <c r="CJL132" s="202"/>
      <c r="CJM132" s="202"/>
      <c r="CJN132" s="202"/>
      <c r="CJO132" s="202"/>
      <c r="CJP132" s="202"/>
      <c r="CJQ132" s="202"/>
      <c r="CJR132" s="202"/>
      <c r="CJS132" s="202"/>
      <c r="CJT132" s="202"/>
      <c r="CJU132" s="202"/>
      <c r="CJV132" s="202"/>
      <c r="CJW132" s="202"/>
      <c r="CJX132" s="202"/>
      <c r="CJY132" s="202"/>
      <c r="CJZ132" s="202"/>
      <c r="CKA132" s="202"/>
      <c r="CKB132" s="202"/>
      <c r="CKC132" s="202"/>
      <c r="CKD132" s="202"/>
      <c r="CKE132" s="202"/>
      <c r="CKF132" s="202"/>
      <c r="CKG132" s="202"/>
      <c r="CKH132" s="202"/>
      <c r="CKI132" s="202"/>
      <c r="CKJ132" s="202"/>
      <c r="CKK132" s="202"/>
      <c r="CKL132" s="202"/>
      <c r="CKM132" s="202"/>
      <c r="CKN132" s="202"/>
      <c r="CKO132" s="202"/>
      <c r="CKP132" s="202"/>
      <c r="CKQ132" s="202"/>
      <c r="CKR132" s="202"/>
      <c r="CKS132" s="202"/>
      <c r="CKT132" s="202"/>
      <c r="CKU132" s="202"/>
      <c r="CKV132" s="202"/>
      <c r="CKW132" s="202"/>
      <c r="CKX132" s="202"/>
      <c r="CKY132" s="202"/>
      <c r="CKZ132" s="202"/>
      <c r="CLA132" s="202"/>
      <c r="CLB132" s="202"/>
      <c r="CLC132" s="202"/>
      <c r="CLD132" s="202"/>
      <c r="CLE132" s="202"/>
      <c r="CLF132" s="202"/>
      <c r="CLG132" s="202"/>
      <c r="CLH132" s="202"/>
      <c r="CLI132" s="202"/>
      <c r="CLJ132" s="202"/>
      <c r="CLK132" s="202"/>
      <c r="CLL132" s="202"/>
      <c r="CLM132" s="202"/>
      <c r="CLN132" s="202"/>
      <c r="CLO132" s="202"/>
      <c r="CLP132" s="202"/>
      <c r="CLQ132" s="202"/>
      <c r="CLR132" s="202"/>
      <c r="CLS132" s="202"/>
      <c r="CLT132" s="202"/>
      <c r="CLU132" s="202"/>
      <c r="CLV132" s="202"/>
      <c r="CLW132" s="202"/>
      <c r="CLX132" s="202"/>
      <c r="CLY132" s="202"/>
      <c r="CLZ132" s="202"/>
      <c r="CMA132" s="202"/>
      <c r="CMB132" s="202"/>
      <c r="CMC132" s="202"/>
      <c r="CMD132" s="202"/>
      <c r="CME132" s="202"/>
      <c r="CMF132" s="202"/>
      <c r="CMG132" s="202"/>
      <c r="CMH132" s="202"/>
      <c r="CMI132" s="202"/>
      <c r="CMJ132" s="202"/>
      <c r="CMK132" s="202"/>
      <c r="CML132" s="202"/>
      <c r="CMM132" s="202"/>
      <c r="CMN132" s="202"/>
      <c r="CMO132" s="202"/>
      <c r="CMP132" s="202"/>
      <c r="CMQ132" s="202"/>
      <c r="CMR132" s="202"/>
      <c r="CMS132" s="202"/>
      <c r="CMT132" s="202"/>
      <c r="CMU132" s="202"/>
      <c r="CMV132" s="202"/>
      <c r="CMW132" s="202"/>
      <c r="CMX132" s="202"/>
      <c r="CMY132" s="202"/>
      <c r="CMZ132" s="202"/>
      <c r="CNA132" s="202"/>
      <c r="CNB132" s="202"/>
      <c r="CNC132" s="202"/>
      <c r="CND132" s="202"/>
      <c r="CNE132" s="202"/>
      <c r="CNF132" s="202"/>
      <c r="CNG132" s="202"/>
      <c r="CNH132" s="202"/>
      <c r="CNI132" s="202"/>
      <c r="CNJ132" s="202"/>
      <c r="CNK132" s="202"/>
      <c r="CNL132" s="202"/>
      <c r="CNM132" s="202"/>
      <c r="CNN132" s="202"/>
      <c r="CNO132" s="202"/>
      <c r="CNP132" s="202"/>
      <c r="CNQ132" s="202"/>
      <c r="CNR132" s="202"/>
      <c r="CNS132" s="202"/>
      <c r="CNT132" s="202"/>
      <c r="CNU132" s="202"/>
      <c r="CNV132" s="202"/>
      <c r="CNW132" s="202"/>
      <c r="CNX132" s="202"/>
      <c r="CNY132" s="202"/>
      <c r="CNZ132" s="202"/>
      <c r="COA132" s="202"/>
      <c r="COB132" s="202"/>
      <c r="COC132" s="202"/>
      <c r="COD132" s="202"/>
      <c r="COE132" s="202"/>
      <c r="COF132" s="202"/>
      <c r="COG132" s="202"/>
      <c r="COH132" s="202"/>
      <c r="COI132" s="202"/>
      <c r="COJ132" s="202"/>
      <c r="COK132" s="202"/>
      <c r="COL132" s="202"/>
      <c r="COM132" s="202"/>
      <c r="CON132" s="202"/>
      <c r="COO132" s="202"/>
      <c r="COP132" s="202"/>
      <c r="COQ132" s="202"/>
      <c r="COR132" s="202"/>
      <c r="COS132" s="202"/>
      <c r="COT132" s="202"/>
      <c r="COU132" s="202"/>
      <c r="COV132" s="202"/>
      <c r="COW132" s="202"/>
      <c r="COX132" s="202"/>
      <c r="COY132" s="202"/>
      <c r="COZ132" s="202"/>
      <c r="CPA132" s="202"/>
      <c r="CPB132" s="202"/>
      <c r="CPC132" s="202"/>
      <c r="CPD132" s="202"/>
      <c r="CPE132" s="202"/>
      <c r="CPF132" s="202"/>
      <c r="CPG132" s="202"/>
      <c r="CPH132" s="202"/>
      <c r="CPI132" s="202"/>
      <c r="CPJ132" s="202"/>
      <c r="CPK132" s="202"/>
      <c r="CPL132" s="202"/>
      <c r="CPM132" s="202"/>
      <c r="CPN132" s="202"/>
      <c r="CPO132" s="202"/>
      <c r="CPP132" s="202"/>
      <c r="CPQ132" s="202"/>
      <c r="CPR132" s="202"/>
      <c r="CPS132" s="202"/>
      <c r="CPT132" s="202"/>
      <c r="CPU132" s="202"/>
      <c r="CPV132" s="202"/>
      <c r="CPW132" s="202"/>
      <c r="CPX132" s="202"/>
      <c r="CPY132" s="202"/>
      <c r="CPZ132" s="202"/>
      <c r="CQA132" s="202"/>
      <c r="CQB132" s="202"/>
      <c r="CQC132" s="202"/>
      <c r="CQD132" s="202"/>
      <c r="CQE132" s="202"/>
      <c r="CQF132" s="202"/>
      <c r="CQG132" s="202"/>
      <c r="CQH132" s="202"/>
      <c r="CQI132" s="202"/>
      <c r="CQJ132" s="202"/>
      <c r="CQK132" s="202"/>
      <c r="CQL132" s="202"/>
      <c r="CQM132" s="202"/>
      <c r="CQN132" s="202"/>
      <c r="CQO132" s="202"/>
      <c r="CQP132" s="202"/>
      <c r="CQQ132" s="202"/>
      <c r="CQR132" s="202"/>
      <c r="CQS132" s="202"/>
      <c r="CQT132" s="202"/>
      <c r="CQU132" s="202"/>
      <c r="CQV132" s="202"/>
      <c r="CQW132" s="202"/>
      <c r="CQX132" s="202"/>
      <c r="CQY132" s="202"/>
      <c r="CQZ132" s="202"/>
      <c r="CRA132" s="202"/>
      <c r="CRB132" s="202"/>
      <c r="CRC132" s="202"/>
      <c r="CRD132" s="202"/>
      <c r="CRE132" s="202"/>
      <c r="CRF132" s="202"/>
      <c r="CRG132" s="202"/>
      <c r="CRH132" s="202"/>
      <c r="CRI132" s="202"/>
      <c r="CRJ132" s="202"/>
      <c r="CRK132" s="202"/>
      <c r="CRL132" s="202"/>
      <c r="CRM132" s="202"/>
      <c r="CRN132" s="202"/>
      <c r="CRO132" s="202"/>
      <c r="CRP132" s="202"/>
      <c r="CRQ132" s="202"/>
      <c r="CRR132" s="202"/>
      <c r="CRS132" s="202"/>
      <c r="CRT132" s="202"/>
      <c r="CRU132" s="202"/>
      <c r="CRV132" s="202"/>
      <c r="CRW132" s="202"/>
      <c r="CRX132" s="202"/>
      <c r="CRY132" s="202"/>
      <c r="CRZ132" s="202"/>
      <c r="CSA132" s="202"/>
      <c r="CSB132" s="202"/>
      <c r="CSC132" s="202"/>
      <c r="CSD132" s="202"/>
      <c r="CSE132" s="202"/>
      <c r="CSF132" s="202"/>
      <c r="CSG132" s="202"/>
      <c r="CSH132" s="202"/>
      <c r="CSI132" s="202"/>
      <c r="CSJ132" s="202"/>
      <c r="CSK132" s="202"/>
      <c r="CSL132" s="202"/>
      <c r="CSM132" s="202"/>
      <c r="CSN132" s="202"/>
      <c r="CSO132" s="202"/>
      <c r="CSP132" s="202"/>
      <c r="CSQ132" s="202"/>
      <c r="CSR132" s="202"/>
      <c r="CSS132" s="202"/>
      <c r="CST132" s="202"/>
      <c r="CSU132" s="202"/>
      <c r="CSV132" s="202"/>
      <c r="CSW132" s="202"/>
      <c r="CSX132" s="202"/>
      <c r="CSY132" s="202"/>
      <c r="CSZ132" s="202"/>
      <c r="CTA132" s="202"/>
      <c r="CTB132" s="202"/>
      <c r="CTC132" s="202"/>
      <c r="CTD132" s="202"/>
      <c r="CTE132" s="202"/>
      <c r="CTF132" s="202"/>
      <c r="CTG132" s="202"/>
      <c r="CTH132" s="202"/>
      <c r="CTI132" s="202"/>
      <c r="CTJ132" s="202"/>
      <c r="CTK132" s="202"/>
      <c r="CTL132" s="202"/>
      <c r="CTM132" s="202"/>
      <c r="CTN132" s="202"/>
      <c r="CTO132" s="202"/>
      <c r="CTP132" s="202"/>
      <c r="CTQ132" s="202"/>
      <c r="CTR132" s="202"/>
      <c r="CTS132" s="202"/>
      <c r="CTT132" s="202"/>
      <c r="CTU132" s="202"/>
      <c r="CTV132" s="202"/>
      <c r="CTW132" s="202"/>
      <c r="CTX132" s="202"/>
      <c r="CTY132" s="202"/>
      <c r="CTZ132" s="202"/>
      <c r="CUA132" s="202"/>
      <c r="CUB132" s="202"/>
      <c r="CUC132" s="202"/>
      <c r="CUD132" s="202"/>
      <c r="CUE132" s="202"/>
      <c r="CUF132" s="202"/>
      <c r="CUG132" s="202"/>
      <c r="CUH132" s="202"/>
      <c r="CUI132" s="202"/>
      <c r="CUJ132" s="202"/>
      <c r="CUK132" s="202"/>
      <c r="CUL132" s="202"/>
      <c r="CUM132" s="202"/>
      <c r="CUN132" s="202"/>
      <c r="CUO132" s="202"/>
      <c r="CUP132" s="202"/>
      <c r="CUQ132" s="202"/>
      <c r="CUR132" s="202"/>
      <c r="CUS132" s="202"/>
      <c r="CUT132" s="202"/>
      <c r="CUU132" s="202"/>
      <c r="CUV132" s="202"/>
      <c r="CUW132" s="202"/>
      <c r="CUX132" s="202"/>
      <c r="CUY132" s="202"/>
      <c r="CUZ132" s="202"/>
      <c r="CVA132" s="202"/>
      <c r="CVB132" s="202"/>
      <c r="CVC132" s="202"/>
      <c r="CVD132" s="202"/>
      <c r="CVE132" s="202"/>
      <c r="CVF132" s="202"/>
      <c r="CVG132" s="202"/>
      <c r="CVH132" s="202"/>
      <c r="CVI132" s="202"/>
      <c r="CVJ132" s="202"/>
      <c r="CVK132" s="202"/>
      <c r="CVL132" s="202"/>
      <c r="CVM132" s="202"/>
      <c r="CVN132" s="202"/>
      <c r="CVO132" s="202"/>
      <c r="CVP132" s="202"/>
      <c r="CVQ132" s="202"/>
      <c r="CVR132" s="202"/>
      <c r="CVS132" s="202"/>
      <c r="CVT132" s="202"/>
      <c r="CVU132" s="202"/>
      <c r="CVV132" s="202"/>
      <c r="CVW132" s="202"/>
      <c r="CVX132" s="202"/>
      <c r="CVY132" s="202"/>
      <c r="CVZ132" s="202"/>
      <c r="CWA132" s="202"/>
      <c r="CWB132" s="202"/>
      <c r="CWC132" s="202"/>
      <c r="CWD132" s="202"/>
      <c r="CWE132" s="202"/>
      <c r="CWF132" s="202"/>
      <c r="CWG132" s="202"/>
      <c r="CWH132" s="202"/>
      <c r="CWI132" s="202"/>
      <c r="CWJ132" s="202"/>
      <c r="CWK132" s="202"/>
      <c r="CWL132" s="202"/>
      <c r="CWM132" s="202"/>
      <c r="CWN132" s="202"/>
      <c r="CWO132" s="202"/>
      <c r="CWP132" s="202"/>
      <c r="CWQ132" s="202"/>
      <c r="CWR132" s="202"/>
      <c r="CWS132" s="202"/>
      <c r="CWT132" s="202"/>
      <c r="CWU132" s="202"/>
      <c r="CWV132" s="202"/>
      <c r="CWW132" s="202"/>
      <c r="CWX132" s="202"/>
      <c r="CWY132" s="202"/>
      <c r="CWZ132" s="202"/>
      <c r="CXA132" s="202"/>
      <c r="CXB132" s="202"/>
      <c r="CXC132" s="202"/>
      <c r="CXD132" s="202"/>
      <c r="CXE132" s="202"/>
      <c r="CXF132" s="202"/>
      <c r="CXG132" s="202"/>
      <c r="CXH132" s="202"/>
      <c r="CXI132" s="202"/>
      <c r="CXJ132" s="202"/>
      <c r="CXK132" s="202"/>
      <c r="CXL132" s="202"/>
      <c r="CXM132" s="202"/>
      <c r="CXN132" s="202"/>
      <c r="CXO132" s="202"/>
      <c r="CXP132" s="202"/>
      <c r="CXQ132" s="202"/>
      <c r="CXR132" s="202"/>
      <c r="CXS132" s="202"/>
      <c r="CXT132" s="202"/>
      <c r="CXU132" s="202"/>
      <c r="CXV132" s="202"/>
      <c r="CXW132" s="202"/>
      <c r="CXX132" s="202"/>
      <c r="CXY132" s="202"/>
      <c r="CXZ132" s="202"/>
      <c r="CYA132" s="202"/>
      <c r="CYB132" s="202"/>
      <c r="CYC132" s="202"/>
      <c r="CYD132" s="202"/>
      <c r="CYE132" s="202"/>
      <c r="CYF132" s="202"/>
      <c r="CYG132" s="202"/>
      <c r="CYH132" s="202"/>
      <c r="CYI132" s="202"/>
      <c r="CYJ132" s="202"/>
      <c r="CYK132" s="202"/>
      <c r="CYL132" s="202"/>
      <c r="CYM132" s="202"/>
      <c r="CYN132" s="202"/>
      <c r="CYO132" s="202"/>
      <c r="CYP132" s="202"/>
      <c r="CYQ132" s="202"/>
      <c r="CYR132" s="202"/>
      <c r="CYS132" s="202"/>
      <c r="CYT132" s="202"/>
      <c r="CYU132" s="202"/>
      <c r="CYV132" s="202"/>
      <c r="CYW132" s="202"/>
      <c r="CYX132" s="202"/>
      <c r="CYY132" s="202"/>
      <c r="CYZ132" s="202"/>
      <c r="CZA132" s="202"/>
      <c r="CZB132" s="202"/>
      <c r="CZC132" s="202"/>
      <c r="CZD132" s="202"/>
      <c r="CZE132" s="202"/>
      <c r="CZF132" s="202"/>
      <c r="CZG132" s="202"/>
      <c r="CZH132" s="202"/>
      <c r="CZI132" s="202"/>
      <c r="CZJ132" s="202"/>
      <c r="CZK132" s="202"/>
      <c r="CZL132" s="202"/>
      <c r="CZM132" s="202"/>
      <c r="CZN132" s="202"/>
      <c r="CZO132" s="202"/>
      <c r="CZP132" s="202"/>
      <c r="CZQ132" s="202"/>
      <c r="CZR132" s="202"/>
      <c r="CZS132" s="202"/>
      <c r="CZT132" s="202"/>
      <c r="CZU132" s="202"/>
      <c r="CZV132" s="202"/>
      <c r="CZW132" s="202"/>
      <c r="CZX132" s="202"/>
      <c r="CZY132" s="202"/>
      <c r="CZZ132" s="202"/>
      <c r="DAA132" s="202"/>
      <c r="DAB132" s="202"/>
      <c r="DAC132" s="202"/>
      <c r="DAD132" s="202"/>
      <c r="DAE132" s="202"/>
      <c r="DAF132" s="202"/>
      <c r="DAG132" s="202"/>
      <c r="DAH132" s="202"/>
      <c r="DAI132" s="202"/>
      <c r="DAJ132" s="202"/>
      <c r="DAK132" s="202"/>
      <c r="DAL132" s="202"/>
      <c r="DAM132" s="202"/>
      <c r="DAN132" s="202"/>
      <c r="DAO132" s="202"/>
      <c r="DAP132" s="202"/>
      <c r="DAQ132" s="202"/>
      <c r="DAR132" s="202"/>
      <c r="DAS132" s="202"/>
      <c r="DAT132" s="202"/>
      <c r="DAU132" s="202"/>
      <c r="DAV132" s="202"/>
      <c r="DAW132" s="202"/>
      <c r="DAX132" s="202"/>
      <c r="DAY132" s="202"/>
      <c r="DAZ132" s="202"/>
      <c r="DBA132" s="202"/>
      <c r="DBB132" s="202"/>
      <c r="DBC132" s="202"/>
      <c r="DBD132" s="202"/>
      <c r="DBE132" s="202"/>
      <c r="DBF132" s="202"/>
      <c r="DBG132" s="202"/>
      <c r="DBH132" s="202"/>
      <c r="DBI132" s="202"/>
      <c r="DBJ132" s="202"/>
      <c r="DBK132" s="202"/>
      <c r="DBL132" s="202"/>
      <c r="DBM132" s="202"/>
      <c r="DBN132" s="202"/>
      <c r="DBO132" s="202"/>
      <c r="DBP132" s="202"/>
      <c r="DBQ132" s="202"/>
      <c r="DBR132" s="202"/>
      <c r="DBS132" s="202"/>
      <c r="DBT132" s="202"/>
      <c r="DBU132" s="202"/>
      <c r="DBV132" s="202"/>
      <c r="DBW132" s="202"/>
      <c r="DBX132" s="202"/>
      <c r="DBY132" s="202"/>
      <c r="DBZ132" s="202"/>
      <c r="DCA132" s="202"/>
      <c r="DCB132" s="202"/>
      <c r="DCC132" s="202"/>
      <c r="DCD132" s="202"/>
      <c r="DCE132" s="202"/>
      <c r="DCF132" s="202"/>
      <c r="DCG132" s="202"/>
      <c r="DCH132" s="202"/>
      <c r="DCI132" s="202"/>
      <c r="DCJ132" s="202"/>
      <c r="DCK132" s="202"/>
      <c r="DCL132" s="202"/>
      <c r="DCM132" s="202"/>
      <c r="DCN132" s="202"/>
      <c r="DCO132" s="202"/>
      <c r="DCP132" s="202"/>
      <c r="DCQ132" s="202"/>
      <c r="DCR132" s="202"/>
      <c r="DCS132" s="202"/>
      <c r="DCT132" s="202"/>
      <c r="DCU132" s="202"/>
      <c r="DCV132" s="202"/>
      <c r="DCW132" s="202"/>
      <c r="DCX132" s="202"/>
      <c r="DCY132" s="202"/>
      <c r="DCZ132" s="202"/>
      <c r="DDA132" s="202"/>
      <c r="DDB132" s="202"/>
      <c r="DDC132" s="202"/>
      <c r="DDD132" s="202"/>
      <c r="DDE132" s="202"/>
      <c r="DDF132" s="202"/>
      <c r="DDG132" s="202"/>
      <c r="DDH132" s="202"/>
      <c r="DDI132" s="202"/>
      <c r="DDJ132" s="202"/>
      <c r="DDK132" s="202"/>
      <c r="DDL132" s="202"/>
      <c r="DDM132" s="202"/>
      <c r="DDN132" s="202"/>
      <c r="DDO132" s="202"/>
      <c r="DDP132" s="202"/>
      <c r="DDQ132" s="202"/>
      <c r="DDR132" s="202"/>
      <c r="DDS132" s="202"/>
      <c r="DDT132" s="202"/>
      <c r="DDU132" s="202"/>
      <c r="DDV132" s="202"/>
      <c r="DDW132" s="202"/>
      <c r="DDX132" s="202"/>
      <c r="DDY132" s="202"/>
      <c r="DDZ132" s="202"/>
      <c r="DEA132" s="202"/>
      <c r="DEB132" s="202"/>
      <c r="DEC132" s="202"/>
      <c r="DED132" s="202"/>
      <c r="DEE132" s="202"/>
      <c r="DEF132" s="202"/>
      <c r="DEG132" s="202"/>
      <c r="DEH132" s="202"/>
      <c r="DEI132" s="202"/>
      <c r="DEJ132" s="202"/>
      <c r="DEK132" s="202"/>
      <c r="DEL132" s="202"/>
      <c r="DEM132" s="202"/>
      <c r="DEN132" s="202"/>
      <c r="DEO132" s="202"/>
      <c r="DEP132" s="202"/>
      <c r="DEQ132" s="202"/>
      <c r="DER132" s="202"/>
      <c r="DES132" s="202"/>
      <c r="DET132" s="202"/>
      <c r="DEU132" s="202"/>
      <c r="DEV132" s="202"/>
      <c r="DEW132" s="202"/>
      <c r="DEX132" s="202"/>
      <c r="DEY132" s="202"/>
      <c r="DEZ132" s="202"/>
      <c r="DFA132" s="202"/>
      <c r="DFB132" s="202"/>
      <c r="DFC132" s="202"/>
      <c r="DFD132" s="202"/>
      <c r="DFE132" s="202"/>
      <c r="DFF132" s="202"/>
      <c r="DFG132" s="202"/>
      <c r="DFH132" s="202"/>
      <c r="DFI132" s="202"/>
      <c r="DFJ132" s="202"/>
      <c r="DFK132" s="202"/>
      <c r="DFL132" s="202"/>
      <c r="DFM132" s="202"/>
      <c r="DFN132" s="202"/>
      <c r="DFO132" s="202"/>
      <c r="DFP132" s="202"/>
      <c r="DFQ132" s="202"/>
      <c r="DFR132" s="202"/>
      <c r="DFS132" s="202"/>
      <c r="DFT132" s="202"/>
      <c r="DFU132" s="202"/>
      <c r="DFV132" s="202"/>
      <c r="DFW132" s="202"/>
      <c r="DFX132" s="202"/>
      <c r="DFY132" s="202"/>
      <c r="DFZ132" s="202"/>
      <c r="DGA132" s="202"/>
      <c r="DGB132" s="202"/>
      <c r="DGC132" s="202"/>
      <c r="DGD132" s="202"/>
      <c r="DGE132" s="202"/>
      <c r="DGF132" s="202"/>
      <c r="DGG132" s="202"/>
      <c r="DGH132" s="202"/>
      <c r="DGI132" s="202"/>
      <c r="DGJ132" s="202"/>
      <c r="DGK132" s="202"/>
      <c r="DGL132" s="202"/>
      <c r="DGM132" s="202"/>
      <c r="DGN132" s="202"/>
      <c r="DGO132" s="202"/>
      <c r="DGP132" s="202"/>
      <c r="DGQ132" s="202"/>
      <c r="DGR132" s="202"/>
      <c r="DGS132" s="202"/>
      <c r="DGT132" s="202"/>
      <c r="DGU132" s="202"/>
      <c r="DGV132" s="202"/>
      <c r="DGW132" s="202"/>
      <c r="DGX132" s="202"/>
      <c r="DGY132" s="202"/>
      <c r="DGZ132" s="202"/>
      <c r="DHA132" s="202"/>
      <c r="DHB132" s="202"/>
      <c r="DHC132" s="202"/>
      <c r="DHD132" s="202"/>
      <c r="DHE132" s="202"/>
      <c r="DHF132" s="202"/>
      <c r="DHG132" s="202"/>
      <c r="DHH132" s="202"/>
      <c r="DHI132" s="202"/>
      <c r="DHJ132" s="202"/>
      <c r="DHK132" s="202"/>
      <c r="DHL132" s="202"/>
      <c r="DHM132" s="202"/>
      <c r="DHN132" s="202"/>
      <c r="DHO132" s="202"/>
      <c r="DHP132" s="202"/>
      <c r="DHQ132" s="202"/>
      <c r="DHR132" s="202"/>
      <c r="DHS132" s="202"/>
      <c r="DHT132" s="202"/>
      <c r="DHU132" s="202"/>
      <c r="DHV132" s="202"/>
      <c r="DHW132" s="202"/>
      <c r="DHX132" s="202"/>
      <c r="DHY132" s="202"/>
      <c r="DHZ132" s="202"/>
      <c r="DIA132" s="202"/>
      <c r="DIB132" s="202"/>
      <c r="DIC132" s="202"/>
      <c r="DID132" s="202"/>
      <c r="DIE132" s="202"/>
      <c r="DIF132" s="202"/>
      <c r="DIG132" s="202"/>
      <c r="DIH132" s="202"/>
      <c r="DII132" s="202"/>
      <c r="DIJ132" s="202"/>
      <c r="DIK132" s="202"/>
      <c r="DIL132" s="202"/>
      <c r="DIM132" s="202"/>
      <c r="DIN132" s="202"/>
      <c r="DIO132" s="202"/>
      <c r="DIP132" s="202"/>
      <c r="DIQ132" s="202"/>
      <c r="DIR132" s="202"/>
      <c r="DIS132" s="202"/>
      <c r="DIT132" s="202"/>
      <c r="DIU132" s="202"/>
      <c r="DIV132" s="202"/>
      <c r="DIW132" s="202"/>
      <c r="DIX132" s="202"/>
      <c r="DIY132" s="202"/>
      <c r="DIZ132" s="202"/>
      <c r="DJA132" s="202"/>
      <c r="DJB132" s="202"/>
      <c r="DJC132" s="202"/>
      <c r="DJD132" s="202"/>
      <c r="DJE132" s="202"/>
      <c r="DJF132" s="202"/>
      <c r="DJG132" s="202"/>
      <c r="DJH132" s="202"/>
      <c r="DJI132" s="202"/>
      <c r="DJJ132" s="202"/>
      <c r="DJK132" s="202"/>
      <c r="DJL132" s="202"/>
      <c r="DJM132" s="202"/>
      <c r="DJN132" s="202"/>
      <c r="DJO132" s="202"/>
      <c r="DJP132" s="202"/>
      <c r="DJQ132" s="202"/>
      <c r="DJR132" s="202"/>
      <c r="DJS132" s="202"/>
      <c r="DJT132" s="202"/>
      <c r="DJU132" s="202"/>
      <c r="DJV132" s="202"/>
      <c r="DJW132" s="202"/>
      <c r="DJX132" s="202"/>
      <c r="DJY132" s="202"/>
      <c r="DJZ132" s="202"/>
      <c r="DKA132" s="202"/>
      <c r="DKB132" s="202"/>
      <c r="DKC132" s="202"/>
      <c r="DKD132" s="202"/>
      <c r="DKE132" s="202"/>
      <c r="DKF132" s="202"/>
      <c r="DKG132" s="202"/>
      <c r="DKH132" s="202"/>
      <c r="DKI132" s="202"/>
      <c r="DKJ132" s="202"/>
      <c r="DKK132" s="202"/>
      <c r="DKL132" s="202"/>
      <c r="DKM132" s="202"/>
      <c r="DKN132" s="202"/>
      <c r="DKO132" s="202"/>
      <c r="DKP132" s="202"/>
      <c r="DKQ132" s="202"/>
      <c r="DKR132" s="202"/>
      <c r="DKS132" s="202"/>
      <c r="DKT132" s="202"/>
      <c r="DKU132" s="202"/>
      <c r="DKV132" s="202"/>
      <c r="DKW132" s="202"/>
      <c r="DKX132" s="202"/>
      <c r="DKY132" s="202"/>
      <c r="DKZ132" s="202"/>
      <c r="DLA132" s="202"/>
      <c r="DLB132" s="202"/>
      <c r="DLC132" s="202"/>
      <c r="DLD132" s="202"/>
      <c r="DLE132" s="202"/>
      <c r="DLF132" s="202"/>
      <c r="DLG132" s="202"/>
      <c r="DLH132" s="202"/>
      <c r="DLI132" s="202"/>
      <c r="DLJ132" s="202"/>
      <c r="DLK132" s="202"/>
      <c r="DLL132" s="202"/>
      <c r="DLM132" s="202"/>
      <c r="DLN132" s="202"/>
      <c r="DLO132" s="202"/>
      <c r="DLP132" s="202"/>
      <c r="DLQ132" s="202"/>
      <c r="DLR132" s="202"/>
      <c r="DLS132" s="202"/>
      <c r="DLT132" s="202"/>
      <c r="DLU132" s="202"/>
      <c r="DLV132" s="202"/>
      <c r="DLW132" s="202"/>
      <c r="DLX132" s="202"/>
      <c r="DLY132" s="202"/>
      <c r="DLZ132" s="202"/>
      <c r="DMA132" s="202"/>
      <c r="DMB132" s="202"/>
      <c r="DMC132" s="202"/>
      <c r="DMD132" s="202"/>
      <c r="DME132" s="202"/>
      <c r="DMF132" s="202"/>
      <c r="DMG132" s="202"/>
      <c r="DMH132" s="202"/>
      <c r="DMI132" s="202"/>
      <c r="DMJ132" s="202"/>
      <c r="DMK132" s="202"/>
      <c r="DML132" s="202"/>
      <c r="DMM132" s="202"/>
      <c r="DMN132" s="202"/>
      <c r="DMO132" s="202"/>
      <c r="DMP132" s="202"/>
      <c r="DMQ132" s="202"/>
      <c r="DMR132" s="202"/>
      <c r="DMS132" s="202"/>
      <c r="DMT132" s="202"/>
      <c r="DMU132" s="202"/>
      <c r="DMV132" s="202"/>
      <c r="DMW132" s="202"/>
      <c r="DMX132" s="202"/>
      <c r="DMY132" s="202"/>
      <c r="DMZ132" s="202"/>
      <c r="DNA132" s="202"/>
      <c r="DNB132" s="202"/>
      <c r="DNC132" s="202"/>
      <c r="DND132" s="202"/>
      <c r="DNE132" s="202"/>
      <c r="DNF132" s="202"/>
      <c r="DNG132" s="202"/>
      <c r="DNH132" s="202"/>
      <c r="DNI132" s="202"/>
      <c r="DNJ132" s="202"/>
      <c r="DNK132" s="202"/>
      <c r="DNL132" s="202"/>
      <c r="DNM132" s="202"/>
      <c r="DNN132" s="202"/>
      <c r="DNO132" s="202"/>
      <c r="DNP132" s="202"/>
      <c r="DNQ132" s="202"/>
      <c r="DNR132" s="202"/>
      <c r="DNS132" s="202"/>
      <c r="DNT132" s="202"/>
      <c r="DNU132" s="202"/>
      <c r="DNV132" s="202"/>
      <c r="DNW132" s="202"/>
      <c r="DNX132" s="202"/>
      <c r="DNY132" s="202"/>
      <c r="DNZ132" s="202"/>
      <c r="DOA132" s="202"/>
      <c r="DOB132" s="202"/>
      <c r="DOC132" s="202"/>
      <c r="DOD132" s="202"/>
      <c r="DOE132" s="202"/>
      <c r="DOF132" s="202"/>
      <c r="DOG132" s="202"/>
      <c r="DOH132" s="202"/>
      <c r="DOI132" s="202"/>
      <c r="DOJ132" s="202"/>
      <c r="DOK132" s="202"/>
      <c r="DOL132" s="202"/>
      <c r="DOM132" s="202"/>
      <c r="DON132" s="202"/>
      <c r="DOO132" s="202"/>
      <c r="DOP132" s="202"/>
      <c r="DOQ132" s="202"/>
      <c r="DOR132" s="202"/>
      <c r="DOS132" s="202"/>
      <c r="DOT132" s="202"/>
      <c r="DOU132" s="202"/>
      <c r="DOV132" s="202"/>
      <c r="DOW132" s="202"/>
      <c r="DOX132" s="202"/>
      <c r="DOY132" s="202"/>
      <c r="DOZ132" s="202"/>
      <c r="DPA132" s="202"/>
      <c r="DPB132" s="202"/>
      <c r="DPC132" s="202"/>
      <c r="DPD132" s="202"/>
      <c r="DPE132" s="202"/>
      <c r="DPF132" s="202"/>
      <c r="DPG132" s="202"/>
      <c r="DPH132" s="202"/>
      <c r="DPI132" s="202"/>
      <c r="DPJ132" s="202"/>
      <c r="DPK132" s="202"/>
      <c r="DPL132" s="202"/>
      <c r="DPM132" s="202"/>
      <c r="DPN132" s="202"/>
      <c r="DPO132" s="202"/>
      <c r="DPP132" s="202"/>
      <c r="DPQ132" s="202"/>
      <c r="DPR132" s="202"/>
      <c r="DPS132" s="202"/>
      <c r="DPT132" s="202"/>
      <c r="DPU132" s="202"/>
      <c r="DPV132" s="202"/>
      <c r="DPW132" s="202"/>
      <c r="DPX132" s="202"/>
      <c r="DPY132" s="202"/>
      <c r="DPZ132" s="202"/>
      <c r="DQA132" s="202"/>
      <c r="DQB132" s="202"/>
      <c r="DQC132" s="202"/>
      <c r="DQD132" s="202"/>
      <c r="DQE132" s="202"/>
      <c r="DQF132" s="202"/>
      <c r="DQG132" s="202"/>
      <c r="DQH132" s="202"/>
      <c r="DQI132" s="202"/>
      <c r="DQJ132" s="202"/>
      <c r="DQK132" s="202"/>
      <c r="DQL132" s="202"/>
      <c r="DQM132" s="202"/>
      <c r="DQN132" s="202"/>
      <c r="DQO132" s="202"/>
      <c r="DQP132" s="202"/>
      <c r="DQQ132" s="202"/>
      <c r="DQR132" s="202"/>
      <c r="DQS132" s="202"/>
      <c r="DQT132" s="202"/>
      <c r="DQU132" s="202"/>
      <c r="DQV132" s="202"/>
      <c r="DQW132" s="202"/>
      <c r="DQX132" s="202"/>
      <c r="DQY132" s="202"/>
      <c r="DQZ132" s="202"/>
      <c r="DRA132" s="202"/>
      <c r="DRB132" s="202"/>
      <c r="DRC132" s="202"/>
      <c r="DRD132" s="202"/>
      <c r="DRE132" s="202"/>
      <c r="DRF132" s="202"/>
      <c r="DRG132" s="202"/>
      <c r="DRH132" s="202"/>
      <c r="DRI132" s="202"/>
      <c r="DRJ132" s="202"/>
      <c r="DRK132" s="202"/>
      <c r="DRL132" s="202"/>
      <c r="DRM132" s="202"/>
      <c r="DRN132" s="202"/>
      <c r="DRO132" s="202"/>
      <c r="DRP132" s="202"/>
      <c r="DRQ132" s="202"/>
      <c r="DRR132" s="202"/>
      <c r="DRS132" s="202"/>
      <c r="DRT132" s="202"/>
      <c r="DRU132" s="202"/>
      <c r="DRV132" s="202"/>
      <c r="DRW132" s="202"/>
      <c r="DRX132" s="202"/>
      <c r="DRY132" s="202"/>
      <c r="DRZ132" s="202"/>
      <c r="DSA132" s="202"/>
      <c r="DSB132" s="202"/>
      <c r="DSC132" s="202"/>
      <c r="DSD132" s="202"/>
      <c r="DSE132" s="202"/>
      <c r="DSF132" s="202"/>
      <c r="DSG132" s="202"/>
      <c r="DSH132" s="202"/>
      <c r="DSI132" s="202"/>
      <c r="DSJ132" s="202"/>
      <c r="DSK132" s="202"/>
      <c r="DSL132" s="202"/>
      <c r="DSM132" s="202"/>
      <c r="DSN132" s="202"/>
      <c r="DSO132" s="202"/>
      <c r="DSP132" s="202"/>
      <c r="DSQ132" s="202"/>
      <c r="DSR132" s="202"/>
      <c r="DSS132" s="202"/>
      <c r="DST132" s="202"/>
      <c r="DSU132" s="202"/>
      <c r="DSV132" s="202"/>
      <c r="DSW132" s="202"/>
      <c r="DSX132" s="202"/>
      <c r="DSY132" s="202"/>
      <c r="DSZ132" s="202"/>
      <c r="DTA132" s="202"/>
      <c r="DTB132" s="202"/>
      <c r="DTC132" s="202"/>
      <c r="DTD132" s="202"/>
      <c r="DTE132" s="202"/>
      <c r="DTF132" s="202"/>
      <c r="DTG132" s="202"/>
      <c r="DTH132" s="202"/>
      <c r="DTI132" s="202"/>
      <c r="DTJ132" s="202"/>
      <c r="DTK132" s="202"/>
      <c r="DTL132" s="202"/>
      <c r="DTM132" s="202"/>
      <c r="DTN132" s="202"/>
      <c r="DTO132" s="202"/>
      <c r="DTP132" s="202"/>
      <c r="DTQ132" s="202"/>
      <c r="DTR132" s="202"/>
      <c r="DTS132" s="202"/>
      <c r="DTT132" s="202"/>
      <c r="DTU132" s="202"/>
      <c r="DTV132" s="202"/>
      <c r="DTW132" s="202"/>
      <c r="DTX132" s="202"/>
      <c r="DTY132" s="202"/>
      <c r="DTZ132" s="202"/>
      <c r="DUA132" s="202"/>
      <c r="DUB132" s="202"/>
      <c r="DUC132" s="202"/>
      <c r="DUD132" s="202"/>
      <c r="DUE132" s="202"/>
      <c r="DUF132" s="202"/>
      <c r="DUG132" s="202"/>
      <c r="DUH132" s="202"/>
      <c r="DUI132" s="202"/>
      <c r="DUJ132" s="202"/>
      <c r="DUK132" s="202"/>
      <c r="DUL132" s="202"/>
      <c r="DUM132" s="202"/>
      <c r="DUN132" s="202"/>
      <c r="DUO132" s="202"/>
      <c r="DUP132" s="202"/>
      <c r="DUQ132" s="202"/>
      <c r="DUR132" s="202"/>
      <c r="DUS132" s="202"/>
      <c r="DUT132" s="202"/>
      <c r="DUU132" s="202"/>
      <c r="DUV132" s="202"/>
      <c r="DUW132" s="202"/>
      <c r="DUX132" s="202"/>
      <c r="DUY132" s="202"/>
      <c r="DUZ132" s="202"/>
      <c r="DVA132" s="202"/>
      <c r="DVB132" s="202"/>
      <c r="DVC132" s="202"/>
      <c r="DVD132" s="202"/>
      <c r="DVE132" s="202"/>
      <c r="DVF132" s="202"/>
      <c r="DVG132" s="202"/>
      <c r="DVH132" s="202"/>
      <c r="DVI132" s="202"/>
      <c r="DVJ132" s="202"/>
      <c r="DVK132" s="202"/>
      <c r="DVL132" s="202"/>
      <c r="DVM132" s="202"/>
      <c r="DVN132" s="202"/>
      <c r="DVO132" s="202"/>
      <c r="DVP132" s="202"/>
      <c r="DVQ132" s="202"/>
      <c r="DVR132" s="202"/>
      <c r="DVS132" s="202"/>
      <c r="DVT132" s="202"/>
      <c r="DVU132" s="202"/>
      <c r="DVV132" s="202"/>
      <c r="DVW132" s="202"/>
      <c r="DVX132" s="202"/>
      <c r="DVY132" s="202"/>
      <c r="DVZ132" s="202"/>
      <c r="DWA132" s="202"/>
      <c r="DWB132" s="202"/>
      <c r="DWC132" s="202"/>
      <c r="DWD132" s="202"/>
      <c r="DWE132" s="202"/>
      <c r="DWF132" s="202"/>
      <c r="DWG132" s="202"/>
      <c r="DWH132" s="202"/>
      <c r="DWI132" s="202"/>
      <c r="DWJ132" s="202"/>
      <c r="DWK132" s="202"/>
      <c r="DWL132" s="202"/>
      <c r="DWM132" s="202"/>
      <c r="DWN132" s="202"/>
      <c r="DWO132" s="202"/>
      <c r="DWP132" s="202"/>
      <c r="DWQ132" s="202"/>
      <c r="DWR132" s="202"/>
      <c r="DWS132" s="202"/>
      <c r="DWT132" s="202"/>
      <c r="DWU132" s="202"/>
      <c r="DWV132" s="202"/>
      <c r="DWW132" s="202"/>
      <c r="DWX132" s="202"/>
      <c r="DWY132" s="202"/>
      <c r="DWZ132" s="202"/>
      <c r="DXA132" s="202"/>
      <c r="DXB132" s="202"/>
      <c r="DXC132" s="202"/>
      <c r="DXD132" s="202"/>
      <c r="DXE132" s="202"/>
      <c r="DXF132" s="202"/>
      <c r="DXG132" s="202"/>
      <c r="DXH132" s="202"/>
      <c r="DXI132" s="202"/>
      <c r="DXJ132" s="202"/>
      <c r="DXK132" s="202"/>
      <c r="DXL132" s="202"/>
      <c r="DXM132" s="202"/>
      <c r="DXN132" s="202"/>
      <c r="DXO132" s="202"/>
      <c r="DXP132" s="202"/>
      <c r="DXQ132" s="202"/>
      <c r="DXR132" s="202"/>
      <c r="DXS132" s="202"/>
      <c r="DXT132" s="202"/>
      <c r="DXU132" s="202"/>
      <c r="DXV132" s="202"/>
      <c r="DXW132" s="202"/>
      <c r="DXX132" s="202"/>
      <c r="DXY132" s="202"/>
      <c r="DXZ132" s="202"/>
      <c r="DYA132" s="202"/>
      <c r="DYB132" s="202"/>
      <c r="DYC132" s="202"/>
      <c r="DYD132" s="202"/>
      <c r="DYE132" s="202"/>
      <c r="DYF132" s="202"/>
      <c r="DYG132" s="202"/>
      <c r="DYH132" s="202"/>
      <c r="DYI132" s="202"/>
      <c r="DYJ132" s="202"/>
      <c r="DYK132" s="202"/>
      <c r="DYL132" s="202"/>
      <c r="DYM132" s="202"/>
      <c r="DYN132" s="202"/>
      <c r="DYO132" s="202"/>
      <c r="DYP132" s="202"/>
      <c r="DYQ132" s="202"/>
      <c r="DYR132" s="202"/>
      <c r="DYS132" s="202"/>
      <c r="DYT132" s="202"/>
      <c r="DYU132" s="202"/>
      <c r="DYV132" s="202"/>
      <c r="DYW132" s="202"/>
      <c r="DYX132" s="202"/>
      <c r="DYY132" s="202"/>
      <c r="DYZ132" s="202"/>
      <c r="DZA132" s="202"/>
      <c r="DZB132" s="202"/>
      <c r="DZC132" s="202"/>
      <c r="DZD132" s="202"/>
      <c r="DZE132" s="202"/>
      <c r="DZF132" s="202"/>
      <c r="DZG132" s="202"/>
      <c r="DZH132" s="202"/>
      <c r="DZI132" s="202"/>
      <c r="DZJ132" s="202"/>
      <c r="DZK132" s="202"/>
      <c r="DZL132" s="202"/>
      <c r="DZM132" s="202"/>
      <c r="DZN132" s="202"/>
      <c r="DZO132" s="202"/>
      <c r="DZP132" s="202"/>
      <c r="DZQ132" s="202"/>
      <c r="DZR132" s="202"/>
      <c r="DZS132" s="202"/>
      <c r="DZT132" s="202"/>
      <c r="DZU132" s="202"/>
      <c r="DZV132" s="202"/>
      <c r="DZW132" s="202"/>
      <c r="DZX132" s="202"/>
      <c r="DZY132" s="202"/>
      <c r="DZZ132" s="202"/>
      <c r="EAA132" s="202"/>
      <c r="EAB132" s="202"/>
      <c r="EAC132" s="202"/>
      <c r="EAD132" s="202"/>
      <c r="EAE132" s="202"/>
      <c r="EAF132" s="202"/>
      <c r="EAG132" s="202"/>
      <c r="EAH132" s="202"/>
      <c r="EAI132" s="202"/>
      <c r="EAJ132" s="202"/>
      <c r="EAK132" s="202"/>
      <c r="EAL132" s="202"/>
      <c r="EAM132" s="202"/>
      <c r="EAN132" s="202"/>
      <c r="EAO132" s="202"/>
      <c r="EAP132" s="202"/>
      <c r="EAQ132" s="202"/>
      <c r="EAR132" s="202"/>
      <c r="EAS132" s="202"/>
      <c r="EAT132" s="202"/>
      <c r="EAU132" s="202"/>
      <c r="EAV132" s="202"/>
      <c r="EAW132" s="202"/>
      <c r="EAX132" s="202"/>
      <c r="EAY132" s="202"/>
      <c r="EAZ132" s="202"/>
      <c r="EBA132" s="202"/>
      <c r="EBB132" s="202"/>
      <c r="EBC132" s="202"/>
      <c r="EBD132" s="202"/>
      <c r="EBE132" s="202"/>
      <c r="EBF132" s="202"/>
      <c r="EBG132" s="202"/>
      <c r="EBH132" s="202"/>
      <c r="EBI132" s="202"/>
      <c r="EBJ132" s="202"/>
      <c r="EBK132" s="202"/>
      <c r="EBL132" s="202"/>
      <c r="EBM132" s="202"/>
      <c r="EBN132" s="202"/>
      <c r="EBO132" s="202"/>
      <c r="EBP132" s="202"/>
      <c r="EBQ132" s="202"/>
      <c r="EBR132" s="202"/>
      <c r="EBS132" s="202"/>
      <c r="EBT132" s="202"/>
      <c r="EBU132" s="202"/>
      <c r="EBV132" s="202"/>
      <c r="EBW132" s="202"/>
      <c r="EBX132" s="202"/>
      <c r="EBY132" s="202"/>
      <c r="EBZ132" s="202"/>
      <c r="ECA132" s="202"/>
      <c r="ECB132" s="202"/>
      <c r="ECC132" s="202"/>
      <c r="ECD132" s="202"/>
      <c r="ECE132" s="202"/>
      <c r="ECF132" s="202"/>
      <c r="ECG132" s="202"/>
      <c r="ECH132" s="202"/>
      <c r="ECI132" s="202"/>
      <c r="ECJ132" s="202"/>
      <c r="ECK132" s="202"/>
      <c r="ECL132" s="202"/>
      <c r="ECM132" s="202"/>
      <c r="ECN132" s="202"/>
      <c r="ECO132" s="202"/>
      <c r="ECP132" s="202"/>
      <c r="ECQ132" s="202"/>
      <c r="ECR132" s="202"/>
      <c r="ECS132" s="202"/>
      <c r="ECT132" s="202"/>
      <c r="ECU132" s="202"/>
      <c r="ECV132" s="202"/>
      <c r="ECW132" s="202"/>
      <c r="ECX132" s="202"/>
      <c r="ECY132" s="202"/>
      <c r="ECZ132" s="202"/>
      <c r="EDA132" s="202"/>
      <c r="EDB132" s="202"/>
      <c r="EDC132" s="202"/>
      <c r="EDD132" s="202"/>
      <c r="EDE132" s="202"/>
      <c r="EDF132" s="202"/>
      <c r="EDG132" s="202"/>
      <c r="EDH132" s="202"/>
      <c r="EDI132" s="202"/>
      <c r="EDJ132" s="202"/>
      <c r="EDK132" s="202"/>
      <c r="EDL132" s="202"/>
      <c r="EDM132" s="202"/>
      <c r="EDN132" s="202"/>
      <c r="EDO132" s="202"/>
      <c r="EDP132" s="202"/>
      <c r="EDQ132" s="202"/>
      <c r="EDR132" s="202"/>
      <c r="EDS132" s="202"/>
      <c r="EDT132" s="202"/>
      <c r="EDU132" s="202"/>
      <c r="EDV132" s="202"/>
      <c r="EDW132" s="202"/>
      <c r="EDX132" s="202"/>
      <c r="EDY132" s="202"/>
      <c r="EDZ132" s="202"/>
      <c r="EEA132" s="202"/>
      <c r="EEB132" s="202"/>
      <c r="EEC132" s="202"/>
      <c r="EED132" s="202"/>
      <c r="EEE132" s="202"/>
      <c r="EEF132" s="202"/>
      <c r="EEG132" s="202"/>
      <c r="EEH132" s="202"/>
      <c r="EEI132" s="202"/>
      <c r="EEJ132" s="202"/>
      <c r="EEK132" s="202"/>
      <c r="EEL132" s="202"/>
      <c r="EEM132" s="202"/>
      <c r="EEN132" s="202"/>
      <c r="EEO132" s="202"/>
      <c r="EEP132" s="202"/>
      <c r="EEQ132" s="202"/>
      <c r="EER132" s="202"/>
      <c r="EES132" s="202"/>
      <c r="EET132" s="202"/>
      <c r="EEU132" s="202"/>
      <c r="EEV132" s="202"/>
      <c r="EEW132" s="202"/>
      <c r="EEX132" s="202"/>
      <c r="EEY132" s="202"/>
      <c r="EEZ132" s="202"/>
      <c r="EFA132" s="202"/>
      <c r="EFB132" s="202"/>
      <c r="EFC132" s="202"/>
      <c r="EFD132" s="202"/>
      <c r="EFE132" s="202"/>
      <c r="EFF132" s="202"/>
      <c r="EFG132" s="202"/>
      <c r="EFH132" s="202"/>
      <c r="EFI132" s="202"/>
      <c r="EFJ132" s="202"/>
      <c r="EFK132" s="202"/>
      <c r="EFL132" s="202"/>
      <c r="EFM132" s="202"/>
      <c r="EFN132" s="202"/>
      <c r="EFO132" s="202"/>
      <c r="EFP132" s="202"/>
      <c r="EFQ132" s="202"/>
      <c r="EFR132" s="202"/>
      <c r="EFS132" s="202"/>
      <c r="EFT132" s="202"/>
      <c r="EFU132" s="202"/>
      <c r="EFV132" s="202"/>
      <c r="EFW132" s="202"/>
      <c r="EFX132" s="202"/>
      <c r="EFY132" s="202"/>
      <c r="EFZ132" s="202"/>
      <c r="EGA132" s="202"/>
      <c r="EGB132" s="202"/>
      <c r="EGC132" s="202"/>
      <c r="EGD132" s="202"/>
      <c r="EGE132" s="202"/>
      <c r="EGF132" s="202"/>
      <c r="EGG132" s="202"/>
      <c r="EGH132" s="202"/>
      <c r="EGI132" s="202"/>
      <c r="EGJ132" s="202"/>
      <c r="EGK132" s="202"/>
      <c r="EGL132" s="202"/>
      <c r="EGM132" s="202"/>
      <c r="EGN132" s="202"/>
      <c r="EGO132" s="202"/>
      <c r="EGP132" s="202"/>
      <c r="EGQ132" s="202"/>
      <c r="EGR132" s="202"/>
      <c r="EGS132" s="202"/>
      <c r="EGT132" s="202"/>
      <c r="EGU132" s="202"/>
      <c r="EGV132" s="202"/>
      <c r="EGW132" s="202"/>
      <c r="EGX132" s="202"/>
      <c r="EGY132" s="202"/>
      <c r="EGZ132" s="202"/>
      <c r="EHA132" s="202"/>
      <c r="EHB132" s="202"/>
      <c r="EHC132" s="202"/>
      <c r="EHD132" s="202"/>
      <c r="EHE132" s="202"/>
      <c r="EHF132" s="202"/>
      <c r="EHG132" s="202"/>
      <c r="EHH132" s="202"/>
      <c r="EHI132" s="202"/>
      <c r="EHJ132" s="202"/>
      <c r="EHK132" s="202"/>
      <c r="EHL132" s="202"/>
      <c r="EHM132" s="202"/>
      <c r="EHN132" s="202"/>
      <c r="EHO132" s="202"/>
      <c r="EHP132" s="202"/>
      <c r="EHQ132" s="202"/>
      <c r="EHR132" s="202"/>
      <c r="EHS132" s="202"/>
      <c r="EHT132" s="202"/>
      <c r="EHU132" s="202"/>
      <c r="EHV132" s="202"/>
      <c r="EHW132" s="202"/>
      <c r="EHX132" s="202"/>
      <c r="EHY132" s="202"/>
      <c r="EHZ132" s="202"/>
      <c r="EIA132" s="202"/>
      <c r="EIB132" s="202"/>
      <c r="EIC132" s="202"/>
      <c r="EID132" s="202"/>
      <c r="EIE132" s="202"/>
      <c r="EIF132" s="202"/>
      <c r="EIG132" s="202"/>
      <c r="EIH132" s="202"/>
      <c r="EII132" s="202"/>
      <c r="EIJ132" s="202"/>
      <c r="EIK132" s="202"/>
      <c r="EIL132" s="202"/>
      <c r="EIM132" s="202"/>
      <c r="EIN132" s="202"/>
      <c r="EIO132" s="202"/>
      <c r="EIP132" s="202"/>
      <c r="EIQ132" s="202"/>
      <c r="EIR132" s="202"/>
      <c r="EIS132" s="202"/>
      <c r="EIT132" s="202"/>
      <c r="EIU132" s="202"/>
      <c r="EIV132" s="202"/>
      <c r="EIW132" s="202"/>
      <c r="EIX132" s="202"/>
      <c r="EIY132" s="202"/>
      <c r="EIZ132" s="202"/>
      <c r="EJA132" s="202"/>
      <c r="EJB132" s="202"/>
      <c r="EJC132" s="202"/>
      <c r="EJD132" s="202"/>
      <c r="EJE132" s="202"/>
      <c r="EJF132" s="202"/>
      <c r="EJG132" s="202"/>
      <c r="EJH132" s="202"/>
      <c r="EJI132" s="202"/>
      <c r="EJJ132" s="202"/>
      <c r="EJK132" s="202"/>
      <c r="EJL132" s="202"/>
      <c r="EJM132" s="202"/>
      <c r="EJN132" s="202"/>
      <c r="EJO132" s="202"/>
      <c r="EJP132" s="202"/>
      <c r="EJQ132" s="202"/>
      <c r="EJR132" s="202"/>
      <c r="EJS132" s="202"/>
      <c r="EJT132" s="202"/>
      <c r="EJU132" s="202"/>
      <c r="EJV132" s="202"/>
      <c r="EJW132" s="202"/>
      <c r="EJX132" s="202"/>
      <c r="EJY132" s="202"/>
      <c r="EJZ132" s="202"/>
      <c r="EKA132" s="202"/>
      <c r="EKB132" s="202"/>
      <c r="EKC132" s="202"/>
      <c r="EKD132" s="202"/>
      <c r="EKE132" s="202"/>
      <c r="EKF132" s="202"/>
      <c r="EKG132" s="202"/>
      <c r="EKH132" s="202"/>
      <c r="EKI132" s="202"/>
      <c r="EKJ132" s="202"/>
      <c r="EKK132" s="202"/>
      <c r="EKL132" s="202"/>
      <c r="EKM132" s="202"/>
      <c r="EKN132" s="202"/>
      <c r="EKO132" s="202"/>
      <c r="EKP132" s="202"/>
      <c r="EKQ132" s="202"/>
      <c r="EKR132" s="202"/>
      <c r="EKS132" s="202"/>
      <c r="EKT132" s="202"/>
      <c r="EKU132" s="202"/>
      <c r="EKV132" s="202"/>
      <c r="EKW132" s="202"/>
      <c r="EKX132" s="202"/>
      <c r="EKY132" s="202"/>
      <c r="EKZ132" s="202"/>
      <c r="ELA132" s="202"/>
      <c r="ELB132" s="202"/>
      <c r="ELC132" s="202"/>
      <c r="ELD132" s="202"/>
      <c r="ELE132" s="202"/>
      <c r="ELF132" s="202"/>
      <c r="ELG132" s="202"/>
      <c r="ELH132" s="202"/>
      <c r="ELI132" s="202"/>
      <c r="ELJ132" s="202"/>
      <c r="ELK132" s="202"/>
      <c r="ELL132" s="202"/>
      <c r="ELM132" s="202"/>
      <c r="ELN132" s="202"/>
      <c r="ELO132" s="202"/>
      <c r="ELP132" s="202"/>
      <c r="ELQ132" s="202"/>
      <c r="ELR132" s="202"/>
      <c r="ELS132" s="202"/>
      <c r="ELT132" s="202"/>
      <c r="ELU132" s="202"/>
      <c r="ELV132" s="202"/>
      <c r="ELW132" s="202"/>
      <c r="ELX132" s="202"/>
      <c r="ELY132" s="202"/>
      <c r="ELZ132" s="202"/>
      <c r="EMA132" s="202"/>
      <c r="EMB132" s="202"/>
      <c r="EMC132" s="202"/>
      <c r="EMD132" s="202"/>
      <c r="EME132" s="202"/>
      <c r="EMF132" s="202"/>
      <c r="EMG132" s="202"/>
      <c r="EMH132" s="202"/>
      <c r="EMI132" s="202"/>
      <c r="EMJ132" s="202"/>
      <c r="EMK132" s="202"/>
      <c r="EML132" s="202"/>
      <c r="EMM132" s="202"/>
      <c r="EMN132" s="202"/>
      <c r="EMO132" s="202"/>
      <c r="EMP132" s="202"/>
      <c r="EMQ132" s="202"/>
      <c r="EMR132" s="202"/>
      <c r="EMS132" s="202"/>
      <c r="EMT132" s="202"/>
      <c r="EMU132" s="202"/>
      <c r="EMV132" s="202"/>
      <c r="EMW132" s="202"/>
      <c r="EMX132" s="202"/>
      <c r="EMY132" s="202"/>
      <c r="EMZ132" s="202"/>
      <c r="ENA132" s="202"/>
      <c r="ENB132" s="202"/>
      <c r="ENC132" s="202"/>
      <c r="END132" s="202"/>
      <c r="ENE132" s="202"/>
      <c r="ENF132" s="202"/>
      <c r="ENG132" s="202"/>
      <c r="ENH132" s="202"/>
      <c r="ENI132" s="202"/>
      <c r="ENJ132" s="202"/>
      <c r="ENK132" s="202"/>
      <c r="ENL132" s="202"/>
      <c r="ENM132" s="202"/>
      <c r="ENN132" s="202"/>
      <c r="ENO132" s="202"/>
      <c r="ENP132" s="202"/>
      <c r="ENQ132" s="202"/>
      <c r="ENR132" s="202"/>
      <c r="ENS132" s="202"/>
      <c r="ENT132" s="202"/>
      <c r="ENU132" s="202"/>
      <c r="ENV132" s="202"/>
      <c r="ENW132" s="202"/>
      <c r="ENX132" s="202"/>
      <c r="ENY132" s="202"/>
      <c r="ENZ132" s="202"/>
      <c r="EOA132" s="202"/>
      <c r="EOB132" s="202"/>
      <c r="EOC132" s="202"/>
      <c r="EOD132" s="202"/>
      <c r="EOE132" s="202"/>
      <c r="EOF132" s="202"/>
      <c r="EOG132" s="202"/>
      <c r="EOH132" s="202"/>
      <c r="EOI132" s="202"/>
      <c r="EOJ132" s="202"/>
      <c r="EOK132" s="202"/>
      <c r="EOL132" s="202"/>
      <c r="EOM132" s="202"/>
      <c r="EON132" s="202"/>
      <c r="EOO132" s="202"/>
      <c r="EOP132" s="202"/>
      <c r="EOQ132" s="202"/>
      <c r="EOR132" s="202"/>
      <c r="EOS132" s="202"/>
      <c r="EOT132" s="202"/>
      <c r="EOU132" s="202"/>
      <c r="EOV132" s="202"/>
      <c r="EOW132" s="202"/>
      <c r="EOX132" s="202"/>
      <c r="EOY132" s="202"/>
      <c r="EOZ132" s="202"/>
      <c r="EPA132" s="202"/>
      <c r="EPB132" s="202"/>
      <c r="EPC132" s="202"/>
      <c r="EPD132" s="202"/>
      <c r="EPE132" s="202"/>
      <c r="EPF132" s="202"/>
      <c r="EPG132" s="202"/>
      <c r="EPH132" s="202"/>
      <c r="EPI132" s="202"/>
      <c r="EPJ132" s="202"/>
      <c r="EPK132" s="202"/>
      <c r="EPL132" s="202"/>
      <c r="EPM132" s="202"/>
      <c r="EPN132" s="202"/>
      <c r="EPO132" s="202"/>
      <c r="EPP132" s="202"/>
      <c r="EPQ132" s="202"/>
      <c r="EPR132" s="202"/>
      <c r="EPS132" s="202"/>
      <c r="EPT132" s="202"/>
      <c r="EPU132" s="202"/>
      <c r="EPV132" s="202"/>
      <c r="EPW132" s="202"/>
      <c r="EPX132" s="202"/>
      <c r="EPY132" s="202"/>
      <c r="EPZ132" s="202"/>
      <c r="EQA132" s="202"/>
      <c r="EQB132" s="202"/>
      <c r="EQC132" s="202"/>
      <c r="EQD132" s="202"/>
      <c r="EQE132" s="202"/>
      <c r="EQF132" s="202"/>
      <c r="EQG132" s="202"/>
      <c r="EQH132" s="202"/>
      <c r="EQI132" s="202"/>
      <c r="EQJ132" s="202"/>
      <c r="EQK132" s="202"/>
      <c r="EQL132" s="202"/>
      <c r="EQM132" s="202"/>
      <c r="EQN132" s="202"/>
      <c r="EQO132" s="202"/>
      <c r="EQP132" s="202"/>
      <c r="EQQ132" s="202"/>
      <c r="EQR132" s="202"/>
      <c r="EQS132" s="202"/>
      <c r="EQT132" s="202"/>
      <c r="EQU132" s="202"/>
      <c r="EQV132" s="202"/>
      <c r="EQW132" s="202"/>
      <c r="EQX132" s="202"/>
      <c r="EQY132" s="202"/>
      <c r="EQZ132" s="202"/>
      <c r="ERA132" s="202"/>
      <c r="ERB132" s="202"/>
      <c r="ERC132" s="202"/>
      <c r="ERD132" s="202"/>
      <c r="ERE132" s="202"/>
      <c r="ERF132" s="202"/>
      <c r="ERG132" s="202"/>
      <c r="ERH132" s="202"/>
      <c r="ERI132" s="202"/>
      <c r="ERJ132" s="202"/>
      <c r="ERK132" s="202"/>
      <c r="ERL132" s="202"/>
      <c r="ERM132" s="202"/>
      <c r="ERN132" s="202"/>
      <c r="ERO132" s="202"/>
      <c r="ERP132" s="202"/>
      <c r="ERQ132" s="202"/>
      <c r="ERR132" s="202"/>
      <c r="ERS132" s="202"/>
      <c r="ERT132" s="202"/>
      <c r="ERU132" s="202"/>
      <c r="ERV132" s="202"/>
      <c r="ERW132" s="202"/>
      <c r="ERX132" s="202"/>
      <c r="ERY132" s="202"/>
      <c r="ERZ132" s="202"/>
      <c r="ESA132" s="202"/>
      <c r="ESB132" s="202"/>
      <c r="ESC132" s="202"/>
      <c r="ESD132" s="202"/>
      <c r="ESE132" s="202"/>
      <c r="ESF132" s="202"/>
      <c r="ESG132" s="202"/>
      <c r="ESH132" s="202"/>
      <c r="ESI132" s="202"/>
      <c r="ESJ132" s="202"/>
      <c r="ESK132" s="202"/>
      <c r="ESL132" s="202"/>
      <c r="ESM132" s="202"/>
      <c r="ESN132" s="202"/>
      <c r="ESO132" s="202"/>
      <c r="ESP132" s="202"/>
      <c r="ESQ132" s="202"/>
      <c r="ESR132" s="202"/>
      <c r="ESS132" s="202"/>
      <c r="EST132" s="202"/>
      <c r="ESU132" s="202"/>
      <c r="ESV132" s="202"/>
      <c r="ESW132" s="202"/>
      <c r="ESX132" s="202"/>
      <c r="ESY132" s="202"/>
      <c r="ESZ132" s="202"/>
      <c r="ETA132" s="202"/>
      <c r="ETB132" s="202"/>
      <c r="ETC132" s="202"/>
      <c r="ETD132" s="202"/>
      <c r="ETE132" s="202"/>
      <c r="ETF132" s="202"/>
      <c r="ETG132" s="202"/>
      <c r="ETH132" s="202"/>
      <c r="ETI132" s="202"/>
      <c r="ETJ132" s="202"/>
      <c r="ETK132" s="202"/>
      <c r="ETL132" s="202"/>
      <c r="ETM132" s="202"/>
      <c r="ETN132" s="202"/>
      <c r="ETO132" s="202"/>
      <c r="ETP132" s="202"/>
      <c r="ETQ132" s="202"/>
      <c r="ETR132" s="202"/>
      <c r="ETS132" s="202"/>
      <c r="ETT132" s="202"/>
      <c r="ETU132" s="202"/>
      <c r="ETV132" s="202"/>
      <c r="ETW132" s="202"/>
      <c r="ETX132" s="202"/>
      <c r="ETY132" s="202"/>
      <c r="ETZ132" s="202"/>
      <c r="EUA132" s="202"/>
      <c r="EUB132" s="202"/>
      <c r="EUC132" s="202"/>
      <c r="EUD132" s="202"/>
      <c r="EUE132" s="202"/>
      <c r="EUF132" s="202"/>
      <c r="EUG132" s="202"/>
      <c r="EUH132" s="202"/>
      <c r="EUI132" s="202"/>
      <c r="EUJ132" s="202"/>
      <c r="EUK132" s="202"/>
      <c r="EUL132" s="202"/>
      <c r="EUM132" s="202"/>
      <c r="EUN132" s="202"/>
      <c r="EUO132" s="202"/>
      <c r="EUP132" s="202"/>
      <c r="EUQ132" s="202"/>
      <c r="EUR132" s="202"/>
      <c r="EUS132" s="202"/>
      <c r="EUT132" s="202"/>
      <c r="EUU132" s="202"/>
      <c r="EUV132" s="202"/>
      <c r="EUW132" s="202"/>
      <c r="EUX132" s="202"/>
      <c r="EUY132" s="202"/>
      <c r="EUZ132" s="202"/>
      <c r="EVA132" s="202"/>
      <c r="EVB132" s="202"/>
      <c r="EVC132" s="202"/>
      <c r="EVD132" s="202"/>
      <c r="EVE132" s="202"/>
      <c r="EVF132" s="202"/>
      <c r="EVG132" s="202"/>
      <c r="EVH132" s="202"/>
      <c r="EVI132" s="202"/>
      <c r="EVJ132" s="202"/>
      <c r="EVK132" s="202"/>
      <c r="EVL132" s="202"/>
      <c r="EVM132" s="202"/>
      <c r="EVN132" s="202"/>
      <c r="EVO132" s="202"/>
      <c r="EVP132" s="202"/>
      <c r="EVQ132" s="202"/>
      <c r="EVR132" s="202"/>
      <c r="EVS132" s="202"/>
      <c r="EVT132" s="202"/>
      <c r="EVU132" s="202"/>
      <c r="EVV132" s="202"/>
      <c r="EVW132" s="202"/>
      <c r="EVX132" s="202"/>
      <c r="EVY132" s="202"/>
      <c r="EVZ132" s="202"/>
      <c r="EWA132" s="202"/>
      <c r="EWB132" s="202"/>
      <c r="EWC132" s="202"/>
      <c r="EWD132" s="202"/>
      <c r="EWE132" s="202"/>
      <c r="EWF132" s="202"/>
      <c r="EWG132" s="202"/>
      <c r="EWH132" s="202"/>
      <c r="EWI132" s="202"/>
      <c r="EWJ132" s="202"/>
      <c r="EWK132" s="202"/>
      <c r="EWL132" s="202"/>
      <c r="EWM132" s="202"/>
      <c r="EWN132" s="202"/>
      <c r="EWO132" s="202"/>
      <c r="EWP132" s="202"/>
      <c r="EWQ132" s="202"/>
      <c r="EWR132" s="202"/>
      <c r="EWS132" s="202"/>
      <c r="EWT132" s="202"/>
      <c r="EWU132" s="202"/>
      <c r="EWV132" s="202"/>
      <c r="EWW132" s="202"/>
      <c r="EWX132" s="202"/>
      <c r="EWY132" s="202"/>
      <c r="EWZ132" s="202"/>
      <c r="EXA132" s="202"/>
      <c r="EXB132" s="202"/>
      <c r="EXC132" s="202"/>
      <c r="EXD132" s="202"/>
      <c r="EXE132" s="202"/>
      <c r="EXF132" s="202"/>
      <c r="EXG132" s="202"/>
      <c r="EXH132" s="202"/>
      <c r="EXI132" s="202"/>
      <c r="EXJ132" s="202"/>
      <c r="EXK132" s="202"/>
      <c r="EXL132" s="202"/>
      <c r="EXM132" s="202"/>
      <c r="EXN132" s="202"/>
      <c r="EXO132" s="202"/>
      <c r="EXP132" s="202"/>
      <c r="EXQ132" s="202"/>
      <c r="EXR132" s="202"/>
      <c r="EXS132" s="202"/>
      <c r="EXT132" s="202"/>
      <c r="EXU132" s="202"/>
      <c r="EXV132" s="202"/>
      <c r="EXW132" s="202"/>
      <c r="EXX132" s="202"/>
      <c r="EXY132" s="202"/>
      <c r="EXZ132" s="202"/>
      <c r="EYA132" s="202"/>
      <c r="EYB132" s="202"/>
      <c r="EYC132" s="202"/>
      <c r="EYD132" s="202"/>
      <c r="EYE132" s="202"/>
      <c r="EYF132" s="202"/>
      <c r="EYG132" s="202"/>
      <c r="EYH132" s="202"/>
      <c r="EYI132" s="202"/>
      <c r="EYJ132" s="202"/>
      <c r="EYK132" s="202"/>
      <c r="EYL132" s="202"/>
      <c r="EYM132" s="202"/>
      <c r="EYN132" s="202"/>
      <c r="EYO132" s="202"/>
      <c r="EYP132" s="202"/>
      <c r="EYQ132" s="202"/>
      <c r="EYR132" s="202"/>
      <c r="EYS132" s="202"/>
      <c r="EYT132" s="202"/>
      <c r="EYU132" s="202"/>
      <c r="EYV132" s="202"/>
      <c r="EYW132" s="202"/>
      <c r="EYX132" s="202"/>
      <c r="EYY132" s="202"/>
      <c r="EYZ132" s="202"/>
      <c r="EZA132" s="202"/>
      <c r="EZB132" s="202"/>
      <c r="EZC132" s="202"/>
      <c r="EZD132" s="202"/>
      <c r="EZE132" s="202"/>
      <c r="EZF132" s="202"/>
      <c r="EZG132" s="202"/>
      <c r="EZH132" s="202"/>
      <c r="EZI132" s="202"/>
      <c r="EZJ132" s="202"/>
      <c r="EZK132" s="202"/>
      <c r="EZL132" s="202"/>
      <c r="EZM132" s="202"/>
      <c r="EZN132" s="202"/>
      <c r="EZO132" s="202"/>
      <c r="EZP132" s="202"/>
      <c r="EZQ132" s="202"/>
      <c r="EZR132" s="202"/>
      <c r="EZS132" s="202"/>
      <c r="EZT132" s="202"/>
      <c r="EZU132" s="202"/>
      <c r="EZV132" s="202"/>
      <c r="EZW132" s="202"/>
      <c r="EZX132" s="202"/>
      <c r="EZY132" s="202"/>
      <c r="EZZ132" s="202"/>
      <c r="FAA132" s="202"/>
      <c r="FAB132" s="202"/>
      <c r="FAC132" s="202"/>
      <c r="FAD132" s="202"/>
      <c r="FAE132" s="202"/>
      <c r="FAF132" s="202"/>
      <c r="FAG132" s="202"/>
      <c r="FAH132" s="202"/>
      <c r="FAI132" s="202"/>
      <c r="FAJ132" s="202"/>
      <c r="FAK132" s="202"/>
      <c r="FAL132" s="202"/>
      <c r="FAM132" s="202"/>
      <c r="FAN132" s="202"/>
      <c r="FAO132" s="202"/>
      <c r="FAP132" s="202"/>
      <c r="FAQ132" s="202"/>
      <c r="FAR132" s="202"/>
      <c r="FAS132" s="202"/>
      <c r="FAT132" s="202"/>
      <c r="FAU132" s="202"/>
      <c r="FAV132" s="202"/>
      <c r="FAW132" s="202"/>
      <c r="FAX132" s="202"/>
      <c r="FAY132" s="202"/>
      <c r="FAZ132" s="202"/>
      <c r="FBA132" s="202"/>
      <c r="FBB132" s="202"/>
      <c r="FBC132" s="202"/>
      <c r="FBD132" s="202"/>
      <c r="FBE132" s="202"/>
      <c r="FBF132" s="202"/>
      <c r="FBG132" s="202"/>
      <c r="FBH132" s="202"/>
      <c r="FBI132" s="202"/>
      <c r="FBJ132" s="202"/>
      <c r="FBK132" s="202"/>
      <c r="FBL132" s="202"/>
      <c r="FBM132" s="202"/>
      <c r="FBN132" s="202"/>
      <c r="FBO132" s="202"/>
      <c r="FBP132" s="202"/>
      <c r="FBQ132" s="202"/>
      <c r="FBR132" s="202"/>
      <c r="FBS132" s="202"/>
      <c r="FBT132" s="202"/>
      <c r="FBU132" s="202"/>
      <c r="FBV132" s="202"/>
      <c r="FBW132" s="202"/>
      <c r="FBX132" s="202"/>
      <c r="FBY132" s="202"/>
      <c r="FBZ132" s="202"/>
      <c r="FCA132" s="202"/>
      <c r="FCB132" s="202"/>
      <c r="FCC132" s="202"/>
      <c r="FCD132" s="202"/>
      <c r="FCE132" s="202"/>
      <c r="FCF132" s="202"/>
      <c r="FCG132" s="202"/>
      <c r="FCH132" s="202"/>
      <c r="FCI132" s="202"/>
      <c r="FCJ132" s="202"/>
      <c r="FCK132" s="202"/>
      <c r="FCL132" s="202"/>
      <c r="FCM132" s="202"/>
      <c r="FCN132" s="202"/>
      <c r="FCO132" s="202"/>
      <c r="FCP132" s="202"/>
      <c r="FCQ132" s="202"/>
      <c r="FCR132" s="202"/>
      <c r="FCS132" s="202"/>
      <c r="FCT132" s="202"/>
      <c r="FCU132" s="202"/>
      <c r="FCV132" s="202"/>
      <c r="FCW132" s="202"/>
      <c r="FCX132" s="202"/>
      <c r="FCY132" s="202"/>
      <c r="FCZ132" s="202"/>
      <c r="FDA132" s="202"/>
      <c r="FDB132" s="202"/>
      <c r="FDC132" s="202"/>
      <c r="FDD132" s="202"/>
      <c r="FDE132" s="202"/>
      <c r="FDF132" s="202"/>
      <c r="FDG132" s="202"/>
      <c r="FDH132" s="202"/>
      <c r="FDI132" s="202"/>
      <c r="FDJ132" s="202"/>
      <c r="FDK132" s="202"/>
      <c r="FDL132" s="202"/>
      <c r="FDM132" s="202"/>
      <c r="FDN132" s="202"/>
      <c r="FDO132" s="202"/>
      <c r="FDP132" s="202"/>
      <c r="FDQ132" s="202"/>
      <c r="FDR132" s="202"/>
      <c r="FDS132" s="202"/>
      <c r="FDT132" s="202"/>
      <c r="FDU132" s="202"/>
      <c r="FDV132" s="202"/>
      <c r="FDW132" s="202"/>
      <c r="FDX132" s="202"/>
      <c r="FDY132" s="202"/>
      <c r="FDZ132" s="202"/>
      <c r="FEA132" s="202"/>
      <c r="FEB132" s="202"/>
      <c r="FEC132" s="202"/>
      <c r="FED132" s="202"/>
      <c r="FEE132" s="202"/>
      <c r="FEF132" s="202"/>
      <c r="FEG132" s="202"/>
      <c r="FEH132" s="202"/>
      <c r="FEI132" s="202"/>
      <c r="FEJ132" s="202"/>
      <c r="FEK132" s="202"/>
      <c r="FEL132" s="202"/>
      <c r="FEM132" s="202"/>
      <c r="FEN132" s="202"/>
      <c r="FEO132" s="202"/>
      <c r="FEP132" s="202"/>
      <c r="FEQ132" s="202"/>
      <c r="FER132" s="202"/>
      <c r="FES132" s="202"/>
      <c r="FET132" s="202"/>
      <c r="FEU132" s="202"/>
      <c r="FEV132" s="202"/>
      <c r="FEW132" s="202"/>
      <c r="FEX132" s="202"/>
      <c r="FEY132" s="202"/>
      <c r="FEZ132" s="202"/>
      <c r="FFA132" s="202"/>
      <c r="FFB132" s="202"/>
      <c r="FFC132" s="202"/>
      <c r="FFD132" s="202"/>
      <c r="FFE132" s="202"/>
      <c r="FFF132" s="202"/>
      <c r="FFG132" s="202"/>
      <c r="FFH132" s="202"/>
      <c r="FFI132" s="202"/>
      <c r="FFJ132" s="202"/>
      <c r="FFK132" s="202"/>
      <c r="FFL132" s="202"/>
      <c r="FFM132" s="202"/>
      <c r="FFN132" s="202"/>
      <c r="FFO132" s="202"/>
      <c r="FFP132" s="202"/>
      <c r="FFQ132" s="202"/>
      <c r="FFR132" s="202"/>
      <c r="FFS132" s="202"/>
      <c r="FFT132" s="202"/>
      <c r="FFU132" s="202"/>
      <c r="FFV132" s="202"/>
      <c r="FFW132" s="202"/>
      <c r="FFX132" s="202"/>
      <c r="FFY132" s="202"/>
      <c r="FFZ132" s="202"/>
      <c r="FGA132" s="202"/>
      <c r="FGB132" s="202"/>
      <c r="FGC132" s="202"/>
      <c r="FGD132" s="202"/>
      <c r="FGE132" s="202"/>
      <c r="FGF132" s="202"/>
      <c r="FGG132" s="202"/>
      <c r="FGH132" s="202"/>
      <c r="FGI132" s="202"/>
      <c r="FGJ132" s="202"/>
      <c r="FGK132" s="202"/>
      <c r="FGL132" s="202"/>
      <c r="FGM132" s="202"/>
      <c r="FGN132" s="202"/>
      <c r="FGO132" s="202"/>
      <c r="FGP132" s="202"/>
      <c r="FGQ132" s="202"/>
      <c r="FGR132" s="202"/>
      <c r="FGS132" s="202"/>
      <c r="FGT132" s="202"/>
      <c r="FGU132" s="202"/>
      <c r="FGV132" s="202"/>
      <c r="FGW132" s="202"/>
      <c r="FGX132" s="202"/>
      <c r="FGY132" s="202"/>
      <c r="FGZ132" s="202"/>
      <c r="FHA132" s="202"/>
      <c r="FHB132" s="202"/>
      <c r="FHC132" s="202"/>
      <c r="FHD132" s="202"/>
      <c r="FHE132" s="202"/>
      <c r="FHF132" s="202"/>
      <c r="FHG132" s="202"/>
      <c r="FHH132" s="202"/>
      <c r="FHI132" s="202"/>
      <c r="FHJ132" s="202"/>
      <c r="FHK132" s="202"/>
      <c r="FHL132" s="202"/>
      <c r="FHM132" s="202"/>
      <c r="FHN132" s="202"/>
      <c r="FHO132" s="202"/>
      <c r="FHP132" s="202"/>
      <c r="FHQ132" s="202"/>
      <c r="FHR132" s="202"/>
      <c r="FHS132" s="202"/>
      <c r="FHT132" s="202"/>
      <c r="FHU132" s="202"/>
      <c r="FHV132" s="202"/>
      <c r="FHW132" s="202"/>
      <c r="FHX132" s="202"/>
      <c r="FHY132" s="202"/>
      <c r="FHZ132" s="202"/>
      <c r="FIA132" s="202"/>
      <c r="FIB132" s="202"/>
      <c r="FIC132" s="202"/>
      <c r="FID132" s="202"/>
      <c r="FIE132" s="202"/>
      <c r="FIF132" s="202"/>
      <c r="FIG132" s="202"/>
      <c r="FIH132" s="202"/>
      <c r="FII132" s="202"/>
      <c r="FIJ132" s="202"/>
      <c r="FIK132" s="202"/>
      <c r="FIL132" s="202"/>
      <c r="FIM132" s="202"/>
      <c r="FIN132" s="202"/>
      <c r="FIO132" s="202"/>
      <c r="FIP132" s="202"/>
      <c r="FIQ132" s="202"/>
      <c r="FIR132" s="202"/>
      <c r="FIS132" s="202"/>
      <c r="FIT132" s="202"/>
      <c r="FIU132" s="202"/>
      <c r="FIV132" s="202"/>
      <c r="FIW132" s="202"/>
      <c r="FIX132" s="202"/>
      <c r="FIY132" s="202"/>
      <c r="FIZ132" s="202"/>
      <c r="FJA132" s="202"/>
      <c r="FJB132" s="202"/>
      <c r="FJC132" s="202"/>
      <c r="FJD132" s="202"/>
      <c r="FJE132" s="202"/>
      <c r="FJF132" s="202"/>
      <c r="FJG132" s="202"/>
      <c r="FJH132" s="202"/>
      <c r="FJI132" s="202"/>
      <c r="FJJ132" s="202"/>
      <c r="FJK132" s="202"/>
      <c r="FJL132" s="202"/>
      <c r="FJM132" s="202"/>
      <c r="FJN132" s="202"/>
      <c r="FJO132" s="202"/>
      <c r="FJP132" s="202"/>
      <c r="FJQ132" s="202"/>
      <c r="FJR132" s="202"/>
      <c r="FJS132" s="202"/>
      <c r="FJT132" s="202"/>
      <c r="FJU132" s="202"/>
      <c r="FJV132" s="202"/>
      <c r="FJW132" s="202"/>
      <c r="FJX132" s="202"/>
      <c r="FJY132" s="202"/>
      <c r="FJZ132" s="202"/>
      <c r="FKA132" s="202"/>
      <c r="FKB132" s="202"/>
      <c r="FKC132" s="202"/>
      <c r="FKD132" s="202"/>
      <c r="FKE132" s="202"/>
      <c r="FKF132" s="202"/>
      <c r="FKG132" s="202"/>
      <c r="FKH132" s="202"/>
      <c r="FKI132" s="202"/>
      <c r="FKJ132" s="202"/>
      <c r="FKK132" s="202"/>
      <c r="FKL132" s="202"/>
      <c r="FKM132" s="202"/>
      <c r="FKN132" s="202"/>
      <c r="FKO132" s="202"/>
      <c r="FKP132" s="202"/>
      <c r="FKQ132" s="202"/>
      <c r="FKR132" s="202"/>
      <c r="FKS132" s="202"/>
      <c r="FKT132" s="202"/>
      <c r="FKU132" s="202"/>
      <c r="FKV132" s="202"/>
      <c r="FKW132" s="202"/>
      <c r="FKX132" s="202"/>
      <c r="FKY132" s="202"/>
      <c r="FKZ132" s="202"/>
      <c r="FLA132" s="202"/>
      <c r="FLB132" s="202"/>
      <c r="FLC132" s="202"/>
      <c r="FLD132" s="202"/>
      <c r="FLE132" s="202"/>
      <c r="FLF132" s="202"/>
      <c r="FLG132" s="202"/>
      <c r="FLH132" s="202"/>
      <c r="FLI132" s="202"/>
      <c r="FLJ132" s="202"/>
      <c r="FLK132" s="202"/>
      <c r="FLL132" s="202"/>
      <c r="FLM132" s="202"/>
      <c r="FLN132" s="202"/>
      <c r="FLO132" s="202"/>
      <c r="FLP132" s="202"/>
      <c r="FLQ132" s="202"/>
      <c r="FLR132" s="202"/>
      <c r="FLS132" s="202"/>
      <c r="FLT132" s="202"/>
      <c r="FLU132" s="202"/>
      <c r="FLV132" s="202"/>
      <c r="FLW132" s="202"/>
      <c r="FLX132" s="202"/>
      <c r="FLY132" s="202"/>
      <c r="FLZ132" s="202"/>
      <c r="FMA132" s="202"/>
      <c r="FMB132" s="202"/>
      <c r="FMC132" s="202"/>
      <c r="FMD132" s="202"/>
      <c r="FME132" s="202"/>
      <c r="FMF132" s="202"/>
      <c r="FMG132" s="202"/>
      <c r="FMH132" s="202"/>
      <c r="FMI132" s="202"/>
      <c r="FMJ132" s="202"/>
      <c r="FMK132" s="202"/>
      <c r="FML132" s="202"/>
      <c r="FMM132" s="202"/>
      <c r="FMN132" s="202"/>
      <c r="FMO132" s="202"/>
      <c r="FMP132" s="202"/>
      <c r="FMQ132" s="202"/>
      <c r="FMR132" s="202"/>
      <c r="FMS132" s="202"/>
      <c r="FMT132" s="202"/>
      <c r="FMU132" s="202"/>
      <c r="FMV132" s="202"/>
      <c r="FMW132" s="202"/>
      <c r="FMX132" s="202"/>
      <c r="FMY132" s="202"/>
      <c r="FMZ132" s="202"/>
      <c r="FNA132" s="202"/>
      <c r="FNB132" s="202"/>
      <c r="FNC132" s="202"/>
      <c r="FND132" s="202"/>
      <c r="FNE132" s="202"/>
      <c r="FNF132" s="202"/>
      <c r="FNG132" s="202"/>
      <c r="FNH132" s="202"/>
      <c r="FNI132" s="202"/>
      <c r="FNJ132" s="202"/>
      <c r="FNK132" s="202"/>
      <c r="FNL132" s="202"/>
      <c r="FNM132" s="202"/>
      <c r="FNN132" s="202"/>
      <c r="FNO132" s="202"/>
      <c r="FNP132" s="202"/>
      <c r="FNQ132" s="202"/>
      <c r="FNR132" s="202"/>
      <c r="FNS132" s="202"/>
      <c r="FNT132" s="202"/>
      <c r="FNU132" s="202"/>
      <c r="FNV132" s="202"/>
      <c r="FNW132" s="202"/>
      <c r="FNX132" s="202"/>
      <c r="FNY132" s="202"/>
      <c r="FNZ132" s="202"/>
      <c r="FOA132" s="202"/>
      <c r="FOB132" s="202"/>
      <c r="FOC132" s="202"/>
      <c r="FOD132" s="202"/>
      <c r="FOE132" s="202"/>
      <c r="FOF132" s="202"/>
      <c r="FOG132" s="202"/>
      <c r="FOH132" s="202"/>
      <c r="FOI132" s="202"/>
      <c r="FOJ132" s="202"/>
      <c r="FOK132" s="202"/>
      <c r="FOL132" s="202"/>
      <c r="FOM132" s="202"/>
      <c r="FON132" s="202"/>
      <c r="FOO132" s="202"/>
      <c r="FOP132" s="202"/>
      <c r="FOQ132" s="202"/>
      <c r="FOR132" s="202"/>
      <c r="FOS132" s="202"/>
      <c r="FOT132" s="202"/>
      <c r="FOU132" s="202"/>
      <c r="FOV132" s="202"/>
      <c r="FOW132" s="202"/>
      <c r="FOX132" s="202"/>
      <c r="FOY132" s="202"/>
      <c r="FOZ132" s="202"/>
      <c r="FPA132" s="202"/>
      <c r="FPB132" s="202"/>
      <c r="FPC132" s="202"/>
      <c r="FPD132" s="202"/>
      <c r="FPE132" s="202"/>
      <c r="FPF132" s="202"/>
      <c r="FPG132" s="202"/>
      <c r="FPH132" s="202"/>
      <c r="FPI132" s="202"/>
      <c r="FPJ132" s="202"/>
      <c r="FPK132" s="202"/>
      <c r="FPL132" s="202"/>
      <c r="FPM132" s="202"/>
      <c r="FPN132" s="202"/>
      <c r="FPO132" s="202"/>
      <c r="FPP132" s="202"/>
      <c r="FPQ132" s="202"/>
      <c r="FPR132" s="202"/>
      <c r="FPS132" s="202"/>
      <c r="FPT132" s="202"/>
      <c r="FPU132" s="202"/>
      <c r="FPV132" s="202"/>
      <c r="FPW132" s="202"/>
      <c r="FPX132" s="202"/>
      <c r="FPY132" s="202"/>
      <c r="FPZ132" s="202"/>
      <c r="FQA132" s="202"/>
      <c r="FQB132" s="202"/>
      <c r="FQC132" s="202"/>
      <c r="FQD132" s="202"/>
      <c r="FQE132" s="202"/>
      <c r="FQF132" s="202"/>
      <c r="FQG132" s="202"/>
      <c r="FQH132" s="202"/>
      <c r="FQI132" s="202"/>
      <c r="FQJ132" s="202"/>
      <c r="FQK132" s="202"/>
      <c r="FQL132" s="202"/>
      <c r="FQM132" s="202"/>
      <c r="FQN132" s="202"/>
      <c r="FQO132" s="202"/>
      <c r="FQP132" s="202"/>
      <c r="FQQ132" s="202"/>
      <c r="FQR132" s="202"/>
      <c r="FQS132" s="202"/>
      <c r="FQT132" s="202"/>
      <c r="FQU132" s="202"/>
      <c r="FQV132" s="202"/>
      <c r="FQW132" s="202"/>
      <c r="FQX132" s="202"/>
      <c r="FQY132" s="202"/>
      <c r="FQZ132" s="202"/>
      <c r="FRA132" s="202"/>
      <c r="FRB132" s="202"/>
      <c r="FRC132" s="202"/>
      <c r="FRD132" s="202"/>
      <c r="FRE132" s="202"/>
      <c r="FRF132" s="202"/>
      <c r="FRG132" s="202"/>
      <c r="FRH132" s="202"/>
      <c r="FRI132" s="202"/>
      <c r="FRJ132" s="202"/>
      <c r="FRK132" s="202"/>
      <c r="FRL132" s="202"/>
      <c r="FRM132" s="202"/>
      <c r="FRN132" s="202"/>
      <c r="FRO132" s="202"/>
      <c r="FRP132" s="202"/>
      <c r="FRQ132" s="202"/>
      <c r="FRR132" s="202"/>
      <c r="FRS132" s="202"/>
      <c r="FRT132" s="202"/>
      <c r="FRU132" s="202"/>
      <c r="FRV132" s="202"/>
      <c r="FRW132" s="202"/>
      <c r="FRX132" s="202"/>
      <c r="FRY132" s="202"/>
      <c r="FRZ132" s="202"/>
      <c r="FSA132" s="202"/>
      <c r="FSB132" s="202"/>
      <c r="FSC132" s="202"/>
      <c r="FSD132" s="202"/>
      <c r="FSE132" s="202"/>
      <c r="FSF132" s="202"/>
      <c r="FSG132" s="202"/>
      <c r="FSH132" s="202"/>
      <c r="FSI132" s="202"/>
      <c r="FSJ132" s="202"/>
      <c r="FSK132" s="202"/>
      <c r="FSL132" s="202"/>
      <c r="FSM132" s="202"/>
      <c r="FSN132" s="202"/>
      <c r="FSO132" s="202"/>
      <c r="FSP132" s="202"/>
      <c r="FSQ132" s="202"/>
      <c r="FSR132" s="202"/>
      <c r="FSS132" s="202"/>
      <c r="FST132" s="202"/>
      <c r="FSU132" s="202"/>
      <c r="FSV132" s="202"/>
      <c r="FSW132" s="202"/>
      <c r="FSX132" s="202"/>
      <c r="FSY132" s="202"/>
      <c r="FSZ132" s="202"/>
      <c r="FTA132" s="202"/>
      <c r="FTB132" s="202"/>
      <c r="FTC132" s="202"/>
      <c r="FTD132" s="202"/>
      <c r="FTE132" s="202"/>
      <c r="FTF132" s="202"/>
      <c r="FTG132" s="202"/>
      <c r="FTH132" s="202"/>
      <c r="FTI132" s="202"/>
      <c r="FTJ132" s="202"/>
      <c r="FTK132" s="202"/>
      <c r="FTL132" s="202"/>
      <c r="FTM132" s="202"/>
      <c r="FTN132" s="202"/>
      <c r="FTO132" s="202"/>
      <c r="FTP132" s="202"/>
      <c r="FTQ132" s="202"/>
      <c r="FTR132" s="202"/>
      <c r="FTS132" s="202"/>
      <c r="FTT132" s="202"/>
      <c r="FTU132" s="202"/>
      <c r="FTV132" s="202"/>
      <c r="FTW132" s="202"/>
      <c r="FTX132" s="202"/>
      <c r="FTY132" s="202"/>
      <c r="FTZ132" s="202"/>
      <c r="FUA132" s="202"/>
      <c r="FUB132" s="202"/>
      <c r="FUC132" s="202"/>
      <c r="FUD132" s="202"/>
      <c r="FUE132" s="202"/>
      <c r="FUF132" s="202"/>
      <c r="FUG132" s="202"/>
      <c r="FUH132" s="202"/>
      <c r="FUI132" s="202"/>
      <c r="FUJ132" s="202"/>
      <c r="FUK132" s="202"/>
      <c r="FUL132" s="202"/>
      <c r="FUM132" s="202"/>
      <c r="FUN132" s="202"/>
      <c r="FUO132" s="202"/>
      <c r="FUP132" s="202"/>
      <c r="FUQ132" s="202"/>
      <c r="FUR132" s="202"/>
      <c r="FUS132" s="202"/>
      <c r="FUT132" s="202"/>
      <c r="FUU132" s="202"/>
      <c r="FUV132" s="202"/>
      <c r="FUW132" s="202"/>
      <c r="FUX132" s="202"/>
      <c r="FUY132" s="202"/>
      <c r="FUZ132" s="202"/>
      <c r="FVA132" s="202"/>
      <c r="FVB132" s="202"/>
      <c r="FVC132" s="202"/>
      <c r="FVD132" s="202"/>
      <c r="FVE132" s="202"/>
      <c r="FVF132" s="202"/>
      <c r="FVG132" s="202"/>
      <c r="FVH132" s="202"/>
      <c r="FVI132" s="202"/>
      <c r="FVJ132" s="202"/>
      <c r="FVK132" s="202"/>
      <c r="FVL132" s="202"/>
      <c r="FVM132" s="202"/>
      <c r="FVN132" s="202"/>
      <c r="FVO132" s="202"/>
      <c r="FVP132" s="202"/>
      <c r="FVQ132" s="202"/>
      <c r="FVR132" s="202"/>
      <c r="FVS132" s="202"/>
      <c r="FVT132" s="202"/>
      <c r="FVU132" s="202"/>
      <c r="FVV132" s="202"/>
      <c r="FVW132" s="202"/>
      <c r="FVX132" s="202"/>
      <c r="FVY132" s="202"/>
      <c r="FVZ132" s="202"/>
      <c r="FWA132" s="202"/>
      <c r="FWB132" s="202"/>
      <c r="FWC132" s="202"/>
      <c r="FWD132" s="202"/>
      <c r="FWE132" s="202"/>
      <c r="FWF132" s="202"/>
      <c r="FWG132" s="202"/>
      <c r="FWH132" s="202"/>
      <c r="FWI132" s="202"/>
      <c r="FWJ132" s="202"/>
      <c r="FWK132" s="202"/>
      <c r="FWL132" s="202"/>
      <c r="FWM132" s="202"/>
      <c r="FWN132" s="202"/>
      <c r="FWO132" s="202"/>
      <c r="FWP132" s="202"/>
      <c r="FWQ132" s="202"/>
      <c r="FWR132" s="202"/>
      <c r="FWS132" s="202"/>
      <c r="FWT132" s="202"/>
      <c r="FWU132" s="202"/>
      <c r="FWV132" s="202"/>
      <c r="FWW132" s="202"/>
      <c r="FWX132" s="202"/>
      <c r="FWY132" s="202"/>
      <c r="FWZ132" s="202"/>
      <c r="FXA132" s="202"/>
      <c r="FXB132" s="202"/>
      <c r="FXC132" s="202"/>
      <c r="FXD132" s="202"/>
      <c r="FXE132" s="202"/>
      <c r="FXF132" s="202"/>
      <c r="FXG132" s="202"/>
      <c r="FXH132" s="202"/>
      <c r="FXI132" s="202"/>
      <c r="FXJ132" s="202"/>
      <c r="FXK132" s="202"/>
      <c r="FXL132" s="202"/>
      <c r="FXM132" s="202"/>
      <c r="FXN132" s="202"/>
      <c r="FXO132" s="202"/>
      <c r="FXP132" s="202"/>
      <c r="FXQ132" s="202"/>
      <c r="FXR132" s="202"/>
      <c r="FXS132" s="202"/>
      <c r="FXT132" s="202"/>
      <c r="FXU132" s="202"/>
      <c r="FXV132" s="202"/>
      <c r="FXW132" s="202"/>
      <c r="FXX132" s="202"/>
      <c r="FXY132" s="202"/>
      <c r="FXZ132" s="202"/>
      <c r="FYA132" s="202"/>
      <c r="FYB132" s="202"/>
      <c r="FYC132" s="202"/>
      <c r="FYD132" s="202"/>
      <c r="FYE132" s="202"/>
      <c r="FYF132" s="202"/>
      <c r="FYG132" s="202"/>
      <c r="FYH132" s="202"/>
      <c r="FYI132" s="202"/>
      <c r="FYJ132" s="202"/>
      <c r="FYK132" s="202"/>
      <c r="FYL132" s="202"/>
      <c r="FYM132" s="202"/>
      <c r="FYN132" s="202"/>
      <c r="FYO132" s="202"/>
      <c r="FYP132" s="202"/>
      <c r="FYQ132" s="202"/>
      <c r="FYR132" s="202"/>
      <c r="FYS132" s="202"/>
      <c r="FYT132" s="202"/>
      <c r="FYU132" s="202"/>
      <c r="FYV132" s="202"/>
      <c r="FYW132" s="202"/>
      <c r="FYX132" s="202"/>
      <c r="FYY132" s="202"/>
      <c r="FYZ132" s="202"/>
      <c r="FZA132" s="202"/>
      <c r="FZB132" s="202"/>
      <c r="FZC132" s="202"/>
      <c r="FZD132" s="202"/>
      <c r="FZE132" s="202"/>
      <c r="FZF132" s="202"/>
      <c r="FZG132" s="202"/>
      <c r="FZH132" s="202"/>
      <c r="FZI132" s="202"/>
      <c r="FZJ132" s="202"/>
      <c r="FZK132" s="202"/>
      <c r="FZL132" s="202"/>
      <c r="FZM132" s="202"/>
      <c r="FZN132" s="202"/>
      <c r="FZO132" s="202"/>
      <c r="FZP132" s="202"/>
      <c r="FZQ132" s="202"/>
      <c r="FZR132" s="202"/>
      <c r="FZS132" s="202"/>
      <c r="FZT132" s="202"/>
      <c r="FZU132" s="202"/>
      <c r="FZV132" s="202"/>
      <c r="FZW132" s="202"/>
      <c r="FZX132" s="202"/>
      <c r="FZY132" s="202"/>
      <c r="FZZ132" s="202"/>
      <c r="GAA132" s="202"/>
      <c r="GAB132" s="202"/>
      <c r="GAC132" s="202"/>
      <c r="GAD132" s="202"/>
      <c r="GAE132" s="202"/>
      <c r="GAF132" s="202"/>
      <c r="GAG132" s="202"/>
      <c r="GAH132" s="202"/>
      <c r="GAI132" s="202"/>
      <c r="GAJ132" s="202"/>
      <c r="GAK132" s="202"/>
      <c r="GAL132" s="202"/>
      <c r="GAM132" s="202"/>
      <c r="GAN132" s="202"/>
      <c r="GAO132" s="202"/>
      <c r="GAP132" s="202"/>
      <c r="GAQ132" s="202"/>
      <c r="GAR132" s="202"/>
      <c r="GAS132" s="202"/>
      <c r="GAT132" s="202"/>
      <c r="GAU132" s="202"/>
      <c r="GAV132" s="202"/>
      <c r="GAW132" s="202"/>
      <c r="GAX132" s="202"/>
      <c r="GAY132" s="202"/>
      <c r="GAZ132" s="202"/>
      <c r="GBA132" s="202"/>
      <c r="GBB132" s="202"/>
      <c r="GBC132" s="202"/>
      <c r="GBD132" s="202"/>
      <c r="GBE132" s="202"/>
      <c r="GBF132" s="202"/>
      <c r="GBG132" s="202"/>
      <c r="GBH132" s="202"/>
      <c r="GBI132" s="202"/>
      <c r="GBJ132" s="202"/>
      <c r="GBK132" s="202"/>
      <c r="GBL132" s="202"/>
      <c r="GBM132" s="202"/>
      <c r="GBN132" s="202"/>
      <c r="GBO132" s="202"/>
      <c r="GBP132" s="202"/>
      <c r="GBQ132" s="202"/>
      <c r="GBR132" s="202"/>
      <c r="GBS132" s="202"/>
      <c r="GBT132" s="202"/>
      <c r="GBU132" s="202"/>
      <c r="GBV132" s="202"/>
      <c r="GBW132" s="202"/>
      <c r="GBX132" s="202"/>
      <c r="GBY132" s="202"/>
      <c r="GBZ132" s="202"/>
      <c r="GCA132" s="202"/>
      <c r="GCB132" s="202"/>
      <c r="GCC132" s="202"/>
      <c r="GCD132" s="202"/>
      <c r="GCE132" s="202"/>
      <c r="GCF132" s="202"/>
      <c r="GCG132" s="202"/>
      <c r="GCH132" s="202"/>
      <c r="GCI132" s="202"/>
      <c r="GCJ132" s="202"/>
      <c r="GCK132" s="202"/>
      <c r="GCL132" s="202"/>
      <c r="GCM132" s="202"/>
      <c r="GCN132" s="202"/>
      <c r="GCO132" s="202"/>
      <c r="GCP132" s="202"/>
      <c r="GCQ132" s="202"/>
      <c r="GCR132" s="202"/>
      <c r="GCS132" s="202"/>
      <c r="GCT132" s="202"/>
      <c r="GCU132" s="202"/>
      <c r="GCV132" s="202"/>
      <c r="GCW132" s="202"/>
      <c r="GCX132" s="202"/>
      <c r="GCY132" s="202"/>
      <c r="GCZ132" s="202"/>
      <c r="GDA132" s="202"/>
      <c r="GDB132" s="202"/>
      <c r="GDC132" s="202"/>
      <c r="GDD132" s="202"/>
      <c r="GDE132" s="202"/>
      <c r="GDF132" s="202"/>
      <c r="GDG132" s="202"/>
      <c r="GDH132" s="202"/>
      <c r="GDI132" s="202"/>
      <c r="GDJ132" s="202"/>
      <c r="GDK132" s="202"/>
      <c r="GDL132" s="202"/>
      <c r="GDM132" s="202"/>
      <c r="GDN132" s="202"/>
      <c r="GDO132" s="202"/>
      <c r="GDP132" s="202"/>
      <c r="GDQ132" s="202"/>
      <c r="GDR132" s="202"/>
      <c r="GDS132" s="202"/>
      <c r="GDT132" s="202"/>
      <c r="GDU132" s="202"/>
      <c r="GDV132" s="202"/>
      <c r="GDW132" s="202"/>
      <c r="GDX132" s="202"/>
      <c r="GDY132" s="202"/>
      <c r="GDZ132" s="202"/>
      <c r="GEA132" s="202"/>
      <c r="GEB132" s="202"/>
      <c r="GEC132" s="202"/>
      <c r="GED132" s="202"/>
      <c r="GEE132" s="202"/>
      <c r="GEF132" s="202"/>
      <c r="GEG132" s="202"/>
      <c r="GEH132" s="202"/>
      <c r="GEI132" s="202"/>
      <c r="GEJ132" s="202"/>
      <c r="GEK132" s="202"/>
      <c r="GEL132" s="202"/>
      <c r="GEM132" s="202"/>
      <c r="GEN132" s="202"/>
      <c r="GEO132" s="202"/>
      <c r="GEP132" s="202"/>
      <c r="GEQ132" s="202"/>
      <c r="GER132" s="202"/>
      <c r="GES132" s="202"/>
      <c r="GET132" s="202"/>
      <c r="GEU132" s="202"/>
      <c r="GEV132" s="202"/>
      <c r="GEW132" s="202"/>
      <c r="GEX132" s="202"/>
      <c r="GEY132" s="202"/>
      <c r="GEZ132" s="202"/>
      <c r="GFA132" s="202"/>
      <c r="GFB132" s="202"/>
      <c r="GFC132" s="202"/>
      <c r="GFD132" s="202"/>
      <c r="GFE132" s="202"/>
      <c r="GFF132" s="202"/>
      <c r="GFG132" s="202"/>
      <c r="GFH132" s="202"/>
      <c r="GFI132" s="202"/>
      <c r="GFJ132" s="202"/>
      <c r="GFK132" s="202"/>
      <c r="GFL132" s="202"/>
      <c r="GFM132" s="202"/>
      <c r="GFN132" s="202"/>
      <c r="GFO132" s="202"/>
      <c r="GFP132" s="202"/>
      <c r="GFQ132" s="202"/>
      <c r="GFR132" s="202"/>
      <c r="GFS132" s="202"/>
      <c r="GFT132" s="202"/>
      <c r="GFU132" s="202"/>
      <c r="GFV132" s="202"/>
      <c r="GFW132" s="202"/>
      <c r="GFX132" s="202"/>
      <c r="GFY132" s="202"/>
      <c r="GFZ132" s="202"/>
      <c r="GGA132" s="202"/>
      <c r="GGB132" s="202"/>
      <c r="GGC132" s="202"/>
      <c r="GGD132" s="202"/>
      <c r="GGE132" s="202"/>
      <c r="GGF132" s="202"/>
      <c r="GGG132" s="202"/>
      <c r="GGH132" s="202"/>
      <c r="GGI132" s="202"/>
      <c r="GGJ132" s="202"/>
      <c r="GGK132" s="202"/>
      <c r="GGL132" s="202"/>
      <c r="GGM132" s="202"/>
      <c r="GGN132" s="202"/>
      <c r="GGO132" s="202"/>
      <c r="GGP132" s="202"/>
      <c r="GGQ132" s="202"/>
      <c r="GGR132" s="202"/>
      <c r="GGS132" s="202"/>
      <c r="GGT132" s="202"/>
      <c r="GGU132" s="202"/>
      <c r="GGV132" s="202"/>
      <c r="GGW132" s="202"/>
      <c r="GGX132" s="202"/>
      <c r="GGY132" s="202"/>
      <c r="GGZ132" s="202"/>
      <c r="GHA132" s="202"/>
      <c r="GHB132" s="202"/>
      <c r="GHC132" s="202"/>
      <c r="GHD132" s="202"/>
      <c r="GHE132" s="202"/>
      <c r="GHF132" s="202"/>
      <c r="GHG132" s="202"/>
      <c r="GHH132" s="202"/>
      <c r="GHI132" s="202"/>
      <c r="GHJ132" s="202"/>
      <c r="GHK132" s="202"/>
      <c r="GHL132" s="202"/>
      <c r="GHM132" s="202"/>
      <c r="GHN132" s="202"/>
      <c r="GHO132" s="202"/>
      <c r="GHP132" s="202"/>
      <c r="GHQ132" s="202"/>
      <c r="GHR132" s="202"/>
      <c r="GHS132" s="202"/>
      <c r="GHT132" s="202"/>
      <c r="GHU132" s="202"/>
      <c r="GHV132" s="202"/>
      <c r="GHW132" s="202"/>
      <c r="GHX132" s="202"/>
      <c r="GHY132" s="202"/>
      <c r="GHZ132" s="202"/>
      <c r="GIA132" s="202"/>
      <c r="GIB132" s="202"/>
      <c r="GIC132" s="202"/>
      <c r="GID132" s="202"/>
      <c r="GIE132" s="202"/>
      <c r="GIF132" s="202"/>
      <c r="GIG132" s="202"/>
      <c r="GIH132" s="202"/>
      <c r="GII132" s="202"/>
      <c r="GIJ132" s="202"/>
      <c r="GIK132" s="202"/>
      <c r="GIL132" s="202"/>
      <c r="GIM132" s="202"/>
      <c r="GIN132" s="202"/>
      <c r="GIO132" s="202"/>
      <c r="GIP132" s="202"/>
      <c r="GIQ132" s="202"/>
      <c r="GIR132" s="202"/>
      <c r="GIS132" s="202"/>
      <c r="GIT132" s="202"/>
      <c r="GIU132" s="202"/>
      <c r="GIV132" s="202"/>
      <c r="GIW132" s="202"/>
      <c r="GIX132" s="202"/>
      <c r="GIY132" s="202"/>
      <c r="GIZ132" s="202"/>
      <c r="GJA132" s="202"/>
      <c r="GJB132" s="202"/>
      <c r="GJC132" s="202"/>
      <c r="GJD132" s="202"/>
      <c r="GJE132" s="202"/>
      <c r="GJF132" s="202"/>
      <c r="GJG132" s="202"/>
      <c r="GJH132" s="202"/>
      <c r="GJI132" s="202"/>
      <c r="GJJ132" s="202"/>
      <c r="GJK132" s="202"/>
      <c r="GJL132" s="202"/>
      <c r="GJM132" s="202"/>
      <c r="GJN132" s="202"/>
      <c r="GJO132" s="202"/>
      <c r="GJP132" s="202"/>
      <c r="GJQ132" s="202"/>
      <c r="GJR132" s="202"/>
      <c r="GJS132" s="202"/>
      <c r="GJT132" s="202"/>
      <c r="GJU132" s="202"/>
      <c r="GJV132" s="202"/>
      <c r="GJW132" s="202"/>
      <c r="GJX132" s="202"/>
      <c r="GJY132" s="202"/>
      <c r="GJZ132" s="202"/>
      <c r="GKA132" s="202"/>
      <c r="GKB132" s="202"/>
      <c r="GKC132" s="202"/>
      <c r="GKD132" s="202"/>
      <c r="GKE132" s="202"/>
      <c r="GKF132" s="202"/>
      <c r="GKG132" s="202"/>
      <c r="GKH132" s="202"/>
      <c r="GKI132" s="202"/>
      <c r="GKJ132" s="202"/>
      <c r="GKK132" s="202"/>
      <c r="GKL132" s="202"/>
      <c r="GKM132" s="202"/>
      <c r="GKN132" s="202"/>
      <c r="GKO132" s="202"/>
      <c r="GKP132" s="202"/>
      <c r="GKQ132" s="202"/>
      <c r="GKR132" s="202"/>
      <c r="GKS132" s="202"/>
      <c r="GKT132" s="202"/>
      <c r="GKU132" s="202"/>
      <c r="GKV132" s="202"/>
      <c r="GKW132" s="202"/>
      <c r="GKX132" s="202"/>
      <c r="GKY132" s="202"/>
      <c r="GKZ132" s="202"/>
      <c r="GLA132" s="202"/>
      <c r="GLB132" s="202"/>
      <c r="GLC132" s="202"/>
      <c r="GLD132" s="202"/>
      <c r="GLE132" s="202"/>
      <c r="GLF132" s="202"/>
      <c r="GLG132" s="202"/>
      <c r="GLH132" s="202"/>
      <c r="GLI132" s="202"/>
      <c r="GLJ132" s="202"/>
      <c r="GLK132" s="202"/>
      <c r="GLL132" s="202"/>
      <c r="GLM132" s="202"/>
      <c r="GLN132" s="202"/>
      <c r="GLO132" s="202"/>
      <c r="GLP132" s="202"/>
      <c r="GLQ132" s="202"/>
      <c r="GLR132" s="202"/>
      <c r="GLS132" s="202"/>
      <c r="GLT132" s="202"/>
      <c r="GLU132" s="202"/>
      <c r="GLV132" s="202"/>
      <c r="GLW132" s="202"/>
      <c r="GLX132" s="202"/>
      <c r="GLY132" s="202"/>
      <c r="GLZ132" s="202"/>
      <c r="GMA132" s="202"/>
      <c r="GMB132" s="202"/>
      <c r="GMC132" s="202"/>
      <c r="GMD132" s="202"/>
      <c r="GME132" s="202"/>
      <c r="GMF132" s="202"/>
      <c r="GMG132" s="202"/>
      <c r="GMH132" s="202"/>
      <c r="GMI132" s="202"/>
      <c r="GMJ132" s="202"/>
      <c r="GMK132" s="202"/>
      <c r="GML132" s="202"/>
      <c r="GMM132" s="202"/>
      <c r="GMN132" s="202"/>
      <c r="GMO132" s="202"/>
      <c r="GMP132" s="202"/>
      <c r="GMQ132" s="202"/>
      <c r="GMR132" s="202"/>
      <c r="GMS132" s="202"/>
      <c r="GMT132" s="202"/>
      <c r="GMU132" s="202"/>
      <c r="GMV132" s="202"/>
      <c r="GMW132" s="202"/>
      <c r="GMX132" s="202"/>
      <c r="GMY132" s="202"/>
      <c r="GMZ132" s="202"/>
      <c r="GNA132" s="202"/>
      <c r="GNB132" s="202"/>
      <c r="GNC132" s="202"/>
      <c r="GND132" s="202"/>
      <c r="GNE132" s="202"/>
      <c r="GNF132" s="202"/>
      <c r="GNG132" s="202"/>
      <c r="GNH132" s="202"/>
      <c r="GNI132" s="202"/>
      <c r="GNJ132" s="202"/>
      <c r="GNK132" s="202"/>
      <c r="GNL132" s="202"/>
      <c r="GNM132" s="202"/>
      <c r="GNN132" s="202"/>
      <c r="GNO132" s="202"/>
      <c r="GNP132" s="202"/>
      <c r="GNQ132" s="202"/>
      <c r="GNR132" s="202"/>
      <c r="GNS132" s="202"/>
      <c r="GNT132" s="202"/>
      <c r="GNU132" s="202"/>
      <c r="GNV132" s="202"/>
      <c r="GNW132" s="202"/>
      <c r="GNX132" s="202"/>
      <c r="GNY132" s="202"/>
      <c r="GNZ132" s="202"/>
      <c r="GOA132" s="202"/>
      <c r="GOB132" s="202"/>
      <c r="GOC132" s="202"/>
      <c r="GOD132" s="202"/>
      <c r="GOE132" s="202"/>
      <c r="GOF132" s="202"/>
      <c r="GOG132" s="202"/>
      <c r="GOH132" s="202"/>
      <c r="GOI132" s="202"/>
      <c r="GOJ132" s="202"/>
      <c r="GOK132" s="202"/>
      <c r="GOL132" s="202"/>
      <c r="GOM132" s="202"/>
      <c r="GON132" s="202"/>
      <c r="GOO132" s="202"/>
      <c r="GOP132" s="202"/>
      <c r="GOQ132" s="202"/>
      <c r="GOR132" s="202"/>
      <c r="GOS132" s="202"/>
      <c r="GOT132" s="202"/>
      <c r="GOU132" s="202"/>
      <c r="GOV132" s="202"/>
      <c r="GOW132" s="202"/>
      <c r="GOX132" s="202"/>
      <c r="GOY132" s="202"/>
      <c r="GOZ132" s="202"/>
      <c r="GPA132" s="202"/>
      <c r="GPB132" s="202"/>
      <c r="GPC132" s="202"/>
      <c r="GPD132" s="202"/>
      <c r="GPE132" s="202"/>
      <c r="GPF132" s="202"/>
      <c r="GPG132" s="202"/>
      <c r="GPH132" s="202"/>
      <c r="GPI132" s="202"/>
      <c r="GPJ132" s="202"/>
      <c r="GPK132" s="202"/>
      <c r="GPL132" s="202"/>
      <c r="GPM132" s="202"/>
      <c r="GPN132" s="202"/>
      <c r="GPO132" s="202"/>
      <c r="GPP132" s="202"/>
      <c r="GPQ132" s="202"/>
      <c r="GPR132" s="202"/>
      <c r="GPS132" s="202"/>
      <c r="GPT132" s="202"/>
      <c r="GPU132" s="202"/>
      <c r="GPV132" s="202"/>
      <c r="GPW132" s="202"/>
      <c r="GPX132" s="202"/>
      <c r="GPY132" s="202"/>
      <c r="GPZ132" s="202"/>
      <c r="GQA132" s="202"/>
      <c r="GQB132" s="202"/>
      <c r="GQC132" s="202"/>
      <c r="GQD132" s="202"/>
      <c r="GQE132" s="202"/>
      <c r="GQF132" s="202"/>
      <c r="GQG132" s="202"/>
      <c r="GQH132" s="202"/>
      <c r="GQI132" s="202"/>
      <c r="GQJ132" s="202"/>
      <c r="GQK132" s="202"/>
      <c r="GQL132" s="202"/>
      <c r="GQM132" s="202"/>
      <c r="GQN132" s="202"/>
      <c r="GQO132" s="202"/>
      <c r="GQP132" s="202"/>
      <c r="GQQ132" s="202"/>
      <c r="GQR132" s="202"/>
      <c r="GQS132" s="202"/>
      <c r="GQT132" s="202"/>
      <c r="GQU132" s="202"/>
      <c r="GQV132" s="202"/>
      <c r="GQW132" s="202"/>
      <c r="GQX132" s="202"/>
      <c r="GQY132" s="202"/>
      <c r="GQZ132" s="202"/>
      <c r="GRA132" s="202"/>
      <c r="GRB132" s="202"/>
      <c r="GRC132" s="202"/>
      <c r="GRD132" s="202"/>
      <c r="GRE132" s="202"/>
      <c r="GRF132" s="202"/>
      <c r="GRG132" s="202"/>
      <c r="GRH132" s="202"/>
      <c r="GRI132" s="202"/>
      <c r="GRJ132" s="202"/>
      <c r="GRK132" s="202"/>
      <c r="GRL132" s="202"/>
      <c r="GRM132" s="202"/>
      <c r="GRN132" s="202"/>
      <c r="GRO132" s="202"/>
      <c r="GRP132" s="202"/>
      <c r="GRQ132" s="202"/>
      <c r="GRR132" s="202"/>
      <c r="GRS132" s="202"/>
      <c r="GRT132" s="202"/>
      <c r="GRU132" s="202"/>
      <c r="GRV132" s="202"/>
      <c r="GRW132" s="202"/>
      <c r="GRX132" s="202"/>
      <c r="GRY132" s="202"/>
      <c r="GRZ132" s="202"/>
      <c r="GSA132" s="202"/>
      <c r="GSB132" s="202"/>
      <c r="GSC132" s="202"/>
      <c r="GSD132" s="202"/>
      <c r="GSE132" s="202"/>
      <c r="GSF132" s="202"/>
      <c r="GSG132" s="202"/>
      <c r="GSH132" s="202"/>
      <c r="GSI132" s="202"/>
      <c r="GSJ132" s="202"/>
      <c r="GSK132" s="202"/>
      <c r="GSL132" s="202"/>
      <c r="GSM132" s="202"/>
      <c r="GSN132" s="202"/>
      <c r="GSO132" s="202"/>
      <c r="GSP132" s="202"/>
      <c r="GSQ132" s="202"/>
      <c r="GSR132" s="202"/>
      <c r="GSS132" s="202"/>
      <c r="GST132" s="202"/>
      <c r="GSU132" s="202"/>
      <c r="GSV132" s="202"/>
      <c r="GSW132" s="202"/>
      <c r="GSX132" s="202"/>
      <c r="GSY132" s="202"/>
      <c r="GSZ132" s="202"/>
      <c r="GTA132" s="202"/>
      <c r="GTB132" s="202"/>
      <c r="GTC132" s="202"/>
      <c r="GTD132" s="202"/>
      <c r="GTE132" s="202"/>
      <c r="GTF132" s="202"/>
      <c r="GTG132" s="202"/>
      <c r="GTH132" s="202"/>
      <c r="GTI132" s="202"/>
      <c r="GTJ132" s="202"/>
      <c r="GTK132" s="202"/>
      <c r="GTL132" s="202"/>
      <c r="GTM132" s="202"/>
      <c r="GTN132" s="202"/>
      <c r="GTO132" s="202"/>
      <c r="GTP132" s="202"/>
      <c r="GTQ132" s="202"/>
      <c r="GTR132" s="202"/>
      <c r="GTS132" s="202"/>
      <c r="GTT132" s="202"/>
      <c r="GTU132" s="202"/>
      <c r="GTV132" s="202"/>
      <c r="GTW132" s="202"/>
      <c r="GTX132" s="202"/>
      <c r="GTY132" s="202"/>
      <c r="GTZ132" s="202"/>
      <c r="GUA132" s="202"/>
      <c r="GUB132" s="202"/>
      <c r="GUC132" s="202"/>
      <c r="GUD132" s="202"/>
      <c r="GUE132" s="202"/>
      <c r="GUF132" s="202"/>
      <c r="GUG132" s="202"/>
      <c r="GUH132" s="202"/>
      <c r="GUI132" s="202"/>
      <c r="GUJ132" s="202"/>
      <c r="GUK132" s="202"/>
      <c r="GUL132" s="202"/>
      <c r="GUM132" s="202"/>
      <c r="GUN132" s="202"/>
      <c r="GUO132" s="202"/>
      <c r="GUP132" s="202"/>
      <c r="GUQ132" s="202"/>
      <c r="GUR132" s="202"/>
      <c r="GUS132" s="202"/>
      <c r="GUT132" s="202"/>
      <c r="GUU132" s="202"/>
      <c r="GUV132" s="202"/>
      <c r="GUW132" s="202"/>
      <c r="GUX132" s="202"/>
      <c r="GUY132" s="202"/>
      <c r="GUZ132" s="202"/>
      <c r="GVA132" s="202"/>
      <c r="GVB132" s="202"/>
      <c r="GVC132" s="202"/>
      <c r="GVD132" s="202"/>
      <c r="GVE132" s="202"/>
      <c r="GVF132" s="202"/>
      <c r="GVG132" s="202"/>
      <c r="GVH132" s="202"/>
      <c r="GVI132" s="202"/>
      <c r="GVJ132" s="202"/>
      <c r="GVK132" s="202"/>
      <c r="GVL132" s="202"/>
      <c r="GVM132" s="202"/>
      <c r="GVN132" s="202"/>
      <c r="GVO132" s="202"/>
      <c r="GVP132" s="202"/>
      <c r="GVQ132" s="202"/>
      <c r="GVR132" s="202"/>
      <c r="GVS132" s="202"/>
      <c r="GVT132" s="202"/>
      <c r="GVU132" s="202"/>
      <c r="GVV132" s="202"/>
      <c r="GVW132" s="202"/>
      <c r="GVX132" s="202"/>
      <c r="GVY132" s="202"/>
      <c r="GVZ132" s="202"/>
      <c r="GWA132" s="202"/>
      <c r="GWB132" s="202"/>
      <c r="GWC132" s="202"/>
      <c r="GWD132" s="202"/>
      <c r="GWE132" s="202"/>
      <c r="GWF132" s="202"/>
      <c r="GWG132" s="202"/>
      <c r="GWH132" s="202"/>
      <c r="GWI132" s="202"/>
      <c r="GWJ132" s="202"/>
      <c r="GWK132" s="202"/>
      <c r="GWL132" s="202"/>
      <c r="GWM132" s="202"/>
      <c r="GWN132" s="202"/>
      <c r="GWO132" s="202"/>
      <c r="GWP132" s="202"/>
      <c r="GWQ132" s="202"/>
      <c r="GWR132" s="202"/>
      <c r="GWS132" s="202"/>
      <c r="GWT132" s="202"/>
      <c r="GWU132" s="202"/>
      <c r="GWV132" s="202"/>
      <c r="GWW132" s="202"/>
      <c r="GWX132" s="202"/>
      <c r="GWY132" s="202"/>
      <c r="GWZ132" s="202"/>
      <c r="GXA132" s="202"/>
      <c r="GXB132" s="202"/>
      <c r="GXC132" s="202"/>
      <c r="GXD132" s="202"/>
      <c r="GXE132" s="202"/>
      <c r="GXF132" s="202"/>
      <c r="GXG132" s="202"/>
      <c r="GXH132" s="202"/>
      <c r="GXI132" s="202"/>
      <c r="GXJ132" s="202"/>
      <c r="GXK132" s="202"/>
      <c r="GXL132" s="202"/>
      <c r="GXM132" s="202"/>
      <c r="GXN132" s="202"/>
      <c r="GXO132" s="202"/>
      <c r="GXP132" s="202"/>
      <c r="GXQ132" s="202"/>
      <c r="GXR132" s="202"/>
      <c r="GXS132" s="202"/>
      <c r="GXT132" s="202"/>
      <c r="GXU132" s="202"/>
      <c r="GXV132" s="202"/>
      <c r="GXW132" s="202"/>
      <c r="GXX132" s="202"/>
      <c r="GXY132" s="202"/>
      <c r="GXZ132" s="202"/>
      <c r="GYA132" s="202"/>
      <c r="GYB132" s="202"/>
      <c r="GYC132" s="202"/>
      <c r="GYD132" s="202"/>
      <c r="GYE132" s="202"/>
      <c r="GYF132" s="202"/>
      <c r="GYG132" s="202"/>
      <c r="GYH132" s="202"/>
      <c r="GYI132" s="202"/>
      <c r="GYJ132" s="202"/>
      <c r="GYK132" s="202"/>
      <c r="GYL132" s="202"/>
      <c r="GYM132" s="202"/>
      <c r="GYN132" s="202"/>
      <c r="GYO132" s="202"/>
      <c r="GYP132" s="202"/>
      <c r="GYQ132" s="202"/>
      <c r="GYR132" s="202"/>
      <c r="GYS132" s="202"/>
      <c r="GYT132" s="202"/>
      <c r="GYU132" s="202"/>
      <c r="GYV132" s="202"/>
      <c r="GYW132" s="202"/>
      <c r="GYX132" s="202"/>
      <c r="GYY132" s="202"/>
      <c r="GYZ132" s="202"/>
      <c r="GZA132" s="202"/>
      <c r="GZB132" s="202"/>
      <c r="GZC132" s="202"/>
      <c r="GZD132" s="202"/>
      <c r="GZE132" s="202"/>
      <c r="GZF132" s="202"/>
      <c r="GZG132" s="202"/>
      <c r="GZH132" s="202"/>
      <c r="GZI132" s="202"/>
      <c r="GZJ132" s="202"/>
      <c r="GZK132" s="202"/>
      <c r="GZL132" s="202"/>
      <c r="GZM132" s="202"/>
      <c r="GZN132" s="202"/>
      <c r="GZO132" s="202"/>
      <c r="GZP132" s="202"/>
      <c r="GZQ132" s="202"/>
      <c r="GZR132" s="202"/>
      <c r="GZS132" s="202"/>
      <c r="GZT132" s="202"/>
      <c r="GZU132" s="202"/>
      <c r="GZV132" s="202"/>
      <c r="GZW132" s="202"/>
      <c r="GZX132" s="202"/>
      <c r="GZY132" s="202"/>
      <c r="GZZ132" s="202"/>
      <c r="HAA132" s="202"/>
      <c r="HAB132" s="202"/>
      <c r="HAC132" s="202"/>
      <c r="HAD132" s="202"/>
      <c r="HAE132" s="202"/>
      <c r="HAF132" s="202"/>
      <c r="HAG132" s="202"/>
      <c r="HAH132" s="202"/>
      <c r="HAI132" s="202"/>
      <c r="HAJ132" s="202"/>
      <c r="HAK132" s="202"/>
      <c r="HAL132" s="202"/>
      <c r="HAM132" s="202"/>
      <c r="HAN132" s="202"/>
      <c r="HAO132" s="202"/>
      <c r="HAP132" s="202"/>
      <c r="HAQ132" s="202"/>
      <c r="HAR132" s="202"/>
      <c r="HAS132" s="202"/>
      <c r="HAT132" s="202"/>
      <c r="HAU132" s="202"/>
      <c r="HAV132" s="202"/>
      <c r="HAW132" s="202"/>
      <c r="HAX132" s="202"/>
      <c r="HAY132" s="202"/>
      <c r="HAZ132" s="202"/>
      <c r="HBA132" s="202"/>
      <c r="HBB132" s="202"/>
      <c r="HBC132" s="202"/>
      <c r="HBD132" s="202"/>
      <c r="HBE132" s="202"/>
      <c r="HBF132" s="202"/>
      <c r="HBG132" s="202"/>
      <c r="HBH132" s="202"/>
      <c r="HBI132" s="202"/>
      <c r="HBJ132" s="202"/>
      <c r="HBK132" s="202"/>
      <c r="HBL132" s="202"/>
      <c r="HBM132" s="202"/>
      <c r="HBN132" s="202"/>
      <c r="HBO132" s="202"/>
      <c r="HBP132" s="202"/>
      <c r="HBQ132" s="202"/>
      <c r="HBR132" s="202"/>
      <c r="HBS132" s="202"/>
      <c r="HBT132" s="202"/>
      <c r="HBU132" s="202"/>
      <c r="HBV132" s="202"/>
      <c r="HBW132" s="202"/>
      <c r="HBX132" s="202"/>
      <c r="HBY132" s="202"/>
      <c r="HBZ132" s="202"/>
      <c r="HCA132" s="202"/>
      <c r="HCB132" s="202"/>
      <c r="HCC132" s="202"/>
      <c r="HCD132" s="202"/>
      <c r="HCE132" s="202"/>
      <c r="HCF132" s="202"/>
      <c r="HCG132" s="202"/>
      <c r="HCH132" s="202"/>
      <c r="HCI132" s="202"/>
      <c r="HCJ132" s="202"/>
      <c r="HCK132" s="202"/>
      <c r="HCL132" s="202"/>
      <c r="HCM132" s="202"/>
      <c r="HCN132" s="202"/>
      <c r="HCO132" s="202"/>
      <c r="HCP132" s="202"/>
      <c r="HCQ132" s="202"/>
      <c r="HCR132" s="202"/>
      <c r="HCS132" s="202"/>
      <c r="HCT132" s="202"/>
      <c r="HCU132" s="202"/>
      <c r="HCV132" s="202"/>
      <c r="HCW132" s="202"/>
      <c r="HCX132" s="202"/>
      <c r="HCY132" s="202"/>
      <c r="HCZ132" s="202"/>
      <c r="HDA132" s="202"/>
      <c r="HDB132" s="202"/>
      <c r="HDC132" s="202"/>
      <c r="HDD132" s="202"/>
      <c r="HDE132" s="202"/>
      <c r="HDF132" s="202"/>
      <c r="HDG132" s="202"/>
      <c r="HDH132" s="202"/>
      <c r="HDI132" s="202"/>
      <c r="HDJ132" s="202"/>
      <c r="HDK132" s="202"/>
      <c r="HDL132" s="202"/>
      <c r="HDM132" s="202"/>
      <c r="HDN132" s="202"/>
      <c r="HDO132" s="202"/>
      <c r="HDP132" s="202"/>
      <c r="HDQ132" s="202"/>
      <c r="HDR132" s="202"/>
      <c r="HDS132" s="202"/>
      <c r="HDT132" s="202"/>
      <c r="HDU132" s="202"/>
      <c r="HDV132" s="202"/>
      <c r="HDW132" s="202"/>
      <c r="HDX132" s="202"/>
      <c r="HDY132" s="202"/>
      <c r="HDZ132" s="202"/>
      <c r="HEA132" s="202"/>
      <c r="HEB132" s="202"/>
      <c r="HEC132" s="202"/>
      <c r="HED132" s="202"/>
      <c r="HEE132" s="202"/>
      <c r="HEF132" s="202"/>
      <c r="HEG132" s="202"/>
      <c r="HEH132" s="202"/>
      <c r="HEI132" s="202"/>
      <c r="HEJ132" s="202"/>
      <c r="HEK132" s="202"/>
      <c r="HEL132" s="202"/>
      <c r="HEM132" s="202"/>
      <c r="HEN132" s="202"/>
      <c r="HEO132" s="202"/>
      <c r="HEP132" s="202"/>
      <c r="HEQ132" s="202"/>
      <c r="HER132" s="202"/>
      <c r="HES132" s="202"/>
      <c r="HET132" s="202"/>
      <c r="HEU132" s="202"/>
      <c r="HEV132" s="202"/>
      <c r="HEW132" s="202"/>
      <c r="HEX132" s="202"/>
      <c r="HEY132" s="202"/>
      <c r="HEZ132" s="202"/>
      <c r="HFA132" s="202"/>
      <c r="HFB132" s="202"/>
      <c r="HFC132" s="202"/>
      <c r="HFD132" s="202"/>
      <c r="HFE132" s="202"/>
      <c r="HFF132" s="202"/>
      <c r="HFG132" s="202"/>
      <c r="HFH132" s="202"/>
      <c r="HFI132" s="202"/>
      <c r="HFJ132" s="202"/>
      <c r="HFK132" s="202"/>
      <c r="HFL132" s="202"/>
      <c r="HFM132" s="202"/>
      <c r="HFN132" s="202"/>
      <c r="HFO132" s="202"/>
      <c r="HFP132" s="202"/>
      <c r="HFQ132" s="202"/>
      <c r="HFR132" s="202"/>
      <c r="HFS132" s="202"/>
      <c r="HFT132" s="202"/>
      <c r="HFU132" s="202"/>
      <c r="HFV132" s="202"/>
      <c r="HFW132" s="202"/>
      <c r="HFX132" s="202"/>
      <c r="HFY132" s="202"/>
      <c r="HFZ132" s="202"/>
      <c r="HGA132" s="202"/>
      <c r="HGB132" s="202"/>
      <c r="HGC132" s="202"/>
      <c r="HGD132" s="202"/>
      <c r="HGE132" s="202"/>
      <c r="HGF132" s="202"/>
      <c r="HGG132" s="202"/>
      <c r="HGH132" s="202"/>
      <c r="HGI132" s="202"/>
      <c r="HGJ132" s="202"/>
      <c r="HGK132" s="202"/>
      <c r="HGL132" s="202"/>
      <c r="HGM132" s="202"/>
      <c r="HGN132" s="202"/>
      <c r="HGO132" s="202"/>
      <c r="HGP132" s="202"/>
      <c r="HGQ132" s="202"/>
      <c r="HGR132" s="202"/>
      <c r="HGS132" s="202"/>
      <c r="HGT132" s="202"/>
      <c r="HGU132" s="202"/>
      <c r="HGV132" s="202"/>
      <c r="HGW132" s="202"/>
      <c r="HGX132" s="202"/>
      <c r="HGY132" s="202"/>
      <c r="HGZ132" s="202"/>
      <c r="HHA132" s="202"/>
      <c r="HHB132" s="202"/>
      <c r="HHC132" s="202"/>
      <c r="HHD132" s="202"/>
      <c r="HHE132" s="202"/>
      <c r="HHF132" s="202"/>
      <c r="HHG132" s="202"/>
      <c r="HHH132" s="202"/>
      <c r="HHI132" s="202"/>
      <c r="HHJ132" s="202"/>
      <c r="HHK132" s="202"/>
      <c r="HHL132" s="202"/>
      <c r="HHM132" s="202"/>
      <c r="HHN132" s="202"/>
      <c r="HHO132" s="202"/>
      <c r="HHP132" s="202"/>
      <c r="HHQ132" s="202"/>
      <c r="HHR132" s="202"/>
      <c r="HHS132" s="202"/>
      <c r="HHT132" s="202"/>
      <c r="HHU132" s="202"/>
      <c r="HHV132" s="202"/>
      <c r="HHW132" s="202"/>
      <c r="HHX132" s="202"/>
      <c r="HHY132" s="202"/>
      <c r="HHZ132" s="202"/>
      <c r="HIA132" s="202"/>
      <c r="HIB132" s="202"/>
      <c r="HIC132" s="202"/>
      <c r="HID132" s="202"/>
      <c r="HIE132" s="202"/>
      <c r="HIF132" s="202"/>
      <c r="HIG132" s="202"/>
      <c r="HIH132" s="202"/>
      <c r="HII132" s="202"/>
      <c r="HIJ132" s="202"/>
      <c r="HIK132" s="202"/>
      <c r="HIL132" s="202"/>
      <c r="HIM132" s="202"/>
      <c r="HIN132" s="202"/>
      <c r="HIO132" s="202"/>
      <c r="HIP132" s="202"/>
      <c r="HIQ132" s="202"/>
      <c r="HIR132" s="202"/>
      <c r="HIS132" s="202"/>
      <c r="HIT132" s="202"/>
      <c r="HIU132" s="202"/>
      <c r="HIV132" s="202"/>
      <c r="HIW132" s="202"/>
      <c r="HIX132" s="202"/>
      <c r="HIY132" s="202"/>
      <c r="HIZ132" s="202"/>
      <c r="HJA132" s="202"/>
      <c r="HJB132" s="202"/>
      <c r="HJC132" s="202"/>
      <c r="HJD132" s="202"/>
      <c r="HJE132" s="202"/>
      <c r="HJF132" s="202"/>
      <c r="HJG132" s="202"/>
      <c r="HJH132" s="202"/>
      <c r="HJI132" s="202"/>
      <c r="HJJ132" s="202"/>
      <c r="HJK132" s="202"/>
      <c r="HJL132" s="202"/>
      <c r="HJM132" s="202"/>
      <c r="HJN132" s="202"/>
      <c r="HJO132" s="202"/>
      <c r="HJP132" s="202"/>
      <c r="HJQ132" s="202"/>
      <c r="HJR132" s="202"/>
      <c r="HJS132" s="202"/>
      <c r="HJT132" s="202"/>
      <c r="HJU132" s="202"/>
      <c r="HJV132" s="202"/>
      <c r="HJW132" s="202"/>
      <c r="HJX132" s="202"/>
      <c r="HJY132" s="202"/>
      <c r="HJZ132" s="202"/>
      <c r="HKA132" s="202"/>
      <c r="HKB132" s="202"/>
      <c r="HKC132" s="202"/>
      <c r="HKD132" s="202"/>
      <c r="HKE132" s="202"/>
      <c r="HKF132" s="202"/>
      <c r="HKG132" s="202"/>
      <c r="HKH132" s="202"/>
      <c r="HKI132" s="202"/>
      <c r="HKJ132" s="202"/>
      <c r="HKK132" s="202"/>
      <c r="HKL132" s="202"/>
      <c r="HKM132" s="202"/>
      <c r="HKN132" s="202"/>
      <c r="HKO132" s="202"/>
      <c r="HKP132" s="202"/>
      <c r="HKQ132" s="202"/>
      <c r="HKR132" s="202"/>
      <c r="HKS132" s="202"/>
      <c r="HKT132" s="202"/>
      <c r="HKU132" s="202"/>
      <c r="HKV132" s="202"/>
      <c r="HKW132" s="202"/>
      <c r="HKX132" s="202"/>
      <c r="HKY132" s="202"/>
      <c r="HKZ132" s="202"/>
      <c r="HLA132" s="202"/>
      <c r="HLB132" s="202"/>
      <c r="HLC132" s="202"/>
      <c r="HLD132" s="202"/>
      <c r="HLE132" s="202"/>
      <c r="HLF132" s="202"/>
      <c r="HLG132" s="202"/>
      <c r="HLH132" s="202"/>
      <c r="HLI132" s="202"/>
      <c r="HLJ132" s="202"/>
      <c r="HLK132" s="202"/>
      <c r="HLL132" s="202"/>
      <c r="HLM132" s="202"/>
      <c r="HLN132" s="202"/>
      <c r="HLO132" s="202"/>
      <c r="HLP132" s="202"/>
      <c r="HLQ132" s="202"/>
      <c r="HLR132" s="202"/>
      <c r="HLS132" s="202"/>
      <c r="HLT132" s="202"/>
      <c r="HLU132" s="202"/>
      <c r="HLV132" s="202"/>
      <c r="HLW132" s="202"/>
      <c r="HLX132" s="202"/>
      <c r="HLY132" s="202"/>
      <c r="HLZ132" s="202"/>
      <c r="HMA132" s="202"/>
      <c r="HMB132" s="202"/>
      <c r="HMC132" s="202"/>
      <c r="HMD132" s="202"/>
      <c r="HME132" s="202"/>
      <c r="HMF132" s="202"/>
      <c r="HMG132" s="202"/>
      <c r="HMH132" s="202"/>
      <c r="HMI132" s="202"/>
      <c r="HMJ132" s="202"/>
      <c r="HMK132" s="202"/>
      <c r="HML132" s="202"/>
      <c r="HMM132" s="202"/>
      <c r="HMN132" s="202"/>
      <c r="HMO132" s="202"/>
      <c r="HMP132" s="202"/>
      <c r="HMQ132" s="202"/>
      <c r="HMR132" s="202"/>
      <c r="HMS132" s="202"/>
      <c r="HMT132" s="202"/>
      <c r="HMU132" s="202"/>
      <c r="HMV132" s="202"/>
      <c r="HMW132" s="202"/>
      <c r="HMX132" s="202"/>
      <c r="HMY132" s="202"/>
      <c r="HMZ132" s="202"/>
      <c r="HNA132" s="202"/>
      <c r="HNB132" s="202"/>
      <c r="HNC132" s="202"/>
      <c r="HND132" s="202"/>
      <c r="HNE132" s="202"/>
      <c r="HNF132" s="202"/>
      <c r="HNG132" s="202"/>
      <c r="HNH132" s="202"/>
      <c r="HNI132" s="202"/>
      <c r="HNJ132" s="202"/>
      <c r="HNK132" s="202"/>
      <c r="HNL132" s="202"/>
      <c r="HNM132" s="202"/>
      <c r="HNN132" s="202"/>
      <c r="HNO132" s="202"/>
      <c r="HNP132" s="202"/>
      <c r="HNQ132" s="202"/>
      <c r="HNR132" s="202"/>
      <c r="HNS132" s="202"/>
      <c r="HNT132" s="202"/>
      <c r="HNU132" s="202"/>
      <c r="HNV132" s="202"/>
      <c r="HNW132" s="202"/>
      <c r="HNX132" s="202"/>
      <c r="HNY132" s="202"/>
      <c r="HNZ132" s="202"/>
      <c r="HOA132" s="202"/>
      <c r="HOB132" s="202"/>
      <c r="HOC132" s="202"/>
      <c r="HOD132" s="202"/>
      <c r="HOE132" s="202"/>
      <c r="HOF132" s="202"/>
      <c r="HOG132" s="202"/>
      <c r="HOH132" s="202"/>
      <c r="HOI132" s="202"/>
      <c r="HOJ132" s="202"/>
      <c r="HOK132" s="202"/>
      <c r="HOL132" s="202"/>
      <c r="HOM132" s="202"/>
      <c r="HON132" s="202"/>
      <c r="HOO132" s="202"/>
      <c r="HOP132" s="202"/>
      <c r="HOQ132" s="202"/>
      <c r="HOR132" s="202"/>
      <c r="HOS132" s="202"/>
      <c r="HOT132" s="202"/>
      <c r="HOU132" s="202"/>
      <c r="HOV132" s="202"/>
      <c r="HOW132" s="202"/>
      <c r="HOX132" s="202"/>
      <c r="HOY132" s="202"/>
      <c r="HOZ132" s="202"/>
      <c r="HPA132" s="202"/>
      <c r="HPB132" s="202"/>
      <c r="HPC132" s="202"/>
      <c r="HPD132" s="202"/>
      <c r="HPE132" s="202"/>
      <c r="HPF132" s="202"/>
      <c r="HPG132" s="202"/>
      <c r="HPH132" s="202"/>
      <c r="HPI132" s="202"/>
      <c r="HPJ132" s="202"/>
      <c r="HPK132" s="202"/>
      <c r="HPL132" s="202"/>
      <c r="HPM132" s="202"/>
      <c r="HPN132" s="202"/>
      <c r="HPO132" s="202"/>
      <c r="HPP132" s="202"/>
      <c r="HPQ132" s="202"/>
      <c r="HPR132" s="202"/>
      <c r="HPS132" s="202"/>
      <c r="HPT132" s="202"/>
      <c r="HPU132" s="202"/>
      <c r="HPV132" s="202"/>
      <c r="HPW132" s="202"/>
      <c r="HPX132" s="202"/>
      <c r="HPY132" s="202"/>
      <c r="HPZ132" s="202"/>
      <c r="HQA132" s="202"/>
      <c r="HQB132" s="202"/>
      <c r="HQC132" s="202"/>
      <c r="HQD132" s="202"/>
      <c r="HQE132" s="202"/>
      <c r="HQF132" s="202"/>
      <c r="HQG132" s="202"/>
      <c r="HQH132" s="202"/>
      <c r="HQI132" s="202"/>
      <c r="HQJ132" s="202"/>
      <c r="HQK132" s="202"/>
      <c r="HQL132" s="202"/>
      <c r="HQM132" s="202"/>
      <c r="HQN132" s="202"/>
      <c r="HQO132" s="202"/>
      <c r="HQP132" s="202"/>
      <c r="HQQ132" s="202"/>
      <c r="HQR132" s="202"/>
      <c r="HQS132" s="202"/>
      <c r="HQT132" s="202"/>
      <c r="HQU132" s="202"/>
      <c r="HQV132" s="202"/>
      <c r="HQW132" s="202"/>
      <c r="HQX132" s="202"/>
      <c r="HQY132" s="202"/>
      <c r="HQZ132" s="202"/>
      <c r="HRA132" s="202"/>
      <c r="HRB132" s="202"/>
      <c r="HRC132" s="202"/>
      <c r="HRD132" s="202"/>
      <c r="HRE132" s="202"/>
      <c r="HRF132" s="202"/>
      <c r="HRG132" s="202"/>
      <c r="HRH132" s="202"/>
      <c r="HRI132" s="202"/>
      <c r="HRJ132" s="202"/>
      <c r="HRK132" s="202"/>
      <c r="HRL132" s="202"/>
      <c r="HRM132" s="202"/>
      <c r="HRN132" s="202"/>
      <c r="HRO132" s="202"/>
      <c r="HRP132" s="202"/>
      <c r="HRQ132" s="202"/>
      <c r="HRR132" s="202"/>
      <c r="HRS132" s="202"/>
      <c r="HRT132" s="202"/>
      <c r="HRU132" s="202"/>
      <c r="HRV132" s="202"/>
      <c r="HRW132" s="202"/>
      <c r="HRX132" s="202"/>
      <c r="HRY132" s="202"/>
      <c r="HRZ132" s="202"/>
      <c r="HSA132" s="202"/>
      <c r="HSB132" s="202"/>
      <c r="HSC132" s="202"/>
      <c r="HSD132" s="202"/>
      <c r="HSE132" s="202"/>
      <c r="HSF132" s="202"/>
      <c r="HSG132" s="202"/>
      <c r="HSH132" s="202"/>
      <c r="HSI132" s="202"/>
      <c r="HSJ132" s="202"/>
      <c r="HSK132" s="202"/>
      <c r="HSL132" s="202"/>
      <c r="HSM132" s="202"/>
      <c r="HSN132" s="202"/>
      <c r="HSO132" s="202"/>
      <c r="HSP132" s="202"/>
      <c r="HSQ132" s="202"/>
      <c r="HSR132" s="202"/>
      <c r="HSS132" s="202"/>
      <c r="HST132" s="202"/>
      <c r="HSU132" s="202"/>
      <c r="HSV132" s="202"/>
      <c r="HSW132" s="202"/>
      <c r="HSX132" s="202"/>
      <c r="HSY132" s="202"/>
      <c r="HSZ132" s="202"/>
      <c r="HTA132" s="202"/>
      <c r="HTB132" s="202"/>
      <c r="HTC132" s="202"/>
      <c r="HTD132" s="202"/>
      <c r="HTE132" s="202"/>
      <c r="HTF132" s="202"/>
      <c r="HTG132" s="202"/>
      <c r="HTH132" s="202"/>
      <c r="HTI132" s="202"/>
      <c r="HTJ132" s="202"/>
      <c r="HTK132" s="202"/>
      <c r="HTL132" s="202"/>
      <c r="HTM132" s="202"/>
      <c r="HTN132" s="202"/>
      <c r="HTO132" s="202"/>
      <c r="HTP132" s="202"/>
      <c r="HTQ132" s="202"/>
      <c r="HTR132" s="202"/>
      <c r="HTS132" s="202"/>
      <c r="HTT132" s="202"/>
      <c r="HTU132" s="202"/>
      <c r="HTV132" s="202"/>
      <c r="HTW132" s="202"/>
      <c r="HTX132" s="202"/>
      <c r="HTY132" s="202"/>
      <c r="HTZ132" s="202"/>
      <c r="HUA132" s="202"/>
      <c r="HUB132" s="202"/>
      <c r="HUC132" s="202"/>
      <c r="HUD132" s="202"/>
      <c r="HUE132" s="202"/>
      <c r="HUF132" s="202"/>
      <c r="HUG132" s="202"/>
      <c r="HUH132" s="202"/>
      <c r="HUI132" s="202"/>
      <c r="HUJ132" s="202"/>
      <c r="HUK132" s="202"/>
      <c r="HUL132" s="202"/>
      <c r="HUM132" s="202"/>
      <c r="HUN132" s="202"/>
      <c r="HUO132" s="202"/>
      <c r="HUP132" s="202"/>
      <c r="HUQ132" s="202"/>
      <c r="HUR132" s="202"/>
      <c r="HUS132" s="202"/>
      <c r="HUT132" s="202"/>
      <c r="HUU132" s="202"/>
      <c r="HUV132" s="202"/>
      <c r="HUW132" s="202"/>
      <c r="HUX132" s="202"/>
      <c r="HUY132" s="202"/>
      <c r="HUZ132" s="202"/>
      <c r="HVA132" s="202"/>
      <c r="HVB132" s="202"/>
      <c r="HVC132" s="202"/>
      <c r="HVD132" s="202"/>
      <c r="HVE132" s="202"/>
      <c r="HVF132" s="202"/>
      <c r="HVG132" s="202"/>
      <c r="HVH132" s="202"/>
      <c r="HVI132" s="202"/>
      <c r="HVJ132" s="202"/>
      <c r="HVK132" s="202"/>
      <c r="HVL132" s="202"/>
      <c r="HVM132" s="202"/>
      <c r="HVN132" s="202"/>
      <c r="HVO132" s="202"/>
      <c r="HVP132" s="202"/>
      <c r="HVQ132" s="202"/>
      <c r="HVR132" s="202"/>
      <c r="HVS132" s="202"/>
      <c r="HVT132" s="202"/>
      <c r="HVU132" s="202"/>
      <c r="HVV132" s="202"/>
      <c r="HVW132" s="202"/>
      <c r="HVX132" s="202"/>
      <c r="HVY132" s="202"/>
      <c r="HVZ132" s="202"/>
      <c r="HWA132" s="202"/>
      <c r="HWB132" s="202"/>
      <c r="HWC132" s="202"/>
      <c r="HWD132" s="202"/>
      <c r="HWE132" s="202"/>
      <c r="HWF132" s="202"/>
      <c r="HWG132" s="202"/>
      <c r="HWH132" s="202"/>
      <c r="HWI132" s="202"/>
      <c r="HWJ132" s="202"/>
      <c r="HWK132" s="202"/>
      <c r="HWL132" s="202"/>
      <c r="HWM132" s="202"/>
      <c r="HWN132" s="202"/>
      <c r="HWO132" s="202"/>
      <c r="HWP132" s="202"/>
      <c r="HWQ132" s="202"/>
      <c r="HWR132" s="202"/>
      <c r="HWS132" s="202"/>
      <c r="HWT132" s="202"/>
      <c r="HWU132" s="202"/>
      <c r="HWV132" s="202"/>
      <c r="HWW132" s="202"/>
      <c r="HWX132" s="202"/>
      <c r="HWY132" s="202"/>
      <c r="HWZ132" s="202"/>
      <c r="HXA132" s="202"/>
      <c r="HXB132" s="202"/>
      <c r="HXC132" s="202"/>
      <c r="HXD132" s="202"/>
      <c r="HXE132" s="202"/>
      <c r="HXF132" s="202"/>
      <c r="HXG132" s="202"/>
      <c r="HXH132" s="202"/>
      <c r="HXI132" s="202"/>
      <c r="HXJ132" s="202"/>
      <c r="HXK132" s="202"/>
      <c r="HXL132" s="202"/>
      <c r="HXM132" s="202"/>
      <c r="HXN132" s="202"/>
      <c r="HXO132" s="202"/>
      <c r="HXP132" s="202"/>
      <c r="HXQ132" s="202"/>
      <c r="HXR132" s="202"/>
      <c r="HXS132" s="202"/>
      <c r="HXT132" s="202"/>
      <c r="HXU132" s="202"/>
      <c r="HXV132" s="202"/>
      <c r="HXW132" s="202"/>
      <c r="HXX132" s="202"/>
      <c r="HXY132" s="202"/>
      <c r="HXZ132" s="202"/>
      <c r="HYA132" s="202"/>
      <c r="HYB132" s="202"/>
      <c r="HYC132" s="202"/>
      <c r="HYD132" s="202"/>
      <c r="HYE132" s="202"/>
      <c r="HYF132" s="202"/>
      <c r="HYG132" s="202"/>
      <c r="HYH132" s="202"/>
      <c r="HYI132" s="202"/>
      <c r="HYJ132" s="202"/>
      <c r="HYK132" s="202"/>
      <c r="HYL132" s="202"/>
      <c r="HYM132" s="202"/>
      <c r="HYN132" s="202"/>
      <c r="HYO132" s="202"/>
      <c r="HYP132" s="202"/>
      <c r="HYQ132" s="202"/>
      <c r="HYR132" s="202"/>
      <c r="HYS132" s="202"/>
      <c r="HYT132" s="202"/>
      <c r="HYU132" s="202"/>
      <c r="HYV132" s="202"/>
      <c r="HYW132" s="202"/>
      <c r="HYX132" s="202"/>
      <c r="HYY132" s="202"/>
      <c r="HYZ132" s="202"/>
      <c r="HZA132" s="202"/>
      <c r="HZB132" s="202"/>
      <c r="HZC132" s="202"/>
      <c r="HZD132" s="202"/>
      <c r="HZE132" s="202"/>
      <c r="HZF132" s="202"/>
      <c r="HZG132" s="202"/>
      <c r="HZH132" s="202"/>
      <c r="HZI132" s="202"/>
      <c r="HZJ132" s="202"/>
      <c r="HZK132" s="202"/>
      <c r="HZL132" s="202"/>
      <c r="HZM132" s="202"/>
      <c r="HZN132" s="202"/>
      <c r="HZO132" s="202"/>
      <c r="HZP132" s="202"/>
      <c r="HZQ132" s="202"/>
      <c r="HZR132" s="202"/>
      <c r="HZS132" s="202"/>
      <c r="HZT132" s="202"/>
      <c r="HZU132" s="202"/>
      <c r="HZV132" s="202"/>
      <c r="HZW132" s="202"/>
      <c r="HZX132" s="202"/>
      <c r="HZY132" s="202"/>
      <c r="HZZ132" s="202"/>
      <c r="IAA132" s="202"/>
      <c r="IAB132" s="202"/>
      <c r="IAC132" s="202"/>
      <c r="IAD132" s="202"/>
      <c r="IAE132" s="202"/>
      <c r="IAF132" s="202"/>
      <c r="IAG132" s="202"/>
      <c r="IAH132" s="202"/>
      <c r="IAI132" s="202"/>
      <c r="IAJ132" s="202"/>
      <c r="IAK132" s="202"/>
      <c r="IAL132" s="202"/>
      <c r="IAM132" s="202"/>
      <c r="IAN132" s="202"/>
      <c r="IAO132" s="202"/>
      <c r="IAP132" s="202"/>
      <c r="IAQ132" s="202"/>
      <c r="IAR132" s="202"/>
      <c r="IAS132" s="202"/>
      <c r="IAT132" s="202"/>
      <c r="IAU132" s="202"/>
      <c r="IAV132" s="202"/>
      <c r="IAW132" s="202"/>
      <c r="IAX132" s="202"/>
      <c r="IAY132" s="202"/>
      <c r="IAZ132" s="202"/>
      <c r="IBA132" s="202"/>
      <c r="IBB132" s="202"/>
      <c r="IBC132" s="202"/>
      <c r="IBD132" s="202"/>
      <c r="IBE132" s="202"/>
      <c r="IBF132" s="202"/>
      <c r="IBG132" s="202"/>
      <c r="IBH132" s="202"/>
      <c r="IBI132" s="202"/>
      <c r="IBJ132" s="202"/>
      <c r="IBK132" s="202"/>
      <c r="IBL132" s="202"/>
      <c r="IBM132" s="202"/>
      <c r="IBN132" s="202"/>
      <c r="IBO132" s="202"/>
      <c r="IBP132" s="202"/>
      <c r="IBQ132" s="202"/>
      <c r="IBR132" s="202"/>
      <c r="IBS132" s="202"/>
      <c r="IBT132" s="202"/>
      <c r="IBU132" s="202"/>
      <c r="IBV132" s="202"/>
      <c r="IBW132" s="202"/>
      <c r="IBX132" s="202"/>
      <c r="IBY132" s="202"/>
      <c r="IBZ132" s="202"/>
      <c r="ICA132" s="202"/>
      <c r="ICB132" s="202"/>
      <c r="ICC132" s="202"/>
      <c r="ICD132" s="202"/>
      <c r="ICE132" s="202"/>
      <c r="ICF132" s="202"/>
      <c r="ICG132" s="202"/>
      <c r="ICH132" s="202"/>
      <c r="ICI132" s="202"/>
      <c r="ICJ132" s="202"/>
      <c r="ICK132" s="202"/>
      <c r="ICL132" s="202"/>
      <c r="ICM132" s="202"/>
      <c r="ICN132" s="202"/>
      <c r="ICO132" s="202"/>
      <c r="ICP132" s="202"/>
      <c r="ICQ132" s="202"/>
      <c r="ICR132" s="202"/>
      <c r="ICS132" s="202"/>
      <c r="ICT132" s="202"/>
      <c r="ICU132" s="202"/>
      <c r="ICV132" s="202"/>
      <c r="ICW132" s="202"/>
      <c r="ICX132" s="202"/>
      <c r="ICY132" s="202"/>
      <c r="ICZ132" s="202"/>
      <c r="IDA132" s="202"/>
      <c r="IDB132" s="202"/>
      <c r="IDC132" s="202"/>
      <c r="IDD132" s="202"/>
      <c r="IDE132" s="202"/>
      <c r="IDF132" s="202"/>
      <c r="IDG132" s="202"/>
      <c r="IDH132" s="202"/>
      <c r="IDI132" s="202"/>
      <c r="IDJ132" s="202"/>
      <c r="IDK132" s="202"/>
      <c r="IDL132" s="202"/>
      <c r="IDM132" s="202"/>
      <c r="IDN132" s="202"/>
      <c r="IDO132" s="202"/>
      <c r="IDP132" s="202"/>
      <c r="IDQ132" s="202"/>
      <c r="IDR132" s="202"/>
      <c r="IDS132" s="202"/>
      <c r="IDT132" s="202"/>
      <c r="IDU132" s="202"/>
      <c r="IDV132" s="202"/>
      <c r="IDW132" s="202"/>
      <c r="IDX132" s="202"/>
      <c r="IDY132" s="202"/>
      <c r="IDZ132" s="202"/>
      <c r="IEA132" s="202"/>
      <c r="IEB132" s="202"/>
      <c r="IEC132" s="202"/>
      <c r="IED132" s="202"/>
      <c r="IEE132" s="202"/>
      <c r="IEF132" s="202"/>
      <c r="IEG132" s="202"/>
      <c r="IEH132" s="202"/>
      <c r="IEI132" s="202"/>
      <c r="IEJ132" s="202"/>
      <c r="IEK132" s="202"/>
      <c r="IEL132" s="202"/>
      <c r="IEM132" s="202"/>
      <c r="IEN132" s="202"/>
      <c r="IEO132" s="202"/>
      <c r="IEP132" s="202"/>
      <c r="IEQ132" s="202"/>
      <c r="IER132" s="202"/>
      <c r="IES132" s="202"/>
      <c r="IET132" s="202"/>
      <c r="IEU132" s="202"/>
      <c r="IEV132" s="202"/>
      <c r="IEW132" s="202"/>
      <c r="IEX132" s="202"/>
      <c r="IEY132" s="202"/>
      <c r="IEZ132" s="202"/>
      <c r="IFA132" s="202"/>
      <c r="IFB132" s="202"/>
      <c r="IFC132" s="202"/>
      <c r="IFD132" s="202"/>
      <c r="IFE132" s="202"/>
      <c r="IFF132" s="202"/>
      <c r="IFG132" s="202"/>
      <c r="IFH132" s="202"/>
      <c r="IFI132" s="202"/>
      <c r="IFJ132" s="202"/>
      <c r="IFK132" s="202"/>
      <c r="IFL132" s="202"/>
      <c r="IFM132" s="202"/>
      <c r="IFN132" s="202"/>
      <c r="IFO132" s="202"/>
      <c r="IFP132" s="202"/>
      <c r="IFQ132" s="202"/>
      <c r="IFR132" s="202"/>
      <c r="IFS132" s="202"/>
      <c r="IFT132" s="202"/>
      <c r="IFU132" s="202"/>
      <c r="IFV132" s="202"/>
      <c r="IFW132" s="202"/>
      <c r="IFX132" s="202"/>
      <c r="IFY132" s="202"/>
      <c r="IFZ132" s="202"/>
      <c r="IGA132" s="202"/>
      <c r="IGB132" s="202"/>
      <c r="IGC132" s="202"/>
      <c r="IGD132" s="202"/>
      <c r="IGE132" s="202"/>
      <c r="IGF132" s="202"/>
      <c r="IGG132" s="202"/>
      <c r="IGH132" s="202"/>
      <c r="IGI132" s="202"/>
      <c r="IGJ132" s="202"/>
      <c r="IGK132" s="202"/>
      <c r="IGL132" s="202"/>
      <c r="IGM132" s="202"/>
      <c r="IGN132" s="202"/>
      <c r="IGO132" s="202"/>
      <c r="IGP132" s="202"/>
      <c r="IGQ132" s="202"/>
      <c r="IGR132" s="202"/>
      <c r="IGS132" s="202"/>
      <c r="IGT132" s="202"/>
      <c r="IGU132" s="202"/>
      <c r="IGV132" s="202"/>
      <c r="IGW132" s="202"/>
      <c r="IGX132" s="202"/>
      <c r="IGY132" s="202"/>
      <c r="IGZ132" s="202"/>
      <c r="IHA132" s="202"/>
      <c r="IHB132" s="202"/>
      <c r="IHC132" s="202"/>
      <c r="IHD132" s="202"/>
      <c r="IHE132" s="202"/>
      <c r="IHF132" s="202"/>
      <c r="IHG132" s="202"/>
      <c r="IHH132" s="202"/>
      <c r="IHI132" s="202"/>
      <c r="IHJ132" s="202"/>
      <c r="IHK132" s="202"/>
      <c r="IHL132" s="202"/>
      <c r="IHM132" s="202"/>
      <c r="IHN132" s="202"/>
      <c r="IHO132" s="202"/>
      <c r="IHP132" s="202"/>
      <c r="IHQ132" s="202"/>
      <c r="IHR132" s="202"/>
      <c r="IHS132" s="202"/>
      <c r="IHT132" s="202"/>
      <c r="IHU132" s="202"/>
      <c r="IHV132" s="202"/>
      <c r="IHW132" s="202"/>
      <c r="IHX132" s="202"/>
      <c r="IHY132" s="202"/>
      <c r="IHZ132" s="202"/>
      <c r="IIA132" s="202"/>
      <c r="IIB132" s="202"/>
      <c r="IIC132" s="202"/>
      <c r="IID132" s="202"/>
      <c r="IIE132" s="202"/>
      <c r="IIF132" s="202"/>
      <c r="IIG132" s="202"/>
      <c r="IIH132" s="202"/>
      <c r="III132" s="202"/>
      <c r="IIJ132" s="202"/>
      <c r="IIK132" s="202"/>
      <c r="IIL132" s="202"/>
      <c r="IIM132" s="202"/>
      <c r="IIN132" s="202"/>
      <c r="IIO132" s="202"/>
      <c r="IIP132" s="202"/>
      <c r="IIQ132" s="202"/>
      <c r="IIR132" s="202"/>
      <c r="IIS132" s="202"/>
      <c r="IIT132" s="202"/>
      <c r="IIU132" s="202"/>
      <c r="IIV132" s="202"/>
      <c r="IIW132" s="202"/>
      <c r="IIX132" s="202"/>
      <c r="IIY132" s="202"/>
      <c r="IIZ132" s="202"/>
      <c r="IJA132" s="202"/>
      <c r="IJB132" s="202"/>
      <c r="IJC132" s="202"/>
      <c r="IJD132" s="202"/>
      <c r="IJE132" s="202"/>
      <c r="IJF132" s="202"/>
      <c r="IJG132" s="202"/>
      <c r="IJH132" s="202"/>
      <c r="IJI132" s="202"/>
      <c r="IJJ132" s="202"/>
      <c r="IJK132" s="202"/>
      <c r="IJL132" s="202"/>
      <c r="IJM132" s="202"/>
      <c r="IJN132" s="202"/>
      <c r="IJO132" s="202"/>
      <c r="IJP132" s="202"/>
      <c r="IJQ132" s="202"/>
      <c r="IJR132" s="202"/>
      <c r="IJS132" s="202"/>
      <c r="IJT132" s="202"/>
      <c r="IJU132" s="202"/>
      <c r="IJV132" s="202"/>
      <c r="IJW132" s="202"/>
      <c r="IJX132" s="202"/>
      <c r="IJY132" s="202"/>
      <c r="IJZ132" s="202"/>
      <c r="IKA132" s="202"/>
      <c r="IKB132" s="202"/>
      <c r="IKC132" s="202"/>
      <c r="IKD132" s="202"/>
      <c r="IKE132" s="202"/>
      <c r="IKF132" s="202"/>
      <c r="IKG132" s="202"/>
      <c r="IKH132" s="202"/>
      <c r="IKI132" s="202"/>
      <c r="IKJ132" s="202"/>
      <c r="IKK132" s="202"/>
      <c r="IKL132" s="202"/>
      <c r="IKM132" s="202"/>
      <c r="IKN132" s="202"/>
      <c r="IKO132" s="202"/>
      <c r="IKP132" s="202"/>
      <c r="IKQ132" s="202"/>
      <c r="IKR132" s="202"/>
      <c r="IKS132" s="202"/>
      <c r="IKT132" s="202"/>
      <c r="IKU132" s="202"/>
      <c r="IKV132" s="202"/>
      <c r="IKW132" s="202"/>
      <c r="IKX132" s="202"/>
      <c r="IKY132" s="202"/>
      <c r="IKZ132" s="202"/>
      <c r="ILA132" s="202"/>
      <c r="ILB132" s="202"/>
      <c r="ILC132" s="202"/>
      <c r="ILD132" s="202"/>
      <c r="ILE132" s="202"/>
      <c r="ILF132" s="202"/>
      <c r="ILG132" s="202"/>
      <c r="ILH132" s="202"/>
      <c r="ILI132" s="202"/>
      <c r="ILJ132" s="202"/>
      <c r="ILK132" s="202"/>
      <c r="ILL132" s="202"/>
      <c r="ILM132" s="202"/>
      <c r="ILN132" s="202"/>
      <c r="ILO132" s="202"/>
      <c r="ILP132" s="202"/>
      <c r="ILQ132" s="202"/>
      <c r="ILR132" s="202"/>
      <c r="ILS132" s="202"/>
      <c r="ILT132" s="202"/>
      <c r="ILU132" s="202"/>
      <c r="ILV132" s="202"/>
      <c r="ILW132" s="202"/>
      <c r="ILX132" s="202"/>
      <c r="ILY132" s="202"/>
      <c r="ILZ132" s="202"/>
      <c r="IMA132" s="202"/>
      <c r="IMB132" s="202"/>
      <c r="IMC132" s="202"/>
      <c r="IMD132" s="202"/>
      <c r="IME132" s="202"/>
      <c r="IMF132" s="202"/>
      <c r="IMG132" s="202"/>
      <c r="IMH132" s="202"/>
      <c r="IMI132" s="202"/>
      <c r="IMJ132" s="202"/>
      <c r="IMK132" s="202"/>
      <c r="IML132" s="202"/>
      <c r="IMM132" s="202"/>
      <c r="IMN132" s="202"/>
      <c r="IMO132" s="202"/>
      <c r="IMP132" s="202"/>
      <c r="IMQ132" s="202"/>
      <c r="IMR132" s="202"/>
      <c r="IMS132" s="202"/>
      <c r="IMT132" s="202"/>
      <c r="IMU132" s="202"/>
      <c r="IMV132" s="202"/>
      <c r="IMW132" s="202"/>
      <c r="IMX132" s="202"/>
      <c r="IMY132" s="202"/>
      <c r="IMZ132" s="202"/>
      <c r="INA132" s="202"/>
      <c r="INB132" s="202"/>
      <c r="INC132" s="202"/>
      <c r="IND132" s="202"/>
      <c r="INE132" s="202"/>
      <c r="INF132" s="202"/>
      <c r="ING132" s="202"/>
      <c r="INH132" s="202"/>
      <c r="INI132" s="202"/>
      <c r="INJ132" s="202"/>
      <c r="INK132" s="202"/>
      <c r="INL132" s="202"/>
      <c r="INM132" s="202"/>
      <c r="INN132" s="202"/>
      <c r="INO132" s="202"/>
      <c r="INP132" s="202"/>
      <c r="INQ132" s="202"/>
      <c r="INR132" s="202"/>
      <c r="INS132" s="202"/>
      <c r="INT132" s="202"/>
      <c r="INU132" s="202"/>
      <c r="INV132" s="202"/>
      <c r="INW132" s="202"/>
      <c r="INX132" s="202"/>
      <c r="INY132" s="202"/>
      <c r="INZ132" s="202"/>
      <c r="IOA132" s="202"/>
      <c r="IOB132" s="202"/>
      <c r="IOC132" s="202"/>
      <c r="IOD132" s="202"/>
      <c r="IOE132" s="202"/>
      <c r="IOF132" s="202"/>
      <c r="IOG132" s="202"/>
      <c r="IOH132" s="202"/>
      <c r="IOI132" s="202"/>
      <c r="IOJ132" s="202"/>
      <c r="IOK132" s="202"/>
      <c r="IOL132" s="202"/>
      <c r="IOM132" s="202"/>
      <c r="ION132" s="202"/>
      <c r="IOO132" s="202"/>
      <c r="IOP132" s="202"/>
      <c r="IOQ132" s="202"/>
      <c r="IOR132" s="202"/>
      <c r="IOS132" s="202"/>
      <c r="IOT132" s="202"/>
      <c r="IOU132" s="202"/>
      <c r="IOV132" s="202"/>
      <c r="IOW132" s="202"/>
      <c r="IOX132" s="202"/>
      <c r="IOY132" s="202"/>
      <c r="IOZ132" s="202"/>
      <c r="IPA132" s="202"/>
      <c r="IPB132" s="202"/>
      <c r="IPC132" s="202"/>
      <c r="IPD132" s="202"/>
      <c r="IPE132" s="202"/>
      <c r="IPF132" s="202"/>
      <c r="IPG132" s="202"/>
      <c r="IPH132" s="202"/>
      <c r="IPI132" s="202"/>
      <c r="IPJ132" s="202"/>
      <c r="IPK132" s="202"/>
      <c r="IPL132" s="202"/>
      <c r="IPM132" s="202"/>
      <c r="IPN132" s="202"/>
      <c r="IPO132" s="202"/>
      <c r="IPP132" s="202"/>
      <c r="IPQ132" s="202"/>
      <c r="IPR132" s="202"/>
      <c r="IPS132" s="202"/>
      <c r="IPT132" s="202"/>
      <c r="IPU132" s="202"/>
      <c r="IPV132" s="202"/>
      <c r="IPW132" s="202"/>
      <c r="IPX132" s="202"/>
      <c r="IPY132" s="202"/>
      <c r="IPZ132" s="202"/>
      <c r="IQA132" s="202"/>
      <c r="IQB132" s="202"/>
      <c r="IQC132" s="202"/>
      <c r="IQD132" s="202"/>
      <c r="IQE132" s="202"/>
      <c r="IQF132" s="202"/>
      <c r="IQG132" s="202"/>
      <c r="IQH132" s="202"/>
      <c r="IQI132" s="202"/>
      <c r="IQJ132" s="202"/>
      <c r="IQK132" s="202"/>
      <c r="IQL132" s="202"/>
      <c r="IQM132" s="202"/>
      <c r="IQN132" s="202"/>
      <c r="IQO132" s="202"/>
      <c r="IQP132" s="202"/>
      <c r="IQQ132" s="202"/>
      <c r="IQR132" s="202"/>
      <c r="IQS132" s="202"/>
      <c r="IQT132" s="202"/>
      <c r="IQU132" s="202"/>
      <c r="IQV132" s="202"/>
      <c r="IQW132" s="202"/>
      <c r="IQX132" s="202"/>
      <c r="IQY132" s="202"/>
      <c r="IQZ132" s="202"/>
      <c r="IRA132" s="202"/>
      <c r="IRB132" s="202"/>
      <c r="IRC132" s="202"/>
      <c r="IRD132" s="202"/>
      <c r="IRE132" s="202"/>
      <c r="IRF132" s="202"/>
      <c r="IRG132" s="202"/>
      <c r="IRH132" s="202"/>
      <c r="IRI132" s="202"/>
      <c r="IRJ132" s="202"/>
      <c r="IRK132" s="202"/>
      <c r="IRL132" s="202"/>
      <c r="IRM132" s="202"/>
      <c r="IRN132" s="202"/>
      <c r="IRO132" s="202"/>
      <c r="IRP132" s="202"/>
      <c r="IRQ132" s="202"/>
      <c r="IRR132" s="202"/>
      <c r="IRS132" s="202"/>
      <c r="IRT132" s="202"/>
      <c r="IRU132" s="202"/>
      <c r="IRV132" s="202"/>
      <c r="IRW132" s="202"/>
      <c r="IRX132" s="202"/>
      <c r="IRY132" s="202"/>
      <c r="IRZ132" s="202"/>
      <c r="ISA132" s="202"/>
      <c r="ISB132" s="202"/>
      <c r="ISC132" s="202"/>
      <c r="ISD132" s="202"/>
      <c r="ISE132" s="202"/>
      <c r="ISF132" s="202"/>
      <c r="ISG132" s="202"/>
      <c r="ISH132" s="202"/>
      <c r="ISI132" s="202"/>
      <c r="ISJ132" s="202"/>
      <c r="ISK132" s="202"/>
      <c r="ISL132" s="202"/>
      <c r="ISM132" s="202"/>
      <c r="ISN132" s="202"/>
      <c r="ISO132" s="202"/>
      <c r="ISP132" s="202"/>
      <c r="ISQ132" s="202"/>
      <c r="ISR132" s="202"/>
      <c r="ISS132" s="202"/>
      <c r="IST132" s="202"/>
      <c r="ISU132" s="202"/>
      <c r="ISV132" s="202"/>
      <c r="ISW132" s="202"/>
      <c r="ISX132" s="202"/>
      <c r="ISY132" s="202"/>
      <c r="ISZ132" s="202"/>
      <c r="ITA132" s="202"/>
      <c r="ITB132" s="202"/>
      <c r="ITC132" s="202"/>
      <c r="ITD132" s="202"/>
      <c r="ITE132" s="202"/>
      <c r="ITF132" s="202"/>
      <c r="ITG132" s="202"/>
      <c r="ITH132" s="202"/>
      <c r="ITI132" s="202"/>
      <c r="ITJ132" s="202"/>
      <c r="ITK132" s="202"/>
      <c r="ITL132" s="202"/>
      <c r="ITM132" s="202"/>
      <c r="ITN132" s="202"/>
      <c r="ITO132" s="202"/>
      <c r="ITP132" s="202"/>
      <c r="ITQ132" s="202"/>
      <c r="ITR132" s="202"/>
      <c r="ITS132" s="202"/>
      <c r="ITT132" s="202"/>
      <c r="ITU132" s="202"/>
      <c r="ITV132" s="202"/>
      <c r="ITW132" s="202"/>
      <c r="ITX132" s="202"/>
      <c r="ITY132" s="202"/>
      <c r="ITZ132" s="202"/>
      <c r="IUA132" s="202"/>
      <c r="IUB132" s="202"/>
      <c r="IUC132" s="202"/>
      <c r="IUD132" s="202"/>
      <c r="IUE132" s="202"/>
      <c r="IUF132" s="202"/>
      <c r="IUG132" s="202"/>
      <c r="IUH132" s="202"/>
      <c r="IUI132" s="202"/>
      <c r="IUJ132" s="202"/>
      <c r="IUK132" s="202"/>
      <c r="IUL132" s="202"/>
      <c r="IUM132" s="202"/>
      <c r="IUN132" s="202"/>
      <c r="IUO132" s="202"/>
      <c r="IUP132" s="202"/>
      <c r="IUQ132" s="202"/>
      <c r="IUR132" s="202"/>
      <c r="IUS132" s="202"/>
      <c r="IUT132" s="202"/>
      <c r="IUU132" s="202"/>
      <c r="IUV132" s="202"/>
      <c r="IUW132" s="202"/>
      <c r="IUX132" s="202"/>
      <c r="IUY132" s="202"/>
      <c r="IUZ132" s="202"/>
      <c r="IVA132" s="202"/>
      <c r="IVB132" s="202"/>
      <c r="IVC132" s="202"/>
      <c r="IVD132" s="202"/>
      <c r="IVE132" s="202"/>
      <c r="IVF132" s="202"/>
      <c r="IVG132" s="202"/>
      <c r="IVH132" s="202"/>
      <c r="IVI132" s="202"/>
      <c r="IVJ132" s="202"/>
      <c r="IVK132" s="202"/>
      <c r="IVL132" s="202"/>
      <c r="IVM132" s="202"/>
      <c r="IVN132" s="202"/>
      <c r="IVO132" s="202"/>
      <c r="IVP132" s="202"/>
      <c r="IVQ132" s="202"/>
      <c r="IVR132" s="202"/>
      <c r="IVS132" s="202"/>
      <c r="IVT132" s="202"/>
      <c r="IVU132" s="202"/>
      <c r="IVV132" s="202"/>
      <c r="IVW132" s="202"/>
      <c r="IVX132" s="202"/>
      <c r="IVY132" s="202"/>
      <c r="IVZ132" s="202"/>
      <c r="IWA132" s="202"/>
      <c r="IWB132" s="202"/>
      <c r="IWC132" s="202"/>
      <c r="IWD132" s="202"/>
      <c r="IWE132" s="202"/>
      <c r="IWF132" s="202"/>
      <c r="IWG132" s="202"/>
      <c r="IWH132" s="202"/>
      <c r="IWI132" s="202"/>
      <c r="IWJ132" s="202"/>
      <c r="IWK132" s="202"/>
      <c r="IWL132" s="202"/>
      <c r="IWM132" s="202"/>
      <c r="IWN132" s="202"/>
      <c r="IWO132" s="202"/>
      <c r="IWP132" s="202"/>
      <c r="IWQ132" s="202"/>
      <c r="IWR132" s="202"/>
      <c r="IWS132" s="202"/>
      <c r="IWT132" s="202"/>
      <c r="IWU132" s="202"/>
      <c r="IWV132" s="202"/>
      <c r="IWW132" s="202"/>
      <c r="IWX132" s="202"/>
      <c r="IWY132" s="202"/>
      <c r="IWZ132" s="202"/>
      <c r="IXA132" s="202"/>
      <c r="IXB132" s="202"/>
      <c r="IXC132" s="202"/>
      <c r="IXD132" s="202"/>
      <c r="IXE132" s="202"/>
      <c r="IXF132" s="202"/>
      <c r="IXG132" s="202"/>
      <c r="IXH132" s="202"/>
      <c r="IXI132" s="202"/>
      <c r="IXJ132" s="202"/>
      <c r="IXK132" s="202"/>
      <c r="IXL132" s="202"/>
      <c r="IXM132" s="202"/>
      <c r="IXN132" s="202"/>
      <c r="IXO132" s="202"/>
      <c r="IXP132" s="202"/>
      <c r="IXQ132" s="202"/>
      <c r="IXR132" s="202"/>
      <c r="IXS132" s="202"/>
      <c r="IXT132" s="202"/>
      <c r="IXU132" s="202"/>
      <c r="IXV132" s="202"/>
      <c r="IXW132" s="202"/>
      <c r="IXX132" s="202"/>
      <c r="IXY132" s="202"/>
      <c r="IXZ132" s="202"/>
      <c r="IYA132" s="202"/>
      <c r="IYB132" s="202"/>
      <c r="IYC132" s="202"/>
      <c r="IYD132" s="202"/>
      <c r="IYE132" s="202"/>
      <c r="IYF132" s="202"/>
      <c r="IYG132" s="202"/>
      <c r="IYH132" s="202"/>
      <c r="IYI132" s="202"/>
      <c r="IYJ132" s="202"/>
      <c r="IYK132" s="202"/>
      <c r="IYL132" s="202"/>
      <c r="IYM132" s="202"/>
      <c r="IYN132" s="202"/>
      <c r="IYO132" s="202"/>
      <c r="IYP132" s="202"/>
      <c r="IYQ132" s="202"/>
      <c r="IYR132" s="202"/>
      <c r="IYS132" s="202"/>
      <c r="IYT132" s="202"/>
      <c r="IYU132" s="202"/>
      <c r="IYV132" s="202"/>
      <c r="IYW132" s="202"/>
      <c r="IYX132" s="202"/>
      <c r="IYY132" s="202"/>
      <c r="IYZ132" s="202"/>
      <c r="IZA132" s="202"/>
      <c r="IZB132" s="202"/>
      <c r="IZC132" s="202"/>
      <c r="IZD132" s="202"/>
      <c r="IZE132" s="202"/>
      <c r="IZF132" s="202"/>
      <c r="IZG132" s="202"/>
      <c r="IZH132" s="202"/>
      <c r="IZI132" s="202"/>
      <c r="IZJ132" s="202"/>
      <c r="IZK132" s="202"/>
      <c r="IZL132" s="202"/>
      <c r="IZM132" s="202"/>
      <c r="IZN132" s="202"/>
      <c r="IZO132" s="202"/>
      <c r="IZP132" s="202"/>
      <c r="IZQ132" s="202"/>
      <c r="IZR132" s="202"/>
      <c r="IZS132" s="202"/>
      <c r="IZT132" s="202"/>
      <c r="IZU132" s="202"/>
      <c r="IZV132" s="202"/>
      <c r="IZW132" s="202"/>
      <c r="IZX132" s="202"/>
      <c r="IZY132" s="202"/>
      <c r="IZZ132" s="202"/>
      <c r="JAA132" s="202"/>
      <c r="JAB132" s="202"/>
      <c r="JAC132" s="202"/>
      <c r="JAD132" s="202"/>
      <c r="JAE132" s="202"/>
      <c r="JAF132" s="202"/>
      <c r="JAG132" s="202"/>
      <c r="JAH132" s="202"/>
      <c r="JAI132" s="202"/>
      <c r="JAJ132" s="202"/>
      <c r="JAK132" s="202"/>
      <c r="JAL132" s="202"/>
      <c r="JAM132" s="202"/>
      <c r="JAN132" s="202"/>
      <c r="JAO132" s="202"/>
      <c r="JAP132" s="202"/>
      <c r="JAQ132" s="202"/>
      <c r="JAR132" s="202"/>
      <c r="JAS132" s="202"/>
      <c r="JAT132" s="202"/>
      <c r="JAU132" s="202"/>
      <c r="JAV132" s="202"/>
      <c r="JAW132" s="202"/>
      <c r="JAX132" s="202"/>
      <c r="JAY132" s="202"/>
      <c r="JAZ132" s="202"/>
      <c r="JBA132" s="202"/>
      <c r="JBB132" s="202"/>
      <c r="JBC132" s="202"/>
      <c r="JBD132" s="202"/>
      <c r="JBE132" s="202"/>
      <c r="JBF132" s="202"/>
      <c r="JBG132" s="202"/>
      <c r="JBH132" s="202"/>
      <c r="JBI132" s="202"/>
      <c r="JBJ132" s="202"/>
      <c r="JBK132" s="202"/>
      <c r="JBL132" s="202"/>
      <c r="JBM132" s="202"/>
      <c r="JBN132" s="202"/>
      <c r="JBO132" s="202"/>
      <c r="JBP132" s="202"/>
      <c r="JBQ132" s="202"/>
      <c r="JBR132" s="202"/>
      <c r="JBS132" s="202"/>
      <c r="JBT132" s="202"/>
      <c r="JBU132" s="202"/>
      <c r="JBV132" s="202"/>
      <c r="JBW132" s="202"/>
      <c r="JBX132" s="202"/>
      <c r="JBY132" s="202"/>
      <c r="JBZ132" s="202"/>
      <c r="JCA132" s="202"/>
      <c r="JCB132" s="202"/>
      <c r="JCC132" s="202"/>
      <c r="JCD132" s="202"/>
      <c r="JCE132" s="202"/>
      <c r="JCF132" s="202"/>
      <c r="JCG132" s="202"/>
      <c r="JCH132" s="202"/>
      <c r="JCI132" s="202"/>
      <c r="JCJ132" s="202"/>
      <c r="JCK132" s="202"/>
      <c r="JCL132" s="202"/>
      <c r="JCM132" s="202"/>
      <c r="JCN132" s="202"/>
      <c r="JCO132" s="202"/>
      <c r="JCP132" s="202"/>
      <c r="JCQ132" s="202"/>
      <c r="JCR132" s="202"/>
      <c r="JCS132" s="202"/>
      <c r="JCT132" s="202"/>
      <c r="JCU132" s="202"/>
      <c r="JCV132" s="202"/>
      <c r="JCW132" s="202"/>
      <c r="JCX132" s="202"/>
      <c r="JCY132" s="202"/>
      <c r="JCZ132" s="202"/>
      <c r="JDA132" s="202"/>
      <c r="JDB132" s="202"/>
      <c r="JDC132" s="202"/>
      <c r="JDD132" s="202"/>
      <c r="JDE132" s="202"/>
      <c r="JDF132" s="202"/>
      <c r="JDG132" s="202"/>
      <c r="JDH132" s="202"/>
      <c r="JDI132" s="202"/>
      <c r="JDJ132" s="202"/>
      <c r="JDK132" s="202"/>
      <c r="JDL132" s="202"/>
      <c r="JDM132" s="202"/>
      <c r="JDN132" s="202"/>
      <c r="JDO132" s="202"/>
      <c r="JDP132" s="202"/>
      <c r="JDQ132" s="202"/>
      <c r="JDR132" s="202"/>
      <c r="JDS132" s="202"/>
      <c r="JDT132" s="202"/>
      <c r="JDU132" s="202"/>
      <c r="JDV132" s="202"/>
      <c r="JDW132" s="202"/>
      <c r="JDX132" s="202"/>
      <c r="JDY132" s="202"/>
      <c r="JDZ132" s="202"/>
      <c r="JEA132" s="202"/>
      <c r="JEB132" s="202"/>
      <c r="JEC132" s="202"/>
      <c r="JED132" s="202"/>
      <c r="JEE132" s="202"/>
      <c r="JEF132" s="202"/>
      <c r="JEG132" s="202"/>
      <c r="JEH132" s="202"/>
      <c r="JEI132" s="202"/>
      <c r="JEJ132" s="202"/>
      <c r="JEK132" s="202"/>
      <c r="JEL132" s="202"/>
      <c r="JEM132" s="202"/>
      <c r="JEN132" s="202"/>
      <c r="JEO132" s="202"/>
      <c r="JEP132" s="202"/>
      <c r="JEQ132" s="202"/>
      <c r="JER132" s="202"/>
      <c r="JES132" s="202"/>
      <c r="JET132" s="202"/>
      <c r="JEU132" s="202"/>
      <c r="JEV132" s="202"/>
      <c r="JEW132" s="202"/>
      <c r="JEX132" s="202"/>
      <c r="JEY132" s="202"/>
      <c r="JEZ132" s="202"/>
      <c r="JFA132" s="202"/>
      <c r="JFB132" s="202"/>
      <c r="JFC132" s="202"/>
      <c r="JFD132" s="202"/>
      <c r="JFE132" s="202"/>
      <c r="JFF132" s="202"/>
      <c r="JFG132" s="202"/>
      <c r="JFH132" s="202"/>
      <c r="JFI132" s="202"/>
      <c r="JFJ132" s="202"/>
      <c r="JFK132" s="202"/>
      <c r="JFL132" s="202"/>
      <c r="JFM132" s="202"/>
      <c r="JFN132" s="202"/>
      <c r="JFO132" s="202"/>
      <c r="JFP132" s="202"/>
      <c r="JFQ132" s="202"/>
      <c r="JFR132" s="202"/>
      <c r="JFS132" s="202"/>
      <c r="JFT132" s="202"/>
      <c r="JFU132" s="202"/>
      <c r="JFV132" s="202"/>
      <c r="JFW132" s="202"/>
      <c r="JFX132" s="202"/>
      <c r="JFY132" s="202"/>
      <c r="JFZ132" s="202"/>
      <c r="JGA132" s="202"/>
      <c r="JGB132" s="202"/>
      <c r="JGC132" s="202"/>
      <c r="JGD132" s="202"/>
      <c r="JGE132" s="202"/>
      <c r="JGF132" s="202"/>
      <c r="JGG132" s="202"/>
      <c r="JGH132" s="202"/>
      <c r="JGI132" s="202"/>
      <c r="JGJ132" s="202"/>
      <c r="JGK132" s="202"/>
      <c r="JGL132" s="202"/>
      <c r="JGM132" s="202"/>
      <c r="JGN132" s="202"/>
      <c r="JGO132" s="202"/>
      <c r="JGP132" s="202"/>
      <c r="JGQ132" s="202"/>
      <c r="JGR132" s="202"/>
      <c r="JGS132" s="202"/>
      <c r="JGT132" s="202"/>
      <c r="JGU132" s="202"/>
      <c r="JGV132" s="202"/>
      <c r="JGW132" s="202"/>
      <c r="JGX132" s="202"/>
      <c r="JGY132" s="202"/>
      <c r="JGZ132" s="202"/>
      <c r="JHA132" s="202"/>
      <c r="JHB132" s="202"/>
      <c r="JHC132" s="202"/>
      <c r="JHD132" s="202"/>
      <c r="JHE132" s="202"/>
      <c r="JHF132" s="202"/>
      <c r="JHG132" s="202"/>
      <c r="JHH132" s="202"/>
      <c r="JHI132" s="202"/>
      <c r="JHJ132" s="202"/>
      <c r="JHK132" s="202"/>
      <c r="JHL132" s="202"/>
      <c r="JHM132" s="202"/>
      <c r="JHN132" s="202"/>
      <c r="JHO132" s="202"/>
      <c r="JHP132" s="202"/>
      <c r="JHQ132" s="202"/>
      <c r="JHR132" s="202"/>
      <c r="JHS132" s="202"/>
      <c r="JHT132" s="202"/>
      <c r="JHU132" s="202"/>
      <c r="JHV132" s="202"/>
      <c r="JHW132" s="202"/>
      <c r="JHX132" s="202"/>
      <c r="JHY132" s="202"/>
      <c r="JHZ132" s="202"/>
      <c r="JIA132" s="202"/>
      <c r="JIB132" s="202"/>
      <c r="JIC132" s="202"/>
      <c r="JID132" s="202"/>
      <c r="JIE132" s="202"/>
      <c r="JIF132" s="202"/>
      <c r="JIG132" s="202"/>
      <c r="JIH132" s="202"/>
      <c r="JII132" s="202"/>
      <c r="JIJ132" s="202"/>
      <c r="JIK132" s="202"/>
      <c r="JIL132" s="202"/>
      <c r="JIM132" s="202"/>
      <c r="JIN132" s="202"/>
      <c r="JIO132" s="202"/>
      <c r="JIP132" s="202"/>
      <c r="JIQ132" s="202"/>
      <c r="JIR132" s="202"/>
      <c r="JIS132" s="202"/>
      <c r="JIT132" s="202"/>
      <c r="JIU132" s="202"/>
      <c r="JIV132" s="202"/>
      <c r="JIW132" s="202"/>
      <c r="JIX132" s="202"/>
      <c r="JIY132" s="202"/>
      <c r="JIZ132" s="202"/>
      <c r="JJA132" s="202"/>
      <c r="JJB132" s="202"/>
      <c r="JJC132" s="202"/>
      <c r="JJD132" s="202"/>
      <c r="JJE132" s="202"/>
      <c r="JJF132" s="202"/>
      <c r="JJG132" s="202"/>
      <c r="JJH132" s="202"/>
      <c r="JJI132" s="202"/>
      <c r="JJJ132" s="202"/>
      <c r="JJK132" s="202"/>
      <c r="JJL132" s="202"/>
      <c r="JJM132" s="202"/>
      <c r="JJN132" s="202"/>
      <c r="JJO132" s="202"/>
      <c r="JJP132" s="202"/>
      <c r="JJQ132" s="202"/>
      <c r="JJR132" s="202"/>
      <c r="JJS132" s="202"/>
      <c r="JJT132" s="202"/>
      <c r="JJU132" s="202"/>
      <c r="JJV132" s="202"/>
      <c r="JJW132" s="202"/>
      <c r="JJX132" s="202"/>
      <c r="JJY132" s="202"/>
      <c r="JJZ132" s="202"/>
      <c r="JKA132" s="202"/>
      <c r="JKB132" s="202"/>
      <c r="JKC132" s="202"/>
      <c r="JKD132" s="202"/>
      <c r="JKE132" s="202"/>
      <c r="JKF132" s="202"/>
      <c r="JKG132" s="202"/>
      <c r="JKH132" s="202"/>
      <c r="JKI132" s="202"/>
      <c r="JKJ132" s="202"/>
      <c r="JKK132" s="202"/>
      <c r="JKL132" s="202"/>
      <c r="JKM132" s="202"/>
      <c r="JKN132" s="202"/>
      <c r="JKO132" s="202"/>
      <c r="JKP132" s="202"/>
      <c r="JKQ132" s="202"/>
      <c r="JKR132" s="202"/>
      <c r="JKS132" s="202"/>
      <c r="JKT132" s="202"/>
      <c r="JKU132" s="202"/>
      <c r="JKV132" s="202"/>
      <c r="JKW132" s="202"/>
      <c r="JKX132" s="202"/>
      <c r="JKY132" s="202"/>
      <c r="JKZ132" s="202"/>
      <c r="JLA132" s="202"/>
      <c r="JLB132" s="202"/>
      <c r="JLC132" s="202"/>
      <c r="JLD132" s="202"/>
      <c r="JLE132" s="202"/>
      <c r="JLF132" s="202"/>
      <c r="JLG132" s="202"/>
      <c r="JLH132" s="202"/>
      <c r="JLI132" s="202"/>
      <c r="JLJ132" s="202"/>
      <c r="JLK132" s="202"/>
      <c r="JLL132" s="202"/>
      <c r="JLM132" s="202"/>
      <c r="JLN132" s="202"/>
      <c r="JLO132" s="202"/>
      <c r="JLP132" s="202"/>
      <c r="JLQ132" s="202"/>
      <c r="JLR132" s="202"/>
      <c r="JLS132" s="202"/>
      <c r="JLT132" s="202"/>
      <c r="JLU132" s="202"/>
      <c r="JLV132" s="202"/>
      <c r="JLW132" s="202"/>
      <c r="JLX132" s="202"/>
      <c r="JLY132" s="202"/>
      <c r="JLZ132" s="202"/>
      <c r="JMA132" s="202"/>
      <c r="JMB132" s="202"/>
      <c r="JMC132" s="202"/>
      <c r="JMD132" s="202"/>
      <c r="JME132" s="202"/>
      <c r="JMF132" s="202"/>
      <c r="JMG132" s="202"/>
      <c r="JMH132" s="202"/>
      <c r="JMI132" s="202"/>
      <c r="JMJ132" s="202"/>
      <c r="JMK132" s="202"/>
      <c r="JML132" s="202"/>
      <c r="JMM132" s="202"/>
      <c r="JMN132" s="202"/>
      <c r="JMO132" s="202"/>
      <c r="JMP132" s="202"/>
      <c r="JMQ132" s="202"/>
      <c r="JMR132" s="202"/>
      <c r="JMS132" s="202"/>
      <c r="JMT132" s="202"/>
      <c r="JMU132" s="202"/>
      <c r="JMV132" s="202"/>
      <c r="JMW132" s="202"/>
      <c r="JMX132" s="202"/>
      <c r="JMY132" s="202"/>
      <c r="JMZ132" s="202"/>
      <c r="JNA132" s="202"/>
      <c r="JNB132" s="202"/>
      <c r="JNC132" s="202"/>
      <c r="JND132" s="202"/>
      <c r="JNE132" s="202"/>
      <c r="JNF132" s="202"/>
      <c r="JNG132" s="202"/>
      <c r="JNH132" s="202"/>
      <c r="JNI132" s="202"/>
      <c r="JNJ132" s="202"/>
      <c r="JNK132" s="202"/>
      <c r="JNL132" s="202"/>
      <c r="JNM132" s="202"/>
      <c r="JNN132" s="202"/>
      <c r="JNO132" s="202"/>
      <c r="JNP132" s="202"/>
      <c r="JNQ132" s="202"/>
      <c r="JNR132" s="202"/>
      <c r="JNS132" s="202"/>
      <c r="JNT132" s="202"/>
      <c r="JNU132" s="202"/>
      <c r="JNV132" s="202"/>
      <c r="JNW132" s="202"/>
      <c r="JNX132" s="202"/>
      <c r="JNY132" s="202"/>
      <c r="JNZ132" s="202"/>
      <c r="JOA132" s="202"/>
      <c r="JOB132" s="202"/>
      <c r="JOC132" s="202"/>
      <c r="JOD132" s="202"/>
      <c r="JOE132" s="202"/>
      <c r="JOF132" s="202"/>
      <c r="JOG132" s="202"/>
      <c r="JOH132" s="202"/>
      <c r="JOI132" s="202"/>
      <c r="JOJ132" s="202"/>
      <c r="JOK132" s="202"/>
      <c r="JOL132" s="202"/>
      <c r="JOM132" s="202"/>
      <c r="JON132" s="202"/>
      <c r="JOO132" s="202"/>
      <c r="JOP132" s="202"/>
      <c r="JOQ132" s="202"/>
      <c r="JOR132" s="202"/>
      <c r="JOS132" s="202"/>
      <c r="JOT132" s="202"/>
      <c r="JOU132" s="202"/>
      <c r="JOV132" s="202"/>
      <c r="JOW132" s="202"/>
      <c r="JOX132" s="202"/>
      <c r="JOY132" s="202"/>
      <c r="JOZ132" s="202"/>
      <c r="JPA132" s="202"/>
      <c r="JPB132" s="202"/>
      <c r="JPC132" s="202"/>
      <c r="JPD132" s="202"/>
      <c r="JPE132" s="202"/>
      <c r="JPF132" s="202"/>
      <c r="JPG132" s="202"/>
      <c r="JPH132" s="202"/>
      <c r="JPI132" s="202"/>
      <c r="JPJ132" s="202"/>
      <c r="JPK132" s="202"/>
      <c r="JPL132" s="202"/>
      <c r="JPM132" s="202"/>
      <c r="JPN132" s="202"/>
      <c r="JPO132" s="202"/>
      <c r="JPP132" s="202"/>
      <c r="JPQ132" s="202"/>
      <c r="JPR132" s="202"/>
      <c r="JPS132" s="202"/>
      <c r="JPT132" s="202"/>
      <c r="JPU132" s="202"/>
      <c r="JPV132" s="202"/>
      <c r="JPW132" s="202"/>
      <c r="JPX132" s="202"/>
      <c r="JPY132" s="202"/>
      <c r="JPZ132" s="202"/>
      <c r="JQA132" s="202"/>
      <c r="JQB132" s="202"/>
      <c r="JQC132" s="202"/>
      <c r="JQD132" s="202"/>
      <c r="JQE132" s="202"/>
      <c r="JQF132" s="202"/>
      <c r="JQG132" s="202"/>
      <c r="JQH132" s="202"/>
      <c r="JQI132" s="202"/>
      <c r="JQJ132" s="202"/>
      <c r="JQK132" s="202"/>
      <c r="JQL132" s="202"/>
      <c r="JQM132" s="202"/>
      <c r="JQN132" s="202"/>
      <c r="JQO132" s="202"/>
      <c r="JQP132" s="202"/>
      <c r="JQQ132" s="202"/>
      <c r="JQR132" s="202"/>
      <c r="JQS132" s="202"/>
      <c r="JQT132" s="202"/>
      <c r="JQU132" s="202"/>
      <c r="JQV132" s="202"/>
      <c r="JQW132" s="202"/>
      <c r="JQX132" s="202"/>
      <c r="JQY132" s="202"/>
      <c r="JQZ132" s="202"/>
      <c r="JRA132" s="202"/>
      <c r="JRB132" s="202"/>
      <c r="JRC132" s="202"/>
      <c r="JRD132" s="202"/>
      <c r="JRE132" s="202"/>
      <c r="JRF132" s="202"/>
      <c r="JRG132" s="202"/>
      <c r="JRH132" s="202"/>
      <c r="JRI132" s="202"/>
      <c r="JRJ132" s="202"/>
      <c r="JRK132" s="202"/>
      <c r="JRL132" s="202"/>
      <c r="JRM132" s="202"/>
      <c r="JRN132" s="202"/>
      <c r="JRO132" s="202"/>
      <c r="JRP132" s="202"/>
      <c r="JRQ132" s="202"/>
      <c r="JRR132" s="202"/>
      <c r="JRS132" s="202"/>
      <c r="JRT132" s="202"/>
      <c r="JRU132" s="202"/>
      <c r="JRV132" s="202"/>
      <c r="JRW132" s="202"/>
      <c r="JRX132" s="202"/>
      <c r="JRY132" s="202"/>
      <c r="JRZ132" s="202"/>
      <c r="JSA132" s="202"/>
      <c r="JSB132" s="202"/>
      <c r="JSC132" s="202"/>
      <c r="JSD132" s="202"/>
      <c r="JSE132" s="202"/>
      <c r="JSF132" s="202"/>
      <c r="JSG132" s="202"/>
      <c r="JSH132" s="202"/>
      <c r="JSI132" s="202"/>
      <c r="JSJ132" s="202"/>
      <c r="JSK132" s="202"/>
      <c r="JSL132" s="202"/>
      <c r="JSM132" s="202"/>
      <c r="JSN132" s="202"/>
      <c r="JSO132" s="202"/>
      <c r="JSP132" s="202"/>
      <c r="JSQ132" s="202"/>
      <c r="JSR132" s="202"/>
      <c r="JSS132" s="202"/>
      <c r="JST132" s="202"/>
      <c r="JSU132" s="202"/>
      <c r="JSV132" s="202"/>
      <c r="JSW132" s="202"/>
      <c r="JSX132" s="202"/>
      <c r="JSY132" s="202"/>
      <c r="JSZ132" s="202"/>
      <c r="JTA132" s="202"/>
      <c r="JTB132" s="202"/>
      <c r="JTC132" s="202"/>
      <c r="JTD132" s="202"/>
      <c r="JTE132" s="202"/>
      <c r="JTF132" s="202"/>
      <c r="JTG132" s="202"/>
      <c r="JTH132" s="202"/>
      <c r="JTI132" s="202"/>
      <c r="JTJ132" s="202"/>
      <c r="JTK132" s="202"/>
      <c r="JTL132" s="202"/>
      <c r="JTM132" s="202"/>
      <c r="JTN132" s="202"/>
      <c r="JTO132" s="202"/>
      <c r="JTP132" s="202"/>
      <c r="JTQ132" s="202"/>
      <c r="JTR132" s="202"/>
      <c r="JTS132" s="202"/>
      <c r="JTT132" s="202"/>
      <c r="JTU132" s="202"/>
      <c r="JTV132" s="202"/>
      <c r="JTW132" s="202"/>
      <c r="JTX132" s="202"/>
      <c r="JTY132" s="202"/>
      <c r="JTZ132" s="202"/>
      <c r="JUA132" s="202"/>
      <c r="JUB132" s="202"/>
      <c r="JUC132" s="202"/>
      <c r="JUD132" s="202"/>
      <c r="JUE132" s="202"/>
      <c r="JUF132" s="202"/>
      <c r="JUG132" s="202"/>
      <c r="JUH132" s="202"/>
      <c r="JUI132" s="202"/>
      <c r="JUJ132" s="202"/>
      <c r="JUK132" s="202"/>
      <c r="JUL132" s="202"/>
      <c r="JUM132" s="202"/>
      <c r="JUN132" s="202"/>
      <c r="JUO132" s="202"/>
      <c r="JUP132" s="202"/>
      <c r="JUQ132" s="202"/>
      <c r="JUR132" s="202"/>
      <c r="JUS132" s="202"/>
      <c r="JUT132" s="202"/>
      <c r="JUU132" s="202"/>
      <c r="JUV132" s="202"/>
      <c r="JUW132" s="202"/>
      <c r="JUX132" s="202"/>
      <c r="JUY132" s="202"/>
      <c r="JUZ132" s="202"/>
      <c r="JVA132" s="202"/>
      <c r="JVB132" s="202"/>
      <c r="JVC132" s="202"/>
      <c r="JVD132" s="202"/>
      <c r="JVE132" s="202"/>
      <c r="JVF132" s="202"/>
      <c r="JVG132" s="202"/>
      <c r="JVH132" s="202"/>
      <c r="JVI132" s="202"/>
      <c r="JVJ132" s="202"/>
      <c r="JVK132" s="202"/>
      <c r="JVL132" s="202"/>
      <c r="JVM132" s="202"/>
      <c r="JVN132" s="202"/>
      <c r="JVO132" s="202"/>
      <c r="JVP132" s="202"/>
      <c r="JVQ132" s="202"/>
      <c r="JVR132" s="202"/>
      <c r="JVS132" s="202"/>
      <c r="JVT132" s="202"/>
      <c r="JVU132" s="202"/>
      <c r="JVV132" s="202"/>
      <c r="JVW132" s="202"/>
      <c r="JVX132" s="202"/>
      <c r="JVY132" s="202"/>
      <c r="JVZ132" s="202"/>
      <c r="JWA132" s="202"/>
      <c r="JWB132" s="202"/>
      <c r="JWC132" s="202"/>
      <c r="JWD132" s="202"/>
      <c r="JWE132" s="202"/>
      <c r="JWF132" s="202"/>
      <c r="JWG132" s="202"/>
      <c r="JWH132" s="202"/>
      <c r="JWI132" s="202"/>
      <c r="JWJ132" s="202"/>
      <c r="JWK132" s="202"/>
      <c r="JWL132" s="202"/>
      <c r="JWM132" s="202"/>
      <c r="JWN132" s="202"/>
      <c r="JWO132" s="202"/>
      <c r="JWP132" s="202"/>
      <c r="JWQ132" s="202"/>
      <c r="JWR132" s="202"/>
      <c r="JWS132" s="202"/>
      <c r="JWT132" s="202"/>
      <c r="JWU132" s="202"/>
      <c r="JWV132" s="202"/>
      <c r="JWW132" s="202"/>
      <c r="JWX132" s="202"/>
      <c r="JWY132" s="202"/>
      <c r="JWZ132" s="202"/>
      <c r="JXA132" s="202"/>
      <c r="JXB132" s="202"/>
      <c r="JXC132" s="202"/>
      <c r="JXD132" s="202"/>
      <c r="JXE132" s="202"/>
      <c r="JXF132" s="202"/>
      <c r="JXG132" s="202"/>
      <c r="JXH132" s="202"/>
      <c r="JXI132" s="202"/>
      <c r="JXJ132" s="202"/>
      <c r="JXK132" s="202"/>
      <c r="JXL132" s="202"/>
      <c r="JXM132" s="202"/>
      <c r="JXN132" s="202"/>
      <c r="JXO132" s="202"/>
      <c r="JXP132" s="202"/>
      <c r="JXQ132" s="202"/>
      <c r="JXR132" s="202"/>
      <c r="JXS132" s="202"/>
      <c r="JXT132" s="202"/>
      <c r="JXU132" s="202"/>
      <c r="JXV132" s="202"/>
      <c r="JXW132" s="202"/>
      <c r="JXX132" s="202"/>
      <c r="JXY132" s="202"/>
      <c r="JXZ132" s="202"/>
      <c r="JYA132" s="202"/>
      <c r="JYB132" s="202"/>
      <c r="JYC132" s="202"/>
      <c r="JYD132" s="202"/>
      <c r="JYE132" s="202"/>
      <c r="JYF132" s="202"/>
      <c r="JYG132" s="202"/>
      <c r="JYH132" s="202"/>
      <c r="JYI132" s="202"/>
      <c r="JYJ132" s="202"/>
      <c r="JYK132" s="202"/>
      <c r="JYL132" s="202"/>
      <c r="JYM132" s="202"/>
      <c r="JYN132" s="202"/>
      <c r="JYO132" s="202"/>
      <c r="JYP132" s="202"/>
      <c r="JYQ132" s="202"/>
      <c r="JYR132" s="202"/>
      <c r="JYS132" s="202"/>
      <c r="JYT132" s="202"/>
      <c r="JYU132" s="202"/>
      <c r="JYV132" s="202"/>
      <c r="JYW132" s="202"/>
      <c r="JYX132" s="202"/>
      <c r="JYY132" s="202"/>
      <c r="JYZ132" s="202"/>
      <c r="JZA132" s="202"/>
      <c r="JZB132" s="202"/>
      <c r="JZC132" s="202"/>
      <c r="JZD132" s="202"/>
      <c r="JZE132" s="202"/>
      <c r="JZF132" s="202"/>
      <c r="JZG132" s="202"/>
      <c r="JZH132" s="202"/>
      <c r="JZI132" s="202"/>
      <c r="JZJ132" s="202"/>
      <c r="JZK132" s="202"/>
      <c r="JZL132" s="202"/>
      <c r="JZM132" s="202"/>
      <c r="JZN132" s="202"/>
      <c r="JZO132" s="202"/>
      <c r="JZP132" s="202"/>
      <c r="JZQ132" s="202"/>
      <c r="JZR132" s="202"/>
      <c r="JZS132" s="202"/>
      <c r="JZT132" s="202"/>
      <c r="JZU132" s="202"/>
      <c r="JZV132" s="202"/>
      <c r="JZW132" s="202"/>
      <c r="JZX132" s="202"/>
      <c r="JZY132" s="202"/>
      <c r="JZZ132" s="202"/>
      <c r="KAA132" s="202"/>
      <c r="KAB132" s="202"/>
      <c r="KAC132" s="202"/>
      <c r="KAD132" s="202"/>
      <c r="KAE132" s="202"/>
      <c r="KAF132" s="202"/>
      <c r="KAG132" s="202"/>
      <c r="KAH132" s="202"/>
      <c r="KAI132" s="202"/>
      <c r="KAJ132" s="202"/>
      <c r="KAK132" s="202"/>
      <c r="KAL132" s="202"/>
      <c r="KAM132" s="202"/>
      <c r="KAN132" s="202"/>
      <c r="KAO132" s="202"/>
      <c r="KAP132" s="202"/>
      <c r="KAQ132" s="202"/>
      <c r="KAR132" s="202"/>
      <c r="KAS132" s="202"/>
      <c r="KAT132" s="202"/>
      <c r="KAU132" s="202"/>
      <c r="KAV132" s="202"/>
      <c r="KAW132" s="202"/>
      <c r="KAX132" s="202"/>
      <c r="KAY132" s="202"/>
      <c r="KAZ132" s="202"/>
      <c r="KBA132" s="202"/>
      <c r="KBB132" s="202"/>
      <c r="KBC132" s="202"/>
      <c r="KBD132" s="202"/>
      <c r="KBE132" s="202"/>
      <c r="KBF132" s="202"/>
      <c r="KBG132" s="202"/>
      <c r="KBH132" s="202"/>
      <c r="KBI132" s="202"/>
      <c r="KBJ132" s="202"/>
      <c r="KBK132" s="202"/>
      <c r="KBL132" s="202"/>
      <c r="KBM132" s="202"/>
      <c r="KBN132" s="202"/>
      <c r="KBO132" s="202"/>
      <c r="KBP132" s="202"/>
      <c r="KBQ132" s="202"/>
      <c r="KBR132" s="202"/>
      <c r="KBS132" s="202"/>
      <c r="KBT132" s="202"/>
      <c r="KBU132" s="202"/>
      <c r="KBV132" s="202"/>
      <c r="KBW132" s="202"/>
      <c r="KBX132" s="202"/>
      <c r="KBY132" s="202"/>
      <c r="KBZ132" s="202"/>
      <c r="KCA132" s="202"/>
      <c r="KCB132" s="202"/>
      <c r="KCC132" s="202"/>
      <c r="KCD132" s="202"/>
      <c r="KCE132" s="202"/>
      <c r="KCF132" s="202"/>
      <c r="KCG132" s="202"/>
      <c r="KCH132" s="202"/>
      <c r="KCI132" s="202"/>
      <c r="KCJ132" s="202"/>
      <c r="KCK132" s="202"/>
      <c r="KCL132" s="202"/>
      <c r="KCM132" s="202"/>
      <c r="KCN132" s="202"/>
      <c r="KCO132" s="202"/>
      <c r="KCP132" s="202"/>
      <c r="KCQ132" s="202"/>
      <c r="KCR132" s="202"/>
      <c r="KCS132" s="202"/>
      <c r="KCT132" s="202"/>
      <c r="KCU132" s="202"/>
      <c r="KCV132" s="202"/>
      <c r="KCW132" s="202"/>
      <c r="KCX132" s="202"/>
      <c r="KCY132" s="202"/>
      <c r="KCZ132" s="202"/>
      <c r="KDA132" s="202"/>
      <c r="KDB132" s="202"/>
      <c r="KDC132" s="202"/>
      <c r="KDD132" s="202"/>
      <c r="KDE132" s="202"/>
      <c r="KDF132" s="202"/>
      <c r="KDG132" s="202"/>
      <c r="KDH132" s="202"/>
      <c r="KDI132" s="202"/>
      <c r="KDJ132" s="202"/>
      <c r="KDK132" s="202"/>
      <c r="KDL132" s="202"/>
      <c r="KDM132" s="202"/>
      <c r="KDN132" s="202"/>
      <c r="KDO132" s="202"/>
      <c r="KDP132" s="202"/>
      <c r="KDQ132" s="202"/>
      <c r="KDR132" s="202"/>
      <c r="KDS132" s="202"/>
      <c r="KDT132" s="202"/>
      <c r="KDU132" s="202"/>
      <c r="KDV132" s="202"/>
      <c r="KDW132" s="202"/>
      <c r="KDX132" s="202"/>
      <c r="KDY132" s="202"/>
      <c r="KDZ132" s="202"/>
      <c r="KEA132" s="202"/>
      <c r="KEB132" s="202"/>
      <c r="KEC132" s="202"/>
      <c r="KED132" s="202"/>
      <c r="KEE132" s="202"/>
      <c r="KEF132" s="202"/>
      <c r="KEG132" s="202"/>
      <c r="KEH132" s="202"/>
      <c r="KEI132" s="202"/>
      <c r="KEJ132" s="202"/>
      <c r="KEK132" s="202"/>
      <c r="KEL132" s="202"/>
      <c r="KEM132" s="202"/>
      <c r="KEN132" s="202"/>
      <c r="KEO132" s="202"/>
      <c r="KEP132" s="202"/>
      <c r="KEQ132" s="202"/>
      <c r="KER132" s="202"/>
      <c r="KES132" s="202"/>
      <c r="KET132" s="202"/>
      <c r="KEU132" s="202"/>
      <c r="KEV132" s="202"/>
      <c r="KEW132" s="202"/>
      <c r="KEX132" s="202"/>
      <c r="KEY132" s="202"/>
      <c r="KEZ132" s="202"/>
      <c r="KFA132" s="202"/>
      <c r="KFB132" s="202"/>
      <c r="KFC132" s="202"/>
      <c r="KFD132" s="202"/>
      <c r="KFE132" s="202"/>
      <c r="KFF132" s="202"/>
      <c r="KFG132" s="202"/>
      <c r="KFH132" s="202"/>
      <c r="KFI132" s="202"/>
      <c r="KFJ132" s="202"/>
      <c r="KFK132" s="202"/>
      <c r="KFL132" s="202"/>
      <c r="KFM132" s="202"/>
      <c r="KFN132" s="202"/>
      <c r="KFO132" s="202"/>
      <c r="KFP132" s="202"/>
      <c r="KFQ132" s="202"/>
      <c r="KFR132" s="202"/>
      <c r="KFS132" s="202"/>
      <c r="KFT132" s="202"/>
      <c r="KFU132" s="202"/>
      <c r="KFV132" s="202"/>
      <c r="KFW132" s="202"/>
      <c r="KFX132" s="202"/>
      <c r="KFY132" s="202"/>
      <c r="KFZ132" s="202"/>
      <c r="KGA132" s="202"/>
      <c r="KGB132" s="202"/>
      <c r="KGC132" s="202"/>
      <c r="KGD132" s="202"/>
      <c r="KGE132" s="202"/>
      <c r="KGF132" s="202"/>
      <c r="KGG132" s="202"/>
      <c r="KGH132" s="202"/>
      <c r="KGI132" s="202"/>
      <c r="KGJ132" s="202"/>
      <c r="KGK132" s="202"/>
      <c r="KGL132" s="202"/>
      <c r="KGM132" s="202"/>
      <c r="KGN132" s="202"/>
      <c r="KGO132" s="202"/>
      <c r="KGP132" s="202"/>
      <c r="KGQ132" s="202"/>
      <c r="KGR132" s="202"/>
      <c r="KGS132" s="202"/>
      <c r="KGT132" s="202"/>
      <c r="KGU132" s="202"/>
      <c r="KGV132" s="202"/>
      <c r="KGW132" s="202"/>
      <c r="KGX132" s="202"/>
      <c r="KGY132" s="202"/>
      <c r="KGZ132" s="202"/>
      <c r="KHA132" s="202"/>
      <c r="KHB132" s="202"/>
      <c r="KHC132" s="202"/>
      <c r="KHD132" s="202"/>
      <c r="KHE132" s="202"/>
      <c r="KHF132" s="202"/>
      <c r="KHG132" s="202"/>
      <c r="KHH132" s="202"/>
      <c r="KHI132" s="202"/>
      <c r="KHJ132" s="202"/>
      <c r="KHK132" s="202"/>
      <c r="KHL132" s="202"/>
      <c r="KHM132" s="202"/>
      <c r="KHN132" s="202"/>
      <c r="KHO132" s="202"/>
      <c r="KHP132" s="202"/>
      <c r="KHQ132" s="202"/>
      <c r="KHR132" s="202"/>
      <c r="KHS132" s="202"/>
      <c r="KHT132" s="202"/>
      <c r="KHU132" s="202"/>
      <c r="KHV132" s="202"/>
      <c r="KHW132" s="202"/>
      <c r="KHX132" s="202"/>
      <c r="KHY132" s="202"/>
      <c r="KHZ132" s="202"/>
      <c r="KIA132" s="202"/>
      <c r="KIB132" s="202"/>
      <c r="KIC132" s="202"/>
      <c r="KID132" s="202"/>
      <c r="KIE132" s="202"/>
      <c r="KIF132" s="202"/>
      <c r="KIG132" s="202"/>
      <c r="KIH132" s="202"/>
      <c r="KII132" s="202"/>
      <c r="KIJ132" s="202"/>
      <c r="KIK132" s="202"/>
      <c r="KIL132" s="202"/>
      <c r="KIM132" s="202"/>
      <c r="KIN132" s="202"/>
      <c r="KIO132" s="202"/>
      <c r="KIP132" s="202"/>
      <c r="KIQ132" s="202"/>
      <c r="KIR132" s="202"/>
      <c r="KIS132" s="202"/>
      <c r="KIT132" s="202"/>
      <c r="KIU132" s="202"/>
      <c r="KIV132" s="202"/>
      <c r="KIW132" s="202"/>
      <c r="KIX132" s="202"/>
      <c r="KIY132" s="202"/>
      <c r="KIZ132" s="202"/>
      <c r="KJA132" s="202"/>
      <c r="KJB132" s="202"/>
      <c r="KJC132" s="202"/>
      <c r="KJD132" s="202"/>
      <c r="KJE132" s="202"/>
      <c r="KJF132" s="202"/>
      <c r="KJG132" s="202"/>
      <c r="KJH132" s="202"/>
      <c r="KJI132" s="202"/>
      <c r="KJJ132" s="202"/>
      <c r="KJK132" s="202"/>
      <c r="KJL132" s="202"/>
      <c r="KJM132" s="202"/>
      <c r="KJN132" s="202"/>
      <c r="KJO132" s="202"/>
      <c r="KJP132" s="202"/>
      <c r="KJQ132" s="202"/>
      <c r="KJR132" s="202"/>
      <c r="KJS132" s="202"/>
      <c r="KJT132" s="202"/>
      <c r="KJU132" s="202"/>
      <c r="KJV132" s="202"/>
      <c r="KJW132" s="202"/>
      <c r="KJX132" s="202"/>
      <c r="KJY132" s="202"/>
      <c r="KJZ132" s="202"/>
      <c r="KKA132" s="202"/>
      <c r="KKB132" s="202"/>
      <c r="KKC132" s="202"/>
      <c r="KKD132" s="202"/>
      <c r="KKE132" s="202"/>
      <c r="KKF132" s="202"/>
      <c r="KKG132" s="202"/>
      <c r="KKH132" s="202"/>
      <c r="KKI132" s="202"/>
      <c r="KKJ132" s="202"/>
      <c r="KKK132" s="202"/>
      <c r="KKL132" s="202"/>
      <c r="KKM132" s="202"/>
      <c r="KKN132" s="202"/>
      <c r="KKO132" s="202"/>
      <c r="KKP132" s="202"/>
      <c r="KKQ132" s="202"/>
      <c r="KKR132" s="202"/>
      <c r="KKS132" s="202"/>
      <c r="KKT132" s="202"/>
      <c r="KKU132" s="202"/>
      <c r="KKV132" s="202"/>
      <c r="KKW132" s="202"/>
      <c r="KKX132" s="202"/>
      <c r="KKY132" s="202"/>
      <c r="KKZ132" s="202"/>
      <c r="KLA132" s="202"/>
      <c r="KLB132" s="202"/>
      <c r="KLC132" s="202"/>
      <c r="KLD132" s="202"/>
      <c r="KLE132" s="202"/>
      <c r="KLF132" s="202"/>
      <c r="KLG132" s="202"/>
      <c r="KLH132" s="202"/>
      <c r="KLI132" s="202"/>
      <c r="KLJ132" s="202"/>
      <c r="KLK132" s="202"/>
      <c r="KLL132" s="202"/>
      <c r="KLM132" s="202"/>
      <c r="KLN132" s="202"/>
      <c r="KLO132" s="202"/>
      <c r="KLP132" s="202"/>
      <c r="KLQ132" s="202"/>
      <c r="KLR132" s="202"/>
      <c r="KLS132" s="202"/>
      <c r="KLT132" s="202"/>
      <c r="KLU132" s="202"/>
      <c r="KLV132" s="202"/>
      <c r="KLW132" s="202"/>
      <c r="KLX132" s="202"/>
      <c r="KLY132" s="202"/>
      <c r="KLZ132" s="202"/>
      <c r="KMA132" s="202"/>
      <c r="KMB132" s="202"/>
      <c r="KMC132" s="202"/>
      <c r="KMD132" s="202"/>
      <c r="KME132" s="202"/>
      <c r="KMF132" s="202"/>
      <c r="KMG132" s="202"/>
      <c r="KMH132" s="202"/>
      <c r="KMI132" s="202"/>
      <c r="KMJ132" s="202"/>
      <c r="KMK132" s="202"/>
      <c r="KML132" s="202"/>
      <c r="KMM132" s="202"/>
      <c r="KMN132" s="202"/>
      <c r="KMO132" s="202"/>
      <c r="KMP132" s="202"/>
      <c r="KMQ132" s="202"/>
      <c r="KMR132" s="202"/>
      <c r="KMS132" s="202"/>
      <c r="KMT132" s="202"/>
      <c r="KMU132" s="202"/>
      <c r="KMV132" s="202"/>
      <c r="KMW132" s="202"/>
      <c r="KMX132" s="202"/>
      <c r="KMY132" s="202"/>
      <c r="KMZ132" s="202"/>
      <c r="KNA132" s="202"/>
      <c r="KNB132" s="202"/>
      <c r="KNC132" s="202"/>
      <c r="KND132" s="202"/>
      <c r="KNE132" s="202"/>
      <c r="KNF132" s="202"/>
      <c r="KNG132" s="202"/>
      <c r="KNH132" s="202"/>
      <c r="KNI132" s="202"/>
      <c r="KNJ132" s="202"/>
      <c r="KNK132" s="202"/>
      <c r="KNL132" s="202"/>
      <c r="KNM132" s="202"/>
      <c r="KNN132" s="202"/>
      <c r="KNO132" s="202"/>
      <c r="KNP132" s="202"/>
      <c r="KNQ132" s="202"/>
      <c r="KNR132" s="202"/>
      <c r="KNS132" s="202"/>
      <c r="KNT132" s="202"/>
      <c r="KNU132" s="202"/>
      <c r="KNV132" s="202"/>
      <c r="KNW132" s="202"/>
      <c r="KNX132" s="202"/>
      <c r="KNY132" s="202"/>
      <c r="KNZ132" s="202"/>
      <c r="KOA132" s="202"/>
      <c r="KOB132" s="202"/>
      <c r="KOC132" s="202"/>
      <c r="KOD132" s="202"/>
      <c r="KOE132" s="202"/>
      <c r="KOF132" s="202"/>
      <c r="KOG132" s="202"/>
      <c r="KOH132" s="202"/>
      <c r="KOI132" s="202"/>
      <c r="KOJ132" s="202"/>
      <c r="KOK132" s="202"/>
      <c r="KOL132" s="202"/>
      <c r="KOM132" s="202"/>
      <c r="KON132" s="202"/>
      <c r="KOO132" s="202"/>
      <c r="KOP132" s="202"/>
      <c r="KOQ132" s="202"/>
      <c r="KOR132" s="202"/>
      <c r="KOS132" s="202"/>
      <c r="KOT132" s="202"/>
      <c r="KOU132" s="202"/>
      <c r="KOV132" s="202"/>
      <c r="KOW132" s="202"/>
      <c r="KOX132" s="202"/>
      <c r="KOY132" s="202"/>
      <c r="KOZ132" s="202"/>
      <c r="KPA132" s="202"/>
      <c r="KPB132" s="202"/>
      <c r="KPC132" s="202"/>
      <c r="KPD132" s="202"/>
      <c r="KPE132" s="202"/>
      <c r="KPF132" s="202"/>
      <c r="KPG132" s="202"/>
      <c r="KPH132" s="202"/>
      <c r="KPI132" s="202"/>
      <c r="KPJ132" s="202"/>
      <c r="KPK132" s="202"/>
      <c r="KPL132" s="202"/>
      <c r="KPM132" s="202"/>
      <c r="KPN132" s="202"/>
      <c r="KPO132" s="202"/>
      <c r="KPP132" s="202"/>
      <c r="KPQ132" s="202"/>
      <c r="KPR132" s="202"/>
      <c r="KPS132" s="202"/>
      <c r="KPT132" s="202"/>
      <c r="KPU132" s="202"/>
      <c r="KPV132" s="202"/>
      <c r="KPW132" s="202"/>
      <c r="KPX132" s="202"/>
      <c r="KPY132" s="202"/>
      <c r="KPZ132" s="202"/>
      <c r="KQA132" s="202"/>
      <c r="KQB132" s="202"/>
      <c r="KQC132" s="202"/>
      <c r="KQD132" s="202"/>
      <c r="KQE132" s="202"/>
      <c r="KQF132" s="202"/>
      <c r="KQG132" s="202"/>
      <c r="KQH132" s="202"/>
      <c r="KQI132" s="202"/>
      <c r="KQJ132" s="202"/>
      <c r="KQK132" s="202"/>
      <c r="KQL132" s="202"/>
      <c r="KQM132" s="202"/>
      <c r="KQN132" s="202"/>
      <c r="KQO132" s="202"/>
      <c r="KQP132" s="202"/>
      <c r="KQQ132" s="202"/>
      <c r="KQR132" s="202"/>
      <c r="KQS132" s="202"/>
      <c r="KQT132" s="202"/>
      <c r="KQU132" s="202"/>
      <c r="KQV132" s="202"/>
      <c r="KQW132" s="202"/>
      <c r="KQX132" s="202"/>
      <c r="KQY132" s="202"/>
      <c r="KQZ132" s="202"/>
      <c r="KRA132" s="202"/>
      <c r="KRB132" s="202"/>
      <c r="KRC132" s="202"/>
      <c r="KRD132" s="202"/>
      <c r="KRE132" s="202"/>
      <c r="KRF132" s="202"/>
      <c r="KRG132" s="202"/>
      <c r="KRH132" s="202"/>
      <c r="KRI132" s="202"/>
      <c r="KRJ132" s="202"/>
      <c r="KRK132" s="202"/>
      <c r="KRL132" s="202"/>
      <c r="KRM132" s="202"/>
      <c r="KRN132" s="202"/>
      <c r="KRO132" s="202"/>
      <c r="KRP132" s="202"/>
      <c r="KRQ132" s="202"/>
      <c r="KRR132" s="202"/>
      <c r="KRS132" s="202"/>
      <c r="KRT132" s="202"/>
      <c r="KRU132" s="202"/>
      <c r="KRV132" s="202"/>
      <c r="KRW132" s="202"/>
      <c r="KRX132" s="202"/>
      <c r="KRY132" s="202"/>
      <c r="KRZ132" s="202"/>
      <c r="KSA132" s="202"/>
      <c r="KSB132" s="202"/>
      <c r="KSC132" s="202"/>
      <c r="KSD132" s="202"/>
      <c r="KSE132" s="202"/>
      <c r="KSF132" s="202"/>
      <c r="KSG132" s="202"/>
      <c r="KSH132" s="202"/>
      <c r="KSI132" s="202"/>
      <c r="KSJ132" s="202"/>
      <c r="KSK132" s="202"/>
      <c r="KSL132" s="202"/>
      <c r="KSM132" s="202"/>
      <c r="KSN132" s="202"/>
      <c r="KSO132" s="202"/>
      <c r="KSP132" s="202"/>
      <c r="KSQ132" s="202"/>
      <c r="KSR132" s="202"/>
      <c r="KSS132" s="202"/>
      <c r="KST132" s="202"/>
      <c r="KSU132" s="202"/>
      <c r="KSV132" s="202"/>
      <c r="KSW132" s="202"/>
      <c r="KSX132" s="202"/>
      <c r="KSY132" s="202"/>
      <c r="KSZ132" s="202"/>
      <c r="KTA132" s="202"/>
      <c r="KTB132" s="202"/>
      <c r="KTC132" s="202"/>
      <c r="KTD132" s="202"/>
      <c r="KTE132" s="202"/>
      <c r="KTF132" s="202"/>
      <c r="KTG132" s="202"/>
      <c r="KTH132" s="202"/>
      <c r="KTI132" s="202"/>
      <c r="KTJ132" s="202"/>
      <c r="KTK132" s="202"/>
      <c r="KTL132" s="202"/>
      <c r="KTM132" s="202"/>
      <c r="KTN132" s="202"/>
      <c r="KTO132" s="202"/>
      <c r="KTP132" s="202"/>
      <c r="KTQ132" s="202"/>
      <c r="KTR132" s="202"/>
      <c r="KTS132" s="202"/>
      <c r="KTT132" s="202"/>
      <c r="KTU132" s="202"/>
      <c r="KTV132" s="202"/>
      <c r="KTW132" s="202"/>
      <c r="KTX132" s="202"/>
      <c r="KTY132" s="202"/>
      <c r="KTZ132" s="202"/>
      <c r="KUA132" s="202"/>
      <c r="KUB132" s="202"/>
      <c r="KUC132" s="202"/>
      <c r="KUD132" s="202"/>
      <c r="KUE132" s="202"/>
      <c r="KUF132" s="202"/>
      <c r="KUG132" s="202"/>
      <c r="KUH132" s="202"/>
      <c r="KUI132" s="202"/>
      <c r="KUJ132" s="202"/>
      <c r="KUK132" s="202"/>
      <c r="KUL132" s="202"/>
      <c r="KUM132" s="202"/>
      <c r="KUN132" s="202"/>
      <c r="KUO132" s="202"/>
      <c r="KUP132" s="202"/>
      <c r="KUQ132" s="202"/>
      <c r="KUR132" s="202"/>
      <c r="KUS132" s="202"/>
      <c r="KUT132" s="202"/>
      <c r="KUU132" s="202"/>
      <c r="KUV132" s="202"/>
      <c r="KUW132" s="202"/>
      <c r="KUX132" s="202"/>
      <c r="KUY132" s="202"/>
      <c r="KUZ132" s="202"/>
      <c r="KVA132" s="202"/>
      <c r="KVB132" s="202"/>
      <c r="KVC132" s="202"/>
      <c r="KVD132" s="202"/>
      <c r="KVE132" s="202"/>
      <c r="KVF132" s="202"/>
      <c r="KVG132" s="202"/>
      <c r="KVH132" s="202"/>
      <c r="KVI132" s="202"/>
      <c r="KVJ132" s="202"/>
      <c r="KVK132" s="202"/>
      <c r="KVL132" s="202"/>
      <c r="KVM132" s="202"/>
      <c r="KVN132" s="202"/>
      <c r="KVO132" s="202"/>
      <c r="KVP132" s="202"/>
      <c r="KVQ132" s="202"/>
      <c r="KVR132" s="202"/>
      <c r="KVS132" s="202"/>
      <c r="KVT132" s="202"/>
      <c r="KVU132" s="202"/>
      <c r="KVV132" s="202"/>
      <c r="KVW132" s="202"/>
      <c r="KVX132" s="202"/>
      <c r="KVY132" s="202"/>
      <c r="KVZ132" s="202"/>
      <c r="KWA132" s="202"/>
      <c r="KWB132" s="202"/>
      <c r="KWC132" s="202"/>
      <c r="KWD132" s="202"/>
      <c r="KWE132" s="202"/>
      <c r="KWF132" s="202"/>
      <c r="KWG132" s="202"/>
      <c r="KWH132" s="202"/>
      <c r="KWI132" s="202"/>
      <c r="KWJ132" s="202"/>
      <c r="KWK132" s="202"/>
      <c r="KWL132" s="202"/>
      <c r="KWM132" s="202"/>
      <c r="KWN132" s="202"/>
      <c r="KWO132" s="202"/>
      <c r="KWP132" s="202"/>
      <c r="KWQ132" s="202"/>
      <c r="KWR132" s="202"/>
      <c r="KWS132" s="202"/>
      <c r="KWT132" s="202"/>
      <c r="KWU132" s="202"/>
      <c r="KWV132" s="202"/>
      <c r="KWW132" s="202"/>
      <c r="KWX132" s="202"/>
      <c r="KWY132" s="202"/>
      <c r="KWZ132" s="202"/>
      <c r="KXA132" s="202"/>
      <c r="KXB132" s="202"/>
      <c r="KXC132" s="202"/>
      <c r="KXD132" s="202"/>
      <c r="KXE132" s="202"/>
      <c r="KXF132" s="202"/>
      <c r="KXG132" s="202"/>
      <c r="KXH132" s="202"/>
      <c r="KXI132" s="202"/>
      <c r="KXJ132" s="202"/>
      <c r="KXK132" s="202"/>
      <c r="KXL132" s="202"/>
      <c r="KXM132" s="202"/>
      <c r="KXN132" s="202"/>
      <c r="KXO132" s="202"/>
      <c r="KXP132" s="202"/>
      <c r="KXQ132" s="202"/>
      <c r="KXR132" s="202"/>
      <c r="KXS132" s="202"/>
      <c r="KXT132" s="202"/>
      <c r="KXU132" s="202"/>
      <c r="KXV132" s="202"/>
      <c r="KXW132" s="202"/>
      <c r="KXX132" s="202"/>
      <c r="KXY132" s="202"/>
      <c r="KXZ132" s="202"/>
      <c r="KYA132" s="202"/>
      <c r="KYB132" s="202"/>
      <c r="KYC132" s="202"/>
      <c r="KYD132" s="202"/>
      <c r="KYE132" s="202"/>
      <c r="KYF132" s="202"/>
      <c r="KYG132" s="202"/>
      <c r="KYH132" s="202"/>
      <c r="KYI132" s="202"/>
      <c r="KYJ132" s="202"/>
      <c r="KYK132" s="202"/>
      <c r="KYL132" s="202"/>
      <c r="KYM132" s="202"/>
      <c r="KYN132" s="202"/>
      <c r="KYO132" s="202"/>
      <c r="KYP132" s="202"/>
      <c r="KYQ132" s="202"/>
      <c r="KYR132" s="202"/>
      <c r="KYS132" s="202"/>
      <c r="KYT132" s="202"/>
      <c r="KYU132" s="202"/>
      <c r="KYV132" s="202"/>
      <c r="KYW132" s="202"/>
      <c r="KYX132" s="202"/>
      <c r="KYY132" s="202"/>
      <c r="KYZ132" s="202"/>
      <c r="KZA132" s="202"/>
      <c r="KZB132" s="202"/>
      <c r="KZC132" s="202"/>
      <c r="KZD132" s="202"/>
      <c r="KZE132" s="202"/>
      <c r="KZF132" s="202"/>
      <c r="KZG132" s="202"/>
      <c r="KZH132" s="202"/>
      <c r="KZI132" s="202"/>
      <c r="KZJ132" s="202"/>
      <c r="KZK132" s="202"/>
      <c r="KZL132" s="202"/>
      <c r="KZM132" s="202"/>
      <c r="KZN132" s="202"/>
      <c r="KZO132" s="202"/>
      <c r="KZP132" s="202"/>
      <c r="KZQ132" s="202"/>
      <c r="KZR132" s="202"/>
      <c r="KZS132" s="202"/>
      <c r="KZT132" s="202"/>
      <c r="KZU132" s="202"/>
      <c r="KZV132" s="202"/>
      <c r="KZW132" s="202"/>
      <c r="KZX132" s="202"/>
      <c r="KZY132" s="202"/>
      <c r="KZZ132" s="202"/>
      <c r="LAA132" s="202"/>
      <c r="LAB132" s="202"/>
      <c r="LAC132" s="202"/>
      <c r="LAD132" s="202"/>
      <c r="LAE132" s="202"/>
      <c r="LAF132" s="202"/>
      <c r="LAG132" s="202"/>
      <c r="LAH132" s="202"/>
      <c r="LAI132" s="202"/>
      <c r="LAJ132" s="202"/>
      <c r="LAK132" s="202"/>
      <c r="LAL132" s="202"/>
      <c r="LAM132" s="202"/>
      <c r="LAN132" s="202"/>
      <c r="LAO132" s="202"/>
      <c r="LAP132" s="202"/>
      <c r="LAQ132" s="202"/>
      <c r="LAR132" s="202"/>
      <c r="LAS132" s="202"/>
      <c r="LAT132" s="202"/>
      <c r="LAU132" s="202"/>
      <c r="LAV132" s="202"/>
      <c r="LAW132" s="202"/>
      <c r="LAX132" s="202"/>
      <c r="LAY132" s="202"/>
      <c r="LAZ132" s="202"/>
      <c r="LBA132" s="202"/>
      <c r="LBB132" s="202"/>
      <c r="LBC132" s="202"/>
      <c r="LBD132" s="202"/>
      <c r="LBE132" s="202"/>
      <c r="LBF132" s="202"/>
      <c r="LBG132" s="202"/>
      <c r="LBH132" s="202"/>
      <c r="LBI132" s="202"/>
      <c r="LBJ132" s="202"/>
      <c r="LBK132" s="202"/>
      <c r="LBL132" s="202"/>
      <c r="LBM132" s="202"/>
      <c r="LBN132" s="202"/>
      <c r="LBO132" s="202"/>
      <c r="LBP132" s="202"/>
      <c r="LBQ132" s="202"/>
      <c r="LBR132" s="202"/>
      <c r="LBS132" s="202"/>
      <c r="LBT132" s="202"/>
      <c r="LBU132" s="202"/>
      <c r="LBV132" s="202"/>
      <c r="LBW132" s="202"/>
      <c r="LBX132" s="202"/>
      <c r="LBY132" s="202"/>
      <c r="LBZ132" s="202"/>
      <c r="LCA132" s="202"/>
      <c r="LCB132" s="202"/>
      <c r="LCC132" s="202"/>
      <c r="LCD132" s="202"/>
      <c r="LCE132" s="202"/>
      <c r="LCF132" s="202"/>
      <c r="LCG132" s="202"/>
      <c r="LCH132" s="202"/>
      <c r="LCI132" s="202"/>
      <c r="LCJ132" s="202"/>
      <c r="LCK132" s="202"/>
      <c r="LCL132" s="202"/>
      <c r="LCM132" s="202"/>
      <c r="LCN132" s="202"/>
      <c r="LCO132" s="202"/>
      <c r="LCP132" s="202"/>
      <c r="LCQ132" s="202"/>
      <c r="LCR132" s="202"/>
      <c r="LCS132" s="202"/>
      <c r="LCT132" s="202"/>
      <c r="LCU132" s="202"/>
      <c r="LCV132" s="202"/>
      <c r="LCW132" s="202"/>
      <c r="LCX132" s="202"/>
      <c r="LCY132" s="202"/>
      <c r="LCZ132" s="202"/>
      <c r="LDA132" s="202"/>
      <c r="LDB132" s="202"/>
      <c r="LDC132" s="202"/>
      <c r="LDD132" s="202"/>
      <c r="LDE132" s="202"/>
      <c r="LDF132" s="202"/>
      <c r="LDG132" s="202"/>
      <c r="LDH132" s="202"/>
      <c r="LDI132" s="202"/>
      <c r="LDJ132" s="202"/>
      <c r="LDK132" s="202"/>
      <c r="LDL132" s="202"/>
      <c r="LDM132" s="202"/>
      <c r="LDN132" s="202"/>
      <c r="LDO132" s="202"/>
      <c r="LDP132" s="202"/>
      <c r="LDQ132" s="202"/>
      <c r="LDR132" s="202"/>
      <c r="LDS132" s="202"/>
      <c r="LDT132" s="202"/>
      <c r="LDU132" s="202"/>
      <c r="LDV132" s="202"/>
      <c r="LDW132" s="202"/>
      <c r="LDX132" s="202"/>
      <c r="LDY132" s="202"/>
      <c r="LDZ132" s="202"/>
      <c r="LEA132" s="202"/>
      <c r="LEB132" s="202"/>
      <c r="LEC132" s="202"/>
      <c r="LED132" s="202"/>
      <c r="LEE132" s="202"/>
      <c r="LEF132" s="202"/>
      <c r="LEG132" s="202"/>
      <c r="LEH132" s="202"/>
      <c r="LEI132" s="202"/>
      <c r="LEJ132" s="202"/>
      <c r="LEK132" s="202"/>
      <c r="LEL132" s="202"/>
      <c r="LEM132" s="202"/>
      <c r="LEN132" s="202"/>
      <c r="LEO132" s="202"/>
      <c r="LEP132" s="202"/>
      <c r="LEQ132" s="202"/>
      <c r="LER132" s="202"/>
      <c r="LES132" s="202"/>
      <c r="LET132" s="202"/>
      <c r="LEU132" s="202"/>
      <c r="LEV132" s="202"/>
      <c r="LEW132" s="202"/>
      <c r="LEX132" s="202"/>
      <c r="LEY132" s="202"/>
      <c r="LEZ132" s="202"/>
      <c r="LFA132" s="202"/>
      <c r="LFB132" s="202"/>
      <c r="LFC132" s="202"/>
      <c r="LFD132" s="202"/>
      <c r="LFE132" s="202"/>
      <c r="LFF132" s="202"/>
      <c r="LFG132" s="202"/>
      <c r="LFH132" s="202"/>
      <c r="LFI132" s="202"/>
      <c r="LFJ132" s="202"/>
      <c r="LFK132" s="202"/>
      <c r="LFL132" s="202"/>
      <c r="LFM132" s="202"/>
      <c r="LFN132" s="202"/>
      <c r="LFO132" s="202"/>
      <c r="LFP132" s="202"/>
      <c r="LFQ132" s="202"/>
      <c r="LFR132" s="202"/>
      <c r="LFS132" s="202"/>
      <c r="LFT132" s="202"/>
      <c r="LFU132" s="202"/>
      <c r="LFV132" s="202"/>
      <c r="LFW132" s="202"/>
      <c r="LFX132" s="202"/>
      <c r="LFY132" s="202"/>
      <c r="LFZ132" s="202"/>
      <c r="LGA132" s="202"/>
      <c r="LGB132" s="202"/>
      <c r="LGC132" s="202"/>
      <c r="LGD132" s="202"/>
      <c r="LGE132" s="202"/>
      <c r="LGF132" s="202"/>
      <c r="LGG132" s="202"/>
      <c r="LGH132" s="202"/>
      <c r="LGI132" s="202"/>
      <c r="LGJ132" s="202"/>
      <c r="LGK132" s="202"/>
      <c r="LGL132" s="202"/>
      <c r="LGM132" s="202"/>
      <c r="LGN132" s="202"/>
      <c r="LGO132" s="202"/>
      <c r="LGP132" s="202"/>
      <c r="LGQ132" s="202"/>
      <c r="LGR132" s="202"/>
      <c r="LGS132" s="202"/>
      <c r="LGT132" s="202"/>
      <c r="LGU132" s="202"/>
      <c r="LGV132" s="202"/>
      <c r="LGW132" s="202"/>
      <c r="LGX132" s="202"/>
      <c r="LGY132" s="202"/>
      <c r="LGZ132" s="202"/>
      <c r="LHA132" s="202"/>
      <c r="LHB132" s="202"/>
      <c r="LHC132" s="202"/>
      <c r="LHD132" s="202"/>
      <c r="LHE132" s="202"/>
      <c r="LHF132" s="202"/>
      <c r="LHG132" s="202"/>
      <c r="LHH132" s="202"/>
      <c r="LHI132" s="202"/>
      <c r="LHJ132" s="202"/>
      <c r="LHK132" s="202"/>
      <c r="LHL132" s="202"/>
      <c r="LHM132" s="202"/>
      <c r="LHN132" s="202"/>
      <c r="LHO132" s="202"/>
      <c r="LHP132" s="202"/>
      <c r="LHQ132" s="202"/>
      <c r="LHR132" s="202"/>
      <c r="LHS132" s="202"/>
      <c r="LHT132" s="202"/>
      <c r="LHU132" s="202"/>
      <c r="LHV132" s="202"/>
      <c r="LHW132" s="202"/>
      <c r="LHX132" s="202"/>
      <c r="LHY132" s="202"/>
      <c r="LHZ132" s="202"/>
      <c r="LIA132" s="202"/>
      <c r="LIB132" s="202"/>
      <c r="LIC132" s="202"/>
      <c r="LID132" s="202"/>
      <c r="LIE132" s="202"/>
      <c r="LIF132" s="202"/>
      <c r="LIG132" s="202"/>
      <c r="LIH132" s="202"/>
      <c r="LII132" s="202"/>
      <c r="LIJ132" s="202"/>
      <c r="LIK132" s="202"/>
      <c r="LIL132" s="202"/>
      <c r="LIM132" s="202"/>
      <c r="LIN132" s="202"/>
      <c r="LIO132" s="202"/>
      <c r="LIP132" s="202"/>
      <c r="LIQ132" s="202"/>
      <c r="LIR132" s="202"/>
      <c r="LIS132" s="202"/>
      <c r="LIT132" s="202"/>
      <c r="LIU132" s="202"/>
      <c r="LIV132" s="202"/>
      <c r="LIW132" s="202"/>
      <c r="LIX132" s="202"/>
      <c r="LIY132" s="202"/>
      <c r="LIZ132" s="202"/>
      <c r="LJA132" s="202"/>
      <c r="LJB132" s="202"/>
      <c r="LJC132" s="202"/>
      <c r="LJD132" s="202"/>
      <c r="LJE132" s="202"/>
      <c r="LJF132" s="202"/>
      <c r="LJG132" s="202"/>
      <c r="LJH132" s="202"/>
      <c r="LJI132" s="202"/>
      <c r="LJJ132" s="202"/>
      <c r="LJK132" s="202"/>
      <c r="LJL132" s="202"/>
      <c r="LJM132" s="202"/>
      <c r="LJN132" s="202"/>
      <c r="LJO132" s="202"/>
      <c r="LJP132" s="202"/>
      <c r="LJQ132" s="202"/>
      <c r="LJR132" s="202"/>
      <c r="LJS132" s="202"/>
      <c r="LJT132" s="202"/>
      <c r="LJU132" s="202"/>
      <c r="LJV132" s="202"/>
      <c r="LJW132" s="202"/>
      <c r="LJX132" s="202"/>
      <c r="LJY132" s="202"/>
      <c r="LJZ132" s="202"/>
      <c r="LKA132" s="202"/>
      <c r="LKB132" s="202"/>
      <c r="LKC132" s="202"/>
      <c r="LKD132" s="202"/>
      <c r="LKE132" s="202"/>
      <c r="LKF132" s="202"/>
      <c r="LKG132" s="202"/>
      <c r="LKH132" s="202"/>
      <c r="LKI132" s="202"/>
      <c r="LKJ132" s="202"/>
      <c r="LKK132" s="202"/>
      <c r="LKL132" s="202"/>
      <c r="LKM132" s="202"/>
      <c r="LKN132" s="202"/>
      <c r="LKO132" s="202"/>
      <c r="LKP132" s="202"/>
      <c r="LKQ132" s="202"/>
      <c r="LKR132" s="202"/>
      <c r="LKS132" s="202"/>
      <c r="LKT132" s="202"/>
      <c r="LKU132" s="202"/>
      <c r="LKV132" s="202"/>
      <c r="LKW132" s="202"/>
      <c r="LKX132" s="202"/>
      <c r="LKY132" s="202"/>
      <c r="LKZ132" s="202"/>
      <c r="LLA132" s="202"/>
      <c r="LLB132" s="202"/>
      <c r="LLC132" s="202"/>
      <c r="LLD132" s="202"/>
      <c r="LLE132" s="202"/>
      <c r="LLF132" s="202"/>
      <c r="LLG132" s="202"/>
      <c r="LLH132" s="202"/>
      <c r="LLI132" s="202"/>
      <c r="LLJ132" s="202"/>
      <c r="LLK132" s="202"/>
      <c r="LLL132" s="202"/>
      <c r="LLM132" s="202"/>
      <c r="LLN132" s="202"/>
      <c r="LLO132" s="202"/>
      <c r="LLP132" s="202"/>
      <c r="LLQ132" s="202"/>
      <c r="LLR132" s="202"/>
      <c r="LLS132" s="202"/>
      <c r="LLT132" s="202"/>
      <c r="LLU132" s="202"/>
      <c r="LLV132" s="202"/>
      <c r="LLW132" s="202"/>
      <c r="LLX132" s="202"/>
      <c r="LLY132" s="202"/>
      <c r="LLZ132" s="202"/>
      <c r="LMA132" s="202"/>
      <c r="LMB132" s="202"/>
      <c r="LMC132" s="202"/>
      <c r="LMD132" s="202"/>
      <c r="LME132" s="202"/>
      <c r="LMF132" s="202"/>
      <c r="LMG132" s="202"/>
      <c r="LMH132" s="202"/>
      <c r="LMI132" s="202"/>
      <c r="LMJ132" s="202"/>
      <c r="LMK132" s="202"/>
      <c r="LML132" s="202"/>
      <c r="LMM132" s="202"/>
      <c r="LMN132" s="202"/>
      <c r="LMO132" s="202"/>
      <c r="LMP132" s="202"/>
      <c r="LMQ132" s="202"/>
      <c r="LMR132" s="202"/>
      <c r="LMS132" s="202"/>
      <c r="LMT132" s="202"/>
      <c r="LMU132" s="202"/>
      <c r="LMV132" s="202"/>
      <c r="LMW132" s="202"/>
      <c r="LMX132" s="202"/>
      <c r="LMY132" s="202"/>
      <c r="LMZ132" s="202"/>
      <c r="LNA132" s="202"/>
      <c r="LNB132" s="202"/>
      <c r="LNC132" s="202"/>
      <c r="LND132" s="202"/>
      <c r="LNE132" s="202"/>
      <c r="LNF132" s="202"/>
      <c r="LNG132" s="202"/>
      <c r="LNH132" s="202"/>
      <c r="LNI132" s="202"/>
      <c r="LNJ132" s="202"/>
      <c r="LNK132" s="202"/>
      <c r="LNL132" s="202"/>
      <c r="LNM132" s="202"/>
      <c r="LNN132" s="202"/>
      <c r="LNO132" s="202"/>
      <c r="LNP132" s="202"/>
      <c r="LNQ132" s="202"/>
      <c r="LNR132" s="202"/>
      <c r="LNS132" s="202"/>
      <c r="LNT132" s="202"/>
      <c r="LNU132" s="202"/>
      <c r="LNV132" s="202"/>
      <c r="LNW132" s="202"/>
      <c r="LNX132" s="202"/>
      <c r="LNY132" s="202"/>
      <c r="LNZ132" s="202"/>
      <c r="LOA132" s="202"/>
      <c r="LOB132" s="202"/>
      <c r="LOC132" s="202"/>
      <c r="LOD132" s="202"/>
      <c r="LOE132" s="202"/>
      <c r="LOF132" s="202"/>
      <c r="LOG132" s="202"/>
      <c r="LOH132" s="202"/>
      <c r="LOI132" s="202"/>
      <c r="LOJ132" s="202"/>
      <c r="LOK132" s="202"/>
      <c r="LOL132" s="202"/>
      <c r="LOM132" s="202"/>
      <c r="LON132" s="202"/>
      <c r="LOO132" s="202"/>
      <c r="LOP132" s="202"/>
      <c r="LOQ132" s="202"/>
      <c r="LOR132" s="202"/>
      <c r="LOS132" s="202"/>
      <c r="LOT132" s="202"/>
      <c r="LOU132" s="202"/>
      <c r="LOV132" s="202"/>
      <c r="LOW132" s="202"/>
      <c r="LOX132" s="202"/>
      <c r="LOY132" s="202"/>
      <c r="LOZ132" s="202"/>
      <c r="LPA132" s="202"/>
      <c r="LPB132" s="202"/>
      <c r="LPC132" s="202"/>
      <c r="LPD132" s="202"/>
      <c r="LPE132" s="202"/>
      <c r="LPF132" s="202"/>
      <c r="LPG132" s="202"/>
      <c r="LPH132" s="202"/>
      <c r="LPI132" s="202"/>
      <c r="LPJ132" s="202"/>
      <c r="LPK132" s="202"/>
      <c r="LPL132" s="202"/>
      <c r="LPM132" s="202"/>
      <c r="LPN132" s="202"/>
      <c r="LPO132" s="202"/>
      <c r="LPP132" s="202"/>
      <c r="LPQ132" s="202"/>
      <c r="LPR132" s="202"/>
      <c r="LPS132" s="202"/>
      <c r="LPT132" s="202"/>
      <c r="LPU132" s="202"/>
      <c r="LPV132" s="202"/>
      <c r="LPW132" s="202"/>
      <c r="LPX132" s="202"/>
      <c r="LPY132" s="202"/>
      <c r="LPZ132" s="202"/>
      <c r="LQA132" s="202"/>
      <c r="LQB132" s="202"/>
      <c r="LQC132" s="202"/>
      <c r="LQD132" s="202"/>
      <c r="LQE132" s="202"/>
      <c r="LQF132" s="202"/>
      <c r="LQG132" s="202"/>
      <c r="LQH132" s="202"/>
      <c r="LQI132" s="202"/>
      <c r="LQJ132" s="202"/>
      <c r="LQK132" s="202"/>
      <c r="LQL132" s="202"/>
      <c r="LQM132" s="202"/>
      <c r="LQN132" s="202"/>
      <c r="LQO132" s="202"/>
      <c r="LQP132" s="202"/>
      <c r="LQQ132" s="202"/>
      <c r="LQR132" s="202"/>
      <c r="LQS132" s="202"/>
      <c r="LQT132" s="202"/>
      <c r="LQU132" s="202"/>
      <c r="LQV132" s="202"/>
      <c r="LQW132" s="202"/>
      <c r="LQX132" s="202"/>
      <c r="LQY132" s="202"/>
      <c r="LQZ132" s="202"/>
      <c r="LRA132" s="202"/>
      <c r="LRB132" s="202"/>
      <c r="LRC132" s="202"/>
      <c r="LRD132" s="202"/>
      <c r="LRE132" s="202"/>
      <c r="LRF132" s="202"/>
      <c r="LRG132" s="202"/>
      <c r="LRH132" s="202"/>
      <c r="LRI132" s="202"/>
      <c r="LRJ132" s="202"/>
      <c r="LRK132" s="202"/>
      <c r="LRL132" s="202"/>
      <c r="LRM132" s="202"/>
      <c r="LRN132" s="202"/>
      <c r="LRO132" s="202"/>
      <c r="LRP132" s="202"/>
      <c r="LRQ132" s="202"/>
      <c r="LRR132" s="202"/>
      <c r="LRS132" s="202"/>
      <c r="LRT132" s="202"/>
      <c r="LRU132" s="202"/>
      <c r="LRV132" s="202"/>
      <c r="LRW132" s="202"/>
      <c r="LRX132" s="202"/>
      <c r="LRY132" s="202"/>
      <c r="LRZ132" s="202"/>
      <c r="LSA132" s="202"/>
      <c r="LSB132" s="202"/>
      <c r="LSC132" s="202"/>
      <c r="LSD132" s="202"/>
      <c r="LSE132" s="202"/>
      <c r="LSF132" s="202"/>
      <c r="LSG132" s="202"/>
      <c r="LSH132" s="202"/>
      <c r="LSI132" s="202"/>
      <c r="LSJ132" s="202"/>
      <c r="LSK132" s="202"/>
      <c r="LSL132" s="202"/>
      <c r="LSM132" s="202"/>
      <c r="LSN132" s="202"/>
      <c r="LSO132" s="202"/>
      <c r="LSP132" s="202"/>
      <c r="LSQ132" s="202"/>
      <c r="LSR132" s="202"/>
      <c r="LSS132" s="202"/>
      <c r="LST132" s="202"/>
      <c r="LSU132" s="202"/>
      <c r="LSV132" s="202"/>
      <c r="LSW132" s="202"/>
      <c r="LSX132" s="202"/>
      <c r="LSY132" s="202"/>
      <c r="LSZ132" s="202"/>
      <c r="LTA132" s="202"/>
      <c r="LTB132" s="202"/>
      <c r="LTC132" s="202"/>
      <c r="LTD132" s="202"/>
      <c r="LTE132" s="202"/>
      <c r="LTF132" s="202"/>
      <c r="LTG132" s="202"/>
      <c r="LTH132" s="202"/>
      <c r="LTI132" s="202"/>
      <c r="LTJ132" s="202"/>
      <c r="LTK132" s="202"/>
      <c r="LTL132" s="202"/>
      <c r="LTM132" s="202"/>
      <c r="LTN132" s="202"/>
      <c r="LTO132" s="202"/>
      <c r="LTP132" s="202"/>
      <c r="LTQ132" s="202"/>
      <c r="LTR132" s="202"/>
      <c r="LTS132" s="202"/>
      <c r="LTT132" s="202"/>
      <c r="LTU132" s="202"/>
      <c r="LTV132" s="202"/>
      <c r="LTW132" s="202"/>
      <c r="LTX132" s="202"/>
      <c r="LTY132" s="202"/>
      <c r="LTZ132" s="202"/>
      <c r="LUA132" s="202"/>
      <c r="LUB132" s="202"/>
      <c r="LUC132" s="202"/>
      <c r="LUD132" s="202"/>
      <c r="LUE132" s="202"/>
      <c r="LUF132" s="202"/>
      <c r="LUG132" s="202"/>
      <c r="LUH132" s="202"/>
      <c r="LUI132" s="202"/>
      <c r="LUJ132" s="202"/>
      <c r="LUK132" s="202"/>
      <c r="LUL132" s="202"/>
      <c r="LUM132" s="202"/>
      <c r="LUN132" s="202"/>
      <c r="LUO132" s="202"/>
      <c r="LUP132" s="202"/>
      <c r="LUQ132" s="202"/>
      <c r="LUR132" s="202"/>
      <c r="LUS132" s="202"/>
      <c r="LUT132" s="202"/>
      <c r="LUU132" s="202"/>
      <c r="LUV132" s="202"/>
      <c r="LUW132" s="202"/>
      <c r="LUX132" s="202"/>
      <c r="LUY132" s="202"/>
      <c r="LUZ132" s="202"/>
      <c r="LVA132" s="202"/>
      <c r="LVB132" s="202"/>
      <c r="LVC132" s="202"/>
      <c r="LVD132" s="202"/>
      <c r="LVE132" s="202"/>
      <c r="LVF132" s="202"/>
      <c r="LVG132" s="202"/>
      <c r="LVH132" s="202"/>
      <c r="LVI132" s="202"/>
      <c r="LVJ132" s="202"/>
      <c r="LVK132" s="202"/>
      <c r="LVL132" s="202"/>
      <c r="LVM132" s="202"/>
      <c r="LVN132" s="202"/>
      <c r="LVO132" s="202"/>
      <c r="LVP132" s="202"/>
      <c r="LVQ132" s="202"/>
      <c r="LVR132" s="202"/>
      <c r="LVS132" s="202"/>
      <c r="LVT132" s="202"/>
      <c r="LVU132" s="202"/>
      <c r="LVV132" s="202"/>
      <c r="LVW132" s="202"/>
      <c r="LVX132" s="202"/>
      <c r="LVY132" s="202"/>
      <c r="LVZ132" s="202"/>
      <c r="LWA132" s="202"/>
      <c r="LWB132" s="202"/>
      <c r="LWC132" s="202"/>
      <c r="LWD132" s="202"/>
      <c r="LWE132" s="202"/>
      <c r="LWF132" s="202"/>
      <c r="LWG132" s="202"/>
      <c r="LWH132" s="202"/>
      <c r="LWI132" s="202"/>
      <c r="LWJ132" s="202"/>
      <c r="LWK132" s="202"/>
      <c r="LWL132" s="202"/>
      <c r="LWM132" s="202"/>
      <c r="LWN132" s="202"/>
      <c r="LWO132" s="202"/>
      <c r="LWP132" s="202"/>
      <c r="LWQ132" s="202"/>
      <c r="LWR132" s="202"/>
      <c r="LWS132" s="202"/>
      <c r="LWT132" s="202"/>
      <c r="LWU132" s="202"/>
      <c r="LWV132" s="202"/>
      <c r="LWW132" s="202"/>
      <c r="LWX132" s="202"/>
      <c r="LWY132" s="202"/>
      <c r="LWZ132" s="202"/>
      <c r="LXA132" s="202"/>
      <c r="LXB132" s="202"/>
      <c r="LXC132" s="202"/>
      <c r="LXD132" s="202"/>
      <c r="LXE132" s="202"/>
      <c r="LXF132" s="202"/>
      <c r="LXG132" s="202"/>
      <c r="LXH132" s="202"/>
      <c r="LXI132" s="202"/>
      <c r="LXJ132" s="202"/>
      <c r="LXK132" s="202"/>
      <c r="LXL132" s="202"/>
      <c r="LXM132" s="202"/>
      <c r="LXN132" s="202"/>
      <c r="LXO132" s="202"/>
      <c r="LXP132" s="202"/>
      <c r="LXQ132" s="202"/>
      <c r="LXR132" s="202"/>
      <c r="LXS132" s="202"/>
      <c r="LXT132" s="202"/>
      <c r="LXU132" s="202"/>
      <c r="LXV132" s="202"/>
      <c r="LXW132" s="202"/>
      <c r="LXX132" s="202"/>
      <c r="LXY132" s="202"/>
      <c r="LXZ132" s="202"/>
      <c r="LYA132" s="202"/>
      <c r="LYB132" s="202"/>
      <c r="LYC132" s="202"/>
      <c r="LYD132" s="202"/>
      <c r="LYE132" s="202"/>
      <c r="LYF132" s="202"/>
      <c r="LYG132" s="202"/>
      <c r="LYH132" s="202"/>
      <c r="LYI132" s="202"/>
      <c r="LYJ132" s="202"/>
      <c r="LYK132" s="202"/>
      <c r="LYL132" s="202"/>
      <c r="LYM132" s="202"/>
      <c r="LYN132" s="202"/>
      <c r="LYO132" s="202"/>
      <c r="LYP132" s="202"/>
      <c r="LYQ132" s="202"/>
      <c r="LYR132" s="202"/>
      <c r="LYS132" s="202"/>
      <c r="LYT132" s="202"/>
      <c r="LYU132" s="202"/>
      <c r="LYV132" s="202"/>
      <c r="LYW132" s="202"/>
      <c r="LYX132" s="202"/>
      <c r="LYY132" s="202"/>
      <c r="LYZ132" s="202"/>
      <c r="LZA132" s="202"/>
      <c r="LZB132" s="202"/>
      <c r="LZC132" s="202"/>
      <c r="LZD132" s="202"/>
      <c r="LZE132" s="202"/>
      <c r="LZF132" s="202"/>
      <c r="LZG132" s="202"/>
      <c r="LZH132" s="202"/>
      <c r="LZI132" s="202"/>
      <c r="LZJ132" s="202"/>
      <c r="LZK132" s="202"/>
      <c r="LZL132" s="202"/>
      <c r="LZM132" s="202"/>
      <c r="LZN132" s="202"/>
      <c r="LZO132" s="202"/>
      <c r="LZP132" s="202"/>
      <c r="LZQ132" s="202"/>
      <c r="LZR132" s="202"/>
      <c r="LZS132" s="202"/>
      <c r="LZT132" s="202"/>
      <c r="LZU132" s="202"/>
      <c r="LZV132" s="202"/>
      <c r="LZW132" s="202"/>
      <c r="LZX132" s="202"/>
      <c r="LZY132" s="202"/>
      <c r="LZZ132" s="202"/>
      <c r="MAA132" s="202"/>
      <c r="MAB132" s="202"/>
      <c r="MAC132" s="202"/>
      <c r="MAD132" s="202"/>
      <c r="MAE132" s="202"/>
      <c r="MAF132" s="202"/>
      <c r="MAG132" s="202"/>
      <c r="MAH132" s="202"/>
      <c r="MAI132" s="202"/>
      <c r="MAJ132" s="202"/>
      <c r="MAK132" s="202"/>
      <c r="MAL132" s="202"/>
      <c r="MAM132" s="202"/>
      <c r="MAN132" s="202"/>
      <c r="MAO132" s="202"/>
      <c r="MAP132" s="202"/>
      <c r="MAQ132" s="202"/>
      <c r="MAR132" s="202"/>
      <c r="MAS132" s="202"/>
      <c r="MAT132" s="202"/>
      <c r="MAU132" s="202"/>
      <c r="MAV132" s="202"/>
      <c r="MAW132" s="202"/>
      <c r="MAX132" s="202"/>
      <c r="MAY132" s="202"/>
      <c r="MAZ132" s="202"/>
      <c r="MBA132" s="202"/>
      <c r="MBB132" s="202"/>
      <c r="MBC132" s="202"/>
      <c r="MBD132" s="202"/>
      <c r="MBE132" s="202"/>
      <c r="MBF132" s="202"/>
      <c r="MBG132" s="202"/>
      <c r="MBH132" s="202"/>
      <c r="MBI132" s="202"/>
      <c r="MBJ132" s="202"/>
      <c r="MBK132" s="202"/>
      <c r="MBL132" s="202"/>
      <c r="MBM132" s="202"/>
      <c r="MBN132" s="202"/>
      <c r="MBO132" s="202"/>
      <c r="MBP132" s="202"/>
      <c r="MBQ132" s="202"/>
      <c r="MBR132" s="202"/>
      <c r="MBS132" s="202"/>
      <c r="MBT132" s="202"/>
      <c r="MBU132" s="202"/>
      <c r="MBV132" s="202"/>
      <c r="MBW132" s="202"/>
      <c r="MBX132" s="202"/>
      <c r="MBY132" s="202"/>
      <c r="MBZ132" s="202"/>
      <c r="MCA132" s="202"/>
      <c r="MCB132" s="202"/>
      <c r="MCC132" s="202"/>
      <c r="MCD132" s="202"/>
      <c r="MCE132" s="202"/>
      <c r="MCF132" s="202"/>
      <c r="MCG132" s="202"/>
      <c r="MCH132" s="202"/>
      <c r="MCI132" s="202"/>
      <c r="MCJ132" s="202"/>
      <c r="MCK132" s="202"/>
      <c r="MCL132" s="202"/>
      <c r="MCM132" s="202"/>
      <c r="MCN132" s="202"/>
      <c r="MCO132" s="202"/>
      <c r="MCP132" s="202"/>
      <c r="MCQ132" s="202"/>
      <c r="MCR132" s="202"/>
      <c r="MCS132" s="202"/>
      <c r="MCT132" s="202"/>
      <c r="MCU132" s="202"/>
      <c r="MCV132" s="202"/>
      <c r="MCW132" s="202"/>
      <c r="MCX132" s="202"/>
      <c r="MCY132" s="202"/>
      <c r="MCZ132" s="202"/>
      <c r="MDA132" s="202"/>
      <c r="MDB132" s="202"/>
      <c r="MDC132" s="202"/>
      <c r="MDD132" s="202"/>
      <c r="MDE132" s="202"/>
      <c r="MDF132" s="202"/>
      <c r="MDG132" s="202"/>
      <c r="MDH132" s="202"/>
      <c r="MDI132" s="202"/>
      <c r="MDJ132" s="202"/>
      <c r="MDK132" s="202"/>
      <c r="MDL132" s="202"/>
      <c r="MDM132" s="202"/>
      <c r="MDN132" s="202"/>
      <c r="MDO132" s="202"/>
      <c r="MDP132" s="202"/>
      <c r="MDQ132" s="202"/>
      <c r="MDR132" s="202"/>
      <c r="MDS132" s="202"/>
      <c r="MDT132" s="202"/>
      <c r="MDU132" s="202"/>
      <c r="MDV132" s="202"/>
      <c r="MDW132" s="202"/>
      <c r="MDX132" s="202"/>
      <c r="MDY132" s="202"/>
      <c r="MDZ132" s="202"/>
      <c r="MEA132" s="202"/>
      <c r="MEB132" s="202"/>
      <c r="MEC132" s="202"/>
      <c r="MED132" s="202"/>
      <c r="MEE132" s="202"/>
      <c r="MEF132" s="202"/>
      <c r="MEG132" s="202"/>
      <c r="MEH132" s="202"/>
      <c r="MEI132" s="202"/>
      <c r="MEJ132" s="202"/>
      <c r="MEK132" s="202"/>
      <c r="MEL132" s="202"/>
      <c r="MEM132" s="202"/>
      <c r="MEN132" s="202"/>
      <c r="MEO132" s="202"/>
      <c r="MEP132" s="202"/>
      <c r="MEQ132" s="202"/>
      <c r="MER132" s="202"/>
      <c r="MES132" s="202"/>
      <c r="MET132" s="202"/>
      <c r="MEU132" s="202"/>
      <c r="MEV132" s="202"/>
      <c r="MEW132" s="202"/>
      <c r="MEX132" s="202"/>
      <c r="MEY132" s="202"/>
      <c r="MEZ132" s="202"/>
      <c r="MFA132" s="202"/>
      <c r="MFB132" s="202"/>
      <c r="MFC132" s="202"/>
      <c r="MFD132" s="202"/>
      <c r="MFE132" s="202"/>
      <c r="MFF132" s="202"/>
      <c r="MFG132" s="202"/>
      <c r="MFH132" s="202"/>
      <c r="MFI132" s="202"/>
      <c r="MFJ132" s="202"/>
      <c r="MFK132" s="202"/>
      <c r="MFL132" s="202"/>
      <c r="MFM132" s="202"/>
      <c r="MFN132" s="202"/>
      <c r="MFO132" s="202"/>
      <c r="MFP132" s="202"/>
      <c r="MFQ132" s="202"/>
      <c r="MFR132" s="202"/>
      <c r="MFS132" s="202"/>
      <c r="MFT132" s="202"/>
      <c r="MFU132" s="202"/>
      <c r="MFV132" s="202"/>
      <c r="MFW132" s="202"/>
      <c r="MFX132" s="202"/>
      <c r="MFY132" s="202"/>
      <c r="MFZ132" s="202"/>
      <c r="MGA132" s="202"/>
      <c r="MGB132" s="202"/>
      <c r="MGC132" s="202"/>
      <c r="MGD132" s="202"/>
      <c r="MGE132" s="202"/>
      <c r="MGF132" s="202"/>
      <c r="MGG132" s="202"/>
      <c r="MGH132" s="202"/>
      <c r="MGI132" s="202"/>
      <c r="MGJ132" s="202"/>
      <c r="MGK132" s="202"/>
      <c r="MGL132" s="202"/>
      <c r="MGM132" s="202"/>
      <c r="MGN132" s="202"/>
      <c r="MGO132" s="202"/>
      <c r="MGP132" s="202"/>
      <c r="MGQ132" s="202"/>
      <c r="MGR132" s="202"/>
      <c r="MGS132" s="202"/>
      <c r="MGT132" s="202"/>
      <c r="MGU132" s="202"/>
      <c r="MGV132" s="202"/>
      <c r="MGW132" s="202"/>
      <c r="MGX132" s="202"/>
      <c r="MGY132" s="202"/>
      <c r="MGZ132" s="202"/>
      <c r="MHA132" s="202"/>
      <c r="MHB132" s="202"/>
      <c r="MHC132" s="202"/>
      <c r="MHD132" s="202"/>
      <c r="MHE132" s="202"/>
      <c r="MHF132" s="202"/>
      <c r="MHG132" s="202"/>
      <c r="MHH132" s="202"/>
      <c r="MHI132" s="202"/>
      <c r="MHJ132" s="202"/>
      <c r="MHK132" s="202"/>
      <c r="MHL132" s="202"/>
      <c r="MHM132" s="202"/>
      <c r="MHN132" s="202"/>
      <c r="MHO132" s="202"/>
      <c r="MHP132" s="202"/>
      <c r="MHQ132" s="202"/>
      <c r="MHR132" s="202"/>
      <c r="MHS132" s="202"/>
      <c r="MHT132" s="202"/>
      <c r="MHU132" s="202"/>
      <c r="MHV132" s="202"/>
      <c r="MHW132" s="202"/>
      <c r="MHX132" s="202"/>
      <c r="MHY132" s="202"/>
      <c r="MHZ132" s="202"/>
      <c r="MIA132" s="202"/>
      <c r="MIB132" s="202"/>
      <c r="MIC132" s="202"/>
      <c r="MID132" s="202"/>
      <c r="MIE132" s="202"/>
      <c r="MIF132" s="202"/>
      <c r="MIG132" s="202"/>
      <c r="MIH132" s="202"/>
      <c r="MII132" s="202"/>
      <c r="MIJ132" s="202"/>
      <c r="MIK132" s="202"/>
      <c r="MIL132" s="202"/>
      <c r="MIM132" s="202"/>
      <c r="MIN132" s="202"/>
      <c r="MIO132" s="202"/>
      <c r="MIP132" s="202"/>
      <c r="MIQ132" s="202"/>
      <c r="MIR132" s="202"/>
      <c r="MIS132" s="202"/>
      <c r="MIT132" s="202"/>
      <c r="MIU132" s="202"/>
      <c r="MIV132" s="202"/>
      <c r="MIW132" s="202"/>
      <c r="MIX132" s="202"/>
      <c r="MIY132" s="202"/>
      <c r="MIZ132" s="202"/>
      <c r="MJA132" s="202"/>
      <c r="MJB132" s="202"/>
      <c r="MJC132" s="202"/>
      <c r="MJD132" s="202"/>
      <c r="MJE132" s="202"/>
      <c r="MJF132" s="202"/>
      <c r="MJG132" s="202"/>
      <c r="MJH132" s="202"/>
      <c r="MJI132" s="202"/>
      <c r="MJJ132" s="202"/>
      <c r="MJK132" s="202"/>
      <c r="MJL132" s="202"/>
      <c r="MJM132" s="202"/>
      <c r="MJN132" s="202"/>
      <c r="MJO132" s="202"/>
      <c r="MJP132" s="202"/>
      <c r="MJQ132" s="202"/>
      <c r="MJR132" s="202"/>
      <c r="MJS132" s="202"/>
      <c r="MJT132" s="202"/>
      <c r="MJU132" s="202"/>
      <c r="MJV132" s="202"/>
      <c r="MJW132" s="202"/>
      <c r="MJX132" s="202"/>
      <c r="MJY132" s="202"/>
      <c r="MJZ132" s="202"/>
      <c r="MKA132" s="202"/>
      <c r="MKB132" s="202"/>
      <c r="MKC132" s="202"/>
      <c r="MKD132" s="202"/>
      <c r="MKE132" s="202"/>
      <c r="MKF132" s="202"/>
      <c r="MKG132" s="202"/>
      <c r="MKH132" s="202"/>
      <c r="MKI132" s="202"/>
      <c r="MKJ132" s="202"/>
      <c r="MKK132" s="202"/>
      <c r="MKL132" s="202"/>
      <c r="MKM132" s="202"/>
      <c r="MKN132" s="202"/>
      <c r="MKO132" s="202"/>
      <c r="MKP132" s="202"/>
      <c r="MKQ132" s="202"/>
      <c r="MKR132" s="202"/>
      <c r="MKS132" s="202"/>
      <c r="MKT132" s="202"/>
      <c r="MKU132" s="202"/>
      <c r="MKV132" s="202"/>
      <c r="MKW132" s="202"/>
      <c r="MKX132" s="202"/>
      <c r="MKY132" s="202"/>
      <c r="MKZ132" s="202"/>
      <c r="MLA132" s="202"/>
      <c r="MLB132" s="202"/>
      <c r="MLC132" s="202"/>
      <c r="MLD132" s="202"/>
      <c r="MLE132" s="202"/>
      <c r="MLF132" s="202"/>
      <c r="MLG132" s="202"/>
      <c r="MLH132" s="202"/>
      <c r="MLI132" s="202"/>
      <c r="MLJ132" s="202"/>
      <c r="MLK132" s="202"/>
      <c r="MLL132" s="202"/>
      <c r="MLM132" s="202"/>
      <c r="MLN132" s="202"/>
      <c r="MLO132" s="202"/>
      <c r="MLP132" s="202"/>
      <c r="MLQ132" s="202"/>
      <c r="MLR132" s="202"/>
      <c r="MLS132" s="202"/>
      <c r="MLT132" s="202"/>
      <c r="MLU132" s="202"/>
      <c r="MLV132" s="202"/>
      <c r="MLW132" s="202"/>
      <c r="MLX132" s="202"/>
      <c r="MLY132" s="202"/>
      <c r="MLZ132" s="202"/>
      <c r="MMA132" s="202"/>
      <c r="MMB132" s="202"/>
      <c r="MMC132" s="202"/>
      <c r="MMD132" s="202"/>
      <c r="MME132" s="202"/>
      <c r="MMF132" s="202"/>
      <c r="MMG132" s="202"/>
      <c r="MMH132" s="202"/>
      <c r="MMI132" s="202"/>
      <c r="MMJ132" s="202"/>
      <c r="MMK132" s="202"/>
      <c r="MML132" s="202"/>
      <c r="MMM132" s="202"/>
      <c r="MMN132" s="202"/>
      <c r="MMO132" s="202"/>
      <c r="MMP132" s="202"/>
      <c r="MMQ132" s="202"/>
      <c r="MMR132" s="202"/>
      <c r="MMS132" s="202"/>
      <c r="MMT132" s="202"/>
      <c r="MMU132" s="202"/>
      <c r="MMV132" s="202"/>
      <c r="MMW132" s="202"/>
      <c r="MMX132" s="202"/>
      <c r="MMY132" s="202"/>
      <c r="MMZ132" s="202"/>
      <c r="MNA132" s="202"/>
      <c r="MNB132" s="202"/>
      <c r="MNC132" s="202"/>
      <c r="MND132" s="202"/>
      <c r="MNE132" s="202"/>
      <c r="MNF132" s="202"/>
      <c r="MNG132" s="202"/>
      <c r="MNH132" s="202"/>
      <c r="MNI132" s="202"/>
      <c r="MNJ132" s="202"/>
      <c r="MNK132" s="202"/>
      <c r="MNL132" s="202"/>
      <c r="MNM132" s="202"/>
      <c r="MNN132" s="202"/>
      <c r="MNO132" s="202"/>
      <c r="MNP132" s="202"/>
      <c r="MNQ132" s="202"/>
      <c r="MNR132" s="202"/>
      <c r="MNS132" s="202"/>
      <c r="MNT132" s="202"/>
      <c r="MNU132" s="202"/>
      <c r="MNV132" s="202"/>
      <c r="MNW132" s="202"/>
      <c r="MNX132" s="202"/>
      <c r="MNY132" s="202"/>
      <c r="MNZ132" s="202"/>
      <c r="MOA132" s="202"/>
      <c r="MOB132" s="202"/>
      <c r="MOC132" s="202"/>
      <c r="MOD132" s="202"/>
      <c r="MOE132" s="202"/>
      <c r="MOF132" s="202"/>
      <c r="MOG132" s="202"/>
      <c r="MOH132" s="202"/>
      <c r="MOI132" s="202"/>
      <c r="MOJ132" s="202"/>
      <c r="MOK132" s="202"/>
      <c r="MOL132" s="202"/>
      <c r="MOM132" s="202"/>
      <c r="MON132" s="202"/>
      <c r="MOO132" s="202"/>
      <c r="MOP132" s="202"/>
      <c r="MOQ132" s="202"/>
      <c r="MOR132" s="202"/>
      <c r="MOS132" s="202"/>
      <c r="MOT132" s="202"/>
      <c r="MOU132" s="202"/>
      <c r="MOV132" s="202"/>
      <c r="MOW132" s="202"/>
      <c r="MOX132" s="202"/>
      <c r="MOY132" s="202"/>
      <c r="MOZ132" s="202"/>
      <c r="MPA132" s="202"/>
      <c r="MPB132" s="202"/>
      <c r="MPC132" s="202"/>
      <c r="MPD132" s="202"/>
      <c r="MPE132" s="202"/>
      <c r="MPF132" s="202"/>
      <c r="MPG132" s="202"/>
      <c r="MPH132" s="202"/>
      <c r="MPI132" s="202"/>
      <c r="MPJ132" s="202"/>
      <c r="MPK132" s="202"/>
      <c r="MPL132" s="202"/>
      <c r="MPM132" s="202"/>
      <c r="MPN132" s="202"/>
      <c r="MPO132" s="202"/>
      <c r="MPP132" s="202"/>
      <c r="MPQ132" s="202"/>
      <c r="MPR132" s="202"/>
      <c r="MPS132" s="202"/>
      <c r="MPT132" s="202"/>
      <c r="MPU132" s="202"/>
      <c r="MPV132" s="202"/>
      <c r="MPW132" s="202"/>
      <c r="MPX132" s="202"/>
      <c r="MPY132" s="202"/>
      <c r="MPZ132" s="202"/>
      <c r="MQA132" s="202"/>
      <c r="MQB132" s="202"/>
      <c r="MQC132" s="202"/>
      <c r="MQD132" s="202"/>
      <c r="MQE132" s="202"/>
      <c r="MQF132" s="202"/>
      <c r="MQG132" s="202"/>
      <c r="MQH132" s="202"/>
      <c r="MQI132" s="202"/>
      <c r="MQJ132" s="202"/>
      <c r="MQK132" s="202"/>
      <c r="MQL132" s="202"/>
      <c r="MQM132" s="202"/>
      <c r="MQN132" s="202"/>
      <c r="MQO132" s="202"/>
      <c r="MQP132" s="202"/>
      <c r="MQQ132" s="202"/>
      <c r="MQR132" s="202"/>
      <c r="MQS132" s="202"/>
      <c r="MQT132" s="202"/>
      <c r="MQU132" s="202"/>
      <c r="MQV132" s="202"/>
      <c r="MQW132" s="202"/>
      <c r="MQX132" s="202"/>
      <c r="MQY132" s="202"/>
      <c r="MQZ132" s="202"/>
      <c r="MRA132" s="202"/>
      <c r="MRB132" s="202"/>
      <c r="MRC132" s="202"/>
      <c r="MRD132" s="202"/>
      <c r="MRE132" s="202"/>
      <c r="MRF132" s="202"/>
      <c r="MRG132" s="202"/>
      <c r="MRH132" s="202"/>
      <c r="MRI132" s="202"/>
      <c r="MRJ132" s="202"/>
      <c r="MRK132" s="202"/>
      <c r="MRL132" s="202"/>
      <c r="MRM132" s="202"/>
      <c r="MRN132" s="202"/>
      <c r="MRO132" s="202"/>
      <c r="MRP132" s="202"/>
      <c r="MRQ132" s="202"/>
      <c r="MRR132" s="202"/>
      <c r="MRS132" s="202"/>
      <c r="MRT132" s="202"/>
      <c r="MRU132" s="202"/>
      <c r="MRV132" s="202"/>
      <c r="MRW132" s="202"/>
      <c r="MRX132" s="202"/>
      <c r="MRY132" s="202"/>
      <c r="MRZ132" s="202"/>
      <c r="MSA132" s="202"/>
      <c r="MSB132" s="202"/>
      <c r="MSC132" s="202"/>
      <c r="MSD132" s="202"/>
      <c r="MSE132" s="202"/>
      <c r="MSF132" s="202"/>
      <c r="MSG132" s="202"/>
      <c r="MSH132" s="202"/>
      <c r="MSI132" s="202"/>
      <c r="MSJ132" s="202"/>
      <c r="MSK132" s="202"/>
      <c r="MSL132" s="202"/>
      <c r="MSM132" s="202"/>
      <c r="MSN132" s="202"/>
      <c r="MSO132" s="202"/>
      <c r="MSP132" s="202"/>
      <c r="MSQ132" s="202"/>
      <c r="MSR132" s="202"/>
      <c r="MSS132" s="202"/>
      <c r="MST132" s="202"/>
      <c r="MSU132" s="202"/>
      <c r="MSV132" s="202"/>
      <c r="MSW132" s="202"/>
      <c r="MSX132" s="202"/>
      <c r="MSY132" s="202"/>
      <c r="MSZ132" s="202"/>
      <c r="MTA132" s="202"/>
      <c r="MTB132" s="202"/>
      <c r="MTC132" s="202"/>
      <c r="MTD132" s="202"/>
      <c r="MTE132" s="202"/>
      <c r="MTF132" s="202"/>
      <c r="MTG132" s="202"/>
      <c r="MTH132" s="202"/>
      <c r="MTI132" s="202"/>
      <c r="MTJ132" s="202"/>
      <c r="MTK132" s="202"/>
      <c r="MTL132" s="202"/>
      <c r="MTM132" s="202"/>
      <c r="MTN132" s="202"/>
      <c r="MTO132" s="202"/>
      <c r="MTP132" s="202"/>
      <c r="MTQ132" s="202"/>
      <c r="MTR132" s="202"/>
      <c r="MTS132" s="202"/>
      <c r="MTT132" s="202"/>
      <c r="MTU132" s="202"/>
      <c r="MTV132" s="202"/>
      <c r="MTW132" s="202"/>
      <c r="MTX132" s="202"/>
      <c r="MTY132" s="202"/>
      <c r="MTZ132" s="202"/>
      <c r="MUA132" s="202"/>
      <c r="MUB132" s="202"/>
      <c r="MUC132" s="202"/>
      <c r="MUD132" s="202"/>
      <c r="MUE132" s="202"/>
      <c r="MUF132" s="202"/>
      <c r="MUG132" s="202"/>
      <c r="MUH132" s="202"/>
      <c r="MUI132" s="202"/>
      <c r="MUJ132" s="202"/>
      <c r="MUK132" s="202"/>
      <c r="MUL132" s="202"/>
      <c r="MUM132" s="202"/>
      <c r="MUN132" s="202"/>
      <c r="MUO132" s="202"/>
      <c r="MUP132" s="202"/>
      <c r="MUQ132" s="202"/>
      <c r="MUR132" s="202"/>
      <c r="MUS132" s="202"/>
      <c r="MUT132" s="202"/>
      <c r="MUU132" s="202"/>
      <c r="MUV132" s="202"/>
      <c r="MUW132" s="202"/>
      <c r="MUX132" s="202"/>
      <c r="MUY132" s="202"/>
      <c r="MUZ132" s="202"/>
      <c r="MVA132" s="202"/>
      <c r="MVB132" s="202"/>
      <c r="MVC132" s="202"/>
      <c r="MVD132" s="202"/>
      <c r="MVE132" s="202"/>
      <c r="MVF132" s="202"/>
      <c r="MVG132" s="202"/>
      <c r="MVH132" s="202"/>
      <c r="MVI132" s="202"/>
      <c r="MVJ132" s="202"/>
      <c r="MVK132" s="202"/>
      <c r="MVL132" s="202"/>
      <c r="MVM132" s="202"/>
      <c r="MVN132" s="202"/>
      <c r="MVO132" s="202"/>
      <c r="MVP132" s="202"/>
      <c r="MVQ132" s="202"/>
      <c r="MVR132" s="202"/>
      <c r="MVS132" s="202"/>
      <c r="MVT132" s="202"/>
      <c r="MVU132" s="202"/>
      <c r="MVV132" s="202"/>
      <c r="MVW132" s="202"/>
      <c r="MVX132" s="202"/>
      <c r="MVY132" s="202"/>
      <c r="MVZ132" s="202"/>
      <c r="MWA132" s="202"/>
      <c r="MWB132" s="202"/>
      <c r="MWC132" s="202"/>
      <c r="MWD132" s="202"/>
      <c r="MWE132" s="202"/>
      <c r="MWF132" s="202"/>
      <c r="MWG132" s="202"/>
      <c r="MWH132" s="202"/>
      <c r="MWI132" s="202"/>
      <c r="MWJ132" s="202"/>
      <c r="MWK132" s="202"/>
      <c r="MWL132" s="202"/>
      <c r="MWM132" s="202"/>
      <c r="MWN132" s="202"/>
      <c r="MWO132" s="202"/>
      <c r="MWP132" s="202"/>
      <c r="MWQ132" s="202"/>
      <c r="MWR132" s="202"/>
      <c r="MWS132" s="202"/>
      <c r="MWT132" s="202"/>
      <c r="MWU132" s="202"/>
      <c r="MWV132" s="202"/>
      <c r="MWW132" s="202"/>
      <c r="MWX132" s="202"/>
      <c r="MWY132" s="202"/>
      <c r="MWZ132" s="202"/>
      <c r="MXA132" s="202"/>
      <c r="MXB132" s="202"/>
      <c r="MXC132" s="202"/>
      <c r="MXD132" s="202"/>
      <c r="MXE132" s="202"/>
      <c r="MXF132" s="202"/>
      <c r="MXG132" s="202"/>
      <c r="MXH132" s="202"/>
      <c r="MXI132" s="202"/>
      <c r="MXJ132" s="202"/>
      <c r="MXK132" s="202"/>
      <c r="MXL132" s="202"/>
      <c r="MXM132" s="202"/>
      <c r="MXN132" s="202"/>
      <c r="MXO132" s="202"/>
      <c r="MXP132" s="202"/>
      <c r="MXQ132" s="202"/>
      <c r="MXR132" s="202"/>
      <c r="MXS132" s="202"/>
      <c r="MXT132" s="202"/>
      <c r="MXU132" s="202"/>
      <c r="MXV132" s="202"/>
      <c r="MXW132" s="202"/>
      <c r="MXX132" s="202"/>
      <c r="MXY132" s="202"/>
      <c r="MXZ132" s="202"/>
      <c r="MYA132" s="202"/>
      <c r="MYB132" s="202"/>
      <c r="MYC132" s="202"/>
      <c r="MYD132" s="202"/>
      <c r="MYE132" s="202"/>
      <c r="MYF132" s="202"/>
      <c r="MYG132" s="202"/>
      <c r="MYH132" s="202"/>
      <c r="MYI132" s="202"/>
      <c r="MYJ132" s="202"/>
      <c r="MYK132" s="202"/>
      <c r="MYL132" s="202"/>
      <c r="MYM132" s="202"/>
      <c r="MYN132" s="202"/>
      <c r="MYO132" s="202"/>
      <c r="MYP132" s="202"/>
      <c r="MYQ132" s="202"/>
      <c r="MYR132" s="202"/>
      <c r="MYS132" s="202"/>
      <c r="MYT132" s="202"/>
      <c r="MYU132" s="202"/>
      <c r="MYV132" s="202"/>
      <c r="MYW132" s="202"/>
      <c r="MYX132" s="202"/>
      <c r="MYY132" s="202"/>
      <c r="MYZ132" s="202"/>
      <c r="MZA132" s="202"/>
      <c r="MZB132" s="202"/>
      <c r="MZC132" s="202"/>
      <c r="MZD132" s="202"/>
      <c r="MZE132" s="202"/>
      <c r="MZF132" s="202"/>
      <c r="MZG132" s="202"/>
      <c r="MZH132" s="202"/>
      <c r="MZI132" s="202"/>
      <c r="MZJ132" s="202"/>
      <c r="MZK132" s="202"/>
      <c r="MZL132" s="202"/>
      <c r="MZM132" s="202"/>
      <c r="MZN132" s="202"/>
      <c r="MZO132" s="202"/>
      <c r="MZP132" s="202"/>
      <c r="MZQ132" s="202"/>
      <c r="MZR132" s="202"/>
      <c r="MZS132" s="202"/>
      <c r="MZT132" s="202"/>
      <c r="MZU132" s="202"/>
      <c r="MZV132" s="202"/>
      <c r="MZW132" s="202"/>
      <c r="MZX132" s="202"/>
      <c r="MZY132" s="202"/>
      <c r="MZZ132" s="202"/>
      <c r="NAA132" s="202"/>
      <c r="NAB132" s="202"/>
      <c r="NAC132" s="202"/>
      <c r="NAD132" s="202"/>
      <c r="NAE132" s="202"/>
      <c r="NAF132" s="202"/>
      <c r="NAG132" s="202"/>
      <c r="NAH132" s="202"/>
      <c r="NAI132" s="202"/>
      <c r="NAJ132" s="202"/>
      <c r="NAK132" s="202"/>
      <c r="NAL132" s="202"/>
      <c r="NAM132" s="202"/>
      <c r="NAN132" s="202"/>
      <c r="NAO132" s="202"/>
      <c r="NAP132" s="202"/>
      <c r="NAQ132" s="202"/>
      <c r="NAR132" s="202"/>
      <c r="NAS132" s="202"/>
      <c r="NAT132" s="202"/>
      <c r="NAU132" s="202"/>
      <c r="NAV132" s="202"/>
      <c r="NAW132" s="202"/>
      <c r="NAX132" s="202"/>
      <c r="NAY132" s="202"/>
      <c r="NAZ132" s="202"/>
      <c r="NBA132" s="202"/>
      <c r="NBB132" s="202"/>
      <c r="NBC132" s="202"/>
      <c r="NBD132" s="202"/>
      <c r="NBE132" s="202"/>
      <c r="NBF132" s="202"/>
      <c r="NBG132" s="202"/>
      <c r="NBH132" s="202"/>
      <c r="NBI132" s="202"/>
      <c r="NBJ132" s="202"/>
      <c r="NBK132" s="202"/>
      <c r="NBL132" s="202"/>
      <c r="NBM132" s="202"/>
      <c r="NBN132" s="202"/>
      <c r="NBO132" s="202"/>
      <c r="NBP132" s="202"/>
      <c r="NBQ132" s="202"/>
      <c r="NBR132" s="202"/>
      <c r="NBS132" s="202"/>
      <c r="NBT132" s="202"/>
      <c r="NBU132" s="202"/>
      <c r="NBV132" s="202"/>
      <c r="NBW132" s="202"/>
      <c r="NBX132" s="202"/>
      <c r="NBY132" s="202"/>
      <c r="NBZ132" s="202"/>
      <c r="NCA132" s="202"/>
      <c r="NCB132" s="202"/>
      <c r="NCC132" s="202"/>
      <c r="NCD132" s="202"/>
      <c r="NCE132" s="202"/>
      <c r="NCF132" s="202"/>
      <c r="NCG132" s="202"/>
      <c r="NCH132" s="202"/>
      <c r="NCI132" s="202"/>
      <c r="NCJ132" s="202"/>
      <c r="NCK132" s="202"/>
      <c r="NCL132" s="202"/>
      <c r="NCM132" s="202"/>
      <c r="NCN132" s="202"/>
      <c r="NCO132" s="202"/>
      <c r="NCP132" s="202"/>
      <c r="NCQ132" s="202"/>
      <c r="NCR132" s="202"/>
      <c r="NCS132" s="202"/>
      <c r="NCT132" s="202"/>
      <c r="NCU132" s="202"/>
      <c r="NCV132" s="202"/>
      <c r="NCW132" s="202"/>
      <c r="NCX132" s="202"/>
      <c r="NCY132" s="202"/>
      <c r="NCZ132" s="202"/>
      <c r="NDA132" s="202"/>
      <c r="NDB132" s="202"/>
      <c r="NDC132" s="202"/>
      <c r="NDD132" s="202"/>
      <c r="NDE132" s="202"/>
      <c r="NDF132" s="202"/>
      <c r="NDG132" s="202"/>
      <c r="NDH132" s="202"/>
      <c r="NDI132" s="202"/>
      <c r="NDJ132" s="202"/>
      <c r="NDK132" s="202"/>
      <c r="NDL132" s="202"/>
      <c r="NDM132" s="202"/>
      <c r="NDN132" s="202"/>
      <c r="NDO132" s="202"/>
      <c r="NDP132" s="202"/>
      <c r="NDQ132" s="202"/>
      <c r="NDR132" s="202"/>
      <c r="NDS132" s="202"/>
      <c r="NDT132" s="202"/>
      <c r="NDU132" s="202"/>
      <c r="NDV132" s="202"/>
      <c r="NDW132" s="202"/>
      <c r="NDX132" s="202"/>
      <c r="NDY132" s="202"/>
      <c r="NDZ132" s="202"/>
      <c r="NEA132" s="202"/>
      <c r="NEB132" s="202"/>
      <c r="NEC132" s="202"/>
      <c r="NED132" s="202"/>
      <c r="NEE132" s="202"/>
      <c r="NEF132" s="202"/>
      <c r="NEG132" s="202"/>
      <c r="NEH132" s="202"/>
      <c r="NEI132" s="202"/>
      <c r="NEJ132" s="202"/>
      <c r="NEK132" s="202"/>
      <c r="NEL132" s="202"/>
      <c r="NEM132" s="202"/>
      <c r="NEN132" s="202"/>
      <c r="NEO132" s="202"/>
      <c r="NEP132" s="202"/>
      <c r="NEQ132" s="202"/>
      <c r="NER132" s="202"/>
      <c r="NES132" s="202"/>
      <c r="NET132" s="202"/>
      <c r="NEU132" s="202"/>
      <c r="NEV132" s="202"/>
      <c r="NEW132" s="202"/>
      <c r="NEX132" s="202"/>
      <c r="NEY132" s="202"/>
      <c r="NEZ132" s="202"/>
      <c r="NFA132" s="202"/>
      <c r="NFB132" s="202"/>
      <c r="NFC132" s="202"/>
      <c r="NFD132" s="202"/>
      <c r="NFE132" s="202"/>
      <c r="NFF132" s="202"/>
      <c r="NFG132" s="202"/>
      <c r="NFH132" s="202"/>
      <c r="NFI132" s="202"/>
      <c r="NFJ132" s="202"/>
      <c r="NFK132" s="202"/>
      <c r="NFL132" s="202"/>
      <c r="NFM132" s="202"/>
      <c r="NFN132" s="202"/>
      <c r="NFO132" s="202"/>
      <c r="NFP132" s="202"/>
      <c r="NFQ132" s="202"/>
      <c r="NFR132" s="202"/>
      <c r="NFS132" s="202"/>
      <c r="NFT132" s="202"/>
      <c r="NFU132" s="202"/>
      <c r="NFV132" s="202"/>
      <c r="NFW132" s="202"/>
      <c r="NFX132" s="202"/>
      <c r="NFY132" s="202"/>
      <c r="NFZ132" s="202"/>
      <c r="NGA132" s="202"/>
      <c r="NGB132" s="202"/>
      <c r="NGC132" s="202"/>
      <c r="NGD132" s="202"/>
      <c r="NGE132" s="202"/>
      <c r="NGF132" s="202"/>
      <c r="NGG132" s="202"/>
      <c r="NGH132" s="202"/>
      <c r="NGI132" s="202"/>
      <c r="NGJ132" s="202"/>
      <c r="NGK132" s="202"/>
      <c r="NGL132" s="202"/>
      <c r="NGM132" s="202"/>
      <c r="NGN132" s="202"/>
      <c r="NGO132" s="202"/>
      <c r="NGP132" s="202"/>
      <c r="NGQ132" s="202"/>
      <c r="NGR132" s="202"/>
      <c r="NGS132" s="202"/>
      <c r="NGT132" s="202"/>
      <c r="NGU132" s="202"/>
      <c r="NGV132" s="202"/>
      <c r="NGW132" s="202"/>
      <c r="NGX132" s="202"/>
      <c r="NGY132" s="202"/>
      <c r="NGZ132" s="202"/>
      <c r="NHA132" s="202"/>
      <c r="NHB132" s="202"/>
      <c r="NHC132" s="202"/>
      <c r="NHD132" s="202"/>
      <c r="NHE132" s="202"/>
      <c r="NHF132" s="202"/>
      <c r="NHG132" s="202"/>
      <c r="NHH132" s="202"/>
      <c r="NHI132" s="202"/>
      <c r="NHJ132" s="202"/>
      <c r="NHK132" s="202"/>
      <c r="NHL132" s="202"/>
      <c r="NHM132" s="202"/>
      <c r="NHN132" s="202"/>
      <c r="NHO132" s="202"/>
      <c r="NHP132" s="202"/>
      <c r="NHQ132" s="202"/>
      <c r="NHR132" s="202"/>
      <c r="NHS132" s="202"/>
      <c r="NHT132" s="202"/>
      <c r="NHU132" s="202"/>
      <c r="NHV132" s="202"/>
      <c r="NHW132" s="202"/>
      <c r="NHX132" s="202"/>
      <c r="NHY132" s="202"/>
      <c r="NHZ132" s="202"/>
      <c r="NIA132" s="202"/>
      <c r="NIB132" s="202"/>
      <c r="NIC132" s="202"/>
      <c r="NID132" s="202"/>
      <c r="NIE132" s="202"/>
      <c r="NIF132" s="202"/>
      <c r="NIG132" s="202"/>
      <c r="NIH132" s="202"/>
      <c r="NII132" s="202"/>
      <c r="NIJ132" s="202"/>
      <c r="NIK132" s="202"/>
      <c r="NIL132" s="202"/>
      <c r="NIM132" s="202"/>
      <c r="NIN132" s="202"/>
      <c r="NIO132" s="202"/>
      <c r="NIP132" s="202"/>
      <c r="NIQ132" s="202"/>
      <c r="NIR132" s="202"/>
      <c r="NIS132" s="202"/>
      <c r="NIT132" s="202"/>
      <c r="NIU132" s="202"/>
      <c r="NIV132" s="202"/>
      <c r="NIW132" s="202"/>
      <c r="NIX132" s="202"/>
      <c r="NIY132" s="202"/>
      <c r="NIZ132" s="202"/>
      <c r="NJA132" s="202"/>
      <c r="NJB132" s="202"/>
      <c r="NJC132" s="202"/>
      <c r="NJD132" s="202"/>
      <c r="NJE132" s="202"/>
      <c r="NJF132" s="202"/>
      <c r="NJG132" s="202"/>
      <c r="NJH132" s="202"/>
      <c r="NJI132" s="202"/>
      <c r="NJJ132" s="202"/>
      <c r="NJK132" s="202"/>
      <c r="NJL132" s="202"/>
      <c r="NJM132" s="202"/>
      <c r="NJN132" s="202"/>
      <c r="NJO132" s="202"/>
      <c r="NJP132" s="202"/>
      <c r="NJQ132" s="202"/>
      <c r="NJR132" s="202"/>
      <c r="NJS132" s="202"/>
      <c r="NJT132" s="202"/>
      <c r="NJU132" s="202"/>
      <c r="NJV132" s="202"/>
      <c r="NJW132" s="202"/>
      <c r="NJX132" s="202"/>
      <c r="NJY132" s="202"/>
      <c r="NJZ132" s="202"/>
      <c r="NKA132" s="202"/>
      <c r="NKB132" s="202"/>
      <c r="NKC132" s="202"/>
      <c r="NKD132" s="202"/>
      <c r="NKE132" s="202"/>
      <c r="NKF132" s="202"/>
      <c r="NKG132" s="202"/>
      <c r="NKH132" s="202"/>
      <c r="NKI132" s="202"/>
      <c r="NKJ132" s="202"/>
      <c r="NKK132" s="202"/>
      <c r="NKL132" s="202"/>
      <c r="NKM132" s="202"/>
      <c r="NKN132" s="202"/>
      <c r="NKO132" s="202"/>
      <c r="NKP132" s="202"/>
      <c r="NKQ132" s="202"/>
      <c r="NKR132" s="202"/>
      <c r="NKS132" s="202"/>
      <c r="NKT132" s="202"/>
      <c r="NKU132" s="202"/>
      <c r="NKV132" s="202"/>
      <c r="NKW132" s="202"/>
      <c r="NKX132" s="202"/>
      <c r="NKY132" s="202"/>
      <c r="NKZ132" s="202"/>
      <c r="NLA132" s="202"/>
      <c r="NLB132" s="202"/>
      <c r="NLC132" s="202"/>
      <c r="NLD132" s="202"/>
      <c r="NLE132" s="202"/>
      <c r="NLF132" s="202"/>
      <c r="NLG132" s="202"/>
      <c r="NLH132" s="202"/>
      <c r="NLI132" s="202"/>
      <c r="NLJ132" s="202"/>
      <c r="NLK132" s="202"/>
      <c r="NLL132" s="202"/>
      <c r="NLM132" s="202"/>
      <c r="NLN132" s="202"/>
      <c r="NLO132" s="202"/>
      <c r="NLP132" s="202"/>
      <c r="NLQ132" s="202"/>
      <c r="NLR132" s="202"/>
      <c r="NLS132" s="202"/>
      <c r="NLT132" s="202"/>
      <c r="NLU132" s="202"/>
      <c r="NLV132" s="202"/>
      <c r="NLW132" s="202"/>
      <c r="NLX132" s="202"/>
      <c r="NLY132" s="202"/>
      <c r="NLZ132" s="202"/>
      <c r="NMA132" s="202"/>
      <c r="NMB132" s="202"/>
      <c r="NMC132" s="202"/>
      <c r="NMD132" s="202"/>
      <c r="NME132" s="202"/>
      <c r="NMF132" s="202"/>
      <c r="NMG132" s="202"/>
      <c r="NMH132" s="202"/>
      <c r="NMI132" s="202"/>
      <c r="NMJ132" s="202"/>
      <c r="NMK132" s="202"/>
      <c r="NML132" s="202"/>
      <c r="NMM132" s="202"/>
      <c r="NMN132" s="202"/>
      <c r="NMO132" s="202"/>
      <c r="NMP132" s="202"/>
      <c r="NMQ132" s="202"/>
      <c r="NMR132" s="202"/>
      <c r="NMS132" s="202"/>
      <c r="NMT132" s="202"/>
      <c r="NMU132" s="202"/>
      <c r="NMV132" s="202"/>
      <c r="NMW132" s="202"/>
      <c r="NMX132" s="202"/>
      <c r="NMY132" s="202"/>
      <c r="NMZ132" s="202"/>
      <c r="NNA132" s="202"/>
      <c r="NNB132" s="202"/>
      <c r="NNC132" s="202"/>
      <c r="NND132" s="202"/>
      <c r="NNE132" s="202"/>
      <c r="NNF132" s="202"/>
      <c r="NNG132" s="202"/>
      <c r="NNH132" s="202"/>
      <c r="NNI132" s="202"/>
      <c r="NNJ132" s="202"/>
      <c r="NNK132" s="202"/>
      <c r="NNL132" s="202"/>
      <c r="NNM132" s="202"/>
      <c r="NNN132" s="202"/>
      <c r="NNO132" s="202"/>
      <c r="NNP132" s="202"/>
      <c r="NNQ132" s="202"/>
      <c r="NNR132" s="202"/>
      <c r="NNS132" s="202"/>
      <c r="NNT132" s="202"/>
      <c r="NNU132" s="202"/>
      <c r="NNV132" s="202"/>
      <c r="NNW132" s="202"/>
      <c r="NNX132" s="202"/>
      <c r="NNY132" s="202"/>
      <c r="NNZ132" s="202"/>
      <c r="NOA132" s="202"/>
      <c r="NOB132" s="202"/>
      <c r="NOC132" s="202"/>
      <c r="NOD132" s="202"/>
      <c r="NOE132" s="202"/>
      <c r="NOF132" s="202"/>
      <c r="NOG132" s="202"/>
      <c r="NOH132" s="202"/>
      <c r="NOI132" s="202"/>
      <c r="NOJ132" s="202"/>
      <c r="NOK132" s="202"/>
      <c r="NOL132" s="202"/>
      <c r="NOM132" s="202"/>
      <c r="NON132" s="202"/>
      <c r="NOO132" s="202"/>
      <c r="NOP132" s="202"/>
      <c r="NOQ132" s="202"/>
      <c r="NOR132" s="202"/>
      <c r="NOS132" s="202"/>
      <c r="NOT132" s="202"/>
      <c r="NOU132" s="202"/>
      <c r="NOV132" s="202"/>
      <c r="NOW132" s="202"/>
      <c r="NOX132" s="202"/>
      <c r="NOY132" s="202"/>
      <c r="NOZ132" s="202"/>
      <c r="NPA132" s="202"/>
      <c r="NPB132" s="202"/>
      <c r="NPC132" s="202"/>
      <c r="NPD132" s="202"/>
      <c r="NPE132" s="202"/>
      <c r="NPF132" s="202"/>
      <c r="NPG132" s="202"/>
      <c r="NPH132" s="202"/>
      <c r="NPI132" s="202"/>
      <c r="NPJ132" s="202"/>
      <c r="NPK132" s="202"/>
      <c r="NPL132" s="202"/>
      <c r="NPM132" s="202"/>
      <c r="NPN132" s="202"/>
      <c r="NPO132" s="202"/>
      <c r="NPP132" s="202"/>
      <c r="NPQ132" s="202"/>
      <c r="NPR132" s="202"/>
      <c r="NPS132" s="202"/>
      <c r="NPT132" s="202"/>
      <c r="NPU132" s="202"/>
      <c r="NPV132" s="202"/>
      <c r="NPW132" s="202"/>
      <c r="NPX132" s="202"/>
      <c r="NPY132" s="202"/>
      <c r="NPZ132" s="202"/>
      <c r="NQA132" s="202"/>
      <c r="NQB132" s="202"/>
      <c r="NQC132" s="202"/>
      <c r="NQD132" s="202"/>
      <c r="NQE132" s="202"/>
      <c r="NQF132" s="202"/>
      <c r="NQG132" s="202"/>
      <c r="NQH132" s="202"/>
      <c r="NQI132" s="202"/>
      <c r="NQJ132" s="202"/>
      <c r="NQK132" s="202"/>
      <c r="NQL132" s="202"/>
      <c r="NQM132" s="202"/>
      <c r="NQN132" s="202"/>
      <c r="NQO132" s="202"/>
      <c r="NQP132" s="202"/>
      <c r="NQQ132" s="202"/>
      <c r="NQR132" s="202"/>
      <c r="NQS132" s="202"/>
      <c r="NQT132" s="202"/>
      <c r="NQU132" s="202"/>
      <c r="NQV132" s="202"/>
      <c r="NQW132" s="202"/>
      <c r="NQX132" s="202"/>
      <c r="NQY132" s="202"/>
      <c r="NQZ132" s="202"/>
      <c r="NRA132" s="202"/>
      <c r="NRB132" s="202"/>
      <c r="NRC132" s="202"/>
      <c r="NRD132" s="202"/>
      <c r="NRE132" s="202"/>
      <c r="NRF132" s="202"/>
      <c r="NRG132" s="202"/>
      <c r="NRH132" s="202"/>
      <c r="NRI132" s="202"/>
      <c r="NRJ132" s="202"/>
      <c r="NRK132" s="202"/>
      <c r="NRL132" s="202"/>
      <c r="NRM132" s="202"/>
      <c r="NRN132" s="202"/>
      <c r="NRO132" s="202"/>
      <c r="NRP132" s="202"/>
      <c r="NRQ132" s="202"/>
      <c r="NRR132" s="202"/>
      <c r="NRS132" s="202"/>
      <c r="NRT132" s="202"/>
      <c r="NRU132" s="202"/>
      <c r="NRV132" s="202"/>
      <c r="NRW132" s="202"/>
      <c r="NRX132" s="202"/>
      <c r="NRY132" s="202"/>
      <c r="NRZ132" s="202"/>
      <c r="NSA132" s="202"/>
      <c r="NSB132" s="202"/>
      <c r="NSC132" s="202"/>
      <c r="NSD132" s="202"/>
      <c r="NSE132" s="202"/>
      <c r="NSF132" s="202"/>
      <c r="NSG132" s="202"/>
      <c r="NSH132" s="202"/>
      <c r="NSI132" s="202"/>
      <c r="NSJ132" s="202"/>
      <c r="NSK132" s="202"/>
      <c r="NSL132" s="202"/>
      <c r="NSM132" s="202"/>
      <c r="NSN132" s="202"/>
      <c r="NSO132" s="202"/>
      <c r="NSP132" s="202"/>
      <c r="NSQ132" s="202"/>
      <c r="NSR132" s="202"/>
      <c r="NSS132" s="202"/>
      <c r="NST132" s="202"/>
      <c r="NSU132" s="202"/>
      <c r="NSV132" s="202"/>
      <c r="NSW132" s="202"/>
      <c r="NSX132" s="202"/>
      <c r="NSY132" s="202"/>
      <c r="NSZ132" s="202"/>
      <c r="NTA132" s="202"/>
      <c r="NTB132" s="202"/>
      <c r="NTC132" s="202"/>
      <c r="NTD132" s="202"/>
      <c r="NTE132" s="202"/>
      <c r="NTF132" s="202"/>
      <c r="NTG132" s="202"/>
      <c r="NTH132" s="202"/>
      <c r="NTI132" s="202"/>
      <c r="NTJ132" s="202"/>
      <c r="NTK132" s="202"/>
      <c r="NTL132" s="202"/>
      <c r="NTM132" s="202"/>
      <c r="NTN132" s="202"/>
      <c r="NTO132" s="202"/>
      <c r="NTP132" s="202"/>
      <c r="NTQ132" s="202"/>
      <c r="NTR132" s="202"/>
      <c r="NTS132" s="202"/>
      <c r="NTT132" s="202"/>
      <c r="NTU132" s="202"/>
      <c r="NTV132" s="202"/>
      <c r="NTW132" s="202"/>
      <c r="NTX132" s="202"/>
      <c r="NTY132" s="202"/>
      <c r="NTZ132" s="202"/>
      <c r="NUA132" s="202"/>
      <c r="NUB132" s="202"/>
      <c r="NUC132" s="202"/>
      <c r="NUD132" s="202"/>
      <c r="NUE132" s="202"/>
      <c r="NUF132" s="202"/>
      <c r="NUG132" s="202"/>
      <c r="NUH132" s="202"/>
      <c r="NUI132" s="202"/>
      <c r="NUJ132" s="202"/>
      <c r="NUK132" s="202"/>
      <c r="NUL132" s="202"/>
      <c r="NUM132" s="202"/>
      <c r="NUN132" s="202"/>
      <c r="NUO132" s="202"/>
      <c r="NUP132" s="202"/>
      <c r="NUQ132" s="202"/>
      <c r="NUR132" s="202"/>
      <c r="NUS132" s="202"/>
      <c r="NUT132" s="202"/>
      <c r="NUU132" s="202"/>
      <c r="NUV132" s="202"/>
      <c r="NUW132" s="202"/>
      <c r="NUX132" s="202"/>
      <c r="NUY132" s="202"/>
      <c r="NUZ132" s="202"/>
      <c r="NVA132" s="202"/>
      <c r="NVB132" s="202"/>
      <c r="NVC132" s="202"/>
      <c r="NVD132" s="202"/>
      <c r="NVE132" s="202"/>
      <c r="NVF132" s="202"/>
      <c r="NVG132" s="202"/>
      <c r="NVH132" s="202"/>
      <c r="NVI132" s="202"/>
      <c r="NVJ132" s="202"/>
      <c r="NVK132" s="202"/>
      <c r="NVL132" s="202"/>
      <c r="NVM132" s="202"/>
      <c r="NVN132" s="202"/>
      <c r="NVO132" s="202"/>
      <c r="NVP132" s="202"/>
      <c r="NVQ132" s="202"/>
      <c r="NVR132" s="202"/>
      <c r="NVS132" s="202"/>
      <c r="NVT132" s="202"/>
      <c r="NVU132" s="202"/>
      <c r="NVV132" s="202"/>
      <c r="NVW132" s="202"/>
      <c r="NVX132" s="202"/>
      <c r="NVY132" s="202"/>
      <c r="NVZ132" s="202"/>
      <c r="NWA132" s="202"/>
      <c r="NWB132" s="202"/>
      <c r="NWC132" s="202"/>
      <c r="NWD132" s="202"/>
      <c r="NWE132" s="202"/>
      <c r="NWF132" s="202"/>
      <c r="NWG132" s="202"/>
      <c r="NWH132" s="202"/>
      <c r="NWI132" s="202"/>
      <c r="NWJ132" s="202"/>
      <c r="NWK132" s="202"/>
      <c r="NWL132" s="202"/>
      <c r="NWM132" s="202"/>
      <c r="NWN132" s="202"/>
      <c r="NWO132" s="202"/>
      <c r="NWP132" s="202"/>
      <c r="NWQ132" s="202"/>
      <c r="NWR132" s="202"/>
      <c r="NWS132" s="202"/>
      <c r="NWT132" s="202"/>
      <c r="NWU132" s="202"/>
      <c r="NWV132" s="202"/>
      <c r="NWW132" s="202"/>
      <c r="NWX132" s="202"/>
      <c r="NWY132" s="202"/>
      <c r="NWZ132" s="202"/>
      <c r="NXA132" s="202"/>
      <c r="NXB132" s="202"/>
      <c r="NXC132" s="202"/>
      <c r="NXD132" s="202"/>
      <c r="NXE132" s="202"/>
      <c r="NXF132" s="202"/>
      <c r="NXG132" s="202"/>
      <c r="NXH132" s="202"/>
      <c r="NXI132" s="202"/>
      <c r="NXJ132" s="202"/>
      <c r="NXK132" s="202"/>
      <c r="NXL132" s="202"/>
      <c r="NXM132" s="202"/>
      <c r="NXN132" s="202"/>
      <c r="NXO132" s="202"/>
      <c r="NXP132" s="202"/>
      <c r="NXQ132" s="202"/>
      <c r="NXR132" s="202"/>
      <c r="NXS132" s="202"/>
      <c r="NXT132" s="202"/>
      <c r="NXU132" s="202"/>
      <c r="NXV132" s="202"/>
      <c r="NXW132" s="202"/>
      <c r="NXX132" s="202"/>
      <c r="NXY132" s="202"/>
      <c r="NXZ132" s="202"/>
      <c r="NYA132" s="202"/>
      <c r="NYB132" s="202"/>
      <c r="NYC132" s="202"/>
      <c r="NYD132" s="202"/>
      <c r="NYE132" s="202"/>
      <c r="NYF132" s="202"/>
      <c r="NYG132" s="202"/>
      <c r="NYH132" s="202"/>
      <c r="NYI132" s="202"/>
      <c r="NYJ132" s="202"/>
      <c r="NYK132" s="202"/>
      <c r="NYL132" s="202"/>
      <c r="NYM132" s="202"/>
      <c r="NYN132" s="202"/>
      <c r="NYO132" s="202"/>
      <c r="NYP132" s="202"/>
      <c r="NYQ132" s="202"/>
      <c r="NYR132" s="202"/>
      <c r="NYS132" s="202"/>
      <c r="NYT132" s="202"/>
      <c r="NYU132" s="202"/>
      <c r="NYV132" s="202"/>
      <c r="NYW132" s="202"/>
      <c r="NYX132" s="202"/>
      <c r="NYY132" s="202"/>
      <c r="NYZ132" s="202"/>
      <c r="NZA132" s="202"/>
      <c r="NZB132" s="202"/>
      <c r="NZC132" s="202"/>
      <c r="NZD132" s="202"/>
      <c r="NZE132" s="202"/>
      <c r="NZF132" s="202"/>
      <c r="NZG132" s="202"/>
      <c r="NZH132" s="202"/>
      <c r="NZI132" s="202"/>
      <c r="NZJ132" s="202"/>
      <c r="NZK132" s="202"/>
      <c r="NZL132" s="202"/>
      <c r="NZM132" s="202"/>
      <c r="NZN132" s="202"/>
      <c r="NZO132" s="202"/>
      <c r="NZP132" s="202"/>
      <c r="NZQ132" s="202"/>
      <c r="NZR132" s="202"/>
      <c r="NZS132" s="202"/>
      <c r="NZT132" s="202"/>
      <c r="NZU132" s="202"/>
      <c r="NZV132" s="202"/>
      <c r="NZW132" s="202"/>
      <c r="NZX132" s="202"/>
      <c r="NZY132" s="202"/>
      <c r="NZZ132" s="202"/>
      <c r="OAA132" s="202"/>
      <c r="OAB132" s="202"/>
      <c r="OAC132" s="202"/>
      <c r="OAD132" s="202"/>
      <c r="OAE132" s="202"/>
      <c r="OAF132" s="202"/>
      <c r="OAG132" s="202"/>
      <c r="OAH132" s="202"/>
      <c r="OAI132" s="202"/>
      <c r="OAJ132" s="202"/>
      <c r="OAK132" s="202"/>
      <c r="OAL132" s="202"/>
      <c r="OAM132" s="202"/>
      <c r="OAN132" s="202"/>
      <c r="OAO132" s="202"/>
      <c r="OAP132" s="202"/>
      <c r="OAQ132" s="202"/>
      <c r="OAR132" s="202"/>
      <c r="OAS132" s="202"/>
      <c r="OAT132" s="202"/>
      <c r="OAU132" s="202"/>
      <c r="OAV132" s="202"/>
      <c r="OAW132" s="202"/>
      <c r="OAX132" s="202"/>
      <c r="OAY132" s="202"/>
      <c r="OAZ132" s="202"/>
      <c r="OBA132" s="202"/>
      <c r="OBB132" s="202"/>
      <c r="OBC132" s="202"/>
      <c r="OBD132" s="202"/>
      <c r="OBE132" s="202"/>
      <c r="OBF132" s="202"/>
      <c r="OBG132" s="202"/>
      <c r="OBH132" s="202"/>
      <c r="OBI132" s="202"/>
      <c r="OBJ132" s="202"/>
      <c r="OBK132" s="202"/>
      <c r="OBL132" s="202"/>
      <c r="OBM132" s="202"/>
      <c r="OBN132" s="202"/>
      <c r="OBO132" s="202"/>
      <c r="OBP132" s="202"/>
      <c r="OBQ132" s="202"/>
      <c r="OBR132" s="202"/>
      <c r="OBS132" s="202"/>
      <c r="OBT132" s="202"/>
      <c r="OBU132" s="202"/>
      <c r="OBV132" s="202"/>
      <c r="OBW132" s="202"/>
      <c r="OBX132" s="202"/>
      <c r="OBY132" s="202"/>
      <c r="OBZ132" s="202"/>
      <c r="OCA132" s="202"/>
      <c r="OCB132" s="202"/>
      <c r="OCC132" s="202"/>
      <c r="OCD132" s="202"/>
      <c r="OCE132" s="202"/>
      <c r="OCF132" s="202"/>
      <c r="OCG132" s="202"/>
      <c r="OCH132" s="202"/>
      <c r="OCI132" s="202"/>
      <c r="OCJ132" s="202"/>
      <c r="OCK132" s="202"/>
      <c r="OCL132" s="202"/>
      <c r="OCM132" s="202"/>
      <c r="OCN132" s="202"/>
      <c r="OCO132" s="202"/>
      <c r="OCP132" s="202"/>
      <c r="OCQ132" s="202"/>
      <c r="OCR132" s="202"/>
      <c r="OCS132" s="202"/>
      <c r="OCT132" s="202"/>
      <c r="OCU132" s="202"/>
      <c r="OCV132" s="202"/>
      <c r="OCW132" s="202"/>
      <c r="OCX132" s="202"/>
      <c r="OCY132" s="202"/>
      <c r="OCZ132" s="202"/>
      <c r="ODA132" s="202"/>
      <c r="ODB132" s="202"/>
      <c r="ODC132" s="202"/>
      <c r="ODD132" s="202"/>
      <c r="ODE132" s="202"/>
      <c r="ODF132" s="202"/>
      <c r="ODG132" s="202"/>
      <c r="ODH132" s="202"/>
      <c r="ODI132" s="202"/>
      <c r="ODJ132" s="202"/>
      <c r="ODK132" s="202"/>
      <c r="ODL132" s="202"/>
      <c r="ODM132" s="202"/>
      <c r="ODN132" s="202"/>
      <c r="ODO132" s="202"/>
      <c r="ODP132" s="202"/>
      <c r="ODQ132" s="202"/>
      <c r="ODR132" s="202"/>
      <c r="ODS132" s="202"/>
      <c r="ODT132" s="202"/>
      <c r="ODU132" s="202"/>
      <c r="ODV132" s="202"/>
      <c r="ODW132" s="202"/>
      <c r="ODX132" s="202"/>
      <c r="ODY132" s="202"/>
      <c r="ODZ132" s="202"/>
      <c r="OEA132" s="202"/>
      <c r="OEB132" s="202"/>
      <c r="OEC132" s="202"/>
      <c r="OED132" s="202"/>
      <c r="OEE132" s="202"/>
      <c r="OEF132" s="202"/>
      <c r="OEG132" s="202"/>
      <c r="OEH132" s="202"/>
      <c r="OEI132" s="202"/>
      <c r="OEJ132" s="202"/>
      <c r="OEK132" s="202"/>
      <c r="OEL132" s="202"/>
      <c r="OEM132" s="202"/>
      <c r="OEN132" s="202"/>
      <c r="OEO132" s="202"/>
      <c r="OEP132" s="202"/>
      <c r="OEQ132" s="202"/>
      <c r="OER132" s="202"/>
      <c r="OES132" s="202"/>
      <c r="OET132" s="202"/>
      <c r="OEU132" s="202"/>
      <c r="OEV132" s="202"/>
      <c r="OEW132" s="202"/>
      <c r="OEX132" s="202"/>
      <c r="OEY132" s="202"/>
      <c r="OEZ132" s="202"/>
      <c r="OFA132" s="202"/>
      <c r="OFB132" s="202"/>
      <c r="OFC132" s="202"/>
      <c r="OFD132" s="202"/>
      <c r="OFE132" s="202"/>
      <c r="OFF132" s="202"/>
      <c r="OFG132" s="202"/>
      <c r="OFH132" s="202"/>
      <c r="OFI132" s="202"/>
      <c r="OFJ132" s="202"/>
      <c r="OFK132" s="202"/>
      <c r="OFL132" s="202"/>
      <c r="OFM132" s="202"/>
      <c r="OFN132" s="202"/>
      <c r="OFO132" s="202"/>
      <c r="OFP132" s="202"/>
      <c r="OFQ132" s="202"/>
      <c r="OFR132" s="202"/>
      <c r="OFS132" s="202"/>
      <c r="OFT132" s="202"/>
      <c r="OFU132" s="202"/>
      <c r="OFV132" s="202"/>
      <c r="OFW132" s="202"/>
      <c r="OFX132" s="202"/>
      <c r="OFY132" s="202"/>
      <c r="OFZ132" s="202"/>
      <c r="OGA132" s="202"/>
      <c r="OGB132" s="202"/>
      <c r="OGC132" s="202"/>
      <c r="OGD132" s="202"/>
      <c r="OGE132" s="202"/>
      <c r="OGF132" s="202"/>
      <c r="OGG132" s="202"/>
      <c r="OGH132" s="202"/>
      <c r="OGI132" s="202"/>
      <c r="OGJ132" s="202"/>
      <c r="OGK132" s="202"/>
      <c r="OGL132" s="202"/>
      <c r="OGM132" s="202"/>
      <c r="OGN132" s="202"/>
      <c r="OGO132" s="202"/>
      <c r="OGP132" s="202"/>
      <c r="OGQ132" s="202"/>
      <c r="OGR132" s="202"/>
      <c r="OGS132" s="202"/>
      <c r="OGT132" s="202"/>
      <c r="OGU132" s="202"/>
      <c r="OGV132" s="202"/>
      <c r="OGW132" s="202"/>
      <c r="OGX132" s="202"/>
      <c r="OGY132" s="202"/>
      <c r="OGZ132" s="202"/>
      <c r="OHA132" s="202"/>
      <c r="OHB132" s="202"/>
      <c r="OHC132" s="202"/>
      <c r="OHD132" s="202"/>
      <c r="OHE132" s="202"/>
      <c r="OHF132" s="202"/>
      <c r="OHG132" s="202"/>
      <c r="OHH132" s="202"/>
      <c r="OHI132" s="202"/>
      <c r="OHJ132" s="202"/>
      <c r="OHK132" s="202"/>
      <c r="OHL132" s="202"/>
      <c r="OHM132" s="202"/>
      <c r="OHN132" s="202"/>
      <c r="OHO132" s="202"/>
      <c r="OHP132" s="202"/>
      <c r="OHQ132" s="202"/>
      <c r="OHR132" s="202"/>
      <c r="OHS132" s="202"/>
      <c r="OHT132" s="202"/>
      <c r="OHU132" s="202"/>
      <c r="OHV132" s="202"/>
      <c r="OHW132" s="202"/>
      <c r="OHX132" s="202"/>
      <c r="OHY132" s="202"/>
      <c r="OHZ132" s="202"/>
      <c r="OIA132" s="202"/>
      <c r="OIB132" s="202"/>
      <c r="OIC132" s="202"/>
      <c r="OID132" s="202"/>
      <c r="OIE132" s="202"/>
      <c r="OIF132" s="202"/>
      <c r="OIG132" s="202"/>
      <c r="OIH132" s="202"/>
      <c r="OII132" s="202"/>
      <c r="OIJ132" s="202"/>
      <c r="OIK132" s="202"/>
      <c r="OIL132" s="202"/>
      <c r="OIM132" s="202"/>
      <c r="OIN132" s="202"/>
      <c r="OIO132" s="202"/>
      <c r="OIP132" s="202"/>
      <c r="OIQ132" s="202"/>
      <c r="OIR132" s="202"/>
      <c r="OIS132" s="202"/>
      <c r="OIT132" s="202"/>
      <c r="OIU132" s="202"/>
      <c r="OIV132" s="202"/>
      <c r="OIW132" s="202"/>
      <c r="OIX132" s="202"/>
      <c r="OIY132" s="202"/>
      <c r="OIZ132" s="202"/>
      <c r="OJA132" s="202"/>
      <c r="OJB132" s="202"/>
      <c r="OJC132" s="202"/>
      <c r="OJD132" s="202"/>
      <c r="OJE132" s="202"/>
      <c r="OJF132" s="202"/>
      <c r="OJG132" s="202"/>
      <c r="OJH132" s="202"/>
      <c r="OJI132" s="202"/>
      <c r="OJJ132" s="202"/>
      <c r="OJK132" s="202"/>
      <c r="OJL132" s="202"/>
      <c r="OJM132" s="202"/>
      <c r="OJN132" s="202"/>
      <c r="OJO132" s="202"/>
      <c r="OJP132" s="202"/>
      <c r="OJQ132" s="202"/>
      <c r="OJR132" s="202"/>
      <c r="OJS132" s="202"/>
      <c r="OJT132" s="202"/>
      <c r="OJU132" s="202"/>
      <c r="OJV132" s="202"/>
      <c r="OJW132" s="202"/>
      <c r="OJX132" s="202"/>
      <c r="OJY132" s="202"/>
      <c r="OJZ132" s="202"/>
      <c r="OKA132" s="202"/>
      <c r="OKB132" s="202"/>
      <c r="OKC132" s="202"/>
      <c r="OKD132" s="202"/>
      <c r="OKE132" s="202"/>
      <c r="OKF132" s="202"/>
      <c r="OKG132" s="202"/>
      <c r="OKH132" s="202"/>
      <c r="OKI132" s="202"/>
      <c r="OKJ132" s="202"/>
      <c r="OKK132" s="202"/>
      <c r="OKL132" s="202"/>
      <c r="OKM132" s="202"/>
      <c r="OKN132" s="202"/>
      <c r="OKO132" s="202"/>
      <c r="OKP132" s="202"/>
      <c r="OKQ132" s="202"/>
      <c r="OKR132" s="202"/>
      <c r="OKS132" s="202"/>
      <c r="OKT132" s="202"/>
      <c r="OKU132" s="202"/>
      <c r="OKV132" s="202"/>
      <c r="OKW132" s="202"/>
      <c r="OKX132" s="202"/>
      <c r="OKY132" s="202"/>
      <c r="OKZ132" s="202"/>
      <c r="OLA132" s="202"/>
      <c r="OLB132" s="202"/>
      <c r="OLC132" s="202"/>
      <c r="OLD132" s="202"/>
      <c r="OLE132" s="202"/>
      <c r="OLF132" s="202"/>
      <c r="OLG132" s="202"/>
      <c r="OLH132" s="202"/>
      <c r="OLI132" s="202"/>
      <c r="OLJ132" s="202"/>
      <c r="OLK132" s="202"/>
      <c r="OLL132" s="202"/>
      <c r="OLM132" s="202"/>
      <c r="OLN132" s="202"/>
      <c r="OLO132" s="202"/>
      <c r="OLP132" s="202"/>
      <c r="OLQ132" s="202"/>
      <c r="OLR132" s="202"/>
      <c r="OLS132" s="202"/>
      <c r="OLT132" s="202"/>
      <c r="OLU132" s="202"/>
      <c r="OLV132" s="202"/>
      <c r="OLW132" s="202"/>
      <c r="OLX132" s="202"/>
      <c r="OLY132" s="202"/>
      <c r="OLZ132" s="202"/>
      <c r="OMA132" s="202"/>
      <c r="OMB132" s="202"/>
      <c r="OMC132" s="202"/>
      <c r="OMD132" s="202"/>
      <c r="OME132" s="202"/>
      <c r="OMF132" s="202"/>
      <c r="OMG132" s="202"/>
      <c r="OMH132" s="202"/>
      <c r="OMI132" s="202"/>
      <c r="OMJ132" s="202"/>
      <c r="OMK132" s="202"/>
      <c r="OML132" s="202"/>
      <c r="OMM132" s="202"/>
      <c r="OMN132" s="202"/>
      <c r="OMO132" s="202"/>
      <c r="OMP132" s="202"/>
      <c r="OMQ132" s="202"/>
      <c r="OMR132" s="202"/>
      <c r="OMS132" s="202"/>
      <c r="OMT132" s="202"/>
      <c r="OMU132" s="202"/>
      <c r="OMV132" s="202"/>
      <c r="OMW132" s="202"/>
      <c r="OMX132" s="202"/>
      <c r="OMY132" s="202"/>
      <c r="OMZ132" s="202"/>
      <c r="ONA132" s="202"/>
      <c r="ONB132" s="202"/>
      <c r="ONC132" s="202"/>
      <c r="OND132" s="202"/>
      <c r="ONE132" s="202"/>
      <c r="ONF132" s="202"/>
      <c r="ONG132" s="202"/>
      <c r="ONH132" s="202"/>
      <c r="ONI132" s="202"/>
      <c r="ONJ132" s="202"/>
      <c r="ONK132" s="202"/>
      <c r="ONL132" s="202"/>
      <c r="ONM132" s="202"/>
      <c r="ONN132" s="202"/>
      <c r="ONO132" s="202"/>
      <c r="ONP132" s="202"/>
      <c r="ONQ132" s="202"/>
      <c r="ONR132" s="202"/>
      <c r="ONS132" s="202"/>
      <c r="ONT132" s="202"/>
      <c r="ONU132" s="202"/>
      <c r="ONV132" s="202"/>
      <c r="ONW132" s="202"/>
      <c r="ONX132" s="202"/>
      <c r="ONY132" s="202"/>
      <c r="ONZ132" s="202"/>
      <c r="OOA132" s="202"/>
      <c r="OOB132" s="202"/>
      <c r="OOC132" s="202"/>
      <c r="OOD132" s="202"/>
      <c r="OOE132" s="202"/>
      <c r="OOF132" s="202"/>
      <c r="OOG132" s="202"/>
      <c r="OOH132" s="202"/>
      <c r="OOI132" s="202"/>
      <c r="OOJ132" s="202"/>
      <c r="OOK132" s="202"/>
      <c r="OOL132" s="202"/>
      <c r="OOM132" s="202"/>
      <c r="OON132" s="202"/>
      <c r="OOO132" s="202"/>
      <c r="OOP132" s="202"/>
      <c r="OOQ132" s="202"/>
      <c r="OOR132" s="202"/>
      <c r="OOS132" s="202"/>
      <c r="OOT132" s="202"/>
      <c r="OOU132" s="202"/>
      <c r="OOV132" s="202"/>
      <c r="OOW132" s="202"/>
      <c r="OOX132" s="202"/>
      <c r="OOY132" s="202"/>
      <c r="OOZ132" s="202"/>
      <c r="OPA132" s="202"/>
      <c r="OPB132" s="202"/>
      <c r="OPC132" s="202"/>
      <c r="OPD132" s="202"/>
      <c r="OPE132" s="202"/>
      <c r="OPF132" s="202"/>
      <c r="OPG132" s="202"/>
      <c r="OPH132" s="202"/>
      <c r="OPI132" s="202"/>
      <c r="OPJ132" s="202"/>
      <c r="OPK132" s="202"/>
      <c r="OPL132" s="202"/>
      <c r="OPM132" s="202"/>
      <c r="OPN132" s="202"/>
      <c r="OPO132" s="202"/>
      <c r="OPP132" s="202"/>
      <c r="OPQ132" s="202"/>
      <c r="OPR132" s="202"/>
      <c r="OPS132" s="202"/>
      <c r="OPT132" s="202"/>
      <c r="OPU132" s="202"/>
      <c r="OPV132" s="202"/>
      <c r="OPW132" s="202"/>
      <c r="OPX132" s="202"/>
      <c r="OPY132" s="202"/>
      <c r="OPZ132" s="202"/>
      <c r="OQA132" s="202"/>
      <c r="OQB132" s="202"/>
      <c r="OQC132" s="202"/>
      <c r="OQD132" s="202"/>
      <c r="OQE132" s="202"/>
      <c r="OQF132" s="202"/>
      <c r="OQG132" s="202"/>
      <c r="OQH132" s="202"/>
      <c r="OQI132" s="202"/>
      <c r="OQJ132" s="202"/>
      <c r="OQK132" s="202"/>
      <c r="OQL132" s="202"/>
      <c r="OQM132" s="202"/>
      <c r="OQN132" s="202"/>
      <c r="OQO132" s="202"/>
      <c r="OQP132" s="202"/>
      <c r="OQQ132" s="202"/>
      <c r="OQR132" s="202"/>
      <c r="OQS132" s="202"/>
      <c r="OQT132" s="202"/>
      <c r="OQU132" s="202"/>
      <c r="OQV132" s="202"/>
      <c r="OQW132" s="202"/>
      <c r="OQX132" s="202"/>
      <c r="OQY132" s="202"/>
      <c r="OQZ132" s="202"/>
      <c r="ORA132" s="202"/>
      <c r="ORB132" s="202"/>
      <c r="ORC132" s="202"/>
      <c r="ORD132" s="202"/>
      <c r="ORE132" s="202"/>
      <c r="ORF132" s="202"/>
      <c r="ORG132" s="202"/>
      <c r="ORH132" s="202"/>
      <c r="ORI132" s="202"/>
      <c r="ORJ132" s="202"/>
      <c r="ORK132" s="202"/>
      <c r="ORL132" s="202"/>
      <c r="ORM132" s="202"/>
      <c r="ORN132" s="202"/>
      <c r="ORO132" s="202"/>
      <c r="ORP132" s="202"/>
      <c r="ORQ132" s="202"/>
      <c r="ORR132" s="202"/>
      <c r="ORS132" s="202"/>
      <c r="ORT132" s="202"/>
      <c r="ORU132" s="202"/>
      <c r="ORV132" s="202"/>
      <c r="ORW132" s="202"/>
      <c r="ORX132" s="202"/>
      <c r="ORY132" s="202"/>
      <c r="ORZ132" s="202"/>
      <c r="OSA132" s="202"/>
      <c r="OSB132" s="202"/>
      <c r="OSC132" s="202"/>
      <c r="OSD132" s="202"/>
      <c r="OSE132" s="202"/>
      <c r="OSF132" s="202"/>
      <c r="OSG132" s="202"/>
      <c r="OSH132" s="202"/>
      <c r="OSI132" s="202"/>
      <c r="OSJ132" s="202"/>
      <c r="OSK132" s="202"/>
      <c r="OSL132" s="202"/>
      <c r="OSM132" s="202"/>
      <c r="OSN132" s="202"/>
      <c r="OSO132" s="202"/>
      <c r="OSP132" s="202"/>
      <c r="OSQ132" s="202"/>
      <c r="OSR132" s="202"/>
      <c r="OSS132" s="202"/>
      <c r="OST132" s="202"/>
      <c r="OSU132" s="202"/>
      <c r="OSV132" s="202"/>
      <c r="OSW132" s="202"/>
      <c r="OSX132" s="202"/>
      <c r="OSY132" s="202"/>
      <c r="OSZ132" s="202"/>
      <c r="OTA132" s="202"/>
      <c r="OTB132" s="202"/>
      <c r="OTC132" s="202"/>
      <c r="OTD132" s="202"/>
      <c r="OTE132" s="202"/>
      <c r="OTF132" s="202"/>
      <c r="OTG132" s="202"/>
      <c r="OTH132" s="202"/>
      <c r="OTI132" s="202"/>
      <c r="OTJ132" s="202"/>
      <c r="OTK132" s="202"/>
      <c r="OTL132" s="202"/>
      <c r="OTM132" s="202"/>
      <c r="OTN132" s="202"/>
      <c r="OTO132" s="202"/>
      <c r="OTP132" s="202"/>
      <c r="OTQ132" s="202"/>
      <c r="OTR132" s="202"/>
      <c r="OTS132" s="202"/>
      <c r="OTT132" s="202"/>
      <c r="OTU132" s="202"/>
      <c r="OTV132" s="202"/>
      <c r="OTW132" s="202"/>
      <c r="OTX132" s="202"/>
      <c r="OTY132" s="202"/>
      <c r="OTZ132" s="202"/>
      <c r="OUA132" s="202"/>
      <c r="OUB132" s="202"/>
      <c r="OUC132" s="202"/>
      <c r="OUD132" s="202"/>
      <c r="OUE132" s="202"/>
      <c r="OUF132" s="202"/>
      <c r="OUG132" s="202"/>
      <c r="OUH132" s="202"/>
      <c r="OUI132" s="202"/>
      <c r="OUJ132" s="202"/>
      <c r="OUK132" s="202"/>
      <c r="OUL132" s="202"/>
      <c r="OUM132" s="202"/>
      <c r="OUN132" s="202"/>
      <c r="OUO132" s="202"/>
      <c r="OUP132" s="202"/>
      <c r="OUQ132" s="202"/>
      <c r="OUR132" s="202"/>
      <c r="OUS132" s="202"/>
      <c r="OUT132" s="202"/>
      <c r="OUU132" s="202"/>
      <c r="OUV132" s="202"/>
      <c r="OUW132" s="202"/>
      <c r="OUX132" s="202"/>
      <c r="OUY132" s="202"/>
      <c r="OUZ132" s="202"/>
      <c r="OVA132" s="202"/>
      <c r="OVB132" s="202"/>
      <c r="OVC132" s="202"/>
      <c r="OVD132" s="202"/>
      <c r="OVE132" s="202"/>
      <c r="OVF132" s="202"/>
      <c r="OVG132" s="202"/>
      <c r="OVH132" s="202"/>
      <c r="OVI132" s="202"/>
      <c r="OVJ132" s="202"/>
      <c r="OVK132" s="202"/>
      <c r="OVL132" s="202"/>
      <c r="OVM132" s="202"/>
      <c r="OVN132" s="202"/>
      <c r="OVO132" s="202"/>
      <c r="OVP132" s="202"/>
      <c r="OVQ132" s="202"/>
      <c r="OVR132" s="202"/>
      <c r="OVS132" s="202"/>
      <c r="OVT132" s="202"/>
      <c r="OVU132" s="202"/>
      <c r="OVV132" s="202"/>
      <c r="OVW132" s="202"/>
      <c r="OVX132" s="202"/>
      <c r="OVY132" s="202"/>
      <c r="OVZ132" s="202"/>
      <c r="OWA132" s="202"/>
      <c r="OWB132" s="202"/>
      <c r="OWC132" s="202"/>
      <c r="OWD132" s="202"/>
      <c r="OWE132" s="202"/>
      <c r="OWF132" s="202"/>
      <c r="OWG132" s="202"/>
      <c r="OWH132" s="202"/>
      <c r="OWI132" s="202"/>
      <c r="OWJ132" s="202"/>
      <c r="OWK132" s="202"/>
      <c r="OWL132" s="202"/>
      <c r="OWM132" s="202"/>
      <c r="OWN132" s="202"/>
      <c r="OWO132" s="202"/>
      <c r="OWP132" s="202"/>
      <c r="OWQ132" s="202"/>
      <c r="OWR132" s="202"/>
      <c r="OWS132" s="202"/>
      <c r="OWT132" s="202"/>
      <c r="OWU132" s="202"/>
      <c r="OWV132" s="202"/>
      <c r="OWW132" s="202"/>
      <c r="OWX132" s="202"/>
      <c r="OWY132" s="202"/>
      <c r="OWZ132" s="202"/>
      <c r="OXA132" s="202"/>
      <c r="OXB132" s="202"/>
      <c r="OXC132" s="202"/>
      <c r="OXD132" s="202"/>
      <c r="OXE132" s="202"/>
      <c r="OXF132" s="202"/>
      <c r="OXG132" s="202"/>
      <c r="OXH132" s="202"/>
      <c r="OXI132" s="202"/>
      <c r="OXJ132" s="202"/>
      <c r="OXK132" s="202"/>
      <c r="OXL132" s="202"/>
      <c r="OXM132" s="202"/>
      <c r="OXN132" s="202"/>
      <c r="OXO132" s="202"/>
      <c r="OXP132" s="202"/>
      <c r="OXQ132" s="202"/>
      <c r="OXR132" s="202"/>
      <c r="OXS132" s="202"/>
      <c r="OXT132" s="202"/>
      <c r="OXU132" s="202"/>
      <c r="OXV132" s="202"/>
      <c r="OXW132" s="202"/>
      <c r="OXX132" s="202"/>
      <c r="OXY132" s="202"/>
      <c r="OXZ132" s="202"/>
      <c r="OYA132" s="202"/>
      <c r="OYB132" s="202"/>
      <c r="OYC132" s="202"/>
      <c r="OYD132" s="202"/>
      <c r="OYE132" s="202"/>
      <c r="OYF132" s="202"/>
      <c r="OYG132" s="202"/>
      <c r="OYH132" s="202"/>
      <c r="OYI132" s="202"/>
      <c r="OYJ132" s="202"/>
      <c r="OYK132" s="202"/>
      <c r="OYL132" s="202"/>
      <c r="OYM132" s="202"/>
      <c r="OYN132" s="202"/>
      <c r="OYO132" s="202"/>
      <c r="OYP132" s="202"/>
      <c r="OYQ132" s="202"/>
      <c r="OYR132" s="202"/>
      <c r="OYS132" s="202"/>
      <c r="OYT132" s="202"/>
      <c r="OYU132" s="202"/>
      <c r="OYV132" s="202"/>
      <c r="OYW132" s="202"/>
      <c r="OYX132" s="202"/>
      <c r="OYY132" s="202"/>
      <c r="OYZ132" s="202"/>
      <c r="OZA132" s="202"/>
      <c r="OZB132" s="202"/>
      <c r="OZC132" s="202"/>
      <c r="OZD132" s="202"/>
      <c r="OZE132" s="202"/>
      <c r="OZF132" s="202"/>
      <c r="OZG132" s="202"/>
      <c r="OZH132" s="202"/>
      <c r="OZI132" s="202"/>
      <c r="OZJ132" s="202"/>
      <c r="OZK132" s="202"/>
      <c r="OZL132" s="202"/>
      <c r="OZM132" s="202"/>
      <c r="OZN132" s="202"/>
      <c r="OZO132" s="202"/>
      <c r="OZP132" s="202"/>
      <c r="OZQ132" s="202"/>
      <c r="OZR132" s="202"/>
      <c r="OZS132" s="202"/>
      <c r="OZT132" s="202"/>
      <c r="OZU132" s="202"/>
      <c r="OZV132" s="202"/>
      <c r="OZW132" s="202"/>
      <c r="OZX132" s="202"/>
      <c r="OZY132" s="202"/>
      <c r="OZZ132" s="202"/>
      <c r="PAA132" s="202"/>
      <c r="PAB132" s="202"/>
      <c r="PAC132" s="202"/>
      <c r="PAD132" s="202"/>
      <c r="PAE132" s="202"/>
      <c r="PAF132" s="202"/>
      <c r="PAG132" s="202"/>
      <c r="PAH132" s="202"/>
      <c r="PAI132" s="202"/>
      <c r="PAJ132" s="202"/>
      <c r="PAK132" s="202"/>
      <c r="PAL132" s="202"/>
      <c r="PAM132" s="202"/>
      <c r="PAN132" s="202"/>
      <c r="PAO132" s="202"/>
      <c r="PAP132" s="202"/>
      <c r="PAQ132" s="202"/>
      <c r="PAR132" s="202"/>
      <c r="PAS132" s="202"/>
      <c r="PAT132" s="202"/>
      <c r="PAU132" s="202"/>
      <c r="PAV132" s="202"/>
      <c r="PAW132" s="202"/>
      <c r="PAX132" s="202"/>
      <c r="PAY132" s="202"/>
      <c r="PAZ132" s="202"/>
      <c r="PBA132" s="202"/>
      <c r="PBB132" s="202"/>
      <c r="PBC132" s="202"/>
      <c r="PBD132" s="202"/>
      <c r="PBE132" s="202"/>
      <c r="PBF132" s="202"/>
      <c r="PBG132" s="202"/>
      <c r="PBH132" s="202"/>
      <c r="PBI132" s="202"/>
      <c r="PBJ132" s="202"/>
      <c r="PBK132" s="202"/>
      <c r="PBL132" s="202"/>
      <c r="PBM132" s="202"/>
      <c r="PBN132" s="202"/>
      <c r="PBO132" s="202"/>
      <c r="PBP132" s="202"/>
      <c r="PBQ132" s="202"/>
      <c r="PBR132" s="202"/>
      <c r="PBS132" s="202"/>
      <c r="PBT132" s="202"/>
      <c r="PBU132" s="202"/>
      <c r="PBV132" s="202"/>
      <c r="PBW132" s="202"/>
      <c r="PBX132" s="202"/>
      <c r="PBY132" s="202"/>
      <c r="PBZ132" s="202"/>
      <c r="PCA132" s="202"/>
      <c r="PCB132" s="202"/>
      <c r="PCC132" s="202"/>
      <c r="PCD132" s="202"/>
      <c r="PCE132" s="202"/>
      <c r="PCF132" s="202"/>
      <c r="PCG132" s="202"/>
      <c r="PCH132" s="202"/>
      <c r="PCI132" s="202"/>
      <c r="PCJ132" s="202"/>
      <c r="PCK132" s="202"/>
      <c r="PCL132" s="202"/>
      <c r="PCM132" s="202"/>
      <c r="PCN132" s="202"/>
      <c r="PCO132" s="202"/>
      <c r="PCP132" s="202"/>
      <c r="PCQ132" s="202"/>
      <c r="PCR132" s="202"/>
      <c r="PCS132" s="202"/>
      <c r="PCT132" s="202"/>
      <c r="PCU132" s="202"/>
      <c r="PCV132" s="202"/>
      <c r="PCW132" s="202"/>
      <c r="PCX132" s="202"/>
      <c r="PCY132" s="202"/>
      <c r="PCZ132" s="202"/>
      <c r="PDA132" s="202"/>
      <c r="PDB132" s="202"/>
      <c r="PDC132" s="202"/>
      <c r="PDD132" s="202"/>
      <c r="PDE132" s="202"/>
      <c r="PDF132" s="202"/>
      <c r="PDG132" s="202"/>
      <c r="PDH132" s="202"/>
      <c r="PDI132" s="202"/>
      <c r="PDJ132" s="202"/>
      <c r="PDK132" s="202"/>
      <c r="PDL132" s="202"/>
      <c r="PDM132" s="202"/>
      <c r="PDN132" s="202"/>
      <c r="PDO132" s="202"/>
      <c r="PDP132" s="202"/>
      <c r="PDQ132" s="202"/>
      <c r="PDR132" s="202"/>
      <c r="PDS132" s="202"/>
      <c r="PDT132" s="202"/>
      <c r="PDU132" s="202"/>
      <c r="PDV132" s="202"/>
      <c r="PDW132" s="202"/>
      <c r="PDX132" s="202"/>
      <c r="PDY132" s="202"/>
      <c r="PDZ132" s="202"/>
      <c r="PEA132" s="202"/>
      <c r="PEB132" s="202"/>
      <c r="PEC132" s="202"/>
      <c r="PED132" s="202"/>
      <c r="PEE132" s="202"/>
      <c r="PEF132" s="202"/>
      <c r="PEG132" s="202"/>
      <c r="PEH132" s="202"/>
      <c r="PEI132" s="202"/>
      <c r="PEJ132" s="202"/>
      <c r="PEK132" s="202"/>
      <c r="PEL132" s="202"/>
      <c r="PEM132" s="202"/>
      <c r="PEN132" s="202"/>
      <c r="PEO132" s="202"/>
      <c r="PEP132" s="202"/>
      <c r="PEQ132" s="202"/>
      <c r="PER132" s="202"/>
      <c r="PES132" s="202"/>
      <c r="PET132" s="202"/>
      <c r="PEU132" s="202"/>
      <c r="PEV132" s="202"/>
      <c r="PEW132" s="202"/>
      <c r="PEX132" s="202"/>
      <c r="PEY132" s="202"/>
      <c r="PEZ132" s="202"/>
      <c r="PFA132" s="202"/>
      <c r="PFB132" s="202"/>
      <c r="PFC132" s="202"/>
      <c r="PFD132" s="202"/>
      <c r="PFE132" s="202"/>
      <c r="PFF132" s="202"/>
      <c r="PFG132" s="202"/>
      <c r="PFH132" s="202"/>
      <c r="PFI132" s="202"/>
      <c r="PFJ132" s="202"/>
      <c r="PFK132" s="202"/>
      <c r="PFL132" s="202"/>
      <c r="PFM132" s="202"/>
      <c r="PFN132" s="202"/>
      <c r="PFO132" s="202"/>
      <c r="PFP132" s="202"/>
      <c r="PFQ132" s="202"/>
      <c r="PFR132" s="202"/>
      <c r="PFS132" s="202"/>
      <c r="PFT132" s="202"/>
      <c r="PFU132" s="202"/>
      <c r="PFV132" s="202"/>
      <c r="PFW132" s="202"/>
      <c r="PFX132" s="202"/>
      <c r="PFY132" s="202"/>
      <c r="PFZ132" s="202"/>
      <c r="PGA132" s="202"/>
      <c r="PGB132" s="202"/>
      <c r="PGC132" s="202"/>
      <c r="PGD132" s="202"/>
      <c r="PGE132" s="202"/>
      <c r="PGF132" s="202"/>
      <c r="PGG132" s="202"/>
      <c r="PGH132" s="202"/>
      <c r="PGI132" s="202"/>
      <c r="PGJ132" s="202"/>
      <c r="PGK132" s="202"/>
      <c r="PGL132" s="202"/>
      <c r="PGM132" s="202"/>
      <c r="PGN132" s="202"/>
      <c r="PGO132" s="202"/>
      <c r="PGP132" s="202"/>
      <c r="PGQ132" s="202"/>
      <c r="PGR132" s="202"/>
      <c r="PGS132" s="202"/>
      <c r="PGT132" s="202"/>
      <c r="PGU132" s="202"/>
      <c r="PGV132" s="202"/>
      <c r="PGW132" s="202"/>
      <c r="PGX132" s="202"/>
      <c r="PGY132" s="202"/>
      <c r="PGZ132" s="202"/>
      <c r="PHA132" s="202"/>
      <c r="PHB132" s="202"/>
      <c r="PHC132" s="202"/>
      <c r="PHD132" s="202"/>
      <c r="PHE132" s="202"/>
      <c r="PHF132" s="202"/>
      <c r="PHG132" s="202"/>
      <c r="PHH132" s="202"/>
      <c r="PHI132" s="202"/>
      <c r="PHJ132" s="202"/>
      <c r="PHK132" s="202"/>
      <c r="PHL132" s="202"/>
      <c r="PHM132" s="202"/>
      <c r="PHN132" s="202"/>
      <c r="PHO132" s="202"/>
      <c r="PHP132" s="202"/>
      <c r="PHQ132" s="202"/>
      <c r="PHR132" s="202"/>
      <c r="PHS132" s="202"/>
      <c r="PHT132" s="202"/>
      <c r="PHU132" s="202"/>
      <c r="PHV132" s="202"/>
      <c r="PHW132" s="202"/>
      <c r="PHX132" s="202"/>
      <c r="PHY132" s="202"/>
      <c r="PHZ132" s="202"/>
      <c r="PIA132" s="202"/>
      <c r="PIB132" s="202"/>
      <c r="PIC132" s="202"/>
      <c r="PID132" s="202"/>
      <c r="PIE132" s="202"/>
      <c r="PIF132" s="202"/>
      <c r="PIG132" s="202"/>
      <c r="PIH132" s="202"/>
      <c r="PII132" s="202"/>
      <c r="PIJ132" s="202"/>
      <c r="PIK132" s="202"/>
      <c r="PIL132" s="202"/>
      <c r="PIM132" s="202"/>
      <c r="PIN132" s="202"/>
      <c r="PIO132" s="202"/>
      <c r="PIP132" s="202"/>
      <c r="PIQ132" s="202"/>
      <c r="PIR132" s="202"/>
      <c r="PIS132" s="202"/>
      <c r="PIT132" s="202"/>
      <c r="PIU132" s="202"/>
      <c r="PIV132" s="202"/>
      <c r="PIW132" s="202"/>
      <c r="PIX132" s="202"/>
      <c r="PIY132" s="202"/>
      <c r="PIZ132" s="202"/>
      <c r="PJA132" s="202"/>
      <c r="PJB132" s="202"/>
      <c r="PJC132" s="202"/>
      <c r="PJD132" s="202"/>
      <c r="PJE132" s="202"/>
      <c r="PJF132" s="202"/>
      <c r="PJG132" s="202"/>
      <c r="PJH132" s="202"/>
      <c r="PJI132" s="202"/>
      <c r="PJJ132" s="202"/>
      <c r="PJK132" s="202"/>
      <c r="PJL132" s="202"/>
      <c r="PJM132" s="202"/>
      <c r="PJN132" s="202"/>
      <c r="PJO132" s="202"/>
      <c r="PJP132" s="202"/>
      <c r="PJQ132" s="202"/>
      <c r="PJR132" s="202"/>
      <c r="PJS132" s="202"/>
      <c r="PJT132" s="202"/>
      <c r="PJU132" s="202"/>
      <c r="PJV132" s="202"/>
      <c r="PJW132" s="202"/>
      <c r="PJX132" s="202"/>
      <c r="PJY132" s="202"/>
      <c r="PJZ132" s="202"/>
      <c r="PKA132" s="202"/>
      <c r="PKB132" s="202"/>
      <c r="PKC132" s="202"/>
      <c r="PKD132" s="202"/>
      <c r="PKE132" s="202"/>
      <c r="PKF132" s="202"/>
      <c r="PKG132" s="202"/>
      <c r="PKH132" s="202"/>
      <c r="PKI132" s="202"/>
      <c r="PKJ132" s="202"/>
      <c r="PKK132" s="202"/>
      <c r="PKL132" s="202"/>
      <c r="PKM132" s="202"/>
      <c r="PKN132" s="202"/>
      <c r="PKO132" s="202"/>
      <c r="PKP132" s="202"/>
      <c r="PKQ132" s="202"/>
      <c r="PKR132" s="202"/>
      <c r="PKS132" s="202"/>
      <c r="PKT132" s="202"/>
      <c r="PKU132" s="202"/>
      <c r="PKV132" s="202"/>
      <c r="PKW132" s="202"/>
      <c r="PKX132" s="202"/>
      <c r="PKY132" s="202"/>
      <c r="PKZ132" s="202"/>
      <c r="PLA132" s="202"/>
      <c r="PLB132" s="202"/>
      <c r="PLC132" s="202"/>
      <c r="PLD132" s="202"/>
      <c r="PLE132" s="202"/>
      <c r="PLF132" s="202"/>
      <c r="PLG132" s="202"/>
      <c r="PLH132" s="202"/>
      <c r="PLI132" s="202"/>
      <c r="PLJ132" s="202"/>
      <c r="PLK132" s="202"/>
      <c r="PLL132" s="202"/>
      <c r="PLM132" s="202"/>
      <c r="PLN132" s="202"/>
      <c r="PLO132" s="202"/>
      <c r="PLP132" s="202"/>
      <c r="PLQ132" s="202"/>
      <c r="PLR132" s="202"/>
      <c r="PLS132" s="202"/>
      <c r="PLT132" s="202"/>
      <c r="PLU132" s="202"/>
      <c r="PLV132" s="202"/>
      <c r="PLW132" s="202"/>
      <c r="PLX132" s="202"/>
      <c r="PLY132" s="202"/>
      <c r="PLZ132" s="202"/>
      <c r="PMA132" s="202"/>
      <c r="PMB132" s="202"/>
      <c r="PMC132" s="202"/>
      <c r="PMD132" s="202"/>
      <c r="PME132" s="202"/>
      <c r="PMF132" s="202"/>
      <c r="PMG132" s="202"/>
      <c r="PMH132" s="202"/>
      <c r="PMI132" s="202"/>
      <c r="PMJ132" s="202"/>
      <c r="PMK132" s="202"/>
      <c r="PML132" s="202"/>
      <c r="PMM132" s="202"/>
      <c r="PMN132" s="202"/>
      <c r="PMO132" s="202"/>
      <c r="PMP132" s="202"/>
      <c r="PMQ132" s="202"/>
      <c r="PMR132" s="202"/>
      <c r="PMS132" s="202"/>
      <c r="PMT132" s="202"/>
      <c r="PMU132" s="202"/>
      <c r="PMV132" s="202"/>
      <c r="PMW132" s="202"/>
      <c r="PMX132" s="202"/>
      <c r="PMY132" s="202"/>
      <c r="PMZ132" s="202"/>
      <c r="PNA132" s="202"/>
      <c r="PNB132" s="202"/>
      <c r="PNC132" s="202"/>
      <c r="PND132" s="202"/>
      <c r="PNE132" s="202"/>
      <c r="PNF132" s="202"/>
      <c r="PNG132" s="202"/>
      <c r="PNH132" s="202"/>
      <c r="PNI132" s="202"/>
      <c r="PNJ132" s="202"/>
      <c r="PNK132" s="202"/>
      <c r="PNL132" s="202"/>
      <c r="PNM132" s="202"/>
      <c r="PNN132" s="202"/>
      <c r="PNO132" s="202"/>
      <c r="PNP132" s="202"/>
      <c r="PNQ132" s="202"/>
      <c r="PNR132" s="202"/>
      <c r="PNS132" s="202"/>
      <c r="PNT132" s="202"/>
      <c r="PNU132" s="202"/>
      <c r="PNV132" s="202"/>
      <c r="PNW132" s="202"/>
      <c r="PNX132" s="202"/>
      <c r="PNY132" s="202"/>
      <c r="PNZ132" s="202"/>
      <c r="POA132" s="202"/>
      <c r="POB132" s="202"/>
      <c r="POC132" s="202"/>
      <c r="POD132" s="202"/>
      <c r="POE132" s="202"/>
      <c r="POF132" s="202"/>
      <c r="POG132" s="202"/>
      <c r="POH132" s="202"/>
      <c r="POI132" s="202"/>
      <c r="POJ132" s="202"/>
      <c r="POK132" s="202"/>
      <c r="POL132" s="202"/>
      <c r="POM132" s="202"/>
      <c r="PON132" s="202"/>
      <c r="POO132" s="202"/>
      <c r="POP132" s="202"/>
      <c r="POQ132" s="202"/>
      <c r="POR132" s="202"/>
      <c r="POS132" s="202"/>
      <c r="POT132" s="202"/>
      <c r="POU132" s="202"/>
      <c r="POV132" s="202"/>
      <c r="POW132" s="202"/>
      <c r="POX132" s="202"/>
      <c r="POY132" s="202"/>
      <c r="POZ132" s="202"/>
      <c r="PPA132" s="202"/>
      <c r="PPB132" s="202"/>
      <c r="PPC132" s="202"/>
      <c r="PPD132" s="202"/>
      <c r="PPE132" s="202"/>
      <c r="PPF132" s="202"/>
      <c r="PPG132" s="202"/>
      <c r="PPH132" s="202"/>
      <c r="PPI132" s="202"/>
      <c r="PPJ132" s="202"/>
      <c r="PPK132" s="202"/>
      <c r="PPL132" s="202"/>
      <c r="PPM132" s="202"/>
      <c r="PPN132" s="202"/>
      <c r="PPO132" s="202"/>
      <c r="PPP132" s="202"/>
      <c r="PPQ132" s="202"/>
      <c r="PPR132" s="202"/>
      <c r="PPS132" s="202"/>
      <c r="PPT132" s="202"/>
      <c r="PPU132" s="202"/>
      <c r="PPV132" s="202"/>
      <c r="PPW132" s="202"/>
      <c r="PPX132" s="202"/>
      <c r="PPY132" s="202"/>
      <c r="PPZ132" s="202"/>
      <c r="PQA132" s="202"/>
      <c r="PQB132" s="202"/>
      <c r="PQC132" s="202"/>
      <c r="PQD132" s="202"/>
      <c r="PQE132" s="202"/>
      <c r="PQF132" s="202"/>
      <c r="PQG132" s="202"/>
      <c r="PQH132" s="202"/>
      <c r="PQI132" s="202"/>
      <c r="PQJ132" s="202"/>
      <c r="PQK132" s="202"/>
      <c r="PQL132" s="202"/>
      <c r="PQM132" s="202"/>
      <c r="PQN132" s="202"/>
      <c r="PQO132" s="202"/>
      <c r="PQP132" s="202"/>
      <c r="PQQ132" s="202"/>
      <c r="PQR132" s="202"/>
      <c r="PQS132" s="202"/>
      <c r="PQT132" s="202"/>
      <c r="PQU132" s="202"/>
      <c r="PQV132" s="202"/>
      <c r="PQW132" s="202"/>
      <c r="PQX132" s="202"/>
      <c r="PQY132" s="202"/>
      <c r="PQZ132" s="202"/>
      <c r="PRA132" s="202"/>
      <c r="PRB132" s="202"/>
      <c r="PRC132" s="202"/>
      <c r="PRD132" s="202"/>
      <c r="PRE132" s="202"/>
      <c r="PRF132" s="202"/>
      <c r="PRG132" s="202"/>
      <c r="PRH132" s="202"/>
      <c r="PRI132" s="202"/>
      <c r="PRJ132" s="202"/>
      <c r="PRK132" s="202"/>
      <c r="PRL132" s="202"/>
      <c r="PRM132" s="202"/>
      <c r="PRN132" s="202"/>
      <c r="PRO132" s="202"/>
      <c r="PRP132" s="202"/>
      <c r="PRQ132" s="202"/>
      <c r="PRR132" s="202"/>
      <c r="PRS132" s="202"/>
      <c r="PRT132" s="202"/>
      <c r="PRU132" s="202"/>
      <c r="PRV132" s="202"/>
      <c r="PRW132" s="202"/>
      <c r="PRX132" s="202"/>
      <c r="PRY132" s="202"/>
      <c r="PRZ132" s="202"/>
      <c r="PSA132" s="202"/>
      <c r="PSB132" s="202"/>
      <c r="PSC132" s="202"/>
      <c r="PSD132" s="202"/>
      <c r="PSE132" s="202"/>
      <c r="PSF132" s="202"/>
      <c r="PSG132" s="202"/>
      <c r="PSH132" s="202"/>
      <c r="PSI132" s="202"/>
      <c r="PSJ132" s="202"/>
      <c r="PSK132" s="202"/>
      <c r="PSL132" s="202"/>
      <c r="PSM132" s="202"/>
      <c r="PSN132" s="202"/>
      <c r="PSO132" s="202"/>
      <c r="PSP132" s="202"/>
      <c r="PSQ132" s="202"/>
      <c r="PSR132" s="202"/>
      <c r="PSS132" s="202"/>
      <c r="PST132" s="202"/>
      <c r="PSU132" s="202"/>
      <c r="PSV132" s="202"/>
      <c r="PSW132" s="202"/>
      <c r="PSX132" s="202"/>
      <c r="PSY132" s="202"/>
      <c r="PSZ132" s="202"/>
      <c r="PTA132" s="202"/>
      <c r="PTB132" s="202"/>
      <c r="PTC132" s="202"/>
      <c r="PTD132" s="202"/>
      <c r="PTE132" s="202"/>
      <c r="PTF132" s="202"/>
      <c r="PTG132" s="202"/>
      <c r="PTH132" s="202"/>
      <c r="PTI132" s="202"/>
      <c r="PTJ132" s="202"/>
      <c r="PTK132" s="202"/>
      <c r="PTL132" s="202"/>
      <c r="PTM132" s="202"/>
      <c r="PTN132" s="202"/>
      <c r="PTO132" s="202"/>
      <c r="PTP132" s="202"/>
      <c r="PTQ132" s="202"/>
      <c r="PTR132" s="202"/>
      <c r="PTS132" s="202"/>
      <c r="PTT132" s="202"/>
      <c r="PTU132" s="202"/>
      <c r="PTV132" s="202"/>
      <c r="PTW132" s="202"/>
      <c r="PTX132" s="202"/>
      <c r="PTY132" s="202"/>
      <c r="PTZ132" s="202"/>
      <c r="PUA132" s="202"/>
      <c r="PUB132" s="202"/>
      <c r="PUC132" s="202"/>
      <c r="PUD132" s="202"/>
      <c r="PUE132" s="202"/>
      <c r="PUF132" s="202"/>
      <c r="PUG132" s="202"/>
      <c r="PUH132" s="202"/>
      <c r="PUI132" s="202"/>
      <c r="PUJ132" s="202"/>
      <c r="PUK132" s="202"/>
      <c r="PUL132" s="202"/>
      <c r="PUM132" s="202"/>
      <c r="PUN132" s="202"/>
      <c r="PUO132" s="202"/>
      <c r="PUP132" s="202"/>
      <c r="PUQ132" s="202"/>
      <c r="PUR132" s="202"/>
      <c r="PUS132" s="202"/>
      <c r="PUT132" s="202"/>
      <c r="PUU132" s="202"/>
      <c r="PUV132" s="202"/>
      <c r="PUW132" s="202"/>
      <c r="PUX132" s="202"/>
      <c r="PUY132" s="202"/>
      <c r="PUZ132" s="202"/>
      <c r="PVA132" s="202"/>
      <c r="PVB132" s="202"/>
      <c r="PVC132" s="202"/>
      <c r="PVD132" s="202"/>
      <c r="PVE132" s="202"/>
      <c r="PVF132" s="202"/>
      <c r="PVG132" s="202"/>
      <c r="PVH132" s="202"/>
      <c r="PVI132" s="202"/>
      <c r="PVJ132" s="202"/>
      <c r="PVK132" s="202"/>
      <c r="PVL132" s="202"/>
      <c r="PVM132" s="202"/>
      <c r="PVN132" s="202"/>
      <c r="PVO132" s="202"/>
      <c r="PVP132" s="202"/>
      <c r="PVQ132" s="202"/>
      <c r="PVR132" s="202"/>
      <c r="PVS132" s="202"/>
      <c r="PVT132" s="202"/>
      <c r="PVU132" s="202"/>
      <c r="PVV132" s="202"/>
      <c r="PVW132" s="202"/>
      <c r="PVX132" s="202"/>
      <c r="PVY132" s="202"/>
      <c r="PVZ132" s="202"/>
      <c r="PWA132" s="202"/>
      <c r="PWB132" s="202"/>
      <c r="PWC132" s="202"/>
      <c r="PWD132" s="202"/>
      <c r="PWE132" s="202"/>
      <c r="PWF132" s="202"/>
      <c r="PWG132" s="202"/>
      <c r="PWH132" s="202"/>
      <c r="PWI132" s="202"/>
      <c r="PWJ132" s="202"/>
      <c r="PWK132" s="202"/>
      <c r="PWL132" s="202"/>
      <c r="PWM132" s="202"/>
      <c r="PWN132" s="202"/>
      <c r="PWO132" s="202"/>
      <c r="PWP132" s="202"/>
      <c r="PWQ132" s="202"/>
      <c r="PWR132" s="202"/>
      <c r="PWS132" s="202"/>
      <c r="PWT132" s="202"/>
      <c r="PWU132" s="202"/>
      <c r="PWV132" s="202"/>
      <c r="PWW132" s="202"/>
      <c r="PWX132" s="202"/>
      <c r="PWY132" s="202"/>
      <c r="PWZ132" s="202"/>
      <c r="PXA132" s="202"/>
      <c r="PXB132" s="202"/>
      <c r="PXC132" s="202"/>
      <c r="PXD132" s="202"/>
      <c r="PXE132" s="202"/>
      <c r="PXF132" s="202"/>
      <c r="PXG132" s="202"/>
      <c r="PXH132" s="202"/>
      <c r="PXI132" s="202"/>
      <c r="PXJ132" s="202"/>
      <c r="PXK132" s="202"/>
      <c r="PXL132" s="202"/>
      <c r="PXM132" s="202"/>
      <c r="PXN132" s="202"/>
      <c r="PXO132" s="202"/>
      <c r="PXP132" s="202"/>
      <c r="PXQ132" s="202"/>
      <c r="PXR132" s="202"/>
      <c r="PXS132" s="202"/>
      <c r="PXT132" s="202"/>
      <c r="PXU132" s="202"/>
      <c r="PXV132" s="202"/>
      <c r="PXW132" s="202"/>
      <c r="PXX132" s="202"/>
      <c r="PXY132" s="202"/>
      <c r="PXZ132" s="202"/>
      <c r="PYA132" s="202"/>
      <c r="PYB132" s="202"/>
      <c r="PYC132" s="202"/>
      <c r="PYD132" s="202"/>
      <c r="PYE132" s="202"/>
      <c r="PYF132" s="202"/>
      <c r="PYG132" s="202"/>
      <c r="PYH132" s="202"/>
      <c r="PYI132" s="202"/>
      <c r="PYJ132" s="202"/>
      <c r="PYK132" s="202"/>
      <c r="PYL132" s="202"/>
      <c r="PYM132" s="202"/>
      <c r="PYN132" s="202"/>
      <c r="PYO132" s="202"/>
      <c r="PYP132" s="202"/>
      <c r="PYQ132" s="202"/>
      <c r="PYR132" s="202"/>
      <c r="PYS132" s="202"/>
      <c r="PYT132" s="202"/>
      <c r="PYU132" s="202"/>
      <c r="PYV132" s="202"/>
      <c r="PYW132" s="202"/>
      <c r="PYX132" s="202"/>
      <c r="PYY132" s="202"/>
      <c r="PYZ132" s="202"/>
      <c r="PZA132" s="202"/>
      <c r="PZB132" s="202"/>
      <c r="PZC132" s="202"/>
      <c r="PZD132" s="202"/>
      <c r="PZE132" s="202"/>
      <c r="PZF132" s="202"/>
      <c r="PZG132" s="202"/>
      <c r="PZH132" s="202"/>
      <c r="PZI132" s="202"/>
      <c r="PZJ132" s="202"/>
      <c r="PZK132" s="202"/>
      <c r="PZL132" s="202"/>
      <c r="PZM132" s="202"/>
      <c r="PZN132" s="202"/>
      <c r="PZO132" s="202"/>
      <c r="PZP132" s="202"/>
      <c r="PZQ132" s="202"/>
      <c r="PZR132" s="202"/>
      <c r="PZS132" s="202"/>
      <c r="PZT132" s="202"/>
      <c r="PZU132" s="202"/>
      <c r="PZV132" s="202"/>
      <c r="PZW132" s="202"/>
      <c r="PZX132" s="202"/>
      <c r="PZY132" s="202"/>
      <c r="PZZ132" s="202"/>
      <c r="QAA132" s="202"/>
      <c r="QAB132" s="202"/>
      <c r="QAC132" s="202"/>
      <c r="QAD132" s="202"/>
      <c r="QAE132" s="202"/>
      <c r="QAF132" s="202"/>
      <c r="QAG132" s="202"/>
      <c r="QAH132" s="202"/>
      <c r="QAI132" s="202"/>
      <c r="QAJ132" s="202"/>
      <c r="QAK132" s="202"/>
      <c r="QAL132" s="202"/>
      <c r="QAM132" s="202"/>
      <c r="QAN132" s="202"/>
      <c r="QAO132" s="202"/>
      <c r="QAP132" s="202"/>
      <c r="QAQ132" s="202"/>
      <c r="QAR132" s="202"/>
      <c r="QAS132" s="202"/>
      <c r="QAT132" s="202"/>
      <c r="QAU132" s="202"/>
      <c r="QAV132" s="202"/>
      <c r="QAW132" s="202"/>
      <c r="QAX132" s="202"/>
      <c r="QAY132" s="202"/>
      <c r="QAZ132" s="202"/>
      <c r="QBA132" s="202"/>
      <c r="QBB132" s="202"/>
      <c r="QBC132" s="202"/>
      <c r="QBD132" s="202"/>
      <c r="QBE132" s="202"/>
      <c r="QBF132" s="202"/>
      <c r="QBG132" s="202"/>
      <c r="QBH132" s="202"/>
      <c r="QBI132" s="202"/>
      <c r="QBJ132" s="202"/>
      <c r="QBK132" s="202"/>
      <c r="QBL132" s="202"/>
      <c r="QBM132" s="202"/>
      <c r="QBN132" s="202"/>
      <c r="QBO132" s="202"/>
      <c r="QBP132" s="202"/>
      <c r="QBQ132" s="202"/>
      <c r="QBR132" s="202"/>
      <c r="QBS132" s="202"/>
      <c r="QBT132" s="202"/>
      <c r="QBU132" s="202"/>
      <c r="QBV132" s="202"/>
      <c r="QBW132" s="202"/>
      <c r="QBX132" s="202"/>
      <c r="QBY132" s="202"/>
      <c r="QBZ132" s="202"/>
      <c r="QCA132" s="202"/>
      <c r="QCB132" s="202"/>
      <c r="QCC132" s="202"/>
      <c r="QCD132" s="202"/>
      <c r="QCE132" s="202"/>
      <c r="QCF132" s="202"/>
      <c r="QCG132" s="202"/>
      <c r="QCH132" s="202"/>
      <c r="QCI132" s="202"/>
      <c r="QCJ132" s="202"/>
      <c r="QCK132" s="202"/>
      <c r="QCL132" s="202"/>
      <c r="QCM132" s="202"/>
      <c r="QCN132" s="202"/>
      <c r="QCO132" s="202"/>
      <c r="QCP132" s="202"/>
      <c r="QCQ132" s="202"/>
      <c r="QCR132" s="202"/>
      <c r="QCS132" s="202"/>
      <c r="QCT132" s="202"/>
      <c r="QCU132" s="202"/>
      <c r="QCV132" s="202"/>
      <c r="QCW132" s="202"/>
      <c r="QCX132" s="202"/>
      <c r="QCY132" s="202"/>
      <c r="QCZ132" s="202"/>
      <c r="QDA132" s="202"/>
      <c r="QDB132" s="202"/>
      <c r="QDC132" s="202"/>
      <c r="QDD132" s="202"/>
      <c r="QDE132" s="202"/>
      <c r="QDF132" s="202"/>
      <c r="QDG132" s="202"/>
      <c r="QDH132" s="202"/>
      <c r="QDI132" s="202"/>
      <c r="QDJ132" s="202"/>
      <c r="QDK132" s="202"/>
      <c r="QDL132" s="202"/>
      <c r="QDM132" s="202"/>
      <c r="QDN132" s="202"/>
      <c r="QDO132" s="202"/>
      <c r="QDP132" s="202"/>
      <c r="QDQ132" s="202"/>
      <c r="QDR132" s="202"/>
      <c r="QDS132" s="202"/>
      <c r="QDT132" s="202"/>
      <c r="QDU132" s="202"/>
      <c r="QDV132" s="202"/>
      <c r="QDW132" s="202"/>
      <c r="QDX132" s="202"/>
      <c r="QDY132" s="202"/>
      <c r="QDZ132" s="202"/>
      <c r="QEA132" s="202"/>
      <c r="QEB132" s="202"/>
      <c r="QEC132" s="202"/>
      <c r="QED132" s="202"/>
      <c r="QEE132" s="202"/>
      <c r="QEF132" s="202"/>
      <c r="QEG132" s="202"/>
      <c r="QEH132" s="202"/>
      <c r="QEI132" s="202"/>
      <c r="QEJ132" s="202"/>
      <c r="QEK132" s="202"/>
      <c r="QEL132" s="202"/>
      <c r="QEM132" s="202"/>
      <c r="QEN132" s="202"/>
      <c r="QEO132" s="202"/>
      <c r="QEP132" s="202"/>
      <c r="QEQ132" s="202"/>
      <c r="QER132" s="202"/>
      <c r="QES132" s="202"/>
      <c r="QET132" s="202"/>
      <c r="QEU132" s="202"/>
      <c r="QEV132" s="202"/>
      <c r="QEW132" s="202"/>
      <c r="QEX132" s="202"/>
      <c r="QEY132" s="202"/>
      <c r="QEZ132" s="202"/>
      <c r="QFA132" s="202"/>
      <c r="QFB132" s="202"/>
      <c r="QFC132" s="202"/>
      <c r="QFD132" s="202"/>
      <c r="QFE132" s="202"/>
      <c r="QFF132" s="202"/>
      <c r="QFG132" s="202"/>
      <c r="QFH132" s="202"/>
      <c r="QFI132" s="202"/>
      <c r="QFJ132" s="202"/>
      <c r="QFK132" s="202"/>
      <c r="QFL132" s="202"/>
      <c r="QFM132" s="202"/>
      <c r="QFN132" s="202"/>
      <c r="QFO132" s="202"/>
      <c r="QFP132" s="202"/>
      <c r="QFQ132" s="202"/>
      <c r="QFR132" s="202"/>
      <c r="QFS132" s="202"/>
      <c r="QFT132" s="202"/>
      <c r="QFU132" s="202"/>
      <c r="QFV132" s="202"/>
      <c r="QFW132" s="202"/>
      <c r="QFX132" s="202"/>
      <c r="QFY132" s="202"/>
      <c r="QFZ132" s="202"/>
      <c r="QGA132" s="202"/>
      <c r="QGB132" s="202"/>
      <c r="QGC132" s="202"/>
      <c r="QGD132" s="202"/>
      <c r="QGE132" s="202"/>
      <c r="QGF132" s="202"/>
      <c r="QGG132" s="202"/>
      <c r="QGH132" s="202"/>
      <c r="QGI132" s="202"/>
      <c r="QGJ132" s="202"/>
      <c r="QGK132" s="202"/>
      <c r="QGL132" s="202"/>
      <c r="QGM132" s="202"/>
      <c r="QGN132" s="202"/>
      <c r="QGO132" s="202"/>
      <c r="QGP132" s="202"/>
      <c r="QGQ132" s="202"/>
      <c r="QGR132" s="202"/>
      <c r="QGS132" s="202"/>
      <c r="QGT132" s="202"/>
      <c r="QGU132" s="202"/>
      <c r="QGV132" s="202"/>
      <c r="QGW132" s="202"/>
      <c r="QGX132" s="202"/>
      <c r="QGY132" s="202"/>
      <c r="QGZ132" s="202"/>
      <c r="QHA132" s="202"/>
      <c r="QHB132" s="202"/>
      <c r="QHC132" s="202"/>
      <c r="QHD132" s="202"/>
      <c r="QHE132" s="202"/>
      <c r="QHF132" s="202"/>
      <c r="QHG132" s="202"/>
      <c r="QHH132" s="202"/>
      <c r="QHI132" s="202"/>
      <c r="QHJ132" s="202"/>
      <c r="QHK132" s="202"/>
      <c r="QHL132" s="202"/>
      <c r="QHM132" s="202"/>
      <c r="QHN132" s="202"/>
      <c r="QHO132" s="202"/>
      <c r="QHP132" s="202"/>
      <c r="QHQ132" s="202"/>
      <c r="QHR132" s="202"/>
      <c r="QHS132" s="202"/>
      <c r="QHT132" s="202"/>
      <c r="QHU132" s="202"/>
      <c r="QHV132" s="202"/>
      <c r="QHW132" s="202"/>
      <c r="QHX132" s="202"/>
      <c r="QHY132" s="202"/>
      <c r="QHZ132" s="202"/>
      <c r="QIA132" s="202"/>
      <c r="QIB132" s="202"/>
      <c r="QIC132" s="202"/>
      <c r="QID132" s="202"/>
      <c r="QIE132" s="202"/>
      <c r="QIF132" s="202"/>
      <c r="QIG132" s="202"/>
      <c r="QIH132" s="202"/>
      <c r="QII132" s="202"/>
      <c r="QIJ132" s="202"/>
      <c r="QIK132" s="202"/>
      <c r="QIL132" s="202"/>
      <c r="QIM132" s="202"/>
      <c r="QIN132" s="202"/>
      <c r="QIO132" s="202"/>
      <c r="QIP132" s="202"/>
      <c r="QIQ132" s="202"/>
      <c r="QIR132" s="202"/>
      <c r="QIS132" s="202"/>
      <c r="QIT132" s="202"/>
      <c r="QIU132" s="202"/>
      <c r="QIV132" s="202"/>
      <c r="QIW132" s="202"/>
      <c r="QIX132" s="202"/>
      <c r="QIY132" s="202"/>
      <c r="QIZ132" s="202"/>
      <c r="QJA132" s="202"/>
      <c r="QJB132" s="202"/>
      <c r="QJC132" s="202"/>
      <c r="QJD132" s="202"/>
      <c r="QJE132" s="202"/>
      <c r="QJF132" s="202"/>
      <c r="QJG132" s="202"/>
      <c r="QJH132" s="202"/>
      <c r="QJI132" s="202"/>
      <c r="QJJ132" s="202"/>
      <c r="QJK132" s="202"/>
      <c r="QJL132" s="202"/>
      <c r="QJM132" s="202"/>
      <c r="QJN132" s="202"/>
      <c r="QJO132" s="202"/>
      <c r="QJP132" s="202"/>
      <c r="QJQ132" s="202"/>
      <c r="QJR132" s="202"/>
      <c r="QJS132" s="202"/>
      <c r="QJT132" s="202"/>
      <c r="QJU132" s="202"/>
      <c r="QJV132" s="202"/>
      <c r="QJW132" s="202"/>
      <c r="QJX132" s="202"/>
      <c r="QJY132" s="202"/>
      <c r="QJZ132" s="202"/>
      <c r="QKA132" s="202"/>
      <c r="QKB132" s="202"/>
      <c r="QKC132" s="202"/>
      <c r="QKD132" s="202"/>
      <c r="QKE132" s="202"/>
      <c r="QKF132" s="202"/>
      <c r="QKG132" s="202"/>
      <c r="QKH132" s="202"/>
      <c r="QKI132" s="202"/>
      <c r="QKJ132" s="202"/>
      <c r="QKK132" s="202"/>
      <c r="QKL132" s="202"/>
      <c r="QKM132" s="202"/>
      <c r="QKN132" s="202"/>
      <c r="QKO132" s="202"/>
      <c r="QKP132" s="202"/>
      <c r="QKQ132" s="202"/>
      <c r="QKR132" s="202"/>
      <c r="QKS132" s="202"/>
      <c r="QKT132" s="202"/>
      <c r="QKU132" s="202"/>
      <c r="QKV132" s="202"/>
      <c r="QKW132" s="202"/>
      <c r="QKX132" s="202"/>
      <c r="QKY132" s="202"/>
      <c r="QKZ132" s="202"/>
      <c r="QLA132" s="202"/>
      <c r="QLB132" s="202"/>
      <c r="QLC132" s="202"/>
      <c r="QLD132" s="202"/>
      <c r="QLE132" s="202"/>
      <c r="QLF132" s="202"/>
      <c r="QLG132" s="202"/>
      <c r="QLH132" s="202"/>
      <c r="QLI132" s="202"/>
      <c r="QLJ132" s="202"/>
      <c r="QLK132" s="202"/>
      <c r="QLL132" s="202"/>
      <c r="QLM132" s="202"/>
      <c r="QLN132" s="202"/>
      <c r="QLO132" s="202"/>
      <c r="QLP132" s="202"/>
      <c r="QLQ132" s="202"/>
      <c r="QLR132" s="202"/>
      <c r="QLS132" s="202"/>
      <c r="QLT132" s="202"/>
      <c r="QLU132" s="202"/>
      <c r="QLV132" s="202"/>
      <c r="QLW132" s="202"/>
      <c r="QLX132" s="202"/>
      <c r="QLY132" s="202"/>
      <c r="QLZ132" s="202"/>
      <c r="QMA132" s="202"/>
      <c r="QMB132" s="202"/>
      <c r="QMC132" s="202"/>
      <c r="QMD132" s="202"/>
      <c r="QME132" s="202"/>
      <c r="QMF132" s="202"/>
      <c r="QMG132" s="202"/>
      <c r="QMH132" s="202"/>
      <c r="QMI132" s="202"/>
      <c r="QMJ132" s="202"/>
      <c r="QMK132" s="202"/>
      <c r="QML132" s="202"/>
      <c r="QMM132" s="202"/>
      <c r="QMN132" s="202"/>
      <c r="QMO132" s="202"/>
      <c r="QMP132" s="202"/>
      <c r="QMQ132" s="202"/>
      <c r="QMR132" s="202"/>
      <c r="QMS132" s="202"/>
      <c r="QMT132" s="202"/>
      <c r="QMU132" s="202"/>
      <c r="QMV132" s="202"/>
      <c r="QMW132" s="202"/>
      <c r="QMX132" s="202"/>
      <c r="QMY132" s="202"/>
      <c r="QMZ132" s="202"/>
      <c r="QNA132" s="202"/>
      <c r="QNB132" s="202"/>
      <c r="QNC132" s="202"/>
      <c r="QND132" s="202"/>
      <c r="QNE132" s="202"/>
      <c r="QNF132" s="202"/>
      <c r="QNG132" s="202"/>
      <c r="QNH132" s="202"/>
      <c r="QNI132" s="202"/>
      <c r="QNJ132" s="202"/>
      <c r="QNK132" s="202"/>
      <c r="QNL132" s="202"/>
      <c r="QNM132" s="202"/>
      <c r="QNN132" s="202"/>
      <c r="QNO132" s="202"/>
      <c r="QNP132" s="202"/>
      <c r="QNQ132" s="202"/>
      <c r="QNR132" s="202"/>
      <c r="QNS132" s="202"/>
      <c r="QNT132" s="202"/>
      <c r="QNU132" s="202"/>
      <c r="QNV132" s="202"/>
      <c r="QNW132" s="202"/>
      <c r="QNX132" s="202"/>
      <c r="QNY132" s="202"/>
      <c r="QNZ132" s="202"/>
      <c r="QOA132" s="202"/>
      <c r="QOB132" s="202"/>
      <c r="QOC132" s="202"/>
      <c r="QOD132" s="202"/>
      <c r="QOE132" s="202"/>
      <c r="QOF132" s="202"/>
      <c r="QOG132" s="202"/>
      <c r="QOH132" s="202"/>
      <c r="QOI132" s="202"/>
      <c r="QOJ132" s="202"/>
      <c r="QOK132" s="202"/>
      <c r="QOL132" s="202"/>
      <c r="QOM132" s="202"/>
      <c r="QON132" s="202"/>
      <c r="QOO132" s="202"/>
      <c r="QOP132" s="202"/>
      <c r="QOQ132" s="202"/>
      <c r="QOR132" s="202"/>
      <c r="QOS132" s="202"/>
      <c r="QOT132" s="202"/>
      <c r="QOU132" s="202"/>
      <c r="QOV132" s="202"/>
      <c r="QOW132" s="202"/>
      <c r="QOX132" s="202"/>
      <c r="QOY132" s="202"/>
      <c r="QOZ132" s="202"/>
      <c r="QPA132" s="202"/>
      <c r="QPB132" s="202"/>
      <c r="QPC132" s="202"/>
      <c r="QPD132" s="202"/>
      <c r="QPE132" s="202"/>
      <c r="QPF132" s="202"/>
      <c r="QPG132" s="202"/>
      <c r="QPH132" s="202"/>
      <c r="QPI132" s="202"/>
      <c r="QPJ132" s="202"/>
      <c r="QPK132" s="202"/>
      <c r="QPL132" s="202"/>
      <c r="QPM132" s="202"/>
      <c r="QPN132" s="202"/>
      <c r="QPO132" s="202"/>
      <c r="QPP132" s="202"/>
      <c r="QPQ132" s="202"/>
      <c r="QPR132" s="202"/>
      <c r="QPS132" s="202"/>
      <c r="QPT132" s="202"/>
      <c r="QPU132" s="202"/>
      <c r="QPV132" s="202"/>
      <c r="QPW132" s="202"/>
      <c r="QPX132" s="202"/>
      <c r="QPY132" s="202"/>
      <c r="QPZ132" s="202"/>
      <c r="QQA132" s="202"/>
      <c r="QQB132" s="202"/>
      <c r="QQC132" s="202"/>
      <c r="QQD132" s="202"/>
      <c r="QQE132" s="202"/>
      <c r="QQF132" s="202"/>
      <c r="QQG132" s="202"/>
      <c r="QQH132" s="202"/>
      <c r="QQI132" s="202"/>
      <c r="QQJ132" s="202"/>
      <c r="QQK132" s="202"/>
      <c r="QQL132" s="202"/>
      <c r="QQM132" s="202"/>
      <c r="QQN132" s="202"/>
      <c r="QQO132" s="202"/>
      <c r="QQP132" s="202"/>
      <c r="QQQ132" s="202"/>
      <c r="QQR132" s="202"/>
      <c r="QQS132" s="202"/>
      <c r="QQT132" s="202"/>
      <c r="QQU132" s="202"/>
      <c r="QQV132" s="202"/>
      <c r="QQW132" s="202"/>
      <c r="QQX132" s="202"/>
      <c r="QQY132" s="202"/>
      <c r="QQZ132" s="202"/>
      <c r="QRA132" s="202"/>
      <c r="QRB132" s="202"/>
      <c r="QRC132" s="202"/>
      <c r="QRD132" s="202"/>
      <c r="QRE132" s="202"/>
      <c r="QRF132" s="202"/>
      <c r="QRG132" s="202"/>
      <c r="QRH132" s="202"/>
      <c r="QRI132" s="202"/>
      <c r="QRJ132" s="202"/>
      <c r="QRK132" s="202"/>
      <c r="QRL132" s="202"/>
      <c r="QRM132" s="202"/>
      <c r="QRN132" s="202"/>
      <c r="QRO132" s="202"/>
      <c r="QRP132" s="202"/>
      <c r="QRQ132" s="202"/>
      <c r="QRR132" s="202"/>
      <c r="QRS132" s="202"/>
      <c r="QRT132" s="202"/>
      <c r="QRU132" s="202"/>
      <c r="QRV132" s="202"/>
      <c r="QRW132" s="202"/>
      <c r="QRX132" s="202"/>
      <c r="QRY132" s="202"/>
      <c r="QRZ132" s="202"/>
      <c r="QSA132" s="202"/>
      <c r="QSB132" s="202"/>
      <c r="QSC132" s="202"/>
      <c r="QSD132" s="202"/>
      <c r="QSE132" s="202"/>
      <c r="QSF132" s="202"/>
      <c r="QSG132" s="202"/>
      <c r="QSH132" s="202"/>
      <c r="QSI132" s="202"/>
      <c r="QSJ132" s="202"/>
      <c r="QSK132" s="202"/>
      <c r="QSL132" s="202"/>
      <c r="QSM132" s="202"/>
      <c r="QSN132" s="202"/>
      <c r="QSO132" s="202"/>
      <c r="QSP132" s="202"/>
      <c r="QSQ132" s="202"/>
      <c r="QSR132" s="202"/>
      <c r="QSS132" s="202"/>
      <c r="QST132" s="202"/>
      <c r="QSU132" s="202"/>
      <c r="QSV132" s="202"/>
      <c r="QSW132" s="202"/>
      <c r="QSX132" s="202"/>
      <c r="QSY132" s="202"/>
      <c r="QSZ132" s="202"/>
      <c r="QTA132" s="202"/>
      <c r="QTB132" s="202"/>
      <c r="QTC132" s="202"/>
      <c r="QTD132" s="202"/>
      <c r="QTE132" s="202"/>
      <c r="QTF132" s="202"/>
      <c r="QTG132" s="202"/>
      <c r="QTH132" s="202"/>
      <c r="QTI132" s="202"/>
      <c r="QTJ132" s="202"/>
      <c r="QTK132" s="202"/>
      <c r="QTL132" s="202"/>
      <c r="QTM132" s="202"/>
      <c r="QTN132" s="202"/>
      <c r="QTO132" s="202"/>
      <c r="QTP132" s="202"/>
      <c r="QTQ132" s="202"/>
      <c r="QTR132" s="202"/>
      <c r="QTS132" s="202"/>
      <c r="QTT132" s="202"/>
      <c r="QTU132" s="202"/>
      <c r="QTV132" s="202"/>
      <c r="QTW132" s="202"/>
      <c r="QTX132" s="202"/>
      <c r="QTY132" s="202"/>
      <c r="QTZ132" s="202"/>
      <c r="QUA132" s="202"/>
      <c r="QUB132" s="202"/>
      <c r="QUC132" s="202"/>
      <c r="QUD132" s="202"/>
      <c r="QUE132" s="202"/>
      <c r="QUF132" s="202"/>
      <c r="QUG132" s="202"/>
      <c r="QUH132" s="202"/>
      <c r="QUI132" s="202"/>
      <c r="QUJ132" s="202"/>
      <c r="QUK132" s="202"/>
      <c r="QUL132" s="202"/>
      <c r="QUM132" s="202"/>
      <c r="QUN132" s="202"/>
      <c r="QUO132" s="202"/>
      <c r="QUP132" s="202"/>
      <c r="QUQ132" s="202"/>
      <c r="QUR132" s="202"/>
      <c r="QUS132" s="202"/>
      <c r="QUT132" s="202"/>
      <c r="QUU132" s="202"/>
      <c r="QUV132" s="202"/>
      <c r="QUW132" s="202"/>
      <c r="QUX132" s="202"/>
      <c r="QUY132" s="202"/>
      <c r="QUZ132" s="202"/>
      <c r="QVA132" s="202"/>
      <c r="QVB132" s="202"/>
      <c r="QVC132" s="202"/>
      <c r="QVD132" s="202"/>
      <c r="QVE132" s="202"/>
      <c r="QVF132" s="202"/>
      <c r="QVG132" s="202"/>
      <c r="QVH132" s="202"/>
      <c r="QVI132" s="202"/>
      <c r="QVJ132" s="202"/>
      <c r="QVK132" s="202"/>
      <c r="QVL132" s="202"/>
      <c r="QVM132" s="202"/>
      <c r="QVN132" s="202"/>
      <c r="QVO132" s="202"/>
      <c r="QVP132" s="202"/>
      <c r="QVQ132" s="202"/>
      <c r="QVR132" s="202"/>
      <c r="QVS132" s="202"/>
      <c r="QVT132" s="202"/>
      <c r="QVU132" s="202"/>
      <c r="QVV132" s="202"/>
      <c r="QVW132" s="202"/>
      <c r="QVX132" s="202"/>
      <c r="QVY132" s="202"/>
      <c r="QVZ132" s="202"/>
      <c r="QWA132" s="202"/>
      <c r="QWB132" s="202"/>
      <c r="QWC132" s="202"/>
      <c r="QWD132" s="202"/>
      <c r="QWE132" s="202"/>
      <c r="QWF132" s="202"/>
      <c r="QWG132" s="202"/>
      <c r="QWH132" s="202"/>
      <c r="QWI132" s="202"/>
      <c r="QWJ132" s="202"/>
      <c r="QWK132" s="202"/>
      <c r="QWL132" s="202"/>
      <c r="QWM132" s="202"/>
      <c r="QWN132" s="202"/>
      <c r="QWO132" s="202"/>
      <c r="QWP132" s="202"/>
      <c r="QWQ132" s="202"/>
      <c r="QWR132" s="202"/>
      <c r="QWS132" s="202"/>
      <c r="QWT132" s="202"/>
      <c r="QWU132" s="202"/>
      <c r="QWV132" s="202"/>
      <c r="QWW132" s="202"/>
      <c r="QWX132" s="202"/>
      <c r="QWY132" s="202"/>
      <c r="QWZ132" s="202"/>
      <c r="QXA132" s="202"/>
      <c r="QXB132" s="202"/>
      <c r="QXC132" s="202"/>
      <c r="QXD132" s="202"/>
      <c r="QXE132" s="202"/>
      <c r="QXF132" s="202"/>
      <c r="QXG132" s="202"/>
      <c r="QXH132" s="202"/>
      <c r="QXI132" s="202"/>
      <c r="QXJ132" s="202"/>
      <c r="QXK132" s="202"/>
      <c r="QXL132" s="202"/>
      <c r="QXM132" s="202"/>
      <c r="QXN132" s="202"/>
      <c r="QXO132" s="202"/>
      <c r="QXP132" s="202"/>
      <c r="QXQ132" s="202"/>
      <c r="QXR132" s="202"/>
      <c r="QXS132" s="202"/>
      <c r="QXT132" s="202"/>
      <c r="QXU132" s="202"/>
      <c r="QXV132" s="202"/>
      <c r="QXW132" s="202"/>
      <c r="QXX132" s="202"/>
      <c r="QXY132" s="202"/>
      <c r="QXZ132" s="202"/>
      <c r="QYA132" s="202"/>
      <c r="QYB132" s="202"/>
      <c r="QYC132" s="202"/>
      <c r="QYD132" s="202"/>
      <c r="QYE132" s="202"/>
      <c r="QYF132" s="202"/>
      <c r="QYG132" s="202"/>
      <c r="QYH132" s="202"/>
      <c r="QYI132" s="202"/>
      <c r="QYJ132" s="202"/>
      <c r="QYK132" s="202"/>
      <c r="QYL132" s="202"/>
      <c r="QYM132" s="202"/>
      <c r="QYN132" s="202"/>
      <c r="QYO132" s="202"/>
      <c r="QYP132" s="202"/>
      <c r="QYQ132" s="202"/>
      <c r="QYR132" s="202"/>
      <c r="QYS132" s="202"/>
      <c r="QYT132" s="202"/>
      <c r="QYU132" s="202"/>
      <c r="QYV132" s="202"/>
      <c r="QYW132" s="202"/>
      <c r="QYX132" s="202"/>
      <c r="QYY132" s="202"/>
      <c r="QYZ132" s="202"/>
      <c r="QZA132" s="202"/>
      <c r="QZB132" s="202"/>
      <c r="QZC132" s="202"/>
      <c r="QZD132" s="202"/>
      <c r="QZE132" s="202"/>
      <c r="QZF132" s="202"/>
      <c r="QZG132" s="202"/>
      <c r="QZH132" s="202"/>
      <c r="QZI132" s="202"/>
      <c r="QZJ132" s="202"/>
      <c r="QZK132" s="202"/>
      <c r="QZL132" s="202"/>
      <c r="QZM132" s="202"/>
      <c r="QZN132" s="202"/>
      <c r="QZO132" s="202"/>
      <c r="QZP132" s="202"/>
      <c r="QZQ132" s="202"/>
      <c r="QZR132" s="202"/>
      <c r="QZS132" s="202"/>
      <c r="QZT132" s="202"/>
      <c r="QZU132" s="202"/>
      <c r="QZV132" s="202"/>
      <c r="QZW132" s="202"/>
      <c r="QZX132" s="202"/>
      <c r="QZY132" s="202"/>
      <c r="QZZ132" s="202"/>
      <c r="RAA132" s="202"/>
      <c r="RAB132" s="202"/>
      <c r="RAC132" s="202"/>
      <c r="RAD132" s="202"/>
      <c r="RAE132" s="202"/>
      <c r="RAF132" s="202"/>
      <c r="RAG132" s="202"/>
      <c r="RAH132" s="202"/>
      <c r="RAI132" s="202"/>
      <c r="RAJ132" s="202"/>
      <c r="RAK132" s="202"/>
      <c r="RAL132" s="202"/>
      <c r="RAM132" s="202"/>
      <c r="RAN132" s="202"/>
      <c r="RAO132" s="202"/>
      <c r="RAP132" s="202"/>
      <c r="RAQ132" s="202"/>
      <c r="RAR132" s="202"/>
      <c r="RAS132" s="202"/>
      <c r="RAT132" s="202"/>
      <c r="RAU132" s="202"/>
      <c r="RAV132" s="202"/>
      <c r="RAW132" s="202"/>
      <c r="RAX132" s="202"/>
      <c r="RAY132" s="202"/>
      <c r="RAZ132" s="202"/>
      <c r="RBA132" s="202"/>
      <c r="RBB132" s="202"/>
      <c r="RBC132" s="202"/>
      <c r="RBD132" s="202"/>
      <c r="RBE132" s="202"/>
      <c r="RBF132" s="202"/>
      <c r="RBG132" s="202"/>
      <c r="RBH132" s="202"/>
      <c r="RBI132" s="202"/>
      <c r="RBJ132" s="202"/>
      <c r="RBK132" s="202"/>
      <c r="RBL132" s="202"/>
      <c r="RBM132" s="202"/>
      <c r="RBN132" s="202"/>
      <c r="RBO132" s="202"/>
      <c r="RBP132" s="202"/>
      <c r="RBQ132" s="202"/>
      <c r="RBR132" s="202"/>
      <c r="RBS132" s="202"/>
      <c r="RBT132" s="202"/>
      <c r="RBU132" s="202"/>
      <c r="RBV132" s="202"/>
      <c r="RBW132" s="202"/>
      <c r="RBX132" s="202"/>
      <c r="RBY132" s="202"/>
      <c r="RBZ132" s="202"/>
      <c r="RCA132" s="202"/>
      <c r="RCB132" s="202"/>
      <c r="RCC132" s="202"/>
      <c r="RCD132" s="202"/>
      <c r="RCE132" s="202"/>
      <c r="RCF132" s="202"/>
      <c r="RCG132" s="202"/>
      <c r="RCH132" s="202"/>
      <c r="RCI132" s="202"/>
      <c r="RCJ132" s="202"/>
      <c r="RCK132" s="202"/>
      <c r="RCL132" s="202"/>
      <c r="RCM132" s="202"/>
      <c r="RCN132" s="202"/>
      <c r="RCO132" s="202"/>
      <c r="RCP132" s="202"/>
      <c r="RCQ132" s="202"/>
      <c r="RCR132" s="202"/>
      <c r="RCS132" s="202"/>
      <c r="RCT132" s="202"/>
      <c r="RCU132" s="202"/>
      <c r="RCV132" s="202"/>
      <c r="RCW132" s="202"/>
      <c r="RCX132" s="202"/>
      <c r="RCY132" s="202"/>
      <c r="RCZ132" s="202"/>
      <c r="RDA132" s="202"/>
      <c r="RDB132" s="202"/>
      <c r="RDC132" s="202"/>
      <c r="RDD132" s="202"/>
      <c r="RDE132" s="202"/>
      <c r="RDF132" s="202"/>
      <c r="RDG132" s="202"/>
      <c r="RDH132" s="202"/>
      <c r="RDI132" s="202"/>
      <c r="RDJ132" s="202"/>
      <c r="RDK132" s="202"/>
      <c r="RDL132" s="202"/>
      <c r="RDM132" s="202"/>
      <c r="RDN132" s="202"/>
      <c r="RDO132" s="202"/>
      <c r="RDP132" s="202"/>
      <c r="RDQ132" s="202"/>
      <c r="RDR132" s="202"/>
      <c r="RDS132" s="202"/>
      <c r="RDT132" s="202"/>
      <c r="RDU132" s="202"/>
      <c r="RDV132" s="202"/>
      <c r="RDW132" s="202"/>
      <c r="RDX132" s="202"/>
      <c r="RDY132" s="202"/>
      <c r="RDZ132" s="202"/>
      <c r="REA132" s="202"/>
      <c r="REB132" s="202"/>
      <c r="REC132" s="202"/>
      <c r="RED132" s="202"/>
      <c r="REE132" s="202"/>
      <c r="REF132" s="202"/>
      <c r="REG132" s="202"/>
      <c r="REH132" s="202"/>
      <c r="REI132" s="202"/>
      <c r="REJ132" s="202"/>
      <c r="REK132" s="202"/>
      <c r="REL132" s="202"/>
      <c r="REM132" s="202"/>
      <c r="REN132" s="202"/>
      <c r="REO132" s="202"/>
      <c r="REP132" s="202"/>
      <c r="REQ132" s="202"/>
      <c r="RER132" s="202"/>
      <c r="RES132" s="202"/>
      <c r="RET132" s="202"/>
      <c r="REU132" s="202"/>
      <c r="REV132" s="202"/>
      <c r="REW132" s="202"/>
      <c r="REX132" s="202"/>
      <c r="REY132" s="202"/>
      <c r="REZ132" s="202"/>
      <c r="RFA132" s="202"/>
      <c r="RFB132" s="202"/>
      <c r="RFC132" s="202"/>
      <c r="RFD132" s="202"/>
      <c r="RFE132" s="202"/>
      <c r="RFF132" s="202"/>
      <c r="RFG132" s="202"/>
      <c r="RFH132" s="202"/>
      <c r="RFI132" s="202"/>
      <c r="RFJ132" s="202"/>
      <c r="RFK132" s="202"/>
      <c r="RFL132" s="202"/>
      <c r="RFM132" s="202"/>
      <c r="RFN132" s="202"/>
      <c r="RFO132" s="202"/>
      <c r="RFP132" s="202"/>
      <c r="RFQ132" s="202"/>
      <c r="RFR132" s="202"/>
      <c r="RFS132" s="202"/>
      <c r="RFT132" s="202"/>
      <c r="RFU132" s="202"/>
      <c r="RFV132" s="202"/>
      <c r="RFW132" s="202"/>
      <c r="RFX132" s="202"/>
      <c r="RFY132" s="202"/>
      <c r="RFZ132" s="202"/>
      <c r="RGA132" s="202"/>
      <c r="RGB132" s="202"/>
      <c r="RGC132" s="202"/>
      <c r="RGD132" s="202"/>
      <c r="RGE132" s="202"/>
      <c r="RGF132" s="202"/>
      <c r="RGG132" s="202"/>
      <c r="RGH132" s="202"/>
      <c r="RGI132" s="202"/>
      <c r="RGJ132" s="202"/>
      <c r="RGK132" s="202"/>
      <c r="RGL132" s="202"/>
      <c r="RGM132" s="202"/>
      <c r="RGN132" s="202"/>
      <c r="RGO132" s="202"/>
      <c r="RGP132" s="202"/>
      <c r="RGQ132" s="202"/>
      <c r="RGR132" s="202"/>
      <c r="RGS132" s="202"/>
      <c r="RGT132" s="202"/>
      <c r="RGU132" s="202"/>
      <c r="RGV132" s="202"/>
      <c r="RGW132" s="202"/>
      <c r="RGX132" s="202"/>
      <c r="RGY132" s="202"/>
      <c r="RGZ132" s="202"/>
      <c r="RHA132" s="202"/>
      <c r="RHB132" s="202"/>
      <c r="RHC132" s="202"/>
      <c r="RHD132" s="202"/>
      <c r="RHE132" s="202"/>
      <c r="RHF132" s="202"/>
      <c r="RHG132" s="202"/>
      <c r="RHH132" s="202"/>
      <c r="RHI132" s="202"/>
      <c r="RHJ132" s="202"/>
      <c r="RHK132" s="202"/>
      <c r="RHL132" s="202"/>
      <c r="RHM132" s="202"/>
      <c r="RHN132" s="202"/>
      <c r="RHO132" s="202"/>
      <c r="RHP132" s="202"/>
      <c r="RHQ132" s="202"/>
      <c r="RHR132" s="202"/>
      <c r="RHS132" s="202"/>
      <c r="RHT132" s="202"/>
      <c r="RHU132" s="202"/>
      <c r="RHV132" s="202"/>
      <c r="RHW132" s="202"/>
      <c r="RHX132" s="202"/>
      <c r="RHY132" s="202"/>
      <c r="RHZ132" s="202"/>
      <c r="RIA132" s="202"/>
      <c r="RIB132" s="202"/>
      <c r="RIC132" s="202"/>
      <c r="RID132" s="202"/>
      <c r="RIE132" s="202"/>
      <c r="RIF132" s="202"/>
      <c r="RIG132" s="202"/>
      <c r="RIH132" s="202"/>
      <c r="RII132" s="202"/>
      <c r="RIJ132" s="202"/>
      <c r="RIK132" s="202"/>
      <c r="RIL132" s="202"/>
      <c r="RIM132" s="202"/>
      <c r="RIN132" s="202"/>
      <c r="RIO132" s="202"/>
      <c r="RIP132" s="202"/>
      <c r="RIQ132" s="202"/>
      <c r="RIR132" s="202"/>
      <c r="RIS132" s="202"/>
      <c r="RIT132" s="202"/>
      <c r="RIU132" s="202"/>
      <c r="RIV132" s="202"/>
      <c r="RIW132" s="202"/>
      <c r="RIX132" s="202"/>
      <c r="RIY132" s="202"/>
      <c r="RIZ132" s="202"/>
      <c r="RJA132" s="202"/>
      <c r="RJB132" s="202"/>
      <c r="RJC132" s="202"/>
      <c r="RJD132" s="202"/>
      <c r="RJE132" s="202"/>
      <c r="RJF132" s="202"/>
      <c r="RJG132" s="202"/>
      <c r="RJH132" s="202"/>
      <c r="RJI132" s="202"/>
      <c r="RJJ132" s="202"/>
      <c r="RJK132" s="202"/>
      <c r="RJL132" s="202"/>
      <c r="RJM132" s="202"/>
      <c r="RJN132" s="202"/>
      <c r="RJO132" s="202"/>
      <c r="RJP132" s="202"/>
      <c r="RJQ132" s="202"/>
      <c r="RJR132" s="202"/>
      <c r="RJS132" s="202"/>
      <c r="RJT132" s="202"/>
      <c r="RJU132" s="202"/>
      <c r="RJV132" s="202"/>
      <c r="RJW132" s="202"/>
      <c r="RJX132" s="202"/>
      <c r="RJY132" s="202"/>
      <c r="RJZ132" s="202"/>
      <c r="RKA132" s="202"/>
      <c r="RKB132" s="202"/>
      <c r="RKC132" s="202"/>
      <c r="RKD132" s="202"/>
      <c r="RKE132" s="202"/>
      <c r="RKF132" s="202"/>
      <c r="RKG132" s="202"/>
      <c r="RKH132" s="202"/>
      <c r="RKI132" s="202"/>
      <c r="RKJ132" s="202"/>
      <c r="RKK132" s="202"/>
      <c r="RKL132" s="202"/>
      <c r="RKM132" s="202"/>
      <c r="RKN132" s="202"/>
      <c r="RKO132" s="202"/>
      <c r="RKP132" s="202"/>
      <c r="RKQ132" s="202"/>
      <c r="RKR132" s="202"/>
      <c r="RKS132" s="202"/>
      <c r="RKT132" s="202"/>
      <c r="RKU132" s="202"/>
      <c r="RKV132" s="202"/>
      <c r="RKW132" s="202"/>
      <c r="RKX132" s="202"/>
      <c r="RKY132" s="202"/>
      <c r="RKZ132" s="202"/>
      <c r="RLA132" s="202"/>
      <c r="RLB132" s="202"/>
      <c r="RLC132" s="202"/>
      <c r="RLD132" s="202"/>
      <c r="RLE132" s="202"/>
      <c r="RLF132" s="202"/>
      <c r="RLG132" s="202"/>
      <c r="RLH132" s="202"/>
      <c r="RLI132" s="202"/>
      <c r="RLJ132" s="202"/>
      <c r="RLK132" s="202"/>
      <c r="RLL132" s="202"/>
      <c r="RLM132" s="202"/>
      <c r="RLN132" s="202"/>
      <c r="RLO132" s="202"/>
      <c r="RLP132" s="202"/>
      <c r="RLQ132" s="202"/>
      <c r="RLR132" s="202"/>
      <c r="RLS132" s="202"/>
      <c r="RLT132" s="202"/>
      <c r="RLU132" s="202"/>
      <c r="RLV132" s="202"/>
      <c r="RLW132" s="202"/>
      <c r="RLX132" s="202"/>
      <c r="RLY132" s="202"/>
      <c r="RLZ132" s="202"/>
      <c r="RMA132" s="202"/>
      <c r="RMB132" s="202"/>
      <c r="RMC132" s="202"/>
      <c r="RMD132" s="202"/>
      <c r="RME132" s="202"/>
      <c r="RMF132" s="202"/>
      <c r="RMG132" s="202"/>
      <c r="RMH132" s="202"/>
      <c r="RMI132" s="202"/>
      <c r="RMJ132" s="202"/>
      <c r="RMK132" s="202"/>
      <c r="RML132" s="202"/>
      <c r="RMM132" s="202"/>
      <c r="RMN132" s="202"/>
      <c r="RMO132" s="202"/>
      <c r="RMP132" s="202"/>
      <c r="RMQ132" s="202"/>
      <c r="RMR132" s="202"/>
      <c r="RMS132" s="202"/>
      <c r="RMT132" s="202"/>
      <c r="RMU132" s="202"/>
      <c r="RMV132" s="202"/>
      <c r="RMW132" s="202"/>
      <c r="RMX132" s="202"/>
      <c r="RMY132" s="202"/>
      <c r="RMZ132" s="202"/>
      <c r="RNA132" s="202"/>
      <c r="RNB132" s="202"/>
      <c r="RNC132" s="202"/>
      <c r="RND132" s="202"/>
      <c r="RNE132" s="202"/>
      <c r="RNF132" s="202"/>
      <c r="RNG132" s="202"/>
      <c r="RNH132" s="202"/>
      <c r="RNI132" s="202"/>
      <c r="RNJ132" s="202"/>
      <c r="RNK132" s="202"/>
      <c r="RNL132" s="202"/>
      <c r="RNM132" s="202"/>
      <c r="RNN132" s="202"/>
      <c r="RNO132" s="202"/>
      <c r="RNP132" s="202"/>
      <c r="RNQ132" s="202"/>
      <c r="RNR132" s="202"/>
      <c r="RNS132" s="202"/>
      <c r="RNT132" s="202"/>
      <c r="RNU132" s="202"/>
      <c r="RNV132" s="202"/>
      <c r="RNW132" s="202"/>
      <c r="RNX132" s="202"/>
      <c r="RNY132" s="202"/>
      <c r="RNZ132" s="202"/>
      <c r="ROA132" s="202"/>
      <c r="ROB132" s="202"/>
      <c r="ROC132" s="202"/>
      <c r="ROD132" s="202"/>
      <c r="ROE132" s="202"/>
      <c r="ROF132" s="202"/>
      <c r="ROG132" s="202"/>
      <c r="ROH132" s="202"/>
      <c r="ROI132" s="202"/>
      <c r="ROJ132" s="202"/>
      <c r="ROK132" s="202"/>
      <c r="ROL132" s="202"/>
      <c r="ROM132" s="202"/>
      <c r="RON132" s="202"/>
      <c r="ROO132" s="202"/>
      <c r="ROP132" s="202"/>
      <c r="ROQ132" s="202"/>
      <c r="ROR132" s="202"/>
      <c r="ROS132" s="202"/>
      <c r="ROT132" s="202"/>
      <c r="ROU132" s="202"/>
      <c r="ROV132" s="202"/>
      <c r="ROW132" s="202"/>
      <c r="ROX132" s="202"/>
      <c r="ROY132" s="202"/>
      <c r="ROZ132" s="202"/>
      <c r="RPA132" s="202"/>
      <c r="RPB132" s="202"/>
      <c r="RPC132" s="202"/>
      <c r="RPD132" s="202"/>
      <c r="RPE132" s="202"/>
      <c r="RPF132" s="202"/>
      <c r="RPG132" s="202"/>
      <c r="RPH132" s="202"/>
      <c r="RPI132" s="202"/>
      <c r="RPJ132" s="202"/>
      <c r="RPK132" s="202"/>
      <c r="RPL132" s="202"/>
      <c r="RPM132" s="202"/>
      <c r="RPN132" s="202"/>
      <c r="RPO132" s="202"/>
      <c r="RPP132" s="202"/>
      <c r="RPQ132" s="202"/>
      <c r="RPR132" s="202"/>
      <c r="RPS132" s="202"/>
      <c r="RPT132" s="202"/>
      <c r="RPU132" s="202"/>
      <c r="RPV132" s="202"/>
      <c r="RPW132" s="202"/>
      <c r="RPX132" s="202"/>
      <c r="RPY132" s="202"/>
      <c r="RPZ132" s="202"/>
      <c r="RQA132" s="202"/>
      <c r="RQB132" s="202"/>
      <c r="RQC132" s="202"/>
      <c r="RQD132" s="202"/>
      <c r="RQE132" s="202"/>
      <c r="RQF132" s="202"/>
      <c r="RQG132" s="202"/>
      <c r="RQH132" s="202"/>
      <c r="RQI132" s="202"/>
      <c r="RQJ132" s="202"/>
      <c r="RQK132" s="202"/>
      <c r="RQL132" s="202"/>
      <c r="RQM132" s="202"/>
      <c r="RQN132" s="202"/>
      <c r="RQO132" s="202"/>
      <c r="RQP132" s="202"/>
      <c r="RQQ132" s="202"/>
      <c r="RQR132" s="202"/>
      <c r="RQS132" s="202"/>
      <c r="RQT132" s="202"/>
      <c r="RQU132" s="202"/>
      <c r="RQV132" s="202"/>
      <c r="RQW132" s="202"/>
      <c r="RQX132" s="202"/>
      <c r="RQY132" s="202"/>
      <c r="RQZ132" s="202"/>
      <c r="RRA132" s="202"/>
      <c r="RRB132" s="202"/>
      <c r="RRC132" s="202"/>
      <c r="RRD132" s="202"/>
      <c r="RRE132" s="202"/>
      <c r="RRF132" s="202"/>
      <c r="RRG132" s="202"/>
      <c r="RRH132" s="202"/>
      <c r="RRI132" s="202"/>
      <c r="RRJ132" s="202"/>
      <c r="RRK132" s="202"/>
      <c r="RRL132" s="202"/>
      <c r="RRM132" s="202"/>
      <c r="RRN132" s="202"/>
      <c r="RRO132" s="202"/>
      <c r="RRP132" s="202"/>
      <c r="RRQ132" s="202"/>
      <c r="RRR132" s="202"/>
      <c r="RRS132" s="202"/>
      <c r="RRT132" s="202"/>
      <c r="RRU132" s="202"/>
      <c r="RRV132" s="202"/>
      <c r="RRW132" s="202"/>
      <c r="RRX132" s="202"/>
      <c r="RRY132" s="202"/>
      <c r="RRZ132" s="202"/>
      <c r="RSA132" s="202"/>
      <c r="RSB132" s="202"/>
      <c r="RSC132" s="202"/>
      <c r="RSD132" s="202"/>
      <c r="RSE132" s="202"/>
      <c r="RSF132" s="202"/>
      <c r="RSG132" s="202"/>
      <c r="RSH132" s="202"/>
      <c r="RSI132" s="202"/>
      <c r="RSJ132" s="202"/>
      <c r="RSK132" s="202"/>
      <c r="RSL132" s="202"/>
      <c r="RSM132" s="202"/>
      <c r="RSN132" s="202"/>
      <c r="RSO132" s="202"/>
      <c r="RSP132" s="202"/>
      <c r="RSQ132" s="202"/>
      <c r="RSR132" s="202"/>
      <c r="RSS132" s="202"/>
      <c r="RST132" s="202"/>
      <c r="RSU132" s="202"/>
      <c r="RSV132" s="202"/>
      <c r="RSW132" s="202"/>
      <c r="RSX132" s="202"/>
      <c r="RSY132" s="202"/>
      <c r="RSZ132" s="202"/>
      <c r="RTA132" s="202"/>
      <c r="RTB132" s="202"/>
      <c r="RTC132" s="202"/>
      <c r="RTD132" s="202"/>
      <c r="RTE132" s="202"/>
      <c r="RTF132" s="202"/>
      <c r="RTG132" s="202"/>
      <c r="RTH132" s="202"/>
      <c r="RTI132" s="202"/>
      <c r="RTJ132" s="202"/>
      <c r="RTK132" s="202"/>
      <c r="RTL132" s="202"/>
      <c r="RTM132" s="202"/>
      <c r="RTN132" s="202"/>
      <c r="RTO132" s="202"/>
      <c r="RTP132" s="202"/>
      <c r="RTQ132" s="202"/>
      <c r="RTR132" s="202"/>
      <c r="RTS132" s="202"/>
      <c r="RTT132" s="202"/>
      <c r="RTU132" s="202"/>
      <c r="RTV132" s="202"/>
      <c r="RTW132" s="202"/>
      <c r="RTX132" s="202"/>
      <c r="RTY132" s="202"/>
      <c r="RTZ132" s="202"/>
      <c r="RUA132" s="202"/>
      <c r="RUB132" s="202"/>
      <c r="RUC132" s="202"/>
      <c r="RUD132" s="202"/>
      <c r="RUE132" s="202"/>
      <c r="RUF132" s="202"/>
      <c r="RUG132" s="202"/>
      <c r="RUH132" s="202"/>
      <c r="RUI132" s="202"/>
      <c r="RUJ132" s="202"/>
      <c r="RUK132" s="202"/>
      <c r="RUL132" s="202"/>
      <c r="RUM132" s="202"/>
      <c r="RUN132" s="202"/>
      <c r="RUO132" s="202"/>
      <c r="RUP132" s="202"/>
      <c r="RUQ132" s="202"/>
      <c r="RUR132" s="202"/>
      <c r="RUS132" s="202"/>
      <c r="RUT132" s="202"/>
      <c r="RUU132" s="202"/>
      <c r="RUV132" s="202"/>
      <c r="RUW132" s="202"/>
      <c r="RUX132" s="202"/>
      <c r="RUY132" s="202"/>
      <c r="RUZ132" s="202"/>
      <c r="RVA132" s="202"/>
      <c r="RVB132" s="202"/>
      <c r="RVC132" s="202"/>
      <c r="RVD132" s="202"/>
      <c r="RVE132" s="202"/>
      <c r="RVF132" s="202"/>
      <c r="RVG132" s="202"/>
      <c r="RVH132" s="202"/>
      <c r="RVI132" s="202"/>
      <c r="RVJ132" s="202"/>
      <c r="RVK132" s="202"/>
      <c r="RVL132" s="202"/>
      <c r="RVM132" s="202"/>
      <c r="RVN132" s="202"/>
      <c r="RVO132" s="202"/>
      <c r="RVP132" s="202"/>
      <c r="RVQ132" s="202"/>
      <c r="RVR132" s="202"/>
      <c r="RVS132" s="202"/>
      <c r="RVT132" s="202"/>
      <c r="RVU132" s="202"/>
      <c r="RVV132" s="202"/>
      <c r="RVW132" s="202"/>
      <c r="RVX132" s="202"/>
      <c r="RVY132" s="202"/>
      <c r="RVZ132" s="202"/>
      <c r="RWA132" s="202"/>
      <c r="RWB132" s="202"/>
      <c r="RWC132" s="202"/>
      <c r="RWD132" s="202"/>
      <c r="RWE132" s="202"/>
      <c r="RWF132" s="202"/>
      <c r="RWG132" s="202"/>
      <c r="RWH132" s="202"/>
      <c r="RWI132" s="202"/>
      <c r="RWJ132" s="202"/>
      <c r="RWK132" s="202"/>
      <c r="RWL132" s="202"/>
      <c r="RWM132" s="202"/>
      <c r="RWN132" s="202"/>
      <c r="RWO132" s="202"/>
      <c r="RWP132" s="202"/>
      <c r="RWQ132" s="202"/>
      <c r="RWR132" s="202"/>
      <c r="RWS132" s="202"/>
      <c r="RWT132" s="202"/>
      <c r="RWU132" s="202"/>
      <c r="RWV132" s="202"/>
      <c r="RWW132" s="202"/>
      <c r="RWX132" s="202"/>
      <c r="RWY132" s="202"/>
      <c r="RWZ132" s="202"/>
      <c r="RXA132" s="202"/>
      <c r="RXB132" s="202"/>
      <c r="RXC132" s="202"/>
      <c r="RXD132" s="202"/>
      <c r="RXE132" s="202"/>
      <c r="RXF132" s="202"/>
      <c r="RXG132" s="202"/>
      <c r="RXH132" s="202"/>
      <c r="RXI132" s="202"/>
      <c r="RXJ132" s="202"/>
      <c r="RXK132" s="202"/>
      <c r="RXL132" s="202"/>
      <c r="RXM132" s="202"/>
      <c r="RXN132" s="202"/>
      <c r="RXO132" s="202"/>
      <c r="RXP132" s="202"/>
      <c r="RXQ132" s="202"/>
      <c r="RXR132" s="202"/>
      <c r="RXS132" s="202"/>
      <c r="RXT132" s="202"/>
      <c r="RXU132" s="202"/>
      <c r="RXV132" s="202"/>
      <c r="RXW132" s="202"/>
      <c r="RXX132" s="202"/>
      <c r="RXY132" s="202"/>
      <c r="RXZ132" s="202"/>
      <c r="RYA132" s="202"/>
      <c r="RYB132" s="202"/>
      <c r="RYC132" s="202"/>
      <c r="RYD132" s="202"/>
      <c r="RYE132" s="202"/>
      <c r="RYF132" s="202"/>
      <c r="RYG132" s="202"/>
      <c r="RYH132" s="202"/>
      <c r="RYI132" s="202"/>
      <c r="RYJ132" s="202"/>
      <c r="RYK132" s="202"/>
      <c r="RYL132" s="202"/>
      <c r="RYM132" s="202"/>
      <c r="RYN132" s="202"/>
      <c r="RYO132" s="202"/>
      <c r="RYP132" s="202"/>
      <c r="RYQ132" s="202"/>
      <c r="RYR132" s="202"/>
      <c r="RYS132" s="202"/>
      <c r="RYT132" s="202"/>
      <c r="RYU132" s="202"/>
      <c r="RYV132" s="202"/>
      <c r="RYW132" s="202"/>
      <c r="RYX132" s="202"/>
      <c r="RYY132" s="202"/>
      <c r="RYZ132" s="202"/>
      <c r="RZA132" s="202"/>
      <c r="RZB132" s="202"/>
      <c r="RZC132" s="202"/>
      <c r="RZD132" s="202"/>
      <c r="RZE132" s="202"/>
      <c r="RZF132" s="202"/>
      <c r="RZG132" s="202"/>
      <c r="RZH132" s="202"/>
      <c r="RZI132" s="202"/>
      <c r="RZJ132" s="202"/>
      <c r="RZK132" s="202"/>
      <c r="RZL132" s="202"/>
      <c r="RZM132" s="202"/>
      <c r="RZN132" s="202"/>
      <c r="RZO132" s="202"/>
      <c r="RZP132" s="202"/>
      <c r="RZQ132" s="202"/>
      <c r="RZR132" s="202"/>
      <c r="RZS132" s="202"/>
      <c r="RZT132" s="202"/>
      <c r="RZU132" s="202"/>
      <c r="RZV132" s="202"/>
      <c r="RZW132" s="202"/>
      <c r="RZX132" s="202"/>
      <c r="RZY132" s="202"/>
      <c r="RZZ132" s="202"/>
      <c r="SAA132" s="202"/>
      <c r="SAB132" s="202"/>
      <c r="SAC132" s="202"/>
      <c r="SAD132" s="202"/>
      <c r="SAE132" s="202"/>
      <c r="SAF132" s="202"/>
      <c r="SAG132" s="202"/>
      <c r="SAH132" s="202"/>
      <c r="SAI132" s="202"/>
      <c r="SAJ132" s="202"/>
      <c r="SAK132" s="202"/>
      <c r="SAL132" s="202"/>
      <c r="SAM132" s="202"/>
      <c r="SAN132" s="202"/>
      <c r="SAO132" s="202"/>
      <c r="SAP132" s="202"/>
      <c r="SAQ132" s="202"/>
      <c r="SAR132" s="202"/>
      <c r="SAS132" s="202"/>
      <c r="SAT132" s="202"/>
      <c r="SAU132" s="202"/>
      <c r="SAV132" s="202"/>
      <c r="SAW132" s="202"/>
      <c r="SAX132" s="202"/>
      <c r="SAY132" s="202"/>
      <c r="SAZ132" s="202"/>
      <c r="SBA132" s="202"/>
      <c r="SBB132" s="202"/>
      <c r="SBC132" s="202"/>
      <c r="SBD132" s="202"/>
      <c r="SBE132" s="202"/>
      <c r="SBF132" s="202"/>
      <c r="SBG132" s="202"/>
      <c r="SBH132" s="202"/>
      <c r="SBI132" s="202"/>
      <c r="SBJ132" s="202"/>
      <c r="SBK132" s="202"/>
      <c r="SBL132" s="202"/>
      <c r="SBM132" s="202"/>
      <c r="SBN132" s="202"/>
      <c r="SBO132" s="202"/>
      <c r="SBP132" s="202"/>
      <c r="SBQ132" s="202"/>
      <c r="SBR132" s="202"/>
      <c r="SBS132" s="202"/>
      <c r="SBT132" s="202"/>
      <c r="SBU132" s="202"/>
      <c r="SBV132" s="202"/>
      <c r="SBW132" s="202"/>
      <c r="SBX132" s="202"/>
      <c r="SBY132" s="202"/>
      <c r="SBZ132" s="202"/>
      <c r="SCA132" s="202"/>
      <c r="SCB132" s="202"/>
      <c r="SCC132" s="202"/>
      <c r="SCD132" s="202"/>
      <c r="SCE132" s="202"/>
      <c r="SCF132" s="202"/>
      <c r="SCG132" s="202"/>
      <c r="SCH132" s="202"/>
      <c r="SCI132" s="202"/>
      <c r="SCJ132" s="202"/>
      <c r="SCK132" s="202"/>
      <c r="SCL132" s="202"/>
      <c r="SCM132" s="202"/>
      <c r="SCN132" s="202"/>
      <c r="SCO132" s="202"/>
      <c r="SCP132" s="202"/>
      <c r="SCQ132" s="202"/>
      <c r="SCR132" s="202"/>
      <c r="SCS132" s="202"/>
      <c r="SCT132" s="202"/>
      <c r="SCU132" s="202"/>
      <c r="SCV132" s="202"/>
      <c r="SCW132" s="202"/>
      <c r="SCX132" s="202"/>
      <c r="SCY132" s="202"/>
      <c r="SCZ132" s="202"/>
      <c r="SDA132" s="202"/>
      <c r="SDB132" s="202"/>
      <c r="SDC132" s="202"/>
      <c r="SDD132" s="202"/>
      <c r="SDE132" s="202"/>
      <c r="SDF132" s="202"/>
      <c r="SDG132" s="202"/>
      <c r="SDH132" s="202"/>
      <c r="SDI132" s="202"/>
      <c r="SDJ132" s="202"/>
      <c r="SDK132" s="202"/>
      <c r="SDL132" s="202"/>
      <c r="SDM132" s="202"/>
      <c r="SDN132" s="202"/>
      <c r="SDO132" s="202"/>
      <c r="SDP132" s="202"/>
      <c r="SDQ132" s="202"/>
      <c r="SDR132" s="202"/>
      <c r="SDS132" s="202"/>
      <c r="SDT132" s="202"/>
      <c r="SDU132" s="202"/>
      <c r="SDV132" s="202"/>
      <c r="SDW132" s="202"/>
      <c r="SDX132" s="202"/>
      <c r="SDY132" s="202"/>
      <c r="SDZ132" s="202"/>
      <c r="SEA132" s="202"/>
      <c r="SEB132" s="202"/>
      <c r="SEC132" s="202"/>
      <c r="SED132" s="202"/>
      <c r="SEE132" s="202"/>
      <c r="SEF132" s="202"/>
      <c r="SEG132" s="202"/>
      <c r="SEH132" s="202"/>
      <c r="SEI132" s="202"/>
      <c r="SEJ132" s="202"/>
      <c r="SEK132" s="202"/>
      <c r="SEL132" s="202"/>
      <c r="SEM132" s="202"/>
      <c r="SEN132" s="202"/>
      <c r="SEO132" s="202"/>
      <c r="SEP132" s="202"/>
      <c r="SEQ132" s="202"/>
      <c r="SER132" s="202"/>
      <c r="SES132" s="202"/>
      <c r="SET132" s="202"/>
      <c r="SEU132" s="202"/>
      <c r="SEV132" s="202"/>
      <c r="SEW132" s="202"/>
      <c r="SEX132" s="202"/>
      <c r="SEY132" s="202"/>
      <c r="SEZ132" s="202"/>
      <c r="SFA132" s="202"/>
      <c r="SFB132" s="202"/>
      <c r="SFC132" s="202"/>
      <c r="SFD132" s="202"/>
      <c r="SFE132" s="202"/>
      <c r="SFF132" s="202"/>
      <c r="SFG132" s="202"/>
      <c r="SFH132" s="202"/>
      <c r="SFI132" s="202"/>
      <c r="SFJ132" s="202"/>
      <c r="SFK132" s="202"/>
      <c r="SFL132" s="202"/>
      <c r="SFM132" s="202"/>
      <c r="SFN132" s="202"/>
      <c r="SFO132" s="202"/>
      <c r="SFP132" s="202"/>
      <c r="SFQ132" s="202"/>
      <c r="SFR132" s="202"/>
      <c r="SFS132" s="202"/>
      <c r="SFT132" s="202"/>
      <c r="SFU132" s="202"/>
      <c r="SFV132" s="202"/>
      <c r="SFW132" s="202"/>
      <c r="SFX132" s="202"/>
      <c r="SFY132" s="202"/>
      <c r="SFZ132" s="202"/>
      <c r="SGA132" s="202"/>
      <c r="SGB132" s="202"/>
      <c r="SGC132" s="202"/>
      <c r="SGD132" s="202"/>
      <c r="SGE132" s="202"/>
      <c r="SGF132" s="202"/>
      <c r="SGG132" s="202"/>
      <c r="SGH132" s="202"/>
      <c r="SGI132" s="202"/>
      <c r="SGJ132" s="202"/>
      <c r="SGK132" s="202"/>
      <c r="SGL132" s="202"/>
      <c r="SGM132" s="202"/>
      <c r="SGN132" s="202"/>
      <c r="SGO132" s="202"/>
      <c r="SGP132" s="202"/>
      <c r="SGQ132" s="202"/>
      <c r="SGR132" s="202"/>
      <c r="SGS132" s="202"/>
      <c r="SGT132" s="202"/>
      <c r="SGU132" s="202"/>
      <c r="SGV132" s="202"/>
      <c r="SGW132" s="202"/>
      <c r="SGX132" s="202"/>
      <c r="SGY132" s="202"/>
      <c r="SGZ132" s="202"/>
      <c r="SHA132" s="202"/>
      <c r="SHB132" s="202"/>
      <c r="SHC132" s="202"/>
      <c r="SHD132" s="202"/>
      <c r="SHE132" s="202"/>
      <c r="SHF132" s="202"/>
      <c r="SHG132" s="202"/>
      <c r="SHH132" s="202"/>
      <c r="SHI132" s="202"/>
      <c r="SHJ132" s="202"/>
      <c r="SHK132" s="202"/>
      <c r="SHL132" s="202"/>
      <c r="SHM132" s="202"/>
      <c r="SHN132" s="202"/>
      <c r="SHO132" s="202"/>
      <c r="SHP132" s="202"/>
      <c r="SHQ132" s="202"/>
      <c r="SHR132" s="202"/>
      <c r="SHS132" s="202"/>
      <c r="SHT132" s="202"/>
      <c r="SHU132" s="202"/>
      <c r="SHV132" s="202"/>
      <c r="SHW132" s="202"/>
      <c r="SHX132" s="202"/>
      <c r="SHY132" s="202"/>
      <c r="SHZ132" s="202"/>
      <c r="SIA132" s="202"/>
      <c r="SIB132" s="202"/>
      <c r="SIC132" s="202"/>
      <c r="SID132" s="202"/>
      <c r="SIE132" s="202"/>
      <c r="SIF132" s="202"/>
      <c r="SIG132" s="202"/>
      <c r="SIH132" s="202"/>
      <c r="SII132" s="202"/>
      <c r="SIJ132" s="202"/>
      <c r="SIK132" s="202"/>
      <c r="SIL132" s="202"/>
      <c r="SIM132" s="202"/>
      <c r="SIN132" s="202"/>
      <c r="SIO132" s="202"/>
      <c r="SIP132" s="202"/>
      <c r="SIQ132" s="202"/>
      <c r="SIR132" s="202"/>
      <c r="SIS132" s="202"/>
      <c r="SIT132" s="202"/>
      <c r="SIU132" s="202"/>
      <c r="SIV132" s="202"/>
      <c r="SIW132" s="202"/>
      <c r="SIX132" s="202"/>
      <c r="SIY132" s="202"/>
      <c r="SIZ132" s="202"/>
      <c r="SJA132" s="202"/>
      <c r="SJB132" s="202"/>
      <c r="SJC132" s="202"/>
      <c r="SJD132" s="202"/>
      <c r="SJE132" s="202"/>
      <c r="SJF132" s="202"/>
      <c r="SJG132" s="202"/>
      <c r="SJH132" s="202"/>
      <c r="SJI132" s="202"/>
      <c r="SJJ132" s="202"/>
      <c r="SJK132" s="202"/>
      <c r="SJL132" s="202"/>
      <c r="SJM132" s="202"/>
      <c r="SJN132" s="202"/>
      <c r="SJO132" s="202"/>
      <c r="SJP132" s="202"/>
      <c r="SJQ132" s="202"/>
      <c r="SJR132" s="202"/>
      <c r="SJS132" s="202"/>
      <c r="SJT132" s="202"/>
      <c r="SJU132" s="202"/>
      <c r="SJV132" s="202"/>
      <c r="SJW132" s="202"/>
      <c r="SJX132" s="202"/>
      <c r="SJY132" s="202"/>
      <c r="SJZ132" s="202"/>
      <c r="SKA132" s="202"/>
      <c r="SKB132" s="202"/>
      <c r="SKC132" s="202"/>
      <c r="SKD132" s="202"/>
      <c r="SKE132" s="202"/>
      <c r="SKF132" s="202"/>
      <c r="SKG132" s="202"/>
      <c r="SKH132" s="202"/>
      <c r="SKI132" s="202"/>
      <c r="SKJ132" s="202"/>
      <c r="SKK132" s="202"/>
      <c r="SKL132" s="202"/>
      <c r="SKM132" s="202"/>
      <c r="SKN132" s="202"/>
      <c r="SKO132" s="202"/>
      <c r="SKP132" s="202"/>
      <c r="SKQ132" s="202"/>
      <c r="SKR132" s="202"/>
      <c r="SKS132" s="202"/>
      <c r="SKT132" s="202"/>
      <c r="SKU132" s="202"/>
      <c r="SKV132" s="202"/>
      <c r="SKW132" s="202"/>
      <c r="SKX132" s="202"/>
      <c r="SKY132" s="202"/>
      <c r="SKZ132" s="202"/>
      <c r="SLA132" s="202"/>
      <c r="SLB132" s="202"/>
      <c r="SLC132" s="202"/>
      <c r="SLD132" s="202"/>
      <c r="SLE132" s="202"/>
      <c r="SLF132" s="202"/>
      <c r="SLG132" s="202"/>
      <c r="SLH132" s="202"/>
      <c r="SLI132" s="202"/>
      <c r="SLJ132" s="202"/>
      <c r="SLK132" s="202"/>
      <c r="SLL132" s="202"/>
      <c r="SLM132" s="202"/>
      <c r="SLN132" s="202"/>
      <c r="SLO132" s="202"/>
      <c r="SLP132" s="202"/>
      <c r="SLQ132" s="202"/>
      <c r="SLR132" s="202"/>
      <c r="SLS132" s="202"/>
      <c r="SLT132" s="202"/>
      <c r="SLU132" s="202"/>
      <c r="SLV132" s="202"/>
      <c r="SLW132" s="202"/>
      <c r="SLX132" s="202"/>
      <c r="SLY132" s="202"/>
      <c r="SLZ132" s="202"/>
      <c r="SMA132" s="202"/>
      <c r="SMB132" s="202"/>
      <c r="SMC132" s="202"/>
      <c r="SMD132" s="202"/>
      <c r="SME132" s="202"/>
      <c r="SMF132" s="202"/>
      <c r="SMG132" s="202"/>
      <c r="SMH132" s="202"/>
      <c r="SMI132" s="202"/>
      <c r="SMJ132" s="202"/>
      <c r="SMK132" s="202"/>
      <c r="SML132" s="202"/>
      <c r="SMM132" s="202"/>
      <c r="SMN132" s="202"/>
      <c r="SMO132" s="202"/>
      <c r="SMP132" s="202"/>
      <c r="SMQ132" s="202"/>
      <c r="SMR132" s="202"/>
      <c r="SMS132" s="202"/>
      <c r="SMT132" s="202"/>
      <c r="SMU132" s="202"/>
      <c r="SMV132" s="202"/>
      <c r="SMW132" s="202"/>
      <c r="SMX132" s="202"/>
      <c r="SMY132" s="202"/>
      <c r="SMZ132" s="202"/>
      <c r="SNA132" s="202"/>
      <c r="SNB132" s="202"/>
      <c r="SNC132" s="202"/>
      <c r="SND132" s="202"/>
      <c r="SNE132" s="202"/>
      <c r="SNF132" s="202"/>
      <c r="SNG132" s="202"/>
      <c r="SNH132" s="202"/>
      <c r="SNI132" s="202"/>
      <c r="SNJ132" s="202"/>
      <c r="SNK132" s="202"/>
      <c r="SNL132" s="202"/>
      <c r="SNM132" s="202"/>
      <c r="SNN132" s="202"/>
      <c r="SNO132" s="202"/>
      <c r="SNP132" s="202"/>
      <c r="SNQ132" s="202"/>
      <c r="SNR132" s="202"/>
      <c r="SNS132" s="202"/>
      <c r="SNT132" s="202"/>
      <c r="SNU132" s="202"/>
      <c r="SNV132" s="202"/>
      <c r="SNW132" s="202"/>
      <c r="SNX132" s="202"/>
      <c r="SNY132" s="202"/>
      <c r="SNZ132" s="202"/>
      <c r="SOA132" s="202"/>
      <c r="SOB132" s="202"/>
      <c r="SOC132" s="202"/>
      <c r="SOD132" s="202"/>
      <c r="SOE132" s="202"/>
      <c r="SOF132" s="202"/>
      <c r="SOG132" s="202"/>
      <c r="SOH132" s="202"/>
      <c r="SOI132" s="202"/>
      <c r="SOJ132" s="202"/>
      <c r="SOK132" s="202"/>
      <c r="SOL132" s="202"/>
      <c r="SOM132" s="202"/>
      <c r="SON132" s="202"/>
      <c r="SOO132" s="202"/>
      <c r="SOP132" s="202"/>
      <c r="SOQ132" s="202"/>
      <c r="SOR132" s="202"/>
      <c r="SOS132" s="202"/>
      <c r="SOT132" s="202"/>
      <c r="SOU132" s="202"/>
      <c r="SOV132" s="202"/>
      <c r="SOW132" s="202"/>
      <c r="SOX132" s="202"/>
      <c r="SOY132" s="202"/>
      <c r="SOZ132" s="202"/>
      <c r="SPA132" s="202"/>
      <c r="SPB132" s="202"/>
      <c r="SPC132" s="202"/>
      <c r="SPD132" s="202"/>
      <c r="SPE132" s="202"/>
      <c r="SPF132" s="202"/>
      <c r="SPG132" s="202"/>
      <c r="SPH132" s="202"/>
      <c r="SPI132" s="202"/>
      <c r="SPJ132" s="202"/>
      <c r="SPK132" s="202"/>
      <c r="SPL132" s="202"/>
      <c r="SPM132" s="202"/>
      <c r="SPN132" s="202"/>
      <c r="SPO132" s="202"/>
      <c r="SPP132" s="202"/>
      <c r="SPQ132" s="202"/>
      <c r="SPR132" s="202"/>
      <c r="SPS132" s="202"/>
      <c r="SPT132" s="202"/>
      <c r="SPU132" s="202"/>
      <c r="SPV132" s="202"/>
      <c r="SPW132" s="202"/>
      <c r="SPX132" s="202"/>
      <c r="SPY132" s="202"/>
      <c r="SPZ132" s="202"/>
      <c r="SQA132" s="202"/>
      <c r="SQB132" s="202"/>
      <c r="SQC132" s="202"/>
      <c r="SQD132" s="202"/>
      <c r="SQE132" s="202"/>
      <c r="SQF132" s="202"/>
      <c r="SQG132" s="202"/>
      <c r="SQH132" s="202"/>
      <c r="SQI132" s="202"/>
      <c r="SQJ132" s="202"/>
      <c r="SQK132" s="202"/>
      <c r="SQL132" s="202"/>
      <c r="SQM132" s="202"/>
      <c r="SQN132" s="202"/>
      <c r="SQO132" s="202"/>
      <c r="SQP132" s="202"/>
      <c r="SQQ132" s="202"/>
      <c r="SQR132" s="202"/>
      <c r="SQS132" s="202"/>
      <c r="SQT132" s="202"/>
      <c r="SQU132" s="202"/>
      <c r="SQV132" s="202"/>
      <c r="SQW132" s="202"/>
      <c r="SQX132" s="202"/>
      <c r="SQY132" s="202"/>
      <c r="SQZ132" s="202"/>
      <c r="SRA132" s="202"/>
      <c r="SRB132" s="202"/>
      <c r="SRC132" s="202"/>
      <c r="SRD132" s="202"/>
      <c r="SRE132" s="202"/>
      <c r="SRF132" s="202"/>
      <c r="SRG132" s="202"/>
      <c r="SRH132" s="202"/>
      <c r="SRI132" s="202"/>
      <c r="SRJ132" s="202"/>
      <c r="SRK132" s="202"/>
      <c r="SRL132" s="202"/>
      <c r="SRM132" s="202"/>
      <c r="SRN132" s="202"/>
      <c r="SRO132" s="202"/>
      <c r="SRP132" s="202"/>
      <c r="SRQ132" s="202"/>
      <c r="SRR132" s="202"/>
      <c r="SRS132" s="202"/>
      <c r="SRT132" s="202"/>
      <c r="SRU132" s="202"/>
      <c r="SRV132" s="202"/>
      <c r="SRW132" s="202"/>
      <c r="SRX132" s="202"/>
      <c r="SRY132" s="202"/>
      <c r="SRZ132" s="202"/>
      <c r="SSA132" s="202"/>
      <c r="SSB132" s="202"/>
      <c r="SSC132" s="202"/>
      <c r="SSD132" s="202"/>
      <c r="SSE132" s="202"/>
      <c r="SSF132" s="202"/>
      <c r="SSG132" s="202"/>
      <c r="SSH132" s="202"/>
      <c r="SSI132" s="202"/>
      <c r="SSJ132" s="202"/>
      <c r="SSK132" s="202"/>
      <c r="SSL132" s="202"/>
      <c r="SSM132" s="202"/>
      <c r="SSN132" s="202"/>
      <c r="SSO132" s="202"/>
      <c r="SSP132" s="202"/>
      <c r="SSQ132" s="202"/>
      <c r="SSR132" s="202"/>
      <c r="SSS132" s="202"/>
      <c r="SST132" s="202"/>
      <c r="SSU132" s="202"/>
      <c r="SSV132" s="202"/>
      <c r="SSW132" s="202"/>
      <c r="SSX132" s="202"/>
      <c r="SSY132" s="202"/>
      <c r="SSZ132" s="202"/>
      <c r="STA132" s="202"/>
      <c r="STB132" s="202"/>
      <c r="STC132" s="202"/>
      <c r="STD132" s="202"/>
      <c r="STE132" s="202"/>
      <c r="STF132" s="202"/>
      <c r="STG132" s="202"/>
      <c r="STH132" s="202"/>
      <c r="STI132" s="202"/>
      <c r="STJ132" s="202"/>
      <c r="STK132" s="202"/>
      <c r="STL132" s="202"/>
      <c r="STM132" s="202"/>
      <c r="STN132" s="202"/>
      <c r="STO132" s="202"/>
      <c r="STP132" s="202"/>
      <c r="STQ132" s="202"/>
      <c r="STR132" s="202"/>
      <c r="STS132" s="202"/>
      <c r="STT132" s="202"/>
      <c r="STU132" s="202"/>
      <c r="STV132" s="202"/>
      <c r="STW132" s="202"/>
      <c r="STX132" s="202"/>
      <c r="STY132" s="202"/>
      <c r="STZ132" s="202"/>
      <c r="SUA132" s="202"/>
      <c r="SUB132" s="202"/>
      <c r="SUC132" s="202"/>
      <c r="SUD132" s="202"/>
      <c r="SUE132" s="202"/>
      <c r="SUF132" s="202"/>
      <c r="SUG132" s="202"/>
      <c r="SUH132" s="202"/>
      <c r="SUI132" s="202"/>
      <c r="SUJ132" s="202"/>
      <c r="SUK132" s="202"/>
      <c r="SUL132" s="202"/>
      <c r="SUM132" s="202"/>
      <c r="SUN132" s="202"/>
      <c r="SUO132" s="202"/>
      <c r="SUP132" s="202"/>
      <c r="SUQ132" s="202"/>
      <c r="SUR132" s="202"/>
      <c r="SUS132" s="202"/>
      <c r="SUT132" s="202"/>
      <c r="SUU132" s="202"/>
      <c r="SUV132" s="202"/>
      <c r="SUW132" s="202"/>
      <c r="SUX132" s="202"/>
      <c r="SUY132" s="202"/>
      <c r="SUZ132" s="202"/>
      <c r="SVA132" s="202"/>
      <c r="SVB132" s="202"/>
      <c r="SVC132" s="202"/>
      <c r="SVD132" s="202"/>
      <c r="SVE132" s="202"/>
      <c r="SVF132" s="202"/>
      <c r="SVG132" s="202"/>
      <c r="SVH132" s="202"/>
      <c r="SVI132" s="202"/>
      <c r="SVJ132" s="202"/>
      <c r="SVK132" s="202"/>
      <c r="SVL132" s="202"/>
      <c r="SVM132" s="202"/>
      <c r="SVN132" s="202"/>
      <c r="SVO132" s="202"/>
      <c r="SVP132" s="202"/>
      <c r="SVQ132" s="202"/>
      <c r="SVR132" s="202"/>
      <c r="SVS132" s="202"/>
      <c r="SVT132" s="202"/>
      <c r="SVU132" s="202"/>
      <c r="SVV132" s="202"/>
      <c r="SVW132" s="202"/>
      <c r="SVX132" s="202"/>
      <c r="SVY132" s="202"/>
      <c r="SVZ132" s="202"/>
      <c r="SWA132" s="202"/>
      <c r="SWB132" s="202"/>
      <c r="SWC132" s="202"/>
      <c r="SWD132" s="202"/>
      <c r="SWE132" s="202"/>
      <c r="SWF132" s="202"/>
      <c r="SWG132" s="202"/>
      <c r="SWH132" s="202"/>
      <c r="SWI132" s="202"/>
      <c r="SWJ132" s="202"/>
      <c r="SWK132" s="202"/>
      <c r="SWL132" s="202"/>
      <c r="SWM132" s="202"/>
      <c r="SWN132" s="202"/>
      <c r="SWO132" s="202"/>
      <c r="SWP132" s="202"/>
      <c r="SWQ132" s="202"/>
      <c r="SWR132" s="202"/>
      <c r="SWS132" s="202"/>
      <c r="SWT132" s="202"/>
      <c r="SWU132" s="202"/>
      <c r="SWV132" s="202"/>
      <c r="SWW132" s="202"/>
      <c r="SWX132" s="202"/>
      <c r="SWY132" s="202"/>
      <c r="SWZ132" s="202"/>
      <c r="SXA132" s="202"/>
      <c r="SXB132" s="202"/>
      <c r="SXC132" s="202"/>
      <c r="SXD132" s="202"/>
      <c r="SXE132" s="202"/>
      <c r="SXF132" s="202"/>
      <c r="SXG132" s="202"/>
      <c r="SXH132" s="202"/>
      <c r="SXI132" s="202"/>
      <c r="SXJ132" s="202"/>
      <c r="SXK132" s="202"/>
      <c r="SXL132" s="202"/>
      <c r="SXM132" s="202"/>
      <c r="SXN132" s="202"/>
      <c r="SXO132" s="202"/>
      <c r="SXP132" s="202"/>
      <c r="SXQ132" s="202"/>
      <c r="SXR132" s="202"/>
      <c r="SXS132" s="202"/>
      <c r="SXT132" s="202"/>
      <c r="SXU132" s="202"/>
      <c r="SXV132" s="202"/>
      <c r="SXW132" s="202"/>
      <c r="SXX132" s="202"/>
      <c r="SXY132" s="202"/>
      <c r="SXZ132" s="202"/>
      <c r="SYA132" s="202"/>
      <c r="SYB132" s="202"/>
      <c r="SYC132" s="202"/>
      <c r="SYD132" s="202"/>
      <c r="SYE132" s="202"/>
      <c r="SYF132" s="202"/>
      <c r="SYG132" s="202"/>
      <c r="SYH132" s="202"/>
      <c r="SYI132" s="202"/>
      <c r="SYJ132" s="202"/>
      <c r="SYK132" s="202"/>
      <c r="SYL132" s="202"/>
      <c r="SYM132" s="202"/>
      <c r="SYN132" s="202"/>
      <c r="SYO132" s="202"/>
      <c r="SYP132" s="202"/>
      <c r="SYQ132" s="202"/>
      <c r="SYR132" s="202"/>
      <c r="SYS132" s="202"/>
      <c r="SYT132" s="202"/>
      <c r="SYU132" s="202"/>
      <c r="SYV132" s="202"/>
      <c r="SYW132" s="202"/>
      <c r="SYX132" s="202"/>
      <c r="SYY132" s="202"/>
      <c r="SYZ132" s="202"/>
      <c r="SZA132" s="202"/>
      <c r="SZB132" s="202"/>
      <c r="SZC132" s="202"/>
      <c r="SZD132" s="202"/>
      <c r="SZE132" s="202"/>
      <c r="SZF132" s="202"/>
      <c r="SZG132" s="202"/>
      <c r="SZH132" s="202"/>
      <c r="SZI132" s="202"/>
      <c r="SZJ132" s="202"/>
      <c r="SZK132" s="202"/>
      <c r="SZL132" s="202"/>
      <c r="SZM132" s="202"/>
      <c r="SZN132" s="202"/>
      <c r="SZO132" s="202"/>
      <c r="SZP132" s="202"/>
      <c r="SZQ132" s="202"/>
      <c r="SZR132" s="202"/>
      <c r="SZS132" s="202"/>
      <c r="SZT132" s="202"/>
      <c r="SZU132" s="202"/>
      <c r="SZV132" s="202"/>
      <c r="SZW132" s="202"/>
      <c r="SZX132" s="202"/>
      <c r="SZY132" s="202"/>
      <c r="SZZ132" s="202"/>
      <c r="TAA132" s="202"/>
      <c r="TAB132" s="202"/>
      <c r="TAC132" s="202"/>
      <c r="TAD132" s="202"/>
      <c r="TAE132" s="202"/>
      <c r="TAF132" s="202"/>
      <c r="TAG132" s="202"/>
      <c r="TAH132" s="202"/>
      <c r="TAI132" s="202"/>
      <c r="TAJ132" s="202"/>
      <c r="TAK132" s="202"/>
      <c r="TAL132" s="202"/>
      <c r="TAM132" s="202"/>
      <c r="TAN132" s="202"/>
      <c r="TAO132" s="202"/>
      <c r="TAP132" s="202"/>
      <c r="TAQ132" s="202"/>
      <c r="TAR132" s="202"/>
      <c r="TAS132" s="202"/>
      <c r="TAT132" s="202"/>
      <c r="TAU132" s="202"/>
      <c r="TAV132" s="202"/>
      <c r="TAW132" s="202"/>
      <c r="TAX132" s="202"/>
      <c r="TAY132" s="202"/>
      <c r="TAZ132" s="202"/>
      <c r="TBA132" s="202"/>
      <c r="TBB132" s="202"/>
      <c r="TBC132" s="202"/>
      <c r="TBD132" s="202"/>
      <c r="TBE132" s="202"/>
      <c r="TBF132" s="202"/>
      <c r="TBG132" s="202"/>
      <c r="TBH132" s="202"/>
      <c r="TBI132" s="202"/>
      <c r="TBJ132" s="202"/>
      <c r="TBK132" s="202"/>
      <c r="TBL132" s="202"/>
      <c r="TBM132" s="202"/>
      <c r="TBN132" s="202"/>
      <c r="TBO132" s="202"/>
      <c r="TBP132" s="202"/>
      <c r="TBQ132" s="202"/>
      <c r="TBR132" s="202"/>
      <c r="TBS132" s="202"/>
      <c r="TBT132" s="202"/>
      <c r="TBU132" s="202"/>
      <c r="TBV132" s="202"/>
      <c r="TBW132" s="202"/>
      <c r="TBX132" s="202"/>
      <c r="TBY132" s="202"/>
      <c r="TBZ132" s="202"/>
      <c r="TCA132" s="202"/>
      <c r="TCB132" s="202"/>
      <c r="TCC132" s="202"/>
      <c r="TCD132" s="202"/>
      <c r="TCE132" s="202"/>
      <c r="TCF132" s="202"/>
      <c r="TCG132" s="202"/>
      <c r="TCH132" s="202"/>
      <c r="TCI132" s="202"/>
      <c r="TCJ132" s="202"/>
      <c r="TCK132" s="202"/>
      <c r="TCL132" s="202"/>
      <c r="TCM132" s="202"/>
      <c r="TCN132" s="202"/>
      <c r="TCO132" s="202"/>
      <c r="TCP132" s="202"/>
      <c r="TCQ132" s="202"/>
      <c r="TCR132" s="202"/>
      <c r="TCS132" s="202"/>
      <c r="TCT132" s="202"/>
      <c r="TCU132" s="202"/>
      <c r="TCV132" s="202"/>
      <c r="TCW132" s="202"/>
      <c r="TCX132" s="202"/>
      <c r="TCY132" s="202"/>
      <c r="TCZ132" s="202"/>
      <c r="TDA132" s="202"/>
      <c r="TDB132" s="202"/>
      <c r="TDC132" s="202"/>
      <c r="TDD132" s="202"/>
      <c r="TDE132" s="202"/>
      <c r="TDF132" s="202"/>
      <c r="TDG132" s="202"/>
      <c r="TDH132" s="202"/>
      <c r="TDI132" s="202"/>
      <c r="TDJ132" s="202"/>
      <c r="TDK132" s="202"/>
      <c r="TDL132" s="202"/>
      <c r="TDM132" s="202"/>
      <c r="TDN132" s="202"/>
      <c r="TDO132" s="202"/>
      <c r="TDP132" s="202"/>
      <c r="TDQ132" s="202"/>
      <c r="TDR132" s="202"/>
      <c r="TDS132" s="202"/>
      <c r="TDT132" s="202"/>
      <c r="TDU132" s="202"/>
      <c r="TDV132" s="202"/>
      <c r="TDW132" s="202"/>
      <c r="TDX132" s="202"/>
      <c r="TDY132" s="202"/>
      <c r="TDZ132" s="202"/>
      <c r="TEA132" s="202"/>
      <c r="TEB132" s="202"/>
      <c r="TEC132" s="202"/>
      <c r="TED132" s="202"/>
      <c r="TEE132" s="202"/>
      <c r="TEF132" s="202"/>
      <c r="TEG132" s="202"/>
      <c r="TEH132" s="202"/>
      <c r="TEI132" s="202"/>
      <c r="TEJ132" s="202"/>
      <c r="TEK132" s="202"/>
      <c r="TEL132" s="202"/>
      <c r="TEM132" s="202"/>
      <c r="TEN132" s="202"/>
      <c r="TEO132" s="202"/>
      <c r="TEP132" s="202"/>
      <c r="TEQ132" s="202"/>
      <c r="TER132" s="202"/>
      <c r="TES132" s="202"/>
      <c r="TET132" s="202"/>
      <c r="TEU132" s="202"/>
      <c r="TEV132" s="202"/>
      <c r="TEW132" s="202"/>
      <c r="TEX132" s="202"/>
      <c r="TEY132" s="202"/>
      <c r="TEZ132" s="202"/>
      <c r="TFA132" s="202"/>
      <c r="TFB132" s="202"/>
      <c r="TFC132" s="202"/>
      <c r="TFD132" s="202"/>
      <c r="TFE132" s="202"/>
      <c r="TFF132" s="202"/>
      <c r="TFG132" s="202"/>
      <c r="TFH132" s="202"/>
      <c r="TFI132" s="202"/>
      <c r="TFJ132" s="202"/>
      <c r="TFK132" s="202"/>
      <c r="TFL132" s="202"/>
      <c r="TFM132" s="202"/>
      <c r="TFN132" s="202"/>
      <c r="TFO132" s="202"/>
      <c r="TFP132" s="202"/>
      <c r="TFQ132" s="202"/>
      <c r="TFR132" s="202"/>
      <c r="TFS132" s="202"/>
      <c r="TFT132" s="202"/>
      <c r="TFU132" s="202"/>
      <c r="TFV132" s="202"/>
      <c r="TFW132" s="202"/>
      <c r="TFX132" s="202"/>
      <c r="TFY132" s="202"/>
      <c r="TFZ132" s="202"/>
      <c r="TGA132" s="202"/>
      <c r="TGB132" s="202"/>
      <c r="TGC132" s="202"/>
      <c r="TGD132" s="202"/>
      <c r="TGE132" s="202"/>
      <c r="TGF132" s="202"/>
      <c r="TGG132" s="202"/>
      <c r="TGH132" s="202"/>
      <c r="TGI132" s="202"/>
      <c r="TGJ132" s="202"/>
      <c r="TGK132" s="202"/>
      <c r="TGL132" s="202"/>
      <c r="TGM132" s="202"/>
      <c r="TGN132" s="202"/>
      <c r="TGO132" s="202"/>
      <c r="TGP132" s="202"/>
      <c r="TGQ132" s="202"/>
      <c r="TGR132" s="202"/>
      <c r="TGS132" s="202"/>
      <c r="TGT132" s="202"/>
      <c r="TGU132" s="202"/>
      <c r="TGV132" s="202"/>
      <c r="TGW132" s="202"/>
      <c r="TGX132" s="202"/>
      <c r="TGY132" s="202"/>
      <c r="TGZ132" s="202"/>
      <c r="THA132" s="202"/>
      <c r="THB132" s="202"/>
      <c r="THC132" s="202"/>
      <c r="THD132" s="202"/>
      <c r="THE132" s="202"/>
      <c r="THF132" s="202"/>
      <c r="THG132" s="202"/>
      <c r="THH132" s="202"/>
      <c r="THI132" s="202"/>
      <c r="THJ132" s="202"/>
      <c r="THK132" s="202"/>
      <c r="THL132" s="202"/>
      <c r="THM132" s="202"/>
      <c r="THN132" s="202"/>
      <c r="THO132" s="202"/>
      <c r="THP132" s="202"/>
      <c r="THQ132" s="202"/>
      <c r="THR132" s="202"/>
      <c r="THS132" s="202"/>
      <c r="THT132" s="202"/>
      <c r="THU132" s="202"/>
      <c r="THV132" s="202"/>
      <c r="THW132" s="202"/>
      <c r="THX132" s="202"/>
      <c r="THY132" s="202"/>
      <c r="THZ132" s="202"/>
      <c r="TIA132" s="202"/>
      <c r="TIB132" s="202"/>
      <c r="TIC132" s="202"/>
      <c r="TID132" s="202"/>
      <c r="TIE132" s="202"/>
      <c r="TIF132" s="202"/>
      <c r="TIG132" s="202"/>
      <c r="TIH132" s="202"/>
      <c r="TII132" s="202"/>
      <c r="TIJ132" s="202"/>
      <c r="TIK132" s="202"/>
      <c r="TIL132" s="202"/>
      <c r="TIM132" s="202"/>
      <c r="TIN132" s="202"/>
      <c r="TIO132" s="202"/>
      <c r="TIP132" s="202"/>
      <c r="TIQ132" s="202"/>
      <c r="TIR132" s="202"/>
      <c r="TIS132" s="202"/>
      <c r="TIT132" s="202"/>
      <c r="TIU132" s="202"/>
      <c r="TIV132" s="202"/>
      <c r="TIW132" s="202"/>
      <c r="TIX132" s="202"/>
      <c r="TIY132" s="202"/>
      <c r="TIZ132" s="202"/>
      <c r="TJA132" s="202"/>
      <c r="TJB132" s="202"/>
      <c r="TJC132" s="202"/>
      <c r="TJD132" s="202"/>
      <c r="TJE132" s="202"/>
      <c r="TJF132" s="202"/>
      <c r="TJG132" s="202"/>
      <c r="TJH132" s="202"/>
      <c r="TJI132" s="202"/>
      <c r="TJJ132" s="202"/>
      <c r="TJK132" s="202"/>
      <c r="TJL132" s="202"/>
      <c r="TJM132" s="202"/>
      <c r="TJN132" s="202"/>
      <c r="TJO132" s="202"/>
      <c r="TJP132" s="202"/>
      <c r="TJQ132" s="202"/>
      <c r="TJR132" s="202"/>
      <c r="TJS132" s="202"/>
      <c r="TJT132" s="202"/>
      <c r="TJU132" s="202"/>
      <c r="TJV132" s="202"/>
      <c r="TJW132" s="202"/>
      <c r="TJX132" s="202"/>
      <c r="TJY132" s="202"/>
      <c r="TJZ132" s="202"/>
      <c r="TKA132" s="202"/>
      <c r="TKB132" s="202"/>
      <c r="TKC132" s="202"/>
      <c r="TKD132" s="202"/>
      <c r="TKE132" s="202"/>
      <c r="TKF132" s="202"/>
      <c r="TKG132" s="202"/>
      <c r="TKH132" s="202"/>
      <c r="TKI132" s="202"/>
      <c r="TKJ132" s="202"/>
      <c r="TKK132" s="202"/>
      <c r="TKL132" s="202"/>
      <c r="TKM132" s="202"/>
      <c r="TKN132" s="202"/>
      <c r="TKO132" s="202"/>
      <c r="TKP132" s="202"/>
      <c r="TKQ132" s="202"/>
      <c r="TKR132" s="202"/>
      <c r="TKS132" s="202"/>
      <c r="TKT132" s="202"/>
      <c r="TKU132" s="202"/>
      <c r="TKV132" s="202"/>
      <c r="TKW132" s="202"/>
      <c r="TKX132" s="202"/>
      <c r="TKY132" s="202"/>
      <c r="TKZ132" s="202"/>
      <c r="TLA132" s="202"/>
      <c r="TLB132" s="202"/>
      <c r="TLC132" s="202"/>
      <c r="TLD132" s="202"/>
      <c r="TLE132" s="202"/>
      <c r="TLF132" s="202"/>
      <c r="TLG132" s="202"/>
      <c r="TLH132" s="202"/>
      <c r="TLI132" s="202"/>
      <c r="TLJ132" s="202"/>
      <c r="TLK132" s="202"/>
      <c r="TLL132" s="202"/>
      <c r="TLM132" s="202"/>
      <c r="TLN132" s="202"/>
      <c r="TLO132" s="202"/>
      <c r="TLP132" s="202"/>
      <c r="TLQ132" s="202"/>
      <c r="TLR132" s="202"/>
      <c r="TLS132" s="202"/>
      <c r="TLT132" s="202"/>
      <c r="TLU132" s="202"/>
      <c r="TLV132" s="202"/>
      <c r="TLW132" s="202"/>
      <c r="TLX132" s="202"/>
      <c r="TLY132" s="202"/>
      <c r="TLZ132" s="202"/>
      <c r="TMA132" s="202"/>
      <c r="TMB132" s="202"/>
      <c r="TMC132" s="202"/>
      <c r="TMD132" s="202"/>
      <c r="TME132" s="202"/>
      <c r="TMF132" s="202"/>
      <c r="TMG132" s="202"/>
      <c r="TMH132" s="202"/>
      <c r="TMI132" s="202"/>
      <c r="TMJ132" s="202"/>
      <c r="TMK132" s="202"/>
      <c r="TML132" s="202"/>
      <c r="TMM132" s="202"/>
      <c r="TMN132" s="202"/>
      <c r="TMO132" s="202"/>
      <c r="TMP132" s="202"/>
      <c r="TMQ132" s="202"/>
      <c r="TMR132" s="202"/>
      <c r="TMS132" s="202"/>
      <c r="TMT132" s="202"/>
      <c r="TMU132" s="202"/>
      <c r="TMV132" s="202"/>
      <c r="TMW132" s="202"/>
      <c r="TMX132" s="202"/>
      <c r="TMY132" s="202"/>
      <c r="TMZ132" s="202"/>
      <c r="TNA132" s="202"/>
      <c r="TNB132" s="202"/>
      <c r="TNC132" s="202"/>
      <c r="TND132" s="202"/>
      <c r="TNE132" s="202"/>
      <c r="TNF132" s="202"/>
      <c r="TNG132" s="202"/>
      <c r="TNH132" s="202"/>
      <c r="TNI132" s="202"/>
      <c r="TNJ132" s="202"/>
      <c r="TNK132" s="202"/>
      <c r="TNL132" s="202"/>
      <c r="TNM132" s="202"/>
      <c r="TNN132" s="202"/>
      <c r="TNO132" s="202"/>
      <c r="TNP132" s="202"/>
      <c r="TNQ132" s="202"/>
      <c r="TNR132" s="202"/>
      <c r="TNS132" s="202"/>
      <c r="TNT132" s="202"/>
      <c r="TNU132" s="202"/>
      <c r="TNV132" s="202"/>
      <c r="TNW132" s="202"/>
      <c r="TNX132" s="202"/>
      <c r="TNY132" s="202"/>
      <c r="TNZ132" s="202"/>
      <c r="TOA132" s="202"/>
      <c r="TOB132" s="202"/>
      <c r="TOC132" s="202"/>
      <c r="TOD132" s="202"/>
      <c r="TOE132" s="202"/>
      <c r="TOF132" s="202"/>
      <c r="TOG132" s="202"/>
      <c r="TOH132" s="202"/>
      <c r="TOI132" s="202"/>
      <c r="TOJ132" s="202"/>
      <c r="TOK132" s="202"/>
      <c r="TOL132" s="202"/>
      <c r="TOM132" s="202"/>
      <c r="TON132" s="202"/>
      <c r="TOO132" s="202"/>
      <c r="TOP132" s="202"/>
      <c r="TOQ132" s="202"/>
      <c r="TOR132" s="202"/>
      <c r="TOS132" s="202"/>
      <c r="TOT132" s="202"/>
      <c r="TOU132" s="202"/>
      <c r="TOV132" s="202"/>
      <c r="TOW132" s="202"/>
      <c r="TOX132" s="202"/>
      <c r="TOY132" s="202"/>
      <c r="TOZ132" s="202"/>
      <c r="TPA132" s="202"/>
      <c r="TPB132" s="202"/>
      <c r="TPC132" s="202"/>
      <c r="TPD132" s="202"/>
      <c r="TPE132" s="202"/>
      <c r="TPF132" s="202"/>
      <c r="TPG132" s="202"/>
      <c r="TPH132" s="202"/>
      <c r="TPI132" s="202"/>
      <c r="TPJ132" s="202"/>
      <c r="TPK132" s="202"/>
      <c r="TPL132" s="202"/>
      <c r="TPM132" s="202"/>
      <c r="TPN132" s="202"/>
      <c r="TPO132" s="202"/>
      <c r="TPP132" s="202"/>
      <c r="TPQ132" s="202"/>
      <c r="TPR132" s="202"/>
      <c r="TPS132" s="202"/>
      <c r="TPT132" s="202"/>
      <c r="TPU132" s="202"/>
      <c r="TPV132" s="202"/>
      <c r="TPW132" s="202"/>
      <c r="TPX132" s="202"/>
      <c r="TPY132" s="202"/>
      <c r="TPZ132" s="202"/>
      <c r="TQA132" s="202"/>
      <c r="TQB132" s="202"/>
      <c r="TQC132" s="202"/>
      <c r="TQD132" s="202"/>
      <c r="TQE132" s="202"/>
      <c r="TQF132" s="202"/>
      <c r="TQG132" s="202"/>
      <c r="TQH132" s="202"/>
      <c r="TQI132" s="202"/>
      <c r="TQJ132" s="202"/>
      <c r="TQK132" s="202"/>
      <c r="TQL132" s="202"/>
      <c r="TQM132" s="202"/>
      <c r="TQN132" s="202"/>
      <c r="TQO132" s="202"/>
      <c r="TQP132" s="202"/>
      <c r="TQQ132" s="202"/>
      <c r="TQR132" s="202"/>
      <c r="TQS132" s="202"/>
      <c r="TQT132" s="202"/>
      <c r="TQU132" s="202"/>
      <c r="TQV132" s="202"/>
      <c r="TQW132" s="202"/>
      <c r="TQX132" s="202"/>
      <c r="TQY132" s="202"/>
      <c r="TQZ132" s="202"/>
      <c r="TRA132" s="202"/>
      <c r="TRB132" s="202"/>
      <c r="TRC132" s="202"/>
      <c r="TRD132" s="202"/>
      <c r="TRE132" s="202"/>
      <c r="TRF132" s="202"/>
      <c r="TRG132" s="202"/>
      <c r="TRH132" s="202"/>
      <c r="TRI132" s="202"/>
      <c r="TRJ132" s="202"/>
      <c r="TRK132" s="202"/>
      <c r="TRL132" s="202"/>
      <c r="TRM132" s="202"/>
      <c r="TRN132" s="202"/>
      <c r="TRO132" s="202"/>
      <c r="TRP132" s="202"/>
      <c r="TRQ132" s="202"/>
      <c r="TRR132" s="202"/>
      <c r="TRS132" s="202"/>
      <c r="TRT132" s="202"/>
      <c r="TRU132" s="202"/>
      <c r="TRV132" s="202"/>
      <c r="TRW132" s="202"/>
      <c r="TRX132" s="202"/>
      <c r="TRY132" s="202"/>
      <c r="TRZ132" s="202"/>
      <c r="TSA132" s="202"/>
      <c r="TSB132" s="202"/>
      <c r="TSC132" s="202"/>
      <c r="TSD132" s="202"/>
      <c r="TSE132" s="202"/>
      <c r="TSF132" s="202"/>
      <c r="TSG132" s="202"/>
      <c r="TSH132" s="202"/>
      <c r="TSI132" s="202"/>
      <c r="TSJ132" s="202"/>
      <c r="TSK132" s="202"/>
      <c r="TSL132" s="202"/>
      <c r="TSM132" s="202"/>
      <c r="TSN132" s="202"/>
      <c r="TSO132" s="202"/>
      <c r="TSP132" s="202"/>
      <c r="TSQ132" s="202"/>
      <c r="TSR132" s="202"/>
      <c r="TSS132" s="202"/>
      <c r="TST132" s="202"/>
      <c r="TSU132" s="202"/>
      <c r="TSV132" s="202"/>
      <c r="TSW132" s="202"/>
      <c r="TSX132" s="202"/>
      <c r="TSY132" s="202"/>
      <c r="TSZ132" s="202"/>
      <c r="TTA132" s="202"/>
      <c r="TTB132" s="202"/>
      <c r="TTC132" s="202"/>
      <c r="TTD132" s="202"/>
      <c r="TTE132" s="202"/>
      <c r="TTF132" s="202"/>
      <c r="TTG132" s="202"/>
      <c r="TTH132" s="202"/>
      <c r="TTI132" s="202"/>
      <c r="TTJ132" s="202"/>
      <c r="TTK132" s="202"/>
      <c r="TTL132" s="202"/>
      <c r="TTM132" s="202"/>
      <c r="TTN132" s="202"/>
      <c r="TTO132" s="202"/>
      <c r="TTP132" s="202"/>
      <c r="TTQ132" s="202"/>
      <c r="TTR132" s="202"/>
      <c r="TTS132" s="202"/>
      <c r="TTT132" s="202"/>
      <c r="TTU132" s="202"/>
      <c r="TTV132" s="202"/>
      <c r="TTW132" s="202"/>
      <c r="TTX132" s="202"/>
      <c r="TTY132" s="202"/>
      <c r="TTZ132" s="202"/>
      <c r="TUA132" s="202"/>
      <c r="TUB132" s="202"/>
      <c r="TUC132" s="202"/>
      <c r="TUD132" s="202"/>
      <c r="TUE132" s="202"/>
      <c r="TUF132" s="202"/>
      <c r="TUG132" s="202"/>
      <c r="TUH132" s="202"/>
      <c r="TUI132" s="202"/>
      <c r="TUJ132" s="202"/>
      <c r="TUK132" s="202"/>
      <c r="TUL132" s="202"/>
      <c r="TUM132" s="202"/>
      <c r="TUN132" s="202"/>
      <c r="TUO132" s="202"/>
      <c r="TUP132" s="202"/>
      <c r="TUQ132" s="202"/>
      <c r="TUR132" s="202"/>
      <c r="TUS132" s="202"/>
      <c r="TUT132" s="202"/>
      <c r="TUU132" s="202"/>
      <c r="TUV132" s="202"/>
      <c r="TUW132" s="202"/>
      <c r="TUX132" s="202"/>
      <c r="TUY132" s="202"/>
      <c r="TUZ132" s="202"/>
      <c r="TVA132" s="202"/>
      <c r="TVB132" s="202"/>
      <c r="TVC132" s="202"/>
      <c r="TVD132" s="202"/>
      <c r="TVE132" s="202"/>
      <c r="TVF132" s="202"/>
      <c r="TVG132" s="202"/>
      <c r="TVH132" s="202"/>
      <c r="TVI132" s="202"/>
      <c r="TVJ132" s="202"/>
      <c r="TVK132" s="202"/>
      <c r="TVL132" s="202"/>
      <c r="TVM132" s="202"/>
      <c r="TVN132" s="202"/>
      <c r="TVO132" s="202"/>
      <c r="TVP132" s="202"/>
      <c r="TVQ132" s="202"/>
      <c r="TVR132" s="202"/>
      <c r="TVS132" s="202"/>
      <c r="TVT132" s="202"/>
      <c r="TVU132" s="202"/>
      <c r="TVV132" s="202"/>
      <c r="TVW132" s="202"/>
      <c r="TVX132" s="202"/>
      <c r="TVY132" s="202"/>
      <c r="TVZ132" s="202"/>
      <c r="TWA132" s="202"/>
      <c r="TWB132" s="202"/>
      <c r="TWC132" s="202"/>
      <c r="TWD132" s="202"/>
      <c r="TWE132" s="202"/>
      <c r="TWF132" s="202"/>
      <c r="TWG132" s="202"/>
      <c r="TWH132" s="202"/>
      <c r="TWI132" s="202"/>
      <c r="TWJ132" s="202"/>
      <c r="TWK132" s="202"/>
      <c r="TWL132" s="202"/>
      <c r="TWM132" s="202"/>
      <c r="TWN132" s="202"/>
      <c r="TWO132" s="202"/>
      <c r="TWP132" s="202"/>
      <c r="TWQ132" s="202"/>
      <c r="TWR132" s="202"/>
      <c r="TWS132" s="202"/>
      <c r="TWT132" s="202"/>
      <c r="TWU132" s="202"/>
      <c r="TWV132" s="202"/>
      <c r="TWW132" s="202"/>
      <c r="TWX132" s="202"/>
      <c r="TWY132" s="202"/>
      <c r="TWZ132" s="202"/>
      <c r="TXA132" s="202"/>
      <c r="TXB132" s="202"/>
      <c r="TXC132" s="202"/>
      <c r="TXD132" s="202"/>
      <c r="TXE132" s="202"/>
      <c r="TXF132" s="202"/>
      <c r="TXG132" s="202"/>
      <c r="TXH132" s="202"/>
      <c r="TXI132" s="202"/>
      <c r="TXJ132" s="202"/>
      <c r="TXK132" s="202"/>
      <c r="TXL132" s="202"/>
      <c r="TXM132" s="202"/>
      <c r="TXN132" s="202"/>
      <c r="TXO132" s="202"/>
      <c r="TXP132" s="202"/>
      <c r="TXQ132" s="202"/>
      <c r="TXR132" s="202"/>
      <c r="TXS132" s="202"/>
      <c r="TXT132" s="202"/>
      <c r="TXU132" s="202"/>
      <c r="TXV132" s="202"/>
      <c r="TXW132" s="202"/>
      <c r="TXX132" s="202"/>
      <c r="TXY132" s="202"/>
      <c r="TXZ132" s="202"/>
      <c r="TYA132" s="202"/>
      <c r="TYB132" s="202"/>
      <c r="TYC132" s="202"/>
      <c r="TYD132" s="202"/>
      <c r="TYE132" s="202"/>
      <c r="TYF132" s="202"/>
      <c r="TYG132" s="202"/>
      <c r="TYH132" s="202"/>
      <c r="TYI132" s="202"/>
      <c r="TYJ132" s="202"/>
      <c r="TYK132" s="202"/>
      <c r="TYL132" s="202"/>
      <c r="TYM132" s="202"/>
      <c r="TYN132" s="202"/>
      <c r="TYO132" s="202"/>
      <c r="TYP132" s="202"/>
      <c r="TYQ132" s="202"/>
      <c r="TYR132" s="202"/>
      <c r="TYS132" s="202"/>
      <c r="TYT132" s="202"/>
      <c r="TYU132" s="202"/>
      <c r="TYV132" s="202"/>
      <c r="TYW132" s="202"/>
      <c r="TYX132" s="202"/>
      <c r="TYY132" s="202"/>
      <c r="TYZ132" s="202"/>
      <c r="TZA132" s="202"/>
      <c r="TZB132" s="202"/>
      <c r="TZC132" s="202"/>
      <c r="TZD132" s="202"/>
      <c r="TZE132" s="202"/>
      <c r="TZF132" s="202"/>
      <c r="TZG132" s="202"/>
      <c r="TZH132" s="202"/>
      <c r="TZI132" s="202"/>
      <c r="TZJ132" s="202"/>
      <c r="TZK132" s="202"/>
      <c r="TZL132" s="202"/>
      <c r="TZM132" s="202"/>
      <c r="TZN132" s="202"/>
      <c r="TZO132" s="202"/>
      <c r="TZP132" s="202"/>
      <c r="TZQ132" s="202"/>
      <c r="TZR132" s="202"/>
      <c r="TZS132" s="202"/>
      <c r="TZT132" s="202"/>
      <c r="TZU132" s="202"/>
      <c r="TZV132" s="202"/>
      <c r="TZW132" s="202"/>
      <c r="TZX132" s="202"/>
      <c r="TZY132" s="202"/>
      <c r="TZZ132" s="202"/>
      <c r="UAA132" s="202"/>
      <c r="UAB132" s="202"/>
      <c r="UAC132" s="202"/>
      <c r="UAD132" s="202"/>
      <c r="UAE132" s="202"/>
      <c r="UAF132" s="202"/>
      <c r="UAG132" s="202"/>
      <c r="UAH132" s="202"/>
      <c r="UAI132" s="202"/>
      <c r="UAJ132" s="202"/>
      <c r="UAK132" s="202"/>
      <c r="UAL132" s="202"/>
      <c r="UAM132" s="202"/>
      <c r="UAN132" s="202"/>
      <c r="UAO132" s="202"/>
      <c r="UAP132" s="202"/>
      <c r="UAQ132" s="202"/>
      <c r="UAR132" s="202"/>
      <c r="UAS132" s="202"/>
      <c r="UAT132" s="202"/>
      <c r="UAU132" s="202"/>
      <c r="UAV132" s="202"/>
      <c r="UAW132" s="202"/>
      <c r="UAX132" s="202"/>
      <c r="UAY132" s="202"/>
      <c r="UAZ132" s="202"/>
      <c r="UBA132" s="202"/>
      <c r="UBB132" s="202"/>
      <c r="UBC132" s="202"/>
      <c r="UBD132" s="202"/>
      <c r="UBE132" s="202"/>
      <c r="UBF132" s="202"/>
      <c r="UBG132" s="202"/>
      <c r="UBH132" s="202"/>
      <c r="UBI132" s="202"/>
      <c r="UBJ132" s="202"/>
      <c r="UBK132" s="202"/>
      <c r="UBL132" s="202"/>
      <c r="UBM132" s="202"/>
      <c r="UBN132" s="202"/>
      <c r="UBO132" s="202"/>
      <c r="UBP132" s="202"/>
      <c r="UBQ132" s="202"/>
      <c r="UBR132" s="202"/>
      <c r="UBS132" s="202"/>
      <c r="UBT132" s="202"/>
      <c r="UBU132" s="202"/>
      <c r="UBV132" s="202"/>
      <c r="UBW132" s="202"/>
      <c r="UBX132" s="202"/>
      <c r="UBY132" s="202"/>
      <c r="UBZ132" s="202"/>
      <c r="UCA132" s="202"/>
      <c r="UCB132" s="202"/>
      <c r="UCC132" s="202"/>
      <c r="UCD132" s="202"/>
      <c r="UCE132" s="202"/>
      <c r="UCF132" s="202"/>
      <c r="UCG132" s="202"/>
      <c r="UCH132" s="202"/>
      <c r="UCI132" s="202"/>
      <c r="UCJ132" s="202"/>
      <c r="UCK132" s="202"/>
      <c r="UCL132" s="202"/>
      <c r="UCM132" s="202"/>
      <c r="UCN132" s="202"/>
      <c r="UCO132" s="202"/>
      <c r="UCP132" s="202"/>
      <c r="UCQ132" s="202"/>
      <c r="UCR132" s="202"/>
      <c r="UCS132" s="202"/>
      <c r="UCT132" s="202"/>
      <c r="UCU132" s="202"/>
      <c r="UCV132" s="202"/>
      <c r="UCW132" s="202"/>
      <c r="UCX132" s="202"/>
      <c r="UCY132" s="202"/>
      <c r="UCZ132" s="202"/>
      <c r="UDA132" s="202"/>
      <c r="UDB132" s="202"/>
      <c r="UDC132" s="202"/>
      <c r="UDD132" s="202"/>
      <c r="UDE132" s="202"/>
      <c r="UDF132" s="202"/>
      <c r="UDG132" s="202"/>
      <c r="UDH132" s="202"/>
      <c r="UDI132" s="202"/>
      <c r="UDJ132" s="202"/>
      <c r="UDK132" s="202"/>
      <c r="UDL132" s="202"/>
      <c r="UDM132" s="202"/>
      <c r="UDN132" s="202"/>
      <c r="UDO132" s="202"/>
      <c r="UDP132" s="202"/>
      <c r="UDQ132" s="202"/>
      <c r="UDR132" s="202"/>
      <c r="UDS132" s="202"/>
      <c r="UDT132" s="202"/>
      <c r="UDU132" s="202"/>
      <c r="UDV132" s="202"/>
      <c r="UDW132" s="202"/>
      <c r="UDX132" s="202"/>
      <c r="UDY132" s="202"/>
      <c r="UDZ132" s="202"/>
      <c r="UEA132" s="202"/>
      <c r="UEB132" s="202"/>
      <c r="UEC132" s="202"/>
      <c r="UED132" s="202"/>
      <c r="UEE132" s="202"/>
      <c r="UEF132" s="202"/>
      <c r="UEG132" s="202"/>
      <c r="UEH132" s="202"/>
      <c r="UEI132" s="202"/>
      <c r="UEJ132" s="202"/>
      <c r="UEK132" s="202"/>
      <c r="UEL132" s="202"/>
      <c r="UEM132" s="202"/>
      <c r="UEN132" s="202"/>
      <c r="UEO132" s="202"/>
      <c r="UEP132" s="202"/>
      <c r="UEQ132" s="202"/>
      <c r="UER132" s="202"/>
      <c r="UES132" s="202"/>
      <c r="UET132" s="202"/>
      <c r="UEU132" s="202"/>
      <c r="UEV132" s="202"/>
      <c r="UEW132" s="202"/>
      <c r="UEX132" s="202"/>
      <c r="UEY132" s="202"/>
      <c r="UEZ132" s="202"/>
      <c r="UFA132" s="202"/>
      <c r="UFB132" s="202"/>
      <c r="UFC132" s="202"/>
      <c r="UFD132" s="202"/>
      <c r="UFE132" s="202"/>
      <c r="UFF132" s="202"/>
      <c r="UFG132" s="202"/>
      <c r="UFH132" s="202"/>
      <c r="UFI132" s="202"/>
      <c r="UFJ132" s="202"/>
      <c r="UFK132" s="202"/>
      <c r="UFL132" s="202"/>
      <c r="UFM132" s="202"/>
      <c r="UFN132" s="202"/>
      <c r="UFO132" s="202"/>
      <c r="UFP132" s="202"/>
      <c r="UFQ132" s="202"/>
      <c r="UFR132" s="202"/>
      <c r="UFS132" s="202"/>
      <c r="UFT132" s="202"/>
      <c r="UFU132" s="202"/>
      <c r="UFV132" s="202"/>
      <c r="UFW132" s="202"/>
      <c r="UFX132" s="202"/>
      <c r="UFY132" s="202"/>
      <c r="UFZ132" s="202"/>
      <c r="UGA132" s="202"/>
      <c r="UGB132" s="202"/>
      <c r="UGC132" s="202"/>
      <c r="UGD132" s="202"/>
      <c r="UGE132" s="202"/>
      <c r="UGF132" s="202"/>
      <c r="UGG132" s="202"/>
      <c r="UGH132" s="202"/>
      <c r="UGI132" s="202"/>
      <c r="UGJ132" s="202"/>
      <c r="UGK132" s="202"/>
      <c r="UGL132" s="202"/>
      <c r="UGM132" s="202"/>
      <c r="UGN132" s="202"/>
      <c r="UGO132" s="202"/>
      <c r="UGP132" s="202"/>
      <c r="UGQ132" s="202"/>
      <c r="UGR132" s="202"/>
      <c r="UGS132" s="202"/>
      <c r="UGT132" s="202"/>
      <c r="UGU132" s="202"/>
      <c r="UGV132" s="202"/>
      <c r="UGW132" s="202"/>
      <c r="UGX132" s="202"/>
      <c r="UGY132" s="202"/>
      <c r="UGZ132" s="202"/>
      <c r="UHA132" s="202"/>
      <c r="UHB132" s="202"/>
      <c r="UHC132" s="202"/>
      <c r="UHD132" s="202"/>
      <c r="UHE132" s="202"/>
      <c r="UHF132" s="202"/>
      <c r="UHG132" s="202"/>
      <c r="UHH132" s="202"/>
      <c r="UHI132" s="202"/>
      <c r="UHJ132" s="202"/>
      <c r="UHK132" s="202"/>
      <c r="UHL132" s="202"/>
      <c r="UHM132" s="202"/>
      <c r="UHN132" s="202"/>
      <c r="UHO132" s="202"/>
      <c r="UHP132" s="202"/>
      <c r="UHQ132" s="202"/>
      <c r="UHR132" s="202"/>
      <c r="UHS132" s="202"/>
      <c r="UHT132" s="202"/>
      <c r="UHU132" s="202"/>
      <c r="UHV132" s="202"/>
      <c r="UHW132" s="202"/>
      <c r="UHX132" s="202"/>
      <c r="UHY132" s="202"/>
      <c r="UHZ132" s="202"/>
      <c r="UIA132" s="202"/>
      <c r="UIB132" s="202"/>
      <c r="UIC132" s="202"/>
      <c r="UID132" s="202"/>
      <c r="UIE132" s="202"/>
      <c r="UIF132" s="202"/>
      <c r="UIG132" s="202"/>
      <c r="UIH132" s="202"/>
      <c r="UII132" s="202"/>
      <c r="UIJ132" s="202"/>
      <c r="UIK132" s="202"/>
      <c r="UIL132" s="202"/>
      <c r="UIM132" s="202"/>
      <c r="UIN132" s="202"/>
      <c r="UIO132" s="202"/>
      <c r="UIP132" s="202"/>
      <c r="UIQ132" s="202"/>
      <c r="UIR132" s="202"/>
      <c r="UIS132" s="202"/>
      <c r="UIT132" s="202"/>
      <c r="UIU132" s="202"/>
      <c r="UIV132" s="202"/>
      <c r="UIW132" s="202"/>
      <c r="UIX132" s="202"/>
      <c r="UIY132" s="202"/>
      <c r="UIZ132" s="202"/>
      <c r="UJA132" s="202"/>
      <c r="UJB132" s="202"/>
      <c r="UJC132" s="202"/>
      <c r="UJD132" s="202"/>
      <c r="UJE132" s="202"/>
      <c r="UJF132" s="202"/>
      <c r="UJG132" s="202"/>
      <c r="UJH132" s="202"/>
      <c r="UJI132" s="202"/>
      <c r="UJJ132" s="202"/>
      <c r="UJK132" s="202"/>
      <c r="UJL132" s="202"/>
      <c r="UJM132" s="202"/>
      <c r="UJN132" s="202"/>
      <c r="UJO132" s="202"/>
      <c r="UJP132" s="202"/>
      <c r="UJQ132" s="202"/>
      <c r="UJR132" s="202"/>
      <c r="UJS132" s="202"/>
      <c r="UJT132" s="202"/>
      <c r="UJU132" s="202"/>
      <c r="UJV132" s="202"/>
      <c r="UJW132" s="202"/>
      <c r="UJX132" s="202"/>
      <c r="UJY132" s="202"/>
      <c r="UJZ132" s="202"/>
      <c r="UKA132" s="202"/>
      <c r="UKB132" s="202"/>
      <c r="UKC132" s="202"/>
      <c r="UKD132" s="202"/>
      <c r="UKE132" s="202"/>
      <c r="UKF132" s="202"/>
      <c r="UKG132" s="202"/>
      <c r="UKH132" s="202"/>
      <c r="UKI132" s="202"/>
      <c r="UKJ132" s="202"/>
      <c r="UKK132" s="202"/>
      <c r="UKL132" s="202"/>
      <c r="UKM132" s="202"/>
      <c r="UKN132" s="202"/>
      <c r="UKO132" s="202"/>
      <c r="UKP132" s="202"/>
      <c r="UKQ132" s="202"/>
      <c r="UKR132" s="202"/>
      <c r="UKS132" s="202"/>
      <c r="UKT132" s="202"/>
      <c r="UKU132" s="202"/>
      <c r="UKV132" s="202"/>
      <c r="UKW132" s="202"/>
      <c r="UKX132" s="202"/>
      <c r="UKY132" s="202"/>
      <c r="UKZ132" s="202"/>
      <c r="ULA132" s="202"/>
      <c r="ULB132" s="202"/>
      <c r="ULC132" s="202"/>
      <c r="ULD132" s="202"/>
      <c r="ULE132" s="202"/>
      <c r="ULF132" s="202"/>
      <c r="ULG132" s="202"/>
      <c r="ULH132" s="202"/>
      <c r="ULI132" s="202"/>
      <c r="ULJ132" s="202"/>
      <c r="ULK132" s="202"/>
      <c r="ULL132" s="202"/>
      <c r="ULM132" s="202"/>
      <c r="ULN132" s="202"/>
      <c r="ULO132" s="202"/>
      <c r="ULP132" s="202"/>
      <c r="ULQ132" s="202"/>
      <c r="ULR132" s="202"/>
      <c r="ULS132" s="202"/>
      <c r="ULT132" s="202"/>
      <c r="ULU132" s="202"/>
      <c r="ULV132" s="202"/>
      <c r="ULW132" s="202"/>
      <c r="ULX132" s="202"/>
      <c r="ULY132" s="202"/>
      <c r="ULZ132" s="202"/>
      <c r="UMA132" s="202"/>
      <c r="UMB132" s="202"/>
      <c r="UMC132" s="202"/>
      <c r="UMD132" s="202"/>
      <c r="UME132" s="202"/>
      <c r="UMF132" s="202"/>
      <c r="UMG132" s="202"/>
      <c r="UMH132" s="202"/>
      <c r="UMI132" s="202"/>
      <c r="UMJ132" s="202"/>
      <c r="UMK132" s="202"/>
      <c r="UML132" s="202"/>
      <c r="UMM132" s="202"/>
      <c r="UMN132" s="202"/>
      <c r="UMO132" s="202"/>
      <c r="UMP132" s="202"/>
      <c r="UMQ132" s="202"/>
      <c r="UMR132" s="202"/>
      <c r="UMS132" s="202"/>
      <c r="UMT132" s="202"/>
      <c r="UMU132" s="202"/>
      <c r="UMV132" s="202"/>
      <c r="UMW132" s="202"/>
      <c r="UMX132" s="202"/>
      <c r="UMY132" s="202"/>
      <c r="UMZ132" s="202"/>
      <c r="UNA132" s="202"/>
      <c r="UNB132" s="202"/>
      <c r="UNC132" s="202"/>
      <c r="UND132" s="202"/>
      <c r="UNE132" s="202"/>
      <c r="UNF132" s="202"/>
      <c r="UNG132" s="202"/>
      <c r="UNH132" s="202"/>
      <c r="UNI132" s="202"/>
      <c r="UNJ132" s="202"/>
      <c r="UNK132" s="202"/>
      <c r="UNL132" s="202"/>
      <c r="UNM132" s="202"/>
      <c r="UNN132" s="202"/>
      <c r="UNO132" s="202"/>
      <c r="UNP132" s="202"/>
      <c r="UNQ132" s="202"/>
      <c r="UNR132" s="202"/>
      <c r="UNS132" s="202"/>
      <c r="UNT132" s="202"/>
      <c r="UNU132" s="202"/>
      <c r="UNV132" s="202"/>
      <c r="UNW132" s="202"/>
      <c r="UNX132" s="202"/>
      <c r="UNY132" s="202"/>
      <c r="UNZ132" s="202"/>
      <c r="UOA132" s="202"/>
      <c r="UOB132" s="202"/>
      <c r="UOC132" s="202"/>
      <c r="UOD132" s="202"/>
      <c r="UOE132" s="202"/>
      <c r="UOF132" s="202"/>
      <c r="UOG132" s="202"/>
      <c r="UOH132" s="202"/>
      <c r="UOI132" s="202"/>
      <c r="UOJ132" s="202"/>
      <c r="UOK132" s="202"/>
      <c r="UOL132" s="202"/>
      <c r="UOM132" s="202"/>
      <c r="UON132" s="202"/>
      <c r="UOO132" s="202"/>
      <c r="UOP132" s="202"/>
      <c r="UOQ132" s="202"/>
      <c r="UOR132" s="202"/>
      <c r="UOS132" s="202"/>
      <c r="UOT132" s="202"/>
      <c r="UOU132" s="202"/>
      <c r="UOV132" s="202"/>
      <c r="UOW132" s="202"/>
      <c r="UOX132" s="202"/>
      <c r="UOY132" s="202"/>
      <c r="UOZ132" s="202"/>
      <c r="UPA132" s="202"/>
      <c r="UPB132" s="202"/>
      <c r="UPC132" s="202"/>
      <c r="UPD132" s="202"/>
      <c r="UPE132" s="202"/>
      <c r="UPF132" s="202"/>
      <c r="UPG132" s="202"/>
      <c r="UPH132" s="202"/>
      <c r="UPI132" s="202"/>
      <c r="UPJ132" s="202"/>
      <c r="UPK132" s="202"/>
      <c r="UPL132" s="202"/>
      <c r="UPM132" s="202"/>
      <c r="UPN132" s="202"/>
      <c r="UPO132" s="202"/>
      <c r="UPP132" s="202"/>
      <c r="UPQ132" s="202"/>
      <c r="UPR132" s="202"/>
      <c r="UPS132" s="202"/>
      <c r="UPT132" s="202"/>
      <c r="UPU132" s="202"/>
      <c r="UPV132" s="202"/>
      <c r="UPW132" s="202"/>
      <c r="UPX132" s="202"/>
      <c r="UPY132" s="202"/>
      <c r="UPZ132" s="202"/>
      <c r="UQA132" s="202"/>
      <c r="UQB132" s="202"/>
      <c r="UQC132" s="202"/>
      <c r="UQD132" s="202"/>
      <c r="UQE132" s="202"/>
      <c r="UQF132" s="202"/>
      <c r="UQG132" s="202"/>
      <c r="UQH132" s="202"/>
      <c r="UQI132" s="202"/>
      <c r="UQJ132" s="202"/>
      <c r="UQK132" s="202"/>
      <c r="UQL132" s="202"/>
      <c r="UQM132" s="202"/>
      <c r="UQN132" s="202"/>
      <c r="UQO132" s="202"/>
      <c r="UQP132" s="202"/>
      <c r="UQQ132" s="202"/>
      <c r="UQR132" s="202"/>
      <c r="UQS132" s="202"/>
      <c r="UQT132" s="202"/>
      <c r="UQU132" s="202"/>
      <c r="UQV132" s="202"/>
      <c r="UQW132" s="202"/>
      <c r="UQX132" s="202"/>
      <c r="UQY132" s="202"/>
      <c r="UQZ132" s="202"/>
      <c r="URA132" s="202"/>
      <c r="URB132" s="202"/>
      <c r="URC132" s="202"/>
      <c r="URD132" s="202"/>
      <c r="URE132" s="202"/>
      <c r="URF132" s="202"/>
      <c r="URG132" s="202"/>
      <c r="URH132" s="202"/>
      <c r="URI132" s="202"/>
      <c r="URJ132" s="202"/>
      <c r="URK132" s="202"/>
      <c r="URL132" s="202"/>
      <c r="URM132" s="202"/>
      <c r="URN132" s="202"/>
      <c r="URO132" s="202"/>
      <c r="URP132" s="202"/>
      <c r="URQ132" s="202"/>
      <c r="URR132" s="202"/>
      <c r="URS132" s="202"/>
      <c r="URT132" s="202"/>
      <c r="URU132" s="202"/>
      <c r="URV132" s="202"/>
      <c r="URW132" s="202"/>
      <c r="URX132" s="202"/>
      <c r="URY132" s="202"/>
      <c r="URZ132" s="202"/>
      <c r="USA132" s="202"/>
      <c r="USB132" s="202"/>
      <c r="USC132" s="202"/>
      <c r="USD132" s="202"/>
      <c r="USE132" s="202"/>
      <c r="USF132" s="202"/>
      <c r="USG132" s="202"/>
      <c r="USH132" s="202"/>
      <c r="USI132" s="202"/>
      <c r="USJ132" s="202"/>
      <c r="USK132" s="202"/>
      <c r="USL132" s="202"/>
      <c r="USM132" s="202"/>
      <c r="USN132" s="202"/>
      <c r="USO132" s="202"/>
      <c r="USP132" s="202"/>
      <c r="USQ132" s="202"/>
      <c r="USR132" s="202"/>
      <c r="USS132" s="202"/>
      <c r="UST132" s="202"/>
      <c r="USU132" s="202"/>
      <c r="USV132" s="202"/>
      <c r="USW132" s="202"/>
      <c r="USX132" s="202"/>
      <c r="USY132" s="202"/>
      <c r="USZ132" s="202"/>
      <c r="UTA132" s="202"/>
      <c r="UTB132" s="202"/>
      <c r="UTC132" s="202"/>
      <c r="UTD132" s="202"/>
      <c r="UTE132" s="202"/>
      <c r="UTF132" s="202"/>
      <c r="UTG132" s="202"/>
      <c r="UTH132" s="202"/>
      <c r="UTI132" s="202"/>
      <c r="UTJ132" s="202"/>
      <c r="UTK132" s="202"/>
      <c r="UTL132" s="202"/>
      <c r="UTM132" s="202"/>
      <c r="UTN132" s="202"/>
      <c r="UTO132" s="202"/>
      <c r="UTP132" s="202"/>
      <c r="UTQ132" s="202"/>
      <c r="UTR132" s="202"/>
      <c r="UTS132" s="202"/>
      <c r="UTT132" s="202"/>
      <c r="UTU132" s="202"/>
      <c r="UTV132" s="202"/>
      <c r="UTW132" s="202"/>
      <c r="UTX132" s="202"/>
      <c r="UTY132" s="202"/>
      <c r="UTZ132" s="202"/>
      <c r="UUA132" s="202"/>
      <c r="UUB132" s="202"/>
      <c r="UUC132" s="202"/>
      <c r="UUD132" s="202"/>
      <c r="UUE132" s="202"/>
      <c r="UUF132" s="202"/>
      <c r="UUG132" s="202"/>
      <c r="UUH132" s="202"/>
      <c r="UUI132" s="202"/>
      <c r="UUJ132" s="202"/>
      <c r="UUK132" s="202"/>
      <c r="UUL132" s="202"/>
      <c r="UUM132" s="202"/>
      <c r="UUN132" s="202"/>
      <c r="UUO132" s="202"/>
      <c r="UUP132" s="202"/>
      <c r="UUQ132" s="202"/>
      <c r="UUR132" s="202"/>
      <c r="UUS132" s="202"/>
      <c r="UUT132" s="202"/>
      <c r="UUU132" s="202"/>
      <c r="UUV132" s="202"/>
      <c r="UUW132" s="202"/>
      <c r="UUX132" s="202"/>
      <c r="UUY132" s="202"/>
      <c r="UUZ132" s="202"/>
      <c r="UVA132" s="202"/>
      <c r="UVB132" s="202"/>
      <c r="UVC132" s="202"/>
      <c r="UVD132" s="202"/>
      <c r="UVE132" s="202"/>
      <c r="UVF132" s="202"/>
      <c r="UVG132" s="202"/>
      <c r="UVH132" s="202"/>
      <c r="UVI132" s="202"/>
      <c r="UVJ132" s="202"/>
      <c r="UVK132" s="202"/>
      <c r="UVL132" s="202"/>
      <c r="UVM132" s="202"/>
      <c r="UVN132" s="202"/>
      <c r="UVO132" s="202"/>
      <c r="UVP132" s="202"/>
      <c r="UVQ132" s="202"/>
      <c r="UVR132" s="202"/>
      <c r="UVS132" s="202"/>
      <c r="UVT132" s="202"/>
      <c r="UVU132" s="202"/>
      <c r="UVV132" s="202"/>
      <c r="UVW132" s="202"/>
      <c r="UVX132" s="202"/>
      <c r="UVY132" s="202"/>
      <c r="UVZ132" s="202"/>
      <c r="UWA132" s="202"/>
      <c r="UWB132" s="202"/>
      <c r="UWC132" s="202"/>
      <c r="UWD132" s="202"/>
      <c r="UWE132" s="202"/>
      <c r="UWF132" s="202"/>
      <c r="UWG132" s="202"/>
      <c r="UWH132" s="202"/>
      <c r="UWI132" s="202"/>
      <c r="UWJ132" s="202"/>
      <c r="UWK132" s="202"/>
      <c r="UWL132" s="202"/>
      <c r="UWM132" s="202"/>
      <c r="UWN132" s="202"/>
      <c r="UWO132" s="202"/>
      <c r="UWP132" s="202"/>
      <c r="UWQ132" s="202"/>
      <c r="UWR132" s="202"/>
      <c r="UWS132" s="202"/>
      <c r="UWT132" s="202"/>
      <c r="UWU132" s="202"/>
      <c r="UWV132" s="202"/>
      <c r="UWW132" s="202"/>
      <c r="UWX132" s="202"/>
      <c r="UWY132" s="202"/>
      <c r="UWZ132" s="202"/>
      <c r="UXA132" s="202"/>
      <c r="UXB132" s="202"/>
      <c r="UXC132" s="202"/>
      <c r="UXD132" s="202"/>
      <c r="UXE132" s="202"/>
      <c r="UXF132" s="202"/>
      <c r="UXG132" s="202"/>
      <c r="UXH132" s="202"/>
      <c r="UXI132" s="202"/>
      <c r="UXJ132" s="202"/>
      <c r="UXK132" s="202"/>
      <c r="UXL132" s="202"/>
      <c r="UXM132" s="202"/>
      <c r="UXN132" s="202"/>
      <c r="UXO132" s="202"/>
      <c r="UXP132" s="202"/>
      <c r="UXQ132" s="202"/>
      <c r="UXR132" s="202"/>
      <c r="UXS132" s="202"/>
      <c r="UXT132" s="202"/>
      <c r="UXU132" s="202"/>
      <c r="UXV132" s="202"/>
      <c r="UXW132" s="202"/>
      <c r="UXX132" s="202"/>
      <c r="UXY132" s="202"/>
      <c r="UXZ132" s="202"/>
      <c r="UYA132" s="202"/>
      <c r="UYB132" s="202"/>
      <c r="UYC132" s="202"/>
      <c r="UYD132" s="202"/>
      <c r="UYE132" s="202"/>
      <c r="UYF132" s="202"/>
      <c r="UYG132" s="202"/>
      <c r="UYH132" s="202"/>
      <c r="UYI132" s="202"/>
      <c r="UYJ132" s="202"/>
      <c r="UYK132" s="202"/>
      <c r="UYL132" s="202"/>
      <c r="UYM132" s="202"/>
      <c r="UYN132" s="202"/>
      <c r="UYO132" s="202"/>
      <c r="UYP132" s="202"/>
      <c r="UYQ132" s="202"/>
      <c r="UYR132" s="202"/>
      <c r="UYS132" s="202"/>
      <c r="UYT132" s="202"/>
      <c r="UYU132" s="202"/>
      <c r="UYV132" s="202"/>
      <c r="UYW132" s="202"/>
      <c r="UYX132" s="202"/>
      <c r="UYY132" s="202"/>
      <c r="UYZ132" s="202"/>
      <c r="UZA132" s="202"/>
      <c r="UZB132" s="202"/>
      <c r="UZC132" s="202"/>
      <c r="UZD132" s="202"/>
      <c r="UZE132" s="202"/>
      <c r="UZF132" s="202"/>
      <c r="UZG132" s="202"/>
      <c r="UZH132" s="202"/>
      <c r="UZI132" s="202"/>
      <c r="UZJ132" s="202"/>
      <c r="UZK132" s="202"/>
      <c r="UZL132" s="202"/>
      <c r="UZM132" s="202"/>
      <c r="UZN132" s="202"/>
      <c r="UZO132" s="202"/>
      <c r="UZP132" s="202"/>
      <c r="UZQ132" s="202"/>
      <c r="UZR132" s="202"/>
      <c r="UZS132" s="202"/>
      <c r="UZT132" s="202"/>
      <c r="UZU132" s="202"/>
      <c r="UZV132" s="202"/>
      <c r="UZW132" s="202"/>
      <c r="UZX132" s="202"/>
      <c r="UZY132" s="202"/>
      <c r="UZZ132" s="202"/>
      <c r="VAA132" s="202"/>
      <c r="VAB132" s="202"/>
      <c r="VAC132" s="202"/>
      <c r="VAD132" s="202"/>
      <c r="VAE132" s="202"/>
      <c r="VAF132" s="202"/>
      <c r="VAG132" s="202"/>
      <c r="VAH132" s="202"/>
      <c r="VAI132" s="202"/>
      <c r="VAJ132" s="202"/>
      <c r="VAK132" s="202"/>
      <c r="VAL132" s="202"/>
      <c r="VAM132" s="202"/>
      <c r="VAN132" s="202"/>
      <c r="VAO132" s="202"/>
      <c r="VAP132" s="202"/>
      <c r="VAQ132" s="202"/>
      <c r="VAR132" s="202"/>
      <c r="VAS132" s="202"/>
      <c r="VAT132" s="202"/>
      <c r="VAU132" s="202"/>
      <c r="VAV132" s="202"/>
      <c r="VAW132" s="202"/>
      <c r="VAX132" s="202"/>
      <c r="VAY132" s="202"/>
      <c r="VAZ132" s="202"/>
      <c r="VBA132" s="202"/>
      <c r="VBB132" s="202"/>
      <c r="VBC132" s="202"/>
      <c r="VBD132" s="202"/>
      <c r="VBE132" s="202"/>
      <c r="VBF132" s="202"/>
      <c r="VBG132" s="202"/>
      <c r="VBH132" s="202"/>
      <c r="VBI132" s="202"/>
      <c r="VBJ132" s="202"/>
      <c r="VBK132" s="202"/>
      <c r="VBL132" s="202"/>
      <c r="VBM132" s="202"/>
      <c r="VBN132" s="202"/>
      <c r="VBO132" s="202"/>
      <c r="VBP132" s="202"/>
      <c r="VBQ132" s="202"/>
      <c r="VBR132" s="202"/>
      <c r="VBS132" s="202"/>
      <c r="VBT132" s="202"/>
      <c r="VBU132" s="202"/>
      <c r="VBV132" s="202"/>
      <c r="VBW132" s="202"/>
      <c r="VBX132" s="202"/>
      <c r="VBY132" s="202"/>
      <c r="VBZ132" s="202"/>
      <c r="VCA132" s="202"/>
      <c r="VCB132" s="202"/>
      <c r="VCC132" s="202"/>
      <c r="VCD132" s="202"/>
      <c r="VCE132" s="202"/>
      <c r="VCF132" s="202"/>
      <c r="VCG132" s="202"/>
      <c r="VCH132" s="202"/>
      <c r="VCI132" s="202"/>
      <c r="VCJ132" s="202"/>
      <c r="VCK132" s="202"/>
      <c r="VCL132" s="202"/>
      <c r="VCM132" s="202"/>
      <c r="VCN132" s="202"/>
      <c r="VCO132" s="202"/>
      <c r="VCP132" s="202"/>
      <c r="VCQ132" s="202"/>
      <c r="VCR132" s="202"/>
      <c r="VCS132" s="202"/>
      <c r="VCT132" s="202"/>
      <c r="VCU132" s="202"/>
      <c r="VCV132" s="202"/>
      <c r="VCW132" s="202"/>
      <c r="VCX132" s="202"/>
      <c r="VCY132" s="202"/>
      <c r="VCZ132" s="202"/>
      <c r="VDA132" s="202"/>
      <c r="VDB132" s="202"/>
      <c r="VDC132" s="202"/>
      <c r="VDD132" s="202"/>
      <c r="VDE132" s="202"/>
      <c r="VDF132" s="202"/>
      <c r="VDG132" s="202"/>
      <c r="VDH132" s="202"/>
      <c r="VDI132" s="202"/>
      <c r="VDJ132" s="202"/>
      <c r="VDK132" s="202"/>
      <c r="VDL132" s="202"/>
      <c r="VDM132" s="202"/>
      <c r="VDN132" s="202"/>
      <c r="VDO132" s="202"/>
      <c r="VDP132" s="202"/>
      <c r="VDQ132" s="202"/>
      <c r="VDR132" s="202"/>
      <c r="VDS132" s="202"/>
      <c r="VDT132" s="202"/>
      <c r="VDU132" s="202"/>
      <c r="VDV132" s="202"/>
      <c r="VDW132" s="202"/>
      <c r="VDX132" s="202"/>
      <c r="VDY132" s="202"/>
      <c r="VDZ132" s="202"/>
      <c r="VEA132" s="202"/>
      <c r="VEB132" s="202"/>
      <c r="VEC132" s="202"/>
      <c r="VED132" s="202"/>
      <c r="VEE132" s="202"/>
      <c r="VEF132" s="202"/>
      <c r="VEG132" s="202"/>
      <c r="VEH132" s="202"/>
      <c r="VEI132" s="202"/>
      <c r="VEJ132" s="202"/>
      <c r="VEK132" s="202"/>
      <c r="VEL132" s="202"/>
      <c r="VEM132" s="202"/>
      <c r="VEN132" s="202"/>
      <c r="VEO132" s="202"/>
      <c r="VEP132" s="202"/>
      <c r="VEQ132" s="202"/>
      <c r="VER132" s="202"/>
      <c r="VES132" s="202"/>
      <c r="VET132" s="202"/>
      <c r="VEU132" s="202"/>
      <c r="VEV132" s="202"/>
      <c r="VEW132" s="202"/>
      <c r="VEX132" s="202"/>
      <c r="VEY132" s="202"/>
      <c r="VEZ132" s="202"/>
      <c r="VFA132" s="202"/>
      <c r="VFB132" s="202"/>
      <c r="VFC132" s="202"/>
      <c r="VFD132" s="202"/>
      <c r="VFE132" s="202"/>
      <c r="VFF132" s="202"/>
      <c r="VFG132" s="202"/>
      <c r="VFH132" s="202"/>
      <c r="VFI132" s="202"/>
      <c r="VFJ132" s="202"/>
      <c r="VFK132" s="202"/>
      <c r="VFL132" s="202"/>
      <c r="VFM132" s="202"/>
      <c r="VFN132" s="202"/>
      <c r="VFO132" s="202"/>
      <c r="VFP132" s="202"/>
      <c r="VFQ132" s="202"/>
      <c r="VFR132" s="202"/>
      <c r="VFS132" s="202"/>
      <c r="VFT132" s="202"/>
      <c r="VFU132" s="202"/>
      <c r="VFV132" s="202"/>
      <c r="VFW132" s="202"/>
      <c r="VFX132" s="202"/>
      <c r="VFY132" s="202"/>
      <c r="VFZ132" s="202"/>
      <c r="VGA132" s="202"/>
      <c r="VGB132" s="202"/>
      <c r="VGC132" s="202"/>
      <c r="VGD132" s="202"/>
      <c r="VGE132" s="202"/>
      <c r="VGF132" s="202"/>
      <c r="VGG132" s="202"/>
      <c r="VGH132" s="202"/>
      <c r="VGI132" s="202"/>
      <c r="VGJ132" s="202"/>
      <c r="VGK132" s="202"/>
      <c r="VGL132" s="202"/>
      <c r="VGM132" s="202"/>
      <c r="VGN132" s="202"/>
      <c r="VGO132" s="202"/>
      <c r="VGP132" s="202"/>
      <c r="VGQ132" s="202"/>
      <c r="VGR132" s="202"/>
      <c r="VGS132" s="202"/>
      <c r="VGT132" s="202"/>
      <c r="VGU132" s="202"/>
      <c r="VGV132" s="202"/>
      <c r="VGW132" s="202"/>
      <c r="VGX132" s="202"/>
      <c r="VGY132" s="202"/>
      <c r="VGZ132" s="202"/>
      <c r="VHA132" s="202"/>
      <c r="VHB132" s="202"/>
      <c r="VHC132" s="202"/>
      <c r="VHD132" s="202"/>
      <c r="VHE132" s="202"/>
      <c r="VHF132" s="202"/>
      <c r="VHG132" s="202"/>
      <c r="VHH132" s="202"/>
      <c r="VHI132" s="202"/>
      <c r="VHJ132" s="202"/>
      <c r="VHK132" s="202"/>
      <c r="VHL132" s="202"/>
      <c r="VHM132" s="202"/>
      <c r="VHN132" s="202"/>
      <c r="VHO132" s="202"/>
      <c r="VHP132" s="202"/>
      <c r="VHQ132" s="202"/>
      <c r="VHR132" s="202"/>
      <c r="VHS132" s="202"/>
      <c r="VHT132" s="202"/>
      <c r="VHU132" s="202"/>
      <c r="VHV132" s="202"/>
      <c r="VHW132" s="202"/>
      <c r="VHX132" s="202"/>
      <c r="VHY132" s="202"/>
      <c r="VHZ132" s="202"/>
      <c r="VIA132" s="202"/>
      <c r="VIB132" s="202"/>
      <c r="VIC132" s="202"/>
      <c r="VID132" s="202"/>
      <c r="VIE132" s="202"/>
      <c r="VIF132" s="202"/>
      <c r="VIG132" s="202"/>
      <c r="VIH132" s="202"/>
      <c r="VII132" s="202"/>
      <c r="VIJ132" s="202"/>
      <c r="VIK132" s="202"/>
      <c r="VIL132" s="202"/>
      <c r="VIM132" s="202"/>
      <c r="VIN132" s="202"/>
      <c r="VIO132" s="202"/>
      <c r="VIP132" s="202"/>
      <c r="VIQ132" s="202"/>
      <c r="VIR132" s="202"/>
      <c r="VIS132" s="202"/>
      <c r="VIT132" s="202"/>
      <c r="VIU132" s="202"/>
      <c r="VIV132" s="202"/>
      <c r="VIW132" s="202"/>
      <c r="VIX132" s="202"/>
      <c r="VIY132" s="202"/>
      <c r="VIZ132" s="202"/>
      <c r="VJA132" s="202"/>
      <c r="VJB132" s="202"/>
      <c r="VJC132" s="202"/>
      <c r="VJD132" s="202"/>
      <c r="VJE132" s="202"/>
      <c r="VJF132" s="202"/>
      <c r="VJG132" s="202"/>
      <c r="VJH132" s="202"/>
      <c r="VJI132" s="202"/>
      <c r="VJJ132" s="202"/>
      <c r="VJK132" s="202"/>
      <c r="VJL132" s="202"/>
      <c r="VJM132" s="202"/>
      <c r="VJN132" s="202"/>
      <c r="VJO132" s="202"/>
      <c r="VJP132" s="202"/>
      <c r="VJQ132" s="202"/>
      <c r="VJR132" s="202"/>
      <c r="VJS132" s="202"/>
      <c r="VJT132" s="202"/>
      <c r="VJU132" s="202"/>
      <c r="VJV132" s="202"/>
      <c r="VJW132" s="202"/>
      <c r="VJX132" s="202"/>
      <c r="VJY132" s="202"/>
      <c r="VJZ132" s="202"/>
      <c r="VKA132" s="202"/>
      <c r="VKB132" s="202"/>
      <c r="VKC132" s="202"/>
      <c r="VKD132" s="202"/>
      <c r="VKE132" s="202"/>
      <c r="VKF132" s="202"/>
      <c r="VKG132" s="202"/>
      <c r="VKH132" s="202"/>
      <c r="VKI132" s="202"/>
      <c r="VKJ132" s="202"/>
      <c r="VKK132" s="202"/>
      <c r="VKL132" s="202"/>
      <c r="VKM132" s="202"/>
      <c r="VKN132" s="202"/>
      <c r="VKO132" s="202"/>
      <c r="VKP132" s="202"/>
      <c r="VKQ132" s="202"/>
      <c r="VKR132" s="202"/>
      <c r="VKS132" s="202"/>
      <c r="VKT132" s="202"/>
      <c r="VKU132" s="202"/>
      <c r="VKV132" s="202"/>
      <c r="VKW132" s="202"/>
      <c r="VKX132" s="202"/>
      <c r="VKY132" s="202"/>
      <c r="VKZ132" s="202"/>
      <c r="VLA132" s="202"/>
      <c r="VLB132" s="202"/>
      <c r="VLC132" s="202"/>
      <c r="VLD132" s="202"/>
      <c r="VLE132" s="202"/>
      <c r="VLF132" s="202"/>
      <c r="VLG132" s="202"/>
      <c r="VLH132" s="202"/>
      <c r="VLI132" s="202"/>
      <c r="VLJ132" s="202"/>
      <c r="VLK132" s="202"/>
      <c r="VLL132" s="202"/>
      <c r="VLM132" s="202"/>
      <c r="VLN132" s="202"/>
      <c r="VLO132" s="202"/>
      <c r="VLP132" s="202"/>
      <c r="VLQ132" s="202"/>
      <c r="VLR132" s="202"/>
      <c r="VLS132" s="202"/>
      <c r="VLT132" s="202"/>
      <c r="VLU132" s="202"/>
      <c r="VLV132" s="202"/>
      <c r="VLW132" s="202"/>
      <c r="VLX132" s="202"/>
      <c r="VLY132" s="202"/>
      <c r="VLZ132" s="202"/>
      <c r="VMA132" s="202"/>
      <c r="VMB132" s="202"/>
      <c r="VMC132" s="202"/>
      <c r="VMD132" s="202"/>
      <c r="VME132" s="202"/>
      <c r="VMF132" s="202"/>
      <c r="VMG132" s="202"/>
      <c r="VMH132" s="202"/>
      <c r="VMI132" s="202"/>
      <c r="VMJ132" s="202"/>
      <c r="VMK132" s="202"/>
      <c r="VML132" s="202"/>
      <c r="VMM132" s="202"/>
      <c r="VMN132" s="202"/>
      <c r="VMO132" s="202"/>
      <c r="VMP132" s="202"/>
      <c r="VMQ132" s="202"/>
      <c r="VMR132" s="202"/>
      <c r="VMS132" s="202"/>
      <c r="VMT132" s="202"/>
      <c r="VMU132" s="202"/>
      <c r="VMV132" s="202"/>
      <c r="VMW132" s="202"/>
      <c r="VMX132" s="202"/>
      <c r="VMY132" s="202"/>
      <c r="VMZ132" s="202"/>
      <c r="VNA132" s="202"/>
      <c r="VNB132" s="202"/>
      <c r="VNC132" s="202"/>
      <c r="VND132" s="202"/>
      <c r="VNE132" s="202"/>
      <c r="VNF132" s="202"/>
      <c r="VNG132" s="202"/>
      <c r="VNH132" s="202"/>
      <c r="VNI132" s="202"/>
      <c r="VNJ132" s="202"/>
      <c r="VNK132" s="202"/>
      <c r="VNL132" s="202"/>
      <c r="VNM132" s="202"/>
      <c r="VNN132" s="202"/>
      <c r="VNO132" s="202"/>
      <c r="VNP132" s="202"/>
      <c r="VNQ132" s="202"/>
      <c r="VNR132" s="202"/>
      <c r="VNS132" s="202"/>
      <c r="VNT132" s="202"/>
      <c r="VNU132" s="202"/>
      <c r="VNV132" s="202"/>
      <c r="VNW132" s="202"/>
      <c r="VNX132" s="202"/>
      <c r="VNY132" s="202"/>
      <c r="VNZ132" s="202"/>
      <c r="VOA132" s="202"/>
      <c r="VOB132" s="202"/>
      <c r="VOC132" s="202"/>
      <c r="VOD132" s="202"/>
      <c r="VOE132" s="202"/>
      <c r="VOF132" s="202"/>
      <c r="VOG132" s="202"/>
      <c r="VOH132" s="202"/>
      <c r="VOI132" s="202"/>
      <c r="VOJ132" s="202"/>
      <c r="VOK132" s="202"/>
      <c r="VOL132" s="202"/>
      <c r="VOM132" s="202"/>
      <c r="VON132" s="202"/>
      <c r="VOO132" s="202"/>
      <c r="VOP132" s="202"/>
      <c r="VOQ132" s="202"/>
      <c r="VOR132" s="202"/>
      <c r="VOS132" s="202"/>
      <c r="VOT132" s="202"/>
      <c r="VOU132" s="202"/>
      <c r="VOV132" s="202"/>
      <c r="VOW132" s="202"/>
      <c r="VOX132" s="202"/>
      <c r="VOY132" s="202"/>
      <c r="VOZ132" s="202"/>
      <c r="VPA132" s="202"/>
      <c r="VPB132" s="202"/>
      <c r="VPC132" s="202"/>
      <c r="VPD132" s="202"/>
      <c r="VPE132" s="202"/>
      <c r="VPF132" s="202"/>
      <c r="VPG132" s="202"/>
      <c r="VPH132" s="202"/>
      <c r="VPI132" s="202"/>
      <c r="VPJ132" s="202"/>
      <c r="VPK132" s="202"/>
      <c r="VPL132" s="202"/>
      <c r="VPM132" s="202"/>
      <c r="VPN132" s="202"/>
      <c r="VPO132" s="202"/>
      <c r="VPP132" s="202"/>
      <c r="VPQ132" s="202"/>
      <c r="VPR132" s="202"/>
      <c r="VPS132" s="202"/>
      <c r="VPT132" s="202"/>
      <c r="VPU132" s="202"/>
      <c r="VPV132" s="202"/>
      <c r="VPW132" s="202"/>
      <c r="VPX132" s="202"/>
      <c r="VPY132" s="202"/>
      <c r="VPZ132" s="202"/>
      <c r="VQA132" s="202"/>
      <c r="VQB132" s="202"/>
      <c r="VQC132" s="202"/>
      <c r="VQD132" s="202"/>
      <c r="VQE132" s="202"/>
      <c r="VQF132" s="202"/>
      <c r="VQG132" s="202"/>
      <c r="VQH132" s="202"/>
      <c r="VQI132" s="202"/>
      <c r="VQJ132" s="202"/>
      <c r="VQK132" s="202"/>
      <c r="VQL132" s="202"/>
      <c r="VQM132" s="202"/>
      <c r="VQN132" s="202"/>
      <c r="VQO132" s="202"/>
      <c r="VQP132" s="202"/>
      <c r="VQQ132" s="202"/>
      <c r="VQR132" s="202"/>
      <c r="VQS132" s="202"/>
      <c r="VQT132" s="202"/>
      <c r="VQU132" s="202"/>
      <c r="VQV132" s="202"/>
      <c r="VQW132" s="202"/>
      <c r="VQX132" s="202"/>
      <c r="VQY132" s="202"/>
      <c r="VQZ132" s="202"/>
      <c r="VRA132" s="202"/>
      <c r="VRB132" s="202"/>
      <c r="VRC132" s="202"/>
      <c r="VRD132" s="202"/>
      <c r="VRE132" s="202"/>
      <c r="VRF132" s="202"/>
      <c r="VRG132" s="202"/>
      <c r="VRH132" s="202"/>
      <c r="VRI132" s="202"/>
      <c r="VRJ132" s="202"/>
      <c r="VRK132" s="202"/>
      <c r="VRL132" s="202"/>
      <c r="VRM132" s="202"/>
      <c r="VRN132" s="202"/>
      <c r="VRO132" s="202"/>
      <c r="VRP132" s="202"/>
      <c r="VRQ132" s="202"/>
      <c r="VRR132" s="202"/>
      <c r="VRS132" s="202"/>
      <c r="VRT132" s="202"/>
      <c r="VRU132" s="202"/>
      <c r="VRV132" s="202"/>
      <c r="VRW132" s="202"/>
      <c r="VRX132" s="202"/>
      <c r="VRY132" s="202"/>
      <c r="VRZ132" s="202"/>
      <c r="VSA132" s="202"/>
      <c r="VSB132" s="202"/>
      <c r="VSC132" s="202"/>
      <c r="VSD132" s="202"/>
      <c r="VSE132" s="202"/>
      <c r="VSF132" s="202"/>
      <c r="VSG132" s="202"/>
      <c r="VSH132" s="202"/>
      <c r="VSI132" s="202"/>
      <c r="VSJ132" s="202"/>
      <c r="VSK132" s="202"/>
      <c r="VSL132" s="202"/>
      <c r="VSM132" s="202"/>
      <c r="VSN132" s="202"/>
      <c r="VSO132" s="202"/>
      <c r="VSP132" s="202"/>
      <c r="VSQ132" s="202"/>
      <c r="VSR132" s="202"/>
      <c r="VSS132" s="202"/>
      <c r="VST132" s="202"/>
      <c r="VSU132" s="202"/>
      <c r="VSV132" s="202"/>
      <c r="VSW132" s="202"/>
      <c r="VSX132" s="202"/>
      <c r="VSY132" s="202"/>
      <c r="VSZ132" s="202"/>
      <c r="VTA132" s="202"/>
      <c r="VTB132" s="202"/>
      <c r="VTC132" s="202"/>
      <c r="VTD132" s="202"/>
      <c r="VTE132" s="202"/>
      <c r="VTF132" s="202"/>
      <c r="VTG132" s="202"/>
      <c r="VTH132" s="202"/>
      <c r="VTI132" s="202"/>
      <c r="VTJ132" s="202"/>
      <c r="VTK132" s="202"/>
      <c r="VTL132" s="202"/>
      <c r="VTM132" s="202"/>
      <c r="VTN132" s="202"/>
      <c r="VTO132" s="202"/>
      <c r="VTP132" s="202"/>
      <c r="VTQ132" s="202"/>
      <c r="VTR132" s="202"/>
      <c r="VTS132" s="202"/>
      <c r="VTT132" s="202"/>
      <c r="VTU132" s="202"/>
      <c r="VTV132" s="202"/>
      <c r="VTW132" s="202"/>
      <c r="VTX132" s="202"/>
      <c r="VTY132" s="202"/>
      <c r="VTZ132" s="202"/>
      <c r="VUA132" s="202"/>
      <c r="VUB132" s="202"/>
      <c r="VUC132" s="202"/>
      <c r="VUD132" s="202"/>
      <c r="VUE132" s="202"/>
      <c r="VUF132" s="202"/>
      <c r="VUG132" s="202"/>
      <c r="VUH132" s="202"/>
      <c r="VUI132" s="202"/>
      <c r="VUJ132" s="202"/>
      <c r="VUK132" s="202"/>
      <c r="VUL132" s="202"/>
      <c r="VUM132" s="202"/>
      <c r="VUN132" s="202"/>
      <c r="VUO132" s="202"/>
      <c r="VUP132" s="202"/>
      <c r="VUQ132" s="202"/>
      <c r="VUR132" s="202"/>
      <c r="VUS132" s="202"/>
      <c r="VUT132" s="202"/>
      <c r="VUU132" s="202"/>
      <c r="VUV132" s="202"/>
      <c r="VUW132" s="202"/>
      <c r="VUX132" s="202"/>
      <c r="VUY132" s="202"/>
      <c r="VUZ132" s="202"/>
      <c r="VVA132" s="202"/>
      <c r="VVB132" s="202"/>
      <c r="VVC132" s="202"/>
      <c r="VVD132" s="202"/>
      <c r="VVE132" s="202"/>
      <c r="VVF132" s="202"/>
      <c r="VVG132" s="202"/>
      <c r="VVH132" s="202"/>
      <c r="VVI132" s="202"/>
      <c r="VVJ132" s="202"/>
      <c r="VVK132" s="202"/>
      <c r="VVL132" s="202"/>
      <c r="VVM132" s="202"/>
      <c r="VVN132" s="202"/>
      <c r="VVO132" s="202"/>
      <c r="VVP132" s="202"/>
      <c r="VVQ132" s="202"/>
      <c r="VVR132" s="202"/>
      <c r="VVS132" s="202"/>
      <c r="VVT132" s="202"/>
      <c r="VVU132" s="202"/>
      <c r="VVV132" s="202"/>
      <c r="VVW132" s="202"/>
      <c r="VVX132" s="202"/>
      <c r="VVY132" s="202"/>
      <c r="VVZ132" s="202"/>
      <c r="VWA132" s="202"/>
      <c r="VWB132" s="202"/>
      <c r="VWC132" s="202"/>
      <c r="VWD132" s="202"/>
      <c r="VWE132" s="202"/>
      <c r="VWF132" s="202"/>
      <c r="VWG132" s="202"/>
      <c r="VWH132" s="202"/>
      <c r="VWI132" s="202"/>
      <c r="VWJ132" s="202"/>
      <c r="VWK132" s="202"/>
      <c r="VWL132" s="202"/>
      <c r="VWM132" s="202"/>
      <c r="VWN132" s="202"/>
      <c r="VWO132" s="202"/>
      <c r="VWP132" s="202"/>
      <c r="VWQ132" s="202"/>
      <c r="VWR132" s="202"/>
      <c r="VWS132" s="202"/>
      <c r="VWT132" s="202"/>
      <c r="VWU132" s="202"/>
      <c r="VWV132" s="202"/>
      <c r="VWW132" s="202"/>
      <c r="VWX132" s="202"/>
      <c r="VWY132" s="202"/>
      <c r="VWZ132" s="202"/>
      <c r="VXA132" s="202"/>
      <c r="VXB132" s="202"/>
      <c r="VXC132" s="202"/>
      <c r="VXD132" s="202"/>
      <c r="VXE132" s="202"/>
      <c r="VXF132" s="202"/>
      <c r="VXG132" s="202"/>
      <c r="VXH132" s="202"/>
      <c r="VXI132" s="202"/>
      <c r="VXJ132" s="202"/>
      <c r="VXK132" s="202"/>
      <c r="VXL132" s="202"/>
      <c r="VXM132" s="202"/>
      <c r="VXN132" s="202"/>
      <c r="VXO132" s="202"/>
      <c r="VXP132" s="202"/>
      <c r="VXQ132" s="202"/>
      <c r="VXR132" s="202"/>
      <c r="VXS132" s="202"/>
      <c r="VXT132" s="202"/>
      <c r="VXU132" s="202"/>
      <c r="VXV132" s="202"/>
      <c r="VXW132" s="202"/>
      <c r="VXX132" s="202"/>
      <c r="VXY132" s="202"/>
      <c r="VXZ132" s="202"/>
      <c r="VYA132" s="202"/>
      <c r="VYB132" s="202"/>
      <c r="VYC132" s="202"/>
      <c r="VYD132" s="202"/>
      <c r="VYE132" s="202"/>
      <c r="VYF132" s="202"/>
      <c r="VYG132" s="202"/>
      <c r="VYH132" s="202"/>
      <c r="VYI132" s="202"/>
      <c r="VYJ132" s="202"/>
      <c r="VYK132" s="202"/>
      <c r="VYL132" s="202"/>
      <c r="VYM132" s="202"/>
      <c r="VYN132" s="202"/>
      <c r="VYO132" s="202"/>
      <c r="VYP132" s="202"/>
      <c r="VYQ132" s="202"/>
      <c r="VYR132" s="202"/>
      <c r="VYS132" s="202"/>
      <c r="VYT132" s="202"/>
      <c r="VYU132" s="202"/>
      <c r="VYV132" s="202"/>
      <c r="VYW132" s="202"/>
      <c r="VYX132" s="202"/>
      <c r="VYY132" s="202"/>
      <c r="VYZ132" s="202"/>
      <c r="VZA132" s="202"/>
      <c r="VZB132" s="202"/>
      <c r="VZC132" s="202"/>
      <c r="VZD132" s="202"/>
      <c r="VZE132" s="202"/>
      <c r="VZF132" s="202"/>
      <c r="VZG132" s="202"/>
      <c r="VZH132" s="202"/>
      <c r="VZI132" s="202"/>
      <c r="VZJ132" s="202"/>
      <c r="VZK132" s="202"/>
      <c r="VZL132" s="202"/>
      <c r="VZM132" s="202"/>
      <c r="VZN132" s="202"/>
      <c r="VZO132" s="202"/>
      <c r="VZP132" s="202"/>
      <c r="VZQ132" s="202"/>
      <c r="VZR132" s="202"/>
      <c r="VZS132" s="202"/>
      <c r="VZT132" s="202"/>
      <c r="VZU132" s="202"/>
      <c r="VZV132" s="202"/>
      <c r="VZW132" s="202"/>
      <c r="VZX132" s="202"/>
      <c r="VZY132" s="202"/>
      <c r="VZZ132" s="202"/>
      <c r="WAA132" s="202"/>
      <c r="WAB132" s="202"/>
      <c r="WAC132" s="202"/>
      <c r="WAD132" s="202"/>
      <c r="WAE132" s="202"/>
      <c r="WAF132" s="202"/>
      <c r="WAG132" s="202"/>
      <c r="WAH132" s="202"/>
      <c r="WAI132" s="202"/>
      <c r="WAJ132" s="202"/>
      <c r="WAK132" s="202"/>
      <c r="WAL132" s="202"/>
      <c r="WAM132" s="202"/>
      <c r="WAN132" s="202"/>
      <c r="WAO132" s="202"/>
      <c r="WAP132" s="202"/>
      <c r="WAQ132" s="202"/>
      <c r="WAR132" s="202"/>
      <c r="WAS132" s="202"/>
      <c r="WAT132" s="202"/>
      <c r="WAU132" s="202"/>
      <c r="WAV132" s="202"/>
      <c r="WAW132" s="202"/>
      <c r="WAX132" s="202"/>
      <c r="WAY132" s="202"/>
      <c r="WAZ132" s="202"/>
      <c r="WBA132" s="202"/>
      <c r="WBB132" s="202"/>
      <c r="WBC132" s="202"/>
      <c r="WBD132" s="202"/>
      <c r="WBE132" s="202"/>
      <c r="WBF132" s="202"/>
      <c r="WBG132" s="202"/>
      <c r="WBH132" s="202"/>
      <c r="WBI132" s="202"/>
      <c r="WBJ132" s="202"/>
      <c r="WBK132" s="202"/>
      <c r="WBL132" s="202"/>
      <c r="WBM132" s="202"/>
      <c r="WBN132" s="202"/>
      <c r="WBO132" s="202"/>
      <c r="WBP132" s="202"/>
      <c r="WBQ132" s="202"/>
      <c r="WBR132" s="202"/>
      <c r="WBS132" s="202"/>
      <c r="WBT132" s="202"/>
      <c r="WBU132" s="202"/>
      <c r="WBV132" s="202"/>
      <c r="WBW132" s="202"/>
      <c r="WBX132" s="202"/>
      <c r="WBY132" s="202"/>
      <c r="WBZ132" s="202"/>
      <c r="WCA132" s="202"/>
      <c r="WCB132" s="202"/>
      <c r="WCC132" s="202"/>
      <c r="WCD132" s="202"/>
      <c r="WCE132" s="202"/>
      <c r="WCF132" s="202"/>
      <c r="WCG132" s="202"/>
      <c r="WCH132" s="202"/>
      <c r="WCI132" s="202"/>
      <c r="WCJ132" s="202"/>
      <c r="WCK132" s="202"/>
      <c r="WCL132" s="202"/>
      <c r="WCM132" s="202"/>
      <c r="WCN132" s="202"/>
      <c r="WCO132" s="202"/>
      <c r="WCP132" s="202"/>
      <c r="WCQ132" s="202"/>
      <c r="WCR132" s="202"/>
      <c r="WCS132" s="202"/>
      <c r="WCT132" s="202"/>
      <c r="WCU132" s="202"/>
      <c r="WCV132" s="202"/>
      <c r="WCW132" s="202"/>
      <c r="WCX132" s="202"/>
      <c r="WCY132" s="202"/>
      <c r="WCZ132" s="202"/>
      <c r="WDA132" s="202"/>
      <c r="WDB132" s="202"/>
      <c r="WDC132" s="202"/>
      <c r="WDD132" s="202"/>
      <c r="WDE132" s="202"/>
      <c r="WDF132" s="202"/>
      <c r="WDG132" s="202"/>
      <c r="WDH132" s="202"/>
      <c r="WDI132" s="202"/>
      <c r="WDJ132" s="202"/>
      <c r="WDK132" s="202"/>
      <c r="WDL132" s="202"/>
      <c r="WDM132" s="202"/>
      <c r="WDN132" s="202"/>
      <c r="WDO132" s="202"/>
      <c r="WDP132" s="202"/>
      <c r="WDQ132" s="202"/>
      <c r="WDR132" s="202"/>
      <c r="WDS132" s="202"/>
      <c r="WDT132" s="202"/>
      <c r="WDU132" s="202"/>
      <c r="WDV132" s="202"/>
      <c r="WDW132" s="202"/>
      <c r="WDX132" s="202"/>
      <c r="WDY132" s="202"/>
      <c r="WDZ132" s="202"/>
      <c r="WEA132" s="202"/>
      <c r="WEB132" s="202"/>
      <c r="WEC132" s="202"/>
      <c r="WED132" s="202"/>
      <c r="WEE132" s="202"/>
      <c r="WEF132" s="202"/>
      <c r="WEG132" s="202"/>
      <c r="WEH132" s="202"/>
      <c r="WEI132" s="202"/>
      <c r="WEJ132" s="202"/>
      <c r="WEK132" s="202"/>
      <c r="WEL132" s="202"/>
      <c r="WEM132" s="202"/>
      <c r="WEN132" s="202"/>
      <c r="WEO132" s="202"/>
      <c r="WEP132" s="202"/>
      <c r="WEQ132" s="202"/>
      <c r="WER132" s="202"/>
      <c r="WES132" s="202"/>
      <c r="WET132" s="202"/>
      <c r="WEU132" s="202"/>
      <c r="WEV132" s="202"/>
      <c r="WEW132" s="202"/>
      <c r="WEX132" s="202"/>
      <c r="WEY132" s="202"/>
      <c r="WEZ132" s="202"/>
      <c r="WFA132" s="202"/>
      <c r="WFB132" s="202"/>
      <c r="WFC132" s="202"/>
      <c r="WFD132" s="202"/>
      <c r="WFE132" s="202"/>
      <c r="WFF132" s="202"/>
      <c r="WFG132" s="202"/>
      <c r="WFH132" s="202"/>
      <c r="WFI132" s="202"/>
      <c r="WFJ132" s="202"/>
      <c r="WFK132" s="202"/>
      <c r="WFL132" s="202"/>
      <c r="WFM132" s="202"/>
      <c r="WFN132" s="202"/>
      <c r="WFO132" s="202"/>
      <c r="WFP132" s="202"/>
      <c r="WFQ132" s="202"/>
      <c r="WFR132" s="202"/>
      <c r="WFS132" s="202"/>
      <c r="WFT132" s="202"/>
      <c r="WFU132" s="202"/>
      <c r="WFV132" s="202"/>
      <c r="WFW132" s="202"/>
      <c r="WFX132" s="202"/>
      <c r="WFY132" s="202"/>
      <c r="WFZ132" s="202"/>
      <c r="WGA132" s="202"/>
      <c r="WGB132" s="202"/>
      <c r="WGC132" s="202"/>
      <c r="WGD132" s="202"/>
      <c r="WGE132" s="202"/>
      <c r="WGF132" s="202"/>
      <c r="WGG132" s="202"/>
      <c r="WGH132" s="202"/>
      <c r="WGI132" s="202"/>
      <c r="WGJ132" s="202"/>
      <c r="WGK132" s="202"/>
      <c r="WGL132" s="202"/>
      <c r="WGM132" s="202"/>
      <c r="WGN132" s="202"/>
      <c r="WGO132" s="202"/>
      <c r="WGP132" s="202"/>
      <c r="WGQ132" s="202"/>
      <c r="WGR132" s="202"/>
      <c r="WGS132" s="202"/>
      <c r="WGT132" s="202"/>
      <c r="WGU132" s="202"/>
      <c r="WGV132" s="202"/>
      <c r="WGW132" s="202"/>
      <c r="WGX132" s="202"/>
      <c r="WGY132" s="202"/>
      <c r="WGZ132" s="202"/>
      <c r="WHA132" s="202"/>
      <c r="WHB132" s="202"/>
      <c r="WHC132" s="202"/>
      <c r="WHD132" s="202"/>
      <c r="WHE132" s="202"/>
      <c r="WHF132" s="202"/>
      <c r="WHG132" s="202"/>
      <c r="WHH132" s="202"/>
      <c r="WHI132" s="202"/>
      <c r="WHJ132" s="202"/>
      <c r="WHK132" s="202"/>
      <c r="WHL132" s="202"/>
      <c r="WHM132" s="202"/>
      <c r="WHN132" s="202"/>
      <c r="WHO132" s="202"/>
      <c r="WHP132" s="202"/>
      <c r="WHQ132" s="202"/>
      <c r="WHR132" s="202"/>
      <c r="WHS132" s="202"/>
      <c r="WHT132" s="202"/>
      <c r="WHU132" s="202"/>
      <c r="WHV132" s="202"/>
      <c r="WHW132" s="202"/>
      <c r="WHX132" s="202"/>
      <c r="WHY132" s="202"/>
      <c r="WHZ132" s="202"/>
      <c r="WIA132" s="202"/>
      <c r="WIB132" s="202"/>
      <c r="WIC132" s="202"/>
      <c r="WID132" s="202"/>
      <c r="WIE132" s="202"/>
      <c r="WIF132" s="202"/>
      <c r="WIG132" s="202"/>
      <c r="WIH132" s="202"/>
      <c r="WII132" s="202"/>
      <c r="WIJ132" s="202"/>
      <c r="WIK132" s="202"/>
      <c r="WIL132" s="202"/>
      <c r="WIM132" s="202"/>
      <c r="WIN132" s="202"/>
      <c r="WIO132" s="202"/>
      <c r="WIP132" s="202"/>
      <c r="WIQ132" s="202"/>
      <c r="WIR132" s="202"/>
      <c r="WIS132" s="202"/>
      <c r="WIT132" s="202"/>
      <c r="WIU132" s="202"/>
      <c r="WIV132" s="202"/>
      <c r="WIW132" s="202"/>
      <c r="WIX132" s="202"/>
      <c r="WIY132" s="202"/>
      <c r="WIZ132" s="202"/>
      <c r="WJA132" s="202"/>
      <c r="WJB132" s="202"/>
      <c r="WJC132" s="202"/>
      <c r="WJD132" s="202"/>
      <c r="WJE132" s="202"/>
      <c r="WJF132" s="202"/>
      <c r="WJG132" s="202"/>
      <c r="WJH132" s="202"/>
      <c r="WJI132" s="202"/>
      <c r="WJJ132" s="202"/>
      <c r="WJK132" s="202"/>
      <c r="WJL132" s="202"/>
      <c r="WJM132" s="202"/>
      <c r="WJN132" s="202"/>
      <c r="WJO132" s="202"/>
      <c r="WJP132" s="202"/>
      <c r="WJQ132" s="202"/>
      <c r="WJR132" s="202"/>
      <c r="WJS132" s="202"/>
      <c r="WJT132" s="202"/>
      <c r="WJU132" s="202"/>
      <c r="WJV132" s="202"/>
      <c r="WJW132" s="202"/>
      <c r="WJX132" s="202"/>
      <c r="WJY132" s="202"/>
      <c r="WJZ132" s="202"/>
      <c r="WKA132" s="202"/>
      <c r="WKB132" s="202"/>
      <c r="WKC132" s="202"/>
      <c r="WKD132" s="202"/>
      <c r="WKE132" s="202"/>
      <c r="WKF132" s="202"/>
      <c r="WKG132" s="202"/>
      <c r="WKH132" s="202"/>
      <c r="WKI132" s="202"/>
      <c r="WKJ132" s="202"/>
      <c r="WKK132" s="202"/>
      <c r="WKL132" s="202"/>
      <c r="WKM132" s="202"/>
      <c r="WKN132" s="202"/>
      <c r="WKO132" s="202"/>
      <c r="WKP132" s="202"/>
      <c r="WKQ132" s="202"/>
      <c r="WKR132" s="202"/>
      <c r="WKS132" s="202"/>
      <c r="WKT132" s="202"/>
      <c r="WKU132" s="202"/>
      <c r="WKV132" s="202"/>
      <c r="WKW132" s="202"/>
      <c r="WKX132" s="202"/>
      <c r="WKY132" s="202"/>
      <c r="WKZ132" s="202"/>
      <c r="WLA132" s="202"/>
      <c r="WLB132" s="202"/>
      <c r="WLC132" s="202"/>
      <c r="WLD132" s="202"/>
      <c r="WLE132" s="202"/>
      <c r="WLF132" s="202"/>
      <c r="WLG132" s="202"/>
      <c r="WLH132" s="202"/>
      <c r="WLI132" s="202"/>
      <c r="WLJ132" s="202"/>
      <c r="WLK132" s="202"/>
      <c r="WLL132" s="202"/>
      <c r="WLM132" s="202"/>
      <c r="WLN132" s="202"/>
      <c r="WLO132" s="202"/>
      <c r="WLP132" s="202"/>
      <c r="WLQ132" s="202"/>
      <c r="WLR132" s="202"/>
      <c r="WLS132" s="202"/>
      <c r="WLT132" s="202"/>
      <c r="WLU132" s="202"/>
      <c r="WLV132" s="202"/>
      <c r="WLW132" s="202"/>
      <c r="WLX132" s="202"/>
      <c r="WLY132" s="202"/>
      <c r="WLZ132" s="202"/>
      <c r="WMA132" s="202"/>
      <c r="WMB132" s="202"/>
      <c r="WMC132" s="202"/>
      <c r="WMD132" s="202"/>
      <c r="WME132" s="202"/>
      <c r="WMF132" s="202"/>
      <c r="WMG132" s="202"/>
      <c r="WMH132" s="202"/>
      <c r="WMI132" s="202"/>
      <c r="WMJ132" s="202"/>
      <c r="WMK132" s="202"/>
      <c r="WML132" s="202"/>
      <c r="WMM132" s="202"/>
      <c r="WMN132" s="202"/>
      <c r="WMO132" s="202"/>
      <c r="WMP132" s="202"/>
      <c r="WMQ132" s="202"/>
      <c r="WMR132" s="202"/>
      <c r="WMS132" s="202"/>
      <c r="WMT132" s="202"/>
      <c r="WMU132" s="202"/>
      <c r="WMV132" s="202"/>
      <c r="WMW132" s="202"/>
      <c r="WMX132" s="202"/>
      <c r="WMY132" s="202"/>
      <c r="WMZ132" s="202"/>
      <c r="WNA132" s="202"/>
      <c r="WNB132" s="202"/>
      <c r="WNC132" s="202"/>
      <c r="WND132" s="202"/>
      <c r="WNE132" s="202"/>
      <c r="WNF132" s="202"/>
      <c r="WNG132" s="202"/>
      <c r="WNH132" s="202"/>
      <c r="WNI132" s="202"/>
      <c r="WNJ132" s="202"/>
      <c r="WNK132" s="202"/>
      <c r="WNL132" s="202"/>
      <c r="WNM132" s="202"/>
      <c r="WNN132" s="202"/>
      <c r="WNO132" s="202"/>
      <c r="WNP132" s="202"/>
      <c r="WNQ132" s="202"/>
      <c r="WNR132" s="202"/>
      <c r="WNS132" s="202"/>
      <c r="WNT132" s="202"/>
      <c r="WNU132" s="202"/>
      <c r="WNV132" s="202"/>
      <c r="WNW132" s="202"/>
      <c r="WNX132" s="202"/>
      <c r="WNY132" s="202"/>
      <c r="WNZ132" s="202"/>
      <c r="WOA132" s="202"/>
      <c r="WOB132" s="202"/>
      <c r="WOC132" s="202"/>
      <c r="WOD132" s="202"/>
      <c r="WOE132" s="202"/>
      <c r="WOF132" s="202"/>
      <c r="WOG132" s="202"/>
      <c r="WOH132" s="202"/>
      <c r="WOI132" s="202"/>
      <c r="WOJ132" s="202"/>
      <c r="WOK132" s="202"/>
      <c r="WOL132" s="202"/>
      <c r="WOM132" s="202"/>
      <c r="WON132" s="202"/>
      <c r="WOO132" s="202"/>
      <c r="WOP132" s="202"/>
      <c r="WOQ132" s="202"/>
      <c r="WOR132" s="202"/>
      <c r="WOS132" s="202"/>
      <c r="WOT132" s="202"/>
      <c r="WOU132" s="202"/>
      <c r="WOV132" s="202"/>
      <c r="WOW132" s="202"/>
      <c r="WOX132" s="202"/>
      <c r="WOY132" s="202"/>
      <c r="WOZ132" s="202"/>
      <c r="WPA132" s="202"/>
      <c r="WPB132" s="202"/>
      <c r="WPC132" s="202"/>
      <c r="WPD132" s="202"/>
      <c r="WPE132" s="202"/>
      <c r="WPF132" s="202"/>
      <c r="WPG132" s="202"/>
      <c r="WPH132" s="202"/>
      <c r="WPI132" s="202"/>
      <c r="WPJ132" s="202"/>
      <c r="WPK132" s="202"/>
      <c r="WPL132" s="202"/>
      <c r="WPM132" s="202"/>
      <c r="WPN132" s="202"/>
      <c r="WPO132" s="202"/>
      <c r="WPP132" s="202"/>
      <c r="WPQ132" s="202"/>
      <c r="WPR132" s="202"/>
      <c r="WPS132" s="202"/>
      <c r="WPT132" s="202"/>
      <c r="WPU132" s="202"/>
      <c r="WPV132" s="202"/>
      <c r="WPW132" s="202"/>
      <c r="WPX132" s="202"/>
      <c r="WPY132" s="202"/>
      <c r="WPZ132" s="202"/>
      <c r="WQA132" s="202"/>
      <c r="WQB132" s="202"/>
      <c r="WQC132" s="202"/>
      <c r="WQD132" s="202"/>
      <c r="WQE132" s="202"/>
      <c r="WQF132" s="202"/>
      <c r="WQG132" s="202"/>
      <c r="WQH132" s="202"/>
      <c r="WQI132" s="202"/>
      <c r="WQJ132" s="202"/>
      <c r="WQK132" s="202"/>
      <c r="WQL132" s="202"/>
      <c r="WQM132" s="202"/>
      <c r="WQN132" s="202"/>
      <c r="WQO132" s="202"/>
      <c r="WQP132" s="202"/>
      <c r="WQQ132" s="202"/>
      <c r="WQR132" s="202"/>
      <c r="WQS132" s="202"/>
      <c r="WQT132" s="202"/>
      <c r="WQU132" s="202"/>
      <c r="WQV132" s="202"/>
      <c r="WQW132" s="202"/>
      <c r="WQX132" s="202"/>
      <c r="WQY132" s="202"/>
      <c r="WQZ132" s="202"/>
      <c r="WRA132" s="202"/>
      <c r="WRB132" s="202"/>
      <c r="WRC132" s="202"/>
      <c r="WRD132" s="202"/>
      <c r="WRE132" s="202"/>
      <c r="WRF132" s="202"/>
      <c r="WRG132" s="202"/>
      <c r="WRH132" s="202"/>
      <c r="WRI132" s="202"/>
      <c r="WRJ132" s="202"/>
      <c r="WRK132" s="202"/>
      <c r="WRL132" s="202"/>
      <c r="WRM132" s="202"/>
      <c r="WRN132" s="202"/>
      <c r="WRO132" s="202"/>
      <c r="WRP132" s="202"/>
      <c r="WRQ132" s="202"/>
      <c r="WRR132" s="202"/>
      <c r="WRS132" s="202"/>
      <c r="WRT132" s="202"/>
      <c r="WRU132" s="202"/>
      <c r="WRV132" s="202"/>
      <c r="WRW132" s="202"/>
      <c r="WRX132" s="202"/>
      <c r="WRY132" s="202"/>
      <c r="WRZ132" s="202"/>
      <c r="WSA132" s="202"/>
      <c r="WSB132" s="202"/>
      <c r="WSC132" s="202"/>
      <c r="WSD132" s="202"/>
      <c r="WSE132" s="202"/>
      <c r="WSF132" s="202"/>
      <c r="WSG132" s="202"/>
      <c r="WSH132" s="202"/>
      <c r="WSI132" s="202"/>
      <c r="WSJ132" s="202"/>
      <c r="WSK132" s="202"/>
      <c r="WSL132" s="202"/>
      <c r="WSM132" s="202"/>
      <c r="WSN132" s="202"/>
      <c r="WSO132" s="202"/>
      <c r="WSP132" s="202"/>
      <c r="WSQ132" s="202"/>
      <c r="WSR132" s="202"/>
      <c r="WSS132" s="202"/>
      <c r="WST132" s="202"/>
      <c r="WSU132" s="202"/>
      <c r="WSV132" s="202"/>
      <c r="WSW132" s="202"/>
      <c r="WSX132" s="202"/>
      <c r="WSY132" s="202"/>
      <c r="WSZ132" s="202"/>
      <c r="WTA132" s="202"/>
      <c r="WTB132" s="202"/>
      <c r="WTC132" s="202"/>
      <c r="WTD132" s="202"/>
      <c r="WTE132" s="202"/>
      <c r="WTF132" s="202"/>
      <c r="WTG132" s="202"/>
      <c r="WTH132" s="202"/>
      <c r="WTI132" s="202"/>
      <c r="WTJ132" s="202"/>
      <c r="WTK132" s="202"/>
      <c r="WTL132" s="202"/>
      <c r="WTM132" s="202"/>
      <c r="WTN132" s="202"/>
      <c r="WTO132" s="202"/>
      <c r="WTP132" s="202"/>
      <c r="WTQ132" s="202"/>
      <c r="WTR132" s="202"/>
      <c r="WTS132" s="202"/>
      <c r="WTT132" s="202"/>
      <c r="WTU132" s="202"/>
      <c r="WTV132" s="202"/>
      <c r="WTW132" s="202"/>
      <c r="WTX132" s="202"/>
      <c r="WTY132" s="202"/>
      <c r="WTZ132" s="202"/>
      <c r="WUA132" s="202"/>
      <c r="WUB132" s="202"/>
      <c r="WUC132" s="202"/>
      <c r="WUD132" s="202"/>
      <c r="WUE132" s="202"/>
      <c r="WUF132" s="202"/>
      <c r="WUG132" s="202"/>
      <c r="WUH132" s="202"/>
      <c r="WUI132" s="202"/>
      <c r="WUJ132" s="202"/>
      <c r="WUK132" s="202"/>
      <c r="WUL132" s="202"/>
      <c r="WUM132" s="202"/>
      <c r="WUN132" s="202"/>
      <c r="WUO132" s="202"/>
      <c r="WUP132" s="202"/>
      <c r="WUQ132" s="202"/>
      <c r="WUR132" s="202"/>
      <c r="WUS132" s="202"/>
      <c r="WUT132" s="202"/>
      <c r="WUU132" s="202"/>
      <c r="WUV132" s="202"/>
      <c r="WUW132" s="202"/>
      <c r="WUX132" s="202"/>
      <c r="WUY132" s="202"/>
      <c r="WUZ132" s="202"/>
      <c r="WVA132" s="202"/>
      <c r="WVB132" s="202"/>
      <c r="WVC132" s="202"/>
      <c r="WVD132" s="202"/>
      <c r="WVE132" s="202"/>
      <c r="WVF132" s="202"/>
      <c r="WVG132" s="202"/>
      <c r="WVH132" s="202"/>
      <c r="WVI132" s="202"/>
      <c r="WVJ132" s="202"/>
      <c r="WVK132" s="202"/>
      <c r="WVL132" s="202"/>
      <c r="WVM132" s="202"/>
      <c r="WVN132" s="202"/>
      <c r="WVO132" s="202"/>
      <c r="WVP132" s="202"/>
      <c r="WVQ132" s="202"/>
      <c r="WVR132" s="202"/>
      <c r="WVS132" s="202"/>
      <c r="WVT132" s="202"/>
      <c r="WVU132" s="202"/>
      <c r="WVV132" s="202"/>
      <c r="WVW132" s="202"/>
      <c r="WVX132" s="202"/>
      <c r="WVY132" s="202"/>
      <c r="WVZ132" s="202"/>
      <c r="WWA132" s="202"/>
      <c r="WWB132" s="202"/>
      <c r="WWC132" s="202"/>
      <c r="WWD132" s="202"/>
      <c r="WWE132" s="202"/>
      <c r="WWF132" s="202"/>
      <c r="WWG132" s="202"/>
      <c r="WWH132" s="202"/>
      <c r="WWI132" s="202"/>
      <c r="WWJ132" s="202"/>
      <c r="WWK132" s="202"/>
      <c r="WWL132" s="202"/>
      <c r="WWM132" s="202"/>
      <c r="WWN132" s="202"/>
      <c r="WWO132" s="202"/>
      <c r="WWP132" s="202"/>
      <c r="WWQ132" s="202"/>
      <c r="WWR132" s="202"/>
      <c r="WWS132" s="202"/>
      <c r="WWT132" s="202"/>
      <c r="WWU132" s="202"/>
      <c r="WWV132" s="202"/>
      <c r="WWW132" s="202"/>
      <c r="WWX132" s="202"/>
      <c r="WWY132" s="202"/>
      <c r="WWZ132" s="202"/>
      <c r="WXA132" s="202"/>
      <c r="WXB132" s="202"/>
      <c r="WXC132" s="202"/>
      <c r="WXD132" s="202"/>
      <c r="WXE132" s="202"/>
      <c r="WXF132" s="202"/>
      <c r="WXG132" s="202"/>
      <c r="WXH132" s="202"/>
      <c r="WXI132" s="202"/>
      <c r="WXJ132" s="202"/>
      <c r="WXK132" s="202"/>
      <c r="WXL132" s="202"/>
      <c r="WXM132" s="202"/>
      <c r="WXN132" s="202"/>
      <c r="WXO132" s="202"/>
      <c r="WXP132" s="202"/>
      <c r="WXQ132" s="202"/>
      <c r="WXR132" s="202"/>
      <c r="WXS132" s="202"/>
      <c r="WXT132" s="202"/>
      <c r="WXU132" s="202"/>
      <c r="WXV132" s="202"/>
      <c r="WXW132" s="202"/>
      <c r="WXX132" s="202"/>
      <c r="WXY132" s="202"/>
      <c r="WXZ132" s="202"/>
      <c r="WYA132" s="202"/>
      <c r="WYB132" s="202"/>
      <c r="WYC132" s="202"/>
      <c r="WYD132" s="202"/>
      <c r="WYE132" s="202"/>
      <c r="WYF132" s="202"/>
      <c r="WYG132" s="202"/>
      <c r="WYH132" s="202"/>
      <c r="WYI132" s="202"/>
      <c r="WYJ132" s="202"/>
      <c r="WYK132" s="202"/>
      <c r="WYL132" s="202"/>
      <c r="WYM132" s="202"/>
      <c r="WYN132" s="202"/>
      <c r="WYO132" s="202"/>
      <c r="WYP132" s="202"/>
      <c r="WYQ132" s="202"/>
      <c r="WYR132" s="202"/>
      <c r="WYS132" s="202"/>
      <c r="WYT132" s="202"/>
      <c r="WYU132" s="202"/>
      <c r="WYV132" s="202"/>
      <c r="WYW132" s="202"/>
      <c r="WYX132" s="202"/>
      <c r="WYY132" s="202"/>
      <c r="WYZ132" s="202"/>
      <c r="WZA132" s="202"/>
      <c r="WZB132" s="202"/>
      <c r="WZC132" s="202"/>
      <c r="WZD132" s="202"/>
      <c r="WZE132" s="202"/>
      <c r="WZF132" s="202"/>
      <c r="WZG132" s="202"/>
      <c r="WZH132" s="202"/>
      <c r="WZI132" s="202"/>
      <c r="WZJ132" s="202"/>
      <c r="WZK132" s="202"/>
      <c r="WZL132" s="202"/>
      <c r="WZM132" s="202"/>
      <c r="WZN132" s="202"/>
      <c r="WZO132" s="202"/>
      <c r="WZP132" s="202"/>
      <c r="WZQ132" s="202"/>
      <c r="WZR132" s="202"/>
      <c r="WZS132" s="202"/>
      <c r="WZT132" s="202"/>
      <c r="WZU132" s="202"/>
      <c r="WZV132" s="202"/>
      <c r="WZW132" s="202"/>
      <c r="WZX132" s="202"/>
      <c r="WZY132" s="202"/>
      <c r="WZZ132" s="202"/>
      <c r="XAA132" s="202"/>
      <c r="XAB132" s="202"/>
      <c r="XAC132" s="202"/>
      <c r="XAD132" s="202"/>
      <c r="XAE132" s="202"/>
      <c r="XAF132" s="202"/>
      <c r="XAG132" s="202"/>
      <c r="XAH132" s="202"/>
      <c r="XAI132" s="202"/>
      <c r="XAJ132" s="202"/>
      <c r="XAK132" s="202"/>
      <c r="XAL132" s="202"/>
      <c r="XAM132" s="202"/>
      <c r="XAN132" s="202"/>
      <c r="XAO132" s="202"/>
      <c r="XAP132" s="202"/>
      <c r="XAQ132" s="202"/>
      <c r="XAR132" s="202"/>
      <c r="XAS132" s="202"/>
      <c r="XAT132" s="202"/>
      <c r="XAU132" s="202"/>
      <c r="XAV132" s="202"/>
      <c r="XAW132" s="202"/>
      <c r="XAX132" s="202"/>
      <c r="XAY132" s="202"/>
      <c r="XAZ132" s="202"/>
      <c r="XBA132" s="202"/>
      <c r="XBB132" s="202"/>
      <c r="XBC132" s="202"/>
      <c r="XBD132" s="202"/>
      <c r="XBE132" s="202"/>
      <c r="XBF132" s="202"/>
      <c r="XBG132" s="202"/>
      <c r="XBH132" s="202"/>
      <c r="XBI132" s="202"/>
      <c r="XBJ132" s="202"/>
      <c r="XBK132" s="202"/>
      <c r="XBL132" s="202"/>
      <c r="XBM132" s="202"/>
      <c r="XBN132" s="202"/>
      <c r="XBO132" s="202"/>
      <c r="XBP132" s="202"/>
      <c r="XBQ132" s="202"/>
      <c r="XBR132" s="202"/>
      <c r="XBS132" s="202"/>
      <c r="XBT132" s="202"/>
      <c r="XBU132" s="202"/>
      <c r="XBV132" s="202"/>
      <c r="XBW132" s="202"/>
      <c r="XBX132" s="202"/>
      <c r="XBY132" s="202"/>
      <c r="XBZ132" s="202"/>
      <c r="XCA132" s="202"/>
      <c r="XCB132" s="202"/>
      <c r="XCC132" s="202"/>
      <c r="XCD132" s="202"/>
      <c r="XCE132" s="202"/>
      <c r="XCF132" s="202"/>
      <c r="XCG132" s="202"/>
      <c r="XCH132" s="202"/>
      <c r="XCI132" s="202"/>
      <c r="XCJ132" s="202"/>
      <c r="XCK132" s="202"/>
      <c r="XCL132" s="202"/>
      <c r="XCM132" s="202"/>
      <c r="XCN132" s="202"/>
      <c r="XCO132" s="202"/>
      <c r="XCP132" s="202"/>
      <c r="XCQ132" s="202"/>
      <c r="XCR132" s="202"/>
      <c r="XCS132" s="202"/>
      <c r="XCT132" s="202"/>
      <c r="XCU132" s="202"/>
      <c r="XCV132" s="202"/>
      <c r="XCW132" s="202"/>
      <c r="XCX132" s="202"/>
      <c r="XCY132" s="202"/>
      <c r="XCZ132" s="202"/>
      <c r="XDA132" s="202"/>
      <c r="XDB132" s="202"/>
      <c r="XDC132" s="202"/>
      <c r="XDD132" s="202"/>
      <c r="XDE132" s="202"/>
      <c r="XDF132" s="202"/>
      <c r="XDG132" s="202"/>
      <c r="XDH132" s="202"/>
      <c r="XDI132" s="202"/>
      <c r="XDJ132" s="202"/>
      <c r="XDK132" s="202"/>
      <c r="XDL132" s="202"/>
      <c r="XDM132" s="202"/>
      <c r="XDN132" s="202"/>
      <c r="XDO132" s="202"/>
      <c r="XDP132" s="202"/>
      <c r="XDQ132" s="202"/>
      <c r="XDR132" s="202"/>
      <c r="XDS132" s="202"/>
      <c r="XDT132" s="202"/>
      <c r="XDU132" s="202"/>
      <c r="XDV132" s="202"/>
      <c r="XDW132" s="202"/>
      <c r="XDX132" s="202"/>
      <c r="XDY132" s="202"/>
      <c r="XDZ132" s="202"/>
      <c r="XEA132" s="202"/>
      <c r="XEB132" s="202"/>
      <c r="XEC132" s="202"/>
      <c r="XED132" s="202"/>
      <c r="XEE132" s="202"/>
      <c r="XEF132" s="202"/>
      <c r="XEG132" s="202"/>
      <c r="XEH132" s="202"/>
      <c r="XEI132" s="202"/>
      <c r="XEJ132" s="202"/>
      <c r="XEK132" s="202"/>
      <c r="XEL132" s="202"/>
      <c r="XEM132" s="202"/>
      <c r="XEN132" s="202"/>
      <c r="XEO132" s="202"/>
      <c r="XEP132" s="202"/>
      <c r="XEQ132" s="202"/>
      <c r="XER132" s="202"/>
      <c r="XES132" s="202"/>
      <c r="XET132" s="202"/>
      <c r="XEU132" s="202"/>
      <c r="XEV132" s="202"/>
      <c r="XEW132" s="202"/>
      <c r="XEX132" s="202"/>
      <c r="XEY132" s="202"/>
      <c r="XEZ132" s="202"/>
      <c r="XFA132" s="202"/>
      <c r="XFB132" s="202"/>
    </row>
    <row r="133" spans="1:16382" s="202" customFormat="1" ht="15.75" x14ac:dyDescent="0.45">
      <c r="A133" s="247">
        <v>6.2</v>
      </c>
      <c r="B133" s="116" t="s">
        <v>159</v>
      </c>
      <c r="C133" s="117" t="s">
        <v>111</v>
      </c>
      <c r="D133" s="205" t="str">
        <f>IF(OR(j_WEEKDAY(J_ADDDAY(VLOOKUP(I133,A:F,6,FALSE),H133,1),0)=6,SUMIFS(Holieday[ok],Holieday[date],J_ADDDAY(VLOOKUP(I133,A:F,6,FALSE),H133,1)))=FALSE(),J_ADDDAY(VLOOKUP(I133,A:F,6,FALSE),H133,1),IF(OR(j_WEEKDAY(J_ADDDAY(VLOOKUP(I133,A:F,6,FALSE),H133+1,1),0)=6,SUMIFS(Holieday[ok],Holieday[date],J_ADDDAY(VLOOKUP(I133,A:F,6,FALSE),H133+1,1)))=FALSE(),J_ADDDAY(VLOOKUP(I133,A:F,6,FALSE),H133+1,1),IF(OR(j_WEEKDAY(J_ADDDAY(VLOOKUP(I133,A:F,6,FALSE),H133+2,1),0)=6,SUMIFS(Holieday[ok],Holieday[date],J_ADDDAY(VLOOKUP(I133,A:F,6,FALSE),H133+2,1)))=FALSE(),J_ADDDAY(VLOOKUP(I133,A:F,6,FALSE),H133+2,1),IF(OR(j_WEEKDAY(J_ADDDAY(VLOOKUP(I133,A:F,6,FALSE),H133+3,1),0)=6,SUMIFS(Holieday[ok],Holieday[date],J_ADDDAY(VLOOKUP(I133,A:F,6,FALSE),H133+3,1)))=FALSE(),J_ADDDAY(VLOOKUP(I133,A:F,6,FALSE),H133+3,1),IF(OR(j_WEEKDAY(J_ADDDAY(VLOOKUP(I133,A:F,6,FALSE),H133+4,1),0)=6,SUMIFS(Holieday[ok],Holieday[date],J_ADDDAY(VLOOKUP(I133,A:F,6,FALSE),H133+4,1)))=FALSE(),J_ADDDAY(VLOOKUP(I133,A:F,6,FALSE),H133+4,1),J_ADDDAY(VLOOKUP(I133,A:F,6,FALSE),H133+5,1))))))</f>
        <v>1398/07/13</v>
      </c>
      <c r="E133" s="193">
        <f t="shared" si="41"/>
        <v>13980713</v>
      </c>
      <c r="F133" s="205" t="str">
        <f>IF(N133=0,J_SUBDAY(D133,1,1),IF((N133-NETWORKDAYS.INTL(J_GregorianDate(D133,1),J_GregorianDate(J_SUBDAY(J_ADDDAY(D133,N133,1),1,1),1),16,1)-SUMIFS(Holieday[ok],Holieday[date],CONCATENATE("&gt;","=",D133),Holieday[date],CONCATENATE("&lt;","=",J_SUBDAY(J_ADDDAY(D133,N133,1),1,1)))+SUMIFS(Holieday[Friday],Holieday[date],CONCATENATE("&gt;","=",D133),Holieday[date],CONCATENATE("&lt;","=",J_SUBDAY(J_ADDDAY(D133,N133,1),1,1))))=0,J_SUBDAY(J_ADDDAY(D133,N133,1),1,1),IF((N133-NETWORKDAYS.INTL(J_GregorianDate(D133,1),J_GregorianDate(J_SUBDAY(J_ADDDAY(D133,N133,1),1,1),1),16,1)-SUMIFS(Holieday[ok],Holieday[date],CONCATENATE("&gt;","=",D133),Holieday[date],CONCATENATE("&lt;","=",J_SUBDAY(J_ADDDAY(D133,N133,1),1,1)))+SUMIFS(Holieday[Friday],Holieday[date],CONCATENATE("&gt;","=",D133),Holieday[date],CONCATENATE("&lt;","=",J_SUBDAY(J_ADDDAY(D133,N133,1),1,1))))=1,J_SUBDAY(J_ADDDAY(D133,N133+1,1),1,1),IF((N133-NETWORKDAYS.INTL(J_GregorianDate(D133,1),J_GregorianDate(J_SUBDAY(J_ADDDAY(D133,N133,1),1,1),1),16,1)-SUMIFS(Holieday[ok],Holieday[date],CONCATENATE("&gt;","=",D133),Holieday[date],CONCATENATE("&lt;","=",J_SUBDAY(J_ADDDAY(D133,N133,1),1,1)))+SUMIFS(Holieday[Friday],Holieday[date],CONCATENATE("&gt;","=",D133),Holieday[date],CONCATENATE("&lt;","=",J_SUBDAY(J_ADDDAY(D133,N133,1),1,1))))=2,J_SUBDAY(J_ADDDAY(D133,N133+2,1),1,1),J_SUBDAY(J_ADDDAY(D133,N133+3,1),1,1)))))</f>
        <v>1398/07/21</v>
      </c>
      <c r="G133" s="196">
        <f t="shared" si="42"/>
        <v>13980721</v>
      </c>
      <c r="H133" s="119">
        <v>1</v>
      </c>
      <c r="I133" s="120">
        <v>6.1</v>
      </c>
      <c r="J133" s="204">
        <f>j_WEEKDAY(D133,2)</f>
        <v>0</v>
      </c>
      <c r="K133" s="206">
        <f t="shared" si="45"/>
        <v>0</v>
      </c>
      <c r="L133" s="260">
        <f t="shared" si="46"/>
        <v>9</v>
      </c>
      <c r="M133" s="252">
        <v>0</v>
      </c>
      <c r="N133" s="118">
        <v>8</v>
      </c>
      <c r="O133" s="208">
        <f t="shared" ref="O133:O152" si="47">ROUNDDOWN(M133*L133,0)</f>
        <v>0</v>
      </c>
      <c r="P133" s="208">
        <f>VALUE(J_normdate(J_ADDDAY($D133,$O133,1)))</f>
        <v>13980713</v>
      </c>
      <c r="Q133" s="204">
        <f t="shared" ref="Q133:Q152" si="48">L133-O133</f>
        <v>9</v>
      </c>
      <c r="IY133" s="8">
        <v>2</v>
      </c>
      <c r="IZ133" s="8">
        <f>(TEXT(K133,"[m]")/60)*VLOOKUP(IY133,'Income Person-hours'!A$2:C$5,3,FALSE)</f>
        <v>0</v>
      </c>
      <c r="JA133" s="117"/>
      <c r="JB133" s="258"/>
      <c r="JC133" s="256"/>
      <c r="JD133" s="257">
        <f>SUM((TEXT(JA133,"[M]")/60)*'Income Person-hours'!$D$3,(TEXT(JB133,"[M]")/60)*'Income Person-hours'!$D$4,(TEXT(JC133,"[M]")/60)*'Income Person-hours'!$D$5)</f>
        <v>0</v>
      </c>
    </row>
    <row r="134" spans="1:16382" s="202" customFormat="1" ht="15.75" x14ac:dyDescent="0.45">
      <c r="A134" s="247">
        <v>6.3</v>
      </c>
      <c r="B134" s="116" t="s">
        <v>123</v>
      </c>
      <c r="C134" s="117" t="s">
        <v>111</v>
      </c>
      <c r="D134" s="205" t="str">
        <f>IF(OR(j_WEEKDAY(J_ADDDAY(VLOOKUP(I134,A:F,6,FALSE),H134,1),0)=6,SUMIFS(Holieday[ok],Holieday[date],J_ADDDAY(VLOOKUP(I134,A:F,6,FALSE),H134,1)))=FALSE(),J_ADDDAY(VLOOKUP(I134,A:F,6,FALSE),H134,1),IF(OR(j_WEEKDAY(J_ADDDAY(VLOOKUP(I134,A:F,6,FALSE),H134+1,1),0)=6,SUMIFS(Holieday[ok],Holieday[date],J_ADDDAY(VLOOKUP(I134,A:F,6,FALSE),H134+1,1)))=FALSE(),J_ADDDAY(VLOOKUP(I134,A:F,6,FALSE),H134+1,1),IF(OR(j_WEEKDAY(J_ADDDAY(VLOOKUP(I134,A:F,6,FALSE),H134+2,1),0)=6,SUMIFS(Holieday[ok],Holieday[date],J_ADDDAY(VLOOKUP(I134,A:F,6,FALSE),H134+2,1)))=FALSE(),J_ADDDAY(VLOOKUP(I134,A:F,6,FALSE),H134+2,1),IF(OR(j_WEEKDAY(J_ADDDAY(VLOOKUP(I134,A:F,6,FALSE),H134+3,1),0)=6,SUMIFS(Holieday[ok],Holieday[date],J_ADDDAY(VLOOKUP(I134,A:F,6,FALSE),H134+3,1)))=FALSE(),J_ADDDAY(VLOOKUP(I134,A:F,6,FALSE),H134+3,1),IF(OR(j_WEEKDAY(J_ADDDAY(VLOOKUP(I134,A:F,6,FALSE),H134+4,1),0)=6,SUMIFS(Holieday[ok],Holieday[date],J_ADDDAY(VLOOKUP(I134,A:F,6,FALSE),H134+4,1)))=FALSE(),J_ADDDAY(VLOOKUP(I134,A:F,6,FALSE),H134+4,1),J_ADDDAY(VLOOKUP(I134,A:F,6,FALSE),H134+5,1))))))</f>
        <v>1398/07/22</v>
      </c>
      <c r="E134" s="193">
        <f t="shared" si="41"/>
        <v>13980722</v>
      </c>
      <c r="F134" s="205" t="str">
        <f>IF(N134=0,J_SUBDAY(D134,1,1),IF((N134-NETWORKDAYS.INTL(J_GregorianDate(D134,1),J_GregorianDate(J_SUBDAY(J_ADDDAY(D134,N134,1),1,1),1),16,1)-SUMIFS(Holieday[ok],Holieday[date],CONCATENATE("&gt;","=",D134),Holieday[date],CONCATENATE("&lt;","=",J_SUBDAY(J_ADDDAY(D134,N134,1),1,1)))+SUMIFS(Holieday[Friday],Holieday[date],CONCATENATE("&gt;","=",D134),Holieday[date],CONCATENATE("&lt;","=",J_SUBDAY(J_ADDDAY(D134,N134,1),1,1))))=0,J_SUBDAY(J_ADDDAY(D134,N134,1),1,1),IF((N134-NETWORKDAYS.INTL(J_GregorianDate(D134,1),J_GregorianDate(J_SUBDAY(J_ADDDAY(D134,N134,1),1,1),1),16,1)-SUMIFS(Holieday[ok],Holieday[date],CONCATENATE("&gt;","=",D134),Holieday[date],CONCATENATE("&lt;","=",J_SUBDAY(J_ADDDAY(D134,N134,1),1,1)))+SUMIFS(Holieday[Friday],Holieday[date],CONCATENATE("&gt;","=",D134),Holieday[date],CONCATENATE("&lt;","=",J_SUBDAY(J_ADDDAY(D134,N134,1),1,1))))=1,J_SUBDAY(J_ADDDAY(D134,N134+1,1),1,1),IF((N134-NETWORKDAYS.INTL(J_GregorianDate(D134,1),J_GregorianDate(J_SUBDAY(J_ADDDAY(D134,N134,1),1,1),1),16,1)-SUMIFS(Holieday[ok],Holieday[date],CONCATENATE("&gt;","=",D134),Holieday[date],CONCATENATE("&lt;","=",J_SUBDAY(J_ADDDAY(D134,N134,1),1,1)))+SUMIFS(Holieday[Friday],Holieday[date],CONCATENATE("&gt;","=",D134),Holieday[date],CONCATENATE("&lt;","=",J_SUBDAY(J_ADDDAY(D134,N134,1),1,1))))=2,J_SUBDAY(J_ADDDAY(D134,N134+2,1),1,1),J_SUBDAY(J_ADDDAY(D134,N134+3,1),1,1)))))</f>
        <v>1398/07/29</v>
      </c>
      <c r="G134" s="196">
        <f t="shared" si="42"/>
        <v>13980729</v>
      </c>
      <c r="H134" s="119">
        <v>1</v>
      </c>
      <c r="I134" s="120">
        <v>6.2</v>
      </c>
      <c r="J134" s="204">
        <f>j_WEEKDAY(D134,2)</f>
        <v>2</v>
      </c>
      <c r="K134" s="206">
        <f t="shared" si="45"/>
        <v>0</v>
      </c>
      <c r="L134" s="260">
        <f t="shared" si="46"/>
        <v>8</v>
      </c>
      <c r="M134" s="252">
        <v>0</v>
      </c>
      <c r="N134" s="118">
        <v>8</v>
      </c>
      <c r="O134" s="208">
        <f t="shared" si="47"/>
        <v>0</v>
      </c>
      <c r="P134" s="208">
        <f>VALUE(J_normdate(J_ADDDAY($D134,$O134,1)))</f>
        <v>13980722</v>
      </c>
      <c r="Q134" s="204">
        <f t="shared" si="48"/>
        <v>8</v>
      </c>
      <c r="IY134" s="8">
        <v>3</v>
      </c>
      <c r="IZ134" s="8">
        <f>(TEXT(K134,"[m]")/60)*VLOOKUP(IY134,'Income Person-hours'!A$2:C$5,3,FALSE)</f>
        <v>0</v>
      </c>
      <c r="JA134" s="117"/>
      <c r="JB134" s="258"/>
      <c r="JC134" s="117"/>
      <c r="JD134" s="257">
        <f>SUM((TEXT(JA134,"[M]")/60)*'Income Person-hours'!$D$3,(TEXT(JB134,"[M]")/60)*'Income Person-hours'!$D$4,(TEXT(JC134,"[M]")/60)*'Income Person-hours'!$D$5)</f>
        <v>0</v>
      </c>
    </row>
    <row r="135" spans="1:16382" s="202" customFormat="1" ht="15.75" hidden="1" x14ac:dyDescent="0.45">
      <c r="A135" s="247">
        <v>6.4</v>
      </c>
      <c r="B135" s="245"/>
      <c r="C135" s="117"/>
      <c r="D135" s="205" t="str">
        <f>IF(OR(j_WEEKDAY(J_ADDDAY(VLOOKUP(I135,A:F,6,FALSE),H135,1),0)=6,SUMIFS(Holieday[ok],Holieday[date],J_ADDDAY(VLOOKUP(I135,A:F,6,FALSE),H135,1)))=FALSE(),J_ADDDAY(VLOOKUP(I135,A:F,6,FALSE),H135,1),IF(OR(j_WEEKDAY(J_ADDDAY(VLOOKUP(I135,A:F,6,FALSE),H135+1,1),0)=6,SUMIFS(Holieday[ok],Holieday[date],J_ADDDAY(VLOOKUP(I135,A:F,6,FALSE),H135+1,1)))=FALSE(),J_ADDDAY(VLOOKUP(I135,A:F,6,FALSE),H135+1,1),IF(OR(j_WEEKDAY(J_ADDDAY(VLOOKUP(I135,A:F,6,FALSE),H135+2,1),0)=6,SUMIFS(Holieday[ok],Holieday[date],J_ADDDAY(VLOOKUP(I135,A:F,6,FALSE),H135+2,1)))=FALSE(),J_ADDDAY(VLOOKUP(I135,A:F,6,FALSE),H135+2,1),IF(OR(j_WEEKDAY(J_ADDDAY(VLOOKUP(I135,A:F,6,FALSE),H135+3,1),0)=6,SUMIFS(Holieday[ok],Holieday[date],J_ADDDAY(VLOOKUP(I135,A:F,6,FALSE),H135+3,1)))=FALSE(),J_ADDDAY(VLOOKUP(I135,A:F,6,FALSE),H135+3,1),IF(OR(j_WEEKDAY(J_ADDDAY(VLOOKUP(I135,A:F,6,FALSE),H135+4,1),0)=6,SUMIFS(Holieday[ok],Holieday[date],J_ADDDAY(VLOOKUP(I135,A:F,6,FALSE),H135+4,1)))=FALSE(),J_ADDDAY(VLOOKUP(I135,A:F,6,FALSE),H135+4,1),J_ADDDAY(VLOOKUP(I135,A:F,6,FALSE),H135+5,1))))))</f>
        <v>1398/07/22</v>
      </c>
      <c r="E135" s="193">
        <f t="shared" si="41"/>
        <v>13980722</v>
      </c>
      <c r="F135" s="205" t="str">
        <f>IF(N135=0,J_SUBDAY(D135,1,1),IF((N135-NETWORKDAYS.INTL(J_GregorianDate(D135,1),J_GregorianDate(J_SUBDAY(J_ADDDAY(D135,N135,1),1,1),1),16,1)-SUMIFS(Holieday[ok],Holieday[date],CONCATENATE("&gt;","=",D135),Holieday[date],CONCATENATE("&lt;","=",J_SUBDAY(J_ADDDAY(D135,N135,1),1,1)))+SUMIFS(Holieday[Friday],Holieday[date],CONCATENATE("&gt;","=",D135),Holieday[date],CONCATENATE("&lt;","=",J_SUBDAY(J_ADDDAY(D135,N135,1),1,1))))=0,J_SUBDAY(J_ADDDAY(D135,N135,1),1,1),IF((N135-NETWORKDAYS.INTL(J_GregorianDate(D135,1),J_GregorianDate(J_SUBDAY(J_ADDDAY(D135,N135,1),1,1),1),16,1)-SUMIFS(Holieday[ok],Holieday[date],CONCATENATE("&gt;","=",D135),Holieday[date],CONCATENATE("&lt;","=",J_SUBDAY(J_ADDDAY(D135,N135,1),1,1)))+SUMIFS(Holieday[Friday],Holieday[date],CONCATENATE("&gt;","=",D135),Holieday[date],CONCATENATE("&lt;","=",J_SUBDAY(J_ADDDAY(D135,N135,1),1,1))))=1,J_SUBDAY(J_ADDDAY(D135,N135+1,1),1,1),IF((N135-NETWORKDAYS.INTL(J_GregorianDate(D135,1),J_GregorianDate(J_SUBDAY(J_ADDDAY(D135,N135,1),1,1),1),16,1)-SUMIFS(Holieday[ok],Holieday[date],CONCATENATE("&gt;","=",D135),Holieday[date],CONCATENATE("&lt;","=",J_SUBDAY(J_ADDDAY(D135,N135,1),1,1)))+SUMIFS(Holieday[Friday],Holieday[date],CONCATENATE("&gt;","=",D135),Holieday[date],CONCATENATE("&lt;","=",J_SUBDAY(J_ADDDAY(D135,N135,1),1,1))))=2,J_SUBDAY(J_ADDDAY(D135,N135+2,1),1,1),J_SUBDAY(J_ADDDAY(D135,N135+3,1),1,1)))))</f>
        <v>1398/07/21</v>
      </c>
      <c r="G135" s="196">
        <f t="shared" si="42"/>
        <v>13980721</v>
      </c>
      <c r="H135" s="119">
        <v>1</v>
      </c>
      <c r="I135" s="120">
        <v>6.2</v>
      </c>
      <c r="J135" s="204">
        <f>j_WEEKDAY(D135,2)</f>
        <v>2</v>
      </c>
      <c r="K135" s="206">
        <f t="shared" si="45"/>
        <v>0</v>
      </c>
      <c r="L135" s="260">
        <f t="shared" si="46"/>
        <v>0</v>
      </c>
      <c r="M135" s="252">
        <v>0</v>
      </c>
      <c r="N135" s="118">
        <v>0</v>
      </c>
      <c r="O135" s="208">
        <f t="shared" si="47"/>
        <v>0</v>
      </c>
      <c r="P135" s="208">
        <f>VALUE(J_normdate(J_ADDDAY($D135,$O135,1)))</f>
        <v>13980722</v>
      </c>
      <c r="Q135" s="204">
        <f t="shared" si="48"/>
        <v>0</v>
      </c>
      <c r="IY135" s="8">
        <v>2</v>
      </c>
      <c r="IZ135" s="8">
        <f>(TEXT(K135,"[m]")/60)*VLOOKUP(IY135,'Income Person-hours'!A$2:C$5,3,FALSE)</f>
        <v>0</v>
      </c>
      <c r="JA135" s="117"/>
      <c r="JB135" s="258"/>
      <c r="JC135" s="256"/>
      <c r="JD135" s="257">
        <f>SUM((TEXT(JA135,"[M]")/60)*'Income Person-hours'!$D$3,(TEXT(JB135,"[M]")/60)*'Income Person-hours'!$D$4,(TEXT(JC135,"[M]")/60)*'Income Person-hours'!$D$5)</f>
        <v>0</v>
      </c>
    </row>
    <row r="136" spans="1:16382" s="202" customFormat="1" ht="15.75" hidden="1" x14ac:dyDescent="0.45">
      <c r="A136" s="247">
        <v>6.5</v>
      </c>
      <c r="B136" s="116"/>
      <c r="C136" s="117"/>
      <c r="D136" s="205" t="str">
        <f>IF(OR(j_WEEKDAY(J_ADDDAY(VLOOKUP(I136,A:F,6,FALSE),H136,1),0)=6,SUMIFS(Holieday[ok],Holieday[date],J_ADDDAY(VLOOKUP(I136,A:F,6,FALSE),H136,1)))=FALSE(),J_ADDDAY(VLOOKUP(I136,A:F,6,FALSE),H136,1),IF(OR(j_WEEKDAY(J_ADDDAY(VLOOKUP(I136,A:F,6,FALSE),H136+1,1),0)=6,SUMIFS(Holieday[ok],Holieday[date],J_ADDDAY(VLOOKUP(I136,A:F,6,FALSE),H136+1,1)))=FALSE(),J_ADDDAY(VLOOKUP(I136,A:F,6,FALSE),H136+1,1),IF(OR(j_WEEKDAY(J_ADDDAY(VLOOKUP(I136,A:F,6,FALSE),H136+2,1),0)=6,SUMIFS(Holieday[ok],Holieday[date],J_ADDDAY(VLOOKUP(I136,A:F,6,FALSE),H136+2,1)))=FALSE(),J_ADDDAY(VLOOKUP(I136,A:F,6,FALSE),H136+2,1),IF(OR(j_WEEKDAY(J_ADDDAY(VLOOKUP(I136,A:F,6,FALSE),H136+3,1),0)=6,SUMIFS(Holieday[ok],Holieday[date],J_ADDDAY(VLOOKUP(I136,A:F,6,FALSE),H136+3,1)))=FALSE(),J_ADDDAY(VLOOKUP(I136,A:F,6,FALSE),H136+3,1),IF(OR(j_WEEKDAY(J_ADDDAY(VLOOKUP(I136,A:F,6,FALSE),H136+4,1),0)=6,SUMIFS(Holieday[ok],Holieday[date],J_ADDDAY(VLOOKUP(I136,A:F,6,FALSE),H136+4,1)))=FALSE(),J_ADDDAY(VLOOKUP(I136,A:F,6,FALSE),H136+4,1),J_ADDDAY(VLOOKUP(I136,A:F,6,FALSE),H136+5,1))))))</f>
        <v>1398/07/29</v>
      </c>
      <c r="E136" s="193">
        <f t="shared" si="41"/>
        <v>13980729</v>
      </c>
      <c r="F136" s="205" t="str">
        <f>IF(N136=0,J_SUBDAY(D136,1,1),IF((N136-NETWORKDAYS.INTL(J_GregorianDate(D136,1),J_GregorianDate(J_SUBDAY(J_ADDDAY(D136,N136,1),1,1),1),16,1)-SUMIFS(Holieday[ok],Holieday[date],CONCATENATE("&gt;","=",D136),Holieday[date],CONCATENATE("&lt;","=",J_SUBDAY(J_ADDDAY(D136,N136,1),1,1)))+SUMIFS(Holieday[Friday],Holieday[date],CONCATENATE("&gt;","=",D136),Holieday[date],CONCATENATE("&lt;","=",J_SUBDAY(J_ADDDAY(D136,N136,1),1,1))))=0,J_SUBDAY(J_ADDDAY(D136,N136,1),1,1),IF((N136-NETWORKDAYS.INTL(J_GregorianDate(D136,1),J_GregorianDate(J_SUBDAY(J_ADDDAY(D136,N136,1),1,1),1),16,1)-SUMIFS(Holieday[ok],Holieday[date],CONCATENATE("&gt;","=",D136),Holieday[date],CONCATENATE("&lt;","=",J_SUBDAY(J_ADDDAY(D136,N136,1),1,1)))+SUMIFS(Holieday[Friday],Holieday[date],CONCATENATE("&gt;","=",D136),Holieday[date],CONCATENATE("&lt;","=",J_SUBDAY(J_ADDDAY(D136,N136,1),1,1))))=1,J_SUBDAY(J_ADDDAY(D136,N136+1,1),1,1),IF((N136-NETWORKDAYS.INTL(J_GregorianDate(D136,1),J_GregorianDate(J_SUBDAY(J_ADDDAY(D136,N136,1),1,1),1),16,1)-SUMIFS(Holieday[ok],Holieday[date],CONCATENATE("&gt;","=",D136),Holieday[date],CONCATENATE("&lt;","=",J_SUBDAY(J_ADDDAY(D136,N136,1),1,1)))+SUMIFS(Holieday[Friday],Holieday[date],CONCATENATE("&gt;","=",D136),Holieday[date],CONCATENATE("&lt;","=",J_SUBDAY(J_ADDDAY(D136,N136,1),1,1))))=2,J_SUBDAY(J_ADDDAY(D136,N136+2,1),1,1),J_SUBDAY(J_ADDDAY(D136,N136+3,1),1,1)))))</f>
        <v>1398/07/28</v>
      </c>
      <c r="G136" s="196">
        <f t="shared" si="42"/>
        <v>13980728</v>
      </c>
      <c r="H136" s="119"/>
      <c r="I136" s="120">
        <v>6.3</v>
      </c>
      <c r="J136" s="204">
        <f>j_WEEKDAY(D136,2)</f>
        <v>2</v>
      </c>
      <c r="K136" s="206">
        <f t="shared" si="45"/>
        <v>0</v>
      </c>
      <c r="L136" s="260">
        <f t="shared" si="46"/>
        <v>0</v>
      </c>
      <c r="M136" s="252">
        <v>1</v>
      </c>
      <c r="N136" s="118">
        <v>0</v>
      </c>
      <c r="O136" s="208">
        <f t="shared" si="47"/>
        <v>0</v>
      </c>
      <c r="P136" s="208">
        <f>VALUE(J_normdate(J_ADDDAY($D136,$O136,1)))</f>
        <v>13980729</v>
      </c>
      <c r="Q136" s="204">
        <f t="shared" si="48"/>
        <v>0</v>
      </c>
      <c r="IY136" s="8">
        <v>1</v>
      </c>
      <c r="IZ136" s="8">
        <f>(TEXT(K136,"[m]")/60)*VLOOKUP(IY136,'Income Person-hours'!A$2:C$5,3,FALSE)</f>
        <v>0</v>
      </c>
      <c r="JA136" s="117"/>
      <c r="JB136" s="258"/>
      <c r="JC136" s="256"/>
      <c r="JD136" s="257">
        <f>SUM((TEXT(JA136,"[M]")/60)*'Income Person-hours'!$D$3,(TEXT(JB136,"[M]")/60)*'Income Person-hours'!$D$4,(TEXT(JC136,"[M]")/60)*'Income Person-hours'!$D$5)</f>
        <v>0</v>
      </c>
    </row>
    <row r="137" spans="1:16382" s="12" customFormat="1" ht="15.75" hidden="1" x14ac:dyDescent="0.45">
      <c r="A137" s="201">
        <v>6.6</v>
      </c>
      <c r="B137" s="116"/>
      <c r="C137" s="117"/>
      <c r="D137" s="13" t="str">
        <f>IF(OR(j_WEEKDAY(J_ADDDAY(VLOOKUP(I137,A:F,6,FALSE),H137,1),0)=6,SUMIFS(Holieday[ok],Holieday[date],J_ADDDAY(VLOOKUP(I137,A:F,6,FALSE),H137,1)))=FALSE(),J_ADDDAY(VLOOKUP(I137,A:F,6,FALSE),H137,1),IF(OR(j_WEEKDAY(J_ADDDAY(VLOOKUP(I137,A:F,6,FALSE),H137+1,1),0)=6,SUMIFS(Holieday[ok],Holieday[date],J_ADDDAY(VLOOKUP(I137,A:F,6,FALSE),H137+1,1)))=FALSE(),J_ADDDAY(VLOOKUP(I137,A:F,6,FALSE),H137+1,1),IF(OR(j_WEEKDAY(J_ADDDAY(VLOOKUP(I137,A:F,6,FALSE),H137+2,1),0)=6,SUMIFS(Holieday[ok],Holieday[date],J_ADDDAY(VLOOKUP(I137,A:F,6,FALSE),H137+2,1)))=FALSE(),J_ADDDAY(VLOOKUP(I137,A:F,6,FALSE),H137+2,1),IF(OR(j_WEEKDAY(J_ADDDAY(VLOOKUP(I137,A:F,6,FALSE),H137+3,1),0)=6,SUMIFS(Holieday[ok],Holieday[date],J_ADDDAY(VLOOKUP(I137,A:F,6,FALSE),H137+3,1)))=FALSE(),J_ADDDAY(VLOOKUP(I137,A:F,6,FALSE),H137+3,1),IF(OR(j_WEEKDAY(J_ADDDAY(VLOOKUP(I137,A:F,6,FALSE),H137+4,1),0)=6,SUMIFS(Holieday[ok],Holieday[date],J_ADDDAY(VLOOKUP(I137,A:F,6,FALSE),H137+4,1)))=FALSE(),J_ADDDAY(VLOOKUP(I137,A:F,6,FALSE),H137+4,1),J_ADDDAY(VLOOKUP(I137,A:F,6,FALSE),H137+5,1))))))</f>
        <v>1398/07/29</v>
      </c>
      <c r="E137" s="2">
        <f t="shared" si="41"/>
        <v>13980729</v>
      </c>
      <c r="F137" s="13" t="str">
        <f>IF(N137=0,J_SUBDAY(D137,1,1),IF((N137-NETWORKDAYS.INTL(J_GregorianDate(D137,1),J_GregorianDate(J_SUBDAY(J_ADDDAY(D137,N137,1),1,1),1),16,1)-SUMIFS(Holieday[ok],Holieday[date],CONCATENATE("&gt;","=",D137),Holieday[date],CONCATENATE("&lt;","=",J_SUBDAY(J_ADDDAY(D137,N137,1),1,1)))+SUMIFS(Holieday[Friday],Holieday[date],CONCATENATE("&gt;","=",D137),Holieday[date],CONCATENATE("&lt;","=",J_SUBDAY(J_ADDDAY(D137,N137,1),1,1))))=0,J_SUBDAY(J_ADDDAY(D137,N137,1),1,1),IF((N137-NETWORKDAYS.INTL(J_GregorianDate(D137,1),J_GregorianDate(J_SUBDAY(J_ADDDAY(D137,N137,1),1,1),1),16,1)-SUMIFS(Holieday[ok],Holieday[date],CONCATENATE("&gt;","=",D137),Holieday[date],CONCATENATE("&lt;","=",J_SUBDAY(J_ADDDAY(D137,N137,1),1,1)))+SUMIFS(Holieday[Friday],Holieday[date],CONCATENATE("&gt;","=",D137),Holieday[date],CONCATENATE("&lt;","=",J_SUBDAY(J_ADDDAY(D137,N137,1),1,1))))=1,J_SUBDAY(J_ADDDAY(D137,N137+1,1),1,1),IF((N137-NETWORKDAYS.INTL(J_GregorianDate(D137,1),J_GregorianDate(J_SUBDAY(J_ADDDAY(D137,N137,1),1,1),1),16,1)-SUMIFS(Holieday[ok],Holieday[date],CONCATENATE("&gt;","=",D137),Holieday[date],CONCATENATE("&lt;","=",J_SUBDAY(J_ADDDAY(D137,N137,1),1,1)))+SUMIFS(Holieday[Friday],Holieday[date],CONCATENATE("&gt;","=",D137),Holieday[date],CONCATENATE("&lt;","=",J_SUBDAY(J_ADDDAY(D137,N137,1),1,1))))=2,J_SUBDAY(J_ADDDAY(D137,N137+2,1),1,1),J_SUBDAY(J_ADDDAY(D137,N137+3,1),1,1)))))</f>
        <v>1398/07/28</v>
      </c>
      <c r="G137" s="3">
        <f t="shared" si="42"/>
        <v>13980728</v>
      </c>
      <c r="H137" s="119"/>
      <c r="I137" s="120">
        <v>6.3</v>
      </c>
      <c r="J137" s="10">
        <f>j_WEEKDAY(D137,2)</f>
        <v>2</v>
      </c>
      <c r="K137" s="22">
        <f t="shared" si="45"/>
        <v>0</v>
      </c>
      <c r="L137" s="9">
        <f t="shared" si="46"/>
        <v>0</v>
      </c>
      <c r="M137" s="121">
        <v>0</v>
      </c>
      <c r="N137" s="118">
        <v>0</v>
      </c>
      <c r="O137" s="11">
        <f t="shared" si="47"/>
        <v>0</v>
      </c>
      <c r="P137" s="11">
        <f>VALUE(J_normdate(J_ADDDAY($D137,$O137,1)))</f>
        <v>13980729</v>
      </c>
      <c r="Q137" s="10">
        <f t="shared" si="48"/>
        <v>0</v>
      </c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 s="8"/>
      <c r="BK137" s="8"/>
      <c r="BL137" s="8"/>
      <c r="BM137" s="8"/>
      <c r="BN137" s="8"/>
      <c r="BO137" s="8"/>
      <c r="BP137" s="8"/>
      <c r="BQ137" s="8"/>
      <c r="BR137" s="8"/>
      <c r="BS137" s="8"/>
      <c r="BT137" s="8"/>
      <c r="BU137" s="8"/>
      <c r="BV137" s="8"/>
      <c r="BW137" s="8"/>
      <c r="BX137" s="8"/>
      <c r="BY137" s="8"/>
      <c r="BZ137" s="8"/>
      <c r="CA137" s="8"/>
      <c r="CB137" s="8"/>
      <c r="CC137" s="8"/>
      <c r="CD137" s="8"/>
      <c r="CE137" s="8"/>
      <c r="CF137" s="8"/>
      <c r="CG137" s="8"/>
      <c r="CH137" s="8"/>
      <c r="CI137" s="8"/>
      <c r="CJ137" s="8"/>
      <c r="CK137" s="8"/>
      <c r="CL137" s="8"/>
      <c r="CM137" s="8"/>
      <c r="CN137" s="8"/>
      <c r="CO137" s="8"/>
      <c r="CP137" s="8"/>
      <c r="CQ137" s="8"/>
      <c r="CR137" s="8"/>
      <c r="CS137" s="8"/>
      <c r="CT137" s="8"/>
      <c r="CU137" s="8"/>
      <c r="CV137" s="8"/>
      <c r="CW137" s="8"/>
      <c r="CX137" s="8"/>
      <c r="CY137" s="8"/>
      <c r="CZ137" s="8"/>
      <c r="DA137" s="8"/>
      <c r="DB137" s="8"/>
      <c r="DC137" s="8"/>
      <c r="DD137" s="8"/>
      <c r="DE137" s="8"/>
      <c r="DF137" s="8"/>
      <c r="DG137" s="8"/>
      <c r="DH137" s="8"/>
      <c r="DI137" s="8"/>
      <c r="DJ137" s="8"/>
      <c r="DK137" s="8"/>
      <c r="DL137" s="8"/>
      <c r="DM137" s="8"/>
      <c r="DN137" s="8"/>
      <c r="DO137" s="8"/>
      <c r="DP137" s="8"/>
      <c r="DQ137" s="8"/>
      <c r="DR137" s="8"/>
      <c r="DS137" s="8"/>
      <c r="DT137" s="8"/>
      <c r="DU137" s="8"/>
      <c r="DV137" s="8"/>
      <c r="DW137" s="8"/>
      <c r="DX137" s="8"/>
      <c r="DY137" s="8"/>
      <c r="DZ137" s="8"/>
      <c r="EA137" s="8"/>
      <c r="EB137" s="8"/>
      <c r="EC137" s="8"/>
      <c r="ED137" s="8"/>
      <c r="EE137" s="8"/>
      <c r="EF137" s="8"/>
      <c r="EG137" s="8"/>
      <c r="EH137" s="8"/>
      <c r="EI137" s="8"/>
      <c r="EJ137" s="8"/>
      <c r="EK137" s="8"/>
      <c r="EL137" s="8"/>
      <c r="EM137" s="8"/>
      <c r="EN137" s="8"/>
      <c r="EO137" s="8"/>
      <c r="EP137" s="8"/>
      <c r="EQ137" s="8"/>
      <c r="ER137" s="8"/>
      <c r="ES137" s="8"/>
      <c r="ET137" s="8"/>
      <c r="EU137" s="8"/>
      <c r="EV137" s="8"/>
      <c r="EW137" s="8"/>
      <c r="EX137" s="8"/>
      <c r="EY137" s="8"/>
      <c r="EZ137" s="8"/>
      <c r="FA137" s="8"/>
      <c r="FB137" s="8"/>
      <c r="FC137" s="8"/>
      <c r="FD137" s="8"/>
      <c r="FE137" s="8"/>
      <c r="FF137" s="8"/>
      <c r="FG137" s="8"/>
      <c r="FH137" s="8"/>
      <c r="FI137" s="8"/>
      <c r="FJ137" s="8"/>
      <c r="FK137" s="8"/>
      <c r="FL137" s="8"/>
      <c r="FM137" s="8"/>
      <c r="FN137" s="8"/>
      <c r="FO137" s="8"/>
      <c r="FP137" s="8"/>
      <c r="FQ137" s="8"/>
      <c r="FR137" s="8"/>
      <c r="FS137" s="8"/>
      <c r="FT137" s="8"/>
      <c r="FU137" s="8"/>
      <c r="FV137" s="8"/>
      <c r="FW137" s="8"/>
      <c r="FX137" s="8"/>
      <c r="FY137" s="8"/>
      <c r="FZ137" s="8"/>
      <c r="GA137" s="8"/>
      <c r="GB137" s="8"/>
      <c r="GC137" s="8"/>
      <c r="GD137" s="8"/>
      <c r="GE137" s="8"/>
      <c r="GF137" s="8"/>
      <c r="GG137" s="8"/>
      <c r="GH137" s="8"/>
      <c r="GI137" s="8"/>
      <c r="GJ137" s="8"/>
      <c r="GK137" s="8"/>
      <c r="GL137" s="8"/>
      <c r="GM137" s="8"/>
      <c r="GN137" s="8"/>
      <c r="GO137" s="8"/>
      <c r="GP137" s="8"/>
      <c r="GQ137" s="8"/>
      <c r="GR137" s="8"/>
      <c r="GS137" s="8"/>
      <c r="GT137" s="8"/>
      <c r="GU137" s="8"/>
      <c r="GV137" s="8"/>
      <c r="GW137" s="8"/>
      <c r="GX137" s="8"/>
      <c r="GY137" s="8"/>
      <c r="GZ137" s="8"/>
      <c r="HA137" s="8"/>
      <c r="HB137" s="8"/>
      <c r="HC137" s="8"/>
      <c r="HD137" s="8"/>
      <c r="HE137" s="8"/>
      <c r="HF137" s="8"/>
      <c r="HG137" s="8"/>
      <c r="HH137" s="8"/>
      <c r="HI137" s="8"/>
      <c r="HJ137" s="8"/>
      <c r="HK137" s="8"/>
      <c r="HL137" s="8"/>
      <c r="HM137" s="8"/>
      <c r="HN137" s="8"/>
      <c r="HO137" s="8"/>
      <c r="HP137" s="8"/>
      <c r="HQ137" s="8"/>
      <c r="HR137" s="8"/>
      <c r="HS137" s="8"/>
      <c r="HT137" s="8"/>
      <c r="HU137" s="8"/>
      <c r="HV137" s="8"/>
      <c r="HW137" s="8"/>
      <c r="HX137" s="8"/>
      <c r="HY137" s="8"/>
      <c r="HZ137" s="8"/>
      <c r="IA137" s="8"/>
      <c r="IB137" s="8"/>
      <c r="IC137" s="8"/>
      <c r="ID137" s="8"/>
      <c r="IE137" s="8"/>
      <c r="IF137" s="8"/>
      <c r="IG137" s="8"/>
      <c r="IH137" s="8"/>
      <c r="II137" s="8"/>
      <c r="IJ137" s="8"/>
      <c r="IK137" s="8"/>
      <c r="IL137" s="8"/>
      <c r="IM137" s="8"/>
      <c r="IN137" s="8"/>
      <c r="IO137" s="8"/>
      <c r="IP137" s="8"/>
      <c r="IQ137" s="8"/>
      <c r="IR137" s="8"/>
      <c r="IS137" s="8"/>
      <c r="IT137" s="8"/>
      <c r="IU137" s="8"/>
      <c r="IV137" s="8"/>
      <c r="IW137" s="8"/>
      <c r="IX137" s="8"/>
      <c r="IY137" s="12">
        <v>2</v>
      </c>
      <c r="IZ137" s="12">
        <f>(TEXT(K137,"[m]")/60)*VLOOKUP(IY137,'Income Person-hours'!A$2:C$5,3,FALSE)</f>
        <v>0</v>
      </c>
      <c r="JA137" s="123"/>
      <c r="JB137" s="123"/>
      <c r="JC137" s="123"/>
      <c r="JD137" s="70">
        <f>SUM((TEXT(JA137,"[M]")/60)*'Income Person-hours'!$D$3,(TEXT(JB137,"[M]")/60)*'Income Person-hours'!$D$4,(TEXT(JC137,"[M]")/60)*'Income Person-hours'!$D$5)</f>
        <v>0</v>
      </c>
    </row>
    <row r="138" spans="1:16382" s="12" customFormat="1" ht="15.75" hidden="1" x14ac:dyDescent="0.45">
      <c r="A138" s="201">
        <v>6.7</v>
      </c>
      <c r="B138" s="126"/>
      <c r="C138" s="117"/>
      <c r="D138" s="13" t="str">
        <f>IF(OR(j_WEEKDAY(J_ADDDAY(VLOOKUP(I138,A:F,6,FALSE),H138,1),0)=6,SUMIFS(Holieday[ok],Holieday[date],J_ADDDAY(VLOOKUP(I138,A:F,6,FALSE),H138,1)))=FALSE(),J_ADDDAY(VLOOKUP(I138,A:F,6,FALSE),H138,1),IF(OR(j_WEEKDAY(J_ADDDAY(VLOOKUP(I138,A:F,6,FALSE),H138+1,1),0)=6,SUMIFS(Holieday[ok],Holieday[date],J_ADDDAY(VLOOKUP(I138,A:F,6,FALSE),H138+1,1)))=FALSE(),J_ADDDAY(VLOOKUP(I138,A:F,6,FALSE),H138+1,1),IF(OR(j_WEEKDAY(J_ADDDAY(VLOOKUP(I138,A:F,6,FALSE),H138+2,1),0)=6,SUMIFS(Holieday[ok],Holieday[date],J_ADDDAY(VLOOKUP(I138,A:F,6,FALSE),H138+2,1)))=FALSE(),J_ADDDAY(VLOOKUP(I138,A:F,6,FALSE),H138+2,1),IF(OR(j_WEEKDAY(J_ADDDAY(VLOOKUP(I138,A:F,6,FALSE),H138+3,1),0)=6,SUMIFS(Holieday[ok],Holieday[date],J_ADDDAY(VLOOKUP(I138,A:F,6,FALSE),H138+3,1)))=FALSE(),J_ADDDAY(VLOOKUP(I138,A:F,6,FALSE),H138+3,1),IF(OR(j_WEEKDAY(J_ADDDAY(VLOOKUP(I138,A:F,6,FALSE),H138+4,1),0)=6,SUMIFS(Holieday[ok],Holieday[date],J_ADDDAY(VLOOKUP(I138,A:F,6,FALSE),H138+4,1)))=FALSE(),J_ADDDAY(VLOOKUP(I138,A:F,6,FALSE),H138+4,1),J_ADDDAY(VLOOKUP(I138,A:F,6,FALSE),H138+5,1))))))</f>
        <v>1398/07/29</v>
      </c>
      <c r="E138" s="2">
        <f t="shared" si="41"/>
        <v>13980729</v>
      </c>
      <c r="F138" s="13" t="str">
        <f>IF(N138=0,J_SUBDAY(D138,1,1),IF((N138-NETWORKDAYS.INTL(J_GregorianDate(D138,1),J_GregorianDate(J_SUBDAY(J_ADDDAY(D138,N138,1),1,1),1),16,1)-SUMIFS(Holieday[ok],Holieday[date],CONCATENATE("&gt;","=",D138),Holieday[date],CONCATENATE("&lt;","=",J_SUBDAY(J_ADDDAY(D138,N138,1),1,1)))+SUMIFS(Holieday[Friday],Holieday[date],CONCATENATE("&gt;","=",D138),Holieday[date],CONCATENATE("&lt;","=",J_SUBDAY(J_ADDDAY(D138,N138,1),1,1))))=0,J_SUBDAY(J_ADDDAY(D138,N138,1),1,1),IF((N138-NETWORKDAYS.INTL(J_GregorianDate(D138,1),J_GregorianDate(J_SUBDAY(J_ADDDAY(D138,N138,1),1,1),1),16,1)-SUMIFS(Holieday[ok],Holieday[date],CONCATENATE("&gt;","=",D138),Holieday[date],CONCATENATE("&lt;","=",J_SUBDAY(J_ADDDAY(D138,N138,1),1,1)))+SUMIFS(Holieday[Friday],Holieday[date],CONCATENATE("&gt;","=",D138),Holieday[date],CONCATENATE("&lt;","=",J_SUBDAY(J_ADDDAY(D138,N138,1),1,1))))=1,J_SUBDAY(J_ADDDAY(D138,N138+1,1),1,1),IF((N138-NETWORKDAYS.INTL(J_GregorianDate(D138,1),J_GregorianDate(J_SUBDAY(J_ADDDAY(D138,N138,1),1,1),1),16,1)-SUMIFS(Holieday[ok],Holieday[date],CONCATENATE("&gt;","=",D138),Holieday[date],CONCATENATE("&lt;","=",J_SUBDAY(J_ADDDAY(D138,N138,1),1,1)))+SUMIFS(Holieday[Friday],Holieday[date],CONCATENATE("&gt;","=",D138),Holieday[date],CONCATENATE("&lt;","=",J_SUBDAY(J_ADDDAY(D138,N138,1),1,1))))=2,J_SUBDAY(J_ADDDAY(D138,N138+2,1),1,1),J_SUBDAY(J_ADDDAY(D138,N138+3,1),1,1)))))</f>
        <v>1398/07/28</v>
      </c>
      <c r="G138" s="3">
        <f t="shared" si="42"/>
        <v>13980728</v>
      </c>
      <c r="H138" s="119"/>
      <c r="I138" s="120">
        <v>6.3</v>
      </c>
      <c r="J138" s="10">
        <f>j_WEEKDAY(D138,2)</f>
        <v>2</v>
      </c>
      <c r="K138" s="22">
        <f t="shared" si="45"/>
        <v>0</v>
      </c>
      <c r="L138" s="9">
        <f t="shared" si="46"/>
        <v>0</v>
      </c>
      <c r="M138" s="121">
        <v>0</v>
      </c>
      <c r="N138" s="118">
        <v>0</v>
      </c>
      <c r="O138" s="11">
        <f t="shared" si="47"/>
        <v>0</v>
      </c>
      <c r="P138" s="11">
        <f>VALUE(J_normdate(J_ADDDAY($D138,$O138,1)))</f>
        <v>13980729</v>
      </c>
      <c r="Q138" s="10">
        <f t="shared" si="48"/>
        <v>0</v>
      </c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/>
      <c r="BD138" s="8"/>
      <c r="BE138" s="8"/>
      <c r="BF138" s="8"/>
      <c r="BG138" s="8"/>
      <c r="BH138" s="8"/>
      <c r="BI138" s="8"/>
      <c r="BJ138" s="8"/>
      <c r="BK138" s="8"/>
      <c r="BL138" s="8"/>
      <c r="BM138" s="8"/>
      <c r="BN138" s="8"/>
      <c r="BO138" s="8"/>
      <c r="BP138" s="8"/>
      <c r="BQ138" s="8"/>
      <c r="BR138" s="8"/>
      <c r="BS138" s="8"/>
      <c r="BT138" s="8"/>
      <c r="BU138" s="8"/>
      <c r="BV138" s="8"/>
      <c r="BW138" s="8"/>
      <c r="BX138" s="8"/>
      <c r="BY138" s="8"/>
      <c r="BZ138" s="8"/>
      <c r="CA138" s="8"/>
      <c r="CB138" s="8"/>
      <c r="CC138" s="8"/>
      <c r="CD138" s="8"/>
      <c r="CE138" s="8"/>
      <c r="CF138" s="8"/>
      <c r="CG138" s="8"/>
      <c r="CH138" s="8"/>
      <c r="CI138" s="8"/>
      <c r="CJ138" s="8"/>
      <c r="CK138" s="8"/>
      <c r="CL138" s="8"/>
      <c r="CM138" s="8"/>
      <c r="CN138" s="8"/>
      <c r="CO138" s="8"/>
      <c r="CP138" s="8"/>
      <c r="CQ138" s="8"/>
      <c r="CR138" s="8"/>
      <c r="CS138" s="8"/>
      <c r="CT138" s="8"/>
      <c r="CU138" s="8"/>
      <c r="CV138" s="8"/>
      <c r="CW138" s="8"/>
      <c r="CX138" s="8"/>
      <c r="CY138" s="8"/>
      <c r="CZ138" s="8"/>
      <c r="DA138" s="8"/>
      <c r="DB138" s="8"/>
      <c r="DC138" s="8"/>
      <c r="DD138" s="8"/>
      <c r="DE138" s="8"/>
      <c r="DF138" s="8"/>
      <c r="DG138" s="8"/>
      <c r="DH138" s="8"/>
      <c r="DI138" s="8"/>
      <c r="DJ138" s="8"/>
      <c r="DK138" s="8"/>
      <c r="DL138" s="8"/>
      <c r="DM138" s="8"/>
      <c r="DN138" s="8"/>
      <c r="DO138" s="8"/>
      <c r="DP138" s="8"/>
      <c r="DQ138" s="8"/>
      <c r="DR138" s="8"/>
      <c r="DS138" s="8"/>
      <c r="DT138" s="8"/>
      <c r="DU138" s="8"/>
      <c r="DV138" s="8"/>
      <c r="DW138" s="8"/>
      <c r="DX138" s="8"/>
      <c r="DY138" s="8"/>
      <c r="DZ138" s="8"/>
      <c r="EA138" s="8"/>
      <c r="EB138" s="8"/>
      <c r="EC138" s="8"/>
      <c r="ED138" s="8"/>
      <c r="EE138" s="8"/>
      <c r="EF138" s="8"/>
      <c r="EG138" s="8"/>
      <c r="EH138" s="8"/>
      <c r="EI138" s="8"/>
      <c r="EJ138" s="8"/>
      <c r="EK138" s="8"/>
      <c r="EL138" s="8"/>
      <c r="EM138" s="8"/>
      <c r="EN138" s="8"/>
      <c r="EO138" s="8"/>
      <c r="EP138" s="8"/>
      <c r="EQ138" s="8"/>
      <c r="ER138" s="8"/>
      <c r="ES138" s="8"/>
      <c r="ET138" s="8"/>
      <c r="EU138" s="8"/>
      <c r="EV138" s="8"/>
      <c r="EW138" s="8"/>
      <c r="EX138" s="8"/>
      <c r="EY138" s="8"/>
      <c r="EZ138" s="8"/>
      <c r="FA138" s="8"/>
      <c r="FB138" s="8"/>
      <c r="FC138" s="8"/>
      <c r="FD138" s="8"/>
      <c r="FE138" s="8"/>
      <c r="FF138" s="8"/>
      <c r="FG138" s="8"/>
      <c r="FH138" s="8"/>
      <c r="FI138" s="8"/>
      <c r="FJ138" s="8"/>
      <c r="FK138" s="8"/>
      <c r="FL138" s="8"/>
      <c r="FM138" s="8"/>
      <c r="FN138" s="8"/>
      <c r="FO138" s="8"/>
      <c r="FP138" s="8"/>
      <c r="FQ138" s="8"/>
      <c r="FR138" s="8"/>
      <c r="FS138" s="8"/>
      <c r="FT138" s="8"/>
      <c r="FU138" s="8"/>
      <c r="FV138" s="8"/>
      <c r="FW138" s="8"/>
      <c r="FX138" s="8"/>
      <c r="FY138" s="8"/>
      <c r="FZ138" s="8"/>
      <c r="GA138" s="8"/>
      <c r="GB138" s="8"/>
      <c r="GC138" s="8"/>
      <c r="GD138" s="8"/>
      <c r="GE138" s="8"/>
      <c r="GF138" s="8"/>
      <c r="GG138" s="8"/>
      <c r="GH138" s="8"/>
      <c r="GI138" s="8"/>
      <c r="GJ138" s="8"/>
      <c r="GK138" s="8"/>
      <c r="GL138" s="8"/>
      <c r="GM138" s="8"/>
      <c r="GN138" s="8"/>
      <c r="GO138" s="8"/>
      <c r="GP138" s="8"/>
      <c r="GQ138" s="8"/>
      <c r="GR138" s="8"/>
      <c r="GS138" s="8"/>
      <c r="GT138" s="8"/>
      <c r="GU138" s="8"/>
      <c r="GV138" s="8"/>
      <c r="GW138" s="8"/>
      <c r="GX138" s="8"/>
      <c r="GY138" s="8"/>
      <c r="GZ138" s="8"/>
      <c r="HA138" s="8"/>
      <c r="HB138" s="8"/>
      <c r="HC138" s="8"/>
      <c r="HD138" s="8"/>
      <c r="HE138" s="8"/>
      <c r="HF138" s="8"/>
      <c r="HG138" s="8"/>
      <c r="HH138" s="8"/>
      <c r="HI138" s="8"/>
      <c r="HJ138" s="8"/>
      <c r="HK138" s="8"/>
      <c r="HL138" s="8"/>
      <c r="HM138" s="8"/>
      <c r="HN138" s="8"/>
      <c r="HO138" s="8"/>
      <c r="HP138" s="8"/>
      <c r="HQ138" s="8"/>
      <c r="HR138" s="8"/>
      <c r="HS138" s="8"/>
      <c r="HT138" s="8"/>
      <c r="HU138" s="8"/>
      <c r="HV138" s="8"/>
      <c r="HW138" s="8"/>
      <c r="HX138" s="8"/>
      <c r="HY138" s="8"/>
      <c r="HZ138" s="8"/>
      <c r="IA138" s="8"/>
      <c r="IB138" s="8"/>
      <c r="IC138" s="8"/>
      <c r="ID138" s="8"/>
      <c r="IE138" s="8"/>
      <c r="IF138" s="8"/>
      <c r="IG138" s="8"/>
      <c r="IH138" s="8"/>
      <c r="II138" s="8"/>
      <c r="IJ138" s="8"/>
      <c r="IK138" s="8"/>
      <c r="IL138" s="8"/>
      <c r="IM138" s="8"/>
      <c r="IN138" s="8"/>
      <c r="IO138" s="8"/>
      <c r="IP138" s="8"/>
      <c r="IQ138" s="8"/>
      <c r="IR138" s="8"/>
      <c r="IS138" s="8"/>
      <c r="IT138" s="8"/>
      <c r="IU138" s="8"/>
      <c r="IV138" s="8"/>
      <c r="IW138" s="8"/>
      <c r="IX138" s="8"/>
      <c r="IY138" s="12">
        <v>1</v>
      </c>
      <c r="IZ138" s="12">
        <f>(TEXT(K138,"[m]")/60)*VLOOKUP(IY138,'Income Person-hours'!A$2:C$5,3,FALSE)</f>
        <v>0</v>
      </c>
      <c r="JA138" s="123"/>
      <c r="JB138" s="123"/>
      <c r="JC138" s="123"/>
      <c r="JD138" s="70">
        <f>SUM((TEXT(JA138,"[M]")/60)*'Income Person-hours'!$D$3,(TEXT(JB138,"[M]")/60)*'Income Person-hours'!$D$4,(TEXT(JC138,"[M]")/60)*'Income Person-hours'!$D$5)</f>
        <v>0</v>
      </c>
    </row>
    <row r="139" spans="1:16382" s="12" customFormat="1" ht="15.75" hidden="1" x14ac:dyDescent="0.45">
      <c r="A139" s="201">
        <v>6.8</v>
      </c>
      <c r="B139" s="126"/>
      <c r="C139" s="117"/>
      <c r="D139" s="13" t="str">
        <f>IF(OR(j_WEEKDAY(J_ADDDAY(VLOOKUP(I139,A:F,6,FALSE),H139,1),0)=6,SUMIFS(Holieday[ok],Holieday[date],J_ADDDAY(VLOOKUP(I139,A:F,6,FALSE),H139,1)))=FALSE(),J_ADDDAY(VLOOKUP(I139,A:F,6,FALSE),H139,1),IF(OR(j_WEEKDAY(J_ADDDAY(VLOOKUP(I139,A:F,6,FALSE),H139+1,1),0)=6,SUMIFS(Holieday[ok],Holieday[date],J_ADDDAY(VLOOKUP(I139,A:F,6,FALSE),H139+1,1)))=FALSE(),J_ADDDAY(VLOOKUP(I139,A:F,6,FALSE),H139+1,1),IF(OR(j_WEEKDAY(J_ADDDAY(VLOOKUP(I139,A:F,6,FALSE),H139+2,1),0)=6,SUMIFS(Holieday[ok],Holieday[date],J_ADDDAY(VLOOKUP(I139,A:F,6,FALSE),H139+2,1)))=FALSE(),J_ADDDAY(VLOOKUP(I139,A:F,6,FALSE),H139+2,1),IF(OR(j_WEEKDAY(J_ADDDAY(VLOOKUP(I139,A:F,6,FALSE),H139+3,1),0)=6,SUMIFS(Holieday[ok],Holieday[date],J_ADDDAY(VLOOKUP(I139,A:F,6,FALSE),H139+3,1)))=FALSE(),J_ADDDAY(VLOOKUP(I139,A:F,6,FALSE),H139+3,1),IF(OR(j_WEEKDAY(J_ADDDAY(VLOOKUP(I139,A:F,6,FALSE),H139+4,1),0)=6,SUMIFS(Holieday[ok],Holieday[date],J_ADDDAY(VLOOKUP(I139,A:F,6,FALSE),H139+4,1)))=FALSE(),J_ADDDAY(VLOOKUP(I139,A:F,6,FALSE),H139+4,1),J_ADDDAY(VLOOKUP(I139,A:F,6,FALSE),H139+5,1))))))</f>
        <v>1398/07/29</v>
      </c>
      <c r="E139" s="2">
        <f t="shared" si="41"/>
        <v>13980729</v>
      </c>
      <c r="F139" s="13" t="str">
        <f>IF(N139=0,J_SUBDAY(D139,1,1),IF((N139-NETWORKDAYS.INTL(J_GregorianDate(D139,1),J_GregorianDate(J_SUBDAY(J_ADDDAY(D139,N139,1),1,1),1),16,1)-SUMIFS(Holieday[ok],Holieday[date],CONCATENATE("&gt;","=",D139),Holieday[date],CONCATENATE("&lt;","=",J_SUBDAY(J_ADDDAY(D139,N139,1),1,1)))+SUMIFS(Holieday[Friday],Holieday[date],CONCATENATE("&gt;","=",D139),Holieday[date],CONCATENATE("&lt;","=",J_SUBDAY(J_ADDDAY(D139,N139,1),1,1))))=0,J_SUBDAY(J_ADDDAY(D139,N139,1),1,1),IF((N139-NETWORKDAYS.INTL(J_GregorianDate(D139,1),J_GregorianDate(J_SUBDAY(J_ADDDAY(D139,N139,1),1,1),1),16,1)-SUMIFS(Holieday[ok],Holieday[date],CONCATENATE("&gt;","=",D139),Holieday[date],CONCATENATE("&lt;","=",J_SUBDAY(J_ADDDAY(D139,N139,1),1,1)))+SUMIFS(Holieday[Friday],Holieday[date],CONCATENATE("&gt;","=",D139),Holieday[date],CONCATENATE("&lt;","=",J_SUBDAY(J_ADDDAY(D139,N139,1),1,1))))=1,J_SUBDAY(J_ADDDAY(D139,N139+1,1),1,1),IF((N139-NETWORKDAYS.INTL(J_GregorianDate(D139,1),J_GregorianDate(J_SUBDAY(J_ADDDAY(D139,N139,1),1,1),1),16,1)-SUMIFS(Holieday[ok],Holieday[date],CONCATENATE("&gt;","=",D139),Holieday[date],CONCATENATE("&lt;","=",J_SUBDAY(J_ADDDAY(D139,N139,1),1,1)))+SUMIFS(Holieday[Friday],Holieday[date],CONCATENATE("&gt;","=",D139),Holieday[date],CONCATENATE("&lt;","=",J_SUBDAY(J_ADDDAY(D139,N139,1),1,1))))=2,J_SUBDAY(J_ADDDAY(D139,N139+2,1),1,1),J_SUBDAY(J_ADDDAY(D139,N139+3,1),1,1)))))</f>
        <v>1398/07/28</v>
      </c>
      <c r="G139" s="3">
        <f t="shared" si="42"/>
        <v>13980728</v>
      </c>
      <c r="H139" s="119"/>
      <c r="I139" s="120">
        <v>6.3</v>
      </c>
      <c r="J139" s="10">
        <f>j_WEEKDAY(D139,2)</f>
        <v>2</v>
      </c>
      <c r="K139" s="22">
        <f t="shared" si="45"/>
        <v>0</v>
      </c>
      <c r="L139" s="9">
        <f t="shared" si="46"/>
        <v>0</v>
      </c>
      <c r="M139" s="121">
        <v>0</v>
      </c>
      <c r="N139" s="118">
        <v>0</v>
      </c>
      <c r="O139" s="11">
        <f t="shared" si="47"/>
        <v>0</v>
      </c>
      <c r="P139" s="11">
        <f>VALUE(J_normdate(J_ADDDAY($D139,$O139,1)))</f>
        <v>13980729</v>
      </c>
      <c r="Q139" s="10">
        <f t="shared" si="48"/>
        <v>0</v>
      </c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/>
      <c r="BE139" s="8"/>
      <c r="BF139" s="8"/>
      <c r="BG139" s="8"/>
      <c r="BH139" s="8"/>
      <c r="BI139" s="8"/>
      <c r="BJ139" s="8"/>
      <c r="BK139" s="8"/>
      <c r="BL139" s="8"/>
      <c r="BM139" s="8"/>
      <c r="BN139" s="8"/>
      <c r="BO139" s="8"/>
      <c r="BP139" s="8"/>
      <c r="BQ139" s="8"/>
      <c r="BR139" s="8"/>
      <c r="BS139" s="8"/>
      <c r="BT139" s="8"/>
      <c r="BU139" s="8"/>
      <c r="BV139" s="8"/>
      <c r="BW139" s="8"/>
      <c r="BX139" s="8"/>
      <c r="BY139" s="8"/>
      <c r="BZ139" s="8"/>
      <c r="CA139" s="8"/>
      <c r="CB139" s="8"/>
      <c r="CC139" s="8"/>
      <c r="CD139" s="8"/>
      <c r="CE139" s="8"/>
      <c r="CF139" s="8"/>
      <c r="CG139" s="8"/>
      <c r="CH139" s="8"/>
      <c r="CI139" s="8"/>
      <c r="CJ139" s="8"/>
      <c r="CK139" s="8"/>
      <c r="CL139" s="8"/>
      <c r="CM139" s="8"/>
      <c r="CN139" s="8"/>
      <c r="CO139" s="8"/>
      <c r="CP139" s="8"/>
      <c r="CQ139" s="8"/>
      <c r="CR139" s="8"/>
      <c r="CS139" s="8"/>
      <c r="CT139" s="8"/>
      <c r="CU139" s="8"/>
      <c r="CV139" s="8"/>
      <c r="CW139" s="8"/>
      <c r="CX139" s="8"/>
      <c r="CY139" s="8"/>
      <c r="CZ139" s="8"/>
      <c r="DA139" s="8"/>
      <c r="DB139" s="8"/>
      <c r="DC139" s="8"/>
      <c r="DD139" s="8"/>
      <c r="DE139" s="8"/>
      <c r="DF139" s="8"/>
      <c r="DG139" s="8"/>
      <c r="DH139" s="8"/>
      <c r="DI139" s="8"/>
      <c r="DJ139" s="8"/>
      <c r="DK139" s="8"/>
      <c r="DL139" s="8"/>
      <c r="DM139" s="8"/>
      <c r="DN139" s="8"/>
      <c r="DO139" s="8"/>
      <c r="DP139" s="8"/>
      <c r="DQ139" s="8"/>
      <c r="DR139" s="8"/>
      <c r="DS139" s="8"/>
      <c r="DT139" s="8"/>
      <c r="DU139" s="8"/>
      <c r="DV139" s="8"/>
      <c r="DW139" s="8"/>
      <c r="DX139" s="8"/>
      <c r="DY139" s="8"/>
      <c r="DZ139" s="8"/>
      <c r="EA139" s="8"/>
      <c r="EB139" s="8"/>
      <c r="EC139" s="8"/>
      <c r="ED139" s="8"/>
      <c r="EE139" s="8"/>
      <c r="EF139" s="8"/>
      <c r="EG139" s="8"/>
      <c r="EH139" s="8"/>
      <c r="EI139" s="8"/>
      <c r="EJ139" s="8"/>
      <c r="EK139" s="8"/>
      <c r="EL139" s="8"/>
      <c r="EM139" s="8"/>
      <c r="EN139" s="8"/>
      <c r="EO139" s="8"/>
      <c r="EP139" s="8"/>
      <c r="EQ139" s="8"/>
      <c r="ER139" s="8"/>
      <c r="ES139" s="8"/>
      <c r="ET139" s="8"/>
      <c r="EU139" s="8"/>
      <c r="EV139" s="8"/>
      <c r="EW139" s="8"/>
      <c r="EX139" s="8"/>
      <c r="EY139" s="8"/>
      <c r="EZ139" s="8"/>
      <c r="FA139" s="8"/>
      <c r="FB139" s="8"/>
      <c r="FC139" s="8"/>
      <c r="FD139" s="8"/>
      <c r="FE139" s="8"/>
      <c r="FF139" s="8"/>
      <c r="FG139" s="8"/>
      <c r="FH139" s="8"/>
      <c r="FI139" s="8"/>
      <c r="FJ139" s="8"/>
      <c r="FK139" s="8"/>
      <c r="FL139" s="8"/>
      <c r="FM139" s="8"/>
      <c r="FN139" s="8"/>
      <c r="FO139" s="8"/>
      <c r="FP139" s="8"/>
      <c r="FQ139" s="8"/>
      <c r="FR139" s="8"/>
      <c r="FS139" s="8"/>
      <c r="FT139" s="8"/>
      <c r="FU139" s="8"/>
      <c r="FV139" s="8"/>
      <c r="FW139" s="8"/>
      <c r="FX139" s="8"/>
      <c r="FY139" s="8"/>
      <c r="FZ139" s="8"/>
      <c r="GA139" s="8"/>
      <c r="GB139" s="8"/>
      <c r="GC139" s="8"/>
      <c r="GD139" s="8"/>
      <c r="GE139" s="8"/>
      <c r="GF139" s="8"/>
      <c r="GG139" s="8"/>
      <c r="GH139" s="8"/>
      <c r="GI139" s="8"/>
      <c r="GJ139" s="8"/>
      <c r="GK139" s="8"/>
      <c r="GL139" s="8"/>
      <c r="GM139" s="8"/>
      <c r="GN139" s="8"/>
      <c r="GO139" s="8"/>
      <c r="GP139" s="8"/>
      <c r="GQ139" s="8"/>
      <c r="GR139" s="8"/>
      <c r="GS139" s="8"/>
      <c r="GT139" s="8"/>
      <c r="GU139" s="8"/>
      <c r="GV139" s="8"/>
      <c r="GW139" s="8"/>
      <c r="GX139" s="8"/>
      <c r="GY139" s="8"/>
      <c r="GZ139" s="8"/>
      <c r="HA139" s="8"/>
      <c r="HB139" s="8"/>
      <c r="HC139" s="8"/>
      <c r="HD139" s="8"/>
      <c r="HE139" s="8"/>
      <c r="HF139" s="8"/>
      <c r="HG139" s="8"/>
      <c r="HH139" s="8"/>
      <c r="HI139" s="8"/>
      <c r="HJ139" s="8"/>
      <c r="HK139" s="8"/>
      <c r="HL139" s="8"/>
      <c r="HM139" s="8"/>
      <c r="HN139" s="8"/>
      <c r="HO139" s="8"/>
      <c r="HP139" s="8"/>
      <c r="HQ139" s="8"/>
      <c r="HR139" s="8"/>
      <c r="HS139" s="8"/>
      <c r="HT139" s="8"/>
      <c r="HU139" s="8"/>
      <c r="HV139" s="8"/>
      <c r="HW139" s="8"/>
      <c r="HX139" s="8"/>
      <c r="HY139" s="8"/>
      <c r="HZ139" s="8"/>
      <c r="IA139" s="8"/>
      <c r="IB139" s="8"/>
      <c r="IC139" s="8"/>
      <c r="ID139" s="8"/>
      <c r="IE139" s="8"/>
      <c r="IF139" s="8"/>
      <c r="IG139" s="8"/>
      <c r="IH139" s="8"/>
      <c r="II139" s="8"/>
      <c r="IJ139" s="8"/>
      <c r="IK139" s="8"/>
      <c r="IL139" s="8"/>
      <c r="IM139" s="8"/>
      <c r="IN139" s="8"/>
      <c r="IO139" s="8"/>
      <c r="IP139" s="8"/>
      <c r="IQ139" s="8"/>
      <c r="IR139" s="8"/>
      <c r="IS139" s="8"/>
      <c r="IT139" s="8"/>
      <c r="IU139" s="8"/>
      <c r="IV139" s="8"/>
      <c r="IW139" s="8"/>
      <c r="IX139" s="8"/>
      <c r="IY139" s="12">
        <v>2</v>
      </c>
      <c r="IZ139" s="12">
        <f>(TEXT(K139,"[m]")/60)*VLOOKUP(IY139,'Income Person-hours'!A$2:C$5,3,FALSE)</f>
        <v>0</v>
      </c>
      <c r="JA139" s="123"/>
      <c r="JB139" s="123"/>
      <c r="JC139" s="123"/>
      <c r="JD139" s="70">
        <f>SUM((TEXT(JA139,"[M]")/60)*'Income Person-hours'!$D$3,(TEXT(JB139,"[M]")/60)*'Income Person-hours'!$D$4,(TEXT(JC139,"[M]")/60)*'Income Person-hours'!$D$5)</f>
        <v>0</v>
      </c>
    </row>
    <row r="140" spans="1:16382" s="12" customFormat="1" ht="15.75" hidden="1" x14ac:dyDescent="0.45">
      <c r="A140" s="201">
        <v>6.9</v>
      </c>
      <c r="B140" s="126"/>
      <c r="C140" s="117"/>
      <c r="D140" s="13" t="str">
        <f>IF(OR(j_WEEKDAY(J_ADDDAY(VLOOKUP(I140,A:F,6,FALSE),H140,1),0)=6,SUMIFS(Holieday[ok],Holieday[date],J_ADDDAY(VLOOKUP(I140,A:F,6,FALSE),H140,1)))=FALSE(),J_ADDDAY(VLOOKUP(I140,A:F,6,FALSE),H140,1),IF(OR(j_WEEKDAY(J_ADDDAY(VLOOKUP(I140,A:F,6,FALSE),H140+1,1),0)=6,SUMIFS(Holieday[ok],Holieday[date],J_ADDDAY(VLOOKUP(I140,A:F,6,FALSE),H140+1,1)))=FALSE(),J_ADDDAY(VLOOKUP(I140,A:F,6,FALSE),H140+1,1),IF(OR(j_WEEKDAY(J_ADDDAY(VLOOKUP(I140,A:F,6,FALSE),H140+2,1),0)=6,SUMIFS(Holieday[ok],Holieday[date],J_ADDDAY(VLOOKUP(I140,A:F,6,FALSE),H140+2,1)))=FALSE(),J_ADDDAY(VLOOKUP(I140,A:F,6,FALSE),H140+2,1),IF(OR(j_WEEKDAY(J_ADDDAY(VLOOKUP(I140,A:F,6,FALSE),H140+3,1),0)=6,SUMIFS(Holieday[ok],Holieday[date],J_ADDDAY(VLOOKUP(I140,A:F,6,FALSE),H140+3,1)))=FALSE(),J_ADDDAY(VLOOKUP(I140,A:F,6,FALSE),H140+3,1),IF(OR(j_WEEKDAY(J_ADDDAY(VLOOKUP(I140,A:F,6,FALSE),H140+4,1),0)=6,SUMIFS(Holieday[ok],Holieday[date],J_ADDDAY(VLOOKUP(I140,A:F,6,FALSE),H140+4,1)))=FALSE(),J_ADDDAY(VLOOKUP(I140,A:F,6,FALSE),H140+4,1),J_ADDDAY(VLOOKUP(I140,A:F,6,FALSE),H140+5,1))))))</f>
        <v>1398/07/29</v>
      </c>
      <c r="E140" s="2">
        <f t="shared" si="41"/>
        <v>13980729</v>
      </c>
      <c r="F140" s="13" t="str">
        <f>IF(N140=0,J_SUBDAY(D140,1,1),IF((N140-NETWORKDAYS.INTL(J_GregorianDate(D140,1),J_GregorianDate(J_SUBDAY(J_ADDDAY(D140,N140,1),1,1),1),16,1)-SUMIFS(Holieday[ok],Holieday[date],CONCATENATE("&gt;","=",D140),Holieday[date],CONCATENATE("&lt;","=",J_SUBDAY(J_ADDDAY(D140,N140,1),1,1)))+SUMIFS(Holieday[Friday],Holieday[date],CONCATENATE("&gt;","=",D140),Holieday[date],CONCATENATE("&lt;","=",J_SUBDAY(J_ADDDAY(D140,N140,1),1,1))))=0,J_SUBDAY(J_ADDDAY(D140,N140,1),1,1),IF((N140-NETWORKDAYS.INTL(J_GregorianDate(D140,1),J_GregorianDate(J_SUBDAY(J_ADDDAY(D140,N140,1),1,1),1),16,1)-SUMIFS(Holieday[ok],Holieday[date],CONCATENATE("&gt;","=",D140),Holieday[date],CONCATENATE("&lt;","=",J_SUBDAY(J_ADDDAY(D140,N140,1),1,1)))+SUMIFS(Holieday[Friday],Holieday[date],CONCATENATE("&gt;","=",D140),Holieday[date],CONCATENATE("&lt;","=",J_SUBDAY(J_ADDDAY(D140,N140,1),1,1))))=1,J_SUBDAY(J_ADDDAY(D140,N140+1,1),1,1),IF((N140-NETWORKDAYS.INTL(J_GregorianDate(D140,1),J_GregorianDate(J_SUBDAY(J_ADDDAY(D140,N140,1),1,1),1),16,1)-SUMIFS(Holieday[ok],Holieday[date],CONCATENATE("&gt;","=",D140),Holieday[date],CONCATENATE("&lt;","=",J_SUBDAY(J_ADDDAY(D140,N140,1),1,1)))+SUMIFS(Holieday[Friday],Holieday[date],CONCATENATE("&gt;","=",D140),Holieday[date],CONCATENATE("&lt;","=",J_SUBDAY(J_ADDDAY(D140,N140,1),1,1))))=2,J_SUBDAY(J_ADDDAY(D140,N140+2,1),1,1),J_SUBDAY(J_ADDDAY(D140,N140+3,1),1,1)))))</f>
        <v>1398/07/28</v>
      </c>
      <c r="G140" s="3">
        <f t="shared" si="42"/>
        <v>13980728</v>
      </c>
      <c r="H140" s="119"/>
      <c r="I140" s="120">
        <v>6.3</v>
      </c>
      <c r="J140" s="10">
        <f>j_WEEKDAY(D140,2)</f>
        <v>2</v>
      </c>
      <c r="K140" s="22">
        <f t="shared" si="45"/>
        <v>0</v>
      </c>
      <c r="L140" s="9">
        <f t="shared" si="46"/>
        <v>0</v>
      </c>
      <c r="M140" s="121">
        <v>0</v>
      </c>
      <c r="N140" s="118">
        <v>0</v>
      </c>
      <c r="O140" s="11">
        <f t="shared" si="47"/>
        <v>0</v>
      </c>
      <c r="P140" s="11">
        <f>VALUE(J_normdate(J_ADDDAY($D140,$O140,1)))</f>
        <v>13980729</v>
      </c>
      <c r="Q140" s="10">
        <f t="shared" si="48"/>
        <v>0</v>
      </c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D140" s="8"/>
      <c r="BE140" s="8"/>
      <c r="BF140" s="8"/>
      <c r="BG140" s="8"/>
      <c r="BH140" s="8"/>
      <c r="BI140" s="8"/>
      <c r="BJ140" s="8"/>
      <c r="BK140" s="8"/>
      <c r="BL140" s="8"/>
      <c r="BM140" s="8"/>
      <c r="BN140" s="8"/>
      <c r="BO140" s="8"/>
      <c r="BP140" s="8"/>
      <c r="BQ140" s="8"/>
      <c r="BR140" s="8"/>
      <c r="BS140" s="8"/>
      <c r="BT140" s="8"/>
      <c r="BU140" s="8"/>
      <c r="BV140" s="8"/>
      <c r="BW140" s="8"/>
      <c r="BX140" s="8"/>
      <c r="BY140" s="8"/>
      <c r="BZ140" s="8"/>
      <c r="CA140" s="8"/>
      <c r="CB140" s="8"/>
      <c r="CC140" s="8"/>
      <c r="CD140" s="8"/>
      <c r="CE140" s="8"/>
      <c r="CF140" s="8"/>
      <c r="CG140" s="8"/>
      <c r="CH140" s="8"/>
      <c r="CI140" s="8"/>
      <c r="CJ140" s="8"/>
      <c r="CK140" s="8"/>
      <c r="CL140" s="8"/>
      <c r="CM140" s="8"/>
      <c r="CN140" s="8"/>
      <c r="CO140" s="8"/>
      <c r="CP140" s="8"/>
      <c r="CQ140" s="8"/>
      <c r="CR140" s="8"/>
      <c r="CS140" s="8"/>
      <c r="CT140" s="8"/>
      <c r="CU140" s="8"/>
      <c r="CV140" s="8"/>
      <c r="CW140" s="8"/>
      <c r="CX140" s="8"/>
      <c r="CY140" s="8"/>
      <c r="CZ140" s="8"/>
      <c r="DA140" s="8"/>
      <c r="DB140" s="8"/>
      <c r="DC140" s="8"/>
      <c r="DD140" s="8"/>
      <c r="DE140" s="8"/>
      <c r="DF140" s="8"/>
      <c r="DG140" s="8"/>
      <c r="DH140" s="8"/>
      <c r="DI140" s="8"/>
      <c r="DJ140" s="8"/>
      <c r="DK140" s="8"/>
      <c r="DL140" s="8"/>
      <c r="DM140" s="8"/>
      <c r="DN140" s="8"/>
      <c r="DO140" s="8"/>
      <c r="DP140" s="8"/>
      <c r="DQ140" s="8"/>
      <c r="DR140" s="8"/>
      <c r="DS140" s="8"/>
      <c r="DT140" s="8"/>
      <c r="DU140" s="8"/>
      <c r="DV140" s="8"/>
      <c r="DW140" s="8"/>
      <c r="DX140" s="8"/>
      <c r="DY140" s="8"/>
      <c r="DZ140" s="8"/>
      <c r="EA140" s="8"/>
      <c r="EB140" s="8"/>
      <c r="EC140" s="8"/>
      <c r="ED140" s="8"/>
      <c r="EE140" s="8"/>
      <c r="EF140" s="8"/>
      <c r="EG140" s="8"/>
      <c r="EH140" s="8"/>
      <c r="EI140" s="8"/>
      <c r="EJ140" s="8"/>
      <c r="EK140" s="8"/>
      <c r="EL140" s="8"/>
      <c r="EM140" s="8"/>
      <c r="EN140" s="8"/>
      <c r="EO140" s="8"/>
      <c r="EP140" s="8"/>
      <c r="EQ140" s="8"/>
      <c r="ER140" s="8"/>
      <c r="ES140" s="8"/>
      <c r="ET140" s="8"/>
      <c r="EU140" s="8"/>
      <c r="EV140" s="8"/>
      <c r="EW140" s="8"/>
      <c r="EX140" s="8"/>
      <c r="EY140" s="8"/>
      <c r="EZ140" s="8"/>
      <c r="FA140" s="8"/>
      <c r="FB140" s="8"/>
      <c r="FC140" s="8"/>
      <c r="FD140" s="8"/>
      <c r="FE140" s="8"/>
      <c r="FF140" s="8"/>
      <c r="FG140" s="8"/>
      <c r="FH140" s="8"/>
      <c r="FI140" s="8"/>
      <c r="FJ140" s="8"/>
      <c r="FK140" s="8"/>
      <c r="FL140" s="8"/>
      <c r="FM140" s="8"/>
      <c r="FN140" s="8"/>
      <c r="FO140" s="8"/>
      <c r="FP140" s="8"/>
      <c r="FQ140" s="8"/>
      <c r="FR140" s="8"/>
      <c r="FS140" s="8"/>
      <c r="FT140" s="8"/>
      <c r="FU140" s="8"/>
      <c r="FV140" s="8"/>
      <c r="FW140" s="8"/>
      <c r="FX140" s="8"/>
      <c r="FY140" s="8"/>
      <c r="FZ140" s="8"/>
      <c r="GA140" s="8"/>
      <c r="GB140" s="8"/>
      <c r="GC140" s="8"/>
      <c r="GD140" s="8"/>
      <c r="GE140" s="8"/>
      <c r="GF140" s="8"/>
      <c r="GG140" s="8"/>
      <c r="GH140" s="8"/>
      <c r="GI140" s="8"/>
      <c r="GJ140" s="8"/>
      <c r="GK140" s="8"/>
      <c r="GL140" s="8"/>
      <c r="GM140" s="8"/>
      <c r="GN140" s="8"/>
      <c r="GO140" s="8"/>
      <c r="GP140" s="8"/>
      <c r="GQ140" s="8"/>
      <c r="GR140" s="8"/>
      <c r="GS140" s="8"/>
      <c r="GT140" s="8"/>
      <c r="GU140" s="8"/>
      <c r="GV140" s="8"/>
      <c r="GW140" s="8"/>
      <c r="GX140" s="8"/>
      <c r="GY140" s="8"/>
      <c r="GZ140" s="8"/>
      <c r="HA140" s="8"/>
      <c r="HB140" s="8"/>
      <c r="HC140" s="8"/>
      <c r="HD140" s="8"/>
      <c r="HE140" s="8"/>
      <c r="HF140" s="8"/>
      <c r="HG140" s="8"/>
      <c r="HH140" s="8"/>
      <c r="HI140" s="8"/>
      <c r="HJ140" s="8"/>
      <c r="HK140" s="8"/>
      <c r="HL140" s="8"/>
      <c r="HM140" s="8"/>
      <c r="HN140" s="8"/>
      <c r="HO140" s="8"/>
      <c r="HP140" s="8"/>
      <c r="HQ140" s="8"/>
      <c r="HR140" s="8"/>
      <c r="HS140" s="8"/>
      <c r="HT140" s="8"/>
      <c r="HU140" s="8"/>
      <c r="HV140" s="8"/>
      <c r="HW140" s="8"/>
      <c r="HX140" s="8"/>
      <c r="HY140" s="8"/>
      <c r="HZ140" s="8"/>
      <c r="IA140" s="8"/>
      <c r="IB140" s="8"/>
      <c r="IC140" s="8"/>
      <c r="ID140" s="8"/>
      <c r="IE140" s="8"/>
      <c r="IF140" s="8"/>
      <c r="IG140" s="8"/>
      <c r="IH140" s="8"/>
      <c r="II140" s="8"/>
      <c r="IJ140" s="8"/>
      <c r="IK140" s="8"/>
      <c r="IL140" s="8"/>
      <c r="IM140" s="8"/>
      <c r="IN140" s="8"/>
      <c r="IO140" s="8"/>
      <c r="IP140" s="8"/>
      <c r="IQ140" s="8"/>
      <c r="IR140" s="8"/>
      <c r="IS140" s="8"/>
      <c r="IT140" s="8"/>
      <c r="IU140" s="8"/>
      <c r="IV140" s="8"/>
      <c r="IW140" s="8"/>
      <c r="IX140" s="8"/>
      <c r="JA140" s="123"/>
      <c r="JB140" s="123"/>
      <c r="JC140" s="123"/>
      <c r="JD140" s="70">
        <f>SUM((TEXT(JA140,"[M]")/60)*'Income Person-hours'!$D$3,(TEXT(JB140,"[M]")/60)*'Income Person-hours'!$D$4,(TEXT(JC140,"[M]")/60)*'Income Person-hours'!$D$5)</f>
        <v>0</v>
      </c>
    </row>
    <row r="141" spans="1:16382" s="12" customFormat="1" ht="15.75" hidden="1" x14ac:dyDescent="0.45">
      <c r="A141" s="32">
        <v>6.11</v>
      </c>
      <c r="B141" s="126"/>
      <c r="C141" s="117"/>
      <c r="D141" s="13" t="str">
        <f>IF(OR(j_WEEKDAY(J_ADDDAY(VLOOKUP(I141,A:F,6,FALSE),H141,1),0)=6,SUMIFS(Holieday[ok],Holieday[date],J_ADDDAY(VLOOKUP(I141,A:F,6,FALSE),H141,1)))=FALSE(),J_ADDDAY(VLOOKUP(I141,A:F,6,FALSE),H141,1),IF(OR(j_WEEKDAY(J_ADDDAY(VLOOKUP(I141,A:F,6,FALSE),H141+1,1),0)=6,SUMIFS(Holieday[ok],Holieday[date],J_ADDDAY(VLOOKUP(I141,A:F,6,FALSE),H141+1,1)))=FALSE(),J_ADDDAY(VLOOKUP(I141,A:F,6,FALSE),H141+1,1),IF(OR(j_WEEKDAY(J_ADDDAY(VLOOKUP(I141,A:F,6,FALSE),H141+2,1),0)=6,SUMIFS(Holieday[ok],Holieday[date],J_ADDDAY(VLOOKUP(I141,A:F,6,FALSE),H141+2,1)))=FALSE(),J_ADDDAY(VLOOKUP(I141,A:F,6,FALSE),H141+2,1),IF(OR(j_WEEKDAY(J_ADDDAY(VLOOKUP(I141,A:F,6,FALSE),H141+3,1),0)=6,SUMIFS(Holieday[ok],Holieday[date],J_ADDDAY(VLOOKUP(I141,A:F,6,FALSE),H141+3,1)))=FALSE(),J_ADDDAY(VLOOKUP(I141,A:F,6,FALSE),H141+3,1),IF(OR(j_WEEKDAY(J_ADDDAY(VLOOKUP(I141,A:F,6,FALSE),H141+4,1),0)=6,SUMIFS(Holieday[ok],Holieday[date],J_ADDDAY(VLOOKUP(I141,A:F,6,FALSE),H141+4,1)))=FALSE(),J_ADDDAY(VLOOKUP(I141,A:F,6,FALSE),H141+4,1),J_ADDDAY(VLOOKUP(I141,A:F,6,FALSE),H141+5,1))))))</f>
        <v>1398/07/29</v>
      </c>
      <c r="E141" s="2">
        <f t="shared" si="41"/>
        <v>13980729</v>
      </c>
      <c r="F141" s="13" t="str">
        <f>IF(N141=0,J_SUBDAY(D141,1,1),IF((N141-NETWORKDAYS.INTL(J_GregorianDate(D141,1),J_GregorianDate(J_SUBDAY(J_ADDDAY(D141,N141,1),1,1),1),16,1)-SUMIFS(Holieday[ok],Holieday[date],CONCATENATE("&gt;","=",D141),Holieday[date],CONCATENATE("&lt;","=",J_SUBDAY(J_ADDDAY(D141,N141,1),1,1)))+SUMIFS(Holieday[Friday],Holieday[date],CONCATENATE("&gt;","=",D141),Holieday[date],CONCATENATE("&lt;","=",J_SUBDAY(J_ADDDAY(D141,N141,1),1,1))))=0,J_SUBDAY(J_ADDDAY(D141,N141,1),1,1),IF((N141-NETWORKDAYS.INTL(J_GregorianDate(D141,1),J_GregorianDate(J_SUBDAY(J_ADDDAY(D141,N141,1),1,1),1),16,1)-SUMIFS(Holieday[ok],Holieday[date],CONCATENATE("&gt;","=",D141),Holieday[date],CONCATENATE("&lt;","=",J_SUBDAY(J_ADDDAY(D141,N141,1),1,1)))+SUMIFS(Holieday[Friday],Holieday[date],CONCATENATE("&gt;","=",D141),Holieday[date],CONCATENATE("&lt;","=",J_SUBDAY(J_ADDDAY(D141,N141,1),1,1))))=1,J_SUBDAY(J_ADDDAY(D141,N141+1,1),1,1),IF((N141-NETWORKDAYS.INTL(J_GregorianDate(D141,1),J_GregorianDate(J_SUBDAY(J_ADDDAY(D141,N141,1),1,1),1),16,1)-SUMIFS(Holieday[ok],Holieday[date],CONCATENATE("&gt;","=",D141),Holieday[date],CONCATENATE("&lt;","=",J_SUBDAY(J_ADDDAY(D141,N141,1),1,1)))+SUMIFS(Holieday[Friday],Holieday[date],CONCATENATE("&gt;","=",D141),Holieday[date],CONCATENATE("&lt;","=",J_SUBDAY(J_ADDDAY(D141,N141,1),1,1))))=2,J_SUBDAY(J_ADDDAY(D141,N141+2,1),1,1),J_SUBDAY(J_ADDDAY(D141,N141+3,1),1,1)))))</f>
        <v>1398/07/28</v>
      </c>
      <c r="G141" s="3">
        <f t="shared" si="42"/>
        <v>13980728</v>
      </c>
      <c r="H141" s="119"/>
      <c r="I141" s="120">
        <v>6.3</v>
      </c>
      <c r="J141" s="10">
        <f>j_WEEKDAY(D141,2)</f>
        <v>2</v>
      </c>
      <c r="K141" s="22">
        <f t="shared" si="45"/>
        <v>0</v>
      </c>
      <c r="L141" s="9">
        <f t="shared" si="46"/>
        <v>0</v>
      </c>
      <c r="M141" s="121">
        <v>0</v>
      </c>
      <c r="N141" s="118">
        <v>0</v>
      </c>
      <c r="O141" s="11">
        <f t="shared" si="47"/>
        <v>0</v>
      </c>
      <c r="P141" s="11">
        <f>VALUE(J_normdate(J_ADDDAY($D141,$O141,1)))</f>
        <v>13980729</v>
      </c>
      <c r="Q141" s="10">
        <f t="shared" si="48"/>
        <v>0</v>
      </c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 s="8"/>
      <c r="BK141" s="8"/>
      <c r="BL141" s="8"/>
      <c r="BM141" s="8"/>
      <c r="BN141" s="8"/>
      <c r="BO141" s="8"/>
      <c r="BP141" s="8"/>
      <c r="BQ141" s="8"/>
      <c r="BR141" s="8"/>
      <c r="BS141" s="8"/>
      <c r="BT141" s="8"/>
      <c r="BU141" s="8"/>
      <c r="BV141" s="8"/>
      <c r="BW141" s="8"/>
      <c r="BX141" s="8"/>
      <c r="BY141" s="8"/>
      <c r="BZ141" s="8"/>
      <c r="CA141" s="8"/>
      <c r="CB141" s="8"/>
      <c r="CC141" s="8"/>
      <c r="CD141" s="8"/>
      <c r="CE141" s="8"/>
      <c r="CF141" s="8"/>
      <c r="CG141" s="8"/>
      <c r="CH141" s="8"/>
      <c r="CI141" s="8"/>
      <c r="CJ141" s="8"/>
      <c r="CK141" s="8"/>
      <c r="CL141" s="8"/>
      <c r="CM141" s="8"/>
      <c r="CN141" s="8"/>
      <c r="CO141" s="8"/>
      <c r="CP141" s="8"/>
      <c r="CQ141" s="8"/>
      <c r="CR141" s="8"/>
      <c r="CS141" s="8"/>
      <c r="CT141" s="8"/>
      <c r="CU141" s="8"/>
      <c r="CV141" s="8"/>
      <c r="CW141" s="8"/>
      <c r="CX141" s="8"/>
      <c r="CY141" s="8"/>
      <c r="CZ141" s="8"/>
      <c r="DA141" s="8"/>
      <c r="DB141" s="8"/>
      <c r="DC141" s="8"/>
      <c r="DD141" s="8"/>
      <c r="DE141" s="8"/>
      <c r="DF141" s="8"/>
      <c r="DG141" s="8"/>
      <c r="DH141" s="8"/>
      <c r="DI141" s="8"/>
      <c r="DJ141" s="8"/>
      <c r="DK141" s="8"/>
      <c r="DL141" s="8"/>
      <c r="DM141" s="8"/>
      <c r="DN141" s="8"/>
      <c r="DO141" s="8"/>
      <c r="DP141" s="8"/>
      <c r="DQ141" s="8"/>
      <c r="DR141" s="8"/>
      <c r="DS141" s="8"/>
      <c r="DT141" s="8"/>
      <c r="DU141" s="8"/>
      <c r="DV141" s="8"/>
      <c r="DW141" s="8"/>
      <c r="DX141" s="8"/>
      <c r="DY141" s="8"/>
      <c r="DZ141" s="8"/>
      <c r="EA141" s="8"/>
      <c r="EB141" s="8"/>
      <c r="EC141" s="8"/>
      <c r="ED141" s="8"/>
      <c r="EE141" s="8"/>
      <c r="EF141" s="8"/>
      <c r="EG141" s="8"/>
      <c r="EH141" s="8"/>
      <c r="EI141" s="8"/>
      <c r="EJ141" s="8"/>
      <c r="EK141" s="8"/>
      <c r="EL141" s="8"/>
      <c r="EM141" s="8"/>
      <c r="EN141" s="8"/>
      <c r="EO141" s="8"/>
      <c r="EP141" s="8"/>
      <c r="EQ141" s="8"/>
      <c r="ER141" s="8"/>
      <c r="ES141" s="8"/>
      <c r="ET141" s="8"/>
      <c r="EU141" s="8"/>
      <c r="EV141" s="8"/>
      <c r="EW141" s="8"/>
      <c r="EX141" s="8"/>
      <c r="EY141" s="8"/>
      <c r="EZ141" s="8"/>
      <c r="FA141" s="8"/>
      <c r="FB141" s="8"/>
      <c r="FC141" s="8"/>
      <c r="FD141" s="8"/>
      <c r="FE141" s="8"/>
      <c r="FF141" s="8"/>
      <c r="FG141" s="8"/>
      <c r="FH141" s="8"/>
      <c r="FI141" s="8"/>
      <c r="FJ141" s="8"/>
      <c r="FK141" s="8"/>
      <c r="FL141" s="8"/>
      <c r="FM141" s="8"/>
      <c r="FN141" s="8"/>
      <c r="FO141" s="8"/>
      <c r="FP141" s="8"/>
      <c r="FQ141" s="8"/>
      <c r="FR141" s="8"/>
      <c r="FS141" s="8"/>
      <c r="FT141" s="8"/>
      <c r="FU141" s="8"/>
      <c r="FV141" s="8"/>
      <c r="FW141" s="8"/>
      <c r="FX141" s="8"/>
      <c r="FY141" s="8"/>
      <c r="FZ141" s="8"/>
      <c r="GA141" s="8"/>
      <c r="GB141" s="8"/>
      <c r="GC141" s="8"/>
      <c r="GD141" s="8"/>
      <c r="GE141" s="8"/>
      <c r="GF141" s="8"/>
      <c r="GG141" s="8"/>
      <c r="GH141" s="8"/>
      <c r="GI141" s="8"/>
      <c r="GJ141" s="8"/>
      <c r="GK141" s="8"/>
      <c r="GL141" s="8"/>
      <c r="GM141" s="8"/>
      <c r="GN141" s="8"/>
      <c r="GO141" s="8"/>
      <c r="GP141" s="8"/>
      <c r="GQ141" s="8"/>
      <c r="GR141" s="8"/>
      <c r="GS141" s="8"/>
      <c r="GT141" s="8"/>
      <c r="GU141" s="8"/>
      <c r="GV141" s="8"/>
      <c r="GW141" s="8"/>
      <c r="GX141" s="8"/>
      <c r="GY141" s="8"/>
      <c r="GZ141" s="8"/>
      <c r="HA141" s="8"/>
      <c r="HB141" s="8"/>
      <c r="HC141" s="8"/>
      <c r="HD141" s="8"/>
      <c r="HE141" s="8"/>
      <c r="HF141" s="8"/>
      <c r="HG141" s="8"/>
      <c r="HH141" s="8"/>
      <c r="HI141" s="8"/>
      <c r="HJ141" s="8"/>
      <c r="HK141" s="8"/>
      <c r="HL141" s="8"/>
      <c r="HM141" s="8"/>
      <c r="HN141" s="8"/>
      <c r="HO141" s="8"/>
      <c r="HP141" s="8"/>
      <c r="HQ141" s="8"/>
      <c r="HR141" s="8"/>
      <c r="HS141" s="8"/>
      <c r="HT141" s="8"/>
      <c r="HU141" s="8"/>
      <c r="HV141" s="8"/>
      <c r="HW141" s="8"/>
      <c r="HX141" s="8"/>
      <c r="HY141" s="8"/>
      <c r="HZ141" s="8"/>
      <c r="IA141" s="8"/>
      <c r="IB141" s="8"/>
      <c r="IC141" s="8"/>
      <c r="ID141" s="8"/>
      <c r="IE141" s="8"/>
      <c r="IF141" s="8"/>
      <c r="IG141" s="8"/>
      <c r="IH141" s="8"/>
      <c r="II141" s="8"/>
      <c r="IJ141" s="8"/>
      <c r="IK141" s="8"/>
      <c r="IL141" s="8"/>
      <c r="IM141" s="8"/>
      <c r="IN141" s="8"/>
      <c r="IO141" s="8"/>
      <c r="IP141" s="8"/>
      <c r="IQ141" s="8"/>
      <c r="IR141" s="8"/>
      <c r="IS141" s="8"/>
      <c r="IT141" s="8"/>
      <c r="IU141" s="8"/>
      <c r="IV141" s="8"/>
      <c r="IW141" s="8"/>
      <c r="IX141" s="8"/>
      <c r="JA141" s="123"/>
      <c r="JB141" s="123"/>
      <c r="JC141" s="123"/>
      <c r="JD141" s="70">
        <f>SUM((TEXT(JA141,"[M]")/60)*'Income Person-hours'!$D$3,(TEXT(JB141,"[M]")/60)*'Income Person-hours'!$D$4,(TEXT(JC141,"[M]")/60)*'Income Person-hours'!$D$5)</f>
        <v>0</v>
      </c>
    </row>
    <row r="142" spans="1:16382" s="12" customFormat="1" ht="15.75" hidden="1" x14ac:dyDescent="0.45">
      <c r="A142" s="32">
        <v>6.12</v>
      </c>
      <c r="B142" s="126"/>
      <c r="C142" s="117"/>
      <c r="D142" s="13" t="str">
        <f>IF(OR(j_WEEKDAY(J_ADDDAY(VLOOKUP(I142,A:F,6,FALSE),H142,1),0)=6,SUMIFS(Holieday[ok],Holieday[date],J_ADDDAY(VLOOKUP(I142,A:F,6,FALSE),H142,1)))=FALSE(),J_ADDDAY(VLOOKUP(I142,A:F,6,FALSE),H142,1),IF(OR(j_WEEKDAY(J_ADDDAY(VLOOKUP(I142,A:F,6,FALSE),H142+1,1),0)=6,SUMIFS(Holieday[ok],Holieday[date],J_ADDDAY(VLOOKUP(I142,A:F,6,FALSE),H142+1,1)))=FALSE(),J_ADDDAY(VLOOKUP(I142,A:F,6,FALSE),H142+1,1),IF(OR(j_WEEKDAY(J_ADDDAY(VLOOKUP(I142,A:F,6,FALSE),H142+2,1),0)=6,SUMIFS(Holieday[ok],Holieday[date],J_ADDDAY(VLOOKUP(I142,A:F,6,FALSE),H142+2,1)))=FALSE(),J_ADDDAY(VLOOKUP(I142,A:F,6,FALSE),H142+2,1),IF(OR(j_WEEKDAY(J_ADDDAY(VLOOKUP(I142,A:F,6,FALSE),H142+3,1),0)=6,SUMIFS(Holieday[ok],Holieday[date],J_ADDDAY(VLOOKUP(I142,A:F,6,FALSE),H142+3,1)))=FALSE(),J_ADDDAY(VLOOKUP(I142,A:F,6,FALSE),H142+3,1),IF(OR(j_WEEKDAY(J_ADDDAY(VLOOKUP(I142,A:F,6,FALSE),H142+4,1),0)=6,SUMIFS(Holieday[ok],Holieday[date],J_ADDDAY(VLOOKUP(I142,A:F,6,FALSE),H142+4,1)))=FALSE(),J_ADDDAY(VLOOKUP(I142,A:F,6,FALSE),H142+4,1),J_ADDDAY(VLOOKUP(I142,A:F,6,FALSE),H142+5,1))))))</f>
        <v>1398/07/29</v>
      </c>
      <c r="E142" s="2">
        <f t="shared" si="41"/>
        <v>13980729</v>
      </c>
      <c r="F142" s="13" t="str">
        <f>IF(N142=0,J_SUBDAY(D142,1,1),IF((N142-NETWORKDAYS.INTL(J_GregorianDate(D142,1),J_GregorianDate(J_SUBDAY(J_ADDDAY(D142,N142,1),1,1),1),16,1)-SUMIFS(Holieday[ok],Holieday[date],CONCATENATE("&gt;","=",D142),Holieday[date],CONCATENATE("&lt;","=",J_SUBDAY(J_ADDDAY(D142,N142,1),1,1)))+SUMIFS(Holieday[Friday],Holieday[date],CONCATENATE("&gt;","=",D142),Holieday[date],CONCATENATE("&lt;","=",J_SUBDAY(J_ADDDAY(D142,N142,1),1,1))))=0,J_SUBDAY(J_ADDDAY(D142,N142,1),1,1),IF((N142-NETWORKDAYS.INTL(J_GregorianDate(D142,1),J_GregorianDate(J_SUBDAY(J_ADDDAY(D142,N142,1),1,1),1),16,1)-SUMIFS(Holieday[ok],Holieday[date],CONCATENATE("&gt;","=",D142),Holieday[date],CONCATENATE("&lt;","=",J_SUBDAY(J_ADDDAY(D142,N142,1),1,1)))+SUMIFS(Holieday[Friday],Holieday[date],CONCATENATE("&gt;","=",D142),Holieday[date],CONCATENATE("&lt;","=",J_SUBDAY(J_ADDDAY(D142,N142,1),1,1))))=1,J_SUBDAY(J_ADDDAY(D142,N142+1,1),1,1),IF((N142-NETWORKDAYS.INTL(J_GregorianDate(D142,1),J_GregorianDate(J_SUBDAY(J_ADDDAY(D142,N142,1),1,1),1),16,1)-SUMIFS(Holieday[ok],Holieday[date],CONCATENATE("&gt;","=",D142),Holieday[date],CONCATENATE("&lt;","=",J_SUBDAY(J_ADDDAY(D142,N142,1),1,1)))+SUMIFS(Holieday[Friday],Holieday[date],CONCATENATE("&gt;","=",D142),Holieday[date],CONCATENATE("&lt;","=",J_SUBDAY(J_ADDDAY(D142,N142,1),1,1))))=2,J_SUBDAY(J_ADDDAY(D142,N142+2,1),1,1),J_SUBDAY(J_ADDDAY(D142,N142+3,1),1,1)))))</f>
        <v>1398/07/28</v>
      </c>
      <c r="G142" s="3">
        <f t="shared" si="42"/>
        <v>13980728</v>
      </c>
      <c r="H142" s="119"/>
      <c r="I142" s="120">
        <v>6.3</v>
      </c>
      <c r="J142" s="10">
        <f>j_WEEKDAY(D142,2)</f>
        <v>2</v>
      </c>
      <c r="K142" s="22">
        <f t="shared" si="45"/>
        <v>0</v>
      </c>
      <c r="L142" s="9">
        <f t="shared" si="46"/>
        <v>0</v>
      </c>
      <c r="M142" s="121">
        <v>0</v>
      </c>
      <c r="N142" s="118">
        <v>0</v>
      </c>
      <c r="O142" s="11">
        <f t="shared" si="47"/>
        <v>0</v>
      </c>
      <c r="P142" s="11">
        <f>VALUE(J_normdate(J_ADDDAY($D142,$O142,1)))</f>
        <v>13980729</v>
      </c>
      <c r="Q142" s="10">
        <f t="shared" si="48"/>
        <v>0</v>
      </c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 s="8"/>
      <c r="BK142" s="8"/>
      <c r="BL142" s="8"/>
      <c r="BM142" s="8"/>
      <c r="BN142" s="8"/>
      <c r="BO142" s="8"/>
      <c r="BP142" s="8"/>
      <c r="BQ142" s="8"/>
      <c r="BR142" s="8"/>
      <c r="BS142" s="8"/>
      <c r="BT142" s="8"/>
      <c r="BU142" s="8"/>
      <c r="BV142" s="8"/>
      <c r="BW142" s="8"/>
      <c r="BX142" s="8"/>
      <c r="BY142" s="8"/>
      <c r="BZ142" s="8"/>
      <c r="CA142" s="8"/>
      <c r="CB142" s="8"/>
      <c r="CC142" s="8"/>
      <c r="CD142" s="8"/>
      <c r="CE142" s="8"/>
      <c r="CF142" s="8"/>
      <c r="CG142" s="8"/>
      <c r="CH142" s="8"/>
      <c r="CI142" s="8"/>
      <c r="CJ142" s="8"/>
      <c r="CK142" s="8"/>
      <c r="CL142" s="8"/>
      <c r="CM142" s="8"/>
      <c r="CN142" s="8"/>
      <c r="CO142" s="8"/>
      <c r="CP142" s="8"/>
      <c r="CQ142" s="8"/>
      <c r="CR142" s="8"/>
      <c r="CS142" s="8"/>
      <c r="CT142" s="8"/>
      <c r="CU142" s="8"/>
      <c r="CV142" s="8"/>
      <c r="CW142" s="8"/>
      <c r="CX142" s="8"/>
      <c r="CY142" s="8"/>
      <c r="CZ142" s="8"/>
      <c r="DA142" s="8"/>
      <c r="DB142" s="8"/>
      <c r="DC142" s="8"/>
      <c r="DD142" s="8"/>
      <c r="DE142" s="8"/>
      <c r="DF142" s="8"/>
      <c r="DG142" s="8"/>
      <c r="DH142" s="8"/>
      <c r="DI142" s="8"/>
      <c r="DJ142" s="8"/>
      <c r="DK142" s="8"/>
      <c r="DL142" s="8"/>
      <c r="DM142" s="8"/>
      <c r="DN142" s="8"/>
      <c r="DO142" s="8"/>
      <c r="DP142" s="8"/>
      <c r="DQ142" s="8"/>
      <c r="DR142" s="8"/>
      <c r="DS142" s="8"/>
      <c r="DT142" s="8"/>
      <c r="DU142" s="8"/>
      <c r="DV142" s="8"/>
      <c r="DW142" s="8"/>
      <c r="DX142" s="8"/>
      <c r="DY142" s="8"/>
      <c r="DZ142" s="8"/>
      <c r="EA142" s="8"/>
      <c r="EB142" s="8"/>
      <c r="EC142" s="8"/>
      <c r="ED142" s="8"/>
      <c r="EE142" s="8"/>
      <c r="EF142" s="8"/>
      <c r="EG142" s="8"/>
      <c r="EH142" s="8"/>
      <c r="EI142" s="8"/>
      <c r="EJ142" s="8"/>
      <c r="EK142" s="8"/>
      <c r="EL142" s="8"/>
      <c r="EM142" s="8"/>
      <c r="EN142" s="8"/>
      <c r="EO142" s="8"/>
      <c r="EP142" s="8"/>
      <c r="EQ142" s="8"/>
      <c r="ER142" s="8"/>
      <c r="ES142" s="8"/>
      <c r="ET142" s="8"/>
      <c r="EU142" s="8"/>
      <c r="EV142" s="8"/>
      <c r="EW142" s="8"/>
      <c r="EX142" s="8"/>
      <c r="EY142" s="8"/>
      <c r="EZ142" s="8"/>
      <c r="FA142" s="8"/>
      <c r="FB142" s="8"/>
      <c r="FC142" s="8"/>
      <c r="FD142" s="8"/>
      <c r="FE142" s="8"/>
      <c r="FF142" s="8"/>
      <c r="FG142" s="8"/>
      <c r="FH142" s="8"/>
      <c r="FI142" s="8"/>
      <c r="FJ142" s="8"/>
      <c r="FK142" s="8"/>
      <c r="FL142" s="8"/>
      <c r="FM142" s="8"/>
      <c r="FN142" s="8"/>
      <c r="FO142" s="8"/>
      <c r="FP142" s="8"/>
      <c r="FQ142" s="8"/>
      <c r="FR142" s="8"/>
      <c r="FS142" s="8"/>
      <c r="FT142" s="8"/>
      <c r="FU142" s="8"/>
      <c r="FV142" s="8"/>
      <c r="FW142" s="8"/>
      <c r="FX142" s="8"/>
      <c r="FY142" s="8"/>
      <c r="FZ142" s="8"/>
      <c r="GA142" s="8"/>
      <c r="GB142" s="8"/>
      <c r="GC142" s="8"/>
      <c r="GD142" s="8"/>
      <c r="GE142" s="8"/>
      <c r="GF142" s="8"/>
      <c r="GG142" s="8"/>
      <c r="GH142" s="8"/>
      <c r="GI142" s="8"/>
      <c r="GJ142" s="8"/>
      <c r="GK142" s="8"/>
      <c r="GL142" s="8"/>
      <c r="GM142" s="8"/>
      <c r="GN142" s="8"/>
      <c r="GO142" s="8"/>
      <c r="GP142" s="8"/>
      <c r="GQ142" s="8"/>
      <c r="GR142" s="8"/>
      <c r="GS142" s="8"/>
      <c r="GT142" s="8"/>
      <c r="GU142" s="8"/>
      <c r="GV142" s="8"/>
      <c r="GW142" s="8"/>
      <c r="GX142" s="8"/>
      <c r="GY142" s="8"/>
      <c r="GZ142" s="8"/>
      <c r="HA142" s="8"/>
      <c r="HB142" s="8"/>
      <c r="HC142" s="8"/>
      <c r="HD142" s="8"/>
      <c r="HE142" s="8"/>
      <c r="HF142" s="8"/>
      <c r="HG142" s="8"/>
      <c r="HH142" s="8"/>
      <c r="HI142" s="8"/>
      <c r="HJ142" s="8"/>
      <c r="HK142" s="8"/>
      <c r="HL142" s="8"/>
      <c r="HM142" s="8"/>
      <c r="HN142" s="8"/>
      <c r="HO142" s="8"/>
      <c r="HP142" s="8"/>
      <c r="HQ142" s="8"/>
      <c r="HR142" s="8"/>
      <c r="HS142" s="8"/>
      <c r="HT142" s="8"/>
      <c r="HU142" s="8"/>
      <c r="HV142" s="8"/>
      <c r="HW142" s="8"/>
      <c r="HX142" s="8"/>
      <c r="HY142" s="8"/>
      <c r="HZ142" s="8"/>
      <c r="IA142" s="8"/>
      <c r="IB142" s="8"/>
      <c r="IC142" s="8"/>
      <c r="ID142" s="8"/>
      <c r="IE142" s="8"/>
      <c r="IF142" s="8"/>
      <c r="IG142" s="8"/>
      <c r="IH142" s="8"/>
      <c r="II142" s="8"/>
      <c r="IJ142" s="8"/>
      <c r="IK142" s="8"/>
      <c r="IL142" s="8"/>
      <c r="IM142" s="8"/>
      <c r="IN142" s="8"/>
      <c r="IO142" s="8"/>
      <c r="IP142" s="8"/>
      <c r="IQ142" s="8"/>
      <c r="IR142" s="8"/>
      <c r="IS142" s="8"/>
      <c r="IT142" s="8"/>
      <c r="IU142" s="8"/>
      <c r="IV142" s="8"/>
      <c r="IW142" s="8"/>
      <c r="IX142" s="8"/>
      <c r="JA142" s="123"/>
      <c r="JB142" s="123"/>
      <c r="JC142" s="123"/>
      <c r="JD142" s="70">
        <f>SUM((TEXT(JA142,"[M]")/60)*'Income Person-hours'!$D$3,(TEXT(JB142,"[M]")/60)*'Income Person-hours'!$D$4,(TEXT(JC142,"[M]")/60)*'Income Person-hours'!$D$5)</f>
        <v>0</v>
      </c>
    </row>
    <row r="143" spans="1:16382" s="12" customFormat="1" ht="15.75" hidden="1" x14ac:dyDescent="0.45">
      <c r="A143" s="32">
        <v>6.13</v>
      </c>
      <c r="B143" s="126"/>
      <c r="C143" s="117"/>
      <c r="D143" s="13" t="str">
        <f>IF(OR(j_WEEKDAY(J_ADDDAY(VLOOKUP(I143,A:F,6,FALSE),H143,1),0)=6,SUMIFS(Holieday[ok],Holieday[date],J_ADDDAY(VLOOKUP(I143,A:F,6,FALSE),H143,1)))=FALSE(),J_ADDDAY(VLOOKUP(I143,A:F,6,FALSE),H143,1),IF(OR(j_WEEKDAY(J_ADDDAY(VLOOKUP(I143,A:F,6,FALSE),H143+1,1),0)=6,SUMIFS(Holieday[ok],Holieday[date],J_ADDDAY(VLOOKUP(I143,A:F,6,FALSE),H143+1,1)))=FALSE(),J_ADDDAY(VLOOKUP(I143,A:F,6,FALSE),H143+1,1),IF(OR(j_WEEKDAY(J_ADDDAY(VLOOKUP(I143,A:F,6,FALSE),H143+2,1),0)=6,SUMIFS(Holieday[ok],Holieday[date],J_ADDDAY(VLOOKUP(I143,A:F,6,FALSE),H143+2,1)))=FALSE(),J_ADDDAY(VLOOKUP(I143,A:F,6,FALSE),H143+2,1),IF(OR(j_WEEKDAY(J_ADDDAY(VLOOKUP(I143,A:F,6,FALSE),H143+3,1),0)=6,SUMIFS(Holieday[ok],Holieday[date],J_ADDDAY(VLOOKUP(I143,A:F,6,FALSE),H143+3,1)))=FALSE(),J_ADDDAY(VLOOKUP(I143,A:F,6,FALSE),H143+3,1),IF(OR(j_WEEKDAY(J_ADDDAY(VLOOKUP(I143,A:F,6,FALSE),H143+4,1),0)=6,SUMIFS(Holieday[ok],Holieday[date],J_ADDDAY(VLOOKUP(I143,A:F,6,FALSE),H143+4,1)))=FALSE(),J_ADDDAY(VLOOKUP(I143,A:F,6,FALSE),H143+4,1),J_ADDDAY(VLOOKUP(I143,A:F,6,FALSE),H143+5,1))))))</f>
        <v>1398/07/29</v>
      </c>
      <c r="E143" s="2">
        <f t="shared" si="41"/>
        <v>13980729</v>
      </c>
      <c r="F143" s="13" t="str">
        <f>IF(N143=0,J_SUBDAY(D143,1,1),IF((N143-NETWORKDAYS.INTL(J_GregorianDate(D143,1),J_GregorianDate(J_SUBDAY(J_ADDDAY(D143,N143,1),1,1),1),16,1)-SUMIFS(Holieday[ok],Holieday[date],CONCATENATE("&gt;","=",D143),Holieday[date],CONCATENATE("&lt;","=",J_SUBDAY(J_ADDDAY(D143,N143,1),1,1)))+SUMIFS(Holieday[Friday],Holieday[date],CONCATENATE("&gt;","=",D143),Holieday[date],CONCATENATE("&lt;","=",J_SUBDAY(J_ADDDAY(D143,N143,1),1,1))))=0,J_SUBDAY(J_ADDDAY(D143,N143,1),1,1),IF((N143-NETWORKDAYS.INTL(J_GregorianDate(D143,1),J_GregorianDate(J_SUBDAY(J_ADDDAY(D143,N143,1),1,1),1),16,1)-SUMIFS(Holieday[ok],Holieday[date],CONCATENATE("&gt;","=",D143),Holieday[date],CONCATENATE("&lt;","=",J_SUBDAY(J_ADDDAY(D143,N143,1),1,1)))+SUMIFS(Holieday[Friday],Holieday[date],CONCATENATE("&gt;","=",D143),Holieday[date],CONCATENATE("&lt;","=",J_SUBDAY(J_ADDDAY(D143,N143,1),1,1))))=1,J_SUBDAY(J_ADDDAY(D143,N143+1,1),1,1),IF((N143-NETWORKDAYS.INTL(J_GregorianDate(D143,1),J_GregorianDate(J_SUBDAY(J_ADDDAY(D143,N143,1),1,1),1),16,1)-SUMIFS(Holieday[ok],Holieday[date],CONCATENATE("&gt;","=",D143),Holieday[date],CONCATENATE("&lt;","=",J_SUBDAY(J_ADDDAY(D143,N143,1),1,1)))+SUMIFS(Holieday[Friday],Holieday[date],CONCATENATE("&gt;","=",D143),Holieday[date],CONCATENATE("&lt;","=",J_SUBDAY(J_ADDDAY(D143,N143,1),1,1))))=2,J_SUBDAY(J_ADDDAY(D143,N143+2,1),1,1),J_SUBDAY(J_ADDDAY(D143,N143+3,1),1,1)))))</f>
        <v>1398/07/28</v>
      </c>
      <c r="G143" s="3">
        <f t="shared" si="42"/>
        <v>13980728</v>
      </c>
      <c r="H143" s="119"/>
      <c r="I143" s="120">
        <v>6.3</v>
      </c>
      <c r="J143" s="10">
        <f>j_WEEKDAY(D143,2)</f>
        <v>2</v>
      </c>
      <c r="K143" s="22">
        <f t="shared" si="45"/>
        <v>0</v>
      </c>
      <c r="L143" s="9">
        <f t="shared" si="46"/>
        <v>0</v>
      </c>
      <c r="M143" s="121">
        <v>0</v>
      </c>
      <c r="N143" s="118">
        <v>0</v>
      </c>
      <c r="O143" s="11">
        <f t="shared" si="47"/>
        <v>0</v>
      </c>
      <c r="P143" s="11">
        <f>VALUE(J_normdate(J_ADDDAY($D143,$O143,1)))</f>
        <v>13980729</v>
      </c>
      <c r="Q143" s="10">
        <f t="shared" si="48"/>
        <v>0</v>
      </c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 s="8"/>
      <c r="BK143" s="8"/>
      <c r="BL143" s="8"/>
      <c r="BM143" s="8"/>
      <c r="BN143" s="8"/>
      <c r="BO143" s="8"/>
      <c r="BP143" s="8"/>
      <c r="BQ143" s="8"/>
      <c r="BR143" s="8"/>
      <c r="BS143" s="8"/>
      <c r="BT143" s="8"/>
      <c r="BU143" s="8"/>
      <c r="BV143" s="8"/>
      <c r="BW143" s="8"/>
      <c r="BX143" s="8"/>
      <c r="BY143" s="8"/>
      <c r="BZ143" s="8"/>
      <c r="CA143" s="8"/>
      <c r="CB143" s="8"/>
      <c r="CC143" s="8"/>
      <c r="CD143" s="8"/>
      <c r="CE143" s="8"/>
      <c r="CF143" s="8"/>
      <c r="CG143" s="8"/>
      <c r="CH143" s="8"/>
      <c r="CI143" s="8"/>
      <c r="CJ143" s="8"/>
      <c r="CK143" s="8"/>
      <c r="CL143" s="8"/>
      <c r="CM143" s="8"/>
      <c r="CN143" s="8"/>
      <c r="CO143" s="8"/>
      <c r="CP143" s="8"/>
      <c r="CQ143" s="8"/>
      <c r="CR143" s="8"/>
      <c r="CS143" s="8"/>
      <c r="CT143" s="8"/>
      <c r="CU143" s="8"/>
      <c r="CV143" s="8"/>
      <c r="CW143" s="8"/>
      <c r="CX143" s="8"/>
      <c r="CY143" s="8"/>
      <c r="CZ143" s="8"/>
      <c r="DA143" s="8"/>
      <c r="DB143" s="8"/>
      <c r="DC143" s="8"/>
      <c r="DD143" s="8"/>
      <c r="DE143" s="8"/>
      <c r="DF143" s="8"/>
      <c r="DG143" s="8"/>
      <c r="DH143" s="8"/>
      <c r="DI143" s="8"/>
      <c r="DJ143" s="8"/>
      <c r="DK143" s="8"/>
      <c r="DL143" s="8"/>
      <c r="DM143" s="8"/>
      <c r="DN143" s="8"/>
      <c r="DO143" s="8"/>
      <c r="DP143" s="8"/>
      <c r="DQ143" s="8"/>
      <c r="DR143" s="8"/>
      <c r="DS143" s="8"/>
      <c r="DT143" s="8"/>
      <c r="DU143" s="8"/>
      <c r="DV143" s="8"/>
      <c r="DW143" s="8"/>
      <c r="DX143" s="8"/>
      <c r="DY143" s="8"/>
      <c r="DZ143" s="8"/>
      <c r="EA143" s="8"/>
      <c r="EB143" s="8"/>
      <c r="EC143" s="8"/>
      <c r="ED143" s="8"/>
      <c r="EE143" s="8"/>
      <c r="EF143" s="8"/>
      <c r="EG143" s="8"/>
      <c r="EH143" s="8"/>
      <c r="EI143" s="8"/>
      <c r="EJ143" s="8"/>
      <c r="EK143" s="8"/>
      <c r="EL143" s="8"/>
      <c r="EM143" s="8"/>
      <c r="EN143" s="8"/>
      <c r="EO143" s="8"/>
      <c r="EP143" s="8"/>
      <c r="EQ143" s="8"/>
      <c r="ER143" s="8"/>
      <c r="ES143" s="8"/>
      <c r="ET143" s="8"/>
      <c r="EU143" s="8"/>
      <c r="EV143" s="8"/>
      <c r="EW143" s="8"/>
      <c r="EX143" s="8"/>
      <c r="EY143" s="8"/>
      <c r="EZ143" s="8"/>
      <c r="FA143" s="8"/>
      <c r="FB143" s="8"/>
      <c r="FC143" s="8"/>
      <c r="FD143" s="8"/>
      <c r="FE143" s="8"/>
      <c r="FF143" s="8"/>
      <c r="FG143" s="8"/>
      <c r="FH143" s="8"/>
      <c r="FI143" s="8"/>
      <c r="FJ143" s="8"/>
      <c r="FK143" s="8"/>
      <c r="FL143" s="8"/>
      <c r="FM143" s="8"/>
      <c r="FN143" s="8"/>
      <c r="FO143" s="8"/>
      <c r="FP143" s="8"/>
      <c r="FQ143" s="8"/>
      <c r="FR143" s="8"/>
      <c r="FS143" s="8"/>
      <c r="FT143" s="8"/>
      <c r="FU143" s="8"/>
      <c r="FV143" s="8"/>
      <c r="FW143" s="8"/>
      <c r="FX143" s="8"/>
      <c r="FY143" s="8"/>
      <c r="FZ143" s="8"/>
      <c r="GA143" s="8"/>
      <c r="GB143" s="8"/>
      <c r="GC143" s="8"/>
      <c r="GD143" s="8"/>
      <c r="GE143" s="8"/>
      <c r="GF143" s="8"/>
      <c r="GG143" s="8"/>
      <c r="GH143" s="8"/>
      <c r="GI143" s="8"/>
      <c r="GJ143" s="8"/>
      <c r="GK143" s="8"/>
      <c r="GL143" s="8"/>
      <c r="GM143" s="8"/>
      <c r="GN143" s="8"/>
      <c r="GO143" s="8"/>
      <c r="GP143" s="8"/>
      <c r="GQ143" s="8"/>
      <c r="GR143" s="8"/>
      <c r="GS143" s="8"/>
      <c r="GT143" s="8"/>
      <c r="GU143" s="8"/>
      <c r="GV143" s="8"/>
      <c r="GW143" s="8"/>
      <c r="GX143" s="8"/>
      <c r="GY143" s="8"/>
      <c r="GZ143" s="8"/>
      <c r="HA143" s="8"/>
      <c r="HB143" s="8"/>
      <c r="HC143" s="8"/>
      <c r="HD143" s="8"/>
      <c r="HE143" s="8"/>
      <c r="HF143" s="8"/>
      <c r="HG143" s="8"/>
      <c r="HH143" s="8"/>
      <c r="HI143" s="8"/>
      <c r="HJ143" s="8"/>
      <c r="HK143" s="8"/>
      <c r="HL143" s="8"/>
      <c r="HM143" s="8"/>
      <c r="HN143" s="8"/>
      <c r="HO143" s="8"/>
      <c r="HP143" s="8"/>
      <c r="HQ143" s="8"/>
      <c r="HR143" s="8"/>
      <c r="HS143" s="8"/>
      <c r="HT143" s="8"/>
      <c r="HU143" s="8"/>
      <c r="HV143" s="8"/>
      <c r="HW143" s="8"/>
      <c r="HX143" s="8"/>
      <c r="HY143" s="8"/>
      <c r="HZ143" s="8"/>
      <c r="IA143" s="8"/>
      <c r="IB143" s="8"/>
      <c r="IC143" s="8"/>
      <c r="ID143" s="8"/>
      <c r="IE143" s="8"/>
      <c r="IF143" s="8"/>
      <c r="IG143" s="8"/>
      <c r="IH143" s="8"/>
      <c r="II143" s="8"/>
      <c r="IJ143" s="8"/>
      <c r="IK143" s="8"/>
      <c r="IL143" s="8"/>
      <c r="IM143" s="8"/>
      <c r="IN143" s="8"/>
      <c r="IO143" s="8"/>
      <c r="IP143" s="8"/>
      <c r="IQ143" s="8"/>
      <c r="IR143" s="8"/>
      <c r="IS143" s="8"/>
      <c r="IT143" s="8"/>
      <c r="IU143" s="8"/>
      <c r="IV143" s="8"/>
      <c r="IW143" s="8"/>
      <c r="IX143" s="8"/>
      <c r="JA143" s="123"/>
      <c r="JB143" s="123"/>
      <c r="JC143" s="123"/>
      <c r="JD143" s="70">
        <f>SUM((TEXT(JA143,"[M]")/60)*'Income Person-hours'!$D$3,(TEXT(JB143,"[M]")/60)*'Income Person-hours'!$D$4,(TEXT(JC143,"[M]")/60)*'Income Person-hours'!$D$5)</f>
        <v>0</v>
      </c>
    </row>
    <row r="144" spans="1:16382" s="12" customFormat="1" ht="15.75" hidden="1" x14ac:dyDescent="0.45">
      <c r="A144" s="32">
        <v>6.14</v>
      </c>
      <c r="B144" s="126"/>
      <c r="C144" s="117"/>
      <c r="D144" s="13" t="str">
        <f>IF(OR(j_WEEKDAY(J_ADDDAY(VLOOKUP(I144,A:F,6,FALSE),H144,1),0)=6,SUMIFS(Holieday[ok],Holieday[date],J_ADDDAY(VLOOKUP(I144,A:F,6,FALSE),H144,1)))=FALSE(),J_ADDDAY(VLOOKUP(I144,A:F,6,FALSE),H144,1),IF(OR(j_WEEKDAY(J_ADDDAY(VLOOKUP(I144,A:F,6,FALSE),H144+1,1),0)=6,SUMIFS(Holieday[ok],Holieday[date],J_ADDDAY(VLOOKUP(I144,A:F,6,FALSE),H144+1,1)))=FALSE(),J_ADDDAY(VLOOKUP(I144,A:F,6,FALSE),H144+1,1),IF(OR(j_WEEKDAY(J_ADDDAY(VLOOKUP(I144,A:F,6,FALSE),H144+2,1),0)=6,SUMIFS(Holieday[ok],Holieday[date],J_ADDDAY(VLOOKUP(I144,A:F,6,FALSE),H144+2,1)))=FALSE(),J_ADDDAY(VLOOKUP(I144,A:F,6,FALSE),H144+2,1),IF(OR(j_WEEKDAY(J_ADDDAY(VLOOKUP(I144,A:F,6,FALSE),H144+3,1),0)=6,SUMIFS(Holieday[ok],Holieday[date],J_ADDDAY(VLOOKUP(I144,A:F,6,FALSE),H144+3,1)))=FALSE(),J_ADDDAY(VLOOKUP(I144,A:F,6,FALSE),H144+3,1),IF(OR(j_WEEKDAY(J_ADDDAY(VLOOKUP(I144,A:F,6,FALSE),H144+4,1),0)=6,SUMIFS(Holieday[ok],Holieday[date],J_ADDDAY(VLOOKUP(I144,A:F,6,FALSE),H144+4,1)))=FALSE(),J_ADDDAY(VLOOKUP(I144,A:F,6,FALSE),H144+4,1),J_ADDDAY(VLOOKUP(I144,A:F,6,FALSE),H144+5,1))))))</f>
        <v>1398/07/29</v>
      </c>
      <c r="E144" s="2">
        <f t="shared" si="41"/>
        <v>13980729</v>
      </c>
      <c r="F144" s="13" t="str">
        <f>IF(N144=0,J_SUBDAY(D144,1,1),IF((N144-NETWORKDAYS.INTL(J_GregorianDate(D144,1),J_GregorianDate(J_SUBDAY(J_ADDDAY(D144,N144,1),1,1),1),16,1)-SUMIFS(Holieday[ok],Holieday[date],CONCATENATE("&gt;","=",D144),Holieday[date],CONCATENATE("&lt;","=",J_SUBDAY(J_ADDDAY(D144,N144,1),1,1)))+SUMIFS(Holieday[Friday],Holieday[date],CONCATENATE("&gt;","=",D144),Holieday[date],CONCATENATE("&lt;","=",J_SUBDAY(J_ADDDAY(D144,N144,1),1,1))))=0,J_SUBDAY(J_ADDDAY(D144,N144,1),1,1),IF((N144-NETWORKDAYS.INTL(J_GregorianDate(D144,1),J_GregorianDate(J_SUBDAY(J_ADDDAY(D144,N144,1),1,1),1),16,1)-SUMIFS(Holieday[ok],Holieday[date],CONCATENATE("&gt;","=",D144),Holieday[date],CONCATENATE("&lt;","=",J_SUBDAY(J_ADDDAY(D144,N144,1),1,1)))+SUMIFS(Holieday[Friday],Holieday[date],CONCATENATE("&gt;","=",D144),Holieday[date],CONCATENATE("&lt;","=",J_SUBDAY(J_ADDDAY(D144,N144,1),1,1))))=1,J_SUBDAY(J_ADDDAY(D144,N144+1,1),1,1),IF((N144-NETWORKDAYS.INTL(J_GregorianDate(D144,1),J_GregorianDate(J_SUBDAY(J_ADDDAY(D144,N144,1),1,1),1),16,1)-SUMIFS(Holieday[ok],Holieday[date],CONCATENATE("&gt;","=",D144),Holieday[date],CONCATENATE("&lt;","=",J_SUBDAY(J_ADDDAY(D144,N144,1),1,1)))+SUMIFS(Holieday[Friday],Holieday[date],CONCATENATE("&gt;","=",D144),Holieday[date],CONCATENATE("&lt;","=",J_SUBDAY(J_ADDDAY(D144,N144,1),1,1))))=2,J_SUBDAY(J_ADDDAY(D144,N144+2,1),1,1),J_SUBDAY(J_ADDDAY(D144,N144+3,1),1,1)))))</f>
        <v>1398/07/28</v>
      </c>
      <c r="G144" s="3">
        <f t="shared" si="42"/>
        <v>13980728</v>
      </c>
      <c r="H144" s="119"/>
      <c r="I144" s="120">
        <v>6.3</v>
      </c>
      <c r="J144" s="10">
        <f>j_WEEKDAY(D144,2)</f>
        <v>2</v>
      </c>
      <c r="K144" s="22">
        <f t="shared" si="45"/>
        <v>0</v>
      </c>
      <c r="L144" s="9">
        <f t="shared" si="46"/>
        <v>0</v>
      </c>
      <c r="M144" s="121">
        <v>0</v>
      </c>
      <c r="N144" s="118">
        <v>0</v>
      </c>
      <c r="O144" s="11">
        <f t="shared" si="47"/>
        <v>0</v>
      </c>
      <c r="P144" s="11">
        <f>VALUE(J_normdate(J_ADDDAY($D144,$O144,1)))</f>
        <v>13980729</v>
      </c>
      <c r="Q144" s="10">
        <f t="shared" si="48"/>
        <v>0</v>
      </c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 s="8"/>
      <c r="BK144" s="8"/>
      <c r="BL144" s="8"/>
      <c r="BM144" s="8"/>
      <c r="BN144" s="8"/>
      <c r="BO144" s="8"/>
      <c r="BP144" s="8"/>
      <c r="BQ144" s="8"/>
      <c r="BR144" s="8"/>
      <c r="BS144" s="8"/>
      <c r="BT144" s="8"/>
      <c r="BU144" s="8"/>
      <c r="BV144" s="8"/>
      <c r="BW144" s="8"/>
      <c r="BX144" s="8"/>
      <c r="BY144" s="8"/>
      <c r="BZ144" s="8"/>
      <c r="CA144" s="8"/>
      <c r="CB144" s="8"/>
      <c r="CC144" s="8"/>
      <c r="CD144" s="8"/>
      <c r="CE144" s="8"/>
      <c r="CF144" s="8"/>
      <c r="CG144" s="8"/>
      <c r="CH144" s="8"/>
      <c r="CI144" s="8"/>
      <c r="CJ144" s="8"/>
      <c r="CK144" s="8"/>
      <c r="CL144" s="8"/>
      <c r="CM144" s="8"/>
      <c r="CN144" s="8"/>
      <c r="CO144" s="8"/>
      <c r="CP144" s="8"/>
      <c r="CQ144" s="8"/>
      <c r="CR144" s="8"/>
      <c r="CS144" s="8"/>
      <c r="CT144" s="8"/>
      <c r="CU144" s="8"/>
      <c r="CV144" s="8"/>
      <c r="CW144" s="8"/>
      <c r="CX144" s="8"/>
      <c r="CY144" s="8"/>
      <c r="CZ144" s="8"/>
      <c r="DA144" s="8"/>
      <c r="DB144" s="8"/>
      <c r="DC144" s="8"/>
      <c r="DD144" s="8"/>
      <c r="DE144" s="8"/>
      <c r="DF144" s="8"/>
      <c r="DG144" s="8"/>
      <c r="DH144" s="8"/>
      <c r="DI144" s="8"/>
      <c r="DJ144" s="8"/>
      <c r="DK144" s="8"/>
      <c r="DL144" s="8"/>
      <c r="DM144" s="8"/>
      <c r="DN144" s="8"/>
      <c r="DO144" s="8"/>
      <c r="DP144" s="8"/>
      <c r="DQ144" s="8"/>
      <c r="DR144" s="8"/>
      <c r="DS144" s="8"/>
      <c r="DT144" s="8"/>
      <c r="DU144" s="8"/>
      <c r="DV144" s="8"/>
      <c r="DW144" s="8"/>
      <c r="DX144" s="8"/>
      <c r="DY144" s="8"/>
      <c r="DZ144" s="8"/>
      <c r="EA144" s="8"/>
      <c r="EB144" s="8"/>
      <c r="EC144" s="8"/>
      <c r="ED144" s="8"/>
      <c r="EE144" s="8"/>
      <c r="EF144" s="8"/>
      <c r="EG144" s="8"/>
      <c r="EH144" s="8"/>
      <c r="EI144" s="8"/>
      <c r="EJ144" s="8"/>
      <c r="EK144" s="8"/>
      <c r="EL144" s="8"/>
      <c r="EM144" s="8"/>
      <c r="EN144" s="8"/>
      <c r="EO144" s="8"/>
      <c r="EP144" s="8"/>
      <c r="EQ144" s="8"/>
      <c r="ER144" s="8"/>
      <c r="ES144" s="8"/>
      <c r="ET144" s="8"/>
      <c r="EU144" s="8"/>
      <c r="EV144" s="8"/>
      <c r="EW144" s="8"/>
      <c r="EX144" s="8"/>
      <c r="EY144" s="8"/>
      <c r="EZ144" s="8"/>
      <c r="FA144" s="8"/>
      <c r="FB144" s="8"/>
      <c r="FC144" s="8"/>
      <c r="FD144" s="8"/>
      <c r="FE144" s="8"/>
      <c r="FF144" s="8"/>
      <c r="FG144" s="8"/>
      <c r="FH144" s="8"/>
      <c r="FI144" s="8"/>
      <c r="FJ144" s="8"/>
      <c r="FK144" s="8"/>
      <c r="FL144" s="8"/>
      <c r="FM144" s="8"/>
      <c r="FN144" s="8"/>
      <c r="FO144" s="8"/>
      <c r="FP144" s="8"/>
      <c r="FQ144" s="8"/>
      <c r="FR144" s="8"/>
      <c r="FS144" s="8"/>
      <c r="FT144" s="8"/>
      <c r="FU144" s="8"/>
      <c r="FV144" s="8"/>
      <c r="FW144" s="8"/>
      <c r="FX144" s="8"/>
      <c r="FY144" s="8"/>
      <c r="FZ144" s="8"/>
      <c r="GA144" s="8"/>
      <c r="GB144" s="8"/>
      <c r="GC144" s="8"/>
      <c r="GD144" s="8"/>
      <c r="GE144" s="8"/>
      <c r="GF144" s="8"/>
      <c r="GG144" s="8"/>
      <c r="GH144" s="8"/>
      <c r="GI144" s="8"/>
      <c r="GJ144" s="8"/>
      <c r="GK144" s="8"/>
      <c r="GL144" s="8"/>
      <c r="GM144" s="8"/>
      <c r="GN144" s="8"/>
      <c r="GO144" s="8"/>
      <c r="GP144" s="8"/>
      <c r="GQ144" s="8"/>
      <c r="GR144" s="8"/>
      <c r="GS144" s="8"/>
      <c r="GT144" s="8"/>
      <c r="GU144" s="8"/>
      <c r="GV144" s="8"/>
      <c r="GW144" s="8"/>
      <c r="GX144" s="8"/>
      <c r="GY144" s="8"/>
      <c r="GZ144" s="8"/>
      <c r="HA144" s="8"/>
      <c r="HB144" s="8"/>
      <c r="HC144" s="8"/>
      <c r="HD144" s="8"/>
      <c r="HE144" s="8"/>
      <c r="HF144" s="8"/>
      <c r="HG144" s="8"/>
      <c r="HH144" s="8"/>
      <c r="HI144" s="8"/>
      <c r="HJ144" s="8"/>
      <c r="HK144" s="8"/>
      <c r="HL144" s="8"/>
      <c r="HM144" s="8"/>
      <c r="HN144" s="8"/>
      <c r="HO144" s="8"/>
      <c r="HP144" s="8"/>
      <c r="HQ144" s="8"/>
      <c r="HR144" s="8"/>
      <c r="HS144" s="8"/>
      <c r="HT144" s="8"/>
      <c r="HU144" s="8"/>
      <c r="HV144" s="8"/>
      <c r="HW144" s="8"/>
      <c r="HX144" s="8"/>
      <c r="HY144" s="8"/>
      <c r="HZ144" s="8"/>
      <c r="IA144" s="8"/>
      <c r="IB144" s="8"/>
      <c r="IC144" s="8"/>
      <c r="ID144" s="8"/>
      <c r="IE144" s="8"/>
      <c r="IF144" s="8"/>
      <c r="IG144" s="8"/>
      <c r="IH144" s="8"/>
      <c r="II144" s="8"/>
      <c r="IJ144" s="8"/>
      <c r="IK144" s="8"/>
      <c r="IL144" s="8"/>
      <c r="IM144" s="8"/>
      <c r="IN144" s="8"/>
      <c r="IO144" s="8"/>
      <c r="IP144" s="8"/>
      <c r="IQ144" s="8"/>
      <c r="IR144" s="8"/>
      <c r="IS144" s="8"/>
      <c r="IT144" s="8"/>
      <c r="IU144" s="8"/>
      <c r="IV144" s="8"/>
      <c r="IW144" s="8"/>
      <c r="IX144" s="8"/>
      <c r="JA144" s="123"/>
      <c r="JB144" s="123"/>
      <c r="JC144" s="123"/>
      <c r="JD144" s="70">
        <f>SUM((TEXT(JA144,"[M]")/60)*'Income Person-hours'!$D$3,(TEXT(JB144,"[M]")/60)*'Income Person-hours'!$D$4,(TEXT(JC144,"[M]")/60)*'Income Person-hours'!$D$5)</f>
        <v>0</v>
      </c>
    </row>
    <row r="145" spans="1:264 16383:16384" s="12" customFormat="1" ht="15.75" hidden="1" x14ac:dyDescent="0.45">
      <c r="A145" s="32">
        <v>6.15</v>
      </c>
      <c r="B145" s="126"/>
      <c r="C145" s="117"/>
      <c r="D145" s="13" t="str">
        <f>IF(OR(j_WEEKDAY(J_ADDDAY(VLOOKUP(I145,A:F,6,FALSE),H145,1),0)=6,SUMIFS(Holieday[ok],Holieday[date],J_ADDDAY(VLOOKUP(I145,A:F,6,FALSE),H145,1)))=FALSE(),J_ADDDAY(VLOOKUP(I145,A:F,6,FALSE),H145,1),IF(OR(j_WEEKDAY(J_ADDDAY(VLOOKUP(I145,A:F,6,FALSE),H145+1,1),0)=6,SUMIFS(Holieday[ok],Holieday[date],J_ADDDAY(VLOOKUP(I145,A:F,6,FALSE),H145+1,1)))=FALSE(),J_ADDDAY(VLOOKUP(I145,A:F,6,FALSE),H145+1,1),IF(OR(j_WEEKDAY(J_ADDDAY(VLOOKUP(I145,A:F,6,FALSE),H145+2,1),0)=6,SUMIFS(Holieday[ok],Holieday[date],J_ADDDAY(VLOOKUP(I145,A:F,6,FALSE),H145+2,1)))=FALSE(),J_ADDDAY(VLOOKUP(I145,A:F,6,FALSE),H145+2,1),IF(OR(j_WEEKDAY(J_ADDDAY(VLOOKUP(I145,A:F,6,FALSE),H145+3,1),0)=6,SUMIFS(Holieday[ok],Holieday[date],J_ADDDAY(VLOOKUP(I145,A:F,6,FALSE),H145+3,1)))=FALSE(),J_ADDDAY(VLOOKUP(I145,A:F,6,FALSE),H145+3,1),IF(OR(j_WEEKDAY(J_ADDDAY(VLOOKUP(I145,A:F,6,FALSE),H145+4,1),0)=6,SUMIFS(Holieday[ok],Holieday[date],J_ADDDAY(VLOOKUP(I145,A:F,6,FALSE),H145+4,1)))=FALSE(),J_ADDDAY(VLOOKUP(I145,A:F,6,FALSE),H145+4,1),J_ADDDAY(VLOOKUP(I145,A:F,6,FALSE),H145+5,1))))))</f>
        <v>1398/07/29</v>
      </c>
      <c r="E145" s="2">
        <f t="shared" si="41"/>
        <v>13980729</v>
      </c>
      <c r="F145" s="13" t="str">
        <f>IF(N145=0,J_SUBDAY(D145,1,1),IF((N145-NETWORKDAYS.INTL(J_GregorianDate(D145,1),J_GregorianDate(J_SUBDAY(J_ADDDAY(D145,N145,1),1,1),1),16,1)-SUMIFS(Holieday[ok],Holieday[date],CONCATENATE("&gt;","=",D145),Holieday[date],CONCATENATE("&lt;","=",J_SUBDAY(J_ADDDAY(D145,N145,1),1,1)))+SUMIFS(Holieday[Friday],Holieday[date],CONCATENATE("&gt;","=",D145),Holieday[date],CONCATENATE("&lt;","=",J_SUBDAY(J_ADDDAY(D145,N145,1),1,1))))=0,J_SUBDAY(J_ADDDAY(D145,N145,1),1,1),IF((N145-NETWORKDAYS.INTL(J_GregorianDate(D145,1),J_GregorianDate(J_SUBDAY(J_ADDDAY(D145,N145,1),1,1),1),16,1)-SUMIFS(Holieday[ok],Holieday[date],CONCATENATE("&gt;","=",D145),Holieday[date],CONCATENATE("&lt;","=",J_SUBDAY(J_ADDDAY(D145,N145,1),1,1)))+SUMIFS(Holieday[Friday],Holieday[date],CONCATENATE("&gt;","=",D145),Holieday[date],CONCATENATE("&lt;","=",J_SUBDAY(J_ADDDAY(D145,N145,1),1,1))))=1,J_SUBDAY(J_ADDDAY(D145,N145+1,1),1,1),IF((N145-NETWORKDAYS.INTL(J_GregorianDate(D145,1),J_GregorianDate(J_SUBDAY(J_ADDDAY(D145,N145,1),1,1),1),16,1)-SUMIFS(Holieday[ok],Holieday[date],CONCATENATE("&gt;","=",D145),Holieday[date],CONCATENATE("&lt;","=",J_SUBDAY(J_ADDDAY(D145,N145,1),1,1)))+SUMIFS(Holieday[Friday],Holieday[date],CONCATENATE("&gt;","=",D145),Holieday[date],CONCATENATE("&lt;","=",J_SUBDAY(J_ADDDAY(D145,N145,1),1,1))))=2,J_SUBDAY(J_ADDDAY(D145,N145+2,1),1,1),J_SUBDAY(J_ADDDAY(D145,N145+3,1),1,1)))))</f>
        <v>1398/07/28</v>
      </c>
      <c r="G145" s="3">
        <f t="shared" si="42"/>
        <v>13980728</v>
      </c>
      <c r="H145" s="119"/>
      <c r="I145" s="120">
        <v>6.3</v>
      </c>
      <c r="J145" s="10">
        <f>j_WEEKDAY(D145,2)</f>
        <v>2</v>
      </c>
      <c r="K145" s="22">
        <f t="shared" si="45"/>
        <v>0</v>
      </c>
      <c r="L145" s="9">
        <f t="shared" si="46"/>
        <v>0</v>
      </c>
      <c r="M145" s="121">
        <v>0</v>
      </c>
      <c r="N145" s="118">
        <v>0</v>
      </c>
      <c r="O145" s="11">
        <f t="shared" si="47"/>
        <v>0</v>
      </c>
      <c r="P145" s="11">
        <f>VALUE(J_normdate(J_ADDDAY($D145,$O145,1)))</f>
        <v>13980729</v>
      </c>
      <c r="Q145" s="10">
        <f t="shared" si="48"/>
        <v>0</v>
      </c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/>
      <c r="BJ145" s="8"/>
      <c r="BK145" s="8"/>
      <c r="BL145" s="8"/>
      <c r="BM145" s="8"/>
      <c r="BN145" s="8"/>
      <c r="BO145" s="8"/>
      <c r="BP145" s="8"/>
      <c r="BQ145" s="8"/>
      <c r="BR145" s="8"/>
      <c r="BS145" s="8"/>
      <c r="BT145" s="8"/>
      <c r="BU145" s="8"/>
      <c r="BV145" s="8"/>
      <c r="BW145" s="8"/>
      <c r="BX145" s="8"/>
      <c r="BY145" s="8"/>
      <c r="BZ145" s="8"/>
      <c r="CA145" s="8"/>
      <c r="CB145" s="8"/>
      <c r="CC145" s="8"/>
      <c r="CD145" s="8"/>
      <c r="CE145" s="8"/>
      <c r="CF145" s="8"/>
      <c r="CG145" s="8"/>
      <c r="CH145" s="8"/>
      <c r="CI145" s="8"/>
      <c r="CJ145" s="8"/>
      <c r="CK145" s="8"/>
      <c r="CL145" s="8"/>
      <c r="CM145" s="8"/>
      <c r="CN145" s="8"/>
      <c r="CO145" s="8"/>
      <c r="CP145" s="8"/>
      <c r="CQ145" s="8"/>
      <c r="CR145" s="8"/>
      <c r="CS145" s="8"/>
      <c r="CT145" s="8"/>
      <c r="CU145" s="8"/>
      <c r="CV145" s="8"/>
      <c r="CW145" s="8"/>
      <c r="CX145" s="8"/>
      <c r="CY145" s="8"/>
      <c r="CZ145" s="8"/>
      <c r="DA145" s="8"/>
      <c r="DB145" s="8"/>
      <c r="DC145" s="8"/>
      <c r="DD145" s="8"/>
      <c r="DE145" s="8"/>
      <c r="DF145" s="8"/>
      <c r="DG145" s="8"/>
      <c r="DH145" s="8"/>
      <c r="DI145" s="8"/>
      <c r="DJ145" s="8"/>
      <c r="DK145" s="8"/>
      <c r="DL145" s="8"/>
      <c r="DM145" s="8"/>
      <c r="DN145" s="8"/>
      <c r="DO145" s="8"/>
      <c r="DP145" s="8"/>
      <c r="DQ145" s="8"/>
      <c r="DR145" s="8"/>
      <c r="DS145" s="8"/>
      <c r="DT145" s="8"/>
      <c r="DU145" s="8"/>
      <c r="DV145" s="8"/>
      <c r="DW145" s="8"/>
      <c r="DX145" s="8"/>
      <c r="DY145" s="8"/>
      <c r="DZ145" s="8"/>
      <c r="EA145" s="8"/>
      <c r="EB145" s="8"/>
      <c r="EC145" s="8"/>
      <c r="ED145" s="8"/>
      <c r="EE145" s="8"/>
      <c r="EF145" s="8"/>
      <c r="EG145" s="8"/>
      <c r="EH145" s="8"/>
      <c r="EI145" s="8"/>
      <c r="EJ145" s="8"/>
      <c r="EK145" s="8"/>
      <c r="EL145" s="8"/>
      <c r="EM145" s="8"/>
      <c r="EN145" s="8"/>
      <c r="EO145" s="8"/>
      <c r="EP145" s="8"/>
      <c r="EQ145" s="8"/>
      <c r="ER145" s="8"/>
      <c r="ES145" s="8"/>
      <c r="ET145" s="8"/>
      <c r="EU145" s="8"/>
      <c r="EV145" s="8"/>
      <c r="EW145" s="8"/>
      <c r="EX145" s="8"/>
      <c r="EY145" s="8"/>
      <c r="EZ145" s="8"/>
      <c r="FA145" s="8"/>
      <c r="FB145" s="8"/>
      <c r="FC145" s="8"/>
      <c r="FD145" s="8"/>
      <c r="FE145" s="8"/>
      <c r="FF145" s="8"/>
      <c r="FG145" s="8"/>
      <c r="FH145" s="8"/>
      <c r="FI145" s="8"/>
      <c r="FJ145" s="8"/>
      <c r="FK145" s="8"/>
      <c r="FL145" s="8"/>
      <c r="FM145" s="8"/>
      <c r="FN145" s="8"/>
      <c r="FO145" s="8"/>
      <c r="FP145" s="8"/>
      <c r="FQ145" s="8"/>
      <c r="FR145" s="8"/>
      <c r="FS145" s="8"/>
      <c r="FT145" s="8"/>
      <c r="FU145" s="8"/>
      <c r="FV145" s="8"/>
      <c r="FW145" s="8"/>
      <c r="FX145" s="8"/>
      <c r="FY145" s="8"/>
      <c r="FZ145" s="8"/>
      <c r="GA145" s="8"/>
      <c r="GB145" s="8"/>
      <c r="GC145" s="8"/>
      <c r="GD145" s="8"/>
      <c r="GE145" s="8"/>
      <c r="GF145" s="8"/>
      <c r="GG145" s="8"/>
      <c r="GH145" s="8"/>
      <c r="GI145" s="8"/>
      <c r="GJ145" s="8"/>
      <c r="GK145" s="8"/>
      <c r="GL145" s="8"/>
      <c r="GM145" s="8"/>
      <c r="GN145" s="8"/>
      <c r="GO145" s="8"/>
      <c r="GP145" s="8"/>
      <c r="GQ145" s="8"/>
      <c r="GR145" s="8"/>
      <c r="GS145" s="8"/>
      <c r="GT145" s="8"/>
      <c r="GU145" s="8"/>
      <c r="GV145" s="8"/>
      <c r="GW145" s="8"/>
      <c r="GX145" s="8"/>
      <c r="GY145" s="8"/>
      <c r="GZ145" s="8"/>
      <c r="HA145" s="8"/>
      <c r="HB145" s="8"/>
      <c r="HC145" s="8"/>
      <c r="HD145" s="8"/>
      <c r="HE145" s="8"/>
      <c r="HF145" s="8"/>
      <c r="HG145" s="8"/>
      <c r="HH145" s="8"/>
      <c r="HI145" s="8"/>
      <c r="HJ145" s="8"/>
      <c r="HK145" s="8"/>
      <c r="HL145" s="8"/>
      <c r="HM145" s="8"/>
      <c r="HN145" s="8"/>
      <c r="HO145" s="8"/>
      <c r="HP145" s="8"/>
      <c r="HQ145" s="8"/>
      <c r="HR145" s="8"/>
      <c r="HS145" s="8"/>
      <c r="HT145" s="8"/>
      <c r="HU145" s="8"/>
      <c r="HV145" s="8"/>
      <c r="HW145" s="8"/>
      <c r="HX145" s="8"/>
      <c r="HY145" s="8"/>
      <c r="HZ145" s="8"/>
      <c r="IA145" s="8"/>
      <c r="IB145" s="8"/>
      <c r="IC145" s="8"/>
      <c r="ID145" s="8"/>
      <c r="IE145" s="8"/>
      <c r="IF145" s="8"/>
      <c r="IG145" s="8"/>
      <c r="IH145" s="8"/>
      <c r="II145" s="8"/>
      <c r="IJ145" s="8"/>
      <c r="IK145" s="8"/>
      <c r="IL145" s="8"/>
      <c r="IM145" s="8"/>
      <c r="IN145" s="8"/>
      <c r="IO145" s="8"/>
      <c r="IP145" s="8"/>
      <c r="IQ145" s="8"/>
      <c r="IR145" s="8"/>
      <c r="IS145" s="8"/>
      <c r="IT145" s="8"/>
      <c r="IU145" s="8"/>
      <c r="IV145" s="8"/>
      <c r="IW145" s="8"/>
      <c r="IX145" s="8"/>
      <c r="JA145" s="123"/>
      <c r="JB145" s="123"/>
      <c r="JC145" s="123"/>
      <c r="JD145" s="70">
        <f>SUM((TEXT(JA145,"[M]")/60)*'Income Person-hours'!$D$3,(TEXT(JB145,"[M]")/60)*'Income Person-hours'!$D$4,(TEXT(JC145,"[M]")/60)*'Income Person-hours'!$D$5)</f>
        <v>0</v>
      </c>
    </row>
    <row r="146" spans="1:264 16383:16384" s="12" customFormat="1" ht="15.75" hidden="1" x14ac:dyDescent="0.45">
      <c r="A146" s="32">
        <v>6.16</v>
      </c>
      <c r="B146" s="126"/>
      <c r="C146" s="117"/>
      <c r="D146" s="13" t="str">
        <f>IF(OR(j_WEEKDAY(J_ADDDAY(VLOOKUP(I146,A:F,6,FALSE),H146,1),0)=6,SUMIFS(Holieday[ok],Holieday[date],J_ADDDAY(VLOOKUP(I146,A:F,6,FALSE),H146,1)))=FALSE(),J_ADDDAY(VLOOKUP(I146,A:F,6,FALSE),H146,1),IF(OR(j_WEEKDAY(J_ADDDAY(VLOOKUP(I146,A:F,6,FALSE),H146+1,1),0)=6,SUMIFS(Holieday[ok],Holieday[date],J_ADDDAY(VLOOKUP(I146,A:F,6,FALSE),H146+1,1)))=FALSE(),J_ADDDAY(VLOOKUP(I146,A:F,6,FALSE),H146+1,1),IF(OR(j_WEEKDAY(J_ADDDAY(VLOOKUP(I146,A:F,6,FALSE),H146+2,1),0)=6,SUMIFS(Holieday[ok],Holieday[date],J_ADDDAY(VLOOKUP(I146,A:F,6,FALSE),H146+2,1)))=FALSE(),J_ADDDAY(VLOOKUP(I146,A:F,6,FALSE),H146+2,1),IF(OR(j_WEEKDAY(J_ADDDAY(VLOOKUP(I146,A:F,6,FALSE),H146+3,1),0)=6,SUMIFS(Holieday[ok],Holieday[date],J_ADDDAY(VLOOKUP(I146,A:F,6,FALSE),H146+3,1)))=FALSE(),J_ADDDAY(VLOOKUP(I146,A:F,6,FALSE),H146+3,1),IF(OR(j_WEEKDAY(J_ADDDAY(VLOOKUP(I146,A:F,6,FALSE),H146+4,1),0)=6,SUMIFS(Holieday[ok],Holieday[date],J_ADDDAY(VLOOKUP(I146,A:F,6,FALSE),H146+4,1)))=FALSE(),J_ADDDAY(VLOOKUP(I146,A:F,6,FALSE),H146+4,1),J_ADDDAY(VLOOKUP(I146,A:F,6,FALSE),H146+5,1))))))</f>
        <v>1398/07/29</v>
      </c>
      <c r="E146" s="2">
        <f t="shared" si="41"/>
        <v>13980729</v>
      </c>
      <c r="F146" s="13" t="str">
        <f>IF(N146=0,J_SUBDAY(D146,1,1),IF((N146-NETWORKDAYS.INTL(J_GregorianDate(D146,1),J_GregorianDate(J_SUBDAY(J_ADDDAY(D146,N146,1),1,1),1),16,1)-SUMIFS(Holieday[ok],Holieday[date],CONCATENATE("&gt;","=",D146),Holieday[date],CONCATENATE("&lt;","=",J_SUBDAY(J_ADDDAY(D146,N146,1),1,1)))+SUMIFS(Holieday[Friday],Holieday[date],CONCATENATE("&gt;","=",D146),Holieday[date],CONCATENATE("&lt;","=",J_SUBDAY(J_ADDDAY(D146,N146,1),1,1))))=0,J_SUBDAY(J_ADDDAY(D146,N146,1),1,1),IF((N146-NETWORKDAYS.INTL(J_GregorianDate(D146,1),J_GregorianDate(J_SUBDAY(J_ADDDAY(D146,N146,1),1,1),1),16,1)-SUMIFS(Holieday[ok],Holieday[date],CONCATENATE("&gt;","=",D146),Holieday[date],CONCATENATE("&lt;","=",J_SUBDAY(J_ADDDAY(D146,N146,1),1,1)))+SUMIFS(Holieday[Friday],Holieday[date],CONCATENATE("&gt;","=",D146),Holieday[date],CONCATENATE("&lt;","=",J_SUBDAY(J_ADDDAY(D146,N146,1),1,1))))=1,J_SUBDAY(J_ADDDAY(D146,N146+1,1),1,1),IF((N146-NETWORKDAYS.INTL(J_GregorianDate(D146,1),J_GregorianDate(J_SUBDAY(J_ADDDAY(D146,N146,1),1,1),1),16,1)-SUMIFS(Holieday[ok],Holieday[date],CONCATENATE("&gt;","=",D146),Holieday[date],CONCATENATE("&lt;","=",J_SUBDAY(J_ADDDAY(D146,N146,1),1,1)))+SUMIFS(Holieday[Friday],Holieday[date],CONCATENATE("&gt;","=",D146),Holieday[date],CONCATENATE("&lt;","=",J_SUBDAY(J_ADDDAY(D146,N146,1),1,1))))=2,J_SUBDAY(J_ADDDAY(D146,N146+2,1),1,1),J_SUBDAY(J_ADDDAY(D146,N146+3,1),1,1)))))</f>
        <v>1398/07/28</v>
      </c>
      <c r="G146" s="3">
        <f t="shared" si="42"/>
        <v>13980728</v>
      </c>
      <c r="H146" s="119"/>
      <c r="I146" s="120">
        <v>6.3</v>
      </c>
      <c r="J146" s="10">
        <f>j_WEEKDAY(D146,2)</f>
        <v>2</v>
      </c>
      <c r="K146" s="22">
        <f t="shared" si="45"/>
        <v>0</v>
      </c>
      <c r="L146" s="9">
        <f t="shared" si="46"/>
        <v>0</v>
      </c>
      <c r="M146" s="121">
        <v>0</v>
      </c>
      <c r="N146" s="118">
        <v>0</v>
      </c>
      <c r="O146" s="11">
        <f t="shared" si="47"/>
        <v>0</v>
      </c>
      <c r="P146" s="11">
        <f>VALUE(J_normdate(J_ADDDAY($D146,$O146,1)))</f>
        <v>13980729</v>
      </c>
      <c r="Q146" s="10">
        <f t="shared" si="48"/>
        <v>0</v>
      </c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8"/>
      <c r="AE146" s="8"/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 s="8"/>
      <c r="BK146" s="8"/>
      <c r="BL146" s="8"/>
      <c r="BM146" s="8"/>
      <c r="BN146" s="8"/>
      <c r="BO146" s="8"/>
      <c r="BP146" s="8"/>
      <c r="BQ146" s="8"/>
      <c r="BR146" s="8"/>
      <c r="BS146" s="8"/>
      <c r="BT146" s="8"/>
      <c r="BU146" s="8"/>
      <c r="BV146" s="8"/>
      <c r="BW146" s="8"/>
      <c r="BX146" s="8"/>
      <c r="BY146" s="8"/>
      <c r="BZ146" s="8"/>
      <c r="CA146" s="8"/>
      <c r="CB146" s="8"/>
      <c r="CC146" s="8"/>
      <c r="CD146" s="8"/>
      <c r="CE146" s="8"/>
      <c r="CF146" s="8"/>
      <c r="CG146" s="8"/>
      <c r="CH146" s="8"/>
      <c r="CI146" s="8"/>
      <c r="CJ146" s="8"/>
      <c r="CK146" s="8"/>
      <c r="CL146" s="8"/>
      <c r="CM146" s="8"/>
      <c r="CN146" s="8"/>
      <c r="CO146" s="8"/>
      <c r="CP146" s="8"/>
      <c r="CQ146" s="8"/>
      <c r="CR146" s="8"/>
      <c r="CS146" s="8"/>
      <c r="CT146" s="8"/>
      <c r="CU146" s="8"/>
      <c r="CV146" s="8"/>
      <c r="CW146" s="8"/>
      <c r="CX146" s="8"/>
      <c r="CY146" s="8"/>
      <c r="CZ146" s="8"/>
      <c r="DA146" s="8"/>
      <c r="DB146" s="8"/>
      <c r="DC146" s="8"/>
      <c r="DD146" s="8"/>
      <c r="DE146" s="8"/>
      <c r="DF146" s="8"/>
      <c r="DG146" s="8"/>
      <c r="DH146" s="8"/>
      <c r="DI146" s="8"/>
      <c r="DJ146" s="8"/>
      <c r="DK146" s="8"/>
      <c r="DL146" s="8"/>
      <c r="DM146" s="8"/>
      <c r="DN146" s="8"/>
      <c r="DO146" s="8"/>
      <c r="DP146" s="8"/>
      <c r="DQ146" s="8"/>
      <c r="DR146" s="8"/>
      <c r="DS146" s="8"/>
      <c r="DT146" s="8"/>
      <c r="DU146" s="8"/>
      <c r="DV146" s="8"/>
      <c r="DW146" s="8"/>
      <c r="DX146" s="8"/>
      <c r="DY146" s="8"/>
      <c r="DZ146" s="8"/>
      <c r="EA146" s="8"/>
      <c r="EB146" s="8"/>
      <c r="EC146" s="8"/>
      <c r="ED146" s="8"/>
      <c r="EE146" s="8"/>
      <c r="EF146" s="8"/>
      <c r="EG146" s="8"/>
      <c r="EH146" s="8"/>
      <c r="EI146" s="8"/>
      <c r="EJ146" s="8"/>
      <c r="EK146" s="8"/>
      <c r="EL146" s="8"/>
      <c r="EM146" s="8"/>
      <c r="EN146" s="8"/>
      <c r="EO146" s="8"/>
      <c r="EP146" s="8"/>
      <c r="EQ146" s="8"/>
      <c r="ER146" s="8"/>
      <c r="ES146" s="8"/>
      <c r="ET146" s="8"/>
      <c r="EU146" s="8"/>
      <c r="EV146" s="8"/>
      <c r="EW146" s="8"/>
      <c r="EX146" s="8"/>
      <c r="EY146" s="8"/>
      <c r="EZ146" s="8"/>
      <c r="FA146" s="8"/>
      <c r="FB146" s="8"/>
      <c r="FC146" s="8"/>
      <c r="FD146" s="8"/>
      <c r="FE146" s="8"/>
      <c r="FF146" s="8"/>
      <c r="FG146" s="8"/>
      <c r="FH146" s="8"/>
      <c r="FI146" s="8"/>
      <c r="FJ146" s="8"/>
      <c r="FK146" s="8"/>
      <c r="FL146" s="8"/>
      <c r="FM146" s="8"/>
      <c r="FN146" s="8"/>
      <c r="FO146" s="8"/>
      <c r="FP146" s="8"/>
      <c r="FQ146" s="8"/>
      <c r="FR146" s="8"/>
      <c r="FS146" s="8"/>
      <c r="FT146" s="8"/>
      <c r="FU146" s="8"/>
      <c r="FV146" s="8"/>
      <c r="FW146" s="8"/>
      <c r="FX146" s="8"/>
      <c r="FY146" s="8"/>
      <c r="FZ146" s="8"/>
      <c r="GA146" s="8"/>
      <c r="GB146" s="8"/>
      <c r="GC146" s="8"/>
      <c r="GD146" s="8"/>
      <c r="GE146" s="8"/>
      <c r="GF146" s="8"/>
      <c r="GG146" s="8"/>
      <c r="GH146" s="8"/>
      <c r="GI146" s="8"/>
      <c r="GJ146" s="8"/>
      <c r="GK146" s="8"/>
      <c r="GL146" s="8"/>
      <c r="GM146" s="8"/>
      <c r="GN146" s="8"/>
      <c r="GO146" s="8"/>
      <c r="GP146" s="8"/>
      <c r="GQ146" s="8"/>
      <c r="GR146" s="8"/>
      <c r="GS146" s="8"/>
      <c r="GT146" s="8"/>
      <c r="GU146" s="8"/>
      <c r="GV146" s="8"/>
      <c r="GW146" s="8"/>
      <c r="GX146" s="8"/>
      <c r="GY146" s="8"/>
      <c r="GZ146" s="8"/>
      <c r="HA146" s="8"/>
      <c r="HB146" s="8"/>
      <c r="HC146" s="8"/>
      <c r="HD146" s="8"/>
      <c r="HE146" s="8"/>
      <c r="HF146" s="8"/>
      <c r="HG146" s="8"/>
      <c r="HH146" s="8"/>
      <c r="HI146" s="8"/>
      <c r="HJ146" s="8"/>
      <c r="HK146" s="8"/>
      <c r="HL146" s="8"/>
      <c r="HM146" s="8"/>
      <c r="HN146" s="8"/>
      <c r="HO146" s="8"/>
      <c r="HP146" s="8"/>
      <c r="HQ146" s="8"/>
      <c r="HR146" s="8"/>
      <c r="HS146" s="8"/>
      <c r="HT146" s="8"/>
      <c r="HU146" s="8"/>
      <c r="HV146" s="8"/>
      <c r="HW146" s="8"/>
      <c r="HX146" s="8"/>
      <c r="HY146" s="8"/>
      <c r="HZ146" s="8"/>
      <c r="IA146" s="8"/>
      <c r="IB146" s="8"/>
      <c r="IC146" s="8"/>
      <c r="ID146" s="8"/>
      <c r="IE146" s="8"/>
      <c r="IF146" s="8"/>
      <c r="IG146" s="8"/>
      <c r="IH146" s="8"/>
      <c r="II146" s="8"/>
      <c r="IJ146" s="8"/>
      <c r="IK146" s="8"/>
      <c r="IL146" s="8"/>
      <c r="IM146" s="8"/>
      <c r="IN146" s="8"/>
      <c r="IO146" s="8"/>
      <c r="IP146" s="8"/>
      <c r="IQ146" s="8"/>
      <c r="IR146" s="8"/>
      <c r="IS146" s="8"/>
      <c r="IT146" s="8"/>
      <c r="IU146" s="8"/>
      <c r="IV146" s="8"/>
      <c r="IW146" s="8"/>
      <c r="IX146" s="8"/>
      <c r="JA146" s="123"/>
      <c r="JB146" s="123"/>
      <c r="JC146" s="123"/>
      <c r="JD146" s="70">
        <f>SUM((TEXT(JA146,"[M]")/60)*'Income Person-hours'!$D$3,(TEXT(JB146,"[M]")/60)*'Income Person-hours'!$D$4,(TEXT(JC146,"[M]")/60)*'Income Person-hours'!$D$5)</f>
        <v>0</v>
      </c>
    </row>
    <row r="147" spans="1:264 16383:16384" s="12" customFormat="1" ht="15.75" hidden="1" x14ac:dyDescent="0.45">
      <c r="A147" s="32">
        <v>6.17</v>
      </c>
      <c r="B147" s="126"/>
      <c r="C147" s="117"/>
      <c r="D147" s="13" t="str">
        <f>IF(OR(j_WEEKDAY(J_ADDDAY(VLOOKUP(I147,A:F,6,FALSE),H147,1),0)=6,SUMIFS(Holieday[ok],Holieday[date],J_ADDDAY(VLOOKUP(I147,A:F,6,FALSE),H147,1)))=FALSE(),J_ADDDAY(VLOOKUP(I147,A:F,6,FALSE),H147,1),IF(OR(j_WEEKDAY(J_ADDDAY(VLOOKUP(I147,A:F,6,FALSE),H147+1,1),0)=6,SUMIFS(Holieday[ok],Holieday[date],J_ADDDAY(VLOOKUP(I147,A:F,6,FALSE),H147+1,1)))=FALSE(),J_ADDDAY(VLOOKUP(I147,A:F,6,FALSE),H147+1,1),IF(OR(j_WEEKDAY(J_ADDDAY(VLOOKUP(I147,A:F,6,FALSE),H147+2,1),0)=6,SUMIFS(Holieday[ok],Holieday[date],J_ADDDAY(VLOOKUP(I147,A:F,6,FALSE),H147+2,1)))=FALSE(),J_ADDDAY(VLOOKUP(I147,A:F,6,FALSE),H147+2,1),IF(OR(j_WEEKDAY(J_ADDDAY(VLOOKUP(I147,A:F,6,FALSE),H147+3,1),0)=6,SUMIFS(Holieday[ok],Holieday[date],J_ADDDAY(VLOOKUP(I147,A:F,6,FALSE),H147+3,1)))=FALSE(),J_ADDDAY(VLOOKUP(I147,A:F,6,FALSE),H147+3,1),IF(OR(j_WEEKDAY(J_ADDDAY(VLOOKUP(I147,A:F,6,FALSE),H147+4,1),0)=6,SUMIFS(Holieday[ok],Holieday[date],J_ADDDAY(VLOOKUP(I147,A:F,6,FALSE),H147+4,1)))=FALSE(),J_ADDDAY(VLOOKUP(I147,A:F,6,FALSE),H147+4,1),J_ADDDAY(VLOOKUP(I147,A:F,6,FALSE),H147+5,1))))))</f>
        <v>1398/07/29</v>
      </c>
      <c r="E147" s="2">
        <f t="shared" si="41"/>
        <v>13980729</v>
      </c>
      <c r="F147" s="13" t="str">
        <f>IF(N147=0,J_SUBDAY(D147,1,1),IF((N147-NETWORKDAYS.INTL(J_GregorianDate(D147,1),J_GregorianDate(J_SUBDAY(J_ADDDAY(D147,N147,1),1,1),1),16,1)-SUMIFS(Holieday[ok],Holieday[date],CONCATENATE("&gt;","=",D147),Holieday[date],CONCATENATE("&lt;","=",J_SUBDAY(J_ADDDAY(D147,N147,1),1,1)))+SUMIFS(Holieday[Friday],Holieday[date],CONCATENATE("&gt;","=",D147),Holieday[date],CONCATENATE("&lt;","=",J_SUBDAY(J_ADDDAY(D147,N147,1),1,1))))=0,J_SUBDAY(J_ADDDAY(D147,N147,1),1,1),IF((N147-NETWORKDAYS.INTL(J_GregorianDate(D147,1),J_GregorianDate(J_SUBDAY(J_ADDDAY(D147,N147,1),1,1),1),16,1)-SUMIFS(Holieday[ok],Holieday[date],CONCATENATE("&gt;","=",D147),Holieday[date],CONCATENATE("&lt;","=",J_SUBDAY(J_ADDDAY(D147,N147,1),1,1)))+SUMIFS(Holieday[Friday],Holieday[date],CONCATENATE("&gt;","=",D147),Holieday[date],CONCATENATE("&lt;","=",J_SUBDAY(J_ADDDAY(D147,N147,1),1,1))))=1,J_SUBDAY(J_ADDDAY(D147,N147+1,1),1,1),IF((N147-NETWORKDAYS.INTL(J_GregorianDate(D147,1),J_GregorianDate(J_SUBDAY(J_ADDDAY(D147,N147,1),1,1),1),16,1)-SUMIFS(Holieday[ok],Holieday[date],CONCATENATE("&gt;","=",D147),Holieday[date],CONCATENATE("&lt;","=",J_SUBDAY(J_ADDDAY(D147,N147,1),1,1)))+SUMIFS(Holieday[Friday],Holieday[date],CONCATENATE("&gt;","=",D147),Holieday[date],CONCATENATE("&lt;","=",J_SUBDAY(J_ADDDAY(D147,N147,1),1,1))))=2,J_SUBDAY(J_ADDDAY(D147,N147+2,1),1,1),J_SUBDAY(J_ADDDAY(D147,N147+3,1),1,1)))))</f>
        <v>1398/07/28</v>
      </c>
      <c r="G147" s="3">
        <f t="shared" si="42"/>
        <v>13980728</v>
      </c>
      <c r="H147" s="119"/>
      <c r="I147" s="120">
        <v>6.3</v>
      </c>
      <c r="J147" s="10">
        <f>j_WEEKDAY(D147,2)</f>
        <v>2</v>
      </c>
      <c r="K147" s="22">
        <f t="shared" si="45"/>
        <v>0</v>
      </c>
      <c r="L147" s="9">
        <f t="shared" si="46"/>
        <v>0</v>
      </c>
      <c r="M147" s="121">
        <v>0</v>
      </c>
      <c r="N147" s="118">
        <v>0</v>
      </c>
      <c r="O147" s="11">
        <f t="shared" si="47"/>
        <v>0</v>
      </c>
      <c r="P147" s="11">
        <f>VALUE(J_normdate(J_ADDDAY($D147,$O147,1)))</f>
        <v>13980729</v>
      </c>
      <c r="Q147" s="10">
        <f t="shared" si="48"/>
        <v>0</v>
      </c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 s="8"/>
      <c r="BK147" s="8"/>
      <c r="BL147" s="8"/>
      <c r="BM147" s="8"/>
      <c r="BN147" s="8"/>
      <c r="BO147" s="8"/>
      <c r="BP147" s="8"/>
      <c r="BQ147" s="8"/>
      <c r="BR147" s="8"/>
      <c r="BS147" s="8"/>
      <c r="BT147" s="8"/>
      <c r="BU147" s="8"/>
      <c r="BV147" s="8"/>
      <c r="BW147" s="8"/>
      <c r="BX147" s="8"/>
      <c r="BY147" s="8"/>
      <c r="BZ147" s="8"/>
      <c r="CA147" s="8"/>
      <c r="CB147" s="8"/>
      <c r="CC147" s="8"/>
      <c r="CD147" s="8"/>
      <c r="CE147" s="8"/>
      <c r="CF147" s="8"/>
      <c r="CG147" s="8"/>
      <c r="CH147" s="8"/>
      <c r="CI147" s="8"/>
      <c r="CJ147" s="8"/>
      <c r="CK147" s="8"/>
      <c r="CL147" s="8"/>
      <c r="CM147" s="8"/>
      <c r="CN147" s="8"/>
      <c r="CO147" s="8"/>
      <c r="CP147" s="8"/>
      <c r="CQ147" s="8"/>
      <c r="CR147" s="8"/>
      <c r="CS147" s="8"/>
      <c r="CT147" s="8"/>
      <c r="CU147" s="8"/>
      <c r="CV147" s="8"/>
      <c r="CW147" s="8"/>
      <c r="CX147" s="8"/>
      <c r="CY147" s="8"/>
      <c r="CZ147" s="8"/>
      <c r="DA147" s="8"/>
      <c r="DB147" s="8"/>
      <c r="DC147" s="8"/>
      <c r="DD147" s="8"/>
      <c r="DE147" s="8"/>
      <c r="DF147" s="8"/>
      <c r="DG147" s="8"/>
      <c r="DH147" s="8"/>
      <c r="DI147" s="8"/>
      <c r="DJ147" s="8"/>
      <c r="DK147" s="8"/>
      <c r="DL147" s="8"/>
      <c r="DM147" s="8"/>
      <c r="DN147" s="8"/>
      <c r="DO147" s="8"/>
      <c r="DP147" s="8"/>
      <c r="DQ147" s="8"/>
      <c r="DR147" s="8"/>
      <c r="DS147" s="8"/>
      <c r="DT147" s="8"/>
      <c r="DU147" s="8"/>
      <c r="DV147" s="8"/>
      <c r="DW147" s="8"/>
      <c r="DX147" s="8"/>
      <c r="DY147" s="8"/>
      <c r="DZ147" s="8"/>
      <c r="EA147" s="8"/>
      <c r="EB147" s="8"/>
      <c r="EC147" s="8"/>
      <c r="ED147" s="8"/>
      <c r="EE147" s="8"/>
      <c r="EF147" s="8"/>
      <c r="EG147" s="8"/>
      <c r="EH147" s="8"/>
      <c r="EI147" s="8"/>
      <c r="EJ147" s="8"/>
      <c r="EK147" s="8"/>
      <c r="EL147" s="8"/>
      <c r="EM147" s="8"/>
      <c r="EN147" s="8"/>
      <c r="EO147" s="8"/>
      <c r="EP147" s="8"/>
      <c r="EQ147" s="8"/>
      <c r="ER147" s="8"/>
      <c r="ES147" s="8"/>
      <c r="ET147" s="8"/>
      <c r="EU147" s="8"/>
      <c r="EV147" s="8"/>
      <c r="EW147" s="8"/>
      <c r="EX147" s="8"/>
      <c r="EY147" s="8"/>
      <c r="EZ147" s="8"/>
      <c r="FA147" s="8"/>
      <c r="FB147" s="8"/>
      <c r="FC147" s="8"/>
      <c r="FD147" s="8"/>
      <c r="FE147" s="8"/>
      <c r="FF147" s="8"/>
      <c r="FG147" s="8"/>
      <c r="FH147" s="8"/>
      <c r="FI147" s="8"/>
      <c r="FJ147" s="8"/>
      <c r="FK147" s="8"/>
      <c r="FL147" s="8"/>
      <c r="FM147" s="8"/>
      <c r="FN147" s="8"/>
      <c r="FO147" s="8"/>
      <c r="FP147" s="8"/>
      <c r="FQ147" s="8"/>
      <c r="FR147" s="8"/>
      <c r="FS147" s="8"/>
      <c r="FT147" s="8"/>
      <c r="FU147" s="8"/>
      <c r="FV147" s="8"/>
      <c r="FW147" s="8"/>
      <c r="FX147" s="8"/>
      <c r="FY147" s="8"/>
      <c r="FZ147" s="8"/>
      <c r="GA147" s="8"/>
      <c r="GB147" s="8"/>
      <c r="GC147" s="8"/>
      <c r="GD147" s="8"/>
      <c r="GE147" s="8"/>
      <c r="GF147" s="8"/>
      <c r="GG147" s="8"/>
      <c r="GH147" s="8"/>
      <c r="GI147" s="8"/>
      <c r="GJ147" s="8"/>
      <c r="GK147" s="8"/>
      <c r="GL147" s="8"/>
      <c r="GM147" s="8"/>
      <c r="GN147" s="8"/>
      <c r="GO147" s="8"/>
      <c r="GP147" s="8"/>
      <c r="GQ147" s="8"/>
      <c r="GR147" s="8"/>
      <c r="GS147" s="8"/>
      <c r="GT147" s="8"/>
      <c r="GU147" s="8"/>
      <c r="GV147" s="8"/>
      <c r="GW147" s="8"/>
      <c r="GX147" s="8"/>
      <c r="GY147" s="8"/>
      <c r="GZ147" s="8"/>
      <c r="HA147" s="8"/>
      <c r="HB147" s="8"/>
      <c r="HC147" s="8"/>
      <c r="HD147" s="8"/>
      <c r="HE147" s="8"/>
      <c r="HF147" s="8"/>
      <c r="HG147" s="8"/>
      <c r="HH147" s="8"/>
      <c r="HI147" s="8"/>
      <c r="HJ147" s="8"/>
      <c r="HK147" s="8"/>
      <c r="HL147" s="8"/>
      <c r="HM147" s="8"/>
      <c r="HN147" s="8"/>
      <c r="HO147" s="8"/>
      <c r="HP147" s="8"/>
      <c r="HQ147" s="8"/>
      <c r="HR147" s="8"/>
      <c r="HS147" s="8"/>
      <c r="HT147" s="8"/>
      <c r="HU147" s="8"/>
      <c r="HV147" s="8"/>
      <c r="HW147" s="8"/>
      <c r="HX147" s="8"/>
      <c r="HY147" s="8"/>
      <c r="HZ147" s="8"/>
      <c r="IA147" s="8"/>
      <c r="IB147" s="8"/>
      <c r="IC147" s="8"/>
      <c r="ID147" s="8"/>
      <c r="IE147" s="8"/>
      <c r="IF147" s="8"/>
      <c r="IG147" s="8"/>
      <c r="IH147" s="8"/>
      <c r="II147" s="8"/>
      <c r="IJ147" s="8"/>
      <c r="IK147" s="8"/>
      <c r="IL147" s="8"/>
      <c r="IM147" s="8"/>
      <c r="IN147" s="8"/>
      <c r="IO147" s="8"/>
      <c r="IP147" s="8"/>
      <c r="IQ147" s="8"/>
      <c r="IR147" s="8"/>
      <c r="IS147" s="8"/>
      <c r="IT147" s="8"/>
      <c r="IU147" s="8"/>
      <c r="IV147" s="8"/>
      <c r="IW147" s="8"/>
      <c r="IX147" s="8"/>
      <c r="JA147" s="123"/>
      <c r="JB147" s="123"/>
      <c r="JC147" s="123"/>
      <c r="JD147" s="70">
        <f>SUM((TEXT(JA147,"[M]")/60)*'Income Person-hours'!$D$3,(TEXT(JB147,"[M]")/60)*'Income Person-hours'!$D$4,(TEXT(JC147,"[M]")/60)*'Income Person-hours'!$D$5)</f>
        <v>0</v>
      </c>
    </row>
    <row r="148" spans="1:264 16383:16384" s="12" customFormat="1" ht="15.75" hidden="1" x14ac:dyDescent="0.45">
      <c r="A148" s="32">
        <v>6.18</v>
      </c>
      <c r="B148" s="126"/>
      <c r="C148" s="117"/>
      <c r="D148" s="13" t="str">
        <f>IF(OR(j_WEEKDAY(J_ADDDAY(VLOOKUP(I148,A:F,6,FALSE),H148,1),0)=6,SUMIFS(Holieday[ok],Holieday[date],J_ADDDAY(VLOOKUP(I148,A:F,6,FALSE),H148,1)))=FALSE(),J_ADDDAY(VLOOKUP(I148,A:F,6,FALSE),H148,1),IF(OR(j_WEEKDAY(J_ADDDAY(VLOOKUP(I148,A:F,6,FALSE),H148+1,1),0)=6,SUMIFS(Holieday[ok],Holieday[date],J_ADDDAY(VLOOKUP(I148,A:F,6,FALSE),H148+1,1)))=FALSE(),J_ADDDAY(VLOOKUP(I148,A:F,6,FALSE),H148+1,1),IF(OR(j_WEEKDAY(J_ADDDAY(VLOOKUP(I148,A:F,6,FALSE),H148+2,1),0)=6,SUMIFS(Holieday[ok],Holieday[date],J_ADDDAY(VLOOKUP(I148,A:F,6,FALSE),H148+2,1)))=FALSE(),J_ADDDAY(VLOOKUP(I148,A:F,6,FALSE),H148+2,1),IF(OR(j_WEEKDAY(J_ADDDAY(VLOOKUP(I148,A:F,6,FALSE),H148+3,1),0)=6,SUMIFS(Holieday[ok],Holieday[date],J_ADDDAY(VLOOKUP(I148,A:F,6,FALSE),H148+3,1)))=FALSE(),J_ADDDAY(VLOOKUP(I148,A:F,6,FALSE),H148+3,1),IF(OR(j_WEEKDAY(J_ADDDAY(VLOOKUP(I148,A:F,6,FALSE),H148+4,1),0)=6,SUMIFS(Holieday[ok],Holieday[date],J_ADDDAY(VLOOKUP(I148,A:F,6,FALSE),H148+4,1)))=FALSE(),J_ADDDAY(VLOOKUP(I148,A:F,6,FALSE),H148+4,1),J_ADDDAY(VLOOKUP(I148,A:F,6,FALSE),H148+5,1))))))</f>
        <v>1398/07/29</v>
      </c>
      <c r="E148" s="2">
        <f t="shared" si="41"/>
        <v>13980729</v>
      </c>
      <c r="F148" s="13" t="str">
        <f>IF(N148=0,J_SUBDAY(D148,1,1),IF((N148-NETWORKDAYS.INTL(J_GregorianDate(D148,1),J_GregorianDate(J_SUBDAY(J_ADDDAY(D148,N148,1),1,1),1),16,1)-SUMIFS(Holieday[ok],Holieday[date],CONCATENATE("&gt;","=",D148),Holieday[date],CONCATENATE("&lt;","=",J_SUBDAY(J_ADDDAY(D148,N148,1),1,1)))+SUMIFS(Holieday[Friday],Holieday[date],CONCATENATE("&gt;","=",D148),Holieday[date],CONCATENATE("&lt;","=",J_SUBDAY(J_ADDDAY(D148,N148,1),1,1))))=0,J_SUBDAY(J_ADDDAY(D148,N148,1),1,1),IF((N148-NETWORKDAYS.INTL(J_GregorianDate(D148,1),J_GregorianDate(J_SUBDAY(J_ADDDAY(D148,N148,1),1,1),1),16,1)-SUMIFS(Holieday[ok],Holieday[date],CONCATENATE("&gt;","=",D148),Holieday[date],CONCATENATE("&lt;","=",J_SUBDAY(J_ADDDAY(D148,N148,1),1,1)))+SUMIFS(Holieday[Friday],Holieday[date],CONCATENATE("&gt;","=",D148),Holieday[date],CONCATENATE("&lt;","=",J_SUBDAY(J_ADDDAY(D148,N148,1),1,1))))=1,J_SUBDAY(J_ADDDAY(D148,N148+1,1),1,1),IF((N148-NETWORKDAYS.INTL(J_GregorianDate(D148,1),J_GregorianDate(J_SUBDAY(J_ADDDAY(D148,N148,1),1,1),1),16,1)-SUMIFS(Holieday[ok],Holieday[date],CONCATENATE("&gt;","=",D148),Holieday[date],CONCATENATE("&lt;","=",J_SUBDAY(J_ADDDAY(D148,N148,1),1,1)))+SUMIFS(Holieday[Friday],Holieday[date],CONCATENATE("&gt;","=",D148),Holieday[date],CONCATENATE("&lt;","=",J_SUBDAY(J_ADDDAY(D148,N148,1),1,1))))=2,J_SUBDAY(J_ADDDAY(D148,N148+2,1),1,1),J_SUBDAY(J_ADDDAY(D148,N148+3,1),1,1)))))</f>
        <v>1398/07/28</v>
      </c>
      <c r="G148" s="3">
        <f t="shared" si="42"/>
        <v>13980728</v>
      </c>
      <c r="H148" s="119"/>
      <c r="I148" s="120">
        <v>6.3</v>
      </c>
      <c r="J148" s="10">
        <f>j_WEEKDAY(D148,2)</f>
        <v>2</v>
      </c>
      <c r="K148" s="22">
        <f t="shared" si="45"/>
        <v>0</v>
      </c>
      <c r="L148" s="9">
        <f t="shared" si="46"/>
        <v>0</v>
      </c>
      <c r="M148" s="121">
        <v>0</v>
      </c>
      <c r="N148" s="118">
        <v>0</v>
      </c>
      <c r="O148" s="11">
        <f t="shared" si="47"/>
        <v>0</v>
      </c>
      <c r="P148" s="11">
        <f>VALUE(J_normdate(J_ADDDAY($D148,$O148,1)))</f>
        <v>13980729</v>
      </c>
      <c r="Q148" s="10">
        <f t="shared" si="48"/>
        <v>0</v>
      </c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 s="8"/>
      <c r="BK148" s="8"/>
      <c r="BL148" s="8"/>
      <c r="BM148" s="8"/>
      <c r="BN148" s="8"/>
      <c r="BO148" s="8"/>
      <c r="BP148" s="8"/>
      <c r="BQ148" s="8"/>
      <c r="BR148" s="8"/>
      <c r="BS148" s="8"/>
      <c r="BT148" s="8"/>
      <c r="BU148" s="8"/>
      <c r="BV148" s="8"/>
      <c r="BW148" s="8"/>
      <c r="BX148" s="8"/>
      <c r="BY148" s="8"/>
      <c r="BZ148" s="8"/>
      <c r="CA148" s="8"/>
      <c r="CB148" s="8"/>
      <c r="CC148" s="8"/>
      <c r="CD148" s="8"/>
      <c r="CE148" s="8"/>
      <c r="CF148" s="8"/>
      <c r="CG148" s="8"/>
      <c r="CH148" s="8"/>
      <c r="CI148" s="8"/>
      <c r="CJ148" s="8"/>
      <c r="CK148" s="8"/>
      <c r="CL148" s="8"/>
      <c r="CM148" s="8"/>
      <c r="CN148" s="8"/>
      <c r="CO148" s="8"/>
      <c r="CP148" s="8"/>
      <c r="CQ148" s="8"/>
      <c r="CR148" s="8"/>
      <c r="CS148" s="8"/>
      <c r="CT148" s="8"/>
      <c r="CU148" s="8"/>
      <c r="CV148" s="8"/>
      <c r="CW148" s="8"/>
      <c r="CX148" s="8"/>
      <c r="CY148" s="8"/>
      <c r="CZ148" s="8"/>
      <c r="DA148" s="8"/>
      <c r="DB148" s="8"/>
      <c r="DC148" s="8"/>
      <c r="DD148" s="8"/>
      <c r="DE148" s="8"/>
      <c r="DF148" s="8"/>
      <c r="DG148" s="8"/>
      <c r="DH148" s="8"/>
      <c r="DI148" s="8"/>
      <c r="DJ148" s="8"/>
      <c r="DK148" s="8"/>
      <c r="DL148" s="8"/>
      <c r="DM148" s="8"/>
      <c r="DN148" s="8"/>
      <c r="DO148" s="8"/>
      <c r="DP148" s="8"/>
      <c r="DQ148" s="8"/>
      <c r="DR148" s="8"/>
      <c r="DS148" s="8"/>
      <c r="DT148" s="8"/>
      <c r="DU148" s="8"/>
      <c r="DV148" s="8"/>
      <c r="DW148" s="8"/>
      <c r="DX148" s="8"/>
      <c r="DY148" s="8"/>
      <c r="DZ148" s="8"/>
      <c r="EA148" s="8"/>
      <c r="EB148" s="8"/>
      <c r="EC148" s="8"/>
      <c r="ED148" s="8"/>
      <c r="EE148" s="8"/>
      <c r="EF148" s="8"/>
      <c r="EG148" s="8"/>
      <c r="EH148" s="8"/>
      <c r="EI148" s="8"/>
      <c r="EJ148" s="8"/>
      <c r="EK148" s="8"/>
      <c r="EL148" s="8"/>
      <c r="EM148" s="8"/>
      <c r="EN148" s="8"/>
      <c r="EO148" s="8"/>
      <c r="EP148" s="8"/>
      <c r="EQ148" s="8"/>
      <c r="ER148" s="8"/>
      <c r="ES148" s="8"/>
      <c r="ET148" s="8"/>
      <c r="EU148" s="8"/>
      <c r="EV148" s="8"/>
      <c r="EW148" s="8"/>
      <c r="EX148" s="8"/>
      <c r="EY148" s="8"/>
      <c r="EZ148" s="8"/>
      <c r="FA148" s="8"/>
      <c r="FB148" s="8"/>
      <c r="FC148" s="8"/>
      <c r="FD148" s="8"/>
      <c r="FE148" s="8"/>
      <c r="FF148" s="8"/>
      <c r="FG148" s="8"/>
      <c r="FH148" s="8"/>
      <c r="FI148" s="8"/>
      <c r="FJ148" s="8"/>
      <c r="FK148" s="8"/>
      <c r="FL148" s="8"/>
      <c r="FM148" s="8"/>
      <c r="FN148" s="8"/>
      <c r="FO148" s="8"/>
      <c r="FP148" s="8"/>
      <c r="FQ148" s="8"/>
      <c r="FR148" s="8"/>
      <c r="FS148" s="8"/>
      <c r="FT148" s="8"/>
      <c r="FU148" s="8"/>
      <c r="FV148" s="8"/>
      <c r="FW148" s="8"/>
      <c r="FX148" s="8"/>
      <c r="FY148" s="8"/>
      <c r="FZ148" s="8"/>
      <c r="GA148" s="8"/>
      <c r="GB148" s="8"/>
      <c r="GC148" s="8"/>
      <c r="GD148" s="8"/>
      <c r="GE148" s="8"/>
      <c r="GF148" s="8"/>
      <c r="GG148" s="8"/>
      <c r="GH148" s="8"/>
      <c r="GI148" s="8"/>
      <c r="GJ148" s="8"/>
      <c r="GK148" s="8"/>
      <c r="GL148" s="8"/>
      <c r="GM148" s="8"/>
      <c r="GN148" s="8"/>
      <c r="GO148" s="8"/>
      <c r="GP148" s="8"/>
      <c r="GQ148" s="8"/>
      <c r="GR148" s="8"/>
      <c r="GS148" s="8"/>
      <c r="GT148" s="8"/>
      <c r="GU148" s="8"/>
      <c r="GV148" s="8"/>
      <c r="GW148" s="8"/>
      <c r="GX148" s="8"/>
      <c r="GY148" s="8"/>
      <c r="GZ148" s="8"/>
      <c r="HA148" s="8"/>
      <c r="HB148" s="8"/>
      <c r="HC148" s="8"/>
      <c r="HD148" s="8"/>
      <c r="HE148" s="8"/>
      <c r="HF148" s="8"/>
      <c r="HG148" s="8"/>
      <c r="HH148" s="8"/>
      <c r="HI148" s="8"/>
      <c r="HJ148" s="8"/>
      <c r="HK148" s="8"/>
      <c r="HL148" s="8"/>
      <c r="HM148" s="8"/>
      <c r="HN148" s="8"/>
      <c r="HO148" s="8"/>
      <c r="HP148" s="8"/>
      <c r="HQ148" s="8"/>
      <c r="HR148" s="8"/>
      <c r="HS148" s="8"/>
      <c r="HT148" s="8"/>
      <c r="HU148" s="8"/>
      <c r="HV148" s="8"/>
      <c r="HW148" s="8"/>
      <c r="HX148" s="8"/>
      <c r="HY148" s="8"/>
      <c r="HZ148" s="8"/>
      <c r="IA148" s="8"/>
      <c r="IB148" s="8"/>
      <c r="IC148" s="8"/>
      <c r="ID148" s="8"/>
      <c r="IE148" s="8"/>
      <c r="IF148" s="8"/>
      <c r="IG148" s="8"/>
      <c r="IH148" s="8"/>
      <c r="II148" s="8"/>
      <c r="IJ148" s="8"/>
      <c r="IK148" s="8"/>
      <c r="IL148" s="8"/>
      <c r="IM148" s="8"/>
      <c r="IN148" s="8"/>
      <c r="IO148" s="8"/>
      <c r="IP148" s="8"/>
      <c r="IQ148" s="8"/>
      <c r="IR148" s="8"/>
      <c r="IS148" s="8"/>
      <c r="IT148" s="8"/>
      <c r="IU148" s="8"/>
      <c r="IV148" s="8"/>
      <c r="IW148" s="8"/>
      <c r="IX148" s="8"/>
      <c r="JA148" s="123"/>
      <c r="JB148" s="123"/>
      <c r="JC148" s="123"/>
      <c r="JD148" s="70">
        <f>SUM((TEXT(JA148,"[M]")/60)*'Income Person-hours'!$D$3,(TEXT(JB148,"[M]")/60)*'Income Person-hours'!$D$4,(TEXT(JC148,"[M]")/60)*'Income Person-hours'!$D$5)</f>
        <v>0</v>
      </c>
    </row>
    <row r="149" spans="1:264 16383:16384" s="12" customFormat="1" ht="15.75" hidden="1" x14ac:dyDescent="0.45">
      <c r="A149" s="32">
        <v>6.19</v>
      </c>
      <c r="B149" s="126"/>
      <c r="C149" s="117"/>
      <c r="D149" s="13" t="str">
        <f>IF(OR(j_WEEKDAY(J_ADDDAY(VLOOKUP(I149,A:F,6,FALSE),H149,1),0)=6,SUMIFS(Holieday[ok],Holieday[date],J_ADDDAY(VLOOKUP(I149,A:F,6,FALSE),H149,1)))=FALSE(),J_ADDDAY(VLOOKUP(I149,A:F,6,FALSE),H149,1),IF(OR(j_WEEKDAY(J_ADDDAY(VLOOKUP(I149,A:F,6,FALSE),H149+1,1),0)=6,SUMIFS(Holieday[ok],Holieday[date],J_ADDDAY(VLOOKUP(I149,A:F,6,FALSE),H149+1,1)))=FALSE(),J_ADDDAY(VLOOKUP(I149,A:F,6,FALSE),H149+1,1),IF(OR(j_WEEKDAY(J_ADDDAY(VLOOKUP(I149,A:F,6,FALSE),H149+2,1),0)=6,SUMIFS(Holieday[ok],Holieday[date],J_ADDDAY(VLOOKUP(I149,A:F,6,FALSE),H149+2,1)))=FALSE(),J_ADDDAY(VLOOKUP(I149,A:F,6,FALSE),H149+2,1),IF(OR(j_WEEKDAY(J_ADDDAY(VLOOKUP(I149,A:F,6,FALSE),H149+3,1),0)=6,SUMIFS(Holieday[ok],Holieday[date],J_ADDDAY(VLOOKUP(I149,A:F,6,FALSE),H149+3,1)))=FALSE(),J_ADDDAY(VLOOKUP(I149,A:F,6,FALSE),H149+3,1),IF(OR(j_WEEKDAY(J_ADDDAY(VLOOKUP(I149,A:F,6,FALSE),H149+4,1),0)=6,SUMIFS(Holieday[ok],Holieday[date],J_ADDDAY(VLOOKUP(I149,A:F,6,FALSE),H149+4,1)))=FALSE(),J_ADDDAY(VLOOKUP(I149,A:F,6,FALSE),H149+4,1),J_ADDDAY(VLOOKUP(I149,A:F,6,FALSE),H149+5,1))))))</f>
        <v>1398/07/29</v>
      </c>
      <c r="E149" s="2">
        <f t="shared" si="41"/>
        <v>13980729</v>
      </c>
      <c r="F149" s="13" t="str">
        <f>IF(N149=0,J_SUBDAY(D149,1,1),IF((N149-NETWORKDAYS.INTL(J_GregorianDate(D149,1),J_GregorianDate(J_SUBDAY(J_ADDDAY(D149,N149,1),1,1),1),16,1)-SUMIFS(Holieday[ok],Holieday[date],CONCATENATE("&gt;","=",D149),Holieday[date],CONCATENATE("&lt;","=",J_SUBDAY(J_ADDDAY(D149,N149,1),1,1)))+SUMIFS(Holieday[Friday],Holieday[date],CONCATENATE("&gt;","=",D149),Holieday[date],CONCATENATE("&lt;","=",J_SUBDAY(J_ADDDAY(D149,N149,1),1,1))))=0,J_SUBDAY(J_ADDDAY(D149,N149,1),1,1),IF((N149-NETWORKDAYS.INTL(J_GregorianDate(D149,1),J_GregorianDate(J_SUBDAY(J_ADDDAY(D149,N149,1),1,1),1),16,1)-SUMIFS(Holieday[ok],Holieday[date],CONCATENATE("&gt;","=",D149),Holieday[date],CONCATENATE("&lt;","=",J_SUBDAY(J_ADDDAY(D149,N149,1),1,1)))+SUMIFS(Holieday[Friday],Holieday[date],CONCATENATE("&gt;","=",D149),Holieday[date],CONCATENATE("&lt;","=",J_SUBDAY(J_ADDDAY(D149,N149,1),1,1))))=1,J_SUBDAY(J_ADDDAY(D149,N149+1,1),1,1),IF((N149-NETWORKDAYS.INTL(J_GregorianDate(D149,1),J_GregorianDate(J_SUBDAY(J_ADDDAY(D149,N149,1),1,1),1),16,1)-SUMIFS(Holieday[ok],Holieday[date],CONCATENATE("&gt;","=",D149),Holieday[date],CONCATENATE("&lt;","=",J_SUBDAY(J_ADDDAY(D149,N149,1),1,1)))+SUMIFS(Holieday[Friday],Holieday[date],CONCATENATE("&gt;","=",D149),Holieday[date],CONCATENATE("&lt;","=",J_SUBDAY(J_ADDDAY(D149,N149,1),1,1))))=2,J_SUBDAY(J_ADDDAY(D149,N149+2,1),1,1),J_SUBDAY(J_ADDDAY(D149,N149+3,1),1,1)))))</f>
        <v>1398/07/28</v>
      </c>
      <c r="G149" s="3">
        <f t="shared" si="42"/>
        <v>13980728</v>
      </c>
      <c r="H149" s="119"/>
      <c r="I149" s="120">
        <v>6.3</v>
      </c>
      <c r="J149" s="10">
        <f>j_WEEKDAY(D149,2)</f>
        <v>2</v>
      </c>
      <c r="K149" s="22">
        <f t="shared" si="45"/>
        <v>0</v>
      </c>
      <c r="L149" s="9">
        <f t="shared" si="46"/>
        <v>0</v>
      </c>
      <c r="M149" s="121">
        <v>0</v>
      </c>
      <c r="N149" s="118">
        <v>0</v>
      </c>
      <c r="O149" s="11">
        <f t="shared" si="47"/>
        <v>0</v>
      </c>
      <c r="P149" s="11">
        <f>VALUE(J_normdate(J_ADDDAY($D149,$O149,1)))</f>
        <v>13980729</v>
      </c>
      <c r="Q149" s="10">
        <f t="shared" si="48"/>
        <v>0</v>
      </c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/>
      <c r="AJ149" s="8"/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 s="8"/>
      <c r="BK149" s="8"/>
      <c r="BL149" s="8"/>
      <c r="BM149" s="8"/>
      <c r="BN149" s="8"/>
      <c r="BO149" s="8"/>
      <c r="BP149" s="8"/>
      <c r="BQ149" s="8"/>
      <c r="BR149" s="8"/>
      <c r="BS149" s="8"/>
      <c r="BT149" s="8"/>
      <c r="BU149" s="8"/>
      <c r="BV149" s="8"/>
      <c r="BW149" s="8"/>
      <c r="BX149" s="8"/>
      <c r="BY149" s="8"/>
      <c r="BZ149" s="8"/>
      <c r="CA149" s="8"/>
      <c r="CB149" s="8"/>
      <c r="CC149" s="8"/>
      <c r="CD149" s="8"/>
      <c r="CE149" s="8"/>
      <c r="CF149" s="8"/>
      <c r="CG149" s="8"/>
      <c r="CH149" s="8"/>
      <c r="CI149" s="8"/>
      <c r="CJ149" s="8"/>
      <c r="CK149" s="8"/>
      <c r="CL149" s="8"/>
      <c r="CM149" s="8"/>
      <c r="CN149" s="8"/>
      <c r="CO149" s="8"/>
      <c r="CP149" s="8"/>
      <c r="CQ149" s="8"/>
      <c r="CR149" s="8"/>
      <c r="CS149" s="8"/>
      <c r="CT149" s="8"/>
      <c r="CU149" s="8"/>
      <c r="CV149" s="8"/>
      <c r="CW149" s="8"/>
      <c r="CX149" s="8"/>
      <c r="CY149" s="8"/>
      <c r="CZ149" s="8"/>
      <c r="DA149" s="8"/>
      <c r="DB149" s="8"/>
      <c r="DC149" s="8"/>
      <c r="DD149" s="8"/>
      <c r="DE149" s="8"/>
      <c r="DF149" s="8"/>
      <c r="DG149" s="8"/>
      <c r="DH149" s="8"/>
      <c r="DI149" s="8"/>
      <c r="DJ149" s="8"/>
      <c r="DK149" s="8"/>
      <c r="DL149" s="8"/>
      <c r="DM149" s="8"/>
      <c r="DN149" s="8"/>
      <c r="DO149" s="8"/>
      <c r="DP149" s="8"/>
      <c r="DQ149" s="8"/>
      <c r="DR149" s="8"/>
      <c r="DS149" s="8"/>
      <c r="DT149" s="8"/>
      <c r="DU149" s="8"/>
      <c r="DV149" s="8"/>
      <c r="DW149" s="8"/>
      <c r="DX149" s="8"/>
      <c r="DY149" s="8"/>
      <c r="DZ149" s="8"/>
      <c r="EA149" s="8"/>
      <c r="EB149" s="8"/>
      <c r="EC149" s="8"/>
      <c r="ED149" s="8"/>
      <c r="EE149" s="8"/>
      <c r="EF149" s="8"/>
      <c r="EG149" s="8"/>
      <c r="EH149" s="8"/>
      <c r="EI149" s="8"/>
      <c r="EJ149" s="8"/>
      <c r="EK149" s="8"/>
      <c r="EL149" s="8"/>
      <c r="EM149" s="8"/>
      <c r="EN149" s="8"/>
      <c r="EO149" s="8"/>
      <c r="EP149" s="8"/>
      <c r="EQ149" s="8"/>
      <c r="ER149" s="8"/>
      <c r="ES149" s="8"/>
      <c r="ET149" s="8"/>
      <c r="EU149" s="8"/>
      <c r="EV149" s="8"/>
      <c r="EW149" s="8"/>
      <c r="EX149" s="8"/>
      <c r="EY149" s="8"/>
      <c r="EZ149" s="8"/>
      <c r="FA149" s="8"/>
      <c r="FB149" s="8"/>
      <c r="FC149" s="8"/>
      <c r="FD149" s="8"/>
      <c r="FE149" s="8"/>
      <c r="FF149" s="8"/>
      <c r="FG149" s="8"/>
      <c r="FH149" s="8"/>
      <c r="FI149" s="8"/>
      <c r="FJ149" s="8"/>
      <c r="FK149" s="8"/>
      <c r="FL149" s="8"/>
      <c r="FM149" s="8"/>
      <c r="FN149" s="8"/>
      <c r="FO149" s="8"/>
      <c r="FP149" s="8"/>
      <c r="FQ149" s="8"/>
      <c r="FR149" s="8"/>
      <c r="FS149" s="8"/>
      <c r="FT149" s="8"/>
      <c r="FU149" s="8"/>
      <c r="FV149" s="8"/>
      <c r="FW149" s="8"/>
      <c r="FX149" s="8"/>
      <c r="FY149" s="8"/>
      <c r="FZ149" s="8"/>
      <c r="GA149" s="8"/>
      <c r="GB149" s="8"/>
      <c r="GC149" s="8"/>
      <c r="GD149" s="8"/>
      <c r="GE149" s="8"/>
      <c r="GF149" s="8"/>
      <c r="GG149" s="8"/>
      <c r="GH149" s="8"/>
      <c r="GI149" s="8"/>
      <c r="GJ149" s="8"/>
      <c r="GK149" s="8"/>
      <c r="GL149" s="8"/>
      <c r="GM149" s="8"/>
      <c r="GN149" s="8"/>
      <c r="GO149" s="8"/>
      <c r="GP149" s="8"/>
      <c r="GQ149" s="8"/>
      <c r="GR149" s="8"/>
      <c r="GS149" s="8"/>
      <c r="GT149" s="8"/>
      <c r="GU149" s="8"/>
      <c r="GV149" s="8"/>
      <c r="GW149" s="8"/>
      <c r="GX149" s="8"/>
      <c r="GY149" s="8"/>
      <c r="GZ149" s="8"/>
      <c r="HA149" s="8"/>
      <c r="HB149" s="8"/>
      <c r="HC149" s="8"/>
      <c r="HD149" s="8"/>
      <c r="HE149" s="8"/>
      <c r="HF149" s="8"/>
      <c r="HG149" s="8"/>
      <c r="HH149" s="8"/>
      <c r="HI149" s="8"/>
      <c r="HJ149" s="8"/>
      <c r="HK149" s="8"/>
      <c r="HL149" s="8"/>
      <c r="HM149" s="8"/>
      <c r="HN149" s="8"/>
      <c r="HO149" s="8"/>
      <c r="HP149" s="8"/>
      <c r="HQ149" s="8"/>
      <c r="HR149" s="8"/>
      <c r="HS149" s="8"/>
      <c r="HT149" s="8"/>
      <c r="HU149" s="8"/>
      <c r="HV149" s="8"/>
      <c r="HW149" s="8"/>
      <c r="HX149" s="8"/>
      <c r="HY149" s="8"/>
      <c r="HZ149" s="8"/>
      <c r="IA149" s="8"/>
      <c r="IB149" s="8"/>
      <c r="IC149" s="8"/>
      <c r="ID149" s="8"/>
      <c r="IE149" s="8"/>
      <c r="IF149" s="8"/>
      <c r="IG149" s="8"/>
      <c r="IH149" s="8"/>
      <c r="II149" s="8"/>
      <c r="IJ149" s="8"/>
      <c r="IK149" s="8"/>
      <c r="IL149" s="8"/>
      <c r="IM149" s="8"/>
      <c r="IN149" s="8"/>
      <c r="IO149" s="8"/>
      <c r="IP149" s="8"/>
      <c r="IQ149" s="8"/>
      <c r="IR149" s="8"/>
      <c r="IS149" s="8"/>
      <c r="IT149" s="8"/>
      <c r="IU149" s="8"/>
      <c r="IV149" s="8"/>
      <c r="IW149" s="8"/>
      <c r="IX149" s="8"/>
      <c r="JA149" s="123"/>
      <c r="JB149" s="123"/>
      <c r="JC149" s="123"/>
      <c r="JD149" s="70">
        <f>SUM((TEXT(JA149,"[M]")/60)*'Income Person-hours'!$D$3,(TEXT(JB149,"[M]")/60)*'Income Person-hours'!$D$4,(TEXT(JC149,"[M]")/60)*'Income Person-hours'!$D$5)</f>
        <v>0</v>
      </c>
    </row>
    <row r="150" spans="1:264 16383:16384" s="12" customFormat="1" ht="15.75" hidden="1" x14ac:dyDescent="0.45">
      <c r="A150" s="32">
        <v>6.21</v>
      </c>
      <c r="B150" s="126"/>
      <c r="C150" s="117"/>
      <c r="D150" s="13" t="str">
        <f>IF(OR(j_WEEKDAY(J_ADDDAY(VLOOKUP(I150,A:F,6,FALSE),H150,1),0)=6,SUMIFS(Holieday[ok],Holieday[date],J_ADDDAY(VLOOKUP(I150,A:F,6,FALSE),H150,1)))=FALSE(),J_ADDDAY(VLOOKUP(I150,A:F,6,FALSE),H150,1),IF(OR(j_WEEKDAY(J_ADDDAY(VLOOKUP(I150,A:F,6,FALSE),H150+1,1),0)=6,SUMIFS(Holieday[ok],Holieday[date],J_ADDDAY(VLOOKUP(I150,A:F,6,FALSE),H150+1,1)))=FALSE(),J_ADDDAY(VLOOKUP(I150,A:F,6,FALSE),H150+1,1),IF(OR(j_WEEKDAY(J_ADDDAY(VLOOKUP(I150,A:F,6,FALSE),H150+2,1),0)=6,SUMIFS(Holieday[ok],Holieday[date],J_ADDDAY(VLOOKUP(I150,A:F,6,FALSE),H150+2,1)))=FALSE(),J_ADDDAY(VLOOKUP(I150,A:F,6,FALSE),H150+2,1),IF(OR(j_WEEKDAY(J_ADDDAY(VLOOKUP(I150,A:F,6,FALSE),H150+3,1),0)=6,SUMIFS(Holieday[ok],Holieday[date],J_ADDDAY(VLOOKUP(I150,A:F,6,FALSE),H150+3,1)))=FALSE(),J_ADDDAY(VLOOKUP(I150,A:F,6,FALSE),H150+3,1),IF(OR(j_WEEKDAY(J_ADDDAY(VLOOKUP(I150,A:F,6,FALSE),H150+4,1),0)=6,SUMIFS(Holieday[ok],Holieday[date],J_ADDDAY(VLOOKUP(I150,A:F,6,FALSE),H150+4,1)))=FALSE(),J_ADDDAY(VLOOKUP(I150,A:F,6,FALSE),H150+4,1),J_ADDDAY(VLOOKUP(I150,A:F,6,FALSE),H150+5,1))))))</f>
        <v>1398/07/29</v>
      </c>
      <c r="E150" s="2">
        <f t="shared" si="41"/>
        <v>13980729</v>
      </c>
      <c r="F150" s="13" t="str">
        <f>IF(N150=0,J_SUBDAY(D150,1,1),IF((N150-NETWORKDAYS.INTL(J_GregorianDate(D150,1),J_GregorianDate(J_SUBDAY(J_ADDDAY(D150,N150,1),1,1),1),16,1)-SUMIFS(Holieday[ok],Holieday[date],CONCATENATE("&gt;","=",D150),Holieday[date],CONCATENATE("&lt;","=",J_SUBDAY(J_ADDDAY(D150,N150,1),1,1)))+SUMIFS(Holieday[Friday],Holieday[date],CONCATENATE("&gt;","=",D150),Holieday[date],CONCATENATE("&lt;","=",J_SUBDAY(J_ADDDAY(D150,N150,1),1,1))))=0,J_SUBDAY(J_ADDDAY(D150,N150,1),1,1),IF((N150-NETWORKDAYS.INTL(J_GregorianDate(D150,1),J_GregorianDate(J_SUBDAY(J_ADDDAY(D150,N150,1),1,1),1),16,1)-SUMIFS(Holieday[ok],Holieday[date],CONCATENATE("&gt;","=",D150),Holieday[date],CONCATENATE("&lt;","=",J_SUBDAY(J_ADDDAY(D150,N150,1),1,1)))+SUMIFS(Holieday[Friday],Holieday[date],CONCATENATE("&gt;","=",D150),Holieday[date],CONCATENATE("&lt;","=",J_SUBDAY(J_ADDDAY(D150,N150,1),1,1))))=1,J_SUBDAY(J_ADDDAY(D150,N150+1,1),1,1),IF((N150-NETWORKDAYS.INTL(J_GregorianDate(D150,1),J_GregorianDate(J_SUBDAY(J_ADDDAY(D150,N150,1),1,1),1),16,1)-SUMIFS(Holieday[ok],Holieday[date],CONCATENATE("&gt;","=",D150),Holieday[date],CONCATENATE("&lt;","=",J_SUBDAY(J_ADDDAY(D150,N150,1),1,1)))+SUMIFS(Holieday[Friday],Holieday[date],CONCATENATE("&gt;","=",D150),Holieday[date],CONCATENATE("&lt;","=",J_SUBDAY(J_ADDDAY(D150,N150,1),1,1))))=2,J_SUBDAY(J_ADDDAY(D150,N150+2,1),1,1),J_SUBDAY(J_ADDDAY(D150,N150+3,1),1,1)))))</f>
        <v>1398/07/28</v>
      </c>
      <c r="G150" s="3">
        <f t="shared" si="42"/>
        <v>13980728</v>
      </c>
      <c r="H150" s="119"/>
      <c r="I150" s="120">
        <v>6.3</v>
      </c>
      <c r="J150" s="10">
        <f>j_WEEKDAY(D150,2)</f>
        <v>2</v>
      </c>
      <c r="K150" s="22">
        <f t="shared" si="45"/>
        <v>0</v>
      </c>
      <c r="L150" s="9">
        <f t="shared" si="46"/>
        <v>0</v>
      </c>
      <c r="M150" s="121">
        <v>0</v>
      </c>
      <c r="N150" s="118">
        <v>0</v>
      </c>
      <c r="O150" s="11">
        <f t="shared" si="47"/>
        <v>0</v>
      </c>
      <c r="P150" s="11">
        <f>VALUE(J_normdate(J_ADDDAY($D150,$O150,1)))</f>
        <v>13980729</v>
      </c>
      <c r="Q150" s="10">
        <f t="shared" si="48"/>
        <v>0</v>
      </c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 s="8"/>
      <c r="BK150" s="8"/>
      <c r="BL150" s="8"/>
      <c r="BM150" s="8"/>
      <c r="BN150" s="8"/>
      <c r="BO150" s="8"/>
      <c r="BP150" s="8"/>
      <c r="BQ150" s="8"/>
      <c r="BR150" s="8"/>
      <c r="BS150" s="8"/>
      <c r="BT150" s="8"/>
      <c r="BU150" s="8"/>
      <c r="BV150" s="8"/>
      <c r="BW150" s="8"/>
      <c r="BX150" s="8"/>
      <c r="BY150" s="8"/>
      <c r="BZ150" s="8"/>
      <c r="CA150" s="8"/>
      <c r="CB150" s="8"/>
      <c r="CC150" s="8"/>
      <c r="CD150" s="8"/>
      <c r="CE150" s="8"/>
      <c r="CF150" s="8"/>
      <c r="CG150" s="8"/>
      <c r="CH150" s="8"/>
      <c r="CI150" s="8"/>
      <c r="CJ150" s="8"/>
      <c r="CK150" s="8"/>
      <c r="CL150" s="8"/>
      <c r="CM150" s="8"/>
      <c r="CN150" s="8"/>
      <c r="CO150" s="8"/>
      <c r="CP150" s="8"/>
      <c r="CQ150" s="8"/>
      <c r="CR150" s="8"/>
      <c r="CS150" s="8"/>
      <c r="CT150" s="8"/>
      <c r="CU150" s="8"/>
      <c r="CV150" s="8"/>
      <c r="CW150" s="8"/>
      <c r="CX150" s="8"/>
      <c r="CY150" s="8"/>
      <c r="CZ150" s="8"/>
      <c r="DA150" s="8"/>
      <c r="DB150" s="8"/>
      <c r="DC150" s="8"/>
      <c r="DD150" s="8"/>
      <c r="DE150" s="8"/>
      <c r="DF150" s="8"/>
      <c r="DG150" s="8"/>
      <c r="DH150" s="8"/>
      <c r="DI150" s="8"/>
      <c r="DJ150" s="8"/>
      <c r="DK150" s="8"/>
      <c r="DL150" s="8"/>
      <c r="DM150" s="8"/>
      <c r="DN150" s="8"/>
      <c r="DO150" s="8"/>
      <c r="DP150" s="8"/>
      <c r="DQ150" s="8"/>
      <c r="DR150" s="8"/>
      <c r="DS150" s="8"/>
      <c r="DT150" s="8"/>
      <c r="DU150" s="8"/>
      <c r="DV150" s="8"/>
      <c r="DW150" s="8"/>
      <c r="DX150" s="8"/>
      <c r="DY150" s="8"/>
      <c r="DZ150" s="8"/>
      <c r="EA150" s="8"/>
      <c r="EB150" s="8"/>
      <c r="EC150" s="8"/>
      <c r="ED150" s="8"/>
      <c r="EE150" s="8"/>
      <c r="EF150" s="8"/>
      <c r="EG150" s="8"/>
      <c r="EH150" s="8"/>
      <c r="EI150" s="8"/>
      <c r="EJ150" s="8"/>
      <c r="EK150" s="8"/>
      <c r="EL150" s="8"/>
      <c r="EM150" s="8"/>
      <c r="EN150" s="8"/>
      <c r="EO150" s="8"/>
      <c r="EP150" s="8"/>
      <c r="EQ150" s="8"/>
      <c r="ER150" s="8"/>
      <c r="ES150" s="8"/>
      <c r="ET150" s="8"/>
      <c r="EU150" s="8"/>
      <c r="EV150" s="8"/>
      <c r="EW150" s="8"/>
      <c r="EX150" s="8"/>
      <c r="EY150" s="8"/>
      <c r="EZ150" s="8"/>
      <c r="FA150" s="8"/>
      <c r="FB150" s="8"/>
      <c r="FC150" s="8"/>
      <c r="FD150" s="8"/>
      <c r="FE150" s="8"/>
      <c r="FF150" s="8"/>
      <c r="FG150" s="8"/>
      <c r="FH150" s="8"/>
      <c r="FI150" s="8"/>
      <c r="FJ150" s="8"/>
      <c r="FK150" s="8"/>
      <c r="FL150" s="8"/>
      <c r="FM150" s="8"/>
      <c r="FN150" s="8"/>
      <c r="FO150" s="8"/>
      <c r="FP150" s="8"/>
      <c r="FQ150" s="8"/>
      <c r="FR150" s="8"/>
      <c r="FS150" s="8"/>
      <c r="FT150" s="8"/>
      <c r="FU150" s="8"/>
      <c r="FV150" s="8"/>
      <c r="FW150" s="8"/>
      <c r="FX150" s="8"/>
      <c r="FY150" s="8"/>
      <c r="FZ150" s="8"/>
      <c r="GA150" s="8"/>
      <c r="GB150" s="8"/>
      <c r="GC150" s="8"/>
      <c r="GD150" s="8"/>
      <c r="GE150" s="8"/>
      <c r="GF150" s="8"/>
      <c r="GG150" s="8"/>
      <c r="GH150" s="8"/>
      <c r="GI150" s="8"/>
      <c r="GJ150" s="8"/>
      <c r="GK150" s="8"/>
      <c r="GL150" s="8"/>
      <c r="GM150" s="8"/>
      <c r="GN150" s="8"/>
      <c r="GO150" s="8"/>
      <c r="GP150" s="8"/>
      <c r="GQ150" s="8"/>
      <c r="GR150" s="8"/>
      <c r="GS150" s="8"/>
      <c r="GT150" s="8"/>
      <c r="GU150" s="8"/>
      <c r="GV150" s="8"/>
      <c r="GW150" s="8"/>
      <c r="GX150" s="8"/>
      <c r="GY150" s="8"/>
      <c r="GZ150" s="8"/>
      <c r="HA150" s="8"/>
      <c r="HB150" s="8"/>
      <c r="HC150" s="8"/>
      <c r="HD150" s="8"/>
      <c r="HE150" s="8"/>
      <c r="HF150" s="8"/>
      <c r="HG150" s="8"/>
      <c r="HH150" s="8"/>
      <c r="HI150" s="8"/>
      <c r="HJ150" s="8"/>
      <c r="HK150" s="8"/>
      <c r="HL150" s="8"/>
      <c r="HM150" s="8"/>
      <c r="HN150" s="8"/>
      <c r="HO150" s="8"/>
      <c r="HP150" s="8"/>
      <c r="HQ150" s="8"/>
      <c r="HR150" s="8"/>
      <c r="HS150" s="8"/>
      <c r="HT150" s="8"/>
      <c r="HU150" s="8"/>
      <c r="HV150" s="8"/>
      <c r="HW150" s="8"/>
      <c r="HX150" s="8"/>
      <c r="HY150" s="8"/>
      <c r="HZ150" s="8"/>
      <c r="IA150" s="8"/>
      <c r="IB150" s="8"/>
      <c r="IC150" s="8"/>
      <c r="ID150" s="8"/>
      <c r="IE150" s="8"/>
      <c r="IF150" s="8"/>
      <c r="IG150" s="8"/>
      <c r="IH150" s="8"/>
      <c r="II150" s="8"/>
      <c r="IJ150" s="8"/>
      <c r="IK150" s="8"/>
      <c r="IL150" s="8"/>
      <c r="IM150" s="8"/>
      <c r="IN150" s="8"/>
      <c r="IO150" s="8"/>
      <c r="IP150" s="8"/>
      <c r="IQ150" s="8"/>
      <c r="IR150" s="8"/>
      <c r="IS150" s="8"/>
      <c r="IT150" s="8"/>
      <c r="IU150" s="8"/>
      <c r="IV150" s="8"/>
      <c r="IW150" s="8"/>
      <c r="IX150" s="8"/>
      <c r="JA150" s="123"/>
      <c r="JB150" s="123"/>
      <c r="JC150" s="123"/>
      <c r="JD150" s="70">
        <f>SUM((TEXT(JA150,"[M]")/60)*'Income Person-hours'!$D$3,(TEXT(JB150,"[M]")/60)*'Income Person-hours'!$D$4,(TEXT(JC150,"[M]")/60)*'Income Person-hours'!$D$5)</f>
        <v>0</v>
      </c>
    </row>
    <row r="151" spans="1:264 16383:16384" s="12" customFormat="1" ht="15.75" hidden="1" x14ac:dyDescent="0.45">
      <c r="A151" s="32">
        <v>6.22</v>
      </c>
      <c r="B151" s="126"/>
      <c r="C151" s="117"/>
      <c r="D151" s="13" t="str">
        <f>IF(OR(j_WEEKDAY(J_ADDDAY(VLOOKUP(I151,A:F,6,FALSE),H151,1),0)=6,SUMIFS(Holieday[ok],Holieday[date],J_ADDDAY(VLOOKUP(I151,A:F,6,FALSE),H151,1)))=FALSE(),J_ADDDAY(VLOOKUP(I151,A:F,6,FALSE),H151,1),IF(OR(j_WEEKDAY(J_ADDDAY(VLOOKUP(I151,A:F,6,FALSE),H151+1,1),0)=6,SUMIFS(Holieday[ok],Holieday[date],J_ADDDAY(VLOOKUP(I151,A:F,6,FALSE),H151+1,1)))=FALSE(),J_ADDDAY(VLOOKUP(I151,A:F,6,FALSE),H151+1,1),IF(OR(j_WEEKDAY(J_ADDDAY(VLOOKUP(I151,A:F,6,FALSE),H151+2,1),0)=6,SUMIFS(Holieday[ok],Holieday[date],J_ADDDAY(VLOOKUP(I151,A:F,6,FALSE),H151+2,1)))=FALSE(),J_ADDDAY(VLOOKUP(I151,A:F,6,FALSE),H151+2,1),IF(OR(j_WEEKDAY(J_ADDDAY(VLOOKUP(I151,A:F,6,FALSE),H151+3,1),0)=6,SUMIFS(Holieday[ok],Holieday[date],J_ADDDAY(VLOOKUP(I151,A:F,6,FALSE),H151+3,1)))=FALSE(),J_ADDDAY(VLOOKUP(I151,A:F,6,FALSE),H151+3,1),IF(OR(j_WEEKDAY(J_ADDDAY(VLOOKUP(I151,A:F,6,FALSE),H151+4,1),0)=6,SUMIFS(Holieday[ok],Holieday[date],J_ADDDAY(VLOOKUP(I151,A:F,6,FALSE),H151+4,1)))=FALSE(),J_ADDDAY(VLOOKUP(I151,A:F,6,FALSE),H151+4,1),J_ADDDAY(VLOOKUP(I151,A:F,6,FALSE),H151+5,1))))))</f>
        <v>1398/07/29</v>
      </c>
      <c r="E151" s="2">
        <f t="shared" ref="E151:E182" si="49">VALUE(J_normdate(D151))</f>
        <v>13980729</v>
      </c>
      <c r="F151" s="13" t="str">
        <f>IF(N151=0,J_SUBDAY(D151,1,1),IF((N151-NETWORKDAYS.INTL(J_GregorianDate(D151,1),J_GregorianDate(J_SUBDAY(J_ADDDAY(D151,N151,1),1,1),1),16,1)-SUMIFS(Holieday[ok],Holieday[date],CONCATENATE("&gt;","=",D151),Holieday[date],CONCATENATE("&lt;","=",J_SUBDAY(J_ADDDAY(D151,N151,1),1,1)))+SUMIFS(Holieday[Friday],Holieday[date],CONCATENATE("&gt;","=",D151),Holieday[date],CONCATENATE("&lt;","=",J_SUBDAY(J_ADDDAY(D151,N151,1),1,1))))=0,J_SUBDAY(J_ADDDAY(D151,N151,1),1,1),IF((N151-NETWORKDAYS.INTL(J_GregorianDate(D151,1),J_GregorianDate(J_SUBDAY(J_ADDDAY(D151,N151,1),1,1),1),16,1)-SUMIFS(Holieday[ok],Holieday[date],CONCATENATE("&gt;","=",D151),Holieday[date],CONCATENATE("&lt;","=",J_SUBDAY(J_ADDDAY(D151,N151,1),1,1)))+SUMIFS(Holieday[Friday],Holieday[date],CONCATENATE("&gt;","=",D151),Holieday[date],CONCATENATE("&lt;","=",J_SUBDAY(J_ADDDAY(D151,N151,1),1,1))))=1,J_SUBDAY(J_ADDDAY(D151,N151+1,1),1,1),IF((N151-NETWORKDAYS.INTL(J_GregorianDate(D151,1),J_GregorianDate(J_SUBDAY(J_ADDDAY(D151,N151,1),1,1),1),16,1)-SUMIFS(Holieday[ok],Holieday[date],CONCATENATE("&gt;","=",D151),Holieday[date],CONCATENATE("&lt;","=",J_SUBDAY(J_ADDDAY(D151,N151,1),1,1)))+SUMIFS(Holieday[Friday],Holieday[date],CONCATENATE("&gt;","=",D151),Holieday[date],CONCATENATE("&lt;","=",J_SUBDAY(J_ADDDAY(D151,N151,1),1,1))))=2,J_SUBDAY(J_ADDDAY(D151,N151+2,1),1,1),J_SUBDAY(J_ADDDAY(D151,N151+3,1),1,1)))))</f>
        <v>1398/07/28</v>
      </c>
      <c r="G151" s="3">
        <f t="shared" ref="G151:G182" si="50">VALUE(J_normdate(F151))</f>
        <v>13980728</v>
      </c>
      <c r="H151" s="119"/>
      <c r="I151" s="120">
        <v>6.3</v>
      </c>
      <c r="J151" s="10">
        <f>j_WEEKDAY(D151,2)</f>
        <v>2</v>
      </c>
      <c r="K151" s="22">
        <f t="shared" si="45"/>
        <v>0</v>
      </c>
      <c r="L151" s="9">
        <f t="shared" si="46"/>
        <v>0</v>
      </c>
      <c r="M151" s="121">
        <v>0</v>
      </c>
      <c r="N151" s="118">
        <v>0</v>
      </c>
      <c r="O151" s="11">
        <f t="shared" si="47"/>
        <v>0</v>
      </c>
      <c r="P151" s="11">
        <f>VALUE(J_normdate(J_ADDDAY($D151,$O151,1)))</f>
        <v>13980729</v>
      </c>
      <c r="Q151" s="10">
        <f t="shared" si="48"/>
        <v>0</v>
      </c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AH151" s="8"/>
      <c r="AI151" s="8"/>
      <c r="AJ151" s="8"/>
      <c r="AK151" s="8"/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 s="8"/>
      <c r="BK151" s="8"/>
      <c r="BL151" s="8"/>
      <c r="BM151" s="8"/>
      <c r="BN151" s="8"/>
      <c r="BO151" s="8"/>
      <c r="BP151" s="8"/>
      <c r="BQ151" s="8"/>
      <c r="BR151" s="8"/>
      <c r="BS151" s="8"/>
      <c r="BT151" s="8"/>
      <c r="BU151" s="8"/>
      <c r="BV151" s="8"/>
      <c r="BW151" s="8"/>
      <c r="BX151" s="8"/>
      <c r="BY151" s="8"/>
      <c r="BZ151" s="8"/>
      <c r="CA151" s="8"/>
      <c r="CB151" s="8"/>
      <c r="CC151" s="8"/>
      <c r="CD151" s="8"/>
      <c r="CE151" s="8"/>
      <c r="CF151" s="8"/>
      <c r="CG151" s="8"/>
      <c r="CH151" s="8"/>
      <c r="CI151" s="8"/>
      <c r="CJ151" s="8"/>
      <c r="CK151" s="8"/>
      <c r="CL151" s="8"/>
      <c r="CM151" s="8"/>
      <c r="CN151" s="8"/>
      <c r="CO151" s="8"/>
      <c r="CP151" s="8"/>
      <c r="CQ151" s="8"/>
      <c r="CR151" s="8"/>
      <c r="CS151" s="8"/>
      <c r="CT151" s="8"/>
      <c r="CU151" s="8"/>
      <c r="CV151" s="8"/>
      <c r="CW151" s="8"/>
      <c r="CX151" s="8"/>
      <c r="CY151" s="8"/>
      <c r="CZ151" s="8"/>
      <c r="DA151" s="8"/>
      <c r="DB151" s="8"/>
      <c r="DC151" s="8"/>
      <c r="DD151" s="8"/>
      <c r="DE151" s="8"/>
      <c r="DF151" s="8"/>
      <c r="DG151" s="8"/>
      <c r="DH151" s="8"/>
      <c r="DI151" s="8"/>
      <c r="DJ151" s="8"/>
      <c r="DK151" s="8"/>
      <c r="DL151" s="8"/>
      <c r="DM151" s="8"/>
      <c r="DN151" s="8"/>
      <c r="DO151" s="8"/>
      <c r="DP151" s="8"/>
      <c r="DQ151" s="8"/>
      <c r="DR151" s="8"/>
      <c r="DS151" s="8"/>
      <c r="DT151" s="8"/>
      <c r="DU151" s="8"/>
      <c r="DV151" s="8"/>
      <c r="DW151" s="8"/>
      <c r="DX151" s="8"/>
      <c r="DY151" s="8"/>
      <c r="DZ151" s="8"/>
      <c r="EA151" s="8"/>
      <c r="EB151" s="8"/>
      <c r="EC151" s="8"/>
      <c r="ED151" s="8"/>
      <c r="EE151" s="8"/>
      <c r="EF151" s="8"/>
      <c r="EG151" s="8"/>
      <c r="EH151" s="8"/>
      <c r="EI151" s="8"/>
      <c r="EJ151" s="8"/>
      <c r="EK151" s="8"/>
      <c r="EL151" s="8"/>
      <c r="EM151" s="8"/>
      <c r="EN151" s="8"/>
      <c r="EO151" s="8"/>
      <c r="EP151" s="8"/>
      <c r="EQ151" s="8"/>
      <c r="ER151" s="8"/>
      <c r="ES151" s="8"/>
      <c r="ET151" s="8"/>
      <c r="EU151" s="8"/>
      <c r="EV151" s="8"/>
      <c r="EW151" s="8"/>
      <c r="EX151" s="8"/>
      <c r="EY151" s="8"/>
      <c r="EZ151" s="8"/>
      <c r="FA151" s="8"/>
      <c r="FB151" s="8"/>
      <c r="FC151" s="8"/>
      <c r="FD151" s="8"/>
      <c r="FE151" s="8"/>
      <c r="FF151" s="8"/>
      <c r="FG151" s="8"/>
      <c r="FH151" s="8"/>
      <c r="FI151" s="8"/>
      <c r="FJ151" s="8"/>
      <c r="FK151" s="8"/>
      <c r="FL151" s="8"/>
      <c r="FM151" s="8"/>
      <c r="FN151" s="8"/>
      <c r="FO151" s="8"/>
      <c r="FP151" s="8"/>
      <c r="FQ151" s="8"/>
      <c r="FR151" s="8"/>
      <c r="FS151" s="8"/>
      <c r="FT151" s="8"/>
      <c r="FU151" s="8"/>
      <c r="FV151" s="8"/>
      <c r="FW151" s="8"/>
      <c r="FX151" s="8"/>
      <c r="FY151" s="8"/>
      <c r="FZ151" s="8"/>
      <c r="GA151" s="8"/>
      <c r="GB151" s="8"/>
      <c r="GC151" s="8"/>
      <c r="GD151" s="8"/>
      <c r="GE151" s="8"/>
      <c r="GF151" s="8"/>
      <c r="GG151" s="8"/>
      <c r="GH151" s="8"/>
      <c r="GI151" s="8"/>
      <c r="GJ151" s="8"/>
      <c r="GK151" s="8"/>
      <c r="GL151" s="8"/>
      <c r="GM151" s="8"/>
      <c r="GN151" s="8"/>
      <c r="GO151" s="8"/>
      <c r="GP151" s="8"/>
      <c r="GQ151" s="8"/>
      <c r="GR151" s="8"/>
      <c r="GS151" s="8"/>
      <c r="GT151" s="8"/>
      <c r="GU151" s="8"/>
      <c r="GV151" s="8"/>
      <c r="GW151" s="8"/>
      <c r="GX151" s="8"/>
      <c r="GY151" s="8"/>
      <c r="GZ151" s="8"/>
      <c r="HA151" s="8"/>
      <c r="HB151" s="8"/>
      <c r="HC151" s="8"/>
      <c r="HD151" s="8"/>
      <c r="HE151" s="8"/>
      <c r="HF151" s="8"/>
      <c r="HG151" s="8"/>
      <c r="HH151" s="8"/>
      <c r="HI151" s="8"/>
      <c r="HJ151" s="8"/>
      <c r="HK151" s="8"/>
      <c r="HL151" s="8"/>
      <c r="HM151" s="8"/>
      <c r="HN151" s="8"/>
      <c r="HO151" s="8"/>
      <c r="HP151" s="8"/>
      <c r="HQ151" s="8"/>
      <c r="HR151" s="8"/>
      <c r="HS151" s="8"/>
      <c r="HT151" s="8"/>
      <c r="HU151" s="8"/>
      <c r="HV151" s="8"/>
      <c r="HW151" s="8"/>
      <c r="HX151" s="8"/>
      <c r="HY151" s="8"/>
      <c r="HZ151" s="8"/>
      <c r="IA151" s="8"/>
      <c r="IB151" s="8"/>
      <c r="IC151" s="8"/>
      <c r="ID151" s="8"/>
      <c r="IE151" s="8"/>
      <c r="IF151" s="8"/>
      <c r="IG151" s="8"/>
      <c r="IH151" s="8"/>
      <c r="II151" s="8"/>
      <c r="IJ151" s="8"/>
      <c r="IK151" s="8"/>
      <c r="IL151" s="8"/>
      <c r="IM151" s="8"/>
      <c r="IN151" s="8"/>
      <c r="IO151" s="8"/>
      <c r="IP151" s="8"/>
      <c r="IQ151" s="8"/>
      <c r="IR151" s="8"/>
      <c r="IS151" s="8"/>
      <c r="IT151" s="8"/>
      <c r="IU151" s="8"/>
      <c r="IV151" s="8"/>
      <c r="IW151" s="8"/>
      <c r="IX151" s="8"/>
      <c r="JA151" s="123"/>
      <c r="JB151" s="123"/>
      <c r="JC151" s="123"/>
      <c r="JD151" s="70">
        <f>SUM((TEXT(JA151,"[M]")/60)*'Income Person-hours'!$D$3,(TEXT(JB151,"[M]")/60)*'Income Person-hours'!$D$4,(TEXT(JC151,"[M]")/60)*'Income Person-hours'!$D$5)</f>
        <v>0</v>
      </c>
    </row>
    <row r="152" spans="1:264 16383:16384" s="12" customFormat="1" ht="15.75" hidden="1" x14ac:dyDescent="0.45">
      <c r="A152" s="32">
        <v>6.23</v>
      </c>
      <c r="B152" s="126"/>
      <c r="C152" s="117"/>
      <c r="D152" s="13" t="str">
        <f>IF(OR(j_WEEKDAY(J_ADDDAY(VLOOKUP(I152,A:F,6,FALSE),H152,1),0)=6,SUMIFS(Holieday[ok],Holieday[date],J_ADDDAY(VLOOKUP(I152,A:F,6,FALSE),H152,1)))=FALSE(),J_ADDDAY(VLOOKUP(I152,A:F,6,FALSE),H152,1),IF(OR(j_WEEKDAY(J_ADDDAY(VLOOKUP(I152,A:F,6,FALSE),H152+1,1),0)=6,SUMIFS(Holieday[ok],Holieday[date],J_ADDDAY(VLOOKUP(I152,A:F,6,FALSE),H152+1,1)))=FALSE(),J_ADDDAY(VLOOKUP(I152,A:F,6,FALSE),H152+1,1),IF(OR(j_WEEKDAY(J_ADDDAY(VLOOKUP(I152,A:F,6,FALSE),H152+2,1),0)=6,SUMIFS(Holieday[ok],Holieday[date],J_ADDDAY(VLOOKUP(I152,A:F,6,FALSE),H152+2,1)))=FALSE(),J_ADDDAY(VLOOKUP(I152,A:F,6,FALSE),H152+2,1),IF(OR(j_WEEKDAY(J_ADDDAY(VLOOKUP(I152,A:F,6,FALSE),H152+3,1),0)=6,SUMIFS(Holieday[ok],Holieday[date],J_ADDDAY(VLOOKUP(I152,A:F,6,FALSE),H152+3,1)))=FALSE(),J_ADDDAY(VLOOKUP(I152,A:F,6,FALSE),H152+3,1),IF(OR(j_WEEKDAY(J_ADDDAY(VLOOKUP(I152,A:F,6,FALSE),H152+4,1),0)=6,SUMIFS(Holieday[ok],Holieday[date],J_ADDDAY(VLOOKUP(I152,A:F,6,FALSE),H152+4,1)))=FALSE(),J_ADDDAY(VLOOKUP(I152,A:F,6,FALSE),H152+4,1),J_ADDDAY(VLOOKUP(I152,A:F,6,FALSE),H152+5,1))))))</f>
        <v>1398/07/29</v>
      </c>
      <c r="E152" s="2">
        <f t="shared" si="49"/>
        <v>13980729</v>
      </c>
      <c r="F152" s="13" t="str">
        <f>IF(N152=0,J_SUBDAY(D152,1,1),IF((N152-NETWORKDAYS.INTL(J_GregorianDate(D152,1),J_GregorianDate(J_SUBDAY(J_ADDDAY(D152,N152,1),1,1),1),16,1)-SUMIFS(Holieday[ok],Holieday[date],CONCATENATE("&gt;","=",D152),Holieday[date],CONCATENATE("&lt;","=",J_SUBDAY(J_ADDDAY(D152,N152,1),1,1)))+SUMIFS(Holieday[Friday],Holieday[date],CONCATENATE("&gt;","=",D152),Holieday[date],CONCATENATE("&lt;","=",J_SUBDAY(J_ADDDAY(D152,N152,1),1,1))))=0,J_SUBDAY(J_ADDDAY(D152,N152,1),1,1),IF((N152-NETWORKDAYS.INTL(J_GregorianDate(D152,1),J_GregorianDate(J_SUBDAY(J_ADDDAY(D152,N152,1),1,1),1),16,1)-SUMIFS(Holieday[ok],Holieday[date],CONCATENATE("&gt;","=",D152),Holieday[date],CONCATENATE("&lt;","=",J_SUBDAY(J_ADDDAY(D152,N152,1),1,1)))+SUMIFS(Holieday[Friday],Holieday[date],CONCATENATE("&gt;","=",D152),Holieday[date],CONCATENATE("&lt;","=",J_SUBDAY(J_ADDDAY(D152,N152,1),1,1))))=1,J_SUBDAY(J_ADDDAY(D152,N152+1,1),1,1),IF((N152-NETWORKDAYS.INTL(J_GregorianDate(D152,1),J_GregorianDate(J_SUBDAY(J_ADDDAY(D152,N152,1),1,1),1),16,1)-SUMIFS(Holieday[ok],Holieday[date],CONCATENATE("&gt;","=",D152),Holieday[date],CONCATENATE("&lt;","=",J_SUBDAY(J_ADDDAY(D152,N152,1),1,1)))+SUMIFS(Holieday[Friday],Holieday[date],CONCATENATE("&gt;","=",D152),Holieday[date],CONCATENATE("&lt;","=",J_SUBDAY(J_ADDDAY(D152,N152,1),1,1))))=2,J_SUBDAY(J_ADDDAY(D152,N152+2,1),1,1),J_SUBDAY(J_ADDDAY(D152,N152+3,1),1,1)))))</f>
        <v>1398/07/28</v>
      </c>
      <c r="G152" s="3">
        <f t="shared" si="50"/>
        <v>13980728</v>
      </c>
      <c r="H152" s="119"/>
      <c r="I152" s="120">
        <v>6.3</v>
      </c>
      <c r="J152" s="10">
        <f>j_WEEKDAY(D152,2)</f>
        <v>2</v>
      </c>
      <c r="K152" s="22">
        <f t="shared" si="45"/>
        <v>0</v>
      </c>
      <c r="L152" s="9">
        <f t="shared" si="46"/>
        <v>0</v>
      </c>
      <c r="M152" s="121">
        <v>0</v>
      </c>
      <c r="N152" s="118">
        <v>0</v>
      </c>
      <c r="O152" s="11">
        <f t="shared" si="47"/>
        <v>0</v>
      </c>
      <c r="P152" s="11">
        <f>VALUE(J_normdate(J_ADDDAY($D152,$O152,1)))</f>
        <v>13980729</v>
      </c>
      <c r="Q152" s="10">
        <f t="shared" si="48"/>
        <v>0</v>
      </c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8"/>
      <c r="AI152" s="8"/>
      <c r="AJ152" s="8"/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 s="8"/>
      <c r="BK152" s="8"/>
      <c r="BL152" s="8"/>
      <c r="BM152" s="8"/>
      <c r="BN152" s="8"/>
      <c r="BO152" s="8"/>
      <c r="BP152" s="8"/>
      <c r="BQ152" s="8"/>
      <c r="BR152" s="8"/>
      <c r="BS152" s="8"/>
      <c r="BT152" s="8"/>
      <c r="BU152" s="8"/>
      <c r="BV152" s="8"/>
      <c r="BW152" s="8"/>
      <c r="BX152" s="8"/>
      <c r="BY152" s="8"/>
      <c r="BZ152" s="8"/>
      <c r="CA152" s="8"/>
      <c r="CB152" s="8"/>
      <c r="CC152" s="8"/>
      <c r="CD152" s="8"/>
      <c r="CE152" s="8"/>
      <c r="CF152" s="8"/>
      <c r="CG152" s="8"/>
      <c r="CH152" s="8"/>
      <c r="CI152" s="8"/>
      <c r="CJ152" s="8"/>
      <c r="CK152" s="8"/>
      <c r="CL152" s="8"/>
      <c r="CM152" s="8"/>
      <c r="CN152" s="8"/>
      <c r="CO152" s="8"/>
      <c r="CP152" s="8"/>
      <c r="CQ152" s="8"/>
      <c r="CR152" s="8"/>
      <c r="CS152" s="8"/>
      <c r="CT152" s="8"/>
      <c r="CU152" s="8"/>
      <c r="CV152" s="8"/>
      <c r="CW152" s="8"/>
      <c r="CX152" s="8"/>
      <c r="CY152" s="8"/>
      <c r="CZ152" s="8"/>
      <c r="DA152" s="8"/>
      <c r="DB152" s="8"/>
      <c r="DC152" s="8"/>
      <c r="DD152" s="8"/>
      <c r="DE152" s="8"/>
      <c r="DF152" s="8"/>
      <c r="DG152" s="8"/>
      <c r="DH152" s="8"/>
      <c r="DI152" s="8"/>
      <c r="DJ152" s="8"/>
      <c r="DK152" s="8"/>
      <c r="DL152" s="8"/>
      <c r="DM152" s="8"/>
      <c r="DN152" s="8"/>
      <c r="DO152" s="8"/>
      <c r="DP152" s="8"/>
      <c r="DQ152" s="8"/>
      <c r="DR152" s="8"/>
      <c r="DS152" s="8"/>
      <c r="DT152" s="8"/>
      <c r="DU152" s="8"/>
      <c r="DV152" s="8"/>
      <c r="DW152" s="8"/>
      <c r="DX152" s="8"/>
      <c r="DY152" s="8"/>
      <c r="DZ152" s="8"/>
      <c r="EA152" s="8"/>
      <c r="EB152" s="8"/>
      <c r="EC152" s="8"/>
      <c r="ED152" s="8"/>
      <c r="EE152" s="8"/>
      <c r="EF152" s="8"/>
      <c r="EG152" s="8"/>
      <c r="EH152" s="8"/>
      <c r="EI152" s="8"/>
      <c r="EJ152" s="8"/>
      <c r="EK152" s="8"/>
      <c r="EL152" s="8"/>
      <c r="EM152" s="8"/>
      <c r="EN152" s="8"/>
      <c r="EO152" s="8"/>
      <c r="EP152" s="8"/>
      <c r="EQ152" s="8"/>
      <c r="ER152" s="8"/>
      <c r="ES152" s="8"/>
      <c r="ET152" s="8"/>
      <c r="EU152" s="8"/>
      <c r="EV152" s="8"/>
      <c r="EW152" s="8"/>
      <c r="EX152" s="8"/>
      <c r="EY152" s="8"/>
      <c r="EZ152" s="8"/>
      <c r="FA152" s="8"/>
      <c r="FB152" s="8"/>
      <c r="FC152" s="8"/>
      <c r="FD152" s="8"/>
      <c r="FE152" s="8"/>
      <c r="FF152" s="8"/>
      <c r="FG152" s="8"/>
      <c r="FH152" s="8"/>
      <c r="FI152" s="8"/>
      <c r="FJ152" s="8"/>
      <c r="FK152" s="8"/>
      <c r="FL152" s="8"/>
      <c r="FM152" s="8"/>
      <c r="FN152" s="8"/>
      <c r="FO152" s="8"/>
      <c r="FP152" s="8"/>
      <c r="FQ152" s="8"/>
      <c r="FR152" s="8"/>
      <c r="FS152" s="8"/>
      <c r="FT152" s="8"/>
      <c r="FU152" s="8"/>
      <c r="FV152" s="8"/>
      <c r="FW152" s="8"/>
      <c r="FX152" s="8"/>
      <c r="FY152" s="8"/>
      <c r="FZ152" s="8"/>
      <c r="GA152" s="8"/>
      <c r="GB152" s="8"/>
      <c r="GC152" s="8"/>
      <c r="GD152" s="8"/>
      <c r="GE152" s="8"/>
      <c r="GF152" s="8"/>
      <c r="GG152" s="8"/>
      <c r="GH152" s="8"/>
      <c r="GI152" s="8"/>
      <c r="GJ152" s="8"/>
      <c r="GK152" s="8"/>
      <c r="GL152" s="8"/>
      <c r="GM152" s="8"/>
      <c r="GN152" s="8"/>
      <c r="GO152" s="8"/>
      <c r="GP152" s="8"/>
      <c r="GQ152" s="8"/>
      <c r="GR152" s="8"/>
      <c r="GS152" s="8"/>
      <c r="GT152" s="8"/>
      <c r="GU152" s="8"/>
      <c r="GV152" s="8"/>
      <c r="GW152" s="8"/>
      <c r="GX152" s="8"/>
      <c r="GY152" s="8"/>
      <c r="GZ152" s="8"/>
      <c r="HA152" s="8"/>
      <c r="HB152" s="8"/>
      <c r="HC152" s="8"/>
      <c r="HD152" s="8"/>
      <c r="HE152" s="8"/>
      <c r="HF152" s="8"/>
      <c r="HG152" s="8"/>
      <c r="HH152" s="8"/>
      <c r="HI152" s="8"/>
      <c r="HJ152" s="8"/>
      <c r="HK152" s="8"/>
      <c r="HL152" s="8"/>
      <c r="HM152" s="8"/>
      <c r="HN152" s="8"/>
      <c r="HO152" s="8"/>
      <c r="HP152" s="8"/>
      <c r="HQ152" s="8"/>
      <c r="HR152" s="8"/>
      <c r="HS152" s="8"/>
      <c r="HT152" s="8"/>
      <c r="HU152" s="8"/>
      <c r="HV152" s="8"/>
      <c r="HW152" s="8"/>
      <c r="HX152" s="8"/>
      <c r="HY152" s="8"/>
      <c r="HZ152" s="8"/>
      <c r="IA152" s="8"/>
      <c r="IB152" s="8"/>
      <c r="IC152" s="8"/>
      <c r="ID152" s="8"/>
      <c r="IE152" s="8"/>
      <c r="IF152" s="8"/>
      <c r="IG152" s="8"/>
      <c r="IH152" s="8"/>
      <c r="II152" s="8"/>
      <c r="IJ152" s="8"/>
      <c r="IK152" s="8"/>
      <c r="IL152" s="8"/>
      <c r="IM152" s="8"/>
      <c r="IN152" s="8"/>
      <c r="IO152" s="8"/>
      <c r="IP152" s="8"/>
      <c r="IQ152" s="8"/>
      <c r="IR152" s="8"/>
      <c r="IS152" s="8"/>
      <c r="IT152" s="8"/>
      <c r="IU152" s="8"/>
      <c r="IV152" s="8"/>
      <c r="IW152" s="8"/>
      <c r="IX152" s="8"/>
      <c r="JA152" s="123"/>
      <c r="JB152" s="123"/>
      <c r="JC152" s="123"/>
      <c r="JD152" s="70">
        <f>SUM((TEXT(JA152,"[M]")/60)*'Income Person-hours'!$D$3,(TEXT(JB152,"[M]")/60)*'Income Person-hours'!$D$4,(TEXT(JC152,"[M]")/60)*'Income Person-hours'!$D$5)</f>
        <v>0</v>
      </c>
    </row>
    <row r="153" spans="1:264 16383:16384" s="193" customFormat="1" ht="15.75" x14ac:dyDescent="0.45">
      <c r="A153" s="228">
        <v>7</v>
      </c>
      <c r="B153" s="263" t="s">
        <v>69</v>
      </c>
      <c r="C153" s="264"/>
      <c r="D153" s="195" t="str">
        <f>FDate(MIN(E154:E174))</f>
        <v>1398/09/18</v>
      </c>
      <c r="E153" s="193">
        <f t="shared" si="49"/>
        <v>13980918</v>
      </c>
      <c r="F153" s="195" t="str">
        <f>J_SUBDAY(J_ADDDAY(D153,L153,1),1,1)</f>
        <v>1398/10/04</v>
      </c>
      <c r="G153" s="196">
        <f t="shared" si="50"/>
        <v>13981004</v>
      </c>
      <c r="H153" s="114"/>
      <c r="I153" s="115"/>
      <c r="J153" s="195">
        <f>j_WEEKDAY(D153,2)</f>
        <v>2</v>
      </c>
      <c r="K153" s="197">
        <f>SUM(K154:K174)</f>
        <v>0</v>
      </c>
      <c r="L153" s="198">
        <f>J_DIFF(D153,FDate(MAX(G154:G174)))+1</f>
        <v>17</v>
      </c>
      <c r="M153" s="199">
        <f>IF(SUM(L154:L174)&lt;&gt;0,SUMPRODUCT(L154:L174,M154:M174)/SUM(L154:L174),0)</f>
        <v>0</v>
      </c>
      <c r="N153" s="200">
        <f>IF(F153&gt;=D153,NETWORKDAYS.INTL(J_GregorianDate(D153,1),J_GregorianDate(F153,1),16,1)-SUMIFS(Holieday[ok],Holieday[date],CONCATENATE("&gt;","=",D153),Holieday[date],CONCATENATE("&lt;","=",F153))+SUMIFS(Holieday[Friday],Holieday[date],CONCATENATE("&gt;","=",D153),Holieday[date],CONCATENATE("&lt;","=",F153)),0)</f>
        <v>15</v>
      </c>
      <c r="O153" s="191">
        <f t="shared" ref="O153" si="51">ROUNDDOWN(M153*L153,0)</f>
        <v>0</v>
      </c>
      <c r="P153" s="191">
        <f>VALUE(J_normdate(J_ADDDAY($D153,$O153,1)))</f>
        <v>13980918</v>
      </c>
      <c r="Q153" s="195">
        <f t="shared" ref="Q153" si="52">L153-O153</f>
        <v>17</v>
      </c>
      <c r="IY153" s="63"/>
      <c r="IZ153" s="63"/>
      <c r="JA153" s="223"/>
      <c r="JB153" s="229"/>
      <c r="XFC153" s="195"/>
      <c r="XFD153" s="195"/>
    </row>
    <row r="154" spans="1:264 16383:16384" s="202" customFormat="1" ht="15.75" x14ac:dyDescent="0.45">
      <c r="A154" s="261">
        <v>7.1</v>
      </c>
      <c r="B154" s="116" t="s">
        <v>122</v>
      </c>
      <c r="C154" s="117" t="s">
        <v>110</v>
      </c>
      <c r="D154" s="205" t="str">
        <f>IF(OR(j_WEEKDAY(J_ADDDAY(VLOOKUP(I154,A:F,6,FALSE),H154,1),0)=6,SUMIFS(Holieday[ok],Holieday[date],J_ADDDAY(VLOOKUP(I154,A:F,6,FALSE),H154,1)))=FALSE(),J_ADDDAY(VLOOKUP(I154,A:F,6,FALSE),H154,1),IF(OR(j_WEEKDAY(J_ADDDAY(VLOOKUP(I154,A:F,6,FALSE),H154+1,1),0)=6,SUMIFS(Holieday[ok],Holieday[date],J_ADDDAY(VLOOKUP(I154,A:F,6,FALSE),H154+1,1)))=FALSE(),J_ADDDAY(VLOOKUP(I154,A:F,6,FALSE),H154+1,1),IF(OR(j_WEEKDAY(J_ADDDAY(VLOOKUP(I154,A:F,6,FALSE),H154+2,1),0)=6,SUMIFS(Holieday[ok],Holieday[date],J_ADDDAY(VLOOKUP(I154,A:F,6,FALSE),H154+2,1)))=FALSE(),J_ADDDAY(VLOOKUP(I154,A:F,6,FALSE),H154+2,1),IF(OR(j_WEEKDAY(J_ADDDAY(VLOOKUP(I154,A:F,6,FALSE),H154+3,1),0)=6,SUMIFS(Holieday[ok],Holieday[date],J_ADDDAY(VLOOKUP(I154,A:F,6,FALSE),H154+3,1)))=FALSE(),J_ADDDAY(VLOOKUP(I154,A:F,6,FALSE),H154+3,1),IF(OR(j_WEEKDAY(J_ADDDAY(VLOOKUP(I154,A:F,6,FALSE),H154+4,1),0)=6,SUMIFS(Holieday[ok],Holieday[date],J_ADDDAY(VLOOKUP(I154,A:F,6,FALSE),H154+4,1)))=FALSE(),J_ADDDAY(VLOOKUP(I154,A:F,6,FALSE),H154+4,1),J_ADDDAY(VLOOKUP(I154,A:F,6,FALSE),H154+5,1))))))</f>
        <v>1398/09/18</v>
      </c>
      <c r="E154" s="193">
        <f t="shared" si="49"/>
        <v>13980918</v>
      </c>
      <c r="F154" s="205" t="str">
        <f>IF(N154=0,J_SUBDAY(D154,1,1),IF((N154-NETWORKDAYS.INTL(J_GregorianDate(D154,1),J_GregorianDate(J_SUBDAY(J_ADDDAY(D154,N154,1),1,1),1),16,1)-SUMIFS(Holieday[ok],Holieday[date],CONCATENATE("&gt;","=",D154),Holieday[date],CONCATENATE("&lt;","=",J_SUBDAY(J_ADDDAY(D154,N154,1),1,1)))+SUMIFS(Holieday[Friday],Holieday[date],CONCATENATE("&gt;","=",D154),Holieday[date],CONCATENATE("&lt;","=",J_SUBDAY(J_ADDDAY(D154,N154,1),1,1))))=0,J_SUBDAY(J_ADDDAY(D154,N154,1),1,1),IF((N154-NETWORKDAYS.INTL(J_GregorianDate(D154,1),J_GregorianDate(J_SUBDAY(J_ADDDAY(D154,N154,1),1,1),1),16,1)-SUMIFS(Holieday[ok],Holieday[date],CONCATENATE("&gt;","=",D154),Holieday[date],CONCATENATE("&lt;","=",J_SUBDAY(J_ADDDAY(D154,N154,1),1,1)))+SUMIFS(Holieday[Friday],Holieday[date],CONCATENATE("&gt;","=",D154),Holieday[date],CONCATENATE("&lt;","=",J_SUBDAY(J_ADDDAY(D154,N154,1),1,1))))=1,J_SUBDAY(J_ADDDAY(D154,N154+1,1),1,1),IF((N154-NETWORKDAYS.INTL(J_GregorianDate(D154,1),J_GregorianDate(J_SUBDAY(J_ADDDAY(D154,N154,1),1,1),1),16,1)-SUMIFS(Holieday[ok],Holieday[date],CONCATENATE("&gt;","=",D154),Holieday[date],CONCATENATE("&lt;","=",J_SUBDAY(J_ADDDAY(D154,N154,1),1,1)))+SUMIFS(Holieday[Friday],Holieday[date],CONCATENATE("&gt;","=",D154),Holieday[date],CONCATENATE("&lt;","=",J_SUBDAY(J_ADDDAY(D154,N154,1),1,1))))=2,J_SUBDAY(J_ADDDAY(D154,N154+2,1),1,1),J_SUBDAY(J_ADDDAY(D154,N154+3,1),1,1)))))</f>
        <v>1398/09/18</v>
      </c>
      <c r="G154" s="196">
        <f t="shared" si="50"/>
        <v>13980918</v>
      </c>
      <c r="H154" s="119">
        <v>1</v>
      </c>
      <c r="I154" s="120">
        <v>3.27</v>
      </c>
      <c r="J154" s="204">
        <f>j_WEEKDAY(D154,2)</f>
        <v>2</v>
      </c>
      <c r="K154" s="206">
        <f t="shared" ref="K154:K174" si="53">SUM(JA154:JC154)</f>
        <v>0</v>
      </c>
      <c r="L154" s="260">
        <f t="shared" ref="L154:L174" si="54">J_DIFF(D154,F154)+1</f>
        <v>1</v>
      </c>
      <c r="M154" s="252">
        <v>0</v>
      </c>
      <c r="N154" s="118">
        <v>1</v>
      </c>
      <c r="O154" s="208">
        <f t="shared" ref="O154" si="55">ROUNDDOWN(M154*L154,0)</f>
        <v>0</v>
      </c>
      <c r="P154" s="208">
        <f>VALUE(J_normdate(J_ADDDAY($D154,$O154,1)))</f>
        <v>13980918</v>
      </c>
      <c r="Q154" s="204">
        <f t="shared" ref="Q154" si="56">L154-O154</f>
        <v>1</v>
      </c>
      <c r="IY154" s="8"/>
      <c r="IZ154" s="8"/>
      <c r="JA154" s="117"/>
      <c r="JB154" s="258"/>
      <c r="JC154" s="117"/>
      <c r="JD154" s="257">
        <f>SUM((TEXT(JA154,"[M]")/60)*'Income Person-hours'!$D$3,(TEXT(JB154,"[M]")/60)*'Income Person-hours'!$D$4,(TEXT(JC154,"[M]")/60)*'Income Person-hours'!$D$5)</f>
        <v>0</v>
      </c>
    </row>
    <row r="155" spans="1:264 16383:16384" s="226" customFormat="1" ht="15.75" x14ac:dyDescent="0.45">
      <c r="A155" s="209">
        <v>7.2</v>
      </c>
      <c r="B155" s="116" t="s">
        <v>80</v>
      </c>
      <c r="C155" s="117" t="s">
        <v>110</v>
      </c>
      <c r="D155" s="205" t="str">
        <f>IF(OR(j_WEEKDAY(J_ADDDAY(VLOOKUP(I155,A:F,6,FALSE),H155,1),0)=6,SUMIFS(Holieday[ok],Holieday[date],J_ADDDAY(VLOOKUP(I155,A:F,6,FALSE),H155,1)))=FALSE(),J_ADDDAY(VLOOKUP(I155,A:F,6,FALSE),H155,1),IF(OR(j_WEEKDAY(J_ADDDAY(VLOOKUP(I155,A:F,6,FALSE),H155+1,1),0)=6,SUMIFS(Holieday[ok],Holieday[date],J_ADDDAY(VLOOKUP(I155,A:F,6,FALSE),H155+1,1)))=FALSE(),J_ADDDAY(VLOOKUP(I155,A:F,6,FALSE),H155+1,1),IF(OR(j_WEEKDAY(J_ADDDAY(VLOOKUP(I155,A:F,6,FALSE),H155+2,1),0)=6,SUMIFS(Holieday[ok],Holieday[date],J_ADDDAY(VLOOKUP(I155,A:F,6,FALSE),H155+2,1)))=FALSE(),J_ADDDAY(VLOOKUP(I155,A:F,6,FALSE),H155+2,1),IF(OR(j_WEEKDAY(J_ADDDAY(VLOOKUP(I155,A:F,6,FALSE),H155+3,1),0)=6,SUMIFS(Holieday[ok],Holieday[date],J_ADDDAY(VLOOKUP(I155,A:F,6,FALSE),H155+3,1)))=FALSE(),J_ADDDAY(VLOOKUP(I155,A:F,6,FALSE),H155+3,1),IF(OR(j_WEEKDAY(J_ADDDAY(VLOOKUP(I155,A:F,6,FALSE),H155+4,1),0)=6,SUMIFS(Holieday[ok],Holieday[date],J_ADDDAY(VLOOKUP(I155,A:F,6,FALSE),H155+4,1)))=FALSE(),J_ADDDAY(VLOOKUP(I155,A:F,6,FALSE),H155+4,1),J_ADDDAY(VLOOKUP(I155,A:F,6,FALSE),H155+5,1))))))</f>
        <v>1398/10/03</v>
      </c>
      <c r="E155" s="193">
        <f t="shared" si="49"/>
        <v>13981003</v>
      </c>
      <c r="F155" s="205" t="str">
        <f>IF(N155=0,J_SUBDAY(D155,1,1),IF((N155-NETWORKDAYS.INTL(J_GregorianDate(D155,1),J_GregorianDate(J_SUBDAY(J_ADDDAY(D155,N155,1),1,1),1),16,1)-SUMIFS(Holieday[ok],Holieday[date],CONCATENATE("&gt;","=",D155),Holieday[date],CONCATENATE("&lt;","=",J_SUBDAY(J_ADDDAY(D155,N155,1),1,1)))+SUMIFS(Holieday[Friday],Holieday[date],CONCATENATE("&gt;","=",D155),Holieday[date],CONCATENATE("&lt;","=",J_SUBDAY(J_ADDDAY(D155,N155,1),1,1))))=0,J_SUBDAY(J_ADDDAY(D155,N155,1),1,1),IF((N155-NETWORKDAYS.INTL(J_GregorianDate(D155,1),J_GregorianDate(J_SUBDAY(J_ADDDAY(D155,N155,1),1,1),1),16,1)-SUMIFS(Holieday[ok],Holieday[date],CONCATENATE("&gt;","=",D155),Holieday[date],CONCATENATE("&lt;","=",J_SUBDAY(J_ADDDAY(D155,N155,1),1,1)))+SUMIFS(Holieday[Friday],Holieday[date],CONCATENATE("&gt;","=",D155),Holieday[date],CONCATENATE("&lt;","=",J_SUBDAY(J_ADDDAY(D155,N155,1),1,1))))=1,J_SUBDAY(J_ADDDAY(D155,N155+1,1),1,1),IF((N155-NETWORKDAYS.INTL(J_GregorianDate(D155,1),J_GregorianDate(J_SUBDAY(J_ADDDAY(D155,N155,1),1,1),1),16,1)-SUMIFS(Holieday[ok],Holieday[date],CONCATENATE("&gt;","=",D155),Holieday[date],CONCATENATE("&lt;","=",J_SUBDAY(J_ADDDAY(D155,N155,1),1,1)))+SUMIFS(Holieday[Friday],Holieday[date],CONCATENATE("&gt;","=",D155),Holieday[date],CONCATENATE("&lt;","=",J_SUBDAY(J_ADDDAY(D155,N155,1),1,1))))=2,J_SUBDAY(J_ADDDAY(D155,N155+2,1),1,1),J_SUBDAY(J_ADDDAY(D155,N155+3,1),1,1)))))</f>
        <v>1398/10/04</v>
      </c>
      <c r="G155" s="196">
        <f t="shared" si="50"/>
        <v>13981004</v>
      </c>
      <c r="H155" s="119">
        <v>15</v>
      </c>
      <c r="I155" s="120">
        <v>7.1</v>
      </c>
      <c r="J155" s="204">
        <f>j_WEEKDAY(D155,2)</f>
        <v>3</v>
      </c>
      <c r="K155" s="206">
        <f t="shared" si="53"/>
        <v>0</v>
      </c>
      <c r="L155" s="207">
        <f t="shared" si="54"/>
        <v>2</v>
      </c>
      <c r="M155" s="121">
        <v>0</v>
      </c>
      <c r="N155" s="118">
        <v>2</v>
      </c>
      <c r="O155" s="208">
        <f t="shared" ref="O155:O174" si="57">ROUNDDOWN(M155*L155,0)</f>
        <v>0</v>
      </c>
      <c r="P155" s="208">
        <f>VALUE(J_normdate(J_ADDDAY($D155,$O155,1)))</f>
        <v>13981003</v>
      </c>
      <c r="Q155" s="204">
        <f t="shared" ref="Q155:Q174" si="58">L155-O155</f>
        <v>2</v>
      </c>
      <c r="R155" s="202"/>
      <c r="S155" s="202"/>
      <c r="T155" s="202"/>
      <c r="U155" s="202"/>
      <c r="V155" s="202"/>
      <c r="W155" s="202"/>
      <c r="X155" s="202"/>
      <c r="Y155" s="202"/>
      <c r="Z155" s="202"/>
      <c r="AA155" s="202"/>
      <c r="AB155" s="202"/>
      <c r="AC155" s="202"/>
      <c r="AD155" s="202"/>
      <c r="AE155" s="202"/>
      <c r="AF155" s="202"/>
      <c r="AG155" s="202"/>
      <c r="AH155" s="202"/>
      <c r="AI155" s="202"/>
      <c r="AJ155" s="202"/>
      <c r="AK155" s="202"/>
      <c r="AL155" s="202"/>
      <c r="AM155" s="202"/>
      <c r="AN155" s="202"/>
      <c r="AO155" s="202"/>
      <c r="AP155" s="202"/>
      <c r="AQ155" s="202"/>
      <c r="AR155" s="202"/>
      <c r="AS155" s="202"/>
      <c r="AT155" s="202"/>
      <c r="AU155" s="202"/>
      <c r="AV155" s="202"/>
      <c r="AW155" s="202"/>
      <c r="AX155" s="202"/>
      <c r="AY155" s="202"/>
      <c r="AZ155" s="202"/>
      <c r="BA155" s="202"/>
      <c r="BB155" s="202"/>
      <c r="BC155" s="202"/>
      <c r="BD155" s="202"/>
      <c r="BE155" s="202"/>
      <c r="BF155" s="202"/>
      <c r="BG155" s="202"/>
      <c r="BH155" s="202"/>
      <c r="BI155" s="202"/>
      <c r="BJ155" s="202"/>
      <c r="BK155" s="202"/>
      <c r="BL155" s="202"/>
      <c r="BM155" s="202"/>
      <c r="BN155" s="202"/>
      <c r="BO155" s="202"/>
      <c r="BP155" s="202"/>
      <c r="BQ155" s="202"/>
      <c r="BR155" s="202"/>
      <c r="BS155" s="202"/>
      <c r="BT155" s="202"/>
      <c r="BU155" s="202"/>
      <c r="BV155" s="202"/>
      <c r="BW155" s="202"/>
      <c r="BX155" s="202"/>
      <c r="BY155" s="202"/>
      <c r="BZ155" s="202"/>
      <c r="CA155" s="202"/>
      <c r="CB155" s="202"/>
      <c r="CC155" s="202"/>
      <c r="CD155" s="202"/>
      <c r="CE155" s="202"/>
      <c r="CF155" s="202"/>
      <c r="CG155" s="202"/>
      <c r="CH155" s="202"/>
      <c r="CI155" s="202"/>
      <c r="CJ155" s="202"/>
      <c r="CK155" s="202"/>
      <c r="CL155" s="202"/>
      <c r="CM155" s="202"/>
      <c r="CN155" s="202"/>
      <c r="CO155" s="202"/>
      <c r="CP155" s="202"/>
      <c r="CQ155" s="202"/>
      <c r="CR155" s="202"/>
      <c r="CS155" s="202"/>
      <c r="CT155" s="202"/>
      <c r="CU155" s="202"/>
      <c r="CV155" s="202"/>
      <c r="CW155" s="202"/>
      <c r="CX155" s="202"/>
      <c r="CY155" s="202"/>
      <c r="CZ155" s="202"/>
      <c r="DA155" s="202"/>
      <c r="DB155" s="202"/>
      <c r="DC155" s="202"/>
      <c r="DD155" s="202"/>
      <c r="DE155" s="202"/>
      <c r="DF155" s="202"/>
      <c r="DG155" s="202"/>
      <c r="DH155" s="202"/>
      <c r="DI155" s="202"/>
      <c r="DJ155" s="202"/>
      <c r="DK155" s="202"/>
      <c r="DL155" s="202"/>
      <c r="DM155" s="202"/>
      <c r="DN155" s="202"/>
      <c r="DO155" s="202"/>
      <c r="DP155" s="202"/>
      <c r="DQ155" s="202"/>
      <c r="DR155" s="202"/>
      <c r="DS155" s="202"/>
      <c r="DT155" s="202"/>
      <c r="DU155" s="202"/>
      <c r="DV155" s="202"/>
      <c r="DW155" s="202"/>
      <c r="DX155" s="202"/>
      <c r="DY155" s="202"/>
      <c r="DZ155" s="202"/>
      <c r="EA155" s="202"/>
      <c r="EB155" s="202"/>
      <c r="EC155" s="202"/>
      <c r="ED155" s="202"/>
      <c r="EE155" s="202"/>
      <c r="EF155" s="202"/>
      <c r="EG155" s="202"/>
      <c r="EH155" s="202"/>
      <c r="EI155" s="202"/>
      <c r="EJ155" s="202"/>
      <c r="EK155" s="202"/>
      <c r="EL155" s="202"/>
      <c r="EM155" s="202"/>
      <c r="EN155" s="202"/>
      <c r="EO155" s="202"/>
      <c r="EP155" s="202"/>
      <c r="EQ155" s="202"/>
      <c r="ER155" s="202"/>
      <c r="ES155" s="202"/>
      <c r="ET155" s="202"/>
      <c r="EU155" s="202"/>
      <c r="EV155" s="202"/>
      <c r="EW155" s="202"/>
      <c r="EX155" s="202"/>
      <c r="EY155" s="202"/>
      <c r="EZ155" s="202"/>
      <c r="FA155" s="202"/>
      <c r="FB155" s="202"/>
      <c r="FC155" s="202"/>
      <c r="FD155" s="202"/>
      <c r="FE155" s="202"/>
      <c r="FF155" s="202"/>
      <c r="FG155" s="202"/>
      <c r="FH155" s="202"/>
      <c r="FI155" s="202"/>
      <c r="FJ155" s="202"/>
      <c r="FK155" s="202"/>
      <c r="FL155" s="202"/>
      <c r="FM155" s="202"/>
      <c r="FN155" s="202"/>
      <c r="FO155" s="202"/>
      <c r="FP155" s="202"/>
      <c r="FQ155" s="202"/>
      <c r="FR155" s="202"/>
      <c r="FS155" s="202"/>
      <c r="FT155" s="202"/>
      <c r="FU155" s="202"/>
      <c r="FV155" s="202"/>
      <c r="FW155" s="202"/>
      <c r="FX155" s="202"/>
      <c r="FY155" s="202"/>
      <c r="FZ155" s="202"/>
      <c r="GA155" s="202"/>
      <c r="GB155" s="202"/>
      <c r="GC155" s="202"/>
      <c r="GD155" s="202"/>
      <c r="GE155" s="202"/>
      <c r="GF155" s="202"/>
      <c r="GG155" s="202"/>
      <c r="GH155" s="202"/>
      <c r="GI155" s="202"/>
      <c r="GJ155" s="202"/>
      <c r="GK155" s="202"/>
      <c r="GL155" s="202"/>
      <c r="GM155" s="202"/>
      <c r="GN155" s="202"/>
      <c r="GO155" s="202"/>
      <c r="GP155" s="202"/>
      <c r="GQ155" s="202"/>
      <c r="GR155" s="202"/>
      <c r="GS155" s="202"/>
      <c r="GT155" s="202"/>
      <c r="GU155" s="202"/>
      <c r="GV155" s="202"/>
      <c r="GW155" s="202"/>
      <c r="GX155" s="202"/>
      <c r="GY155" s="202"/>
      <c r="GZ155" s="202"/>
      <c r="HA155" s="202"/>
      <c r="HB155" s="202"/>
      <c r="HC155" s="202"/>
      <c r="HD155" s="202"/>
      <c r="HE155" s="202"/>
      <c r="HF155" s="202"/>
      <c r="HG155" s="202"/>
      <c r="HH155" s="202"/>
      <c r="HI155" s="202"/>
      <c r="HJ155" s="202"/>
      <c r="HK155" s="202"/>
      <c r="HL155" s="202"/>
      <c r="HM155" s="202"/>
      <c r="HN155" s="202"/>
      <c r="HO155" s="202"/>
      <c r="HP155" s="202"/>
      <c r="HQ155" s="202"/>
      <c r="HR155" s="202"/>
      <c r="HS155" s="202"/>
      <c r="HT155" s="202"/>
      <c r="HU155" s="202"/>
      <c r="HV155" s="202"/>
      <c r="HW155" s="202"/>
      <c r="HX155" s="202"/>
      <c r="HY155" s="202"/>
      <c r="HZ155" s="202"/>
      <c r="IA155" s="202"/>
      <c r="IB155" s="202"/>
      <c r="IC155" s="202"/>
      <c r="ID155" s="202"/>
      <c r="IE155" s="202"/>
      <c r="IF155" s="202"/>
      <c r="IG155" s="202"/>
      <c r="IH155" s="202"/>
      <c r="II155" s="202"/>
      <c r="IJ155" s="202"/>
      <c r="IK155" s="202"/>
      <c r="IL155" s="202"/>
      <c r="IM155" s="202"/>
      <c r="IN155" s="202"/>
      <c r="IO155" s="202"/>
      <c r="IP155" s="202"/>
      <c r="IQ155" s="202"/>
      <c r="IR155" s="202"/>
      <c r="IS155" s="202"/>
      <c r="IT155" s="202"/>
      <c r="IU155" s="202"/>
      <c r="IV155" s="202"/>
      <c r="IW155" s="202"/>
      <c r="IX155" s="202"/>
      <c r="IY155" s="12"/>
      <c r="IZ155" s="12"/>
      <c r="JA155" s="123"/>
      <c r="JB155" s="128"/>
      <c r="JC155" s="127"/>
      <c r="JD155" s="227">
        <f>SUM((TEXT(JA155,"[M]")/60)*'Income Person-hours'!$D$3,(TEXT(JB155,"[M]")/60)*'Income Person-hours'!$D$4,(TEXT(JC155,"[M]")/60)*'Income Person-hours'!$D$5)</f>
        <v>0</v>
      </c>
    </row>
    <row r="156" spans="1:264 16383:16384" s="226" customFormat="1" ht="15.75" hidden="1" x14ac:dyDescent="0.45">
      <c r="A156" s="209">
        <v>7.3</v>
      </c>
      <c r="B156" s="116"/>
      <c r="C156" s="117"/>
      <c r="D156" s="205" t="str">
        <f>IF(OR(j_WEEKDAY(J_ADDDAY(VLOOKUP(I156,A:F,6,FALSE),H156,1),0)=6,SUMIFS(Holieday[ok],Holieday[date],J_ADDDAY(VLOOKUP(I156,A:F,6,FALSE),H156,1)))=FALSE(),J_ADDDAY(VLOOKUP(I156,A:F,6,FALSE),H156,1),IF(OR(j_WEEKDAY(J_ADDDAY(VLOOKUP(I156,A:F,6,FALSE),H156+1,1),0)=6,SUMIFS(Holieday[ok],Holieday[date],J_ADDDAY(VLOOKUP(I156,A:F,6,FALSE),H156+1,1)))=FALSE(),J_ADDDAY(VLOOKUP(I156,A:F,6,FALSE),H156+1,1),IF(OR(j_WEEKDAY(J_ADDDAY(VLOOKUP(I156,A:F,6,FALSE),H156+2,1),0)=6,SUMIFS(Holieday[ok],Holieday[date],J_ADDDAY(VLOOKUP(I156,A:F,6,FALSE),H156+2,1)))=FALSE(),J_ADDDAY(VLOOKUP(I156,A:F,6,FALSE),H156+2,1),IF(OR(j_WEEKDAY(J_ADDDAY(VLOOKUP(I156,A:F,6,FALSE),H156+3,1),0)=6,SUMIFS(Holieday[ok],Holieday[date],J_ADDDAY(VLOOKUP(I156,A:F,6,FALSE),H156+3,1)))=FALSE(),J_ADDDAY(VLOOKUP(I156,A:F,6,FALSE),H156+3,1),IF(OR(j_WEEKDAY(J_ADDDAY(VLOOKUP(I156,A:F,6,FALSE),H156+4,1),0)=6,SUMIFS(Holieday[ok],Holieday[date],J_ADDDAY(VLOOKUP(I156,A:F,6,FALSE),H156+4,1)))=FALSE(),J_ADDDAY(VLOOKUP(I156,A:F,6,FALSE),H156+4,1),J_ADDDAY(VLOOKUP(I156,A:F,6,FALSE),H156+5,1))))))</f>
        <v>1398/09/18</v>
      </c>
      <c r="E156" s="193">
        <f t="shared" si="49"/>
        <v>13980918</v>
      </c>
      <c r="F156" s="205" t="str">
        <f>IF(N156=0,J_SUBDAY(D156,1,1),IF((N156-NETWORKDAYS.INTL(J_GregorianDate(D156,1),J_GregorianDate(J_SUBDAY(J_ADDDAY(D156,N156,1),1,1),1),16,1)-SUMIFS(Holieday[ok],Holieday[date],CONCATENATE("&gt;","=",D156),Holieday[date],CONCATENATE("&lt;","=",J_SUBDAY(J_ADDDAY(D156,N156,1),1,1)))+SUMIFS(Holieday[Friday],Holieday[date],CONCATENATE("&gt;","=",D156),Holieday[date],CONCATENATE("&lt;","=",J_SUBDAY(J_ADDDAY(D156,N156,1),1,1))))=0,J_SUBDAY(J_ADDDAY(D156,N156,1),1,1),IF((N156-NETWORKDAYS.INTL(J_GregorianDate(D156,1),J_GregorianDate(J_SUBDAY(J_ADDDAY(D156,N156,1),1,1),1),16,1)-SUMIFS(Holieday[ok],Holieday[date],CONCATENATE("&gt;","=",D156),Holieday[date],CONCATENATE("&lt;","=",J_SUBDAY(J_ADDDAY(D156,N156,1),1,1)))+SUMIFS(Holieday[Friday],Holieday[date],CONCATENATE("&gt;","=",D156),Holieday[date],CONCATENATE("&lt;","=",J_SUBDAY(J_ADDDAY(D156,N156,1),1,1))))=1,J_SUBDAY(J_ADDDAY(D156,N156+1,1),1,1),IF((N156-NETWORKDAYS.INTL(J_GregorianDate(D156,1),J_GregorianDate(J_SUBDAY(J_ADDDAY(D156,N156,1),1,1),1),16,1)-SUMIFS(Holieday[ok],Holieday[date],CONCATENATE("&gt;","=",D156),Holieday[date],CONCATENATE("&lt;","=",J_SUBDAY(J_ADDDAY(D156,N156,1),1,1)))+SUMIFS(Holieday[Friday],Holieday[date],CONCATENATE("&gt;","=",D156),Holieday[date],CONCATENATE("&lt;","=",J_SUBDAY(J_ADDDAY(D156,N156,1),1,1))))=2,J_SUBDAY(J_ADDDAY(D156,N156+2,1),1,1),J_SUBDAY(J_ADDDAY(D156,N156+3,1),1,1)))))</f>
        <v>1398/09/17</v>
      </c>
      <c r="G156" s="196">
        <f t="shared" si="50"/>
        <v>13980917</v>
      </c>
      <c r="H156" s="119"/>
      <c r="I156" s="120">
        <v>7.1</v>
      </c>
      <c r="J156" s="204">
        <f>j_WEEKDAY(D156,2)</f>
        <v>2</v>
      </c>
      <c r="K156" s="206">
        <f t="shared" si="53"/>
        <v>0</v>
      </c>
      <c r="L156" s="207">
        <f t="shared" si="54"/>
        <v>0</v>
      </c>
      <c r="M156" s="121">
        <v>0</v>
      </c>
      <c r="N156" s="118">
        <v>0</v>
      </c>
      <c r="O156" s="208">
        <f t="shared" si="57"/>
        <v>0</v>
      </c>
      <c r="P156" s="208">
        <f>VALUE(J_normdate(J_ADDDAY($D156,$O156,1)))</f>
        <v>13980918</v>
      </c>
      <c r="Q156" s="204">
        <f t="shared" si="58"/>
        <v>0</v>
      </c>
      <c r="R156" s="202"/>
      <c r="S156" s="202"/>
      <c r="T156" s="202"/>
      <c r="U156" s="202"/>
      <c r="V156" s="202"/>
      <c r="W156" s="202"/>
      <c r="X156" s="202"/>
      <c r="Y156" s="202"/>
      <c r="Z156" s="202"/>
      <c r="AA156" s="202"/>
      <c r="AB156" s="202"/>
      <c r="AC156" s="202"/>
      <c r="AD156" s="202"/>
      <c r="AE156" s="202"/>
      <c r="AF156" s="202"/>
      <c r="AG156" s="202"/>
      <c r="AH156" s="202"/>
      <c r="AI156" s="202"/>
      <c r="AJ156" s="202"/>
      <c r="AK156" s="202"/>
      <c r="AL156" s="202"/>
      <c r="AM156" s="202"/>
      <c r="AN156" s="202"/>
      <c r="AO156" s="202"/>
      <c r="AP156" s="202"/>
      <c r="AQ156" s="202"/>
      <c r="AR156" s="202"/>
      <c r="AS156" s="202"/>
      <c r="AT156" s="202"/>
      <c r="AU156" s="202"/>
      <c r="AV156" s="202"/>
      <c r="AW156" s="202"/>
      <c r="AX156" s="202"/>
      <c r="AY156" s="202"/>
      <c r="AZ156" s="202"/>
      <c r="BA156" s="202"/>
      <c r="BB156" s="202"/>
      <c r="BC156" s="202"/>
      <c r="BD156" s="202"/>
      <c r="BE156" s="202"/>
      <c r="BF156" s="202"/>
      <c r="BG156" s="202"/>
      <c r="BH156" s="202"/>
      <c r="BI156" s="202"/>
      <c r="BJ156" s="202"/>
      <c r="BK156" s="202"/>
      <c r="BL156" s="202"/>
      <c r="BM156" s="202"/>
      <c r="BN156" s="202"/>
      <c r="BO156" s="202"/>
      <c r="BP156" s="202"/>
      <c r="BQ156" s="202"/>
      <c r="BR156" s="202"/>
      <c r="BS156" s="202"/>
      <c r="BT156" s="202"/>
      <c r="BU156" s="202"/>
      <c r="BV156" s="202"/>
      <c r="BW156" s="202"/>
      <c r="BX156" s="202"/>
      <c r="BY156" s="202"/>
      <c r="BZ156" s="202"/>
      <c r="CA156" s="202"/>
      <c r="CB156" s="202"/>
      <c r="CC156" s="202"/>
      <c r="CD156" s="202"/>
      <c r="CE156" s="202"/>
      <c r="CF156" s="202"/>
      <c r="CG156" s="202"/>
      <c r="CH156" s="202"/>
      <c r="CI156" s="202"/>
      <c r="CJ156" s="202"/>
      <c r="CK156" s="202"/>
      <c r="CL156" s="202"/>
      <c r="CM156" s="202"/>
      <c r="CN156" s="202"/>
      <c r="CO156" s="202"/>
      <c r="CP156" s="202"/>
      <c r="CQ156" s="202"/>
      <c r="CR156" s="202"/>
      <c r="CS156" s="202"/>
      <c r="CT156" s="202"/>
      <c r="CU156" s="202"/>
      <c r="CV156" s="202"/>
      <c r="CW156" s="202"/>
      <c r="CX156" s="202"/>
      <c r="CY156" s="202"/>
      <c r="CZ156" s="202"/>
      <c r="DA156" s="202"/>
      <c r="DB156" s="202"/>
      <c r="DC156" s="202"/>
      <c r="DD156" s="202"/>
      <c r="DE156" s="202"/>
      <c r="DF156" s="202"/>
      <c r="DG156" s="202"/>
      <c r="DH156" s="202"/>
      <c r="DI156" s="202"/>
      <c r="DJ156" s="202"/>
      <c r="DK156" s="202"/>
      <c r="DL156" s="202"/>
      <c r="DM156" s="202"/>
      <c r="DN156" s="202"/>
      <c r="DO156" s="202"/>
      <c r="DP156" s="202"/>
      <c r="DQ156" s="202"/>
      <c r="DR156" s="202"/>
      <c r="DS156" s="202"/>
      <c r="DT156" s="202"/>
      <c r="DU156" s="202"/>
      <c r="DV156" s="202"/>
      <c r="DW156" s="202"/>
      <c r="DX156" s="202"/>
      <c r="DY156" s="202"/>
      <c r="DZ156" s="202"/>
      <c r="EA156" s="202"/>
      <c r="EB156" s="202"/>
      <c r="EC156" s="202"/>
      <c r="ED156" s="202"/>
      <c r="EE156" s="202"/>
      <c r="EF156" s="202"/>
      <c r="EG156" s="202"/>
      <c r="EH156" s="202"/>
      <c r="EI156" s="202"/>
      <c r="EJ156" s="202"/>
      <c r="EK156" s="202"/>
      <c r="EL156" s="202"/>
      <c r="EM156" s="202"/>
      <c r="EN156" s="202"/>
      <c r="EO156" s="202"/>
      <c r="EP156" s="202"/>
      <c r="EQ156" s="202"/>
      <c r="ER156" s="202"/>
      <c r="ES156" s="202"/>
      <c r="ET156" s="202"/>
      <c r="EU156" s="202"/>
      <c r="EV156" s="202"/>
      <c r="EW156" s="202"/>
      <c r="EX156" s="202"/>
      <c r="EY156" s="202"/>
      <c r="EZ156" s="202"/>
      <c r="FA156" s="202"/>
      <c r="FB156" s="202"/>
      <c r="FC156" s="202"/>
      <c r="FD156" s="202"/>
      <c r="FE156" s="202"/>
      <c r="FF156" s="202"/>
      <c r="FG156" s="202"/>
      <c r="FH156" s="202"/>
      <c r="FI156" s="202"/>
      <c r="FJ156" s="202"/>
      <c r="FK156" s="202"/>
      <c r="FL156" s="202"/>
      <c r="FM156" s="202"/>
      <c r="FN156" s="202"/>
      <c r="FO156" s="202"/>
      <c r="FP156" s="202"/>
      <c r="FQ156" s="202"/>
      <c r="FR156" s="202"/>
      <c r="FS156" s="202"/>
      <c r="FT156" s="202"/>
      <c r="FU156" s="202"/>
      <c r="FV156" s="202"/>
      <c r="FW156" s="202"/>
      <c r="FX156" s="202"/>
      <c r="FY156" s="202"/>
      <c r="FZ156" s="202"/>
      <c r="GA156" s="202"/>
      <c r="GB156" s="202"/>
      <c r="GC156" s="202"/>
      <c r="GD156" s="202"/>
      <c r="GE156" s="202"/>
      <c r="GF156" s="202"/>
      <c r="GG156" s="202"/>
      <c r="GH156" s="202"/>
      <c r="GI156" s="202"/>
      <c r="GJ156" s="202"/>
      <c r="GK156" s="202"/>
      <c r="GL156" s="202"/>
      <c r="GM156" s="202"/>
      <c r="GN156" s="202"/>
      <c r="GO156" s="202"/>
      <c r="GP156" s="202"/>
      <c r="GQ156" s="202"/>
      <c r="GR156" s="202"/>
      <c r="GS156" s="202"/>
      <c r="GT156" s="202"/>
      <c r="GU156" s="202"/>
      <c r="GV156" s="202"/>
      <c r="GW156" s="202"/>
      <c r="GX156" s="202"/>
      <c r="GY156" s="202"/>
      <c r="GZ156" s="202"/>
      <c r="HA156" s="202"/>
      <c r="HB156" s="202"/>
      <c r="HC156" s="202"/>
      <c r="HD156" s="202"/>
      <c r="HE156" s="202"/>
      <c r="HF156" s="202"/>
      <c r="HG156" s="202"/>
      <c r="HH156" s="202"/>
      <c r="HI156" s="202"/>
      <c r="HJ156" s="202"/>
      <c r="HK156" s="202"/>
      <c r="HL156" s="202"/>
      <c r="HM156" s="202"/>
      <c r="HN156" s="202"/>
      <c r="HO156" s="202"/>
      <c r="HP156" s="202"/>
      <c r="HQ156" s="202"/>
      <c r="HR156" s="202"/>
      <c r="HS156" s="202"/>
      <c r="HT156" s="202"/>
      <c r="HU156" s="202"/>
      <c r="HV156" s="202"/>
      <c r="HW156" s="202"/>
      <c r="HX156" s="202"/>
      <c r="HY156" s="202"/>
      <c r="HZ156" s="202"/>
      <c r="IA156" s="202"/>
      <c r="IB156" s="202"/>
      <c r="IC156" s="202"/>
      <c r="ID156" s="202"/>
      <c r="IE156" s="202"/>
      <c r="IF156" s="202"/>
      <c r="IG156" s="202"/>
      <c r="IH156" s="202"/>
      <c r="II156" s="202"/>
      <c r="IJ156" s="202"/>
      <c r="IK156" s="202"/>
      <c r="IL156" s="202"/>
      <c r="IM156" s="202"/>
      <c r="IN156" s="202"/>
      <c r="IO156" s="202"/>
      <c r="IP156" s="202"/>
      <c r="IQ156" s="202"/>
      <c r="IR156" s="202"/>
      <c r="IS156" s="202"/>
      <c r="IT156" s="202"/>
      <c r="IU156" s="202"/>
      <c r="IV156" s="202"/>
      <c r="IW156" s="202"/>
      <c r="IX156" s="202"/>
      <c r="IY156" s="12"/>
      <c r="IZ156" s="12"/>
      <c r="JA156" s="123"/>
      <c r="JB156" s="128"/>
      <c r="JC156" s="127"/>
      <c r="JD156" s="227">
        <f>SUM((TEXT(JA156,"[M]")/60)*'Income Person-hours'!$D$3,(TEXT(JB156,"[M]")/60)*'Income Person-hours'!$D$4,(TEXT(JC156,"[M]")/60)*'Income Person-hours'!$D$5)</f>
        <v>0</v>
      </c>
    </row>
    <row r="157" spans="1:264 16383:16384" s="12" customFormat="1" ht="15.75" hidden="1" x14ac:dyDescent="0.45">
      <c r="A157" s="209">
        <v>7.4</v>
      </c>
      <c r="B157" s="116"/>
      <c r="C157" s="117"/>
      <c r="D157" s="13" t="str">
        <f>IF(OR(j_WEEKDAY(J_ADDDAY(VLOOKUP(I157,A:F,6,FALSE),H157,1),0)=6,SUMIFS(Holieday[ok],Holieday[date],J_ADDDAY(VLOOKUP(I157,A:F,6,FALSE),H157,1)))=FALSE(),J_ADDDAY(VLOOKUP(I157,A:F,6,FALSE),H157,1),IF(OR(j_WEEKDAY(J_ADDDAY(VLOOKUP(I157,A:F,6,FALSE),H157+1,1),0)=6,SUMIFS(Holieday[ok],Holieday[date],J_ADDDAY(VLOOKUP(I157,A:F,6,FALSE),H157+1,1)))=FALSE(),J_ADDDAY(VLOOKUP(I157,A:F,6,FALSE),H157+1,1),IF(OR(j_WEEKDAY(J_ADDDAY(VLOOKUP(I157,A:F,6,FALSE),H157+2,1),0)=6,SUMIFS(Holieday[ok],Holieday[date],J_ADDDAY(VLOOKUP(I157,A:F,6,FALSE),H157+2,1)))=FALSE(),J_ADDDAY(VLOOKUP(I157,A:F,6,FALSE),H157+2,1),IF(OR(j_WEEKDAY(J_ADDDAY(VLOOKUP(I157,A:F,6,FALSE),H157+3,1),0)=6,SUMIFS(Holieday[ok],Holieday[date],J_ADDDAY(VLOOKUP(I157,A:F,6,FALSE),H157+3,1)))=FALSE(),J_ADDDAY(VLOOKUP(I157,A:F,6,FALSE),H157+3,1),IF(OR(j_WEEKDAY(J_ADDDAY(VLOOKUP(I157,A:F,6,FALSE),H157+4,1),0)=6,SUMIFS(Holieday[ok],Holieday[date],J_ADDDAY(VLOOKUP(I157,A:F,6,FALSE),H157+4,1)))=FALSE(),J_ADDDAY(VLOOKUP(I157,A:F,6,FALSE),H157+4,1),J_ADDDAY(VLOOKUP(I157,A:F,6,FALSE),H157+5,1))))))</f>
        <v>1398/09/18</v>
      </c>
      <c r="E157" s="2">
        <f t="shared" si="49"/>
        <v>13980918</v>
      </c>
      <c r="F157" s="13" t="str">
        <f>IF(N157=0,J_SUBDAY(D157,1,1),IF((N157-NETWORKDAYS.INTL(J_GregorianDate(D157,1),J_GregorianDate(J_SUBDAY(J_ADDDAY(D157,N157,1),1,1),1),16,1)-SUMIFS(Holieday[ok],Holieday[date],CONCATENATE("&gt;","=",D157),Holieday[date],CONCATENATE("&lt;","=",J_SUBDAY(J_ADDDAY(D157,N157,1),1,1)))+SUMIFS(Holieday[Friday],Holieday[date],CONCATENATE("&gt;","=",D157),Holieday[date],CONCATENATE("&lt;","=",J_SUBDAY(J_ADDDAY(D157,N157,1),1,1))))=0,J_SUBDAY(J_ADDDAY(D157,N157,1),1,1),IF((N157-NETWORKDAYS.INTL(J_GregorianDate(D157,1),J_GregorianDate(J_SUBDAY(J_ADDDAY(D157,N157,1),1,1),1),16,1)-SUMIFS(Holieday[ok],Holieday[date],CONCATENATE("&gt;","=",D157),Holieday[date],CONCATENATE("&lt;","=",J_SUBDAY(J_ADDDAY(D157,N157,1),1,1)))+SUMIFS(Holieday[Friday],Holieday[date],CONCATENATE("&gt;","=",D157),Holieday[date],CONCATENATE("&lt;","=",J_SUBDAY(J_ADDDAY(D157,N157,1),1,1))))=1,J_SUBDAY(J_ADDDAY(D157,N157+1,1),1,1),IF((N157-NETWORKDAYS.INTL(J_GregorianDate(D157,1),J_GregorianDate(J_SUBDAY(J_ADDDAY(D157,N157,1),1,1),1),16,1)-SUMIFS(Holieday[ok],Holieday[date],CONCATENATE("&gt;","=",D157),Holieday[date],CONCATENATE("&lt;","=",J_SUBDAY(J_ADDDAY(D157,N157,1),1,1)))+SUMIFS(Holieday[Friday],Holieday[date],CONCATENATE("&gt;","=",D157),Holieday[date],CONCATENATE("&lt;","=",J_SUBDAY(J_ADDDAY(D157,N157,1),1,1))))=2,J_SUBDAY(J_ADDDAY(D157,N157+2,1),1,1),J_SUBDAY(J_ADDDAY(D157,N157+3,1),1,1)))))</f>
        <v>1398/09/17</v>
      </c>
      <c r="G157" s="3">
        <f t="shared" si="50"/>
        <v>13980917</v>
      </c>
      <c r="H157" s="119"/>
      <c r="I157" s="120">
        <v>7.1</v>
      </c>
      <c r="J157" s="10">
        <f>j_WEEKDAY(D157,2)</f>
        <v>2</v>
      </c>
      <c r="K157" s="22">
        <f t="shared" si="53"/>
        <v>0</v>
      </c>
      <c r="L157" s="9">
        <f t="shared" si="54"/>
        <v>0</v>
      </c>
      <c r="M157" s="121">
        <v>0</v>
      </c>
      <c r="N157" s="118">
        <v>0</v>
      </c>
      <c r="O157" s="11">
        <f t="shared" si="57"/>
        <v>0</v>
      </c>
      <c r="P157" s="11">
        <f>VALUE(J_normdate(J_ADDDAY($D157,$O157,1)))</f>
        <v>13980918</v>
      </c>
      <c r="Q157" s="10">
        <f t="shared" si="58"/>
        <v>0</v>
      </c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 s="8"/>
      <c r="BK157" s="8"/>
      <c r="BL157" s="8"/>
      <c r="BM157" s="8"/>
      <c r="BN157" s="8"/>
      <c r="BO157" s="8"/>
      <c r="BP157" s="8"/>
      <c r="BQ157" s="8"/>
      <c r="BR157" s="8"/>
      <c r="BS157" s="8"/>
      <c r="BT157" s="8"/>
      <c r="BU157" s="8"/>
      <c r="BV157" s="8"/>
      <c r="BW157" s="8"/>
      <c r="BX157" s="8"/>
      <c r="BY157" s="8"/>
      <c r="BZ157" s="8"/>
      <c r="CA157" s="8"/>
      <c r="CB157" s="8"/>
      <c r="CC157" s="8"/>
      <c r="CD157" s="8"/>
      <c r="CE157" s="8"/>
      <c r="CF157" s="8"/>
      <c r="CG157" s="8"/>
      <c r="CH157" s="8"/>
      <c r="CI157" s="8"/>
      <c r="CJ157" s="8"/>
      <c r="CK157" s="8"/>
      <c r="CL157" s="8"/>
      <c r="CM157" s="8"/>
      <c r="CN157" s="8"/>
      <c r="CO157" s="8"/>
      <c r="CP157" s="8"/>
      <c r="CQ157" s="8"/>
      <c r="CR157" s="8"/>
      <c r="CS157" s="8"/>
      <c r="CT157" s="8"/>
      <c r="CU157" s="8"/>
      <c r="CV157" s="8"/>
      <c r="CW157" s="8"/>
      <c r="CX157" s="8"/>
      <c r="CY157" s="8"/>
      <c r="CZ157" s="8"/>
      <c r="DA157" s="8"/>
      <c r="DB157" s="8"/>
      <c r="DC157" s="8"/>
      <c r="DD157" s="8"/>
      <c r="DE157" s="8"/>
      <c r="DF157" s="8"/>
      <c r="DG157" s="8"/>
      <c r="DH157" s="8"/>
      <c r="DI157" s="8"/>
      <c r="DJ157" s="8"/>
      <c r="DK157" s="8"/>
      <c r="DL157" s="8"/>
      <c r="DM157" s="8"/>
      <c r="DN157" s="8"/>
      <c r="DO157" s="8"/>
      <c r="DP157" s="8"/>
      <c r="DQ157" s="8"/>
      <c r="DR157" s="8"/>
      <c r="DS157" s="8"/>
      <c r="DT157" s="8"/>
      <c r="DU157" s="8"/>
      <c r="DV157" s="8"/>
      <c r="DW157" s="8"/>
      <c r="DX157" s="8"/>
      <c r="DY157" s="8"/>
      <c r="DZ157" s="8"/>
      <c r="EA157" s="8"/>
      <c r="EB157" s="8"/>
      <c r="EC157" s="8"/>
      <c r="ED157" s="8"/>
      <c r="EE157" s="8"/>
      <c r="EF157" s="8"/>
      <c r="EG157" s="8"/>
      <c r="EH157" s="8"/>
      <c r="EI157" s="8"/>
      <c r="EJ157" s="8"/>
      <c r="EK157" s="8"/>
      <c r="EL157" s="8"/>
      <c r="EM157" s="8"/>
      <c r="EN157" s="8"/>
      <c r="EO157" s="8"/>
      <c r="EP157" s="8"/>
      <c r="EQ157" s="8"/>
      <c r="ER157" s="8"/>
      <c r="ES157" s="8"/>
      <c r="ET157" s="8"/>
      <c r="EU157" s="8"/>
      <c r="EV157" s="8"/>
      <c r="EW157" s="8"/>
      <c r="EX157" s="8"/>
      <c r="EY157" s="8"/>
      <c r="EZ157" s="8"/>
      <c r="FA157" s="8"/>
      <c r="FB157" s="8"/>
      <c r="FC157" s="8"/>
      <c r="FD157" s="8"/>
      <c r="FE157" s="8"/>
      <c r="FF157" s="8"/>
      <c r="FG157" s="8"/>
      <c r="FH157" s="8"/>
      <c r="FI157" s="8"/>
      <c r="FJ157" s="8"/>
      <c r="FK157" s="8"/>
      <c r="FL157" s="8"/>
      <c r="FM157" s="8"/>
      <c r="FN157" s="8"/>
      <c r="FO157" s="8"/>
      <c r="FP157" s="8"/>
      <c r="FQ157" s="8"/>
      <c r="FR157" s="8"/>
      <c r="FS157" s="8"/>
      <c r="FT157" s="8"/>
      <c r="FU157" s="8"/>
      <c r="FV157" s="8"/>
      <c r="FW157" s="8"/>
      <c r="FX157" s="8"/>
      <c r="FY157" s="8"/>
      <c r="FZ157" s="8"/>
      <c r="GA157" s="8"/>
      <c r="GB157" s="8"/>
      <c r="GC157" s="8"/>
      <c r="GD157" s="8"/>
      <c r="GE157" s="8"/>
      <c r="GF157" s="8"/>
      <c r="GG157" s="8"/>
      <c r="GH157" s="8"/>
      <c r="GI157" s="8"/>
      <c r="GJ157" s="8"/>
      <c r="GK157" s="8"/>
      <c r="GL157" s="8"/>
      <c r="GM157" s="8"/>
      <c r="GN157" s="8"/>
      <c r="GO157" s="8"/>
      <c r="GP157" s="8"/>
      <c r="GQ157" s="8"/>
      <c r="GR157" s="8"/>
      <c r="GS157" s="8"/>
      <c r="GT157" s="8"/>
      <c r="GU157" s="8"/>
      <c r="GV157" s="8"/>
      <c r="GW157" s="8"/>
      <c r="GX157" s="8"/>
      <c r="GY157" s="8"/>
      <c r="GZ157" s="8"/>
      <c r="HA157" s="8"/>
      <c r="HB157" s="8"/>
      <c r="HC157" s="8"/>
      <c r="HD157" s="8"/>
      <c r="HE157" s="8"/>
      <c r="HF157" s="8"/>
      <c r="HG157" s="8"/>
      <c r="HH157" s="8"/>
      <c r="HI157" s="8"/>
      <c r="HJ157" s="8"/>
      <c r="HK157" s="8"/>
      <c r="HL157" s="8"/>
      <c r="HM157" s="8"/>
      <c r="HN157" s="8"/>
      <c r="HO157" s="8"/>
      <c r="HP157" s="8"/>
      <c r="HQ157" s="8"/>
      <c r="HR157" s="8"/>
      <c r="HS157" s="8"/>
      <c r="HT157" s="8"/>
      <c r="HU157" s="8"/>
      <c r="HV157" s="8"/>
      <c r="HW157" s="8"/>
      <c r="HX157" s="8"/>
      <c r="HY157" s="8"/>
      <c r="HZ157" s="8"/>
      <c r="IA157" s="8"/>
      <c r="IB157" s="8"/>
      <c r="IC157" s="8"/>
      <c r="ID157" s="8"/>
      <c r="IE157" s="8"/>
      <c r="IF157" s="8"/>
      <c r="IG157" s="8"/>
      <c r="IH157" s="8"/>
      <c r="II157" s="8"/>
      <c r="IJ157" s="8"/>
      <c r="IK157" s="8"/>
      <c r="IL157" s="8"/>
      <c r="IM157" s="8"/>
      <c r="IN157" s="8"/>
      <c r="IO157" s="8"/>
      <c r="IP157" s="8"/>
      <c r="IQ157" s="8"/>
      <c r="IR157" s="8"/>
      <c r="IS157" s="8"/>
      <c r="IT157" s="8"/>
      <c r="IU157" s="8"/>
      <c r="IV157" s="8"/>
      <c r="IW157" s="8"/>
      <c r="IX157" s="8"/>
      <c r="JA157" s="123"/>
      <c r="JB157" s="123"/>
      <c r="JC157" s="123"/>
      <c r="JD157" s="70">
        <f>SUM((TEXT(JA157,"[M]")/60)*'Income Person-hours'!$D$3,(TEXT(JB157,"[M]")/60)*'Income Person-hours'!$D$4,(TEXT(JC157,"[M]")/60)*'Income Person-hours'!$D$5)</f>
        <v>0</v>
      </c>
    </row>
    <row r="158" spans="1:264 16383:16384" s="12" customFormat="1" ht="15.75" hidden="1" x14ac:dyDescent="0.45">
      <c r="A158" s="209">
        <v>7.5</v>
      </c>
      <c r="B158" s="116"/>
      <c r="C158" s="117"/>
      <c r="D158" s="13" t="str">
        <f>IF(OR(j_WEEKDAY(J_ADDDAY(VLOOKUP(I158,A:F,6,FALSE),H158,1),0)=6,SUMIFS(Holieday[ok],Holieday[date],J_ADDDAY(VLOOKUP(I158,A:F,6,FALSE),H158,1)))=FALSE(),J_ADDDAY(VLOOKUP(I158,A:F,6,FALSE),H158,1),IF(OR(j_WEEKDAY(J_ADDDAY(VLOOKUP(I158,A:F,6,FALSE),H158+1,1),0)=6,SUMIFS(Holieday[ok],Holieday[date],J_ADDDAY(VLOOKUP(I158,A:F,6,FALSE),H158+1,1)))=FALSE(),J_ADDDAY(VLOOKUP(I158,A:F,6,FALSE),H158+1,1),IF(OR(j_WEEKDAY(J_ADDDAY(VLOOKUP(I158,A:F,6,FALSE),H158+2,1),0)=6,SUMIFS(Holieday[ok],Holieday[date],J_ADDDAY(VLOOKUP(I158,A:F,6,FALSE),H158+2,1)))=FALSE(),J_ADDDAY(VLOOKUP(I158,A:F,6,FALSE),H158+2,1),IF(OR(j_WEEKDAY(J_ADDDAY(VLOOKUP(I158,A:F,6,FALSE),H158+3,1),0)=6,SUMIFS(Holieday[ok],Holieday[date],J_ADDDAY(VLOOKUP(I158,A:F,6,FALSE),H158+3,1)))=FALSE(),J_ADDDAY(VLOOKUP(I158,A:F,6,FALSE),H158+3,1),IF(OR(j_WEEKDAY(J_ADDDAY(VLOOKUP(I158,A:F,6,FALSE),H158+4,1),0)=6,SUMIFS(Holieday[ok],Holieday[date],J_ADDDAY(VLOOKUP(I158,A:F,6,FALSE),H158+4,1)))=FALSE(),J_ADDDAY(VLOOKUP(I158,A:F,6,FALSE),H158+4,1),J_ADDDAY(VLOOKUP(I158,A:F,6,FALSE),H158+5,1))))))</f>
        <v>1398/09/18</v>
      </c>
      <c r="E158" s="2">
        <f t="shared" si="49"/>
        <v>13980918</v>
      </c>
      <c r="F158" s="13" t="str">
        <f>IF(N158=0,J_SUBDAY(D158,1,1),IF((N158-NETWORKDAYS.INTL(J_GregorianDate(D158,1),J_GregorianDate(J_SUBDAY(J_ADDDAY(D158,N158,1),1,1),1),16,1)-SUMIFS(Holieday[ok],Holieday[date],CONCATENATE("&gt;","=",D158),Holieday[date],CONCATENATE("&lt;","=",J_SUBDAY(J_ADDDAY(D158,N158,1),1,1)))+SUMIFS(Holieday[Friday],Holieday[date],CONCATENATE("&gt;","=",D158),Holieday[date],CONCATENATE("&lt;","=",J_SUBDAY(J_ADDDAY(D158,N158,1),1,1))))=0,J_SUBDAY(J_ADDDAY(D158,N158,1),1,1),IF((N158-NETWORKDAYS.INTL(J_GregorianDate(D158,1),J_GregorianDate(J_SUBDAY(J_ADDDAY(D158,N158,1),1,1),1),16,1)-SUMIFS(Holieday[ok],Holieday[date],CONCATENATE("&gt;","=",D158),Holieday[date],CONCATENATE("&lt;","=",J_SUBDAY(J_ADDDAY(D158,N158,1),1,1)))+SUMIFS(Holieday[Friday],Holieday[date],CONCATENATE("&gt;","=",D158),Holieday[date],CONCATENATE("&lt;","=",J_SUBDAY(J_ADDDAY(D158,N158,1),1,1))))=1,J_SUBDAY(J_ADDDAY(D158,N158+1,1),1,1),IF((N158-NETWORKDAYS.INTL(J_GregorianDate(D158,1),J_GregorianDate(J_SUBDAY(J_ADDDAY(D158,N158,1),1,1),1),16,1)-SUMIFS(Holieday[ok],Holieday[date],CONCATENATE("&gt;","=",D158),Holieday[date],CONCATENATE("&lt;","=",J_SUBDAY(J_ADDDAY(D158,N158,1),1,1)))+SUMIFS(Holieday[Friday],Holieday[date],CONCATENATE("&gt;","=",D158),Holieday[date],CONCATENATE("&lt;","=",J_SUBDAY(J_ADDDAY(D158,N158,1),1,1))))=2,J_SUBDAY(J_ADDDAY(D158,N158+2,1),1,1),J_SUBDAY(J_ADDDAY(D158,N158+3,1),1,1)))))</f>
        <v>1398/09/17</v>
      </c>
      <c r="G158" s="3">
        <f t="shared" si="50"/>
        <v>13980917</v>
      </c>
      <c r="H158" s="119"/>
      <c r="I158" s="120">
        <v>7.1</v>
      </c>
      <c r="J158" s="10">
        <f>j_WEEKDAY(D158,2)</f>
        <v>2</v>
      </c>
      <c r="K158" s="22">
        <f t="shared" si="53"/>
        <v>0</v>
      </c>
      <c r="L158" s="9">
        <f t="shared" si="54"/>
        <v>0</v>
      </c>
      <c r="M158" s="121">
        <v>0</v>
      </c>
      <c r="N158" s="118">
        <v>0</v>
      </c>
      <c r="O158" s="11">
        <f t="shared" si="57"/>
        <v>0</v>
      </c>
      <c r="P158" s="11">
        <f>VALUE(J_normdate(J_ADDDAY($D158,$O158,1)))</f>
        <v>13980918</v>
      </c>
      <c r="Q158" s="10">
        <f t="shared" si="58"/>
        <v>0</v>
      </c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 s="8"/>
      <c r="BK158" s="8"/>
      <c r="BL158" s="8"/>
      <c r="BM158" s="8"/>
      <c r="BN158" s="8"/>
      <c r="BO158" s="8"/>
      <c r="BP158" s="8"/>
      <c r="BQ158" s="8"/>
      <c r="BR158" s="8"/>
      <c r="BS158" s="8"/>
      <c r="BT158" s="8"/>
      <c r="BU158" s="8"/>
      <c r="BV158" s="8"/>
      <c r="BW158" s="8"/>
      <c r="BX158" s="8"/>
      <c r="BY158" s="8"/>
      <c r="BZ158" s="8"/>
      <c r="CA158" s="8"/>
      <c r="CB158" s="8"/>
      <c r="CC158" s="8"/>
      <c r="CD158" s="8"/>
      <c r="CE158" s="8"/>
      <c r="CF158" s="8"/>
      <c r="CG158" s="8"/>
      <c r="CH158" s="8"/>
      <c r="CI158" s="8"/>
      <c r="CJ158" s="8"/>
      <c r="CK158" s="8"/>
      <c r="CL158" s="8"/>
      <c r="CM158" s="8"/>
      <c r="CN158" s="8"/>
      <c r="CO158" s="8"/>
      <c r="CP158" s="8"/>
      <c r="CQ158" s="8"/>
      <c r="CR158" s="8"/>
      <c r="CS158" s="8"/>
      <c r="CT158" s="8"/>
      <c r="CU158" s="8"/>
      <c r="CV158" s="8"/>
      <c r="CW158" s="8"/>
      <c r="CX158" s="8"/>
      <c r="CY158" s="8"/>
      <c r="CZ158" s="8"/>
      <c r="DA158" s="8"/>
      <c r="DB158" s="8"/>
      <c r="DC158" s="8"/>
      <c r="DD158" s="8"/>
      <c r="DE158" s="8"/>
      <c r="DF158" s="8"/>
      <c r="DG158" s="8"/>
      <c r="DH158" s="8"/>
      <c r="DI158" s="8"/>
      <c r="DJ158" s="8"/>
      <c r="DK158" s="8"/>
      <c r="DL158" s="8"/>
      <c r="DM158" s="8"/>
      <c r="DN158" s="8"/>
      <c r="DO158" s="8"/>
      <c r="DP158" s="8"/>
      <c r="DQ158" s="8"/>
      <c r="DR158" s="8"/>
      <c r="DS158" s="8"/>
      <c r="DT158" s="8"/>
      <c r="DU158" s="8"/>
      <c r="DV158" s="8"/>
      <c r="DW158" s="8"/>
      <c r="DX158" s="8"/>
      <c r="DY158" s="8"/>
      <c r="DZ158" s="8"/>
      <c r="EA158" s="8"/>
      <c r="EB158" s="8"/>
      <c r="EC158" s="8"/>
      <c r="ED158" s="8"/>
      <c r="EE158" s="8"/>
      <c r="EF158" s="8"/>
      <c r="EG158" s="8"/>
      <c r="EH158" s="8"/>
      <c r="EI158" s="8"/>
      <c r="EJ158" s="8"/>
      <c r="EK158" s="8"/>
      <c r="EL158" s="8"/>
      <c r="EM158" s="8"/>
      <c r="EN158" s="8"/>
      <c r="EO158" s="8"/>
      <c r="EP158" s="8"/>
      <c r="EQ158" s="8"/>
      <c r="ER158" s="8"/>
      <c r="ES158" s="8"/>
      <c r="ET158" s="8"/>
      <c r="EU158" s="8"/>
      <c r="EV158" s="8"/>
      <c r="EW158" s="8"/>
      <c r="EX158" s="8"/>
      <c r="EY158" s="8"/>
      <c r="EZ158" s="8"/>
      <c r="FA158" s="8"/>
      <c r="FB158" s="8"/>
      <c r="FC158" s="8"/>
      <c r="FD158" s="8"/>
      <c r="FE158" s="8"/>
      <c r="FF158" s="8"/>
      <c r="FG158" s="8"/>
      <c r="FH158" s="8"/>
      <c r="FI158" s="8"/>
      <c r="FJ158" s="8"/>
      <c r="FK158" s="8"/>
      <c r="FL158" s="8"/>
      <c r="FM158" s="8"/>
      <c r="FN158" s="8"/>
      <c r="FO158" s="8"/>
      <c r="FP158" s="8"/>
      <c r="FQ158" s="8"/>
      <c r="FR158" s="8"/>
      <c r="FS158" s="8"/>
      <c r="FT158" s="8"/>
      <c r="FU158" s="8"/>
      <c r="FV158" s="8"/>
      <c r="FW158" s="8"/>
      <c r="FX158" s="8"/>
      <c r="FY158" s="8"/>
      <c r="FZ158" s="8"/>
      <c r="GA158" s="8"/>
      <c r="GB158" s="8"/>
      <c r="GC158" s="8"/>
      <c r="GD158" s="8"/>
      <c r="GE158" s="8"/>
      <c r="GF158" s="8"/>
      <c r="GG158" s="8"/>
      <c r="GH158" s="8"/>
      <c r="GI158" s="8"/>
      <c r="GJ158" s="8"/>
      <c r="GK158" s="8"/>
      <c r="GL158" s="8"/>
      <c r="GM158" s="8"/>
      <c r="GN158" s="8"/>
      <c r="GO158" s="8"/>
      <c r="GP158" s="8"/>
      <c r="GQ158" s="8"/>
      <c r="GR158" s="8"/>
      <c r="GS158" s="8"/>
      <c r="GT158" s="8"/>
      <c r="GU158" s="8"/>
      <c r="GV158" s="8"/>
      <c r="GW158" s="8"/>
      <c r="GX158" s="8"/>
      <c r="GY158" s="8"/>
      <c r="GZ158" s="8"/>
      <c r="HA158" s="8"/>
      <c r="HB158" s="8"/>
      <c r="HC158" s="8"/>
      <c r="HD158" s="8"/>
      <c r="HE158" s="8"/>
      <c r="HF158" s="8"/>
      <c r="HG158" s="8"/>
      <c r="HH158" s="8"/>
      <c r="HI158" s="8"/>
      <c r="HJ158" s="8"/>
      <c r="HK158" s="8"/>
      <c r="HL158" s="8"/>
      <c r="HM158" s="8"/>
      <c r="HN158" s="8"/>
      <c r="HO158" s="8"/>
      <c r="HP158" s="8"/>
      <c r="HQ158" s="8"/>
      <c r="HR158" s="8"/>
      <c r="HS158" s="8"/>
      <c r="HT158" s="8"/>
      <c r="HU158" s="8"/>
      <c r="HV158" s="8"/>
      <c r="HW158" s="8"/>
      <c r="HX158" s="8"/>
      <c r="HY158" s="8"/>
      <c r="HZ158" s="8"/>
      <c r="IA158" s="8"/>
      <c r="IB158" s="8"/>
      <c r="IC158" s="8"/>
      <c r="ID158" s="8"/>
      <c r="IE158" s="8"/>
      <c r="IF158" s="8"/>
      <c r="IG158" s="8"/>
      <c r="IH158" s="8"/>
      <c r="II158" s="8"/>
      <c r="IJ158" s="8"/>
      <c r="IK158" s="8"/>
      <c r="IL158" s="8"/>
      <c r="IM158" s="8"/>
      <c r="IN158" s="8"/>
      <c r="IO158" s="8"/>
      <c r="IP158" s="8"/>
      <c r="IQ158" s="8"/>
      <c r="IR158" s="8"/>
      <c r="IS158" s="8"/>
      <c r="IT158" s="8"/>
      <c r="IU158" s="8"/>
      <c r="IV158" s="8"/>
      <c r="IW158" s="8"/>
      <c r="IX158" s="8"/>
      <c r="JA158" s="123"/>
      <c r="JB158" s="123"/>
      <c r="JC158" s="123"/>
      <c r="JD158" s="70">
        <f>SUM((TEXT(JA158,"[M]")/60)*'Income Person-hours'!$D$3,(TEXT(JB158,"[M]")/60)*'Income Person-hours'!$D$4,(TEXT(JC158,"[M]")/60)*'Income Person-hours'!$D$5)</f>
        <v>0</v>
      </c>
    </row>
    <row r="159" spans="1:264 16383:16384" s="12" customFormat="1" ht="15.75" hidden="1" x14ac:dyDescent="0.45">
      <c r="A159" s="209">
        <v>7.6</v>
      </c>
      <c r="B159" s="116"/>
      <c r="C159" s="117"/>
      <c r="D159" s="13" t="str">
        <f>IF(OR(j_WEEKDAY(J_ADDDAY(VLOOKUP(I159,A:F,6,FALSE),H159,1),0)=6,SUMIFS(Holieday[ok],Holieday[date],J_ADDDAY(VLOOKUP(I159,A:F,6,FALSE),H159,1)))=FALSE(),J_ADDDAY(VLOOKUP(I159,A:F,6,FALSE),H159,1),IF(OR(j_WEEKDAY(J_ADDDAY(VLOOKUP(I159,A:F,6,FALSE),H159+1,1),0)=6,SUMIFS(Holieday[ok],Holieday[date],J_ADDDAY(VLOOKUP(I159,A:F,6,FALSE),H159+1,1)))=FALSE(),J_ADDDAY(VLOOKUP(I159,A:F,6,FALSE),H159+1,1),IF(OR(j_WEEKDAY(J_ADDDAY(VLOOKUP(I159,A:F,6,FALSE),H159+2,1),0)=6,SUMIFS(Holieday[ok],Holieday[date],J_ADDDAY(VLOOKUP(I159,A:F,6,FALSE),H159+2,1)))=FALSE(),J_ADDDAY(VLOOKUP(I159,A:F,6,FALSE),H159+2,1),IF(OR(j_WEEKDAY(J_ADDDAY(VLOOKUP(I159,A:F,6,FALSE),H159+3,1),0)=6,SUMIFS(Holieday[ok],Holieday[date],J_ADDDAY(VLOOKUP(I159,A:F,6,FALSE),H159+3,1)))=FALSE(),J_ADDDAY(VLOOKUP(I159,A:F,6,FALSE),H159+3,1),IF(OR(j_WEEKDAY(J_ADDDAY(VLOOKUP(I159,A:F,6,FALSE),H159+4,1),0)=6,SUMIFS(Holieday[ok],Holieday[date],J_ADDDAY(VLOOKUP(I159,A:F,6,FALSE),H159+4,1)))=FALSE(),J_ADDDAY(VLOOKUP(I159,A:F,6,FALSE),H159+4,1),J_ADDDAY(VLOOKUP(I159,A:F,6,FALSE),H159+5,1))))))</f>
        <v>1398/09/18</v>
      </c>
      <c r="E159" s="2">
        <f t="shared" si="49"/>
        <v>13980918</v>
      </c>
      <c r="F159" s="13" t="str">
        <f>IF(N159=0,J_SUBDAY(D159,1,1),IF((N159-NETWORKDAYS.INTL(J_GregorianDate(D159,1),J_GregorianDate(J_SUBDAY(J_ADDDAY(D159,N159,1),1,1),1),16,1)-SUMIFS(Holieday[ok],Holieday[date],CONCATENATE("&gt;","=",D159),Holieday[date],CONCATENATE("&lt;","=",J_SUBDAY(J_ADDDAY(D159,N159,1),1,1)))+SUMIFS(Holieday[Friday],Holieday[date],CONCATENATE("&gt;","=",D159),Holieday[date],CONCATENATE("&lt;","=",J_SUBDAY(J_ADDDAY(D159,N159,1),1,1))))=0,J_SUBDAY(J_ADDDAY(D159,N159,1),1,1),IF((N159-NETWORKDAYS.INTL(J_GregorianDate(D159,1),J_GregorianDate(J_SUBDAY(J_ADDDAY(D159,N159,1),1,1),1),16,1)-SUMIFS(Holieday[ok],Holieday[date],CONCATENATE("&gt;","=",D159),Holieday[date],CONCATENATE("&lt;","=",J_SUBDAY(J_ADDDAY(D159,N159,1),1,1)))+SUMIFS(Holieday[Friday],Holieday[date],CONCATENATE("&gt;","=",D159),Holieday[date],CONCATENATE("&lt;","=",J_SUBDAY(J_ADDDAY(D159,N159,1),1,1))))=1,J_SUBDAY(J_ADDDAY(D159,N159+1,1),1,1),IF((N159-NETWORKDAYS.INTL(J_GregorianDate(D159,1),J_GregorianDate(J_SUBDAY(J_ADDDAY(D159,N159,1),1,1),1),16,1)-SUMIFS(Holieday[ok],Holieday[date],CONCATENATE("&gt;","=",D159),Holieday[date],CONCATENATE("&lt;","=",J_SUBDAY(J_ADDDAY(D159,N159,1),1,1)))+SUMIFS(Holieday[Friday],Holieday[date],CONCATENATE("&gt;","=",D159),Holieday[date],CONCATENATE("&lt;","=",J_SUBDAY(J_ADDDAY(D159,N159,1),1,1))))=2,J_SUBDAY(J_ADDDAY(D159,N159+2,1),1,1),J_SUBDAY(J_ADDDAY(D159,N159+3,1),1,1)))))</f>
        <v>1398/09/17</v>
      </c>
      <c r="G159" s="3">
        <f t="shared" si="50"/>
        <v>13980917</v>
      </c>
      <c r="H159" s="119"/>
      <c r="I159" s="120">
        <v>7.1</v>
      </c>
      <c r="J159" s="10">
        <f>j_WEEKDAY(D159,2)</f>
        <v>2</v>
      </c>
      <c r="K159" s="22">
        <f t="shared" si="53"/>
        <v>0</v>
      </c>
      <c r="L159" s="9">
        <f t="shared" si="54"/>
        <v>0</v>
      </c>
      <c r="M159" s="121">
        <v>0</v>
      </c>
      <c r="N159" s="118">
        <v>0</v>
      </c>
      <c r="O159" s="11">
        <f t="shared" si="57"/>
        <v>0</v>
      </c>
      <c r="P159" s="11">
        <f>VALUE(J_normdate(J_ADDDAY($D159,$O159,1)))</f>
        <v>13980918</v>
      </c>
      <c r="Q159" s="10">
        <f t="shared" si="58"/>
        <v>0</v>
      </c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 s="8"/>
      <c r="BK159" s="8"/>
      <c r="BL159" s="8"/>
      <c r="BM159" s="8"/>
      <c r="BN159" s="8"/>
      <c r="BO159" s="8"/>
      <c r="BP159" s="8"/>
      <c r="BQ159" s="8"/>
      <c r="BR159" s="8"/>
      <c r="BS159" s="8"/>
      <c r="BT159" s="8"/>
      <c r="BU159" s="8"/>
      <c r="BV159" s="8"/>
      <c r="BW159" s="8"/>
      <c r="BX159" s="8"/>
      <c r="BY159" s="8"/>
      <c r="BZ159" s="8"/>
      <c r="CA159" s="8"/>
      <c r="CB159" s="8"/>
      <c r="CC159" s="8"/>
      <c r="CD159" s="8"/>
      <c r="CE159" s="8"/>
      <c r="CF159" s="8"/>
      <c r="CG159" s="8"/>
      <c r="CH159" s="8"/>
      <c r="CI159" s="8"/>
      <c r="CJ159" s="8"/>
      <c r="CK159" s="8"/>
      <c r="CL159" s="8"/>
      <c r="CM159" s="8"/>
      <c r="CN159" s="8"/>
      <c r="CO159" s="8"/>
      <c r="CP159" s="8"/>
      <c r="CQ159" s="8"/>
      <c r="CR159" s="8"/>
      <c r="CS159" s="8"/>
      <c r="CT159" s="8"/>
      <c r="CU159" s="8"/>
      <c r="CV159" s="8"/>
      <c r="CW159" s="8"/>
      <c r="CX159" s="8"/>
      <c r="CY159" s="8"/>
      <c r="CZ159" s="8"/>
      <c r="DA159" s="8"/>
      <c r="DB159" s="8"/>
      <c r="DC159" s="8"/>
      <c r="DD159" s="8"/>
      <c r="DE159" s="8"/>
      <c r="DF159" s="8"/>
      <c r="DG159" s="8"/>
      <c r="DH159" s="8"/>
      <c r="DI159" s="8"/>
      <c r="DJ159" s="8"/>
      <c r="DK159" s="8"/>
      <c r="DL159" s="8"/>
      <c r="DM159" s="8"/>
      <c r="DN159" s="8"/>
      <c r="DO159" s="8"/>
      <c r="DP159" s="8"/>
      <c r="DQ159" s="8"/>
      <c r="DR159" s="8"/>
      <c r="DS159" s="8"/>
      <c r="DT159" s="8"/>
      <c r="DU159" s="8"/>
      <c r="DV159" s="8"/>
      <c r="DW159" s="8"/>
      <c r="DX159" s="8"/>
      <c r="DY159" s="8"/>
      <c r="DZ159" s="8"/>
      <c r="EA159" s="8"/>
      <c r="EB159" s="8"/>
      <c r="EC159" s="8"/>
      <c r="ED159" s="8"/>
      <c r="EE159" s="8"/>
      <c r="EF159" s="8"/>
      <c r="EG159" s="8"/>
      <c r="EH159" s="8"/>
      <c r="EI159" s="8"/>
      <c r="EJ159" s="8"/>
      <c r="EK159" s="8"/>
      <c r="EL159" s="8"/>
      <c r="EM159" s="8"/>
      <c r="EN159" s="8"/>
      <c r="EO159" s="8"/>
      <c r="EP159" s="8"/>
      <c r="EQ159" s="8"/>
      <c r="ER159" s="8"/>
      <c r="ES159" s="8"/>
      <c r="ET159" s="8"/>
      <c r="EU159" s="8"/>
      <c r="EV159" s="8"/>
      <c r="EW159" s="8"/>
      <c r="EX159" s="8"/>
      <c r="EY159" s="8"/>
      <c r="EZ159" s="8"/>
      <c r="FA159" s="8"/>
      <c r="FB159" s="8"/>
      <c r="FC159" s="8"/>
      <c r="FD159" s="8"/>
      <c r="FE159" s="8"/>
      <c r="FF159" s="8"/>
      <c r="FG159" s="8"/>
      <c r="FH159" s="8"/>
      <c r="FI159" s="8"/>
      <c r="FJ159" s="8"/>
      <c r="FK159" s="8"/>
      <c r="FL159" s="8"/>
      <c r="FM159" s="8"/>
      <c r="FN159" s="8"/>
      <c r="FO159" s="8"/>
      <c r="FP159" s="8"/>
      <c r="FQ159" s="8"/>
      <c r="FR159" s="8"/>
      <c r="FS159" s="8"/>
      <c r="FT159" s="8"/>
      <c r="FU159" s="8"/>
      <c r="FV159" s="8"/>
      <c r="FW159" s="8"/>
      <c r="FX159" s="8"/>
      <c r="FY159" s="8"/>
      <c r="FZ159" s="8"/>
      <c r="GA159" s="8"/>
      <c r="GB159" s="8"/>
      <c r="GC159" s="8"/>
      <c r="GD159" s="8"/>
      <c r="GE159" s="8"/>
      <c r="GF159" s="8"/>
      <c r="GG159" s="8"/>
      <c r="GH159" s="8"/>
      <c r="GI159" s="8"/>
      <c r="GJ159" s="8"/>
      <c r="GK159" s="8"/>
      <c r="GL159" s="8"/>
      <c r="GM159" s="8"/>
      <c r="GN159" s="8"/>
      <c r="GO159" s="8"/>
      <c r="GP159" s="8"/>
      <c r="GQ159" s="8"/>
      <c r="GR159" s="8"/>
      <c r="GS159" s="8"/>
      <c r="GT159" s="8"/>
      <c r="GU159" s="8"/>
      <c r="GV159" s="8"/>
      <c r="GW159" s="8"/>
      <c r="GX159" s="8"/>
      <c r="GY159" s="8"/>
      <c r="GZ159" s="8"/>
      <c r="HA159" s="8"/>
      <c r="HB159" s="8"/>
      <c r="HC159" s="8"/>
      <c r="HD159" s="8"/>
      <c r="HE159" s="8"/>
      <c r="HF159" s="8"/>
      <c r="HG159" s="8"/>
      <c r="HH159" s="8"/>
      <c r="HI159" s="8"/>
      <c r="HJ159" s="8"/>
      <c r="HK159" s="8"/>
      <c r="HL159" s="8"/>
      <c r="HM159" s="8"/>
      <c r="HN159" s="8"/>
      <c r="HO159" s="8"/>
      <c r="HP159" s="8"/>
      <c r="HQ159" s="8"/>
      <c r="HR159" s="8"/>
      <c r="HS159" s="8"/>
      <c r="HT159" s="8"/>
      <c r="HU159" s="8"/>
      <c r="HV159" s="8"/>
      <c r="HW159" s="8"/>
      <c r="HX159" s="8"/>
      <c r="HY159" s="8"/>
      <c r="HZ159" s="8"/>
      <c r="IA159" s="8"/>
      <c r="IB159" s="8"/>
      <c r="IC159" s="8"/>
      <c r="ID159" s="8"/>
      <c r="IE159" s="8"/>
      <c r="IF159" s="8"/>
      <c r="IG159" s="8"/>
      <c r="IH159" s="8"/>
      <c r="II159" s="8"/>
      <c r="IJ159" s="8"/>
      <c r="IK159" s="8"/>
      <c r="IL159" s="8"/>
      <c r="IM159" s="8"/>
      <c r="IN159" s="8"/>
      <c r="IO159" s="8"/>
      <c r="IP159" s="8"/>
      <c r="IQ159" s="8"/>
      <c r="IR159" s="8"/>
      <c r="IS159" s="8"/>
      <c r="IT159" s="8"/>
      <c r="IU159" s="8"/>
      <c r="IV159" s="8"/>
      <c r="IW159" s="8"/>
      <c r="IX159" s="8"/>
      <c r="JA159" s="123"/>
      <c r="JB159" s="123"/>
      <c r="JC159" s="123"/>
      <c r="JD159" s="70">
        <f>SUM((TEXT(JA159,"[M]")/60)*'Income Person-hours'!$D$3,(TEXT(JB159,"[M]")/60)*'Income Person-hours'!$D$4,(TEXT(JC159,"[M]")/60)*'Income Person-hours'!$D$5)</f>
        <v>0</v>
      </c>
    </row>
    <row r="160" spans="1:264 16383:16384" s="12" customFormat="1" ht="15.75" hidden="1" x14ac:dyDescent="0.45">
      <c r="A160" s="209">
        <v>7.7</v>
      </c>
      <c r="B160" s="116"/>
      <c r="C160" s="117"/>
      <c r="D160" s="13" t="str">
        <f>IF(OR(j_WEEKDAY(J_ADDDAY(VLOOKUP(I160,A:F,6,FALSE),H160,1),0)=6,SUMIFS(Holieday[ok],Holieday[date],J_ADDDAY(VLOOKUP(I160,A:F,6,FALSE),H160,1)))=FALSE(),J_ADDDAY(VLOOKUP(I160,A:F,6,FALSE),H160,1),IF(OR(j_WEEKDAY(J_ADDDAY(VLOOKUP(I160,A:F,6,FALSE),H160+1,1),0)=6,SUMIFS(Holieday[ok],Holieday[date],J_ADDDAY(VLOOKUP(I160,A:F,6,FALSE),H160+1,1)))=FALSE(),J_ADDDAY(VLOOKUP(I160,A:F,6,FALSE),H160+1,1),IF(OR(j_WEEKDAY(J_ADDDAY(VLOOKUP(I160,A:F,6,FALSE),H160+2,1),0)=6,SUMIFS(Holieday[ok],Holieday[date],J_ADDDAY(VLOOKUP(I160,A:F,6,FALSE),H160+2,1)))=FALSE(),J_ADDDAY(VLOOKUP(I160,A:F,6,FALSE),H160+2,1),IF(OR(j_WEEKDAY(J_ADDDAY(VLOOKUP(I160,A:F,6,FALSE),H160+3,1),0)=6,SUMIFS(Holieday[ok],Holieday[date],J_ADDDAY(VLOOKUP(I160,A:F,6,FALSE),H160+3,1)))=FALSE(),J_ADDDAY(VLOOKUP(I160,A:F,6,FALSE),H160+3,1),IF(OR(j_WEEKDAY(J_ADDDAY(VLOOKUP(I160,A:F,6,FALSE),H160+4,1),0)=6,SUMIFS(Holieday[ok],Holieday[date],J_ADDDAY(VLOOKUP(I160,A:F,6,FALSE),H160+4,1)))=FALSE(),J_ADDDAY(VLOOKUP(I160,A:F,6,FALSE),H160+4,1),J_ADDDAY(VLOOKUP(I160,A:F,6,FALSE),H160+5,1))))))</f>
        <v>1398/09/18</v>
      </c>
      <c r="E160" s="2">
        <f t="shared" si="49"/>
        <v>13980918</v>
      </c>
      <c r="F160" s="13" t="str">
        <f>IF(N160=0,J_SUBDAY(D160,1,1),IF((N160-NETWORKDAYS.INTL(J_GregorianDate(D160,1),J_GregorianDate(J_SUBDAY(J_ADDDAY(D160,N160,1),1,1),1),16,1)-SUMIFS(Holieday[ok],Holieday[date],CONCATENATE("&gt;","=",D160),Holieday[date],CONCATENATE("&lt;","=",J_SUBDAY(J_ADDDAY(D160,N160,1),1,1)))+SUMIFS(Holieday[Friday],Holieday[date],CONCATENATE("&gt;","=",D160),Holieday[date],CONCATENATE("&lt;","=",J_SUBDAY(J_ADDDAY(D160,N160,1),1,1))))=0,J_SUBDAY(J_ADDDAY(D160,N160,1),1,1),IF((N160-NETWORKDAYS.INTL(J_GregorianDate(D160,1),J_GregorianDate(J_SUBDAY(J_ADDDAY(D160,N160,1),1,1),1),16,1)-SUMIFS(Holieday[ok],Holieday[date],CONCATENATE("&gt;","=",D160),Holieday[date],CONCATENATE("&lt;","=",J_SUBDAY(J_ADDDAY(D160,N160,1),1,1)))+SUMIFS(Holieday[Friday],Holieday[date],CONCATENATE("&gt;","=",D160),Holieday[date],CONCATENATE("&lt;","=",J_SUBDAY(J_ADDDAY(D160,N160,1),1,1))))=1,J_SUBDAY(J_ADDDAY(D160,N160+1,1),1,1),IF((N160-NETWORKDAYS.INTL(J_GregorianDate(D160,1),J_GregorianDate(J_SUBDAY(J_ADDDAY(D160,N160,1),1,1),1),16,1)-SUMIFS(Holieday[ok],Holieday[date],CONCATENATE("&gt;","=",D160),Holieday[date],CONCATENATE("&lt;","=",J_SUBDAY(J_ADDDAY(D160,N160,1),1,1)))+SUMIFS(Holieday[Friday],Holieday[date],CONCATENATE("&gt;","=",D160),Holieday[date],CONCATENATE("&lt;","=",J_SUBDAY(J_ADDDAY(D160,N160,1),1,1))))=2,J_SUBDAY(J_ADDDAY(D160,N160+2,1),1,1),J_SUBDAY(J_ADDDAY(D160,N160+3,1),1,1)))))</f>
        <v>1398/09/17</v>
      </c>
      <c r="G160" s="3">
        <f t="shared" si="50"/>
        <v>13980917</v>
      </c>
      <c r="H160" s="119"/>
      <c r="I160" s="120">
        <v>7.1</v>
      </c>
      <c r="J160" s="10">
        <f>j_WEEKDAY(D160,2)</f>
        <v>2</v>
      </c>
      <c r="K160" s="22">
        <f t="shared" si="53"/>
        <v>0</v>
      </c>
      <c r="L160" s="9">
        <f t="shared" si="54"/>
        <v>0</v>
      </c>
      <c r="M160" s="121">
        <v>0</v>
      </c>
      <c r="N160" s="118">
        <v>0</v>
      </c>
      <c r="O160" s="11">
        <f t="shared" si="57"/>
        <v>0</v>
      </c>
      <c r="P160" s="11">
        <f>VALUE(J_normdate(J_ADDDAY($D160,$O160,1)))</f>
        <v>13980918</v>
      </c>
      <c r="Q160" s="10">
        <f t="shared" si="58"/>
        <v>0</v>
      </c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AH160" s="8"/>
      <c r="AI160" s="8"/>
      <c r="AJ160" s="8"/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 s="8"/>
      <c r="BK160" s="8"/>
      <c r="BL160" s="8"/>
      <c r="BM160" s="8"/>
      <c r="BN160" s="8"/>
      <c r="BO160" s="8"/>
      <c r="BP160" s="8"/>
      <c r="BQ160" s="8"/>
      <c r="BR160" s="8"/>
      <c r="BS160" s="8"/>
      <c r="BT160" s="8"/>
      <c r="BU160" s="8"/>
      <c r="BV160" s="8"/>
      <c r="BW160" s="8"/>
      <c r="BX160" s="8"/>
      <c r="BY160" s="8"/>
      <c r="BZ160" s="8"/>
      <c r="CA160" s="8"/>
      <c r="CB160" s="8"/>
      <c r="CC160" s="8"/>
      <c r="CD160" s="8"/>
      <c r="CE160" s="8"/>
      <c r="CF160" s="8"/>
      <c r="CG160" s="8"/>
      <c r="CH160" s="8"/>
      <c r="CI160" s="8"/>
      <c r="CJ160" s="8"/>
      <c r="CK160" s="8"/>
      <c r="CL160" s="8"/>
      <c r="CM160" s="8"/>
      <c r="CN160" s="8"/>
      <c r="CO160" s="8"/>
      <c r="CP160" s="8"/>
      <c r="CQ160" s="8"/>
      <c r="CR160" s="8"/>
      <c r="CS160" s="8"/>
      <c r="CT160" s="8"/>
      <c r="CU160" s="8"/>
      <c r="CV160" s="8"/>
      <c r="CW160" s="8"/>
      <c r="CX160" s="8"/>
      <c r="CY160" s="8"/>
      <c r="CZ160" s="8"/>
      <c r="DA160" s="8"/>
      <c r="DB160" s="8"/>
      <c r="DC160" s="8"/>
      <c r="DD160" s="8"/>
      <c r="DE160" s="8"/>
      <c r="DF160" s="8"/>
      <c r="DG160" s="8"/>
      <c r="DH160" s="8"/>
      <c r="DI160" s="8"/>
      <c r="DJ160" s="8"/>
      <c r="DK160" s="8"/>
      <c r="DL160" s="8"/>
      <c r="DM160" s="8"/>
      <c r="DN160" s="8"/>
      <c r="DO160" s="8"/>
      <c r="DP160" s="8"/>
      <c r="DQ160" s="8"/>
      <c r="DR160" s="8"/>
      <c r="DS160" s="8"/>
      <c r="DT160" s="8"/>
      <c r="DU160" s="8"/>
      <c r="DV160" s="8"/>
      <c r="DW160" s="8"/>
      <c r="DX160" s="8"/>
      <c r="DY160" s="8"/>
      <c r="DZ160" s="8"/>
      <c r="EA160" s="8"/>
      <c r="EB160" s="8"/>
      <c r="EC160" s="8"/>
      <c r="ED160" s="8"/>
      <c r="EE160" s="8"/>
      <c r="EF160" s="8"/>
      <c r="EG160" s="8"/>
      <c r="EH160" s="8"/>
      <c r="EI160" s="8"/>
      <c r="EJ160" s="8"/>
      <c r="EK160" s="8"/>
      <c r="EL160" s="8"/>
      <c r="EM160" s="8"/>
      <c r="EN160" s="8"/>
      <c r="EO160" s="8"/>
      <c r="EP160" s="8"/>
      <c r="EQ160" s="8"/>
      <c r="ER160" s="8"/>
      <c r="ES160" s="8"/>
      <c r="ET160" s="8"/>
      <c r="EU160" s="8"/>
      <c r="EV160" s="8"/>
      <c r="EW160" s="8"/>
      <c r="EX160" s="8"/>
      <c r="EY160" s="8"/>
      <c r="EZ160" s="8"/>
      <c r="FA160" s="8"/>
      <c r="FB160" s="8"/>
      <c r="FC160" s="8"/>
      <c r="FD160" s="8"/>
      <c r="FE160" s="8"/>
      <c r="FF160" s="8"/>
      <c r="FG160" s="8"/>
      <c r="FH160" s="8"/>
      <c r="FI160" s="8"/>
      <c r="FJ160" s="8"/>
      <c r="FK160" s="8"/>
      <c r="FL160" s="8"/>
      <c r="FM160" s="8"/>
      <c r="FN160" s="8"/>
      <c r="FO160" s="8"/>
      <c r="FP160" s="8"/>
      <c r="FQ160" s="8"/>
      <c r="FR160" s="8"/>
      <c r="FS160" s="8"/>
      <c r="FT160" s="8"/>
      <c r="FU160" s="8"/>
      <c r="FV160" s="8"/>
      <c r="FW160" s="8"/>
      <c r="FX160" s="8"/>
      <c r="FY160" s="8"/>
      <c r="FZ160" s="8"/>
      <c r="GA160" s="8"/>
      <c r="GB160" s="8"/>
      <c r="GC160" s="8"/>
      <c r="GD160" s="8"/>
      <c r="GE160" s="8"/>
      <c r="GF160" s="8"/>
      <c r="GG160" s="8"/>
      <c r="GH160" s="8"/>
      <c r="GI160" s="8"/>
      <c r="GJ160" s="8"/>
      <c r="GK160" s="8"/>
      <c r="GL160" s="8"/>
      <c r="GM160" s="8"/>
      <c r="GN160" s="8"/>
      <c r="GO160" s="8"/>
      <c r="GP160" s="8"/>
      <c r="GQ160" s="8"/>
      <c r="GR160" s="8"/>
      <c r="GS160" s="8"/>
      <c r="GT160" s="8"/>
      <c r="GU160" s="8"/>
      <c r="GV160" s="8"/>
      <c r="GW160" s="8"/>
      <c r="GX160" s="8"/>
      <c r="GY160" s="8"/>
      <c r="GZ160" s="8"/>
      <c r="HA160" s="8"/>
      <c r="HB160" s="8"/>
      <c r="HC160" s="8"/>
      <c r="HD160" s="8"/>
      <c r="HE160" s="8"/>
      <c r="HF160" s="8"/>
      <c r="HG160" s="8"/>
      <c r="HH160" s="8"/>
      <c r="HI160" s="8"/>
      <c r="HJ160" s="8"/>
      <c r="HK160" s="8"/>
      <c r="HL160" s="8"/>
      <c r="HM160" s="8"/>
      <c r="HN160" s="8"/>
      <c r="HO160" s="8"/>
      <c r="HP160" s="8"/>
      <c r="HQ160" s="8"/>
      <c r="HR160" s="8"/>
      <c r="HS160" s="8"/>
      <c r="HT160" s="8"/>
      <c r="HU160" s="8"/>
      <c r="HV160" s="8"/>
      <c r="HW160" s="8"/>
      <c r="HX160" s="8"/>
      <c r="HY160" s="8"/>
      <c r="HZ160" s="8"/>
      <c r="IA160" s="8"/>
      <c r="IB160" s="8"/>
      <c r="IC160" s="8"/>
      <c r="ID160" s="8"/>
      <c r="IE160" s="8"/>
      <c r="IF160" s="8"/>
      <c r="IG160" s="8"/>
      <c r="IH160" s="8"/>
      <c r="II160" s="8"/>
      <c r="IJ160" s="8"/>
      <c r="IK160" s="8"/>
      <c r="IL160" s="8"/>
      <c r="IM160" s="8"/>
      <c r="IN160" s="8"/>
      <c r="IO160" s="8"/>
      <c r="IP160" s="8"/>
      <c r="IQ160" s="8"/>
      <c r="IR160" s="8"/>
      <c r="IS160" s="8"/>
      <c r="IT160" s="8"/>
      <c r="IU160" s="8"/>
      <c r="IV160" s="8"/>
      <c r="IW160" s="8"/>
      <c r="IX160" s="8"/>
      <c r="JA160" s="123"/>
      <c r="JB160" s="123"/>
      <c r="JC160" s="123"/>
      <c r="JD160" s="70">
        <f>SUM((TEXT(JA160,"[M]")/60)*'Income Person-hours'!$D$3,(TEXT(JB160,"[M]")/60)*'Income Person-hours'!$D$4,(TEXT(JC160,"[M]")/60)*'Income Person-hours'!$D$5)</f>
        <v>0</v>
      </c>
    </row>
    <row r="161" spans="1:264 16383:16384" s="12" customFormat="1" ht="15.75" hidden="1" x14ac:dyDescent="0.45">
      <c r="A161" s="209">
        <v>7.8</v>
      </c>
      <c r="B161" s="116"/>
      <c r="C161" s="117"/>
      <c r="D161" s="13" t="str">
        <f>IF(OR(j_WEEKDAY(J_ADDDAY(VLOOKUP(I161,A:F,6,FALSE),H161,1),0)=6,SUMIFS(Holieday[ok],Holieday[date],J_ADDDAY(VLOOKUP(I161,A:F,6,FALSE),H161,1)))=FALSE(),J_ADDDAY(VLOOKUP(I161,A:F,6,FALSE),H161,1),IF(OR(j_WEEKDAY(J_ADDDAY(VLOOKUP(I161,A:F,6,FALSE),H161+1,1),0)=6,SUMIFS(Holieday[ok],Holieday[date],J_ADDDAY(VLOOKUP(I161,A:F,6,FALSE),H161+1,1)))=FALSE(),J_ADDDAY(VLOOKUP(I161,A:F,6,FALSE),H161+1,1),IF(OR(j_WEEKDAY(J_ADDDAY(VLOOKUP(I161,A:F,6,FALSE),H161+2,1),0)=6,SUMIFS(Holieday[ok],Holieday[date],J_ADDDAY(VLOOKUP(I161,A:F,6,FALSE),H161+2,1)))=FALSE(),J_ADDDAY(VLOOKUP(I161,A:F,6,FALSE),H161+2,1),IF(OR(j_WEEKDAY(J_ADDDAY(VLOOKUP(I161,A:F,6,FALSE),H161+3,1),0)=6,SUMIFS(Holieday[ok],Holieday[date],J_ADDDAY(VLOOKUP(I161,A:F,6,FALSE),H161+3,1)))=FALSE(),J_ADDDAY(VLOOKUP(I161,A:F,6,FALSE),H161+3,1),IF(OR(j_WEEKDAY(J_ADDDAY(VLOOKUP(I161,A:F,6,FALSE),H161+4,1),0)=6,SUMIFS(Holieday[ok],Holieday[date],J_ADDDAY(VLOOKUP(I161,A:F,6,FALSE),H161+4,1)))=FALSE(),J_ADDDAY(VLOOKUP(I161,A:F,6,FALSE),H161+4,1),J_ADDDAY(VLOOKUP(I161,A:F,6,FALSE),H161+5,1))))))</f>
        <v>1398/09/18</v>
      </c>
      <c r="E161" s="2">
        <f t="shared" si="49"/>
        <v>13980918</v>
      </c>
      <c r="F161" s="13" t="str">
        <f>IF(N161=0,J_SUBDAY(D161,1,1),IF((N161-NETWORKDAYS.INTL(J_GregorianDate(D161,1),J_GregorianDate(J_SUBDAY(J_ADDDAY(D161,N161,1),1,1),1),16,1)-SUMIFS(Holieday[ok],Holieday[date],CONCATENATE("&gt;","=",D161),Holieday[date],CONCATENATE("&lt;","=",J_SUBDAY(J_ADDDAY(D161,N161,1),1,1)))+SUMIFS(Holieday[Friday],Holieday[date],CONCATENATE("&gt;","=",D161),Holieday[date],CONCATENATE("&lt;","=",J_SUBDAY(J_ADDDAY(D161,N161,1),1,1))))=0,J_SUBDAY(J_ADDDAY(D161,N161,1),1,1),IF((N161-NETWORKDAYS.INTL(J_GregorianDate(D161,1),J_GregorianDate(J_SUBDAY(J_ADDDAY(D161,N161,1),1,1),1),16,1)-SUMIFS(Holieday[ok],Holieday[date],CONCATENATE("&gt;","=",D161),Holieday[date],CONCATENATE("&lt;","=",J_SUBDAY(J_ADDDAY(D161,N161,1),1,1)))+SUMIFS(Holieday[Friday],Holieday[date],CONCATENATE("&gt;","=",D161),Holieday[date],CONCATENATE("&lt;","=",J_SUBDAY(J_ADDDAY(D161,N161,1),1,1))))=1,J_SUBDAY(J_ADDDAY(D161,N161+1,1),1,1),IF((N161-NETWORKDAYS.INTL(J_GregorianDate(D161,1),J_GregorianDate(J_SUBDAY(J_ADDDAY(D161,N161,1),1,1),1),16,1)-SUMIFS(Holieday[ok],Holieday[date],CONCATENATE("&gt;","=",D161),Holieday[date],CONCATENATE("&lt;","=",J_SUBDAY(J_ADDDAY(D161,N161,1),1,1)))+SUMIFS(Holieday[Friday],Holieday[date],CONCATENATE("&gt;","=",D161),Holieday[date],CONCATENATE("&lt;","=",J_SUBDAY(J_ADDDAY(D161,N161,1),1,1))))=2,J_SUBDAY(J_ADDDAY(D161,N161+2,1),1,1),J_SUBDAY(J_ADDDAY(D161,N161+3,1),1,1)))))</f>
        <v>1398/09/17</v>
      </c>
      <c r="G161" s="3">
        <f t="shared" si="50"/>
        <v>13980917</v>
      </c>
      <c r="H161" s="119"/>
      <c r="I161" s="120">
        <v>7.1</v>
      </c>
      <c r="J161" s="10">
        <f>j_WEEKDAY(D161,2)</f>
        <v>2</v>
      </c>
      <c r="K161" s="22">
        <f t="shared" si="53"/>
        <v>0</v>
      </c>
      <c r="L161" s="9">
        <f t="shared" si="54"/>
        <v>0</v>
      </c>
      <c r="M161" s="121">
        <v>0</v>
      </c>
      <c r="N161" s="118">
        <v>0</v>
      </c>
      <c r="O161" s="11">
        <f t="shared" si="57"/>
        <v>0</v>
      </c>
      <c r="P161" s="11">
        <f>VALUE(J_normdate(J_ADDDAY($D161,$O161,1)))</f>
        <v>13980918</v>
      </c>
      <c r="Q161" s="10">
        <f t="shared" si="58"/>
        <v>0</v>
      </c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 s="8"/>
      <c r="BK161" s="8"/>
      <c r="BL161" s="8"/>
      <c r="BM161" s="8"/>
      <c r="BN161" s="8"/>
      <c r="BO161" s="8"/>
      <c r="BP161" s="8"/>
      <c r="BQ161" s="8"/>
      <c r="BR161" s="8"/>
      <c r="BS161" s="8"/>
      <c r="BT161" s="8"/>
      <c r="BU161" s="8"/>
      <c r="BV161" s="8"/>
      <c r="BW161" s="8"/>
      <c r="BX161" s="8"/>
      <c r="BY161" s="8"/>
      <c r="BZ161" s="8"/>
      <c r="CA161" s="8"/>
      <c r="CB161" s="8"/>
      <c r="CC161" s="8"/>
      <c r="CD161" s="8"/>
      <c r="CE161" s="8"/>
      <c r="CF161" s="8"/>
      <c r="CG161" s="8"/>
      <c r="CH161" s="8"/>
      <c r="CI161" s="8"/>
      <c r="CJ161" s="8"/>
      <c r="CK161" s="8"/>
      <c r="CL161" s="8"/>
      <c r="CM161" s="8"/>
      <c r="CN161" s="8"/>
      <c r="CO161" s="8"/>
      <c r="CP161" s="8"/>
      <c r="CQ161" s="8"/>
      <c r="CR161" s="8"/>
      <c r="CS161" s="8"/>
      <c r="CT161" s="8"/>
      <c r="CU161" s="8"/>
      <c r="CV161" s="8"/>
      <c r="CW161" s="8"/>
      <c r="CX161" s="8"/>
      <c r="CY161" s="8"/>
      <c r="CZ161" s="8"/>
      <c r="DA161" s="8"/>
      <c r="DB161" s="8"/>
      <c r="DC161" s="8"/>
      <c r="DD161" s="8"/>
      <c r="DE161" s="8"/>
      <c r="DF161" s="8"/>
      <c r="DG161" s="8"/>
      <c r="DH161" s="8"/>
      <c r="DI161" s="8"/>
      <c r="DJ161" s="8"/>
      <c r="DK161" s="8"/>
      <c r="DL161" s="8"/>
      <c r="DM161" s="8"/>
      <c r="DN161" s="8"/>
      <c r="DO161" s="8"/>
      <c r="DP161" s="8"/>
      <c r="DQ161" s="8"/>
      <c r="DR161" s="8"/>
      <c r="DS161" s="8"/>
      <c r="DT161" s="8"/>
      <c r="DU161" s="8"/>
      <c r="DV161" s="8"/>
      <c r="DW161" s="8"/>
      <c r="DX161" s="8"/>
      <c r="DY161" s="8"/>
      <c r="DZ161" s="8"/>
      <c r="EA161" s="8"/>
      <c r="EB161" s="8"/>
      <c r="EC161" s="8"/>
      <c r="ED161" s="8"/>
      <c r="EE161" s="8"/>
      <c r="EF161" s="8"/>
      <c r="EG161" s="8"/>
      <c r="EH161" s="8"/>
      <c r="EI161" s="8"/>
      <c r="EJ161" s="8"/>
      <c r="EK161" s="8"/>
      <c r="EL161" s="8"/>
      <c r="EM161" s="8"/>
      <c r="EN161" s="8"/>
      <c r="EO161" s="8"/>
      <c r="EP161" s="8"/>
      <c r="EQ161" s="8"/>
      <c r="ER161" s="8"/>
      <c r="ES161" s="8"/>
      <c r="ET161" s="8"/>
      <c r="EU161" s="8"/>
      <c r="EV161" s="8"/>
      <c r="EW161" s="8"/>
      <c r="EX161" s="8"/>
      <c r="EY161" s="8"/>
      <c r="EZ161" s="8"/>
      <c r="FA161" s="8"/>
      <c r="FB161" s="8"/>
      <c r="FC161" s="8"/>
      <c r="FD161" s="8"/>
      <c r="FE161" s="8"/>
      <c r="FF161" s="8"/>
      <c r="FG161" s="8"/>
      <c r="FH161" s="8"/>
      <c r="FI161" s="8"/>
      <c r="FJ161" s="8"/>
      <c r="FK161" s="8"/>
      <c r="FL161" s="8"/>
      <c r="FM161" s="8"/>
      <c r="FN161" s="8"/>
      <c r="FO161" s="8"/>
      <c r="FP161" s="8"/>
      <c r="FQ161" s="8"/>
      <c r="FR161" s="8"/>
      <c r="FS161" s="8"/>
      <c r="FT161" s="8"/>
      <c r="FU161" s="8"/>
      <c r="FV161" s="8"/>
      <c r="FW161" s="8"/>
      <c r="FX161" s="8"/>
      <c r="FY161" s="8"/>
      <c r="FZ161" s="8"/>
      <c r="GA161" s="8"/>
      <c r="GB161" s="8"/>
      <c r="GC161" s="8"/>
      <c r="GD161" s="8"/>
      <c r="GE161" s="8"/>
      <c r="GF161" s="8"/>
      <c r="GG161" s="8"/>
      <c r="GH161" s="8"/>
      <c r="GI161" s="8"/>
      <c r="GJ161" s="8"/>
      <c r="GK161" s="8"/>
      <c r="GL161" s="8"/>
      <c r="GM161" s="8"/>
      <c r="GN161" s="8"/>
      <c r="GO161" s="8"/>
      <c r="GP161" s="8"/>
      <c r="GQ161" s="8"/>
      <c r="GR161" s="8"/>
      <c r="GS161" s="8"/>
      <c r="GT161" s="8"/>
      <c r="GU161" s="8"/>
      <c r="GV161" s="8"/>
      <c r="GW161" s="8"/>
      <c r="GX161" s="8"/>
      <c r="GY161" s="8"/>
      <c r="GZ161" s="8"/>
      <c r="HA161" s="8"/>
      <c r="HB161" s="8"/>
      <c r="HC161" s="8"/>
      <c r="HD161" s="8"/>
      <c r="HE161" s="8"/>
      <c r="HF161" s="8"/>
      <c r="HG161" s="8"/>
      <c r="HH161" s="8"/>
      <c r="HI161" s="8"/>
      <c r="HJ161" s="8"/>
      <c r="HK161" s="8"/>
      <c r="HL161" s="8"/>
      <c r="HM161" s="8"/>
      <c r="HN161" s="8"/>
      <c r="HO161" s="8"/>
      <c r="HP161" s="8"/>
      <c r="HQ161" s="8"/>
      <c r="HR161" s="8"/>
      <c r="HS161" s="8"/>
      <c r="HT161" s="8"/>
      <c r="HU161" s="8"/>
      <c r="HV161" s="8"/>
      <c r="HW161" s="8"/>
      <c r="HX161" s="8"/>
      <c r="HY161" s="8"/>
      <c r="HZ161" s="8"/>
      <c r="IA161" s="8"/>
      <c r="IB161" s="8"/>
      <c r="IC161" s="8"/>
      <c r="ID161" s="8"/>
      <c r="IE161" s="8"/>
      <c r="IF161" s="8"/>
      <c r="IG161" s="8"/>
      <c r="IH161" s="8"/>
      <c r="II161" s="8"/>
      <c r="IJ161" s="8"/>
      <c r="IK161" s="8"/>
      <c r="IL161" s="8"/>
      <c r="IM161" s="8"/>
      <c r="IN161" s="8"/>
      <c r="IO161" s="8"/>
      <c r="IP161" s="8"/>
      <c r="IQ161" s="8"/>
      <c r="IR161" s="8"/>
      <c r="IS161" s="8"/>
      <c r="IT161" s="8"/>
      <c r="IU161" s="8"/>
      <c r="IV161" s="8"/>
      <c r="IW161" s="8"/>
      <c r="IX161" s="8"/>
      <c r="JA161" s="123"/>
      <c r="JB161" s="123"/>
      <c r="JC161" s="123"/>
      <c r="JD161" s="70">
        <f>SUM((TEXT(JA161,"[M]")/60)*'Income Person-hours'!$D$3,(TEXT(JB161,"[M]")/60)*'Income Person-hours'!$D$4,(TEXT(JC161,"[M]")/60)*'Income Person-hours'!$D$5)</f>
        <v>0</v>
      </c>
    </row>
    <row r="162" spans="1:264 16383:16384" s="12" customFormat="1" ht="15.75" hidden="1" x14ac:dyDescent="0.45">
      <c r="A162" s="209">
        <v>7.9</v>
      </c>
      <c r="B162" s="116"/>
      <c r="C162" s="117"/>
      <c r="D162" s="13" t="str">
        <f>IF(OR(j_WEEKDAY(J_ADDDAY(VLOOKUP(I162,A:F,6,FALSE),H162,1),0)=6,SUMIFS(Holieday[ok],Holieday[date],J_ADDDAY(VLOOKUP(I162,A:F,6,FALSE),H162,1)))=FALSE(),J_ADDDAY(VLOOKUP(I162,A:F,6,FALSE),H162,1),IF(OR(j_WEEKDAY(J_ADDDAY(VLOOKUP(I162,A:F,6,FALSE),H162+1,1),0)=6,SUMIFS(Holieday[ok],Holieday[date],J_ADDDAY(VLOOKUP(I162,A:F,6,FALSE),H162+1,1)))=FALSE(),J_ADDDAY(VLOOKUP(I162,A:F,6,FALSE),H162+1,1),IF(OR(j_WEEKDAY(J_ADDDAY(VLOOKUP(I162,A:F,6,FALSE),H162+2,1),0)=6,SUMIFS(Holieday[ok],Holieday[date],J_ADDDAY(VLOOKUP(I162,A:F,6,FALSE),H162+2,1)))=FALSE(),J_ADDDAY(VLOOKUP(I162,A:F,6,FALSE),H162+2,1),IF(OR(j_WEEKDAY(J_ADDDAY(VLOOKUP(I162,A:F,6,FALSE),H162+3,1),0)=6,SUMIFS(Holieday[ok],Holieday[date],J_ADDDAY(VLOOKUP(I162,A:F,6,FALSE),H162+3,1)))=FALSE(),J_ADDDAY(VLOOKUP(I162,A:F,6,FALSE),H162+3,1),IF(OR(j_WEEKDAY(J_ADDDAY(VLOOKUP(I162,A:F,6,FALSE),H162+4,1),0)=6,SUMIFS(Holieday[ok],Holieday[date],J_ADDDAY(VLOOKUP(I162,A:F,6,FALSE),H162+4,1)))=FALSE(),J_ADDDAY(VLOOKUP(I162,A:F,6,FALSE),H162+4,1),J_ADDDAY(VLOOKUP(I162,A:F,6,FALSE),H162+5,1))))))</f>
        <v>1398/09/18</v>
      </c>
      <c r="E162" s="2">
        <f t="shared" si="49"/>
        <v>13980918</v>
      </c>
      <c r="F162" s="13" t="str">
        <f>IF(N162=0,J_SUBDAY(D162,1,1),IF((N162-NETWORKDAYS.INTL(J_GregorianDate(D162,1),J_GregorianDate(J_SUBDAY(J_ADDDAY(D162,N162,1),1,1),1),16,1)-SUMIFS(Holieday[ok],Holieday[date],CONCATENATE("&gt;","=",D162),Holieday[date],CONCATENATE("&lt;","=",J_SUBDAY(J_ADDDAY(D162,N162,1),1,1)))+SUMIFS(Holieday[Friday],Holieday[date],CONCATENATE("&gt;","=",D162),Holieday[date],CONCATENATE("&lt;","=",J_SUBDAY(J_ADDDAY(D162,N162,1),1,1))))=0,J_SUBDAY(J_ADDDAY(D162,N162,1),1,1),IF((N162-NETWORKDAYS.INTL(J_GregorianDate(D162,1),J_GregorianDate(J_SUBDAY(J_ADDDAY(D162,N162,1),1,1),1),16,1)-SUMIFS(Holieday[ok],Holieday[date],CONCATENATE("&gt;","=",D162),Holieday[date],CONCATENATE("&lt;","=",J_SUBDAY(J_ADDDAY(D162,N162,1),1,1)))+SUMIFS(Holieday[Friday],Holieday[date],CONCATENATE("&gt;","=",D162),Holieday[date],CONCATENATE("&lt;","=",J_SUBDAY(J_ADDDAY(D162,N162,1),1,1))))=1,J_SUBDAY(J_ADDDAY(D162,N162+1,1),1,1),IF((N162-NETWORKDAYS.INTL(J_GregorianDate(D162,1),J_GregorianDate(J_SUBDAY(J_ADDDAY(D162,N162,1),1,1),1),16,1)-SUMIFS(Holieday[ok],Holieday[date],CONCATENATE("&gt;","=",D162),Holieday[date],CONCATENATE("&lt;","=",J_SUBDAY(J_ADDDAY(D162,N162,1),1,1)))+SUMIFS(Holieday[Friday],Holieday[date],CONCATENATE("&gt;","=",D162),Holieday[date],CONCATENATE("&lt;","=",J_SUBDAY(J_ADDDAY(D162,N162,1),1,1))))=2,J_SUBDAY(J_ADDDAY(D162,N162+2,1),1,1),J_SUBDAY(J_ADDDAY(D162,N162+3,1),1,1)))))</f>
        <v>1398/09/17</v>
      </c>
      <c r="G162" s="3">
        <f t="shared" si="50"/>
        <v>13980917</v>
      </c>
      <c r="H162" s="119"/>
      <c r="I162" s="120">
        <v>7.1</v>
      </c>
      <c r="J162" s="10">
        <f>j_WEEKDAY(D162,2)</f>
        <v>2</v>
      </c>
      <c r="K162" s="22">
        <f t="shared" si="53"/>
        <v>0</v>
      </c>
      <c r="L162" s="9">
        <f t="shared" si="54"/>
        <v>0</v>
      </c>
      <c r="M162" s="121">
        <v>0</v>
      </c>
      <c r="N162" s="118">
        <v>0</v>
      </c>
      <c r="O162" s="11">
        <f t="shared" si="57"/>
        <v>0</v>
      </c>
      <c r="P162" s="11">
        <f>VALUE(J_normdate(J_ADDDAY($D162,$O162,1)))</f>
        <v>13980918</v>
      </c>
      <c r="Q162" s="10">
        <f t="shared" si="58"/>
        <v>0</v>
      </c>
      <c r="R162" s="8"/>
      <c r="S162" s="8"/>
      <c r="T162" s="8"/>
      <c r="U162" s="8"/>
      <c r="V162" s="8"/>
      <c r="W162" s="8"/>
      <c r="X162" s="8"/>
      <c r="Y162" s="8"/>
      <c r="Z162" s="8"/>
      <c r="AA162" s="8"/>
      <c r="AB162" s="8"/>
      <c r="AC162" s="8"/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 s="8"/>
      <c r="BK162" s="8"/>
      <c r="BL162" s="8"/>
      <c r="BM162" s="8"/>
      <c r="BN162" s="8"/>
      <c r="BO162" s="8"/>
      <c r="BP162" s="8"/>
      <c r="BQ162" s="8"/>
      <c r="BR162" s="8"/>
      <c r="BS162" s="8"/>
      <c r="BT162" s="8"/>
      <c r="BU162" s="8"/>
      <c r="BV162" s="8"/>
      <c r="BW162" s="8"/>
      <c r="BX162" s="8"/>
      <c r="BY162" s="8"/>
      <c r="BZ162" s="8"/>
      <c r="CA162" s="8"/>
      <c r="CB162" s="8"/>
      <c r="CC162" s="8"/>
      <c r="CD162" s="8"/>
      <c r="CE162" s="8"/>
      <c r="CF162" s="8"/>
      <c r="CG162" s="8"/>
      <c r="CH162" s="8"/>
      <c r="CI162" s="8"/>
      <c r="CJ162" s="8"/>
      <c r="CK162" s="8"/>
      <c r="CL162" s="8"/>
      <c r="CM162" s="8"/>
      <c r="CN162" s="8"/>
      <c r="CO162" s="8"/>
      <c r="CP162" s="8"/>
      <c r="CQ162" s="8"/>
      <c r="CR162" s="8"/>
      <c r="CS162" s="8"/>
      <c r="CT162" s="8"/>
      <c r="CU162" s="8"/>
      <c r="CV162" s="8"/>
      <c r="CW162" s="8"/>
      <c r="CX162" s="8"/>
      <c r="CY162" s="8"/>
      <c r="CZ162" s="8"/>
      <c r="DA162" s="8"/>
      <c r="DB162" s="8"/>
      <c r="DC162" s="8"/>
      <c r="DD162" s="8"/>
      <c r="DE162" s="8"/>
      <c r="DF162" s="8"/>
      <c r="DG162" s="8"/>
      <c r="DH162" s="8"/>
      <c r="DI162" s="8"/>
      <c r="DJ162" s="8"/>
      <c r="DK162" s="8"/>
      <c r="DL162" s="8"/>
      <c r="DM162" s="8"/>
      <c r="DN162" s="8"/>
      <c r="DO162" s="8"/>
      <c r="DP162" s="8"/>
      <c r="DQ162" s="8"/>
      <c r="DR162" s="8"/>
      <c r="DS162" s="8"/>
      <c r="DT162" s="8"/>
      <c r="DU162" s="8"/>
      <c r="DV162" s="8"/>
      <c r="DW162" s="8"/>
      <c r="DX162" s="8"/>
      <c r="DY162" s="8"/>
      <c r="DZ162" s="8"/>
      <c r="EA162" s="8"/>
      <c r="EB162" s="8"/>
      <c r="EC162" s="8"/>
      <c r="ED162" s="8"/>
      <c r="EE162" s="8"/>
      <c r="EF162" s="8"/>
      <c r="EG162" s="8"/>
      <c r="EH162" s="8"/>
      <c r="EI162" s="8"/>
      <c r="EJ162" s="8"/>
      <c r="EK162" s="8"/>
      <c r="EL162" s="8"/>
      <c r="EM162" s="8"/>
      <c r="EN162" s="8"/>
      <c r="EO162" s="8"/>
      <c r="EP162" s="8"/>
      <c r="EQ162" s="8"/>
      <c r="ER162" s="8"/>
      <c r="ES162" s="8"/>
      <c r="ET162" s="8"/>
      <c r="EU162" s="8"/>
      <c r="EV162" s="8"/>
      <c r="EW162" s="8"/>
      <c r="EX162" s="8"/>
      <c r="EY162" s="8"/>
      <c r="EZ162" s="8"/>
      <c r="FA162" s="8"/>
      <c r="FB162" s="8"/>
      <c r="FC162" s="8"/>
      <c r="FD162" s="8"/>
      <c r="FE162" s="8"/>
      <c r="FF162" s="8"/>
      <c r="FG162" s="8"/>
      <c r="FH162" s="8"/>
      <c r="FI162" s="8"/>
      <c r="FJ162" s="8"/>
      <c r="FK162" s="8"/>
      <c r="FL162" s="8"/>
      <c r="FM162" s="8"/>
      <c r="FN162" s="8"/>
      <c r="FO162" s="8"/>
      <c r="FP162" s="8"/>
      <c r="FQ162" s="8"/>
      <c r="FR162" s="8"/>
      <c r="FS162" s="8"/>
      <c r="FT162" s="8"/>
      <c r="FU162" s="8"/>
      <c r="FV162" s="8"/>
      <c r="FW162" s="8"/>
      <c r="FX162" s="8"/>
      <c r="FY162" s="8"/>
      <c r="FZ162" s="8"/>
      <c r="GA162" s="8"/>
      <c r="GB162" s="8"/>
      <c r="GC162" s="8"/>
      <c r="GD162" s="8"/>
      <c r="GE162" s="8"/>
      <c r="GF162" s="8"/>
      <c r="GG162" s="8"/>
      <c r="GH162" s="8"/>
      <c r="GI162" s="8"/>
      <c r="GJ162" s="8"/>
      <c r="GK162" s="8"/>
      <c r="GL162" s="8"/>
      <c r="GM162" s="8"/>
      <c r="GN162" s="8"/>
      <c r="GO162" s="8"/>
      <c r="GP162" s="8"/>
      <c r="GQ162" s="8"/>
      <c r="GR162" s="8"/>
      <c r="GS162" s="8"/>
      <c r="GT162" s="8"/>
      <c r="GU162" s="8"/>
      <c r="GV162" s="8"/>
      <c r="GW162" s="8"/>
      <c r="GX162" s="8"/>
      <c r="GY162" s="8"/>
      <c r="GZ162" s="8"/>
      <c r="HA162" s="8"/>
      <c r="HB162" s="8"/>
      <c r="HC162" s="8"/>
      <c r="HD162" s="8"/>
      <c r="HE162" s="8"/>
      <c r="HF162" s="8"/>
      <c r="HG162" s="8"/>
      <c r="HH162" s="8"/>
      <c r="HI162" s="8"/>
      <c r="HJ162" s="8"/>
      <c r="HK162" s="8"/>
      <c r="HL162" s="8"/>
      <c r="HM162" s="8"/>
      <c r="HN162" s="8"/>
      <c r="HO162" s="8"/>
      <c r="HP162" s="8"/>
      <c r="HQ162" s="8"/>
      <c r="HR162" s="8"/>
      <c r="HS162" s="8"/>
      <c r="HT162" s="8"/>
      <c r="HU162" s="8"/>
      <c r="HV162" s="8"/>
      <c r="HW162" s="8"/>
      <c r="HX162" s="8"/>
      <c r="HY162" s="8"/>
      <c r="HZ162" s="8"/>
      <c r="IA162" s="8"/>
      <c r="IB162" s="8"/>
      <c r="IC162" s="8"/>
      <c r="ID162" s="8"/>
      <c r="IE162" s="8"/>
      <c r="IF162" s="8"/>
      <c r="IG162" s="8"/>
      <c r="IH162" s="8"/>
      <c r="II162" s="8"/>
      <c r="IJ162" s="8"/>
      <c r="IK162" s="8"/>
      <c r="IL162" s="8"/>
      <c r="IM162" s="8"/>
      <c r="IN162" s="8"/>
      <c r="IO162" s="8"/>
      <c r="IP162" s="8"/>
      <c r="IQ162" s="8"/>
      <c r="IR162" s="8"/>
      <c r="IS162" s="8"/>
      <c r="IT162" s="8"/>
      <c r="IU162" s="8"/>
      <c r="IV162" s="8"/>
      <c r="IW162" s="8"/>
      <c r="IX162" s="8"/>
      <c r="JA162" s="123"/>
      <c r="JB162" s="123"/>
      <c r="JC162" s="123"/>
      <c r="JD162" s="70">
        <f>SUM((TEXT(JA162,"[M]")/60)*'Income Person-hours'!$D$3,(TEXT(JB162,"[M]")/60)*'Income Person-hours'!$D$4,(TEXT(JC162,"[M]")/60)*'Income Person-hours'!$D$5)</f>
        <v>0</v>
      </c>
    </row>
    <row r="163" spans="1:264 16383:16384" s="12" customFormat="1" ht="15.75" hidden="1" x14ac:dyDescent="0.45">
      <c r="A163" s="32">
        <v>7.11</v>
      </c>
      <c r="B163" s="126"/>
      <c r="C163" s="117"/>
      <c r="D163" s="13" t="str">
        <f>IF(OR(j_WEEKDAY(J_ADDDAY(VLOOKUP(I163,A:F,6,FALSE),H163,1),0)=6,SUMIFS(Holieday[ok],Holieday[date],J_ADDDAY(VLOOKUP(I163,A:F,6,FALSE),H163,1)))=FALSE(),J_ADDDAY(VLOOKUP(I163,A:F,6,FALSE),H163,1),IF(OR(j_WEEKDAY(J_ADDDAY(VLOOKUP(I163,A:F,6,FALSE),H163+1,1),0)=6,SUMIFS(Holieday[ok],Holieday[date],J_ADDDAY(VLOOKUP(I163,A:F,6,FALSE),H163+1,1)))=FALSE(),J_ADDDAY(VLOOKUP(I163,A:F,6,FALSE),H163+1,1),IF(OR(j_WEEKDAY(J_ADDDAY(VLOOKUP(I163,A:F,6,FALSE),H163+2,1),0)=6,SUMIFS(Holieday[ok],Holieday[date],J_ADDDAY(VLOOKUP(I163,A:F,6,FALSE),H163+2,1)))=FALSE(),J_ADDDAY(VLOOKUP(I163,A:F,6,FALSE),H163+2,1),IF(OR(j_WEEKDAY(J_ADDDAY(VLOOKUP(I163,A:F,6,FALSE),H163+3,1),0)=6,SUMIFS(Holieday[ok],Holieday[date],J_ADDDAY(VLOOKUP(I163,A:F,6,FALSE),H163+3,1)))=FALSE(),J_ADDDAY(VLOOKUP(I163,A:F,6,FALSE),H163+3,1),IF(OR(j_WEEKDAY(J_ADDDAY(VLOOKUP(I163,A:F,6,FALSE),H163+4,1),0)=6,SUMIFS(Holieday[ok],Holieday[date],J_ADDDAY(VLOOKUP(I163,A:F,6,FALSE),H163+4,1)))=FALSE(),J_ADDDAY(VLOOKUP(I163,A:F,6,FALSE),H163+4,1),J_ADDDAY(VLOOKUP(I163,A:F,6,FALSE),H163+5,1))))))</f>
        <v>1398/09/18</v>
      </c>
      <c r="E163" s="2">
        <f t="shared" si="49"/>
        <v>13980918</v>
      </c>
      <c r="F163" s="13" t="str">
        <f>IF(N163=0,J_SUBDAY(D163,1,1),IF((N163-NETWORKDAYS.INTL(J_GregorianDate(D163,1),J_GregorianDate(J_SUBDAY(J_ADDDAY(D163,N163,1),1,1),1),16,1)-SUMIFS(Holieday[ok],Holieday[date],CONCATENATE("&gt;","=",D163),Holieday[date],CONCATENATE("&lt;","=",J_SUBDAY(J_ADDDAY(D163,N163,1),1,1)))+SUMIFS(Holieday[Friday],Holieday[date],CONCATENATE("&gt;","=",D163),Holieday[date],CONCATENATE("&lt;","=",J_SUBDAY(J_ADDDAY(D163,N163,1),1,1))))=0,J_SUBDAY(J_ADDDAY(D163,N163,1),1,1),IF((N163-NETWORKDAYS.INTL(J_GregorianDate(D163,1),J_GregorianDate(J_SUBDAY(J_ADDDAY(D163,N163,1),1,1),1),16,1)-SUMIFS(Holieday[ok],Holieday[date],CONCATENATE("&gt;","=",D163),Holieday[date],CONCATENATE("&lt;","=",J_SUBDAY(J_ADDDAY(D163,N163,1),1,1)))+SUMIFS(Holieday[Friday],Holieday[date],CONCATENATE("&gt;","=",D163),Holieday[date],CONCATENATE("&lt;","=",J_SUBDAY(J_ADDDAY(D163,N163,1),1,1))))=1,J_SUBDAY(J_ADDDAY(D163,N163+1,1),1,1),IF((N163-NETWORKDAYS.INTL(J_GregorianDate(D163,1),J_GregorianDate(J_SUBDAY(J_ADDDAY(D163,N163,1),1,1),1),16,1)-SUMIFS(Holieday[ok],Holieday[date],CONCATENATE("&gt;","=",D163),Holieday[date],CONCATENATE("&lt;","=",J_SUBDAY(J_ADDDAY(D163,N163,1),1,1)))+SUMIFS(Holieday[Friday],Holieday[date],CONCATENATE("&gt;","=",D163),Holieday[date],CONCATENATE("&lt;","=",J_SUBDAY(J_ADDDAY(D163,N163,1),1,1))))=2,J_SUBDAY(J_ADDDAY(D163,N163+2,1),1,1),J_SUBDAY(J_ADDDAY(D163,N163+3,1),1,1)))))</f>
        <v>1398/09/17</v>
      </c>
      <c r="G163" s="3">
        <f t="shared" si="50"/>
        <v>13980917</v>
      </c>
      <c r="H163" s="119"/>
      <c r="I163" s="120">
        <v>7.1</v>
      </c>
      <c r="J163" s="10">
        <f>j_WEEKDAY(D163,2)</f>
        <v>2</v>
      </c>
      <c r="K163" s="22">
        <f t="shared" si="53"/>
        <v>0</v>
      </c>
      <c r="L163" s="9">
        <f t="shared" si="54"/>
        <v>0</v>
      </c>
      <c r="M163" s="121">
        <v>0</v>
      </c>
      <c r="N163" s="118">
        <v>0</v>
      </c>
      <c r="O163" s="11">
        <f t="shared" si="57"/>
        <v>0</v>
      </c>
      <c r="P163" s="11">
        <f>VALUE(J_normdate(J_ADDDAY($D163,$O163,1)))</f>
        <v>13980918</v>
      </c>
      <c r="Q163" s="10">
        <f t="shared" si="58"/>
        <v>0</v>
      </c>
      <c r="R163" s="8"/>
      <c r="S163" s="8"/>
      <c r="T163" s="8"/>
      <c r="U163" s="8"/>
      <c r="V163" s="8"/>
      <c r="W163" s="8"/>
      <c r="X163" s="8"/>
      <c r="Y163" s="8"/>
      <c r="Z163" s="8"/>
      <c r="AA163" s="8"/>
      <c r="AB163" s="8"/>
      <c r="AC163" s="8"/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  <c r="AO163" s="8"/>
      <c r="AP163" s="8"/>
      <c r="AQ163" s="8"/>
      <c r="AR163" s="8"/>
      <c r="AS163" s="8"/>
      <c r="AT163" s="8"/>
      <c r="AU163" s="8"/>
      <c r="AV163" s="8"/>
      <c r="AW163" s="8"/>
      <c r="AX163" s="8"/>
      <c r="AY163" s="8"/>
      <c r="AZ163" s="8"/>
      <c r="BA163" s="8"/>
      <c r="BB163" s="8"/>
      <c r="BC163" s="8"/>
      <c r="BD163" s="8"/>
      <c r="BE163" s="8"/>
      <c r="BF163" s="8"/>
      <c r="BG163" s="8"/>
      <c r="BH163" s="8"/>
      <c r="BI163" s="8"/>
      <c r="BJ163" s="8"/>
      <c r="BK163" s="8"/>
      <c r="BL163" s="8"/>
      <c r="BM163" s="8"/>
      <c r="BN163" s="8"/>
      <c r="BO163" s="8"/>
      <c r="BP163" s="8"/>
      <c r="BQ163" s="8"/>
      <c r="BR163" s="8"/>
      <c r="BS163" s="8"/>
      <c r="BT163" s="8"/>
      <c r="BU163" s="8"/>
      <c r="BV163" s="8"/>
      <c r="BW163" s="8"/>
      <c r="BX163" s="8"/>
      <c r="BY163" s="8"/>
      <c r="BZ163" s="8"/>
      <c r="CA163" s="8"/>
      <c r="CB163" s="8"/>
      <c r="CC163" s="8"/>
      <c r="CD163" s="8"/>
      <c r="CE163" s="8"/>
      <c r="CF163" s="8"/>
      <c r="CG163" s="8"/>
      <c r="CH163" s="8"/>
      <c r="CI163" s="8"/>
      <c r="CJ163" s="8"/>
      <c r="CK163" s="8"/>
      <c r="CL163" s="8"/>
      <c r="CM163" s="8"/>
      <c r="CN163" s="8"/>
      <c r="CO163" s="8"/>
      <c r="CP163" s="8"/>
      <c r="CQ163" s="8"/>
      <c r="CR163" s="8"/>
      <c r="CS163" s="8"/>
      <c r="CT163" s="8"/>
      <c r="CU163" s="8"/>
      <c r="CV163" s="8"/>
      <c r="CW163" s="8"/>
      <c r="CX163" s="8"/>
      <c r="CY163" s="8"/>
      <c r="CZ163" s="8"/>
      <c r="DA163" s="8"/>
      <c r="DB163" s="8"/>
      <c r="DC163" s="8"/>
      <c r="DD163" s="8"/>
      <c r="DE163" s="8"/>
      <c r="DF163" s="8"/>
      <c r="DG163" s="8"/>
      <c r="DH163" s="8"/>
      <c r="DI163" s="8"/>
      <c r="DJ163" s="8"/>
      <c r="DK163" s="8"/>
      <c r="DL163" s="8"/>
      <c r="DM163" s="8"/>
      <c r="DN163" s="8"/>
      <c r="DO163" s="8"/>
      <c r="DP163" s="8"/>
      <c r="DQ163" s="8"/>
      <c r="DR163" s="8"/>
      <c r="DS163" s="8"/>
      <c r="DT163" s="8"/>
      <c r="DU163" s="8"/>
      <c r="DV163" s="8"/>
      <c r="DW163" s="8"/>
      <c r="DX163" s="8"/>
      <c r="DY163" s="8"/>
      <c r="DZ163" s="8"/>
      <c r="EA163" s="8"/>
      <c r="EB163" s="8"/>
      <c r="EC163" s="8"/>
      <c r="ED163" s="8"/>
      <c r="EE163" s="8"/>
      <c r="EF163" s="8"/>
      <c r="EG163" s="8"/>
      <c r="EH163" s="8"/>
      <c r="EI163" s="8"/>
      <c r="EJ163" s="8"/>
      <c r="EK163" s="8"/>
      <c r="EL163" s="8"/>
      <c r="EM163" s="8"/>
      <c r="EN163" s="8"/>
      <c r="EO163" s="8"/>
      <c r="EP163" s="8"/>
      <c r="EQ163" s="8"/>
      <c r="ER163" s="8"/>
      <c r="ES163" s="8"/>
      <c r="ET163" s="8"/>
      <c r="EU163" s="8"/>
      <c r="EV163" s="8"/>
      <c r="EW163" s="8"/>
      <c r="EX163" s="8"/>
      <c r="EY163" s="8"/>
      <c r="EZ163" s="8"/>
      <c r="FA163" s="8"/>
      <c r="FB163" s="8"/>
      <c r="FC163" s="8"/>
      <c r="FD163" s="8"/>
      <c r="FE163" s="8"/>
      <c r="FF163" s="8"/>
      <c r="FG163" s="8"/>
      <c r="FH163" s="8"/>
      <c r="FI163" s="8"/>
      <c r="FJ163" s="8"/>
      <c r="FK163" s="8"/>
      <c r="FL163" s="8"/>
      <c r="FM163" s="8"/>
      <c r="FN163" s="8"/>
      <c r="FO163" s="8"/>
      <c r="FP163" s="8"/>
      <c r="FQ163" s="8"/>
      <c r="FR163" s="8"/>
      <c r="FS163" s="8"/>
      <c r="FT163" s="8"/>
      <c r="FU163" s="8"/>
      <c r="FV163" s="8"/>
      <c r="FW163" s="8"/>
      <c r="FX163" s="8"/>
      <c r="FY163" s="8"/>
      <c r="FZ163" s="8"/>
      <c r="GA163" s="8"/>
      <c r="GB163" s="8"/>
      <c r="GC163" s="8"/>
      <c r="GD163" s="8"/>
      <c r="GE163" s="8"/>
      <c r="GF163" s="8"/>
      <c r="GG163" s="8"/>
      <c r="GH163" s="8"/>
      <c r="GI163" s="8"/>
      <c r="GJ163" s="8"/>
      <c r="GK163" s="8"/>
      <c r="GL163" s="8"/>
      <c r="GM163" s="8"/>
      <c r="GN163" s="8"/>
      <c r="GO163" s="8"/>
      <c r="GP163" s="8"/>
      <c r="GQ163" s="8"/>
      <c r="GR163" s="8"/>
      <c r="GS163" s="8"/>
      <c r="GT163" s="8"/>
      <c r="GU163" s="8"/>
      <c r="GV163" s="8"/>
      <c r="GW163" s="8"/>
      <c r="GX163" s="8"/>
      <c r="GY163" s="8"/>
      <c r="GZ163" s="8"/>
      <c r="HA163" s="8"/>
      <c r="HB163" s="8"/>
      <c r="HC163" s="8"/>
      <c r="HD163" s="8"/>
      <c r="HE163" s="8"/>
      <c r="HF163" s="8"/>
      <c r="HG163" s="8"/>
      <c r="HH163" s="8"/>
      <c r="HI163" s="8"/>
      <c r="HJ163" s="8"/>
      <c r="HK163" s="8"/>
      <c r="HL163" s="8"/>
      <c r="HM163" s="8"/>
      <c r="HN163" s="8"/>
      <c r="HO163" s="8"/>
      <c r="HP163" s="8"/>
      <c r="HQ163" s="8"/>
      <c r="HR163" s="8"/>
      <c r="HS163" s="8"/>
      <c r="HT163" s="8"/>
      <c r="HU163" s="8"/>
      <c r="HV163" s="8"/>
      <c r="HW163" s="8"/>
      <c r="HX163" s="8"/>
      <c r="HY163" s="8"/>
      <c r="HZ163" s="8"/>
      <c r="IA163" s="8"/>
      <c r="IB163" s="8"/>
      <c r="IC163" s="8"/>
      <c r="ID163" s="8"/>
      <c r="IE163" s="8"/>
      <c r="IF163" s="8"/>
      <c r="IG163" s="8"/>
      <c r="IH163" s="8"/>
      <c r="II163" s="8"/>
      <c r="IJ163" s="8"/>
      <c r="IK163" s="8"/>
      <c r="IL163" s="8"/>
      <c r="IM163" s="8"/>
      <c r="IN163" s="8"/>
      <c r="IO163" s="8"/>
      <c r="IP163" s="8"/>
      <c r="IQ163" s="8"/>
      <c r="IR163" s="8"/>
      <c r="IS163" s="8"/>
      <c r="IT163" s="8"/>
      <c r="IU163" s="8"/>
      <c r="IV163" s="8"/>
      <c r="IW163" s="8"/>
      <c r="IX163" s="8"/>
      <c r="JA163" s="123"/>
      <c r="JB163" s="123"/>
      <c r="JC163" s="123"/>
      <c r="JD163" s="70">
        <f>SUM((TEXT(JA163,"[M]")/60)*'Income Person-hours'!$D$3,(TEXT(JB163,"[M]")/60)*'Income Person-hours'!$D$4,(TEXT(JC163,"[M]")/60)*'Income Person-hours'!$D$5)</f>
        <v>0</v>
      </c>
    </row>
    <row r="164" spans="1:264 16383:16384" s="12" customFormat="1" ht="15.75" hidden="1" x14ac:dyDescent="0.45">
      <c r="A164" s="32">
        <v>7.12</v>
      </c>
      <c r="B164" s="126"/>
      <c r="C164" s="117"/>
      <c r="D164" s="13" t="str">
        <f>IF(OR(j_WEEKDAY(J_ADDDAY(VLOOKUP(I164,A:F,6,FALSE),H164,1),0)=6,SUMIFS(Holieday[ok],Holieday[date],J_ADDDAY(VLOOKUP(I164,A:F,6,FALSE),H164,1)))=FALSE(),J_ADDDAY(VLOOKUP(I164,A:F,6,FALSE),H164,1),IF(OR(j_WEEKDAY(J_ADDDAY(VLOOKUP(I164,A:F,6,FALSE),H164+1,1),0)=6,SUMIFS(Holieday[ok],Holieday[date],J_ADDDAY(VLOOKUP(I164,A:F,6,FALSE),H164+1,1)))=FALSE(),J_ADDDAY(VLOOKUP(I164,A:F,6,FALSE),H164+1,1),IF(OR(j_WEEKDAY(J_ADDDAY(VLOOKUP(I164,A:F,6,FALSE),H164+2,1),0)=6,SUMIFS(Holieday[ok],Holieday[date],J_ADDDAY(VLOOKUP(I164,A:F,6,FALSE),H164+2,1)))=FALSE(),J_ADDDAY(VLOOKUP(I164,A:F,6,FALSE),H164+2,1),IF(OR(j_WEEKDAY(J_ADDDAY(VLOOKUP(I164,A:F,6,FALSE),H164+3,1),0)=6,SUMIFS(Holieday[ok],Holieday[date],J_ADDDAY(VLOOKUP(I164,A:F,6,FALSE),H164+3,1)))=FALSE(),J_ADDDAY(VLOOKUP(I164,A:F,6,FALSE),H164+3,1),IF(OR(j_WEEKDAY(J_ADDDAY(VLOOKUP(I164,A:F,6,FALSE),H164+4,1),0)=6,SUMIFS(Holieday[ok],Holieday[date],J_ADDDAY(VLOOKUP(I164,A:F,6,FALSE),H164+4,1)))=FALSE(),J_ADDDAY(VLOOKUP(I164,A:F,6,FALSE),H164+4,1),J_ADDDAY(VLOOKUP(I164,A:F,6,FALSE),H164+5,1))))))</f>
        <v>1398/09/18</v>
      </c>
      <c r="E164" s="2">
        <f t="shared" si="49"/>
        <v>13980918</v>
      </c>
      <c r="F164" s="13" t="str">
        <f>IF(N164=0,J_SUBDAY(D164,1,1),IF((N164-NETWORKDAYS.INTL(J_GregorianDate(D164,1),J_GregorianDate(J_SUBDAY(J_ADDDAY(D164,N164,1),1,1),1),16,1)-SUMIFS(Holieday[ok],Holieday[date],CONCATENATE("&gt;","=",D164),Holieday[date],CONCATENATE("&lt;","=",J_SUBDAY(J_ADDDAY(D164,N164,1),1,1)))+SUMIFS(Holieday[Friday],Holieday[date],CONCATENATE("&gt;","=",D164),Holieday[date],CONCATENATE("&lt;","=",J_SUBDAY(J_ADDDAY(D164,N164,1),1,1))))=0,J_SUBDAY(J_ADDDAY(D164,N164,1),1,1),IF((N164-NETWORKDAYS.INTL(J_GregorianDate(D164,1),J_GregorianDate(J_SUBDAY(J_ADDDAY(D164,N164,1),1,1),1),16,1)-SUMIFS(Holieday[ok],Holieday[date],CONCATENATE("&gt;","=",D164),Holieday[date],CONCATENATE("&lt;","=",J_SUBDAY(J_ADDDAY(D164,N164,1),1,1)))+SUMIFS(Holieday[Friday],Holieday[date],CONCATENATE("&gt;","=",D164),Holieday[date],CONCATENATE("&lt;","=",J_SUBDAY(J_ADDDAY(D164,N164,1),1,1))))=1,J_SUBDAY(J_ADDDAY(D164,N164+1,1),1,1),IF((N164-NETWORKDAYS.INTL(J_GregorianDate(D164,1),J_GregorianDate(J_SUBDAY(J_ADDDAY(D164,N164,1),1,1),1),16,1)-SUMIFS(Holieday[ok],Holieday[date],CONCATENATE("&gt;","=",D164),Holieday[date],CONCATENATE("&lt;","=",J_SUBDAY(J_ADDDAY(D164,N164,1),1,1)))+SUMIFS(Holieday[Friday],Holieday[date],CONCATENATE("&gt;","=",D164),Holieday[date],CONCATENATE("&lt;","=",J_SUBDAY(J_ADDDAY(D164,N164,1),1,1))))=2,J_SUBDAY(J_ADDDAY(D164,N164+2,1),1,1),J_SUBDAY(J_ADDDAY(D164,N164+3,1),1,1)))))</f>
        <v>1398/09/17</v>
      </c>
      <c r="G164" s="3">
        <f t="shared" si="50"/>
        <v>13980917</v>
      </c>
      <c r="H164" s="119"/>
      <c r="I164" s="120">
        <v>7.1</v>
      </c>
      <c r="J164" s="10">
        <f>j_WEEKDAY(D164,2)</f>
        <v>2</v>
      </c>
      <c r="K164" s="22">
        <f t="shared" si="53"/>
        <v>0</v>
      </c>
      <c r="L164" s="9">
        <f t="shared" si="54"/>
        <v>0</v>
      </c>
      <c r="M164" s="121">
        <v>0</v>
      </c>
      <c r="N164" s="118">
        <v>0</v>
      </c>
      <c r="O164" s="11">
        <f t="shared" si="57"/>
        <v>0</v>
      </c>
      <c r="P164" s="11">
        <f>VALUE(J_normdate(J_ADDDAY($D164,$O164,1)))</f>
        <v>13980918</v>
      </c>
      <c r="Q164" s="10">
        <f t="shared" si="58"/>
        <v>0</v>
      </c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  <c r="AO164" s="8"/>
      <c r="AP164" s="8"/>
      <c r="AQ164" s="8"/>
      <c r="AR164" s="8"/>
      <c r="AS164" s="8"/>
      <c r="AT164" s="8"/>
      <c r="AU164" s="8"/>
      <c r="AV164" s="8"/>
      <c r="AW164" s="8"/>
      <c r="AX164" s="8"/>
      <c r="AY164" s="8"/>
      <c r="AZ164" s="8"/>
      <c r="BA164" s="8"/>
      <c r="BB164" s="8"/>
      <c r="BC164" s="8"/>
      <c r="BD164" s="8"/>
      <c r="BE164" s="8"/>
      <c r="BF164" s="8"/>
      <c r="BG164" s="8"/>
      <c r="BH164" s="8"/>
      <c r="BI164" s="8"/>
      <c r="BJ164" s="8"/>
      <c r="BK164" s="8"/>
      <c r="BL164" s="8"/>
      <c r="BM164" s="8"/>
      <c r="BN164" s="8"/>
      <c r="BO164" s="8"/>
      <c r="BP164" s="8"/>
      <c r="BQ164" s="8"/>
      <c r="BR164" s="8"/>
      <c r="BS164" s="8"/>
      <c r="BT164" s="8"/>
      <c r="BU164" s="8"/>
      <c r="BV164" s="8"/>
      <c r="BW164" s="8"/>
      <c r="BX164" s="8"/>
      <c r="BY164" s="8"/>
      <c r="BZ164" s="8"/>
      <c r="CA164" s="8"/>
      <c r="CB164" s="8"/>
      <c r="CC164" s="8"/>
      <c r="CD164" s="8"/>
      <c r="CE164" s="8"/>
      <c r="CF164" s="8"/>
      <c r="CG164" s="8"/>
      <c r="CH164" s="8"/>
      <c r="CI164" s="8"/>
      <c r="CJ164" s="8"/>
      <c r="CK164" s="8"/>
      <c r="CL164" s="8"/>
      <c r="CM164" s="8"/>
      <c r="CN164" s="8"/>
      <c r="CO164" s="8"/>
      <c r="CP164" s="8"/>
      <c r="CQ164" s="8"/>
      <c r="CR164" s="8"/>
      <c r="CS164" s="8"/>
      <c r="CT164" s="8"/>
      <c r="CU164" s="8"/>
      <c r="CV164" s="8"/>
      <c r="CW164" s="8"/>
      <c r="CX164" s="8"/>
      <c r="CY164" s="8"/>
      <c r="CZ164" s="8"/>
      <c r="DA164" s="8"/>
      <c r="DB164" s="8"/>
      <c r="DC164" s="8"/>
      <c r="DD164" s="8"/>
      <c r="DE164" s="8"/>
      <c r="DF164" s="8"/>
      <c r="DG164" s="8"/>
      <c r="DH164" s="8"/>
      <c r="DI164" s="8"/>
      <c r="DJ164" s="8"/>
      <c r="DK164" s="8"/>
      <c r="DL164" s="8"/>
      <c r="DM164" s="8"/>
      <c r="DN164" s="8"/>
      <c r="DO164" s="8"/>
      <c r="DP164" s="8"/>
      <c r="DQ164" s="8"/>
      <c r="DR164" s="8"/>
      <c r="DS164" s="8"/>
      <c r="DT164" s="8"/>
      <c r="DU164" s="8"/>
      <c r="DV164" s="8"/>
      <c r="DW164" s="8"/>
      <c r="DX164" s="8"/>
      <c r="DY164" s="8"/>
      <c r="DZ164" s="8"/>
      <c r="EA164" s="8"/>
      <c r="EB164" s="8"/>
      <c r="EC164" s="8"/>
      <c r="ED164" s="8"/>
      <c r="EE164" s="8"/>
      <c r="EF164" s="8"/>
      <c r="EG164" s="8"/>
      <c r="EH164" s="8"/>
      <c r="EI164" s="8"/>
      <c r="EJ164" s="8"/>
      <c r="EK164" s="8"/>
      <c r="EL164" s="8"/>
      <c r="EM164" s="8"/>
      <c r="EN164" s="8"/>
      <c r="EO164" s="8"/>
      <c r="EP164" s="8"/>
      <c r="EQ164" s="8"/>
      <c r="ER164" s="8"/>
      <c r="ES164" s="8"/>
      <c r="ET164" s="8"/>
      <c r="EU164" s="8"/>
      <c r="EV164" s="8"/>
      <c r="EW164" s="8"/>
      <c r="EX164" s="8"/>
      <c r="EY164" s="8"/>
      <c r="EZ164" s="8"/>
      <c r="FA164" s="8"/>
      <c r="FB164" s="8"/>
      <c r="FC164" s="8"/>
      <c r="FD164" s="8"/>
      <c r="FE164" s="8"/>
      <c r="FF164" s="8"/>
      <c r="FG164" s="8"/>
      <c r="FH164" s="8"/>
      <c r="FI164" s="8"/>
      <c r="FJ164" s="8"/>
      <c r="FK164" s="8"/>
      <c r="FL164" s="8"/>
      <c r="FM164" s="8"/>
      <c r="FN164" s="8"/>
      <c r="FO164" s="8"/>
      <c r="FP164" s="8"/>
      <c r="FQ164" s="8"/>
      <c r="FR164" s="8"/>
      <c r="FS164" s="8"/>
      <c r="FT164" s="8"/>
      <c r="FU164" s="8"/>
      <c r="FV164" s="8"/>
      <c r="FW164" s="8"/>
      <c r="FX164" s="8"/>
      <c r="FY164" s="8"/>
      <c r="FZ164" s="8"/>
      <c r="GA164" s="8"/>
      <c r="GB164" s="8"/>
      <c r="GC164" s="8"/>
      <c r="GD164" s="8"/>
      <c r="GE164" s="8"/>
      <c r="GF164" s="8"/>
      <c r="GG164" s="8"/>
      <c r="GH164" s="8"/>
      <c r="GI164" s="8"/>
      <c r="GJ164" s="8"/>
      <c r="GK164" s="8"/>
      <c r="GL164" s="8"/>
      <c r="GM164" s="8"/>
      <c r="GN164" s="8"/>
      <c r="GO164" s="8"/>
      <c r="GP164" s="8"/>
      <c r="GQ164" s="8"/>
      <c r="GR164" s="8"/>
      <c r="GS164" s="8"/>
      <c r="GT164" s="8"/>
      <c r="GU164" s="8"/>
      <c r="GV164" s="8"/>
      <c r="GW164" s="8"/>
      <c r="GX164" s="8"/>
      <c r="GY164" s="8"/>
      <c r="GZ164" s="8"/>
      <c r="HA164" s="8"/>
      <c r="HB164" s="8"/>
      <c r="HC164" s="8"/>
      <c r="HD164" s="8"/>
      <c r="HE164" s="8"/>
      <c r="HF164" s="8"/>
      <c r="HG164" s="8"/>
      <c r="HH164" s="8"/>
      <c r="HI164" s="8"/>
      <c r="HJ164" s="8"/>
      <c r="HK164" s="8"/>
      <c r="HL164" s="8"/>
      <c r="HM164" s="8"/>
      <c r="HN164" s="8"/>
      <c r="HO164" s="8"/>
      <c r="HP164" s="8"/>
      <c r="HQ164" s="8"/>
      <c r="HR164" s="8"/>
      <c r="HS164" s="8"/>
      <c r="HT164" s="8"/>
      <c r="HU164" s="8"/>
      <c r="HV164" s="8"/>
      <c r="HW164" s="8"/>
      <c r="HX164" s="8"/>
      <c r="HY164" s="8"/>
      <c r="HZ164" s="8"/>
      <c r="IA164" s="8"/>
      <c r="IB164" s="8"/>
      <c r="IC164" s="8"/>
      <c r="ID164" s="8"/>
      <c r="IE164" s="8"/>
      <c r="IF164" s="8"/>
      <c r="IG164" s="8"/>
      <c r="IH164" s="8"/>
      <c r="II164" s="8"/>
      <c r="IJ164" s="8"/>
      <c r="IK164" s="8"/>
      <c r="IL164" s="8"/>
      <c r="IM164" s="8"/>
      <c r="IN164" s="8"/>
      <c r="IO164" s="8"/>
      <c r="IP164" s="8"/>
      <c r="IQ164" s="8"/>
      <c r="IR164" s="8"/>
      <c r="IS164" s="8"/>
      <c r="IT164" s="8"/>
      <c r="IU164" s="8"/>
      <c r="IV164" s="8"/>
      <c r="IW164" s="8"/>
      <c r="IX164" s="8"/>
      <c r="JA164" s="123"/>
      <c r="JB164" s="123"/>
      <c r="JC164" s="123"/>
      <c r="JD164" s="70">
        <f>SUM((TEXT(JA164,"[M]")/60)*'Income Person-hours'!$D$3,(TEXT(JB164,"[M]")/60)*'Income Person-hours'!$D$4,(TEXT(JC164,"[M]")/60)*'Income Person-hours'!$D$5)</f>
        <v>0</v>
      </c>
    </row>
    <row r="165" spans="1:264 16383:16384" s="12" customFormat="1" ht="15.75" hidden="1" x14ac:dyDescent="0.45">
      <c r="A165" s="32">
        <v>7.13</v>
      </c>
      <c r="B165" s="126"/>
      <c r="C165" s="117"/>
      <c r="D165" s="13" t="str">
        <f>IF(OR(j_WEEKDAY(J_ADDDAY(VLOOKUP(I165,A:F,6,FALSE),H165,1),0)=6,SUMIFS(Holieday[ok],Holieday[date],J_ADDDAY(VLOOKUP(I165,A:F,6,FALSE),H165,1)))=FALSE(),J_ADDDAY(VLOOKUP(I165,A:F,6,FALSE),H165,1),IF(OR(j_WEEKDAY(J_ADDDAY(VLOOKUP(I165,A:F,6,FALSE),H165+1,1),0)=6,SUMIFS(Holieday[ok],Holieday[date],J_ADDDAY(VLOOKUP(I165,A:F,6,FALSE),H165+1,1)))=FALSE(),J_ADDDAY(VLOOKUP(I165,A:F,6,FALSE),H165+1,1),IF(OR(j_WEEKDAY(J_ADDDAY(VLOOKUP(I165,A:F,6,FALSE),H165+2,1),0)=6,SUMIFS(Holieday[ok],Holieday[date],J_ADDDAY(VLOOKUP(I165,A:F,6,FALSE),H165+2,1)))=FALSE(),J_ADDDAY(VLOOKUP(I165,A:F,6,FALSE),H165+2,1),IF(OR(j_WEEKDAY(J_ADDDAY(VLOOKUP(I165,A:F,6,FALSE),H165+3,1),0)=6,SUMIFS(Holieday[ok],Holieday[date],J_ADDDAY(VLOOKUP(I165,A:F,6,FALSE),H165+3,1)))=FALSE(),J_ADDDAY(VLOOKUP(I165,A:F,6,FALSE),H165+3,1),IF(OR(j_WEEKDAY(J_ADDDAY(VLOOKUP(I165,A:F,6,FALSE),H165+4,1),0)=6,SUMIFS(Holieday[ok],Holieday[date],J_ADDDAY(VLOOKUP(I165,A:F,6,FALSE),H165+4,1)))=FALSE(),J_ADDDAY(VLOOKUP(I165,A:F,6,FALSE),H165+4,1),J_ADDDAY(VLOOKUP(I165,A:F,6,FALSE),H165+5,1))))))</f>
        <v>1398/09/18</v>
      </c>
      <c r="E165" s="2">
        <f t="shared" si="49"/>
        <v>13980918</v>
      </c>
      <c r="F165" s="13" t="str">
        <f>IF(N165=0,J_SUBDAY(D165,1,1),IF((N165-NETWORKDAYS.INTL(J_GregorianDate(D165,1),J_GregorianDate(J_SUBDAY(J_ADDDAY(D165,N165,1),1,1),1),16,1)-SUMIFS(Holieday[ok],Holieday[date],CONCATENATE("&gt;","=",D165),Holieday[date],CONCATENATE("&lt;","=",J_SUBDAY(J_ADDDAY(D165,N165,1),1,1)))+SUMIFS(Holieday[Friday],Holieday[date],CONCATENATE("&gt;","=",D165),Holieday[date],CONCATENATE("&lt;","=",J_SUBDAY(J_ADDDAY(D165,N165,1),1,1))))=0,J_SUBDAY(J_ADDDAY(D165,N165,1),1,1),IF((N165-NETWORKDAYS.INTL(J_GregorianDate(D165,1),J_GregorianDate(J_SUBDAY(J_ADDDAY(D165,N165,1),1,1),1),16,1)-SUMIFS(Holieday[ok],Holieday[date],CONCATENATE("&gt;","=",D165),Holieday[date],CONCATENATE("&lt;","=",J_SUBDAY(J_ADDDAY(D165,N165,1),1,1)))+SUMIFS(Holieday[Friday],Holieday[date],CONCATENATE("&gt;","=",D165),Holieday[date],CONCATENATE("&lt;","=",J_SUBDAY(J_ADDDAY(D165,N165,1),1,1))))=1,J_SUBDAY(J_ADDDAY(D165,N165+1,1),1,1),IF((N165-NETWORKDAYS.INTL(J_GregorianDate(D165,1),J_GregorianDate(J_SUBDAY(J_ADDDAY(D165,N165,1),1,1),1),16,1)-SUMIFS(Holieday[ok],Holieday[date],CONCATENATE("&gt;","=",D165),Holieday[date],CONCATENATE("&lt;","=",J_SUBDAY(J_ADDDAY(D165,N165,1),1,1)))+SUMIFS(Holieday[Friday],Holieday[date],CONCATENATE("&gt;","=",D165),Holieday[date],CONCATENATE("&lt;","=",J_SUBDAY(J_ADDDAY(D165,N165,1),1,1))))=2,J_SUBDAY(J_ADDDAY(D165,N165+2,1),1,1),J_SUBDAY(J_ADDDAY(D165,N165+3,1),1,1)))))</f>
        <v>1398/09/17</v>
      </c>
      <c r="G165" s="3">
        <f t="shared" si="50"/>
        <v>13980917</v>
      </c>
      <c r="H165" s="119"/>
      <c r="I165" s="120">
        <v>7.1</v>
      </c>
      <c r="J165" s="10">
        <f>j_WEEKDAY(D165,2)</f>
        <v>2</v>
      </c>
      <c r="K165" s="22">
        <f t="shared" si="53"/>
        <v>0</v>
      </c>
      <c r="L165" s="9">
        <f t="shared" si="54"/>
        <v>0</v>
      </c>
      <c r="M165" s="121">
        <v>0</v>
      </c>
      <c r="N165" s="118">
        <v>0</v>
      </c>
      <c r="O165" s="11">
        <f t="shared" si="57"/>
        <v>0</v>
      </c>
      <c r="P165" s="11">
        <f>VALUE(J_normdate(J_ADDDAY($D165,$O165,1)))</f>
        <v>13980918</v>
      </c>
      <c r="Q165" s="10">
        <f t="shared" si="58"/>
        <v>0</v>
      </c>
      <c r="R165" s="8"/>
      <c r="S165" s="8"/>
      <c r="T165" s="8"/>
      <c r="U165" s="8"/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  <c r="AO165" s="8"/>
      <c r="AP165" s="8"/>
      <c r="AQ165" s="8"/>
      <c r="AR165" s="8"/>
      <c r="AS165" s="8"/>
      <c r="AT165" s="8"/>
      <c r="AU165" s="8"/>
      <c r="AV165" s="8"/>
      <c r="AW165" s="8"/>
      <c r="AX165" s="8"/>
      <c r="AY165" s="8"/>
      <c r="AZ165" s="8"/>
      <c r="BA165" s="8"/>
      <c r="BB165" s="8"/>
      <c r="BC165" s="8"/>
      <c r="BD165" s="8"/>
      <c r="BE165" s="8"/>
      <c r="BF165" s="8"/>
      <c r="BG165" s="8"/>
      <c r="BH165" s="8"/>
      <c r="BI165" s="8"/>
      <c r="BJ165" s="8"/>
      <c r="BK165" s="8"/>
      <c r="BL165" s="8"/>
      <c r="BM165" s="8"/>
      <c r="BN165" s="8"/>
      <c r="BO165" s="8"/>
      <c r="BP165" s="8"/>
      <c r="BQ165" s="8"/>
      <c r="BR165" s="8"/>
      <c r="BS165" s="8"/>
      <c r="BT165" s="8"/>
      <c r="BU165" s="8"/>
      <c r="BV165" s="8"/>
      <c r="BW165" s="8"/>
      <c r="BX165" s="8"/>
      <c r="BY165" s="8"/>
      <c r="BZ165" s="8"/>
      <c r="CA165" s="8"/>
      <c r="CB165" s="8"/>
      <c r="CC165" s="8"/>
      <c r="CD165" s="8"/>
      <c r="CE165" s="8"/>
      <c r="CF165" s="8"/>
      <c r="CG165" s="8"/>
      <c r="CH165" s="8"/>
      <c r="CI165" s="8"/>
      <c r="CJ165" s="8"/>
      <c r="CK165" s="8"/>
      <c r="CL165" s="8"/>
      <c r="CM165" s="8"/>
      <c r="CN165" s="8"/>
      <c r="CO165" s="8"/>
      <c r="CP165" s="8"/>
      <c r="CQ165" s="8"/>
      <c r="CR165" s="8"/>
      <c r="CS165" s="8"/>
      <c r="CT165" s="8"/>
      <c r="CU165" s="8"/>
      <c r="CV165" s="8"/>
      <c r="CW165" s="8"/>
      <c r="CX165" s="8"/>
      <c r="CY165" s="8"/>
      <c r="CZ165" s="8"/>
      <c r="DA165" s="8"/>
      <c r="DB165" s="8"/>
      <c r="DC165" s="8"/>
      <c r="DD165" s="8"/>
      <c r="DE165" s="8"/>
      <c r="DF165" s="8"/>
      <c r="DG165" s="8"/>
      <c r="DH165" s="8"/>
      <c r="DI165" s="8"/>
      <c r="DJ165" s="8"/>
      <c r="DK165" s="8"/>
      <c r="DL165" s="8"/>
      <c r="DM165" s="8"/>
      <c r="DN165" s="8"/>
      <c r="DO165" s="8"/>
      <c r="DP165" s="8"/>
      <c r="DQ165" s="8"/>
      <c r="DR165" s="8"/>
      <c r="DS165" s="8"/>
      <c r="DT165" s="8"/>
      <c r="DU165" s="8"/>
      <c r="DV165" s="8"/>
      <c r="DW165" s="8"/>
      <c r="DX165" s="8"/>
      <c r="DY165" s="8"/>
      <c r="DZ165" s="8"/>
      <c r="EA165" s="8"/>
      <c r="EB165" s="8"/>
      <c r="EC165" s="8"/>
      <c r="ED165" s="8"/>
      <c r="EE165" s="8"/>
      <c r="EF165" s="8"/>
      <c r="EG165" s="8"/>
      <c r="EH165" s="8"/>
      <c r="EI165" s="8"/>
      <c r="EJ165" s="8"/>
      <c r="EK165" s="8"/>
      <c r="EL165" s="8"/>
      <c r="EM165" s="8"/>
      <c r="EN165" s="8"/>
      <c r="EO165" s="8"/>
      <c r="EP165" s="8"/>
      <c r="EQ165" s="8"/>
      <c r="ER165" s="8"/>
      <c r="ES165" s="8"/>
      <c r="ET165" s="8"/>
      <c r="EU165" s="8"/>
      <c r="EV165" s="8"/>
      <c r="EW165" s="8"/>
      <c r="EX165" s="8"/>
      <c r="EY165" s="8"/>
      <c r="EZ165" s="8"/>
      <c r="FA165" s="8"/>
      <c r="FB165" s="8"/>
      <c r="FC165" s="8"/>
      <c r="FD165" s="8"/>
      <c r="FE165" s="8"/>
      <c r="FF165" s="8"/>
      <c r="FG165" s="8"/>
      <c r="FH165" s="8"/>
      <c r="FI165" s="8"/>
      <c r="FJ165" s="8"/>
      <c r="FK165" s="8"/>
      <c r="FL165" s="8"/>
      <c r="FM165" s="8"/>
      <c r="FN165" s="8"/>
      <c r="FO165" s="8"/>
      <c r="FP165" s="8"/>
      <c r="FQ165" s="8"/>
      <c r="FR165" s="8"/>
      <c r="FS165" s="8"/>
      <c r="FT165" s="8"/>
      <c r="FU165" s="8"/>
      <c r="FV165" s="8"/>
      <c r="FW165" s="8"/>
      <c r="FX165" s="8"/>
      <c r="FY165" s="8"/>
      <c r="FZ165" s="8"/>
      <c r="GA165" s="8"/>
      <c r="GB165" s="8"/>
      <c r="GC165" s="8"/>
      <c r="GD165" s="8"/>
      <c r="GE165" s="8"/>
      <c r="GF165" s="8"/>
      <c r="GG165" s="8"/>
      <c r="GH165" s="8"/>
      <c r="GI165" s="8"/>
      <c r="GJ165" s="8"/>
      <c r="GK165" s="8"/>
      <c r="GL165" s="8"/>
      <c r="GM165" s="8"/>
      <c r="GN165" s="8"/>
      <c r="GO165" s="8"/>
      <c r="GP165" s="8"/>
      <c r="GQ165" s="8"/>
      <c r="GR165" s="8"/>
      <c r="GS165" s="8"/>
      <c r="GT165" s="8"/>
      <c r="GU165" s="8"/>
      <c r="GV165" s="8"/>
      <c r="GW165" s="8"/>
      <c r="GX165" s="8"/>
      <c r="GY165" s="8"/>
      <c r="GZ165" s="8"/>
      <c r="HA165" s="8"/>
      <c r="HB165" s="8"/>
      <c r="HC165" s="8"/>
      <c r="HD165" s="8"/>
      <c r="HE165" s="8"/>
      <c r="HF165" s="8"/>
      <c r="HG165" s="8"/>
      <c r="HH165" s="8"/>
      <c r="HI165" s="8"/>
      <c r="HJ165" s="8"/>
      <c r="HK165" s="8"/>
      <c r="HL165" s="8"/>
      <c r="HM165" s="8"/>
      <c r="HN165" s="8"/>
      <c r="HO165" s="8"/>
      <c r="HP165" s="8"/>
      <c r="HQ165" s="8"/>
      <c r="HR165" s="8"/>
      <c r="HS165" s="8"/>
      <c r="HT165" s="8"/>
      <c r="HU165" s="8"/>
      <c r="HV165" s="8"/>
      <c r="HW165" s="8"/>
      <c r="HX165" s="8"/>
      <c r="HY165" s="8"/>
      <c r="HZ165" s="8"/>
      <c r="IA165" s="8"/>
      <c r="IB165" s="8"/>
      <c r="IC165" s="8"/>
      <c r="ID165" s="8"/>
      <c r="IE165" s="8"/>
      <c r="IF165" s="8"/>
      <c r="IG165" s="8"/>
      <c r="IH165" s="8"/>
      <c r="II165" s="8"/>
      <c r="IJ165" s="8"/>
      <c r="IK165" s="8"/>
      <c r="IL165" s="8"/>
      <c r="IM165" s="8"/>
      <c r="IN165" s="8"/>
      <c r="IO165" s="8"/>
      <c r="IP165" s="8"/>
      <c r="IQ165" s="8"/>
      <c r="IR165" s="8"/>
      <c r="IS165" s="8"/>
      <c r="IT165" s="8"/>
      <c r="IU165" s="8"/>
      <c r="IV165" s="8"/>
      <c r="IW165" s="8"/>
      <c r="IX165" s="8"/>
      <c r="JA165" s="123"/>
      <c r="JB165" s="123"/>
      <c r="JC165" s="123"/>
      <c r="JD165" s="70">
        <f>SUM((TEXT(JA165,"[M]")/60)*'Income Person-hours'!$D$3,(TEXT(JB165,"[M]")/60)*'Income Person-hours'!$D$4,(TEXT(JC165,"[M]")/60)*'Income Person-hours'!$D$5)</f>
        <v>0</v>
      </c>
    </row>
    <row r="166" spans="1:264 16383:16384" s="12" customFormat="1" ht="15.75" hidden="1" x14ac:dyDescent="0.45">
      <c r="A166" s="32">
        <v>7.14</v>
      </c>
      <c r="B166" s="126"/>
      <c r="C166" s="117"/>
      <c r="D166" s="13" t="str">
        <f>IF(OR(j_WEEKDAY(J_ADDDAY(VLOOKUP(I166,A:F,6,FALSE),H166,1),0)=6,SUMIFS(Holieday[ok],Holieday[date],J_ADDDAY(VLOOKUP(I166,A:F,6,FALSE),H166,1)))=FALSE(),J_ADDDAY(VLOOKUP(I166,A:F,6,FALSE),H166,1),IF(OR(j_WEEKDAY(J_ADDDAY(VLOOKUP(I166,A:F,6,FALSE),H166+1,1),0)=6,SUMIFS(Holieday[ok],Holieday[date],J_ADDDAY(VLOOKUP(I166,A:F,6,FALSE),H166+1,1)))=FALSE(),J_ADDDAY(VLOOKUP(I166,A:F,6,FALSE),H166+1,1),IF(OR(j_WEEKDAY(J_ADDDAY(VLOOKUP(I166,A:F,6,FALSE),H166+2,1),0)=6,SUMIFS(Holieday[ok],Holieday[date],J_ADDDAY(VLOOKUP(I166,A:F,6,FALSE),H166+2,1)))=FALSE(),J_ADDDAY(VLOOKUP(I166,A:F,6,FALSE),H166+2,1),IF(OR(j_WEEKDAY(J_ADDDAY(VLOOKUP(I166,A:F,6,FALSE),H166+3,1),0)=6,SUMIFS(Holieday[ok],Holieday[date],J_ADDDAY(VLOOKUP(I166,A:F,6,FALSE),H166+3,1)))=FALSE(),J_ADDDAY(VLOOKUP(I166,A:F,6,FALSE),H166+3,1),IF(OR(j_WEEKDAY(J_ADDDAY(VLOOKUP(I166,A:F,6,FALSE),H166+4,1),0)=6,SUMIFS(Holieday[ok],Holieday[date],J_ADDDAY(VLOOKUP(I166,A:F,6,FALSE),H166+4,1)))=FALSE(),J_ADDDAY(VLOOKUP(I166,A:F,6,FALSE),H166+4,1),J_ADDDAY(VLOOKUP(I166,A:F,6,FALSE),H166+5,1))))))</f>
        <v>1398/09/18</v>
      </c>
      <c r="E166" s="2">
        <f t="shared" si="49"/>
        <v>13980918</v>
      </c>
      <c r="F166" s="13" t="str">
        <f>IF(N166=0,J_SUBDAY(D166,1,1),IF((N166-NETWORKDAYS.INTL(J_GregorianDate(D166,1),J_GregorianDate(J_SUBDAY(J_ADDDAY(D166,N166,1),1,1),1),16,1)-SUMIFS(Holieday[ok],Holieday[date],CONCATENATE("&gt;","=",D166),Holieday[date],CONCATENATE("&lt;","=",J_SUBDAY(J_ADDDAY(D166,N166,1),1,1)))+SUMIFS(Holieday[Friday],Holieday[date],CONCATENATE("&gt;","=",D166),Holieday[date],CONCATENATE("&lt;","=",J_SUBDAY(J_ADDDAY(D166,N166,1),1,1))))=0,J_SUBDAY(J_ADDDAY(D166,N166,1),1,1),IF((N166-NETWORKDAYS.INTL(J_GregorianDate(D166,1),J_GregorianDate(J_SUBDAY(J_ADDDAY(D166,N166,1),1,1),1),16,1)-SUMIFS(Holieday[ok],Holieday[date],CONCATENATE("&gt;","=",D166),Holieday[date],CONCATENATE("&lt;","=",J_SUBDAY(J_ADDDAY(D166,N166,1),1,1)))+SUMIFS(Holieday[Friday],Holieday[date],CONCATENATE("&gt;","=",D166),Holieday[date],CONCATENATE("&lt;","=",J_SUBDAY(J_ADDDAY(D166,N166,1),1,1))))=1,J_SUBDAY(J_ADDDAY(D166,N166+1,1),1,1),IF((N166-NETWORKDAYS.INTL(J_GregorianDate(D166,1),J_GregorianDate(J_SUBDAY(J_ADDDAY(D166,N166,1),1,1),1),16,1)-SUMIFS(Holieday[ok],Holieday[date],CONCATENATE("&gt;","=",D166),Holieday[date],CONCATENATE("&lt;","=",J_SUBDAY(J_ADDDAY(D166,N166,1),1,1)))+SUMIFS(Holieday[Friday],Holieday[date],CONCATENATE("&gt;","=",D166),Holieday[date],CONCATENATE("&lt;","=",J_SUBDAY(J_ADDDAY(D166,N166,1),1,1))))=2,J_SUBDAY(J_ADDDAY(D166,N166+2,1),1,1),J_SUBDAY(J_ADDDAY(D166,N166+3,1),1,1)))))</f>
        <v>1398/09/17</v>
      </c>
      <c r="G166" s="3">
        <f t="shared" si="50"/>
        <v>13980917</v>
      </c>
      <c r="H166" s="119"/>
      <c r="I166" s="120">
        <v>7.1</v>
      </c>
      <c r="J166" s="10">
        <f>j_WEEKDAY(D166,2)</f>
        <v>2</v>
      </c>
      <c r="K166" s="22">
        <f t="shared" si="53"/>
        <v>0</v>
      </c>
      <c r="L166" s="9">
        <f t="shared" si="54"/>
        <v>0</v>
      </c>
      <c r="M166" s="121">
        <v>0</v>
      </c>
      <c r="N166" s="118">
        <v>0</v>
      </c>
      <c r="O166" s="11">
        <f t="shared" si="57"/>
        <v>0</v>
      </c>
      <c r="P166" s="11">
        <f>VALUE(J_normdate(J_ADDDAY($D166,$O166,1)))</f>
        <v>13980918</v>
      </c>
      <c r="Q166" s="10">
        <f t="shared" si="58"/>
        <v>0</v>
      </c>
      <c r="R166" s="8"/>
      <c r="S166" s="8"/>
      <c r="T166" s="8"/>
      <c r="U166" s="8"/>
      <c r="V166" s="8"/>
      <c r="W166" s="8"/>
      <c r="X166" s="8"/>
      <c r="Y166" s="8"/>
      <c r="Z166" s="8"/>
      <c r="AA166" s="8"/>
      <c r="AB166" s="8"/>
      <c r="AC166" s="8"/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  <c r="AO166" s="8"/>
      <c r="AP166" s="8"/>
      <c r="AQ166" s="8"/>
      <c r="AR166" s="8"/>
      <c r="AS166" s="8"/>
      <c r="AT166" s="8"/>
      <c r="AU166" s="8"/>
      <c r="AV166" s="8"/>
      <c r="AW166" s="8"/>
      <c r="AX166" s="8"/>
      <c r="AY166" s="8"/>
      <c r="AZ166" s="8"/>
      <c r="BA166" s="8"/>
      <c r="BB166" s="8"/>
      <c r="BC166" s="8"/>
      <c r="BD166" s="8"/>
      <c r="BE166" s="8"/>
      <c r="BF166" s="8"/>
      <c r="BG166" s="8"/>
      <c r="BH166" s="8"/>
      <c r="BI166" s="8"/>
      <c r="BJ166" s="8"/>
      <c r="BK166" s="8"/>
      <c r="BL166" s="8"/>
      <c r="BM166" s="8"/>
      <c r="BN166" s="8"/>
      <c r="BO166" s="8"/>
      <c r="BP166" s="8"/>
      <c r="BQ166" s="8"/>
      <c r="BR166" s="8"/>
      <c r="BS166" s="8"/>
      <c r="BT166" s="8"/>
      <c r="BU166" s="8"/>
      <c r="BV166" s="8"/>
      <c r="BW166" s="8"/>
      <c r="BX166" s="8"/>
      <c r="BY166" s="8"/>
      <c r="BZ166" s="8"/>
      <c r="CA166" s="8"/>
      <c r="CB166" s="8"/>
      <c r="CC166" s="8"/>
      <c r="CD166" s="8"/>
      <c r="CE166" s="8"/>
      <c r="CF166" s="8"/>
      <c r="CG166" s="8"/>
      <c r="CH166" s="8"/>
      <c r="CI166" s="8"/>
      <c r="CJ166" s="8"/>
      <c r="CK166" s="8"/>
      <c r="CL166" s="8"/>
      <c r="CM166" s="8"/>
      <c r="CN166" s="8"/>
      <c r="CO166" s="8"/>
      <c r="CP166" s="8"/>
      <c r="CQ166" s="8"/>
      <c r="CR166" s="8"/>
      <c r="CS166" s="8"/>
      <c r="CT166" s="8"/>
      <c r="CU166" s="8"/>
      <c r="CV166" s="8"/>
      <c r="CW166" s="8"/>
      <c r="CX166" s="8"/>
      <c r="CY166" s="8"/>
      <c r="CZ166" s="8"/>
      <c r="DA166" s="8"/>
      <c r="DB166" s="8"/>
      <c r="DC166" s="8"/>
      <c r="DD166" s="8"/>
      <c r="DE166" s="8"/>
      <c r="DF166" s="8"/>
      <c r="DG166" s="8"/>
      <c r="DH166" s="8"/>
      <c r="DI166" s="8"/>
      <c r="DJ166" s="8"/>
      <c r="DK166" s="8"/>
      <c r="DL166" s="8"/>
      <c r="DM166" s="8"/>
      <c r="DN166" s="8"/>
      <c r="DO166" s="8"/>
      <c r="DP166" s="8"/>
      <c r="DQ166" s="8"/>
      <c r="DR166" s="8"/>
      <c r="DS166" s="8"/>
      <c r="DT166" s="8"/>
      <c r="DU166" s="8"/>
      <c r="DV166" s="8"/>
      <c r="DW166" s="8"/>
      <c r="DX166" s="8"/>
      <c r="DY166" s="8"/>
      <c r="DZ166" s="8"/>
      <c r="EA166" s="8"/>
      <c r="EB166" s="8"/>
      <c r="EC166" s="8"/>
      <c r="ED166" s="8"/>
      <c r="EE166" s="8"/>
      <c r="EF166" s="8"/>
      <c r="EG166" s="8"/>
      <c r="EH166" s="8"/>
      <c r="EI166" s="8"/>
      <c r="EJ166" s="8"/>
      <c r="EK166" s="8"/>
      <c r="EL166" s="8"/>
      <c r="EM166" s="8"/>
      <c r="EN166" s="8"/>
      <c r="EO166" s="8"/>
      <c r="EP166" s="8"/>
      <c r="EQ166" s="8"/>
      <c r="ER166" s="8"/>
      <c r="ES166" s="8"/>
      <c r="ET166" s="8"/>
      <c r="EU166" s="8"/>
      <c r="EV166" s="8"/>
      <c r="EW166" s="8"/>
      <c r="EX166" s="8"/>
      <c r="EY166" s="8"/>
      <c r="EZ166" s="8"/>
      <c r="FA166" s="8"/>
      <c r="FB166" s="8"/>
      <c r="FC166" s="8"/>
      <c r="FD166" s="8"/>
      <c r="FE166" s="8"/>
      <c r="FF166" s="8"/>
      <c r="FG166" s="8"/>
      <c r="FH166" s="8"/>
      <c r="FI166" s="8"/>
      <c r="FJ166" s="8"/>
      <c r="FK166" s="8"/>
      <c r="FL166" s="8"/>
      <c r="FM166" s="8"/>
      <c r="FN166" s="8"/>
      <c r="FO166" s="8"/>
      <c r="FP166" s="8"/>
      <c r="FQ166" s="8"/>
      <c r="FR166" s="8"/>
      <c r="FS166" s="8"/>
      <c r="FT166" s="8"/>
      <c r="FU166" s="8"/>
      <c r="FV166" s="8"/>
      <c r="FW166" s="8"/>
      <c r="FX166" s="8"/>
      <c r="FY166" s="8"/>
      <c r="FZ166" s="8"/>
      <c r="GA166" s="8"/>
      <c r="GB166" s="8"/>
      <c r="GC166" s="8"/>
      <c r="GD166" s="8"/>
      <c r="GE166" s="8"/>
      <c r="GF166" s="8"/>
      <c r="GG166" s="8"/>
      <c r="GH166" s="8"/>
      <c r="GI166" s="8"/>
      <c r="GJ166" s="8"/>
      <c r="GK166" s="8"/>
      <c r="GL166" s="8"/>
      <c r="GM166" s="8"/>
      <c r="GN166" s="8"/>
      <c r="GO166" s="8"/>
      <c r="GP166" s="8"/>
      <c r="GQ166" s="8"/>
      <c r="GR166" s="8"/>
      <c r="GS166" s="8"/>
      <c r="GT166" s="8"/>
      <c r="GU166" s="8"/>
      <c r="GV166" s="8"/>
      <c r="GW166" s="8"/>
      <c r="GX166" s="8"/>
      <c r="GY166" s="8"/>
      <c r="GZ166" s="8"/>
      <c r="HA166" s="8"/>
      <c r="HB166" s="8"/>
      <c r="HC166" s="8"/>
      <c r="HD166" s="8"/>
      <c r="HE166" s="8"/>
      <c r="HF166" s="8"/>
      <c r="HG166" s="8"/>
      <c r="HH166" s="8"/>
      <c r="HI166" s="8"/>
      <c r="HJ166" s="8"/>
      <c r="HK166" s="8"/>
      <c r="HL166" s="8"/>
      <c r="HM166" s="8"/>
      <c r="HN166" s="8"/>
      <c r="HO166" s="8"/>
      <c r="HP166" s="8"/>
      <c r="HQ166" s="8"/>
      <c r="HR166" s="8"/>
      <c r="HS166" s="8"/>
      <c r="HT166" s="8"/>
      <c r="HU166" s="8"/>
      <c r="HV166" s="8"/>
      <c r="HW166" s="8"/>
      <c r="HX166" s="8"/>
      <c r="HY166" s="8"/>
      <c r="HZ166" s="8"/>
      <c r="IA166" s="8"/>
      <c r="IB166" s="8"/>
      <c r="IC166" s="8"/>
      <c r="ID166" s="8"/>
      <c r="IE166" s="8"/>
      <c r="IF166" s="8"/>
      <c r="IG166" s="8"/>
      <c r="IH166" s="8"/>
      <c r="II166" s="8"/>
      <c r="IJ166" s="8"/>
      <c r="IK166" s="8"/>
      <c r="IL166" s="8"/>
      <c r="IM166" s="8"/>
      <c r="IN166" s="8"/>
      <c r="IO166" s="8"/>
      <c r="IP166" s="8"/>
      <c r="IQ166" s="8"/>
      <c r="IR166" s="8"/>
      <c r="IS166" s="8"/>
      <c r="IT166" s="8"/>
      <c r="IU166" s="8"/>
      <c r="IV166" s="8"/>
      <c r="IW166" s="8"/>
      <c r="IX166" s="8"/>
      <c r="JA166" s="123"/>
      <c r="JB166" s="123"/>
      <c r="JC166" s="123"/>
      <c r="JD166" s="70">
        <f>SUM((TEXT(JA166,"[M]")/60)*'Income Person-hours'!$D$3,(TEXT(JB166,"[M]")/60)*'Income Person-hours'!$D$4,(TEXT(JC166,"[M]")/60)*'Income Person-hours'!$D$5)</f>
        <v>0</v>
      </c>
    </row>
    <row r="167" spans="1:264 16383:16384" s="12" customFormat="1" ht="15.75" hidden="1" x14ac:dyDescent="0.45">
      <c r="A167" s="32">
        <v>7.15</v>
      </c>
      <c r="B167" s="126"/>
      <c r="C167" s="117"/>
      <c r="D167" s="13" t="str">
        <f>IF(OR(j_WEEKDAY(J_ADDDAY(VLOOKUP(I167,A:F,6,FALSE),H167,1),0)=6,SUMIFS(Holieday[ok],Holieday[date],J_ADDDAY(VLOOKUP(I167,A:F,6,FALSE),H167,1)))=FALSE(),J_ADDDAY(VLOOKUP(I167,A:F,6,FALSE),H167,1),IF(OR(j_WEEKDAY(J_ADDDAY(VLOOKUP(I167,A:F,6,FALSE),H167+1,1),0)=6,SUMIFS(Holieday[ok],Holieday[date],J_ADDDAY(VLOOKUP(I167,A:F,6,FALSE),H167+1,1)))=FALSE(),J_ADDDAY(VLOOKUP(I167,A:F,6,FALSE),H167+1,1),IF(OR(j_WEEKDAY(J_ADDDAY(VLOOKUP(I167,A:F,6,FALSE),H167+2,1),0)=6,SUMIFS(Holieday[ok],Holieday[date],J_ADDDAY(VLOOKUP(I167,A:F,6,FALSE),H167+2,1)))=FALSE(),J_ADDDAY(VLOOKUP(I167,A:F,6,FALSE),H167+2,1),IF(OR(j_WEEKDAY(J_ADDDAY(VLOOKUP(I167,A:F,6,FALSE),H167+3,1),0)=6,SUMIFS(Holieday[ok],Holieday[date],J_ADDDAY(VLOOKUP(I167,A:F,6,FALSE),H167+3,1)))=FALSE(),J_ADDDAY(VLOOKUP(I167,A:F,6,FALSE),H167+3,1),IF(OR(j_WEEKDAY(J_ADDDAY(VLOOKUP(I167,A:F,6,FALSE),H167+4,1),0)=6,SUMIFS(Holieday[ok],Holieday[date],J_ADDDAY(VLOOKUP(I167,A:F,6,FALSE),H167+4,1)))=FALSE(),J_ADDDAY(VLOOKUP(I167,A:F,6,FALSE),H167+4,1),J_ADDDAY(VLOOKUP(I167,A:F,6,FALSE),H167+5,1))))))</f>
        <v>1398/09/18</v>
      </c>
      <c r="E167" s="2">
        <f t="shared" si="49"/>
        <v>13980918</v>
      </c>
      <c r="F167" s="13" t="str">
        <f>IF(N167=0,J_SUBDAY(D167,1,1),IF((N167-NETWORKDAYS.INTL(J_GregorianDate(D167,1),J_GregorianDate(J_SUBDAY(J_ADDDAY(D167,N167,1),1,1),1),16,1)-SUMIFS(Holieday[ok],Holieday[date],CONCATENATE("&gt;","=",D167),Holieday[date],CONCATENATE("&lt;","=",J_SUBDAY(J_ADDDAY(D167,N167,1),1,1)))+SUMIFS(Holieday[Friday],Holieday[date],CONCATENATE("&gt;","=",D167),Holieday[date],CONCATENATE("&lt;","=",J_SUBDAY(J_ADDDAY(D167,N167,1),1,1))))=0,J_SUBDAY(J_ADDDAY(D167,N167,1),1,1),IF((N167-NETWORKDAYS.INTL(J_GregorianDate(D167,1),J_GregorianDate(J_SUBDAY(J_ADDDAY(D167,N167,1),1,1),1),16,1)-SUMIFS(Holieday[ok],Holieday[date],CONCATENATE("&gt;","=",D167),Holieday[date],CONCATENATE("&lt;","=",J_SUBDAY(J_ADDDAY(D167,N167,1),1,1)))+SUMIFS(Holieday[Friday],Holieday[date],CONCATENATE("&gt;","=",D167),Holieday[date],CONCATENATE("&lt;","=",J_SUBDAY(J_ADDDAY(D167,N167,1),1,1))))=1,J_SUBDAY(J_ADDDAY(D167,N167+1,1),1,1),IF((N167-NETWORKDAYS.INTL(J_GregorianDate(D167,1),J_GregorianDate(J_SUBDAY(J_ADDDAY(D167,N167,1),1,1),1),16,1)-SUMIFS(Holieday[ok],Holieday[date],CONCATENATE("&gt;","=",D167),Holieday[date],CONCATENATE("&lt;","=",J_SUBDAY(J_ADDDAY(D167,N167,1),1,1)))+SUMIFS(Holieday[Friday],Holieday[date],CONCATENATE("&gt;","=",D167),Holieday[date],CONCATENATE("&lt;","=",J_SUBDAY(J_ADDDAY(D167,N167,1),1,1))))=2,J_SUBDAY(J_ADDDAY(D167,N167+2,1),1,1),J_SUBDAY(J_ADDDAY(D167,N167+3,1),1,1)))))</f>
        <v>1398/09/17</v>
      </c>
      <c r="G167" s="3">
        <f t="shared" si="50"/>
        <v>13980917</v>
      </c>
      <c r="H167" s="119"/>
      <c r="I167" s="120">
        <v>7.1</v>
      </c>
      <c r="J167" s="10">
        <f>j_WEEKDAY(D167,2)</f>
        <v>2</v>
      </c>
      <c r="K167" s="22">
        <f t="shared" si="53"/>
        <v>0</v>
      </c>
      <c r="L167" s="9">
        <f t="shared" si="54"/>
        <v>0</v>
      </c>
      <c r="M167" s="121">
        <v>0</v>
      </c>
      <c r="N167" s="118">
        <v>0</v>
      </c>
      <c r="O167" s="11">
        <f t="shared" si="57"/>
        <v>0</v>
      </c>
      <c r="P167" s="11">
        <f>VALUE(J_normdate(J_ADDDAY($D167,$O167,1)))</f>
        <v>13980918</v>
      </c>
      <c r="Q167" s="10">
        <f t="shared" si="58"/>
        <v>0</v>
      </c>
      <c r="R167" s="8"/>
      <c r="S167" s="8"/>
      <c r="T167" s="8"/>
      <c r="U167" s="8"/>
      <c r="V167" s="8"/>
      <c r="W167" s="8"/>
      <c r="X167" s="8"/>
      <c r="Y167" s="8"/>
      <c r="Z167" s="8"/>
      <c r="AA167" s="8"/>
      <c r="AB167" s="8"/>
      <c r="AC167" s="8"/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  <c r="AO167" s="8"/>
      <c r="AP167" s="8"/>
      <c r="AQ167" s="8"/>
      <c r="AR167" s="8"/>
      <c r="AS167" s="8"/>
      <c r="AT167" s="8"/>
      <c r="AU167" s="8"/>
      <c r="AV167" s="8"/>
      <c r="AW167" s="8"/>
      <c r="AX167" s="8"/>
      <c r="AY167" s="8"/>
      <c r="AZ167" s="8"/>
      <c r="BA167" s="8"/>
      <c r="BB167" s="8"/>
      <c r="BC167" s="8"/>
      <c r="BD167" s="8"/>
      <c r="BE167" s="8"/>
      <c r="BF167" s="8"/>
      <c r="BG167" s="8"/>
      <c r="BH167" s="8"/>
      <c r="BI167" s="8"/>
      <c r="BJ167" s="8"/>
      <c r="BK167" s="8"/>
      <c r="BL167" s="8"/>
      <c r="BM167" s="8"/>
      <c r="BN167" s="8"/>
      <c r="BO167" s="8"/>
      <c r="BP167" s="8"/>
      <c r="BQ167" s="8"/>
      <c r="BR167" s="8"/>
      <c r="BS167" s="8"/>
      <c r="BT167" s="8"/>
      <c r="BU167" s="8"/>
      <c r="BV167" s="8"/>
      <c r="BW167" s="8"/>
      <c r="BX167" s="8"/>
      <c r="BY167" s="8"/>
      <c r="BZ167" s="8"/>
      <c r="CA167" s="8"/>
      <c r="CB167" s="8"/>
      <c r="CC167" s="8"/>
      <c r="CD167" s="8"/>
      <c r="CE167" s="8"/>
      <c r="CF167" s="8"/>
      <c r="CG167" s="8"/>
      <c r="CH167" s="8"/>
      <c r="CI167" s="8"/>
      <c r="CJ167" s="8"/>
      <c r="CK167" s="8"/>
      <c r="CL167" s="8"/>
      <c r="CM167" s="8"/>
      <c r="CN167" s="8"/>
      <c r="CO167" s="8"/>
      <c r="CP167" s="8"/>
      <c r="CQ167" s="8"/>
      <c r="CR167" s="8"/>
      <c r="CS167" s="8"/>
      <c r="CT167" s="8"/>
      <c r="CU167" s="8"/>
      <c r="CV167" s="8"/>
      <c r="CW167" s="8"/>
      <c r="CX167" s="8"/>
      <c r="CY167" s="8"/>
      <c r="CZ167" s="8"/>
      <c r="DA167" s="8"/>
      <c r="DB167" s="8"/>
      <c r="DC167" s="8"/>
      <c r="DD167" s="8"/>
      <c r="DE167" s="8"/>
      <c r="DF167" s="8"/>
      <c r="DG167" s="8"/>
      <c r="DH167" s="8"/>
      <c r="DI167" s="8"/>
      <c r="DJ167" s="8"/>
      <c r="DK167" s="8"/>
      <c r="DL167" s="8"/>
      <c r="DM167" s="8"/>
      <c r="DN167" s="8"/>
      <c r="DO167" s="8"/>
      <c r="DP167" s="8"/>
      <c r="DQ167" s="8"/>
      <c r="DR167" s="8"/>
      <c r="DS167" s="8"/>
      <c r="DT167" s="8"/>
      <c r="DU167" s="8"/>
      <c r="DV167" s="8"/>
      <c r="DW167" s="8"/>
      <c r="DX167" s="8"/>
      <c r="DY167" s="8"/>
      <c r="DZ167" s="8"/>
      <c r="EA167" s="8"/>
      <c r="EB167" s="8"/>
      <c r="EC167" s="8"/>
      <c r="ED167" s="8"/>
      <c r="EE167" s="8"/>
      <c r="EF167" s="8"/>
      <c r="EG167" s="8"/>
      <c r="EH167" s="8"/>
      <c r="EI167" s="8"/>
      <c r="EJ167" s="8"/>
      <c r="EK167" s="8"/>
      <c r="EL167" s="8"/>
      <c r="EM167" s="8"/>
      <c r="EN167" s="8"/>
      <c r="EO167" s="8"/>
      <c r="EP167" s="8"/>
      <c r="EQ167" s="8"/>
      <c r="ER167" s="8"/>
      <c r="ES167" s="8"/>
      <c r="ET167" s="8"/>
      <c r="EU167" s="8"/>
      <c r="EV167" s="8"/>
      <c r="EW167" s="8"/>
      <c r="EX167" s="8"/>
      <c r="EY167" s="8"/>
      <c r="EZ167" s="8"/>
      <c r="FA167" s="8"/>
      <c r="FB167" s="8"/>
      <c r="FC167" s="8"/>
      <c r="FD167" s="8"/>
      <c r="FE167" s="8"/>
      <c r="FF167" s="8"/>
      <c r="FG167" s="8"/>
      <c r="FH167" s="8"/>
      <c r="FI167" s="8"/>
      <c r="FJ167" s="8"/>
      <c r="FK167" s="8"/>
      <c r="FL167" s="8"/>
      <c r="FM167" s="8"/>
      <c r="FN167" s="8"/>
      <c r="FO167" s="8"/>
      <c r="FP167" s="8"/>
      <c r="FQ167" s="8"/>
      <c r="FR167" s="8"/>
      <c r="FS167" s="8"/>
      <c r="FT167" s="8"/>
      <c r="FU167" s="8"/>
      <c r="FV167" s="8"/>
      <c r="FW167" s="8"/>
      <c r="FX167" s="8"/>
      <c r="FY167" s="8"/>
      <c r="FZ167" s="8"/>
      <c r="GA167" s="8"/>
      <c r="GB167" s="8"/>
      <c r="GC167" s="8"/>
      <c r="GD167" s="8"/>
      <c r="GE167" s="8"/>
      <c r="GF167" s="8"/>
      <c r="GG167" s="8"/>
      <c r="GH167" s="8"/>
      <c r="GI167" s="8"/>
      <c r="GJ167" s="8"/>
      <c r="GK167" s="8"/>
      <c r="GL167" s="8"/>
      <c r="GM167" s="8"/>
      <c r="GN167" s="8"/>
      <c r="GO167" s="8"/>
      <c r="GP167" s="8"/>
      <c r="GQ167" s="8"/>
      <c r="GR167" s="8"/>
      <c r="GS167" s="8"/>
      <c r="GT167" s="8"/>
      <c r="GU167" s="8"/>
      <c r="GV167" s="8"/>
      <c r="GW167" s="8"/>
      <c r="GX167" s="8"/>
      <c r="GY167" s="8"/>
      <c r="GZ167" s="8"/>
      <c r="HA167" s="8"/>
      <c r="HB167" s="8"/>
      <c r="HC167" s="8"/>
      <c r="HD167" s="8"/>
      <c r="HE167" s="8"/>
      <c r="HF167" s="8"/>
      <c r="HG167" s="8"/>
      <c r="HH167" s="8"/>
      <c r="HI167" s="8"/>
      <c r="HJ167" s="8"/>
      <c r="HK167" s="8"/>
      <c r="HL167" s="8"/>
      <c r="HM167" s="8"/>
      <c r="HN167" s="8"/>
      <c r="HO167" s="8"/>
      <c r="HP167" s="8"/>
      <c r="HQ167" s="8"/>
      <c r="HR167" s="8"/>
      <c r="HS167" s="8"/>
      <c r="HT167" s="8"/>
      <c r="HU167" s="8"/>
      <c r="HV167" s="8"/>
      <c r="HW167" s="8"/>
      <c r="HX167" s="8"/>
      <c r="HY167" s="8"/>
      <c r="HZ167" s="8"/>
      <c r="IA167" s="8"/>
      <c r="IB167" s="8"/>
      <c r="IC167" s="8"/>
      <c r="ID167" s="8"/>
      <c r="IE167" s="8"/>
      <c r="IF167" s="8"/>
      <c r="IG167" s="8"/>
      <c r="IH167" s="8"/>
      <c r="II167" s="8"/>
      <c r="IJ167" s="8"/>
      <c r="IK167" s="8"/>
      <c r="IL167" s="8"/>
      <c r="IM167" s="8"/>
      <c r="IN167" s="8"/>
      <c r="IO167" s="8"/>
      <c r="IP167" s="8"/>
      <c r="IQ167" s="8"/>
      <c r="IR167" s="8"/>
      <c r="IS167" s="8"/>
      <c r="IT167" s="8"/>
      <c r="IU167" s="8"/>
      <c r="IV167" s="8"/>
      <c r="IW167" s="8"/>
      <c r="IX167" s="8"/>
      <c r="JA167" s="123"/>
      <c r="JB167" s="123"/>
      <c r="JC167" s="123"/>
      <c r="JD167" s="70">
        <f>SUM((TEXT(JA167,"[M]")/60)*'Income Person-hours'!$D$3,(TEXT(JB167,"[M]")/60)*'Income Person-hours'!$D$4,(TEXT(JC167,"[M]")/60)*'Income Person-hours'!$D$5)</f>
        <v>0</v>
      </c>
    </row>
    <row r="168" spans="1:264 16383:16384" s="12" customFormat="1" ht="15.75" hidden="1" x14ac:dyDescent="0.45">
      <c r="A168" s="32">
        <v>7.16</v>
      </c>
      <c r="B168" s="126"/>
      <c r="C168" s="117"/>
      <c r="D168" s="13" t="str">
        <f>IF(OR(j_WEEKDAY(J_ADDDAY(VLOOKUP(I168,A:F,6,FALSE),H168,1),0)=6,SUMIFS(Holieday[ok],Holieday[date],J_ADDDAY(VLOOKUP(I168,A:F,6,FALSE),H168,1)))=FALSE(),J_ADDDAY(VLOOKUP(I168,A:F,6,FALSE),H168,1),IF(OR(j_WEEKDAY(J_ADDDAY(VLOOKUP(I168,A:F,6,FALSE),H168+1,1),0)=6,SUMIFS(Holieday[ok],Holieday[date],J_ADDDAY(VLOOKUP(I168,A:F,6,FALSE),H168+1,1)))=FALSE(),J_ADDDAY(VLOOKUP(I168,A:F,6,FALSE),H168+1,1),IF(OR(j_WEEKDAY(J_ADDDAY(VLOOKUP(I168,A:F,6,FALSE),H168+2,1),0)=6,SUMIFS(Holieday[ok],Holieday[date],J_ADDDAY(VLOOKUP(I168,A:F,6,FALSE),H168+2,1)))=FALSE(),J_ADDDAY(VLOOKUP(I168,A:F,6,FALSE),H168+2,1),IF(OR(j_WEEKDAY(J_ADDDAY(VLOOKUP(I168,A:F,6,FALSE),H168+3,1),0)=6,SUMIFS(Holieday[ok],Holieday[date],J_ADDDAY(VLOOKUP(I168,A:F,6,FALSE),H168+3,1)))=FALSE(),J_ADDDAY(VLOOKUP(I168,A:F,6,FALSE),H168+3,1),IF(OR(j_WEEKDAY(J_ADDDAY(VLOOKUP(I168,A:F,6,FALSE),H168+4,1),0)=6,SUMIFS(Holieday[ok],Holieday[date],J_ADDDAY(VLOOKUP(I168,A:F,6,FALSE),H168+4,1)))=FALSE(),J_ADDDAY(VLOOKUP(I168,A:F,6,FALSE),H168+4,1),J_ADDDAY(VLOOKUP(I168,A:F,6,FALSE),H168+5,1))))))</f>
        <v>1398/09/18</v>
      </c>
      <c r="E168" s="2">
        <f t="shared" si="49"/>
        <v>13980918</v>
      </c>
      <c r="F168" s="13" t="str">
        <f>IF(N168=0,J_SUBDAY(D168,1,1),IF((N168-NETWORKDAYS.INTL(J_GregorianDate(D168,1),J_GregorianDate(J_SUBDAY(J_ADDDAY(D168,N168,1),1,1),1),16,1)-SUMIFS(Holieday[ok],Holieday[date],CONCATENATE("&gt;","=",D168),Holieday[date],CONCATENATE("&lt;","=",J_SUBDAY(J_ADDDAY(D168,N168,1),1,1)))+SUMIFS(Holieday[Friday],Holieday[date],CONCATENATE("&gt;","=",D168),Holieday[date],CONCATENATE("&lt;","=",J_SUBDAY(J_ADDDAY(D168,N168,1),1,1))))=0,J_SUBDAY(J_ADDDAY(D168,N168,1),1,1),IF((N168-NETWORKDAYS.INTL(J_GregorianDate(D168,1),J_GregorianDate(J_SUBDAY(J_ADDDAY(D168,N168,1),1,1),1),16,1)-SUMIFS(Holieday[ok],Holieday[date],CONCATENATE("&gt;","=",D168),Holieday[date],CONCATENATE("&lt;","=",J_SUBDAY(J_ADDDAY(D168,N168,1),1,1)))+SUMIFS(Holieday[Friday],Holieday[date],CONCATENATE("&gt;","=",D168),Holieday[date],CONCATENATE("&lt;","=",J_SUBDAY(J_ADDDAY(D168,N168,1),1,1))))=1,J_SUBDAY(J_ADDDAY(D168,N168+1,1),1,1),IF((N168-NETWORKDAYS.INTL(J_GregorianDate(D168,1),J_GregorianDate(J_SUBDAY(J_ADDDAY(D168,N168,1),1,1),1),16,1)-SUMIFS(Holieday[ok],Holieday[date],CONCATENATE("&gt;","=",D168),Holieday[date],CONCATENATE("&lt;","=",J_SUBDAY(J_ADDDAY(D168,N168,1),1,1)))+SUMIFS(Holieday[Friday],Holieday[date],CONCATENATE("&gt;","=",D168),Holieday[date],CONCATENATE("&lt;","=",J_SUBDAY(J_ADDDAY(D168,N168,1),1,1))))=2,J_SUBDAY(J_ADDDAY(D168,N168+2,1),1,1),J_SUBDAY(J_ADDDAY(D168,N168+3,1),1,1)))))</f>
        <v>1398/09/17</v>
      </c>
      <c r="G168" s="3">
        <f t="shared" si="50"/>
        <v>13980917</v>
      </c>
      <c r="H168" s="119"/>
      <c r="I168" s="120">
        <v>7.1</v>
      </c>
      <c r="J168" s="10">
        <f>j_WEEKDAY(D168,2)</f>
        <v>2</v>
      </c>
      <c r="K168" s="22">
        <f t="shared" si="53"/>
        <v>0</v>
      </c>
      <c r="L168" s="9">
        <f t="shared" si="54"/>
        <v>0</v>
      </c>
      <c r="M168" s="121">
        <v>0</v>
      </c>
      <c r="N168" s="118">
        <v>0</v>
      </c>
      <c r="O168" s="11">
        <f t="shared" si="57"/>
        <v>0</v>
      </c>
      <c r="P168" s="11">
        <f>VALUE(J_normdate(J_ADDDAY($D168,$O168,1)))</f>
        <v>13980918</v>
      </c>
      <c r="Q168" s="10">
        <f t="shared" si="58"/>
        <v>0</v>
      </c>
      <c r="R168" s="8"/>
      <c r="S168" s="8"/>
      <c r="T168" s="8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  <c r="AO168" s="8"/>
      <c r="AP168" s="8"/>
      <c r="AQ168" s="8"/>
      <c r="AR168" s="8"/>
      <c r="AS168" s="8"/>
      <c r="AT168" s="8"/>
      <c r="AU168" s="8"/>
      <c r="AV168" s="8"/>
      <c r="AW168" s="8"/>
      <c r="AX168" s="8"/>
      <c r="AY168" s="8"/>
      <c r="AZ168" s="8"/>
      <c r="BA168" s="8"/>
      <c r="BB168" s="8"/>
      <c r="BC168" s="8"/>
      <c r="BD168" s="8"/>
      <c r="BE168" s="8"/>
      <c r="BF168" s="8"/>
      <c r="BG168" s="8"/>
      <c r="BH168" s="8"/>
      <c r="BI168" s="8"/>
      <c r="BJ168" s="8"/>
      <c r="BK168" s="8"/>
      <c r="BL168" s="8"/>
      <c r="BM168" s="8"/>
      <c r="BN168" s="8"/>
      <c r="BO168" s="8"/>
      <c r="BP168" s="8"/>
      <c r="BQ168" s="8"/>
      <c r="BR168" s="8"/>
      <c r="BS168" s="8"/>
      <c r="BT168" s="8"/>
      <c r="BU168" s="8"/>
      <c r="BV168" s="8"/>
      <c r="BW168" s="8"/>
      <c r="BX168" s="8"/>
      <c r="BY168" s="8"/>
      <c r="BZ168" s="8"/>
      <c r="CA168" s="8"/>
      <c r="CB168" s="8"/>
      <c r="CC168" s="8"/>
      <c r="CD168" s="8"/>
      <c r="CE168" s="8"/>
      <c r="CF168" s="8"/>
      <c r="CG168" s="8"/>
      <c r="CH168" s="8"/>
      <c r="CI168" s="8"/>
      <c r="CJ168" s="8"/>
      <c r="CK168" s="8"/>
      <c r="CL168" s="8"/>
      <c r="CM168" s="8"/>
      <c r="CN168" s="8"/>
      <c r="CO168" s="8"/>
      <c r="CP168" s="8"/>
      <c r="CQ168" s="8"/>
      <c r="CR168" s="8"/>
      <c r="CS168" s="8"/>
      <c r="CT168" s="8"/>
      <c r="CU168" s="8"/>
      <c r="CV168" s="8"/>
      <c r="CW168" s="8"/>
      <c r="CX168" s="8"/>
      <c r="CY168" s="8"/>
      <c r="CZ168" s="8"/>
      <c r="DA168" s="8"/>
      <c r="DB168" s="8"/>
      <c r="DC168" s="8"/>
      <c r="DD168" s="8"/>
      <c r="DE168" s="8"/>
      <c r="DF168" s="8"/>
      <c r="DG168" s="8"/>
      <c r="DH168" s="8"/>
      <c r="DI168" s="8"/>
      <c r="DJ168" s="8"/>
      <c r="DK168" s="8"/>
      <c r="DL168" s="8"/>
      <c r="DM168" s="8"/>
      <c r="DN168" s="8"/>
      <c r="DO168" s="8"/>
      <c r="DP168" s="8"/>
      <c r="DQ168" s="8"/>
      <c r="DR168" s="8"/>
      <c r="DS168" s="8"/>
      <c r="DT168" s="8"/>
      <c r="DU168" s="8"/>
      <c r="DV168" s="8"/>
      <c r="DW168" s="8"/>
      <c r="DX168" s="8"/>
      <c r="DY168" s="8"/>
      <c r="DZ168" s="8"/>
      <c r="EA168" s="8"/>
      <c r="EB168" s="8"/>
      <c r="EC168" s="8"/>
      <c r="ED168" s="8"/>
      <c r="EE168" s="8"/>
      <c r="EF168" s="8"/>
      <c r="EG168" s="8"/>
      <c r="EH168" s="8"/>
      <c r="EI168" s="8"/>
      <c r="EJ168" s="8"/>
      <c r="EK168" s="8"/>
      <c r="EL168" s="8"/>
      <c r="EM168" s="8"/>
      <c r="EN168" s="8"/>
      <c r="EO168" s="8"/>
      <c r="EP168" s="8"/>
      <c r="EQ168" s="8"/>
      <c r="ER168" s="8"/>
      <c r="ES168" s="8"/>
      <c r="ET168" s="8"/>
      <c r="EU168" s="8"/>
      <c r="EV168" s="8"/>
      <c r="EW168" s="8"/>
      <c r="EX168" s="8"/>
      <c r="EY168" s="8"/>
      <c r="EZ168" s="8"/>
      <c r="FA168" s="8"/>
      <c r="FB168" s="8"/>
      <c r="FC168" s="8"/>
      <c r="FD168" s="8"/>
      <c r="FE168" s="8"/>
      <c r="FF168" s="8"/>
      <c r="FG168" s="8"/>
      <c r="FH168" s="8"/>
      <c r="FI168" s="8"/>
      <c r="FJ168" s="8"/>
      <c r="FK168" s="8"/>
      <c r="FL168" s="8"/>
      <c r="FM168" s="8"/>
      <c r="FN168" s="8"/>
      <c r="FO168" s="8"/>
      <c r="FP168" s="8"/>
      <c r="FQ168" s="8"/>
      <c r="FR168" s="8"/>
      <c r="FS168" s="8"/>
      <c r="FT168" s="8"/>
      <c r="FU168" s="8"/>
      <c r="FV168" s="8"/>
      <c r="FW168" s="8"/>
      <c r="FX168" s="8"/>
      <c r="FY168" s="8"/>
      <c r="FZ168" s="8"/>
      <c r="GA168" s="8"/>
      <c r="GB168" s="8"/>
      <c r="GC168" s="8"/>
      <c r="GD168" s="8"/>
      <c r="GE168" s="8"/>
      <c r="GF168" s="8"/>
      <c r="GG168" s="8"/>
      <c r="GH168" s="8"/>
      <c r="GI168" s="8"/>
      <c r="GJ168" s="8"/>
      <c r="GK168" s="8"/>
      <c r="GL168" s="8"/>
      <c r="GM168" s="8"/>
      <c r="GN168" s="8"/>
      <c r="GO168" s="8"/>
      <c r="GP168" s="8"/>
      <c r="GQ168" s="8"/>
      <c r="GR168" s="8"/>
      <c r="GS168" s="8"/>
      <c r="GT168" s="8"/>
      <c r="GU168" s="8"/>
      <c r="GV168" s="8"/>
      <c r="GW168" s="8"/>
      <c r="GX168" s="8"/>
      <c r="GY168" s="8"/>
      <c r="GZ168" s="8"/>
      <c r="HA168" s="8"/>
      <c r="HB168" s="8"/>
      <c r="HC168" s="8"/>
      <c r="HD168" s="8"/>
      <c r="HE168" s="8"/>
      <c r="HF168" s="8"/>
      <c r="HG168" s="8"/>
      <c r="HH168" s="8"/>
      <c r="HI168" s="8"/>
      <c r="HJ168" s="8"/>
      <c r="HK168" s="8"/>
      <c r="HL168" s="8"/>
      <c r="HM168" s="8"/>
      <c r="HN168" s="8"/>
      <c r="HO168" s="8"/>
      <c r="HP168" s="8"/>
      <c r="HQ168" s="8"/>
      <c r="HR168" s="8"/>
      <c r="HS168" s="8"/>
      <c r="HT168" s="8"/>
      <c r="HU168" s="8"/>
      <c r="HV168" s="8"/>
      <c r="HW168" s="8"/>
      <c r="HX168" s="8"/>
      <c r="HY168" s="8"/>
      <c r="HZ168" s="8"/>
      <c r="IA168" s="8"/>
      <c r="IB168" s="8"/>
      <c r="IC168" s="8"/>
      <c r="ID168" s="8"/>
      <c r="IE168" s="8"/>
      <c r="IF168" s="8"/>
      <c r="IG168" s="8"/>
      <c r="IH168" s="8"/>
      <c r="II168" s="8"/>
      <c r="IJ168" s="8"/>
      <c r="IK168" s="8"/>
      <c r="IL168" s="8"/>
      <c r="IM168" s="8"/>
      <c r="IN168" s="8"/>
      <c r="IO168" s="8"/>
      <c r="IP168" s="8"/>
      <c r="IQ168" s="8"/>
      <c r="IR168" s="8"/>
      <c r="IS168" s="8"/>
      <c r="IT168" s="8"/>
      <c r="IU168" s="8"/>
      <c r="IV168" s="8"/>
      <c r="IW168" s="8"/>
      <c r="IX168" s="8"/>
      <c r="JA168" s="123"/>
      <c r="JB168" s="123"/>
      <c r="JC168" s="123"/>
      <c r="JD168" s="70">
        <f>SUM((TEXT(JA168,"[M]")/60)*'Income Person-hours'!$D$3,(TEXT(JB168,"[M]")/60)*'Income Person-hours'!$D$4,(TEXT(JC168,"[M]")/60)*'Income Person-hours'!$D$5)</f>
        <v>0</v>
      </c>
    </row>
    <row r="169" spans="1:264 16383:16384" s="12" customFormat="1" ht="15.75" hidden="1" x14ac:dyDescent="0.45">
      <c r="A169" s="32">
        <v>7.17</v>
      </c>
      <c r="B169" s="126"/>
      <c r="C169" s="117"/>
      <c r="D169" s="13" t="str">
        <f>IF(OR(j_WEEKDAY(J_ADDDAY(VLOOKUP(I169,A:F,6,FALSE),H169,1),0)=6,SUMIFS(Holieday[ok],Holieday[date],J_ADDDAY(VLOOKUP(I169,A:F,6,FALSE),H169,1)))=FALSE(),J_ADDDAY(VLOOKUP(I169,A:F,6,FALSE),H169,1),IF(OR(j_WEEKDAY(J_ADDDAY(VLOOKUP(I169,A:F,6,FALSE),H169+1,1),0)=6,SUMIFS(Holieday[ok],Holieday[date],J_ADDDAY(VLOOKUP(I169,A:F,6,FALSE),H169+1,1)))=FALSE(),J_ADDDAY(VLOOKUP(I169,A:F,6,FALSE),H169+1,1),IF(OR(j_WEEKDAY(J_ADDDAY(VLOOKUP(I169,A:F,6,FALSE),H169+2,1),0)=6,SUMIFS(Holieday[ok],Holieday[date],J_ADDDAY(VLOOKUP(I169,A:F,6,FALSE),H169+2,1)))=FALSE(),J_ADDDAY(VLOOKUP(I169,A:F,6,FALSE),H169+2,1),IF(OR(j_WEEKDAY(J_ADDDAY(VLOOKUP(I169,A:F,6,FALSE),H169+3,1),0)=6,SUMIFS(Holieday[ok],Holieday[date],J_ADDDAY(VLOOKUP(I169,A:F,6,FALSE),H169+3,1)))=FALSE(),J_ADDDAY(VLOOKUP(I169,A:F,6,FALSE),H169+3,1),IF(OR(j_WEEKDAY(J_ADDDAY(VLOOKUP(I169,A:F,6,FALSE),H169+4,1),0)=6,SUMIFS(Holieday[ok],Holieday[date],J_ADDDAY(VLOOKUP(I169,A:F,6,FALSE),H169+4,1)))=FALSE(),J_ADDDAY(VLOOKUP(I169,A:F,6,FALSE),H169+4,1),J_ADDDAY(VLOOKUP(I169,A:F,6,FALSE),H169+5,1))))))</f>
        <v>1398/09/18</v>
      </c>
      <c r="E169" s="2">
        <f t="shared" si="49"/>
        <v>13980918</v>
      </c>
      <c r="F169" s="13" t="str">
        <f>IF(N169=0,J_SUBDAY(D169,1,1),IF((N169-NETWORKDAYS.INTL(J_GregorianDate(D169,1),J_GregorianDate(J_SUBDAY(J_ADDDAY(D169,N169,1),1,1),1),16,1)-SUMIFS(Holieday[ok],Holieday[date],CONCATENATE("&gt;","=",D169),Holieday[date],CONCATENATE("&lt;","=",J_SUBDAY(J_ADDDAY(D169,N169,1),1,1)))+SUMIFS(Holieday[Friday],Holieday[date],CONCATENATE("&gt;","=",D169),Holieday[date],CONCATENATE("&lt;","=",J_SUBDAY(J_ADDDAY(D169,N169,1),1,1))))=0,J_SUBDAY(J_ADDDAY(D169,N169,1),1,1),IF((N169-NETWORKDAYS.INTL(J_GregorianDate(D169,1),J_GregorianDate(J_SUBDAY(J_ADDDAY(D169,N169,1),1,1),1),16,1)-SUMIFS(Holieday[ok],Holieday[date],CONCATENATE("&gt;","=",D169),Holieday[date],CONCATENATE("&lt;","=",J_SUBDAY(J_ADDDAY(D169,N169,1),1,1)))+SUMIFS(Holieday[Friday],Holieday[date],CONCATENATE("&gt;","=",D169),Holieday[date],CONCATENATE("&lt;","=",J_SUBDAY(J_ADDDAY(D169,N169,1),1,1))))=1,J_SUBDAY(J_ADDDAY(D169,N169+1,1),1,1),IF((N169-NETWORKDAYS.INTL(J_GregorianDate(D169,1),J_GregorianDate(J_SUBDAY(J_ADDDAY(D169,N169,1),1,1),1),16,1)-SUMIFS(Holieday[ok],Holieday[date],CONCATENATE("&gt;","=",D169),Holieday[date],CONCATENATE("&lt;","=",J_SUBDAY(J_ADDDAY(D169,N169,1),1,1)))+SUMIFS(Holieday[Friday],Holieday[date],CONCATENATE("&gt;","=",D169),Holieday[date],CONCATENATE("&lt;","=",J_SUBDAY(J_ADDDAY(D169,N169,1),1,1))))=2,J_SUBDAY(J_ADDDAY(D169,N169+2,1),1,1),J_SUBDAY(J_ADDDAY(D169,N169+3,1),1,1)))))</f>
        <v>1398/09/17</v>
      </c>
      <c r="G169" s="3">
        <f t="shared" si="50"/>
        <v>13980917</v>
      </c>
      <c r="H169" s="119"/>
      <c r="I169" s="120">
        <v>7.1</v>
      </c>
      <c r="J169" s="10">
        <f>j_WEEKDAY(D169,2)</f>
        <v>2</v>
      </c>
      <c r="K169" s="22">
        <f t="shared" si="53"/>
        <v>0</v>
      </c>
      <c r="L169" s="9">
        <f t="shared" si="54"/>
        <v>0</v>
      </c>
      <c r="M169" s="121">
        <v>0</v>
      </c>
      <c r="N169" s="118">
        <v>0</v>
      </c>
      <c r="O169" s="11">
        <f t="shared" si="57"/>
        <v>0</v>
      </c>
      <c r="P169" s="11">
        <f>VALUE(J_normdate(J_ADDDAY($D169,$O169,1)))</f>
        <v>13980918</v>
      </c>
      <c r="Q169" s="10">
        <f t="shared" si="58"/>
        <v>0</v>
      </c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  <c r="AO169" s="8"/>
      <c r="AP169" s="8"/>
      <c r="AQ169" s="8"/>
      <c r="AR169" s="8"/>
      <c r="AS169" s="8"/>
      <c r="AT169" s="8"/>
      <c r="AU169" s="8"/>
      <c r="AV169" s="8"/>
      <c r="AW169" s="8"/>
      <c r="AX169" s="8"/>
      <c r="AY169" s="8"/>
      <c r="AZ169" s="8"/>
      <c r="BA169" s="8"/>
      <c r="BB169" s="8"/>
      <c r="BC169" s="8"/>
      <c r="BD169" s="8"/>
      <c r="BE169" s="8"/>
      <c r="BF169" s="8"/>
      <c r="BG169" s="8"/>
      <c r="BH169" s="8"/>
      <c r="BI169" s="8"/>
      <c r="BJ169" s="8"/>
      <c r="BK169" s="8"/>
      <c r="BL169" s="8"/>
      <c r="BM169" s="8"/>
      <c r="BN169" s="8"/>
      <c r="BO169" s="8"/>
      <c r="BP169" s="8"/>
      <c r="BQ169" s="8"/>
      <c r="BR169" s="8"/>
      <c r="BS169" s="8"/>
      <c r="BT169" s="8"/>
      <c r="BU169" s="8"/>
      <c r="BV169" s="8"/>
      <c r="BW169" s="8"/>
      <c r="BX169" s="8"/>
      <c r="BY169" s="8"/>
      <c r="BZ169" s="8"/>
      <c r="CA169" s="8"/>
      <c r="CB169" s="8"/>
      <c r="CC169" s="8"/>
      <c r="CD169" s="8"/>
      <c r="CE169" s="8"/>
      <c r="CF169" s="8"/>
      <c r="CG169" s="8"/>
      <c r="CH169" s="8"/>
      <c r="CI169" s="8"/>
      <c r="CJ169" s="8"/>
      <c r="CK169" s="8"/>
      <c r="CL169" s="8"/>
      <c r="CM169" s="8"/>
      <c r="CN169" s="8"/>
      <c r="CO169" s="8"/>
      <c r="CP169" s="8"/>
      <c r="CQ169" s="8"/>
      <c r="CR169" s="8"/>
      <c r="CS169" s="8"/>
      <c r="CT169" s="8"/>
      <c r="CU169" s="8"/>
      <c r="CV169" s="8"/>
      <c r="CW169" s="8"/>
      <c r="CX169" s="8"/>
      <c r="CY169" s="8"/>
      <c r="CZ169" s="8"/>
      <c r="DA169" s="8"/>
      <c r="DB169" s="8"/>
      <c r="DC169" s="8"/>
      <c r="DD169" s="8"/>
      <c r="DE169" s="8"/>
      <c r="DF169" s="8"/>
      <c r="DG169" s="8"/>
      <c r="DH169" s="8"/>
      <c r="DI169" s="8"/>
      <c r="DJ169" s="8"/>
      <c r="DK169" s="8"/>
      <c r="DL169" s="8"/>
      <c r="DM169" s="8"/>
      <c r="DN169" s="8"/>
      <c r="DO169" s="8"/>
      <c r="DP169" s="8"/>
      <c r="DQ169" s="8"/>
      <c r="DR169" s="8"/>
      <c r="DS169" s="8"/>
      <c r="DT169" s="8"/>
      <c r="DU169" s="8"/>
      <c r="DV169" s="8"/>
      <c r="DW169" s="8"/>
      <c r="DX169" s="8"/>
      <c r="DY169" s="8"/>
      <c r="DZ169" s="8"/>
      <c r="EA169" s="8"/>
      <c r="EB169" s="8"/>
      <c r="EC169" s="8"/>
      <c r="ED169" s="8"/>
      <c r="EE169" s="8"/>
      <c r="EF169" s="8"/>
      <c r="EG169" s="8"/>
      <c r="EH169" s="8"/>
      <c r="EI169" s="8"/>
      <c r="EJ169" s="8"/>
      <c r="EK169" s="8"/>
      <c r="EL169" s="8"/>
      <c r="EM169" s="8"/>
      <c r="EN169" s="8"/>
      <c r="EO169" s="8"/>
      <c r="EP169" s="8"/>
      <c r="EQ169" s="8"/>
      <c r="ER169" s="8"/>
      <c r="ES169" s="8"/>
      <c r="ET169" s="8"/>
      <c r="EU169" s="8"/>
      <c r="EV169" s="8"/>
      <c r="EW169" s="8"/>
      <c r="EX169" s="8"/>
      <c r="EY169" s="8"/>
      <c r="EZ169" s="8"/>
      <c r="FA169" s="8"/>
      <c r="FB169" s="8"/>
      <c r="FC169" s="8"/>
      <c r="FD169" s="8"/>
      <c r="FE169" s="8"/>
      <c r="FF169" s="8"/>
      <c r="FG169" s="8"/>
      <c r="FH169" s="8"/>
      <c r="FI169" s="8"/>
      <c r="FJ169" s="8"/>
      <c r="FK169" s="8"/>
      <c r="FL169" s="8"/>
      <c r="FM169" s="8"/>
      <c r="FN169" s="8"/>
      <c r="FO169" s="8"/>
      <c r="FP169" s="8"/>
      <c r="FQ169" s="8"/>
      <c r="FR169" s="8"/>
      <c r="FS169" s="8"/>
      <c r="FT169" s="8"/>
      <c r="FU169" s="8"/>
      <c r="FV169" s="8"/>
      <c r="FW169" s="8"/>
      <c r="FX169" s="8"/>
      <c r="FY169" s="8"/>
      <c r="FZ169" s="8"/>
      <c r="GA169" s="8"/>
      <c r="GB169" s="8"/>
      <c r="GC169" s="8"/>
      <c r="GD169" s="8"/>
      <c r="GE169" s="8"/>
      <c r="GF169" s="8"/>
      <c r="GG169" s="8"/>
      <c r="GH169" s="8"/>
      <c r="GI169" s="8"/>
      <c r="GJ169" s="8"/>
      <c r="GK169" s="8"/>
      <c r="GL169" s="8"/>
      <c r="GM169" s="8"/>
      <c r="GN169" s="8"/>
      <c r="GO169" s="8"/>
      <c r="GP169" s="8"/>
      <c r="GQ169" s="8"/>
      <c r="GR169" s="8"/>
      <c r="GS169" s="8"/>
      <c r="GT169" s="8"/>
      <c r="GU169" s="8"/>
      <c r="GV169" s="8"/>
      <c r="GW169" s="8"/>
      <c r="GX169" s="8"/>
      <c r="GY169" s="8"/>
      <c r="GZ169" s="8"/>
      <c r="HA169" s="8"/>
      <c r="HB169" s="8"/>
      <c r="HC169" s="8"/>
      <c r="HD169" s="8"/>
      <c r="HE169" s="8"/>
      <c r="HF169" s="8"/>
      <c r="HG169" s="8"/>
      <c r="HH169" s="8"/>
      <c r="HI169" s="8"/>
      <c r="HJ169" s="8"/>
      <c r="HK169" s="8"/>
      <c r="HL169" s="8"/>
      <c r="HM169" s="8"/>
      <c r="HN169" s="8"/>
      <c r="HO169" s="8"/>
      <c r="HP169" s="8"/>
      <c r="HQ169" s="8"/>
      <c r="HR169" s="8"/>
      <c r="HS169" s="8"/>
      <c r="HT169" s="8"/>
      <c r="HU169" s="8"/>
      <c r="HV169" s="8"/>
      <c r="HW169" s="8"/>
      <c r="HX169" s="8"/>
      <c r="HY169" s="8"/>
      <c r="HZ169" s="8"/>
      <c r="IA169" s="8"/>
      <c r="IB169" s="8"/>
      <c r="IC169" s="8"/>
      <c r="ID169" s="8"/>
      <c r="IE169" s="8"/>
      <c r="IF169" s="8"/>
      <c r="IG169" s="8"/>
      <c r="IH169" s="8"/>
      <c r="II169" s="8"/>
      <c r="IJ169" s="8"/>
      <c r="IK169" s="8"/>
      <c r="IL169" s="8"/>
      <c r="IM169" s="8"/>
      <c r="IN169" s="8"/>
      <c r="IO169" s="8"/>
      <c r="IP169" s="8"/>
      <c r="IQ169" s="8"/>
      <c r="IR169" s="8"/>
      <c r="IS169" s="8"/>
      <c r="IT169" s="8"/>
      <c r="IU169" s="8"/>
      <c r="IV169" s="8"/>
      <c r="IW169" s="8"/>
      <c r="IX169" s="8"/>
      <c r="JA169" s="123"/>
      <c r="JB169" s="123"/>
      <c r="JC169" s="123"/>
      <c r="JD169" s="70">
        <f>SUM((TEXT(JA169,"[M]")/60)*'Income Person-hours'!$D$3,(TEXT(JB169,"[M]")/60)*'Income Person-hours'!$D$4,(TEXT(JC169,"[M]")/60)*'Income Person-hours'!$D$5)</f>
        <v>0</v>
      </c>
    </row>
    <row r="170" spans="1:264 16383:16384" s="12" customFormat="1" ht="15.75" hidden="1" x14ac:dyDescent="0.45">
      <c r="A170" s="32">
        <v>7.18</v>
      </c>
      <c r="B170" s="126"/>
      <c r="C170" s="117"/>
      <c r="D170" s="13" t="str">
        <f>IF(OR(j_WEEKDAY(J_ADDDAY(VLOOKUP(I170,A:F,6,FALSE),H170,1),0)=6,SUMIFS(Holieday[ok],Holieday[date],J_ADDDAY(VLOOKUP(I170,A:F,6,FALSE),H170,1)))=FALSE(),J_ADDDAY(VLOOKUP(I170,A:F,6,FALSE),H170,1),IF(OR(j_WEEKDAY(J_ADDDAY(VLOOKUP(I170,A:F,6,FALSE),H170+1,1),0)=6,SUMIFS(Holieday[ok],Holieday[date],J_ADDDAY(VLOOKUP(I170,A:F,6,FALSE),H170+1,1)))=FALSE(),J_ADDDAY(VLOOKUP(I170,A:F,6,FALSE),H170+1,1),IF(OR(j_WEEKDAY(J_ADDDAY(VLOOKUP(I170,A:F,6,FALSE),H170+2,1),0)=6,SUMIFS(Holieday[ok],Holieday[date],J_ADDDAY(VLOOKUP(I170,A:F,6,FALSE),H170+2,1)))=FALSE(),J_ADDDAY(VLOOKUP(I170,A:F,6,FALSE),H170+2,1),IF(OR(j_WEEKDAY(J_ADDDAY(VLOOKUP(I170,A:F,6,FALSE),H170+3,1),0)=6,SUMIFS(Holieday[ok],Holieday[date],J_ADDDAY(VLOOKUP(I170,A:F,6,FALSE),H170+3,1)))=FALSE(),J_ADDDAY(VLOOKUP(I170,A:F,6,FALSE),H170+3,1),IF(OR(j_WEEKDAY(J_ADDDAY(VLOOKUP(I170,A:F,6,FALSE),H170+4,1),0)=6,SUMIFS(Holieday[ok],Holieday[date],J_ADDDAY(VLOOKUP(I170,A:F,6,FALSE),H170+4,1)))=FALSE(),J_ADDDAY(VLOOKUP(I170,A:F,6,FALSE),H170+4,1),J_ADDDAY(VLOOKUP(I170,A:F,6,FALSE),H170+5,1))))))</f>
        <v>1398/09/18</v>
      </c>
      <c r="E170" s="2">
        <f t="shared" si="49"/>
        <v>13980918</v>
      </c>
      <c r="F170" s="13" t="str">
        <f>IF(N170=0,J_SUBDAY(D170,1,1),IF((N170-NETWORKDAYS.INTL(J_GregorianDate(D170,1),J_GregorianDate(J_SUBDAY(J_ADDDAY(D170,N170,1),1,1),1),16,1)-SUMIFS(Holieday[ok],Holieday[date],CONCATENATE("&gt;","=",D170),Holieday[date],CONCATENATE("&lt;","=",J_SUBDAY(J_ADDDAY(D170,N170,1),1,1)))+SUMIFS(Holieday[Friday],Holieday[date],CONCATENATE("&gt;","=",D170),Holieday[date],CONCATENATE("&lt;","=",J_SUBDAY(J_ADDDAY(D170,N170,1),1,1))))=0,J_SUBDAY(J_ADDDAY(D170,N170,1),1,1),IF((N170-NETWORKDAYS.INTL(J_GregorianDate(D170,1),J_GregorianDate(J_SUBDAY(J_ADDDAY(D170,N170,1),1,1),1),16,1)-SUMIFS(Holieday[ok],Holieday[date],CONCATENATE("&gt;","=",D170),Holieday[date],CONCATENATE("&lt;","=",J_SUBDAY(J_ADDDAY(D170,N170,1),1,1)))+SUMIFS(Holieday[Friday],Holieday[date],CONCATENATE("&gt;","=",D170),Holieday[date],CONCATENATE("&lt;","=",J_SUBDAY(J_ADDDAY(D170,N170,1),1,1))))=1,J_SUBDAY(J_ADDDAY(D170,N170+1,1),1,1),IF((N170-NETWORKDAYS.INTL(J_GregorianDate(D170,1),J_GregorianDate(J_SUBDAY(J_ADDDAY(D170,N170,1),1,1),1),16,1)-SUMIFS(Holieday[ok],Holieday[date],CONCATENATE("&gt;","=",D170),Holieday[date],CONCATENATE("&lt;","=",J_SUBDAY(J_ADDDAY(D170,N170,1),1,1)))+SUMIFS(Holieday[Friday],Holieday[date],CONCATENATE("&gt;","=",D170),Holieday[date],CONCATENATE("&lt;","=",J_SUBDAY(J_ADDDAY(D170,N170,1),1,1))))=2,J_SUBDAY(J_ADDDAY(D170,N170+2,1),1,1),J_SUBDAY(J_ADDDAY(D170,N170+3,1),1,1)))))</f>
        <v>1398/09/17</v>
      </c>
      <c r="G170" s="3">
        <f t="shared" si="50"/>
        <v>13980917</v>
      </c>
      <c r="H170" s="119"/>
      <c r="I170" s="120">
        <v>7.1</v>
      </c>
      <c r="J170" s="10">
        <f>j_WEEKDAY(D170,2)</f>
        <v>2</v>
      </c>
      <c r="K170" s="22">
        <f t="shared" si="53"/>
        <v>0</v>
      </c>
      <c r="L170" s="9">
        <f t="shared" si="54"/>
        <v>0</v>
      </c>
      <c r="M170" s="121">
        <v>0</v>
      </c>
      <c r="N170" s="118">
        <v>0</v>
      </c>
      <c r="O170" s="11">
        <f t="shared" si="57"/>
        <v>0</v>
      </c>
      <c r="P170" s="11">
        <f>VALUE(J_normdate(J_ADDDAY($D170,$O170,1)))</f>
        <v>13980918</v>
      </c>
      <c r="Q170" s="10">
        <f t="shared" si="58"/>
        <v>0</v>
      </c>
      <c r="R170" s="8"/>
      <c r="S170" s="8"/>
      <c r="T170" s="8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  <c r="AO170" s="8"/>
      <c r="AP170" s="8"/>
      <c r="AQ170" s="8"/>
      <c r="AR170" s="8"/>
      <c r="AS170" s="8"/>
      <c r="AT170" s="8"/>
      <c r="AU170" s="8"/>
      <c r="AV170" s="8"/>
      <c r="AW170" s="8"/>
      <c r="AX170" s="8"/>
      <c r="AY170" s="8"/>
      <c r="AZ170" s="8"/>
      <c r="BA170" s="8"/>
      <c r="BB170" s="8"/>
      <c r="BC170" s="8"/>
      <c r="BD170" s="8"/>
      <c r="BE170" s="8"/>
      <c r="BF170" s="8"/>
      <c r="BG170" s="8"/>
      <c r="BH170" s="8"/>
      <c r="BI170" s="8"/>
      <c r="BJ170" s="8"/>
      <c r="BK170" s="8"/>
      <c r="BL170" s="8"/>
      <c r="BM170" s="8"/>
      <c r="BN170" s="8"/>
      <c r="BO170" s="8"/>
      <c r="BP170" s="8"/>
      <c r="BQ170" s="8"/>
      <c r="BR170" s="8"/>
      <c r="BS170" s="8"/>
      <c r="BT170" s="8"/>
      <c r="BU170" s="8"/>
      <c r="BV170" s="8"/>
      <c r="BW170" s="8"/>
      <c r="BX170" s="8"/>
      <c r="BY170" s="8"/>
      <c r="BZ170" s="8"/>
      <c r="CA170" s="8"/>
      <c r="CB170" s="8"/>
      <c r="CC170" s="8"/>
      <c r="CD170" s="8"/>
      <c r="CE170" s="8"/>
      <c r="CF170" s="8"/>
      <c r="CG170" s="8"/>
      <c r="CH170" s="8"/>
      <c r="CI170" s="8"/>
      <c r="CJ170" s="8"/>
      <c r="CK170" s="8"/>
      <c r="CL170" s="8"/>
      <c r="CM170" s="8"/>
      <c r="CN170" s="8"/>
      <c r="CO170" s="8"/>
      <c r="CP170" s="8"/>
      <c r="CQ170" s="8"/>
      <c r="CR170" s="8"/>
      <c r="CS170" s="8"/>
      <c r="CT170" s="8"/>
      <c r="CU170" s="8"/>
      <c r="CV170" s="8"/>
      <c r="CW170" s="8"/>
      <c r="CX170" s="8"/>
      <c r="CY170" s="8"/>
      <c r="CZ170" s="8"/>
      <c r="DA170" s="8"/>
      <c r="DB170" s="8"/>
      <c r="DC170" s="8"/>
      <c r="DD170" s="8"/>
      <c r="DE170" s="8"/>
      <c r="DF170" s="8"/>
      <c r="DG170" s="8"/>
      <c r="DH170" s="8"/>
      <c r="DI170" s="8"/>
      <c r="DJ170" s="8"/>
      <c r="DK170" s="8"/>
      <c r="DL170" s="8"/>
      <c r="DM170" s="8"/>
      <c r="DN170" s="8"/>
      <c r="DO170" s="8"/>
      <c r="DP170" s="8"/>
      <c r="DQ170" s="8"/>
      <c r="DR170" s="8"/>
      <c r="DS170" s="8"/>
      <c r="DT170" s="8"/>
      <c r="DU170" s="8"/>
      <c r="DV170" s="8"/>
      <c r="DW170" s="8"/>
      <c r="DX170" s="8"/>
      <c r="DY170" s="8"/>
      <c r="DZ170" s="8"/>
      <c r="EA170" s="8"/>
      <c r="EB170" s="8"/>
      <c r="EC170" s="8"/>
      <c r="ED170" s="8"/>
      <c r="EE170" s="8"/>
      <c r="EF170" s="8"/>
      <c r="EG170" s="8"/>
      <c r="EH170" s="8"/>
      <c r="EI170" s="8"/>
      <c r="EJ170" s="8"/>
      <c r="EK170" s="8"/>
      <c r="EL170" s="8"/>
      <c r="EM170" s="8"/>
      <c r="EN170" s="8"/>
      <c r="EO170" s="8"/>
      <c r="EP170" s="8"/>
      <c r="EQ170" s="8"/>
      <c r="ER170" s="8"/>
      <c r="ES170" s="8"/>
      <c r="ET170" s="8"/>
      <c r="EU170" s="8"/>
      <c r="EV170" s="8"/>
      <c r="EW170" s="8"/>
      <c r="EX170" s="8"/>
      <c r="EY170" s="8"/>
      <c r="EZ170" s="8"/>
      <c r="FA170" s="8"/>
      <c r="FB170" s="8"/>
      <c r="FC170" s="8"/>
      <c r="FD170" s="8"/>
      <c r="FE170" s="8"/>
      <c r="FF170" s="8"/>
      <c r="FG170" s="8"/>
      <c r="FH170" s="8"/>
      <c r="FI170" s="8"/>
      <c r="FJ170" s="8"/>
      <c r="FK170" s="8"/>
      <c r="FL170" s="8"/>
      <c r="FM170" s="8"/>
      <c r="FN170" s="8"/>
      <c r="FO170" s="8"/>
      <c r="FP170" s="8"/>
      <c r="FQ170" s="8"/>
      <c r="FR170" s="8"/>
      <c r="FS170" s="8"/>
      <c r="FT170" s="8"/>
      <c r="FU170" s="8"/>
      <c r="FV170" s="8"/>
      <c r="FW170" s="8"/>
      <c r="FX170" s="8"/>
      <c r="FY170" s="8"/>
      <c r="FZ170" s="8"/>
      <c r="GA170" s="8"/>
      <c r="GB170" s="8"/>
      <c r="GC170" s="8"/>
      <c r="GD170" s="8"/>
      <c r="GE170" s="8"/>
      <c r="GF170" s="8"/>
      <c r="GG170" s="8"/>
      <c r="GH170" s="8"/>
      <c r="GI170" s="8"/>
      <c r="GJ170" s="8"/>
      <c r="GK170" s="8"/>
      <c r="GL170" s="8"/>
      <c r="GM170" s="8"/>
      <c r="GN170" s="8"/>
      <c r="GO170" s="8"/>
      <c r="GP170" s="8"/>
      <c r="GQ170" s="8"/>
      <c r="GR170" s="8"/>
      <c r="GS170" s="8"/>
      <c r="GT170" s="8"/>
      <c r="GU170" s="8"/>
      <c r="GV170" s="8"/>
      <c r="GW170" s="8"/>
      <c r="GX170" s="8"/>
      <c r="GY170" s="8"/>
      <c r="GZ170" s="8"/>
      <c r="HA170" s="8"/>
      <c r="HB170" s="8"/>
      <c r="HC170" s="8"/>
      <c r="HD170" s="8"/>
      <c r="HE170" s="8"/>
      <c r="HF170" s="8"/>
      <c r="HG170" s="8"/>
      <c r="HH170" s="8"/>
      <c r="HI170" s="8"/>
      <c r="HJ170" s="8"/>
      <c r="HK170" s="8"/>
      <c r="HL170" s="8"/>
      <c r="HM170" s="8"/>
      <c r="HN170" s="8"/>
      <c r="HO170" s="8"/>
      <c r="HP170" s="8"/>
      <c r="HQ170" s="8"/>
      <c r="HR170" s="8"/>
      <c r="HS170" s="8"/>
      <c r="HT170" s="8"/>
      <c r="HU170" s="8"/>
      <c r="HV170" s="8"/>
      <c r="HW170" s="8"/>
      <c r="HX170" s="8"/>
      <c r="HY170" s="8"/>
      <c r="HZ170" s="8"/>
      <c r="IA170" s="8"/>
      <c r="IB170" s="8"/>
      <c r="IC170" s="8"/>
      <c r="ID170" s="8"/>
      <c r="IE170" s="8"/>
      <c r="IF170" s="8"/>
      <c r="IG170" s="8"/>
      <c r="IH170" s="8"/>
      <c r="II170" s="8"/>
      <c r="IJ170" s="8"/>
      <c r="IK170" s="8"/>
      <c r="IL170" s="8"/>
      <c r="IM170" s="8"/>
      <c r="IN170" s="8"/>
      <c r="IO170" s="8"/>
      <c r="IP170" s="8"/>
      <c r="IQ170" s="8"/>
      <c r="IR170" s="8"/>
      <c r="IS170" s="8"/>
      <c r="IT170" s="8"/>
      <c r="IU170" s="8"/>
      <c r="IV170" s="8"/>
      <c r="IW170" s="8"/>
      <c r="IX170" s="8"/>
      <c r="JA170" s="123"/>
      <c r="JB170" s="123"/>
      <c r="JC170" s="123"/>
      <c r="JD170" s="70">
        <f>SUM((TEXT(JA170,"[M]")/60)*'Income Person-hours'!$D$3,(TEXT(JB170,"[M]")/60)*'Income Person-hours'!$D$4,(TEXT(JC170,"[M]")/60)*'Income Person-hours'!$D$5)</f>
        <v>0</v>
      </c>
    </row>
    <row r="171" spans="1:264 16383:16384" s="12" customFormat="1" ht="15.75" hidden="1" x14ac:dyDescent="0.45">
      <c r="A171" s="32">
        <v>7.19</v>
      </c>
      <c r="B171" s="126"/>
      <c r="C171" s="117"/>
      <c r="D171" s="13" t="str">
        <f>IF(OR(j_WEEKDAY(J_ADDDAY(VLOOKUP(I171,A:F,6,FALSE),H171,1),0)=6,SUMIFS(Holieday[ok],Holieday[date],J_ADDDAY(VLOOKUP(I171,A:F,6,FALSE),H171,1)))=FALSE(),J_ADDDAY(VLOOKUP(I171,A:F,6,FALSE),H171,1),IF(OR(j_WEEKDAY(J_ADDDAY(VLOOKUP(I171,A:F,6,FALSE),H171+1,1),0)=6,SUMIFS(Holieday[ok],Holieday[date],J_ADDDAY(VLOOKUP(I171,A:F,6,FALSE),H171+1,1)))=FALSE(),J_ADDDAY(VLOOKUP(I171,A:F,6,FALSE),H171+1,1),IF(OR(j_WEEKDAY(J_ADDDAY(VLOOKUP(I171,A:F,6,FALSE),H171+2,1),0)=6,SUMIFS(Holieday[ok],Holieday[date],J_ADDDAY(VLOOKUP(I171,A:F,6,FALSE),H171+2,1)))=FALSE(),J_ADDDAY(VLOOKUP(I171,A:F,6,FALSE),H171+2,1),IF(OR(j_WEEKDAY(J_ADDDAY(VLOOKUP(I171,A:F,6,FALSE),H171+3,1),0)=6,SUMIFS(Holieday[ok],Holieday[date],J_ADDDAY(VLOOKUP(I171,A:F,6,FALSE),H171+3,1)))=FALSE(),J_ADDDAY(VLOOKUP(I171,A:F,6,FALSE),H171+3,1),IF(OR(j_WEEKDAY(J_ADDDAY(VLOOKUP(I171,A:F,6,FALSE),H171+4,1),0)=6,SUMIFS(Holieday[ok],Holieday[date],J_ADDDAY(VLOOKUP(I171,A:F,6,FALSE),H171+4,1)))=FALSE(),J_ADDDAY(VLOOKUP(I171,A:F,6,FALSE),H171+4,1),J_ADDDAY(VLOOKUP(I171,A:F,6,FALSE),H171+5,1))))))</f>
        <v>1398/09/18</v>
      </c>
      <c r="E171" s="2">
        <f t="shared" si="49"/>
        <v>13980918</v>
      </c>
      <c r="F171" s="13" t="str">
        <f>IF(N171=0,J_SUBDAY(D171,1,1),IF((N171-NETWORKDAYS.INTL(J_GregorianDate(D171,1),J_GregorianDate(J_SUBDAY(J_ADDDAY(D171,N171,1),1,1),1),16,1)-SUMIFS(Holieday[ok],Holieday[date],CONCATENATE("&gt;","=",D171),Holieday[date],CONCATENATE("&lt;","=",J_SUBDAY(J_ADDDAY(D171,N171,1),1,1)))+SUMIFS(Holieday[Friday],Holieday[date],CONCATENATE("&gt;","=",D171),Holieday[date],CONCATENATE("&lt;","=",J_SUBDAY(J_ADDDAY(D171,N171,1),1,1))))=0,J_SUBDAY(J_ADDDAY(D171,N171,1),1,1),IF((N171-NETWORKDAYS.INTL(J_GregorianDate(D171,1),J_GregorianDate(J_SUBDAY(J_ADDDAY(D171,N171,1),1,1),1),16,1)-SUMIFS(Holieday[ok],Holieday[date],CONCATENATE("&gt;","=",D171),Holieday[date],CONCATENATE("&lt;","=",J_SUBDAY(J_ADDDAY(D171,N171,1),1,1)))+SUMIFS(Holieday[Friday],Holieday[date],CONCATENATE("&gt;","=",D171),Holieday[date],CONCATENATE("&lt;","=",J_SUBDAY(J_ADDDAY(D171,N171,1),1,1))))=1,J_SUBDAY(J_ADDDAY(D171,N171+1,1),1,1),IF((N171-NETWORKDAYS.INTL(J_GregorianDate(D171,1),J_GregorianDate(J_SUBDAY(J_ADDDAY(D171,N171,1),1,1),1),16,1)-SUMIFS(Holieday[ok],Holieday[date],CONCATENATE("&gt;","=",D171),Holieday[date],CONCATENATE("&lt;","=",J_SUBDAY(J_ADDDAY(D171,N171,1),1,1)))+SUMIFS(Holieday[Friday],Holieday[date],CONCATENATE("&gt;","=",D171),Holieday[date],CONCATENATE("&lt;","=",J_SUBDAY(J_ADDDAY(D171,N171,1),1,1))))=2,J_SUBDAY(J_ADDDAY(D171,N171+2,1),1,1),J_SUBDAY(J_ADDDAY(D171,N171+3,1),1,1)))))</f>
        <v>1398/09/17</v>
      </c>
      <c r="G171" s="3">
        <f t="shared" si="50"/>
        <v>13980917</v>
      </c>
      <c r="H171" s="119"/>
      <c r="I171" s="120">
        <v>7.1</v>
      </c>
      <c r="J171" s="10">
        <f>j_WEEKDAY(D171,2)</f>
        <v>2</v>
      </c>
      <c r="K171" s="22">
        <f t="shared" si="53"/>
        <v>0</v>
      </c>
      <c r="L171" s="9">
        <f t="shared" si="54"/>
        <v>0</v>
      </c>
      <c r="M171" s="121">
        <v>0</v>
      </c>
      <c r="N171" s="118">
        <v>0</v>
      </c>
      <c r="O171" s="11">
        <f t="shared" si="57"/>
        <v>0</v>
      </c>
      <c r="P171" s="11">
        <f>VALUE(J_normdate(J_ADDDAY($D171,$O171,1)))</f>
        <v>13980918</v>
      </c>
      <c r="Q171" s="10">
        <f t="shared" si="58"/>
        <v>0</v>
      </c>
      <c r="R171" s="8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  <c r="AO171" s="8"/>
      <c r="AP171" s="8"/>
      <c r="AQ171" s="8"/>
      <c r="AR171" s="8"/>
      <c r="AS171" s="8"/>
      <c r="AT171" s="8"/>
      <c r="AU171" s="8"/>
      <c r="AV171" s="8"/>
      <c r="AW171" s="8"/>
      <c r="AX171" s="8"/>
      <c r="AY171" s="8"/>
      <c r="AZ171" s="8"/>
      <c r="BA171" s="8"/>
      <c r="BB171" s="8"/>
      <c r="BC171" s="8"/>
      <c r="BD171" s="8"/>
      <c r="BE171" s="8"/>
      <c r="BF171" s="8"/>
      <c r="BG171" s="8"/>
      <c r="BH171" s="8"/>
      <c r="BI171" s="8"/>
      <c r="BJ171" s="8"/>
      <c r="BK171" s="8"/>
      <c r="BL171" s="8"/>
      <c r="BM171" s="8"/>
      <c r="BN171" s="8"/>
      <c r="BO171" s="8"/>
      <c r="BP171" s="8"/>
      <c r="BQ171" s="8"/>
      <c r="BR171" s="8"/>
      <c r="BS171" s="8"/>
      <c r="BT171" s="8"/>
      <c r="BU171" s="8"/>
      <c r="BV171" s="8"/>
      <c r="BW171" s="8"/>
      <c r="BX171" s="8"/>
      <c r="BY171" s="8"/>
      <c r="BZ171" s="8"/>
      <c r="CA171" s="8"/>
      <c r="CB171" s="8"/>
      <c r="CC171" s="8"/>
      <c r="CD171" s="8"/>
      <c r="CE171" s="8"/>
      <c r="CF171" s="8"/>
      <c r="CG171" s="8"/>
      <c r="CH171" s="8"/>
      <c r="CI171" s="8"/>
      <c r="CJ171" s="8"/>
      <c r="CK171" s="8"/>
      <c r="CL171" s="8"/>
      <c r="CM171" s="8"/>
      <c r="CN171" s="8"/>
      <c r="CO171" s="8"/>
      <c r="CP171" s="8"/>
      <c r="CQ171" s="8"/>
      <c r="CR171" s="8"/>
      <c r="CS171" s="8"/>
      <c r="CT171" s="8"/>
      <c r="CU171" s="8"/>
      <c r="CV171" s="8"/>
      <c r="CW171" s="8"/>
      <c r="CX171" s="8"/>
      <c r="CY171" s="8"/>
      <c r="CZ171" s="8"/>
      <c r="DA171" s="8"/>
      <c r="DB171" s="8"/>
      <c r="DC171" s="8"/>
      <c r="DD171" s="8"/>
      <c r="DE171" s="8"/>
      <c r="DF171" s="8"/>
      <c r="DG171" s="8"/>
      <c r="DH171" s="8"/>
      <c r="DI171" s="8"/>
      <c r="DJ171" s="8"/>
      <c r="DK171" s="8"/>
      <c r="DL171" s="8"/>
      <c r="DM171" s="8"/>
      <c r="DN171" s="8"/>
      <c r="DO171" s="8"/>
      <c r="DP171" s="8"/>
      <c r="DQ171" s="8"/>
      <c r="DR171" s="8"/>
      <c r="DS171" s="8"/>
      <c r="DT171" s="8"/>
      <c r="DU171" s="8"/>
      <c r="DV171" s="8"/>
      <c r="DW171" s="8"/>
      <c r="DX171" s="8"/>
      <c r="DY171" s="8"/>
      <c r="DZ171" s="8"/>
      <c r="EA171" s="8"/>
      <c r="EB171" s="8"/>
      <c r="EC171" s="8"/>
      <c r="ED171" s="8"/>
      <c r="EE171" s="8"/>
      <c r="EF171" s="8"/>
      <c r="EG171" s="8"/>
      <c r="EH171" s="8"/>
      <c r="EI171" s="8"/>
      <c r="EJ171" s="8"/>
      <c r="EK171" s="8"/>
      <c r="EL171" s="8"/>
      <c r="EM171" s="8"/>
      <c r="EN171" s="8"/>
      <c r="EO171" s="8"/>
      <c r="EP171" s="8"/>
      <c r="EQ171" s="8"/>
      <c r="ER171" s="8"/>
      <c r="ES171" s="8"/>
      <c r="ET171" s="8"/>
      <c r="EU171" s="8"/>
      <c r="EV171" s="8"/>
      <c r="EW171" s="8"/>
      <c r="EX171" s="8"/>
      <c r="EY171" s="8"/>
      <c r="EZ171" s="8"/>
      <c r="FA171" s="8"/>
      <c r="FB171" s="8"/>
      <c r="FC171" s="8"/>
      <c r="FD171" s="8"/>
      <c r="FE171" s="8"/>
      <c r="FF171" s="8"/>
      <c r="FG171" s="8"/>
      <c r="FH171" s="8"/>
      <c r="FI171" s="8"/>
      <c r="FJ171" s="8"/>
      <c r="FK171" s="8"/>
      <c r="FL171" s="8"/>
      <c r="FM171" s="8"/>
      <c r="FN171" s="8"/>
      <c r="FO171" s="8"/>
      <c r="FP171" s="8"/>
      <c r="FQ171" s="8"/>
      <c r="FR171" s="8"/>
      <c r="FS171" s="8"/>
      <c r="FT171" s="8"/>
      <c r="FU171" s="8"/>
      <c r="FV171" s="8"/>
      <c r="FW171" s="8"/>
      <c r="FX171" s="8"/>
      <c r="FY171" s="8"/>
      <c r="FZ171" s="8"/>
      <c r="GA171" s="8"/>
      <c r="GB171" s="8"/>
      <c r="GC171" s="8"/>
      <c r="GD171" s="8"/>
      <c r="GE171" s="8"/>
      <c r="GF171" s="8"/>
      <c r="GG171" s="8"/>
      <c r="GH171" s="8"/>
      <c r="GI171" s="8"/>
      <c r="GJ171" s="8"/>
      <c r="GK171" s="8"/>
      <c r="GL171" s="8"/>
      <c r="GM171" s="8"/>
      <c r="GN171" s="8"/>
      <c r="GO171" s="8"/>
      <c r="GP171" s="8"/>
      <c r="GQ171" s="8"/>
      <c r="GR171" s="8"/>
      <c r="GS171" s="8"/>
      <c r="GT171" s="8"/>
      <c r="GU171" s="8"/>
      <c r="GV171" s="8"/>
      <c r="GW171" s="8"/>
      <c r="GX171" s="8"/>
      <c r="GY171" s="8"/>
      <c r="GZ171" s="8"/>
      <c r="HA171" s="8"/>
      <c r="HB171" s="8"/>
      <c r="HC171" s="8"/>
      <c r="HD171" s="8"/>
      <c r="HE171" s="8"/>
      <c r="HF171" s="8"/>
      <c r="HG171" s="8"/>
      <c r="HH171" s="8"/>
      <c r="HI171" s="8"/>
      <c r="HJ171" s="8"/>
      <c r="HK171" s="8"/>
      <c r="HL171" s="8"/>
      <c r="HM171" s="8"/>
      <c r="HN171" s="8"/>
      <c r="HO171" s="8"/>
      <c r="HP171" s="8"/>
      <c r="HQ171" s="8"/>
      <c r="HR171" s="8"/>
      <c r="HS171" s="8"/>
      <c r="HT171" s="8"/>
      <c r="HU171" s="8"/>
      <c r="HV171" s="8"/>
      <c r="HW171" s="8"/>
      <c r="HX171" s="8"/>
      <c r="HY171" s="8"/>
      <c r="HZ171" s="8"/>
      <c r="IA171" s="8"/>
      <c r="IB171" s="8"/>
      <c r="IC171" s="8"/>
      <c r="ID171" s="8"/>
      <c r="IE171" s="8"/>
      <c r="IF171" s="8"/>
      <c r="IG171" s="8"/>
      <c r="IH171" s="8"/>
      <c r="II171" s="8"/>
      <c r="IJ171" s="8"/>
      <c r="IK171" s="8"/>
      <c r="IL171" s="8"/>
      <c r="IM171" s="8"/>
      <c r="IN171" s="8"/>
      <c r="IO171" s="8"/>
      <c r="IP171" s="8"/>
      <c r="IQ171" s="8"/>
      <c r="IR171" s="8"/>
      <c r="IS171" s="8"/>
      <c r="IT171" s="8"/>
      <c r="IU171" s="8"/>
      <c r="IV171" s="8"/>
      <c r="IW171" s="8"/>
      <c r="IX171" s="8"/>
      <c r="JA171" s="123"/>
      <c r="JB171" s="123"/>
      <c r="JC171" s="123"/>
      <c r="JD171" s="70">
        <f>SUM((TEXT(JA171,"[M]")/60)*'Income Person-hours'!$D$3,(TEXT(JB171,"[M]")/60)*'Income Person-hours'!$D$4,(TEXT(JC171,"[M]")/60)*'Income Person-hours'!$D$5)</f>
        <v>0</v>
      </c>
    </row>
    <row r="172" spans="1:264 16383:16384" s="12" customFormat="1" ht="15.75" hidden="1" x14ac:dyDescent="0.45">
      <c r="A172" s="32">
        <v>7.21</v>
      </c>
      <c r="B172" s="126"/>
      <c r="C172" s="117"/>
      <c r="D172" s="13" t="str">
        <f>IF(OR(j_WEEKDAY(J_ADDDAY(VLOOKUP(I172,A:F,6,FALSE),H172,1),0)=6,SUMIFS(Holieday[ok],Holieday[date],J_ADDDAY(VLOOKUP(I172,A:F,6,FALSE),H172,1)))=FALSE(),J_ADDDAY(VLOOKUP(I172,A:F,6,FALSE),H172,1),IF(OR(j_WEEKDAY(J_ADDDAY(VLOOKUP(I172,A:F,6,FALSE),H172+1,1),0)=6,SUMIFS(Holieday[ok],Holieday[date],J_ADDDAY(VLOOKUP(I172,A:F,6,FALSE),H172+1,1)))=FALSE(),J_ADDDAY(VLOOKUP(I172,A:F,6,FALSE),H172+1,1),IF(OR(j_WEEKDAY(J_ADDDAY(VLOOKUP(I172,A:F,6,FALSE),H172+2,1),0)=6,SUMIFS(Holieday[ok],Holieday[date],J_ADDDAY(VLOOKUP(I172,A:F,6,FALSE),H172+2,1)))=FALSE(),J_ADDDAY(VLOOKUP(I172,A:F,6,FALSE),H172+2,1),IF(OR(j_WEEKDAY(J_ADDDAY(VLOOKUP(I172,A:F,6,FALSE),H172+3,1),0)=6,SUMIFS(Holieday[ok],Holieday[date],J_ADDDAY(VLOOKUP(I172,A:F,6,FALSE),H172+3,1)))=FALSE(),J_ADDDAY(VLOOKUP(I172,A:F,6,FALSE),H172+3,1),IF(OR(j_WEEKDAY(J_ADDDAY(VLOOKUP(I172,A:F,6,FALSE),H172+4,1),0)=6,SUMIFS(Holieday[ok],Holieday[date],J_ADDDAY(VLOOKUP(I172,A:F,6,FALSE),H172+4,1)))=FALSE(),J_ADDDAY(VLOOKUP(I172,A:F,6,FALSE),H172+4,1),J_ADDDAY(VLOOKUP(I172,A:F,6,FALSE),H172+5,1))))))</f>
        <v>1398/09/18</v>
      </c>
      <c r="E172" s="2">
        <f t="shared" si="49"/>
        <v>13980918</v>
      </c>
      <c r="F172" s="13" t="str">
        <f>IF(N172=0,J_SUBDAY(D172,1,1),IF((N172-NETWORKDAYS.INTL(J_GregorianDate(D172,1),J_GregorianDate(J_SUBDAY(J_ADDDAY(D172,N172,1),1,1),1),16,1)-SUMIFS(Holieday[ok],Holieday[date],CONCATENATE("&gt;","=",D172),Holieday[date],CONCATENATE("&lt;","=",J_SUBDAY(J_ADDDAY(D172,N172,1),1,1)))+SUMIFS(Holieday[Friday],Holieday[date],CONCATENATE("&gt;","=",D172),Holieday[date],CONCATENATE("&lt;","=",J_SUBDAY(J_ADDDAY(D172,N172,1),1,1))))=0,J_SUBDAY(J_ADDDAY(D172,N172,1),1,1),IF((N172-NETWORKDAYS.INTL(J_GregorianDate(D172,1),J_GregorianDate(J_SUBDAY(J_ADDDAY(D172,N172,1),1,1),1),16,1)-SUMIFS(Holieday[ok],Holieday[date],CONCATENATE("&gt;","=",D172),Holieday[date],CONCATENATE("&lt;","=",J_SUBDAY(J_ADDDAY(D172,N172,1),1,1)))+SUMIFS(Holieday[Friday],Holieday[date],CONCATENATE("&gt;","=",D172),Holieday[date],CONCATENATE("&lt;","=",J_SUBDAY(J_ADDDAY(D172,N172,1),1,1))))=1,J_SUBDAY(J_ADDDAY(D172,N172+1,1),1,1),IF((N172-NETWORKDAYS.INTL(J_GregorianDate(D172,1),J_GregorianDate(J_SUBDAY(J_ADDDAY(D172,N172,1),1,1),1),16,1)-SUMIFS(Holieday[ok],Holieday[date],CONCATENATE("&gt;","=",D172),Holieday[date],CONCATENATE("&lt;","=",J_SUBDAY(J_ADDDAY(D172,N172,1),1,1)))+SUMIFS(Holieday[Friday],Holieday[date],CONCATENATE("&gt;","=",D172),Holieday[date],CONCATENATE("&lt;","=",J_SUBDAY(J_ADDDAY(D172,N172,1),1,1))))=2,J_SUBDAY(J_ADDDAY(D172,N172+2,1),1,1),J_SUBDAY(J_ADDDAY(D172,N172+3,1),1,1)))))</f>
        <v>1398/09/17</v>
      </c>
      <c r="G172" s="3">
        <f t="shared" si="50"/>
        <v>13980917</v>
      </c>
      <c r="H172" s="119"/>
      <c r="I172" s="120">
        <v>7.1</v>
      </c>
      <c r="J172" s="10">
        <f>j_WEEKDAY(D172,2)</f>
        <v>2</v>
      </c>
      <c r="K172" s="22">
        <f t="shared" si="53"/>
        <v>0</v>
      </c>
      <c r="L172" s="9">
        <f t="shared" si="54"/>
        <v>0</v>
      </c>
      <c r="M172" s="121">
        <v>0</v>
      </c>
      <c r="N172" s="118">
        <v>0</v>
      </c>
      <c r="O172" s="11">
        <f t="shared" si="57"/>
        <v>0</v>
      </c>
      <c r="P172" s="11">
        <f>VALUE(J_normdate(J_ADDDAY($D172,$O172,1)))</f>
        <v>13980918</v>
      </c>
      <c r="Q172" s="10">
        <f t="shared" si="58"/>
        <v>0</v>
      </c>
      <c r="R172" s="8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  <c r="AO172" s="8"/>
      <c r="AP172" s="8"/>
      <c r="AQ172" s="8"/>
      <c r="AR172" s="8"/>
      <c r="AS172" s="8"/>
      <c r="AT172" s="8"/>
      <c r="AU172" s="8"/>
      <c r="AV172" s="8"/>
      <c r="AW172" s="8"/>
      <c r="AX172" s="8"/>
      <c r="AY172" s="8"/>
      <c r="AZ172" s="8"/>
      <c r="BA172" s="8"/>
      <c r="BB172" s="8"/>
      <c r="BC172" s="8"/>
      <c r="BD172" s="8"/>
      <c r="BE172" s="8"/>
      <c r="BF172" s="8"/>
      <c r="BG172" s="8"/>
      <c r="BH172" s="8"/>
      <c r="BI172" s="8"/>
      <c r="BJ172" s="8"/>
      <c r="BK172" s="8"/>
      <c r="BL172" s="8"/>
      <c r="BM172" s="8"/>
      <c r="BN172" s="8"/>
      <c r="BO172" s="8"/>
      <c r="BP172" s="8"/>
      <c r="BQ172" s="8"/>
      <c r="BR172" s="8"/>
      <c r="BS172" s="8"/>
      <c r="BT172" s="8"/>
      <c r="BU172" s="8"/>
      <c r="BV172" s="8"/>
      <c r="BW172" s="8"/>
      <c r="BX172" s="8"/>
      <c r="BY172" s="8"/>
      <c r="BZ172" s="8"/>
      <c r="CA172" s="8"/>
      <c r="CB172" s="8"/>
      <c r="CC172" s="8"/>
      <c r="CD172" s="8"/>
      <c r="CE172" s="8"/>
      <c r="CF172" s="8"/>
      <c r="CG172" s="8"/>
      <c r="CH172" s="8"/>
      <c r="CI172" s="8"/>
      <c r="CJ172" s="8"/>
      <c r="CK172" s="8"/>
      <c r="CL172" s="8"/>
      <c r="CM172" s="8"/>
      <c r="CN172" s="8"/>
      <c r="CO172" s="8"/>
      <c r="CP172" s="8"/>
      <c r="CQ172" s="8"/>
      <c r="CR172" s="8"/>
      <c r="CS172" s="8"/>
      <c r="CT172" s="8"/>
      <c r="CU172" s="8"/>
      <c r="CV172" s="8"/>
      <c r="CW172" s="8"/>
      <c r="CX172" s="8"/>
      <c r="CY172" s="8"/>
      <c r="CZ172" s="8"/>
      <c r="DA172" s="8"/>
      <c r="DB172" s="8"/>
      <c r="DC172" s="8"/>
      <c r="DD172" s="8"/>
      <c r="DE172" s="8"/>
      <c r="DF172" s="8"/>
      <c r="DG172" s="8"/>
      <c r="DH172" s="8"/>
      <c r="DI172" s="8"/>
      <c r="DJ172" s="8"/>
      <c r="DK172" s="8"/>
      <c r="DL172" s="8"/>
      <c r="DM172" s="8"/>
      <c r="DN172" s="8"/>
      <c r="DO172" s="8"/>
      <c r="DP172" s="8"/>
      <c r="DQ172" s="8"/>
      <c r="DR172" s="8"/>
      <c r="DS172" s="8"/>
      <c r="DT172" s="8"/>
      <c r="DU172" s="8"/>
      <c r="DV172" s="8"/>
      <c r="DW172" s="8"/>
      <c r="DX172" s="8"/>
      <c r="DY172" s="8"/>
      <c r="DZ172" s="8"/>
      <c r="EA172" s="8"/>
      <c r="EB172" s="8"/>
      <c r="EC172" s="8"/>
      <c r="ED172" s="8"/>
      <c r="EE172" s="8"/>
      <c r="EF172" s="8"/>
      <c r="EG172" s="8"/>
      <c r="EH172" s="8"/>
      <c r="EI172" s="8"/>
      <c r="EJ172" s="8"/>
      <c r="EK172" s="8"/>
      <c r="EL172" s="8"/>
      <c r="EM172" s="8"/>
      <c r="EN172" s="8"/>
      <c r="EO172" s="8"/>
      <c r="EP172" s="8"/>
      <c r="EQ172" s="8"/>
      <c r="ER172" s="8"/>
      <c r="ES172" s="8"/>
      <c r="ET172" s="8"/>
      <c r="EU172" s="8"/>
      <c r="EV172" s="8"/>
      <c r="EW172" s="8"/>
      <c r="EX172" s="8"/>
      <c r="EY172" s="8"/>
      <c r="EZ172" s="8"/>
      <c r="FA172" s="8"/>
      <c r="FB172" s="8"/>
      <c r="FC172" s="8"/>
      <c r="FD172" s="8"/>
      <c r="FE172" s="8"/>
      <c r="FF172" s="8"/>
      <c r="FG172" s="8"/>
      <c r="FH172" s="8"/>
      <c r="FI172" s="8"/>
      <c r="FJ172" s="8"/>
      <c r="FK172" s="8"/>
      <c r="FL172" s="8"/>
      <c r="FM172" s="8"/>
      <c r="FN172" s="8"/>
      <c r="FO172" s="8"/>
      <c r="FP172" s="8"/>
      <c r="FQ172" s="8"/>
      <c r="FR172" s="8"/>
      <c r="FS172" s="8"/>
      <c r="FT172" s="8"/>
      <c r="FU172" s="8"/>
      <c r="FV172" s="8"/>
      <c r="FW172" s="8"/>
      <c r="FX172" s="8"/>
      <c r="FY172" s="8"/>
      <c r="FZ172" s="8"/>
      <c r="GA172" s="8"/>
      <c r="GB172" s="8"/>
      <c r="GC172" s="8"/>
      <c r="GD172" s="8"/>
      <c r="GE172" s="8"/>
      <c r="GF172" s="8"/>
      <c r="GG172" s="8"/>
      <c r="GH172" s="8"/>
      <c r="GI172" s="8"/>
      <c r="GJ172" s="8"/>
      <c r="GK172" s="8"/>
      <c r="GL172" s="8"/>
      <c r="GM172" s="8"/>
      <c r="GN172" s="8"/>
      <c r="GO172" s="8"/>
      <c r="GP172" s="8"/>
      <c r="GQ172" s="8"/>
      <c r="GR172" s="8"/>
      <c r="GS172" s="8"/>
      <c r="GT172" s="8"/>
      <c r="GU172" s="8"/>
      <c r="GV172" s="8"/>
      <c r="GW172" s="8"/>
      <c r="GX172" s="8"/>
      <c r="GY172" s="8"/>
      <c r="GZ172" s="8"/>
      <c r="HA172" s="8"/>
      <c r="HB172" s="8"/>
      <c r="HC172" s="8"/>
      <c r="HD172" s="8"/>
      <c r="HE172" s="8"/>
      <c r="HF172" s="8"/>
      <c r="HG172" s="8"/>
      <c r="HH172" s="8"/>
      <c r="HI172" s="8"/>
      <c r="HJ172" s="8"/>
      <c r="HK172" s="8"/>
      <c r="HL172" s="8"/>
      <c r="HM172" s="8"/>
      <c r="HN172" s="8"/>
      <c r="HO172" s="8"/>
      <c r="HP172" s="8"/>
      <c r="HQ172" s="8"/>
      <c r="HR172" s="8"/>
      <c r="HS172" s="8"/>
      <c r="HT172" s="8"/>
      <c r="HU172" s="8"/>
      <c r="HV172" s="8"/>
      <c r="HW172" s="8"/>
      <c r="HX172" s="8"/>
      <c r="HY172" s="8"/>
      <c r="HZ172" s="8"/>
      <c r="IA172" s="8"/>
      <c r="IB172" s="8"/>
      <c r="IC172" s="8"/>
      <c r="ID172" s="8"/>
      <c r="IE172" s="8"/>
      <c r="IF172" s="8"/>
      <c r="IG172" s="8"/>
      <c r="IH172" s="8"/>
      <c r="II172" s="8"/>
      <c r="IJ172" s="8"/>
      <c r="IK172" s="8"/>
      <c r="IL172" s="8"/>
      <c r="IM172" s="8"/>
      <c r="IN172" s="8"/>
      <c r="IO172" s="8"/>
      <c r="IP172" s="8"/>
      <c r="IQ172" s="8"/>
      <c r="IR172" s="8"/>
      <c r="IS172" s="8"/>
      <c r="IT172" s="8"/>
      <c r="IU172" s="8"/>
      <c r="IV172" s="8"/>
      <c r="IW172" s="8"/>
      <c r="IX172" s="8"/>
      <c r="JA172" s="123"/>
      <c r="JB172" s="123"/>
      <c r="JC172" s="123"/>
      <c r="JD172" s="70">
        <f>SUM((TEXT(JA172,"[M]")/60)*'Income Person-hours'!$D$3,(TEXT(JB172,"[M]")/60)*'Income Person-hours'!$D$4,(TEXT(JC172,"[M]")/60)*'Income Person-hours'!$D$5)</f>
        <v>0</v>
      </c>
    </row>
    <row r="173" spans="1:264 16383:16384" s="12" customFormat="1" ht="15.75" hidden="1" x14ac:dyDescent="0.45">
      <c r="A173" s="32">
        <v>7.22</v>
      </c>
      <c r="B173" s="126"/>
      <c r="C173" s="117"/>
      <c r="D173" s="13" t="str">
        <f>IF(OR(j_WEEKDAY(J_ADDDAY(VLOOKUP(I173,A:F,6,FALSE),H173,1),0)=6,SUMIFS(Holieday[ok],Holieday[date],J_ADDDAY(VLOOKUP(I173,A:F,6,FALSE),H173,1)))=FALSE(),J_ADDDAY(VLOOKUP(I173,A:F,6,FALSE),H173,1),IF(OR(j_WEEKDAY(J_ADDDAY(VLOOKUP(I173,A:F,6,FALSE),H173+1,1),0)=6,SUMIFS(Holieday[ok],Holieday[date],J_ADDDAY(VLOOKUP(I173,A:F,6,FALSE),H173+1,1)))=FALSE(),J_ADDDAY(VLOOKUP(I173,A:F,6,FALSE),H173+1,1),IF(OR(j_WEEKDAY(J_ADDDAY(VLOOKUP(I173,A:F,6,FALSE),H173+2,1),0)=6,SUMIFS(Holieday[ok],Holieday[date],J_ADDDAY(VLOOKUP(I173,A:F,6,FALSE),H173+2,1)))=FALSE(),J_ADDDAY(VLOOKUP(I173,A:F,6,FALSE),H173+2,1),IF(OR(j_WEEKDAY(J_ADDDAY(VLOOKUP(I173,A:F,6,FALSE),H173+3,1),0)=6,SUMIFS(Holieday[ok],Holieday[date],J_ADDDAY(VLOOKUP(I173,A:F,6,FALSE),H173+3,1)))=FALSE(),J_ADDDAY(VLOOKUP(I173,A:F,6,FALSE),H173+3,1),IF(OR(j_WEEKDAY(J_ADDDAY(VLOOKUP(I173,A:F,6,FALSE),H173+4,1),0)=6,SUMIFS(Holieday[ok],Holieday[date],J_ADDDAY(VLOOKUP(I173,A:F,6,FALSE),H173+4,1)))=FALSE(),J_ADDDAY(VLOOKUP(I173,A:F,6,FALSE),H173+4,1),J_ADDDAY(VLOOKUP(I173,A:F,6,FALSE),H173+5,1))))))</f>
        <v>1398/09/18</v>
      </c>
      <c r="E173" s="2">
        <f t="shared" si="49"/>
        <v>13980918</v>
      </c>
      <c r="F173" s="13" t="str">
        <f>IF(N173=0,J_SUBDAY(D173,1,1),IF((N173-NETWORKDAYS.INTL(J_GregorianDate(D173,1),J_GregorianDate(J_SUBDAY(J_ADDDAY(D173,N173,1),1,1),1),16,1)-SUMIFS(Holieday[ok],Holieday[date],CONCATENATE("&gt;","=",D173),Holieday[date],CONCATENATE("&lt;","=",J_SUBDAY(J_ADDDAY(D173,N173,1),1,1)))+SUMIFS(Holieday[Friday],Holieday[date],CONCATENATE("&gt;","=",D173),Holieday[date],CONCATENATE("&lt;","=",J_SUBDAY(J_ADDDAY(D173,N173,1),1,1))))=0,J_SUBDAY(J_ADDDAY(D173,N173,1),1,1),IF((N173-NETWORKDAYS.INTL(J_GregorianDate(D173,1),J_GregorianDate(J_SUBDAY(J_ADDDAY(D173,N173,1),1,1),1),16,1)-SUMIFS(Holieday[ok],Holieday[date],CONCATENATE("&gt;","=",D173),Holieday[date],CONCATENATE("&lt;","=",J_SUBDAY(J_ADDDAY(D173,N173,1),1,1)))+SUMIFS(Holieday[Friday],Holieday[date],CONCATENATE("&gt;","=",D173),Holieday[date],CONCATENATE("&lt;","=",J_SUBDAY(J_ADDDAY(D173,N173,1),1,1))))=1,J_SUBDAY(J_ADDDAY(D173,N173+1,1),1,1),IF((N173-NETWORKDAYS.INTL(J_GregorianDate(D173,1),J_GregorianDate(J_SUBDAY(J_ADDDAY(D173,N173,1),1,1),1),16,1)-SUMIFS(Holieday[ok],Holieday[date],CONCATENATE("&gt;","=",D173),Holieday[date],CONCATENATE("&lt;","=",J_SUBDAY(J_ADDDAY(D173,N173,1),1,1)))+SUMIFS(Holieday[Friday],Holieday[date],CONCATENATE("&gt;","=",D173),Holieday[date],CONCATENATE("&lt;","=",J_SUBDAY(J_ADDDAY(D173,N173,1),1,1))))=2,J_SUBDAY(J_ADDDAY(D173,N173+2,1),1,1),J_SUBDAY(J_ADDDAY(D173,N173+3,1),1,1)))))</f>
        <v>1398/09/17</v>
      </c>
      <c r="G173" s="3">
        <f t="shared" si="50"/>
        <v>13980917</v>
      </c>
      <c r="H173" s="119"/>
      <c r="I173" s="120">
        <v>7.1</v>
      </c>
      <c r="J173" s="10">
        <f>j_WEEKDAY(D173,2)</f>
        <v>2</v>
      </c>
      <c r="K173" s="22">
        <f t="shared" si="53"/>
        <v>0</v>
      </c>
      <c r="L173" s="9">
        <f t="shared" si="54"/>
        <v>0</v>
      </c>
      <c r="M173" s="121">
        <v>0</v>
      </c>
      <c r="N173" s="118">
        <v>0</v>
      </c>
      <c r="O173" s="11">
        <f t="shared" si="57"/>
        <v>0</v>
      </c>
      <c r="P173" s="11">
        <f>VALUE(J_normdate(J_ADDDAY($D173,$O173,1)))</f>
        <v>13980918</v>
      </c>
      <c r="Q173" s="10">
        <f t="shared" si="58"/>
        <v>0</v>
      </c>
      <c r="R173" s="8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  <c r="AO173" s="8"/>
      <c r="AP173" s="8"/>
      <c r="AQ173" s="8"/>
      <c r="AR173" s="8"/>
      <c r="AS173" s="8"/>
      <c r="AT173" s="8"/>
      <c r="AU173" s="8"/>
      <c r="AV173" s="8"/>
      <c r="AW173" s="8"/>
      <c r="AX173" s="8"/>
      <c r="AY173" s="8"/>
      <c r="AZ173" s="8"/>
      <c r="BA173" s="8"/>
      <c r="BB173" s="8"/>
      <c r="BC173" s="8"/>
      <c r="BD173" s="8"/>
      <c r="BE173" s="8"/>
      <c r="BF173" s="8"/>
      <c r="BG173" s="8"/>
      <c r="BH173" s="8"/>
      <c r="BI173" s="8"/>
      <c r="BJ173" s="8"/>
      <c r="BK173" s="8"/>
      <c r="BL173" s="8"/>
      <c r="BM173" s="8"/>
      <c r="BN173" s="8"/>
      <c r="BO173" s="8"/>
      <c r="BP173" s="8"/>
      <c r="BQ173" s="8"/>
      <c r="BR173" s="8"/>
      <c r="BS173" s="8"/>
      <c r="BT173" s="8"/>
      <c r="BU173" s="8"/>
      <c r="BV173" s="8"/>
      <c r="BW173" s="8"/>
      <c r="BX173" s="8"/>
      <c r="BY173" s="8"/>
      <c r="BZ173" s="8"/>
      <c r="CA173" s="8"/>
      <c r="CB173" s="8"/>
      <c r="CC173" s="8"/>
      <c r="CD173" s="8"/>
      <c r="CE173" s="8"/>
      <c r="CF173" s="8"/>
      <c r="CG173" s="8"/>
      <c r="CH173" s="8"/>
      <c r="CI173" s="8"/>
      <c r="CJ173" s="8"/>
      <c r="CK173" s="8"/>
      <c r="CL173" s="8"/>
      <c r="CM173" s="8"/>
      <c r="CN173" s="8"/>
      <c r="CO173" s="8"/>
      <c r="CP173" s="8"/>
      <c r="CQ173" s="8"/>
      <c r="CR173" s="8"/>
      <c r="CS173" s="8"/>
      <c r="CT173" s="8"/>
      <c r="CU173" s="8"/>
      <c r="CV173" s="8"/>
      <c r="CW173" s="8"/>
      <c r="CX173" s="8"/>
      <c r="CY173" s="8"/>
      <c r="CZ173" s="8"/>
      <c r="DA173" s="8"/>
      <c r="DB173" s="8"/>
      <c r="DC173" s="8"/>
      <c r="DD173" s="8"/>
      <c r="DE173" s="8"/>
      <c r="DF173" s="8"/>
      <c r="DG173" s="8"/>
      <c r="DH173" s="8"/>
      <c r="DI173" s="8"/>
      <c r="DJ173" s="8"/>
      <c r="DK173" s="8"/>
      <c r="DL173" s="8"/>
      <c r="DM173" s="8"/>
      <c r="DN173" s="8"/>
      <c r="DO173" s="8"/>
      <c r="DP173" s="8"/>
      <c r="DQ173" s="8"/>
      <c r="DR173" s="8"/>
      <c r="DS173" s="8"/>
      <c r="DT173" s="8"/>
      <c r="DU173" s="8"/>
      <c r="DV173" s="8"/>
      <c r="DW173" s="8"/>
      <c r="DX173" s="8"/>
      <c r="DY173" s="8"/>
      <c r="DZ173" s="8"/>
      <c r="EA173" s="8"/>
      <c r="EB173" s="8"/>
      <c r="EC173" s="8"/>
      <c r="ED173" s="8"/>
      <c r="EE173" s="8"/>
      <c r="EF173" s="8"/>
      <c r="EG173" s="8"/>
      <c r="EH173" s="8"/>
      <c r="EI173" s="8"/>
      <c r="EJ173" s="8"/>
      <c r="EK173" s="8"/>
      <c r="EL173" s="8"/>
      <c r="EM173" s="8"/>
      <c r="EN173" s="8"/>
      <c r="EO173" s="8"/>
      <c r="EP173" s="8"/>
      <c r="EQ173" s="8"/>
      <c r="ER173" s="8"/>
      <c r="ES173" s="8"/>
      <c r="ET173" s="8"/>
      <c r="EU173" s="8"/>
      <c r="EV173" s="8"/>
      <c r="EW173" s="8"/>
      <c r="EX173" s="8"/>
      <c r="EY173" s="8"/>
      <c r="EZ173" s="8"/>
      <c r="FA173" s="8"/>
      <c r="FB173" s="8"/>
      <c r="FC173" s="8"/>
      <c r="FD173" s="8"/>
      <c r="FE173" s="8"/>
      <c r="FF173" s="8"/>
      <c r="FG173" s="8"/>
      <c r="FH173" s="8"/>
      <c r="FI173" s="8"/>
      <c r="FJ173" s="8"/>
      <c r="FK173" s="8"/>
      <c r="FL173" s="8"/>
      <c r="FM173" s="8"/>
      <c r="FN173" s="8"/>
      <c r="FO173" s="8"/>
      <c r="FP173" s="8"/>
      <c r="FQ173" s="8"/>
      <c r="FR173" s="8"/>
      <c r="FS173" s="8"/>
      <c r="FT173" s="8"/>
      <c r="FU173" s="8"/>
      <c r="FV173" s="8"/>
      <c r="FW173" s="8"/>
      <c r="FX173" s="8"/>
      <c r="FY173" s="8"/>
      <c r="FZ173" s="8"/>
      <c r="GA173" s="8"/>
      <c r="GB173" s="8"/>
      <c r="GC173" s="8"/>
      <c r="GD173" s="8"/>
      <c r="GE173" s="8"/>
      <c r="GF173" s="8"/>
      <c r="GG173" s="8"/>
      <c r="GH173" s="8"/>
      <c r="GI173" s="8"/>
      <c r="GJ173" s="8"/>
      <c r="GK173" s="8"/>
      <c r="GL173" s="8"/>
      <c r="GM173" s="8"/>
      <c r="GN173" s="8"/>
      <c r="GO173" s="8"/>
      <c r="GP173" s="8"/>
      <c r="GQ173" s="8"/>
      <c r="GR173" s="8"/>
      <c r="GS173" s="8"/>
      <c r="GT173" s="8"/>
      <c r="GU173" s="8"/>
      <c r="GV173" s="8"/>
      <c r="GW173" s="8"/>
      <c r="GX173" s="8"/>
      <c r="GY173" s="8"/>
      <c r="GZ173" s="8"/>
      <c r="HA173" s="8"/>
      <c r="HB173" s="8"/>
      <c r="HC173" s="8"/>
      <c r="HD173" s="8"/>
      <c r="HE173" s="8"/>
      <c r="HF173" s="8"/>
      <c r="HG173" s="8"/>
      <c r="HH173" s="8"/>
      <c r="HI173" s="8"/>
      <c r="HJ173" s="8"/>
      <c r="HK173" s="8"/>
      <c r="HL173" s="8"/>
      <c r="HM173" s="8"/>
      <c r="HN173" s="8"/>
      <c r="HO173" s="8"/>
      <c r="HP173" s="8"/>
      <c r="HQ173" s="8"/>
      <c r="HR173" s="8"/>
      <c r="HS173" s="8"/>
      <c r="HT173" s="8"/>
      <c r="HU173" s="8"/>
      <c r="HV173" s="8"/>
      <c r="HW173" s="8"/>
      <c r="HX173" s="8"/>
      <c r="HY173" s="8"/>
      <c r="HZ173" s="8"/>
      <c r="IA173" s="8"/>
      <c r="IB173" s="8"/>
      <c r="IC173" s="8"/>
      <c r="ID173" s="8"/>
      <c r="IE173" s="8"/>
      <c r="IF173" s="8"/>
      <c r="IG173" s="8"/>
      <c r="IH173" s="8"/>
      <c r="II173" s="8"/>
      <c r="IJ173" s="8"/>
      <c r="IK173" s="8"/>
      <c r="IL173" s="8"/>
      <c r="IM173" s="8"/>
      <c r="IN173" s="8"/>
      <c r="IO173" s="8"/>
      <c r="IP173" s="8"/>
      <c r="IQ173" s="8"/>
      <c r="IR173" s="8"/>
      <c r="IS173" s="8"/>
      <c r="IT173" s="8"/>
      <c r="IU173" s="8"/>
      <c r="IV173" s="8"/>
      <c r="IW173" s="8"/>
      <c r="IX173" s="8"/>
      <c r="JA173" s="123"/>
      <c r="JB173" s="123"/>
      <c r="JC173" s="123"/>
      <c r="JD173" s="70">
        <f>SUM((TEXT(JA173,"[M]")/60)*'Income Person-hours'!$D$3,(TEXT(JB173,"[M]")/60)*'Income Person-hours'!$D$4,(TEXT(JC173,"[M]")/60)*'Income Person-hours'!$D$5)</f>
        <v>0</v>
      </c>
    </row>
    <row r="174" spans="1:264 16383:16384" s="12" customFormat="1" ht="15.75" hidden="1" x14ac:dyDescent="0.45">
      <c r="A174" s="32">
        <v>7.23</v>
      </c>
      <c r="B174" s="126"/>
      <c r="C174" s="117"/>
      <c r="D174" s="13" t="str">
        <f>IF(OR(j_WEEKDAY(J_ADDDAY(VLOOKUP(I174,A:F,6,FALSE),H174,1),0)=6,SUMIFS(Holieday[ok],Holieday[date],J_ADDDAY(VLOOKUP(I174,A:F,6,FALSE),H174,1)))=FALSE(),J_ADDDAY(VLOOKUP(I174,A:F,6,FALSE),H174,1),IF(OR(j_WEEKDAY(J_ADDDAY(VLOOKUP(I174,A:F,6,FALSE),H174+1,1),0)=6,SUMIFS(Holieday[ok],Holieday[date],J_ADDDAY(VLOOKUP(I174,A:F,6,FALSE),H174+1,1)))=FALSE(),J_ADDDAY(VLOOKUP(I174,A:F,6,FALSE),H174+1,1),IF(OR(j_WEEKDAY(J_ADDDAY(VLOOKUP(I174,A:F,6,FALSE),H174+2,1),0)=6,SUMIFS(Holieday[ok],Holieday[date],J_ADDDAY(VLOOKUP(I174,A:F,6,FALSE),H174+2,1)))=FALSE(),J_ADDDAY(VLOOKUP(I174,A:F,6,FALSE),H174+2,1),IF(OR(j_WEEKDAY(J_ADDDAY(VLOOKUP(I174,A:F,6,FALSE),H174+3,1),0)=6,SUMIFS(Holieday[ok],Holieday[date],J_ADDDAY(VLOOKUP(I174,A:F,6,FALSE),H174+3,1)))=FALSE(),J_ADDDAY(VLOOKUP(I174,A:F,6,FALSE),H174+3,1),IF(OR(j_WEEKDAY(J_ADDDAY(VLOOKUP(I174,A:F,6,FALSE),H174+4,1),0)=6,SUMIFS(Holieday[ok],Holieday[date],J_ADDDAY(VLOOKUP(I174,A:F,6,FALSE),H174+4,1)))=FALSE(),J_ADDDAY(VLOOKUP(I174,A:F,6,FALSE),H174+4,1),J_ADDDAY(VLOOKUP(I174,A:F,6,FALSE),H174+5,1))))))</f>
        <v>1398/09/18</v>
      </c>
      <c r="E174" s="2">
        <f t="shared" si="49"/>
        <v>13980918</v>
      </c>
      <c r="F174" s="13" t="str">
        <f>IF(N174=0,J_SUBDAY(D174,1,1),IF((N174-NETWORKDAYS.INTL(J_GregorianDate(D174,1),J_GregorianDate(J_SUBDAY(J_ADDDAY(D174,N174,1),1,1),1),16,1)-SUMIFS(Holieday[ok],Holieday[date],CONCATENATE("&gt;","=",D174),Holieday[date],CONCATENATE("&lt;","=",J_SUBDAY(J_ADDDAY(D174,N174,1),1,1)))+SUMIFS(Holieday[Friday],Holieday[date],CONCATENATE("&gt;","=",D174),Holieday[date],CONCATENATE("&lt;","=",J_SUBDAY(J_ADDDAY(D174,N174,1),1,1))))=0,J_SUBDAY(J_ADDDAY(D174,N174,1),1,1),IF((N174-NETWORKDAYS.INTL(J_GregorianDate(D174,1),J_GregorianDate(J_SUBDAY(J_ADDDAY(D174,N174,1),1,1),1),16,1)-SUMIFS(Holieday[ok],Holieday[date],CONCATENATE("&gt;","=",D174),Holieday[date],CONCATENATE("&lt;","=",J_SUBDAY(J_ADDDAY(D174,N174,1),1,1)))+SUMIFS(Holieday[Friday],Holieday[date],CONCATENATE("&gt;","=",D174),Holieday[date],CONCATENATE("&lt;","=",J_SUBDAY(J_ADDDAY(D174,N174,1),1,1))))=1,J_SUBDAY(J_ADDDAY(D174,N174+1,1),1,1),IF((N174-NETWORKDAYS.INTL(J_GregorianDate(D174,1),J_GregorianDate(J_SUBDAY(J_ADDDAY(D174,N174,1),1,1),1),16,1)-SUMIFS(Holieday[ok],Holieday[date],CONCATENATE("&gt;","=",D174),Holieday[date],CONCATENATE("&lt;","=",J_SUBDAY(J_ADDDAY(D174,N174,1),1,1)))+SUMIFS(Holieday[Friday],Holieday[date],CONCATENATE("&gt;","=",D174),Holieday[date],CONCATENATE("&lt;","=",J_SUBDAY(J_ADDDAY(D174,N174,1),1,1))))=2,J_SUBDAY(J_ADDDAY(D174,N174+2,1),1,1),J_SUBDAY(J_ADDDAY(D174,N174+3,1),1,1)))))</f>
        <v>1398/09/17</v>
      </c>
      <c r="G174" s="3">
        <f t="shared" si="50"/>
        <v>13980917</v>
      </c>
      <c r="H174" s="119"/>
      <c r="I174" s="120">
        <v>7.1</v>
      </c>
      <c r="J174" s="10">
        <f>j_WEEKDAY(D174,2)</f>
        <v>2</v>
      </c>
      <c r="K174" s="22">
        <f t="shared" si="53"/>
        <v>0</v>
      </c>
      <c r="L174" s="9">
        <f t="shared" si="54"/>
        <v>0</v>
      </c>
      <c r="M174" s="121">
        <v>0</v>
      </c>
      <c r="N174" s="118">
        <v>0</v>
      </c>
      <c r="O174" s="11">
        <f t="shared" si="57"/>
        <v>0</v>
      </c>
      <c r="P174" s="11">
        <f>VALUE(J_normdate(J_ADDDAY($D174,$O174,1)))</f>
        <v>13980918</v>
      </c>
      <c r="Q174" s="10">
        <f t="shared" si="58"/>
        <v>0</v>
      </c>
      <c r="R174" s="8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  <c r="AO174" s="8"/>
      <c r="AP174" s="8"/>
      <c r="AQ174" s="8"/>
      <c r="AR174" s="8"/>
      <c r="AS174" s="8"/>
      <c r="AT174" s="8"/>
      <c r="AU174" s="8"/>
      <c r="AV174" s="8"/>
      <c r="AW174" s="8"/>
      <c r="AX174" s="8"/>
      <c r="AY174" s="8"/>
      <c r="AZ174" s="8"/>
      <c r="BA174" s="8"/>
      <c r="BB174" s="8"/>
      <c r="BC174" s="8"/>
      <c r="BD174" s="8"/>
      <c r="BE174" s="8"/>
      <c r="BF174" s="8"/>
      <c r="BG174" s="8"/>
      <c r="BH174" s="8"/>
      <c r="BI174" s="8"/>
      <c r="BJ174" s="8"/>
      <c r="BK174" s="8"/>
      <c r="BL174" s="8"/>
      <c r="BM174" s="8"/>
      <c r="BN174" s="8"/>
      <c r="BO174" s="8"/>
      <c r="BP174" s="8"/>
      <c r="BQ174" s="8"/>
      <c r="BR174" s="8"/>
      <c r="BS174" s="8"/>
      <c r="BT174" s="8"/>
      <c r="BU174" s="8"/>
      <c r="BV174" s="8"/>
      <c r="BW174" s="8"/>
      <c r="BX174" s="8"/>
      <c r="BY174" s="8"/>
      <c r="BZ174" s="8"/>
      <c r="CA174" s="8"/>
      <c r="CB174" s="8"/>
      <c r="CC174" s="8"/>
      <c r="CD174" s="8"/>
      <c r="CE174" s="8"/>
      <c r="CF174" s="8"/>
      <c r="CG174" s="8"/>
      <c r="CH174" s="8"/>
      <c r="CI174" s="8"/>
      <c r="CJ174" s="8"/>
      <c r="CK174" s="8"/>
      <c r="CL174" s="8"/>
      <c r="CM174" s="8"/>
      <c r="CN174" s="8"/>
      <c r="CO174" s="8"/>
      <c r="CP174" s="8"/>
      <c r="CQ174" s="8"/>
      <c r="CR174" s="8"/>
      <c r="CS174" s="8"/>
      <c r="CT174" s="8"/>
      <c r="CU174" s="8"/>
      <c r="CV174" s="8"/>
      <c r="CW174" s="8"/>
      <c r="CX174" s="8"/>
      <c r="CY174" s="8"/>
      <c r="CZ174" s="8"/>
      <c r="DA174" s="8"/>
      <c r="DB174" s="8"/>
      <c r="DC174" s="8"/>
      <c r="DD174" s="8"/>
      <c r="DE174" s="8"/>
      <c r="DF174" s="8"/>
      <c r="DG174" s="8"/>
      <c r="DH174" s="8"/>
      <c r="DI174" s="8"/>
      <c r="DJ174" s="8"/>
      <c r="DK174" s="8"/>
      <c r="DL174" s="8"/>
      <c r="DM174" s="8"/>
      <c r="DN174" s="8"/>
      <c r="DO174" s="8"/>
      <c r="DP174" s="8"/>
      <c r="DQ174" s="8"/>
      <c r="DR174" s="8"/>
      <c r="DS174" s="8"/>
      <c r="DT174" s="8"/>
      <c r="DU174" s="8"/>
      <c r="DV174" s="8"/>
      <c r="DW174" s="8"/>
      <c r="DX174" s="8"/>
      <c r="DY174" s="8"/>
      <c r="DZ174" s="8"/>
      <c r="EA174" s="8"/>
      <c r="EB174" s="8"/>
      <c r="EC174" s="8"/>
      <c r="ED174" s="8"/>
      <c r="EE174" s="8"/>
      <c r="EF174" s="8"/>
      <c r="EG174" s="8"/>
      <c r="EH174" s="8"/>
      <c r="EI174" s="8"/>
      <c r="EJ174" s="8"/>
      <c r="EK174" s="8"/>
      <c r="EL174" s="8"/>
      <c r="EM174" s="8"/>
      <c r="EN174" s="8"/>
      <c r="EO174" s="8"/>
      <c r="EP174" s="8"/>
      <c r="EQ174" s="8"/>
      <c r="ER174" s="8"/>
      <c r="ES174" s="8"/>
      <c r="ET174" s="8"/>
      <c r="EU174" s="8"/>
      <c r="EV174" s="8"/>
      <c r="EW174" s="8"/>
      <c r="EX174" s="8"/>
      <c r="EY174" s="8"/>
      <c r="EZ174" s="8"/>
      <c r="FA174" s="8"/>
      <c r="FB174" s="8"/>
      <c r="FC174" s="8"/>
      <c r="FD174" s="8"/>
      <c r="FE174" s="8"/>
      <c r="FF174" s="8"/>
      <c r="FG174" s="8"/>
      <c r="FH174" s="8"/>
      <c r="FI174" s="8"/>
      <c r="FJ174" s="8"/>
      <c r="FK174" s="8"/>
      <c r="FL174" s="8"/>
      <c r="FM174" s="8"/>
      <c r="FN174" s="8"/>
      <c r="FO174" s="8"/>
      <c r="FP174" s="8"/>
      <c r="FQ174" s="8"/>
      <c r="FR174" s="8"/>
      <c r="FS174" s="8"/>
      <c r="FT174" s="8"/>
      <c r="FU174" s="8"/>
      <c r="FV174" s="8"/>
      <c r="FW174" s="8"/>
      <c r="FX174" s="8"/>
      <c r="FY174" s="8"/>
      <c r="FZ174" s="8"/>
      <c r="GA174" s="8"/>
      <c r="GB174" s="8"/>
      <c r="GC174" s="8"/>
      <c r="GD174" s="8"/>
      <c r="GE174" s="8"/>
      <c r="GF174" s="8"/>
      <c r="GG174" s="8"/>
      <c r="GH174" s="8"/>
      <c r="GI174" s="8"/>
      <c r="GJ174" s="8"/>
      <c r="GK174" s="8"/>
      <c r="GL174" s="8"/>
      <c r="GM174" s="8"/>
      <c r="GN174" s="8"/>
      <c r="GO174" s="8"/>
      <c r="GP174" s="8"/>
      <c r="GQ174" s="8"/>
      <c r="GR174" s="8"/>
      <c r="GS174" s="8"/>
      <c r="GT174" s="8"/>
      <c r="GU174" s="8"/>
      <c r="GV174" s="8"/>
      <c r="GW174" s="8"/>
      <c r="GX174" s="8"/>
      <c r="GY174" s="8"/>
      <c r="GZ174" s="8"/>
      <c r="HA174" s="8"/>
      <c r="HB174" s="8"/>
      <c r="HC174" s="8"/>
      <c r="HD174" s="8"/>
      <c r="HE174" s="8"/>
      <c r="HF174" s="8"/>
      <c r="HG174" s="8"/>
      <c r="HH174" s="8"/>
      <c r="HI174" s="8"/>
      <c r="HJ174" s="8"/>
      <c r="HK174" s="8"/>
      <c r="HL174" s="8"/>
      <c r="HM174" s="8"/>
      <c r="HN174" s="8"/>
      <c r="HO174" s="8"/>
      <c r="HP174" s="8"/>
      <c r="HQ174" s="8"/>
      <c r="HR174" s="8"/>
      <c r="HS174" s="8"/>
      <c r="HT174" s="8"/>
      <c r="HU174" s="8"/>
      <c r="HV174" s="8"/>
      <c r="HW174" s="8"/>
      <c r="HX174" s="8"/>
      <c r="HY174" s="8"/>
      <c r="HZ174" s="8"/>
      <c r="IA174" s="8"/>
      <c r="IB174" s="8"/>
      <c r="IC174" s="8"/>
      <c r="ID174" s="8"/>
      <c r="IE174" s="8"/>
      <c r="IF174" s="8"/>
      <c r="IG174" s="8"/>
      <c r="IH174" s="8"/>
      <c r="II174" s="8"/>
      <c r="IJ174" s="8"/>
      <c r="IK174" s="8"/>
      <c r="IL174" s="8"/>
      <c r="IM174" s="8"/>
      <c r="IN174" s="8"/>
      <c r="IO174" s="8"/>
      <c r="IP174" s="8"/>
      <c r="IQ174" s="8"/>
      <c r="IR174" s="8"/>
      <c r="IS174" s="8"/>
      <c r="IT174" s="8"/>
      <c r="IU174" s="8"/>
      <c r="IV174" s="8"/>
      <c r="IW174" s="8"/>
      <c r="IX174" s="8"/>
      <c r="JA174" s="123"/>
      <c r="JB174" s="123"/>
      <c r="JC174" s="123"/>
      <c r="JD174" s="70">
        <f>SUM((TEXT(JA174,"[M]")/60)*'Income Person-hours'!$D$3,(TEXT(JB174,"[M]")/60)*'Income Person-hours'!$D$4,(TEXT(JC174,"[M]")/60)*'Income Person-hours'!$D$5)</f>
        <v>0</v>
      </c>
    </row>
    <row r="175" spans="1:264 16383:16384" s="193" customFormat="1" ht="15.75" hidden="1" x14ac:dyDescent="0.45">
      <c r="A175" s="228">
        <v>8</v>
      </c>
      <c r="B175" s="112"/>
      <c r="C175" s="113"/>
      <c r="D175" s="195" t="str">
        <f>FDate(MIN(E176:E196))</f>
        <v>1398/06/31</v>
      </c>
      <c r="E175" s="193">
        <f t="shared" si="49"/>
        <v>13980631</v>
      </c>
      <c r="F175" s="195" t="str">
        <f>J_SUBDAY(J_ADDDAY(D175,L175,1),1,1)</f>
        <v>1398/06/30</v>
      </c>
      <c r="G175" s="196">
        <f t="shared" si="50"/>
        <v>13980630</v>
      </c>
      <c r="H175" s="114"/>
      <c r="I175" s="115"/>
      <c r="J175" s="195">
        <f>j_WEEKDAY(D175,2)</f>
        <v>1</v>
      </c>
      <c r="K175" s="197">
        <f>SUM(K176:K196)</f>
        <v>0</v>
      </c>
      <c r="L175" s="198">
        <f>J_DIFF(D175,FDate(MAX(G176:G196)))+1</f>
        <v>0</v>
      </c>
      <c r="M175" s="199">
        <f>IF(SUM(L176:L196)&lt;&gt;0,SUMPRODUCT(L176:L196,M176:M196)/SUM(L176:L196),0)</f>
        <v>0</v>
      </c>
      <c r="N175" s="200">
        <f>IF(F175&gt;=D175,NETWORKDAYS.INTL(J_GregorianDate(D175,1),J_GregorianDate(F175,1),16,1)-SUMIFS(Holieday[ok],Holieday[date],CONCATENATE("&gt;","=",D175),Holieday[date],CONCATENATE("&lt;","=",F175))+SUMIFS(Holieday[Friday],Holieday[date],CONCATENATE("&gt;","=",D175),Holieday[date],CONCATENATE("&lt;","=",F175)),0)</f>
        <v>0</v>
      </c>
      <c r="O175" s="191">
        <f t="shared" ref="O175:O196" si="59">ROUNDDOWN(M175*L175,0)</f>
        <v>0</v>
      </c>
      <c r="P175" s="191">
        <f>VALUE(J_normdate(J_ADDDAY($D175,$O175,1)))</f>
        <v>13980631</v>
      </c>
      <c r="Q175" s="195">
        <f t="shared" ref="Q175:Q196" si="60">L175-O175</f>
        <v>0</v>
      </c>
      <c r="IY175" s="63"/>
      <c r="IZ175" s="63"/>
      <c r="JA175" s="223"/>
      <c r="JB175" s="229"/>
      <c r="XFC175" s="195"/>
      <c r="XFD175" s="195"/>
    </row>
    <row r="176" spans="1:264 16383:16384" s="226" customFormat="1" ht="15.75" hidden="1" x14ac:dyDescent="0.45">
      <c r="A176" s="209">
        <v>8.1</v>
      </c>
      <c r="B176" s="116"/>
      <c r="C176" s="117"/>
      <c r="D176" s="205" t="str">
        <f>IF(OR(j_WEEKDAY(J_ADDDAY(VLOOKUP(I176,A:F,6,FALSE),H176,1),0)=6,SUMIFS(Holieday[ok],Holieday[date],J_ADDDAY(VLOOKUP(I176,A:F,6,FALSE),H176,1)))=FALSE(),J_ADDDAY(VLOOKUP(I176,A:F,6,FALSE),H176,1),IF(OR(j_WEEKDAY(J_ADDDAY(VLOOKUP(I176,A:F,6,FALSE),H176+1,1),0)=6,SUMIFS(Holieday[ok],Holieday[date],J_ADDDAY(VLOOKUP(I176,A:F,6,FALSE),H176+1,1)))=FALSE(),J_ADDDAY(VLOOKUP(I176,A:F,6,FALSE),H176+1,1),IF(OR(j_WEEKDAY(J_ADDDAY(VLOOKUP(I176,A:F,6,FALSE),H176+2,1),0)=6,SUMIFS(Holieday[ok],Holieday[date],J_ADDDAY(VLOOKUP(I176,A:F,6,FALSE),H176+2,1)))=FALSE(),J_ADDDAY(VLOOKUP(I176,A:F,6,FALSE),H176+2,1),IF(OR(j_WEEKDAY(J_ADDDAY(VLOOKUP(I176,A:F,6,FALSE),H176+3,1),0)=6,SUMIFS(Holieday[ok],Holieday[date],J_ADDDAY(VLOOKUP(I176,A:F,6,FALSE),H176+3,1)))=FALSE(),J_ADDDAY(VLOOKUP(I176,A:F,6,FALSE),H176+3,1),IF(OR(j_WEEKDAY(J_ADDDAY(VLOOKUP(I176,A:F,6,FALSE),H176+4,1),0)=6,SUMIFS(Holieday[ok],Holieday[date],J_ADDDAY(VLOOKUP(I176,A:F,6,FALSE),H176+4,1)))=FALSE(),J_ADDDAY(VLOOKUP(I176,A:F,6,FALSE),H176+4,1),J_ADDDAY(VLOOKUP(I176,A:F,6,FALSE),H176+5,1))))))</f>
        <v>1398/06/31</v>
      </c>
      <c r="E176" s="193">
        <f t="shared" si="49"/>
        <v>13980631</v>
      </c>
      <c r="F176" s="205" t="str">
        <f>IF(N176=0,J_SUBDAY(D176,1,1),IF((N176-NETWORKDAYS.INTL(J_GregorianDate(D176,1),J_GregorianDate(J_SUBDAY(J_ADDDAY(D176,N176,1),1,1),1),16,1)-SUMIFS(Holieday[ok],Holieday[date],CONCATENATE("&gt;","=",D176),Holieday[date],CONCATENATE("&lt;","=",J_SUBDAY(J_ADDDAY(D176,N176,1),1,1)))+SUMIFS(Holieday[Friday],Holieday[date],CONCATENATE("&gt;","=",D176),Holieday[date],CONCATENATE("&lt;","=",J_SUBDAY(J_ADDDAY(D176,N176,1),1,1))))=0,J_SUBDAY(J_ADDDAY(D176,N176,1),1,1),IF((N176-NETWORKDAYS.INTL(J_GregorianDate(D176,1),J_GregorianDate(J_SUBDAY(J_ADDDAY(D176,N176,1),1,1),1),16,1)-SUMIFS(Holieday[ok],Holieday[date],CONCATENATE("&gt;","=",D176),Holieday[date],CONCATENATE("&lt;","=",J_SUBDAY(J_ADDDAY(D176,N176,1),1,1)))+SUMIFS(Holieday[Friday],Holieday[date],CONCATENATE("&gt;","=",D176),Holieday[date],CONCATENATE("&lt;","=",J_SUBDAY(J_ADDDAY(D176,N176,1),1,1))))=1,J_SUBDAY(J_ADDDAY(D176,N176+1,1),1,1),IF((N176-NETWORKDAYS.INTL(J_GregorianDate(D176,1),J_GregorianDate(J_SUBDAY(J_ADDDAY(D176,N176,1),1,1),1),16,1)-SUMIFS(Holieday[ok],Holieday[date],CONCATENATE("&gt;","=",D176),Holieday[date],CONCATENATE("&lt;","=",J_SUBDAY(J_ADDDAY(D176,N176,1),1,1)))+SUMIFS(Holieday[Friday],Holieday[date],CONCATENATE("&gt;","=",D176),Holieday[date],CONCATENATE("&lt;","=",J_SUBDAY(J_ADDDAY(D176,N176,1),1,1))))=2,J_SUBDAY(J_ADDDAY(D176,N176+2,1),1,1),J_SUBDAY(J_ADDDAY(D176,N176+3,1),1,1)))))</f>
        <v>1398/06/30</v>
      </c>
      <c r="G176" s="196">
        <f t="shared" si="50"/>
        <v>13980630</v>
      </c>
      <c r="H176" s="119"/>
      <c r="I176" s="120">
        <v>1.1000000000000001</v>
      </c>
      <c r="J176" s="204">
        <f>j_WEEKDAY(D176,2)</f>
        <v>1</v>
      </c>
      <c r="K176" s="206">
        <f t="shared" ref="K176:K196" si="61">SUM(JA176:JC176)</f>
        <v>0</v>
      </c>
      <c r="L176" s="207">
        <f t="shared" ref="L176:L196" si="62">J_DIFF(D176,F176)+1</f>
        <v>0</v>
      </c>
      <c r="M176" s="121">
        <v>0</v>
      </c>
      <c r="N176" s="118">
        <v>0</v>
      </c>
      <c r="O176" s="208">
        <f t="shared" si="59"/>
        <v>0</v>
      </c>
      <c r="P176" s="208">
        <f>VALUE(J_normdate(J_ADDDAY($D176,$O176,1)))</f>
        <v>13980631</v>
      </c>
      <c r="Q176" s="204">
        <f t="shared" si="60"/>
        <v>0</v>
      </c>
      <c r="R176" s="202"/>
      <c r="S176" s="202"/>
      <c r="T176" s="202"/>
      <c r="U176" s="202"/>
      <c r="V176" s="202"/>
      <c r="W176" s="202"/>
      <c r="X176" s="202"/>
      <c r="Y176" s="202"/>
      <c r="Z176" s="202"/>
      <c r="AA176" s="202"/>
      <c r="AB176" s="202"/>
      <c r="AC176" s="202"/>
      <c r="AD176" s="202"/>
      <c r="AE176" s="202"/>
      <c r="AF176" s="202"/>
      <c r="AG176" s="202"/>
      <c r="AH176" s="202"/>
      <c r="AI176" s="202"/>
      <c r="AJ176" s="202"/>
      <c r="AK176" s="202"/>
      <c r="AL176" s="202"/>
      <c r="AM176" s="202"/>
      <c r="AN176" s="202"/>
      <c r="AO176" s="202"/>
      <c r="AP176" s="202"/>
      <c r="AQ176" s="202"/>
      <c r="AR176" s="202"/>
      <c r="AS176" s="202"/>
      <c r="AT176" s="202"/>
      <c r="AU176" s="202"/>
      <c r="AV176" s="202"/>
      <c r="AW176" s="202"/>
      <c r="AX176" s="202"/>
      <c r="AY176" s="202"/>
      <c r="AZ176" s="202"/>
      <c r="BA176" s="202"/>
      <c r="BB176" s="202"/>
      <c r="BC176" s="202"/>
      <c r="BD176" s="202"/>
      <c r="BE176" s="202"/>
      <c r="BF176" s="202"/>
      <c r="BG176" s="202"/>
      <c r="BH176" s="202"/>
      <c r="BI176" s="202"/>
      <c r="BJ176" s="202"/>
      <c r="BK176" s="202"/>
      <c r="BL176" s="202"/>
      <c r="BM176" s="202"/>
      <c r="BN176" s="202"/>
      <c r="BO176" s="202"/>
      <c r="BP176" s="202"/>
      <c r="BQ176" s="202"/>
      <c r="BR176" s="202"/>
      <c r="BS176" s="202"/>
      <c r="BT176" s="202"/>
      <c r="BU176" s="202"/>
      <c r="BV176" s="202"/>
      <c r="BW176" s="202"/>
      <c r="BX176" s="202"/>
      <c r="BY176" s="202"/>
      <c r="BZ176" s="202"/>
      <c r="CA176" s="202"/>
      <c r="CB176" s="202"/>
      <c r="CC176" s="202"/>
      <c r="CD176" s="202"/>
      <c r="CE176" s="202"/>
      <c r="CF176" s="202"/>
      <c r="CG176" s="202"/>
      <c r="CH176" s="202"/>
      <c r="CI176" s="202"/>
      <c r="CJ176" s="202"/>
      <c r="CK176" s="202"/>
      <c r="CL176" s="202"/>
      <c r="CM176" s="202"/>
      <c r="CN176" s="202"/>
      <c r="CO176" s="202"/>
      <c r="CP176" s="202"/>
      <c r="CQ176" s="202"/>
      <c r="CR176" s="202"/>
      <c r="CS176" s="202"/>
      <c r="CT176" s="202"/>
      <c r="CU176" s="202"/>
      <c r="CV176" s="202"/>
      <c r="CW176" s="202"/>
      <c r="CX176" s="202"/>
      <c r="CY176" s="202"/>
      <c r="CZ176" s="202"/>
      <c r="DA176" s="202"/>
      <c r="DB176" s="202"/>
      <c r="DC176" s="202"/>
      <c r="DD176" s="202"/>
      <c r="DE176" s="202"/>
      <c r="DF176" s="202"/>
      <c r="DG176" s="202"/>
      <c r="DH176" s="202"/>
      <c r="DI176" s="202"/>
      <c r="DJ176" s="202"/>
      <c r="DK176" s="202"/>
      <c r="DL176" s="202"/>
      <c r="DM176" s="202"/>
      <c r="DN176" s="202"/>
      <c r="DO176" s="202"/>
      <c r="DP176" s="202"/>
      <c r="DQ176" s="202"/>
      <c r="DR176" s="202"/>
      <c r="DS176" s="202"/>
      <c r="DT176" s="202"/>
      <c r="DU176" s="202"/>
      <c r="DV176" s="202"/>
      <c r="DW176" s="202"/>
      <c r="DX176" s="202"/>
      <c r="DY176" s="202"/>
      <c r="DZ176" s="202"/>
      <c r="EA176" s="202"/>
      <c r="EB176" s="202"/>
      <c r="EC176" s="202"/>
      <c r="ED176" s="202"/>
      <c r="EE176" s="202"/>
      <c r="EF176" s="202"/>
      <c r="EG176" s="202"/>
      <c r="EH176" s="202"/>
      <c r="EI176" s="202"/>
      <c r="EJ176" s="202"/>
      <c r="EK176" s="202"/>
      <c r="EL176" s="202"/>
      <c r="EM176" s="202"/>
      <c r="EN176" s="202"/>
      <c r="EO176" s="202"/>
      <c r="EP176" s="202"/>
      <c r="EQ176" s="202"/>
      <c r="ER176" s="202"/>
      <c r="ES176" s="202"/>
      <c r="ET176" s="202"/>
      <c r="EU176" s="202"/>
      <c r="EV176" s="202"/>
      <c r="EW176" s="202"/>
      <c r="EX176" s="202"/>
      <c r="EY176" s="202"/>
      <c r="EZ176" s="202"/>
      <c r="FA176" s="202"/>
      <c r="FB176" s="202"/>
      <c r="FC176" s="202"/>
      <c r="FD176" s="202"/>
      <c r="FE176" s="202"/>
      <c r="FF176" s="202"/>
      <c r="FG176" s="202"/>
      <c r="FH176" s="202"/>
      <c r="FI176" s="202"/>
      <c r="FJ176" s="202"/>
      <c r="FK176" s="202"/>
      <c r="FL176" s="202"/>
      <c r="FM176" s="202"/>
      <c r="FN176" s="202"/>
      <c r="FO176" s="202"/>
      <c r="FP176" s="202"/>
      <c r="FQ176" s="202"/>
      <c r="FR176" s="202"/>
      <c r="FS176" s="202"/>
      <c r="FT176" s="202"/>
      <c r="FU176" s="202"/>
      <c r="FV176" s="202"/>
      <c r="FW176" s="202"/>
      <c r="FX176" s="202"/>
      <c r="FY176" s="202"/>
      <c r="FZ176" s="202"/>
      <c r="GA176" s="202"/>
      <c r="GB176" s="202"/>
      <c r="GC176" s="202"/>
      <c r="GD176" s="202"/>
      <c r="GE176" s="202"/>
      <c r="GF176" s="202"/>
      <c r="GG176" s="202"/>
      <c r="GH176" s="202"/>
      <c r="GI176" s="202"/>
      <c r="GJ176" s="202"/>
      <c r="GK176" s="202"/>
      <c r="GL176" s="202"/>
      <c r="GM176" s="202"/>
      <c r="GN176" s="202"/>
      <c r="GO176" s="202"/>
      <c r="GP176" s="202"/>
      <c r="GQ176" s="202"/>
      <c r="GR176" s="202"/>
      <c r="GS176" s="202"/>
      <c r="GT176" s="202"/>
      <c r="GU176" s="202"/>
      <c r="GV176" s="202"/>
      <c r="GW176" s="202"/>
      <c r="GX176" s="202"/>
      <c r="GY176" s="202"/>
      <c r="GZ176" s="202"/>
      <c r="HA176" s="202"/>
      <c r="HB176" s="202"/>
      <c r="HC176" s="202"/>
      <c r="HD176" s="202"/>
      <c r="HE176" s="202"/>
      <c r="HF176" s="202"/>
      <c r="HG176" s="202"/>
      <c r="HH176" s="202"/>
      <c r="HI176" s="202"/>
      <c r="HJ176" s="202"/>
      <c r="HK176" s="202"/>
      <c r="HL176" s="202"/>
      <c r="HM176" s="202"/>
      <c r="HN176" s="202"/>
      <c r="HO176" s="202"/>
      <c r="HP176" s="202"/>
      <c r="HQ176" s="202"/>
      <c r="HR176" s="202"/>
      <c r="HS176" s="202"/>
      <c r="HT176" s="202"/>
      <c r="HU176" s="202"/>
      <c r="HV176" s="202"/>
      <c r="HW176" s="202"/>
      <c r="HX176" s="202"/>
      <c r="HY176" s="202"/>
      <c r="HZ176" s="202"/>
      <c r="IA176" s="202"/>
      <c r="IB176" s="202"/>
      <c r="IC176" s="202"/>
      <c r="ID176" s="202"/>
      <c r="IE176" s="202"/>
      <c r="IF176" s="202"/>
      <c r="IG176" s="202"/>
      <c r="IH176" s="202"/>
      <c r="II176" s="202"/>
      <c r="IJ176" s="202"/>
      <c r="IK176" s="202"/>
      <c r="IL176" s="202"/>
      <c r="IM176" s="202"/>
      <c r="IN176" s="202"/>
      <c r="IO176" s="202"/>
      <c r="IP176" s="202"/>
      <c r="IQ176" s="202"/>
      <c r="IR176" s="202"/>
      <c r="IS176" s="202"/>
      <c r="IT176" s="202"/>
      <c r="IU176" s="202"/>
      <c r="IV176" s="202"/>
      <c r="IW176" s="202"/>
      <c r="IX176" s="202"/>
      <c r="IY176" s="12"/>
      <c r="IZ176" s="12"/>
      <c r="JA176" s="123"/>
      <c r="JB176" s="128"/>
      <c r="JC176" s="123"/>
      <c r="JD176" s="227">
        <f>SUM((TEXT(JA176,"[M]")/60)*'Income Person-hours'!$D$3,(TEXT(JB176,"[M]")/60)*'Income Person-hours'!$D$4,(TEXT(JC176,"[M]")/60)*'Income Person-hours'!$D$5)</f>
        <v>0</v>
      </c>
    </row>
    <row r="177" spans="1:264" s="12" customFormat="1" ht="15.75" hidden="1" x14ac:dyDescent="0.45">
      <c r="A177" s="32">
        <v>8.1999999999999993</v>
      </c>
      <c r="B177" s="116"/>
      <c r="C177" s="117"/>
      <c r="D177" s="13" t="str">
        <f>IF(OR(j_WEEKDAY(J_ADDDAY(VLOOKUP(I177,A:F,6,FALSE),H177,1),0)=6,SUMIFS(Holieday[ok],Holieday[date],J_ADDDAY(VLOOKUP(I177,A:F,6,FALSE),H177,1)))=FALSE(),J_ADDDAY(VLOOKUP(I177,A:F,6,FALSE),H177,1),IF(OR(j_WEEKDAY(J_ADDDAY(VLOOKUP(I177,A:F,6,FALSE),H177+1,1),0)=6,SUMIFS(Holieday[ok],Holieday[date],J_ADDDAY(VLOOKUP(I177,A:F,6,FALSE),H177+1,1)))=FALSE(),J_ADDDAY(VLOOKUP(I177,A:F,6,FALSE),H177+1,1),IF(OR(j_WEEKDAY(J_ADDDAY(VLOOKUP(I177,A:F,6,FALSE),H177+2,1),0)=6,SUMIFS(Holieday[ok],Holieday[date],J_ADDDAY(VLOOKUP(I177,A:F,6,FALSE),H177+2,1)))=FALSE(),J_ADDDAY(VLOOKUP(I177,A:F,6,FALSE),H177+2,1),IF(OR(j_WEEKDAY(J_ADDDAY(VLOOKUP(I177,A:F,6,FALSE),H177+3,1),0)=6,SUMIFS(Holieday[ok],Holieday[date],J_ADDDAY(VLOOKUP(I177,A:F,6,FALSE),H177+3,1)))=FALSE(),J_ADDDAY(VLOOKUP(I177,A:F,6,FALSE),H177+3,1),IF(OR(j_WEEKDAY(J_ADDDAY(VLOOKUP(I177,A:F,6,FALSE),H177+4,1),0)=6,SUMIFS(Holieday[ok],Holieday[date],J_ADDDAY(VLOOKUP(I177,A:F,6,FALSE),H177+4,1)))=FALSE(),J_ADDDAY(VLOOKUP(I177,A:F,6,FALSE),H177+4,1),J_ADDDAY(VLOOKUP(I177,A:F,6,FALSE),H177+5,1))))))</f>
        <v>1398/06/31</v>
      </c>
      <c r="E177" s="2">
        <f t="shared" si="49"/>
        <v>13980631</v>
      </c>
      <c r="F177" s="13" t="str">
        <f>IF(N177=0,J_SUBDAY(D177,1,1),IF((N177-NETWORKDAYS.INTL(J_GregorianDate(D177,1),J_GregorianDate(J_SUBDAY(J_ADDDAY(D177,N177,1),1,1),1),16,1)-SUMIFS(Holieday[ok],Holieday[date],CONCATENATE("&gt;","=",D177),Holieday[date],CONCATENATE("&lt;","=",J_SUBDAY(J_ADDDAY(D177,N177,1),1,1)))+SUMIFS(Holieday[Friday],Holieday[date],CONCATENATE("&gt;","=",D177),Holieday[date],CONCATENATE("&lt;","=",J_SUBDAY(J_ADDDAY(D177,N177,1),1,1))))=0,J_SUBDAY(J_ADDDAY(D177,N177,1),1,1),IF((N177-NETWORKDAYS.INTL(J_GregorianDate(D177,1),J_GregorianDate(J_SUBDAY(J_ADDDAY(D177,N177,1),1,1),1),16,1)-SUMIFS(Holieday[ok],Holieday[date],CONCATENATE("&gt;","=",D177),Holieday[date],CONCATENATE("&lt;","=",J_SUBDAY(J_ADDDAY(D177,N177,1),1,1)))+SUMIFS(Holieday[Friday],Holieday[date],CONCATENATE("&gt;","=",D177),Holieday[date],CONCATENATE("&lt;","=",J_SUBDAY(J_ADDDAY(D177,N177,1),1,1))))=1,J_SUBDAY(J_ADDDAY(D177,N177+1,1),1,1),IF((N177-NETWORKDAYS.INTL(J_GregorianDate(D177,1),J_GregorianDate(J_SUBDAY(J_ADDDAY(D177,N177,1),1,1),1),16,1)-SUMIFS(Holieday[ok],Holieday[date],CONCATENATE("&gt;","=",D177),Holieday[date],CONCATENATE("&lt;","=",J_SUBDAY(J_ADDDAY(D177,N177,1),1,1)))+SUMIFS(Holieday[Friday],Holieday[date],CONCATENATE("&gt;","=",D177),Holieday[date],CONCATENATE("&lt;","=",J_SUBDAY(J_ADDDAY(D177,N177,1),1,1))))=2,J_SUBDAY(J_ADDDAY(D177,N177+2,1),1,1),J_SUBDAY(J_ADDDAY(D177,N177+3,1),1,1)))))</f>
        <v>1398/06/30</v>
      </c>
      <c r="G177" s="3">
        <f t="shared" si="50"/>
        <v>13980630</v>
      </c>
      <c r="H177" s="119"/>
      <c r="I177" s="120">
        <v>1.1000000000000001</v>
      </c>
      <c r="J177" s="10">
        <f>j_WEEKDAY(D177,2)</f>
        <v>1</v>
      </c>
      <c r="K177" s="22">
        <f>SUM(JA177:JC177)</f>
        <v>0</v>
      </c>
      <c r="L177" s="9">
        <f t="shared" si="62"/>
        <v>0</v>
      </c>
      <c r="M177" s="121">
        <v>0</v>
      </c>
      <c r="N177" s="118">
        <v>0</v>
      </c>
      <c r="O177" s="11">
        <f t="shared" si="59"/>
        <v>0</v>
      </c>
      <c r="P177" s="11">
        <f>VALUE(J_normdate(J_ADDDAY($D177,$O177,1)))</f>
        <v>13980631</v>
      </c>
      <c r="Q177" s="10">
        <f t="shared" si="60"/>
        <v>0</v>
      </c>
      <c r="R177" s="8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  <c r="AO177" s="8"/>
      <c r="AP177" s="8"/>
      <c r="AQ177" s="8"/>
      <c r="AR177" s="8"/>
      <c r="AS177" s="8"/>
      <c r="AT177" s="8"/>
      <c r="AU177" s="8"/>
      <c r="AV177" s="8"/>
      <c r="AW177" s="8"/>
      <c r="AX177" s="8"/>
      <c r="AY177" s="8"/>
      <c r="AZ177" s="8"/>
      <c r="BA177" s="8"/>
      <c r="BB177" s="8"/>
      <c r="BC177" s="8"/>
      <c r="BD177" s="8"/>
      <c r="BE177" s="8"/>
      <c r="BF177" s="8"/>
      <c r="BG177" s="8"/>
      <c r="BH177" s="8"/>
      <c r="BI177" s="8"/>
      <c r="BJ177" s="8"/>
      <c r="BK177" s="8"/>
      <c r="BL177" s="8"/>
      <c r="BM177" s="8"/>
      <c r="BN177" s="8"/>
      <c r="BO177" s="8"/>
      <c r="BP177" s="8"/>
      <c r="BQ177" s="8"/>
      <c r="BR177" s="8"/>
      <c r="BS177" s="8"/>
      <c r="BT177" s="8"/>
      <c r="BU177" s="8"/>
      <c r="BV177" s="8"/>
      <c r="BW177" s="8"/>
      <c r="BX177" s="8"/>
      <c r="BY177" s="8"/>
      <c r="BZ177" s="8"/>
      <c r="CA177" s="8"/>
      <c r="CB177" s="8"/>
      <c r="CC177" s="8"/>
      <c r="CD177" s="8"/>
      <c r="CE177" s="8"/>
      <c r="CF177" s="8"/>
      <c r="CG177" s="8"/>
      <c r="CH177" s="8"/>
      <c r="CI177" s="8"/>
      <c r="CJ177" s="8"/>
      <c r="CK177" s="8"/>
      <c r="CL177" s="8"/>
      <c r="CM177" s="8"/>
      <c r="CN177" s="8"/>
      <c r="CO177" s="8"/>
      <c r="CP177" s="8"/>
      <c r="CQ177" s="8"/>
      <c r="CR177" s="8"/>
      <c r="CS177" s="8"/>
      <c r="CT177" s="8"/>
      <c r="CU177" s="8"/>
      <c r="CV177" s="8"/>
      <c r="CW177" s="8"/>
      <c r="CX177" s="8"/>
      <c r="CY177" s="8"/>
      <c r="CZ177" s="8"/>
      <c r="DA177" s="8"/>
      <c r="DB177" s="8"/>
      <c r="DC177" s="8"/>
      <c r="DD177" s="8"/>
      <c r="DE177" s="8"/>
      <c r="DF177" s="8"/>
      <c r="DG177" s="8"/>
      <c r="DH177" s="8"/>
      <c r="DI177" s="8"/>
      <c r="DJ177" s="8"/>
      <c r="DK177" s="8"/>
      <c r="DL177" s="8"/>
      <c r="DM177" s="8"/>
      <c r="DN177" s="8"/>
      <c r="DO177" s="8"/>
      <c r="DP177" s="8"/>
      <c r="DQ177" s="8"/>
      <c r="DR177" s="8"/>
      <c r="DS177" s="8"/>
      <c r="DT177" s="8"/>
      <c r="DU177" s="8"/>
      <c r="DV177" s="8"/>
      <c r="DW177" s="8"/>
      <c r="DX177" s="8"/>
      <c r="DY177" s="8"/>
      <c r="DZ177" s="8"/>
      <c r="EA177" s="8"/>
      <c r="EB177" s="8"/>
      <c r="EC177" s="8"/>
      <c r="ED177" s="8"/>
      <c r="EE177" s="8"/>
      <c r="EF177" s="8"/>
      <c r="EG177" s="8"/>
      <c r="EH177" s="8"/>
      <c r="EI177" s="8"/>
      <c r="EJ177" s="8"/>
      <c r="EK177" s="8"/>
      <c r="EL177" s="8"/>
      <c r="EM177" s="8"/>
      <c r="EN177" s="8"/>
      <c r="EO177" s="8"/>
      <c r="EP177" s="8"/>
      <c r="EQ177" s="8"/>
      <c r="ER177" s="8"/>
      <c r="ES177" s="8"/>
      <c r="ET177" s="8"/>
      <c r="EU177" s="8"/>
      <c r="EV177" s="8"/>
      <c r="EW177" s="8"/>
      <c r="EX177" s="8"/>
      <c r="EY177" s="8"/>
      <c r="EZ177" s="8"/>
      <c r="FA177" s="8"/>
      <c r="FB177" s="8"/>
      <c r="FC177" s="8"/>
      <c r="FD177" s="8"/>
      <c r="FE177" s="8"/>
      <c r="FF177" s="8"/>
      <c r="FG177" s="8"/>
      <c r="FH177" s="8"/>
      <c r="FI177" s="8"/>
      <c r="FJ177" s="8"/>
      <c r="FK177" s="8"/>
      <c r="FL177" s="8"/>
      <c r="FM177" s="8"/>
      <c r="FN177" s="8"/>
      <c r="FO177" s="8"/>
      <c r="FP177" s="8"/>
      <c r="FQ177" s="8"/>
      <c r="FR177" s="8"/>
      <c r="FS177" s="8"/>
      <c r="FT177" s="8"/>
      <c r="FU177" s="8"/>
      <c r="FV177" s="8"/>
      <c r="FW177" s="8"/>
      <c r="FX177" s="8"/>
      <c r="FY177" s="8"/>
      <c r="FZ177" s="8"/>
      <c r="GA177" s="8"/>
      <c r="GB177" s="8"/>
      <c r="GC177" s="8"/>
      <c r="GD177" s="8"/>
      <c r="GE177" s="8"/>
      <c r="GF177" s="8"/>
      <c r="GG177" s="8"/>
      <c r="GH177" s="8"/>
      <c r="GI177" s="8"/>
      <c r="GJ177" s="8"/>
      <c r="GK177" s="8"/>
      <c r="GL177" s="8"/>
      <c r="GM177" s="8"/>
      <c r="GN177" s="8"/>
      <c r="GO177" s="8"/>
      <c r="GP177" s="8"/>
      <c r="GQ177" s="8"/>
      <c r="GR177" s="8"/>
      <c r="GS177" s="8"/>
      <c r="GT177" s="8"/>
      <c r="GU177" s="8"/>
      <c r="GV177" s="8"/>
      <c r="GW177" s="8"/>
      <c r="GX177" s="8"/>
      <c r="GY177" s="8"/>
      <c r="GZ177" s="8"/>
      <c r="HA177" s="8"/>
      <c r="HB177" s="8"/>
      <c r="HC177" s="8"/>
      <c r="HD177" s="8"/>
      <c r="HE177" s="8"/>
      <c r="HF177" s="8"/>
      <c r="HG177" s="8"/>
      <c r="HH177" s="8"/>
      <c r="HI177" s="8"/>
      <c r="HJ177" s="8"/>
      <c r="HK177" s="8"/>
      <c r="HL177" s="8"/>
      <c r="HM177" s="8"/>
      <c r="HN177" s="8"/>
      <c r="HO177" s="8"/>
      <c r="HP177" s="8"/>
      <c r="HQ177" s="8"/>
      <c r="HR177" s="8"/>
      <c r="HS177" s="8"/>
      <c r="HT177" s="8"/>
      <c r="HU177" s="8"/>
      <c r="HV177" s="8"/>
      <c r="HW177" s="8"/>
      <c r="HX177" s="8"/>
      <c r="HY177" s="8"/>
      <c r="HZ177" s="8"/>
      <c r="IA177" s="8"/>
      <c r="IB177" s="8"/>
      <c r="IC177" s="8"/>
      <c r="ID177" s="8"/>
      <c r="IE177" s="8"/>
      <c r="IF177" s="8"/>
      <c r="IG177" s="8"/>
      <c r="IH177" s="8"/>
      <c r="II177" s="8"/>
      <c r="IJ177" s="8"/>
      <c r="IK177" s="8"/>
      <c r="IL177" s="8"/>
      <c r="IM177" s="8"/>
      <c r="IN177" s="8"/>
      <c r="IO177" s="8"/>
      <c r="IP177" s="8"/>
      <c r="IQ177" s="8"/>
      <c r="IR177" s="8"/>
      <c r="IS177" s="8"/>
      <c r="IT177" s="8"/>
      <c r="IU177" s="8"/>
      <c r="IV177" s="8"/>
      <c r="IW177" s="8"/>
      <c r="IX177" s="8"/>
      <c r="JA177" s="123"/>
      <c r="JB177" s="128"/>
      <c r="JC177" s="127"/>
      <c r="JD177" s="227">
        <f>SUM((TEXT(JA177,"[M]")/60)*'Income Person-hours'!$D$3,(TEXT(JB177,"[M]")/60)*'Income Person-hours'!$D$4,(TEXT(JC177,"[M]")/60)*'Income Person-hours'!$D$5)</f>
        <v>0</v>
      </c>
    </row>
    <row r="178" spans="1:264" s="12" customFormat="1" ht="15.75" hidden="1" x14ac:dyDescent="0.45">
      <c r="A178" s="32">
        <v>8.3000000000000007</v>
      </c>
      <c r="B178" s="116"/>
      <c r="C178" s="117"/>
      <c r="D178" s="13" t="str">
        <f>IF(OR(j_WEEKDAY(J_ADDDAY(VLOOKUP(I178,A:F,6,FALSE),H178,1),0)=6,SUMIFS(Holieday[ok],Holieday[date],J_ADDDAY(VLOOKUP(I178,A:F,6,FALSE),H178,1)))=FALSE(),J_ADDDAY(VLOOKUP(I178,A:F,6,FALSE),H178,1),IF(OR(j_WEEKDAY(J_ADDDAY(VLOOKUP(I178,A:F,6,FALSE),H178+1,1),0)=6,SUMIFS(Holieday[ok],Holieday[date],J_ADDDAY(VLOOKUP(I178,A:F,6,FALSE),H178+1,1)))=FALSE(),J_ADDDAY(VLOOKUP(I178,A:F,6,FALSE),H178+1,1),IF(OR(j_WEEKDAY(J_ADDDAY(VLOOKUP(I178,A:F,6,FALSE),H178+2,1),0)=6,SUMIFS(Holieday[ok],Holieday[date],J_ADDDAY(VLOOKUP(I178,A:F,6,FALSE),H178+2,1)))=FALSE(),J_ADDDAY(VLOOKUP(I178,A:F,6,FALSE),H178+2,1),IF(OR(j_WEEKDAY(J_ADDDAY(VLOOKUP(I178,A:F,6,FALSE),H178+3,1),0)=6,SUMIFS(Holieday[ok],Holieday[date],J_ADDDAY(VLOOKUP(I178,A:F,6,FALSE),H178+3,1)))=FALSE(),J_ADDDAY(VLOOKUP(I178,A:F,6,FALSE),H178+3,1),IF(OR(j_WEEKDAY(J_ADDDAY(VLOOKUP(I178,A:F,6,FALSE),H178+4,1),0)=6,SUMIFS(Holieday[ok],Holieday[date],J_ADDDAY(VLOOKUP(I178,A:F,6,FALSE),H178+4,1)))=FALSE(),J_ADDDAY(VLOOKUP(I178,A:F,6,FALSE),H178+4,1),J_ADDDAY(VLOOKUP(I178,A:F,6,FALSE),H178+5,1))))))</f>
        <v>1398/06/31</v>
      </c>
      <c r="E178" s="2">
        <f t="shared" si="49"/>
        <v>13980631</v>
      </c>
      <c r="F178" s="13" t="str">
        <f>IF(N178=0,J_SUBDAY(D178,1,1),IF((N178-NETWORKDAYS.INTL(J_GregorianDate(D178,1),J_GregorianDate(J_SUBDAY(J_ADDDAY(D178,N178,1),1,1),1),16,1)-SUMIFS(Holieday[ok],Holieday[date],CONCATENATE("&gt;","=",D178),Holieday[date],CONCATENATE("&lt;","=",J_SUBDAY(J_ADDDAY(D178,N178,1),1,1)))+SUMIFS(Holieday[Friday],Holieday[date],CONCATENATE("&gt;","=",D178),Holieday[date],CONCATENATE("&lt;","=",J_SUBDAY(J_ADDDAY(D178,N178,1),1,1))))=0,J_SUBDAY(J_ADDDAY(D178,N178,1),1,1),IF((N178-NETWORKDAYS.INTL(J_GregorianDate(D178,1),J_GregorianDate(J_SUBDAY(J_ADDDAY(D178,N178,1),1,1),1),16,1)-SUMIFS(Holieday[ok],Holieday[date],CONCATENATE("&gt;","=",D178),Holieday[date],CONCATENATE("&lt;","=",J_SUBDAY(J_ADDDAY(D178,N178,1),1,1)))+SUMIFS(Holieday[Friday],Holieday[date],CONCATENATE("&gt;","=",D178),Holieday[date],CONCATENATE("&lt;","=",J_SUBDAY(J_ADDDAY(D178,N178,1),1,1))))=1,J_SUBDAY(J_ADDDAY(D178,N178+1,1),1,1),IF((N178-NETWORKDAYS.INTL(J_GregorianDate(D178,1),J_GregorianDate(J_SUBDAY(J_ADDDAY(D178,N178,1),1,1),1),16,1)-SUMIFS(Holieday[ok],Holieday[date],CONCATENATE("&gt;","=",D178),Holieday[date],CONCATENATE("&lt;","=",J_SUBDAY(J_ADDDAY(D178,N178,1),1,1)))+SUMIFS(Holieday[Friday],Holieday[date],CONCATENATE("&gt;","=",D178),Holieday[date],CONCATENATE("&lt;","=",J_SUBDAY(J_ADDDAY(D178,N178,1),1,1))))=2,J_SUBDAY(J_ADDDAY(D178,N178+2,1),1,1),J_SUBDAY(J_ADDDAY(D178,N178+3,1),1,1)))))</f>
        <v>1398/06/30</v>
      </c>
      <c r="G178" s="3">
        <f t="shared" si="50"/>
        <v>13980630</v>
      </c>
      <c r="H178" s="119"/>
      <c r="I178" s="120">
        <v>1.1000000000000001</v>
      </c>
      <c r="J178" s="10">
        <f>j_WEEKDAY(D178,2)</f>
        <v>1</v>
      </c>
      <c r="K178" s="22">
        <f t="shared" si="61"/>
        <v>0</v>
      </c>
      <c r="L178" s="9">
        <f t="shared" si="62"/>
        <v>0</v>
      </c>
      <c r="M178" s="121">
        <v>0</v>
      </c>
      <c r="N178" s="118">
        <v>0</v>
      </c>
      <c r="O178" s="11">
        <f t="shared" si="59"/>
        <v>0</v>
      </c>
      <c r="P178" s="11">
        <f>VALUE(J_normdate(J_ADDDAY($D178,$O178,1)))</f>
        <v>13980631</v>
      </c>
      <c r="Q178" s="10">
        <f t="shared" si="60"/>
        <v>0</v>
      </c>
      <c r="R178" s="8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  <c r="AO178" s="8"/>
      <c r="AP178" s="8"/>
      <c r="AQ178" s="8"/>
      <c r="AR178" s="8"/>
      <c r="AS178" s="8"/>
      <c r="AT178" s="8"/>
      <c r="AU178" s="8"/>
      <c r="AV178" s="8"/>
      <c r="AW178" s="8"/>
      <c r="AX178" s="8"/>
      <c r="AY178" s="8"/>
      <c r="AZ178" s="8"/>
      <c r="BA178" s="8"/>
      <c r="BB178" s="8"/>
      <c r="BC178" s="8"/>
      <c r="BD178" s="8"/>
      <c r="BE178" s="8"/>
      <c r="BF178" s="8"/>
      <c r="BG178" s="8"/>
      <c r="BH178" s="8"/>
      <c r="BI178" s="8"/>
      <c r="BJ178" s="8"/>
      <c r="BK178" s="8"/>
      <c r="BL178" s="8"/>
      <c r="BM178" s="8"/>
      <c r="BN178" s="8"/>
      <c r="BO178" s="8"/>
      <c r="BP178" s="8"/>
      <c r="BQ178" s="8"/>
      <c r="BR178" s="8"/>
      <c r="BS178" s="8"/>
      <c r="BT178" s="8"/>
      <c r="BU178" s="8"/>
      <c r="BV178" s="8"/>
      <c r="BW178" s="8"/>
      <c r="BX178" s="8"/>
      <c r="BY178" s="8"/>
      <c r="BZ178" s="8"/>
      <c r="CA178" s="8"/>
      <c r="CB178" s="8"/>
      <c r="CC178" s="8"/>
      <c r="CD178" s="8"/>
      <c r="CE178" s="8"/>
      <c r="CF178" s="8"/>
      <c r="CG178" s="8"/>
      <c r="CH178" s="8"/>
      <c r="CI178" s="8"/>
      <c r="CJ178" s="8"/>
      <c r="CK178" s="8"/>
      <c r="CL178" s="8"/>
      <c r="CM178" s="8"/>
      <c r="CN178" s="8"/>
      <c r="CO178" s="8"/>
      <c r="CP178" s="8"/>
      <c r="CQ178" s="8"/>
      <c r="CR178" s="8"/>
      <c r="CS178" s="8"/>
      <c r="CT178" s="8"/>
      <c r="CU178" s="8"/>
      <c r="CV178" s="8"/>
      <c r="CW178" s="8"/>
      <c r="CX178" s="8"/>
      <c r="CY178" s="8"/>
      <c r="CZ178" s="8"/>
      <c r="DA178" s="8"/>
      <c r="DB178" s="8"/>
      <c r="DC178" s="8"/>
      <c r="DD178" s="8"/>
      <c r="DE178" s="8"/>
      <c r="DF178" s="8"/>
      <c r="DG178" s="8"/>
      <c r="DH178" s="8"/>
      <c r="DI178" s="8"/>
      <c r="DJ178" s="8"/>
      <c r="DK178" s="8"/>
      <c r="DL178" s="8"/>
      <c r="DM178" s="8"/>
      <c r="DN178" s="8"/>
      <c r="DO178" s="8"/>
      <c r="DP178" s="8"/>
      <c r="DQ178" s="8"/>
      <c r="DR178" s="8"/>
      <c r="DS178" s="8"/>
      <c r="DT178" s="8"/>
      <c r="DU178" s="8"/>
      <c r="DV178" s="8"/>
      <c r="DW178" s="8"/>
      <c r="DX178" s="8"/>
      <c r="DY178" s="8"/>
      <c r="DZ178" s="8"/>
      <c r="EA178" s="8"/>
      <c r="EB178" s="8"/>
      <c r="EC178" s="8"/>
      <c r="ED178" s="8"/>
      <c r="EE178" s="8"/>
      <c r="EF178" s="8"/>
      <c r="EG178" s="8"/>
      <c r="EH178" s="8"/>
      <c r="EI178" s="8"/>
      <c r="EJ178" s="8"/>
      <c r="EK178" s="8"/>
      <c r="EL178" s="8"/>
      <c r="EM178" s="8"/>
      <c r="EN178" s="8"/>
      <c r="EO178" s="8"/>
      <c r="EP178" s="8"/>
      <c r="EQ178" s="8"/>
      <c r="ER178" s="8"/>
      <c r="ES178" s="8"/>
      <c r="ET178" s="8"/>
      <c r="EU178" s="8"/>
      <c r="EV178" s="8"/>
      <c r="EW178" s="8"/>
      <c r="EX178" s="8"/>
      <c r="EY178" s="8"/>
      <c r="EZ178" s="8"/>
      <c r="FA178" s="8"/>
      <c r="FB178" s="8"/>
      <c r="FC178" s="8"/>
      <c r="FD178" s="8"/>
      <c r="FE178" s="8"/>
      <c r="FF178" s="8"/>
      <c r="FG178" s="8"/>
      <c r="FH178" s="8"/>
      <c r="FI178" s="8"/>
      <c r="FJ178" s="8"/>
      <c r="FK178" s="8"/>
      <c r="FL178" s="8"/>
      <c r="FM178" s="8"/>
      <c r="FN178" s="8"/>
      <c r="FO178" s="8"/>
      <c r="FP178" s="8"/>
      <c r="FQ178" s="8"/>
      <c r="FR178" s="8"/>
      <c r="FS178" s="8"/>
      <c r="FT178" s="8"/>
      <c r="FU178" s="8"/>
      <c r="FV178" s="8"/>
      <c r="FW178" s="8"/>
      <c r="FX178" s="8"/>
      <c r="FY178" s="8"/>
      <c r="FZ178" s="8"/>
      <c r="GA178" s="8"/>
      <c r="GB178" s="8"/>
      <c r="GC178" s="8"/>
      <c r="GD178" s="8"/>
      <c r="GE178" s="8"/>
      <c r="GF178" s="8"/>
      <c r="GG178" s="8"/>
      <c r="GH178" s="8"/>
      <c r="GI178" s="8"/>
      <c r="GJ178" s="8"/>
      <c r="GK178" s="8"/>
      <c r="GL178" s="8"/>
      <c r="GM178" s="8"/>
      <c r="GN178" s="8"/>
      <c r="GO178" s="8"/>
      <c r="GP178" s="8"/>
      <c r="GQ178" s="8"/>
      <c r="GR178" s="8"/>
      <c r="GS178" s="8"/>
      <c r="GT178" s="8"/>
      <c r="GU178" s="8"/>
      <c r="GV178" s="8"/>
      <c r="GW178" s="8"/>
      <c r="GX178" s="8"/>
      <c r="GY178" s="8"/>
      <c r="GZ178" s="8"/>
      <c r="HA178" s="8"/>
      <c r="HB178" s="8"/>
      <c r="HC178" s="8"/>
      <c r="HD178" s="8"/>
      <c r="HE178" s="8"/>
      <c r="HF178" s="8"/>
      <c r="HG178" s="8"/>
      <c r="HH178" s="8"/>
      <c r="HI178" s="8"/>
      <c r="HJ178" s="8"/>
      <c r="HK178" s="8"/>
      <c r="HL178" s="8"/>
      <c r="HM178" s="8"/>
      <c r="HN178" s="8"/>
      <c r="HO178" s="8"/>
      <c r="HP178" s="8"/>
      <c r="HQ178" s="8"/>
      <c r="HR178" s="8"/>
      <c r="HS178" s="8"/>
      <c r="HT178" s="8"/>
      <c r="HU178" s="8"/>
      <c r="HV178" s="8"/>
      <c r="HW178" s="8"/>
      <c r="HX178" s="8"/>
      <c r="HY178" s="8"/>
      <c r="HZ178" s="8"/>
      <c r="IA178" s="8"/>
      <c r="IB178" s="8"/>
      <c r="IC178" s="8"/>
      <c r="ID178" s="8"/>
      <c r="IE178" s="8"/>
      <c r="IF178" s="8"/>
      <c r="IG178" s="8"/>
      <c r="IH178" s="8"/>
      <c r="II178" s="8"/>
      <c r="IJ178" s="8"/>
      <c r="IK178" s="8"/>
      <c r="IL178" s="8"/>
      <c r="IM178" s="8"/>
      <c r="IN178" s="8"/>
      <c r="IO178" s="8"/>
      <c r="IP178" s="8"/>
      <c r="IQ178" s="8"/>
      <c r="IR178" s="8"/>
      <c r="IS178" s="8"/>
      <c r="IT178" s="8"/>
      <c r="IU178" s="8"/>
      <c r="IV178" s="8"/>
      <c r="IW178" s="8"/>
      <c r="IX178" s="8"/>
      <c r="JA178" s="123"/>
      <c r="JB178" s="123"/>
      <c r="JC178" s="127"/>
      <c r="JD178" s="227">
        <f>SUM((TEXT(JA178,"[M]")/60)*'Income Person-hours'!$D$3,(TEXT(JB178,"[M]")/60)*'Income Person-hours'!$D$4,(TEXT(JC178,"[M]")/60)*'Income Person-hours'!$D$5)</f>
        <v>0</v>
      </c>
    </row>
    <row r="179" spans="1:264" s="226" customFormat="1" ht="15.75" hidden="1" x14ac:dyDescent="0.45">
      <c r="A179" s="209">
        <v>8.4</v>
      </c>
      <c r="B179" s="116"/>
      <c r="C179" s="117"/>
      <c r="D179" s="205" t="str">
        <f>IF(OR(j_WEEKDAY(J_ADDDAY(VLOOKUP(I179,A:F,6,FALSE),H179,1),0)=6,SUMIFS(Holieday[ok],Holieday[date],J_ADDDAY(VLOOKUP(I179,A:F,6,FALSE),H179,1)))=FALSE(),J_ADDDAY(VLOOKUP(I179,A:F,6,FALSE),H179,1),IF(OR(j_WEEKDAY(J_ADDDAY(VLOOKUP(I179,A:F,6,FALSE),H179+1,1),0)=6,SUMIFS(Holieday[ok],Holieday[date],J_ADDDAY(VLOOKUP(I179,A:F,6,FALSE),H179+1,1)))=FALSE(),J_ADDDAY(VLOOKUP(I179,A:F,6,FALSE),H179+1,1),IF(OR(j_WEEKDAY(J_ADDDAY(VLOOKUP(I179,A:F,6,FALSE),H179+2,1),0)=6,SUMIFS(Holieday[ok],Holieday[date],J_ADDDAY(VLOOKUP(I179,A:F,6,FALSE),H179+2,1)))=FALSE(),J_ADDDAY(VLOOKUP(I179,A:F,6,FALSE),H179+2,1),IF(OR(j_WEEKDAY(J_ADDDAY(VLOOKUP(I179,A:F,6,FALSE),H179+3,1),0)=6,SUMIFS(Holieday[ok],Holieday[date],J_ADDDAY(VLOOKUP(I179,A:F,6,FALSE),H179+3,1)))=FALSE(),J_ADDDAY(VLOOKUP(I179,A:F,6,FALSE),H179+3,1),IF(OR(j_WEEKDAY(J_ADDDAY(VLOOKUP(I179,A:F,6,FALSE),H179+4,1),0)=6,SUMIFS(Holieday[ok],Holieday[date],J_ADDDAY(VLOOKUP(I179,A:F,6,FALSE),H179+4,1)))=FALSE(),J_ADDDAY(VLOOKUP(I179,A:F,6,FALSE),H179+4,1),J_ADDDAY(VLOOKUP(I179,A:F,6,FALSE),H179+5,1))))))</f>
        <v>1398/06/31</v>
      </c>
      <c r="E179" s="193">
        <f t="shared" si="49"/>
        <v>13980631</v>
      </c>
      <c r="F179" s="205" t="str">
        <f>IF(N179=0,J_SUBDAY(D179,1,1),IF((N179-NETWORKDAYS.INTL(J_GregorianDate(D179,1),J_GregorianDate(J_SUBDAY(J_ADDDAY(D179,N179,1),1,1),1),16,1)-SUMIFS(Holieday[ok],Holieday[date],CONCATENATE("&gt;","=",D179),Holieday[date],CONCATENATE("&lt;","=",J_SUBDAY(J_ADDDAY(D179,N179,1),1,1)))+SUMIFS(Holieday[Friday],Holieday[date],CONCATENATE("&gt;","=",D179),Holieday[date],CONCATENATE("&lt;","=",J_SUBDAY(J_ADDDAY(D179,N179,1),1,1))))=0,J_SUBDAY(J_ADDDAY(D179,N179,1),1,1),IF((N179-NETWORKDAYS.INTL(J_GregorianDate(D179,1),J_GregorianDate(J_SUBDAY(J_ADDDAY(D179,N179,1),1,1),1),16,1)-SUMIFS(Holieday[ok],Holieday[date],CONCATENATE("&gt;","=",D179),Holieday[date],CONCATENATE("&lt;","=",J_SUBDAY(J_ADDDAY(D179,N179,1),1,1)))+SUMIFS(Holieday[Friday],Holieday[date],CONCATENATE("&gt;","=",D179),Holieday[date],CONCATENATE("&lt;","=",J_SUBDAY(J_ADDDAY(D179,N179,1),1,1))))=1,J_SUBDAY(J_ADDDAY(D179,N179+1,1),1,1),IF((N179-NETWORKDAYS.INTL(J_GregorianDate(D179,1),J_GregorianDate(J_SUBDAY(J_ADDDAY(D179,N179,1),1,1),1),16,1)-SUMIFS(Holieday[ok],Holieday[date],CONCATENATE("&gt;","=",D179),Holieday[date],CONCATENATE("&lt;","=",J_SUBDAY(J_ADDDAY(D179,N179,1),1,1)))+SUMIFS(Holieday[Friday],Holieday[date],CONCATENATE("&gt;","=",D179),Holieday[date],CONCATENATE("&lt;","=",J_SUBDAY(J_ADDDAY(D179,N179,1),1,1))))=2,J_SUBDAY(J_ADDDAY(D179,N179+2,1),1,1),J_SUBDAY(J_ADDDAY(D179,N179+3,1),1,1)))))</f>
        <v>1398/06/30</v>
      </c>
      <c r="G179" s="196">
        <f t="shared" si="50"/>
        <v>13980630</v>
      </c>
      <c r="H179" s="119"/>
      <c r="I179" s="120">
        <v>1.1000000000000001</v>
      </c>
      <c r="J179" s="204">
        <f>j_WEEKDAY(D179,2)</f>
        <v>1</v>
      </c>
      <c r="K179" s="206">
        <f t="shared" si="61"/>
        <v>0</v>
      </c>
      <c r="L179" s="207">
        <f t="shared" si="62"/>
        <v>0</v>
      </c>
      <c r="M179" s="121">
        <v>0</v>
      </c>
      <c r="N179" s="118">
        <v>0</v>
      </c>
      <c r="O179" s="208">
        <f t="shared" si="59"/>
        <v>0</v>
      </c>
      <c r="P179" s="208">
        <f>VALUE(J_normdate(J_ADDDAY($D179,$O179,1)))</f>
        <v>13980631</v>
      </c>
      <c r="Q179" s="204">
        <f t="shared" si="60"/>
        <v>0</v>
      </c>
      <c r="R179" s="202"/>
      <c r="S179" s="202"/>
      <c r="T179" s="202"/>
      <c r="U179" s="202"/>
      <c r="V179" s="202"/>
      <c r="W179" s="202"/>
      <c r="X179" s="202"/>
      <c r="Y179" s="202"/>
      <c r="Z179" s="202"/>
      <c r="AA179" s="202"/>
      <c r="AB179" s="202"/>
      <c r="AC179" s="202"/>
      <c r="AD179" s="202"/>
      <c r="AE179" s="202"/>
      <c r="AF179" s="202"/>
      <c r="AG179" s="202"/>
      <c r="AH179" s="202"/>
      <c r="AI179" s="202"/>
      <c r="AJ179" s="202"/>
      <c r="AK179" s="202"/>
      <c r="AL179" s="202"/>
      <c r="AM179" s="202"/>
      <c r="AN179" s="202"/>
      <c r="AO179" s="202"/>
      <c r="AP179" s="202"/>
      <c r="AQ179" s="202"/>
      <c r="AR179" s="202"/>
      <c r="AS179" s="202"/>
      <c r="AT179" s="202"/>
      <c r="AU179" s="202"/>
      <c r="AV179" s="202"/>
      <c r="AW179" s="202"/>
      <c r="AX179" s="202"/>
      <c r="AY179" s="202"/>
      <c r="AZ179" s="202"/>
      <c r="BA179" s="202"/>
      <c r="BB179" s="202"/>
      <c r="BC179" s="202"/>
      <c r="BD179" s="202"/>
      <c r="BE179" s="202"/>
      <c r="BF179" s="202"/>
      <c r="BG179" s="202"/>
      <c r="BH179" s="202"/>
      <c r="BI179" s="202"/>
      <c r="BJ179" s="202"/>
      <c r="BK179" s="202"/>
      <c r="BL179" s="202"/>
      <c r="BM179" s="202"/>
      <c r="BN179" s="202"/>
      <c r="BO179" s="202"/>
      <c r="BP179" s="202"/>
      <c r="BQ179" s="202"/>
      <c r="BR179" s="202"/>
      <c r="BS179" s="202"/>
      <c r="BT179" s="202"/>
      <c r="BU179" s="202"/>
      <c r="BV179" s="202"/>
      <c r="BW179" s="202"/>
      <c r="BX179" s="202"/>
      <c r="BY179" s="202"/>
      <c r="BZ179" s="202"/>
      <c r="CA179" s="202"/>
      <c r="CB179" s="202"/>
      <c r="CC179" s="202"/>
      <c r="CD179" s="202"/>
      <c r="CE179" s="202"/>
      <c r="CF179" s="202"/>
      <c r="CG179" s="202"/>
      <c r="CH179" s="202"/>
      <c r="CI179" s="202"/>
      <c r="CJ179" s="202"/>
      <c r="CK179" s="202"/>
      <c r="CL179" s="202"/>
      <c r="CM179" s="202"/>
      <c r="CN179" s="202"/>
      <c r="CO179" s="202"/>
      <c r="CP179" s="202"/>
      <c r="CQ179" s="202"/>
      <c r="CR179" s="202"/>
      <c r="CS179" s="202"/>
      <c r="CT179" s="202"/>
      <c r="CU179" s="202"/>
      <c r="CV179" s="202"/>
      <c r="CW179" s="202"/>
      <c r="CX179" s="202"/>
      <c r="CY179" s="202"/>
      <c r="CZ179" s="202"/>
      <c r="DA179" s="202"/>
      <c r="DB179" s="202"/>
      <c r="DC179" s="202"/>
      <c r="DD179" s="202"/>
      <c r="DE179" s="202"/>
      <c r="DF179" s="202"/>
      <c r="DG179" s="202"/>
      <c r="DH179" s="202"/>
      <c r="DI179" s="202"/>
      <c r="DJ179" s="202"/>
      <c r="DK179" s="202"/>
      <c r="DL179" s="202"/>
      <c r="DM179" s="202"/>
      <c r="DN179" s="202"/>
      <c r="DO179" s="202"/>
      <c r="DP179" s="202"/>
      <c r="DQ179" s="202"/>
      <c r="DR179" s="202"/>
      <c r="DS179" s="202"/>
      <c r="DT179" s="202"/>
      <c r="DU179" s="202"/>
      <c r="DV179" s="202"/>
      <c r="DW179" s="202"/>
      <c r="DX179" s="202"/>
      <c r="DY179" s="202"/>
      <c r="DZ179" s="202"/>
      <c r="EA179" s="202"/>
      <c r="EB179" s="202"/>
      <c r="EC179" s="202"/>
      <c r="ED179" s="202"/>
      <c r="EE179" s="202"/>
      <c r="EF179" s="202"/>
      <c r="EG179" s="202"/>
      <c r="EH179" s="202"/>
      <c r="EI179" s="202"/>
      <c r="EJ179" s="202"/>
      <c r="EK179" s="202"/>
      <c r="EL179" s="202"/>
      <c r="EM179" s="202"/>
      <c r="EN179" s="202"/>
      <c r="EO179" s="202"/>
      <c r="EP179" s="202"/>
      <c r="EQ179" s="202"/>
      <c r="ER179" s="202"/>
      <c r="ES179" s="202"/>
      <c r="ET179" s="202"/>
      <c r="EU179" s="202"/>
      <c r="EV179" s="202"/>
      <c r="EW179" s="202"/>
      <c r="EX179" s="202"/>
      <c r="EY179" s="202"/>
      <c r="EZ179" s="202"/>
      <c r="FA179" s="202"/>
      <c r="FB179" s="202"/>
      <c r="FC179" s="202"/>
      <c r="FD179" s="202"/>
      <c r="FE179" s="202"/>
      <c r="FF179" s="202"/>
      <c r="FG179" s="202"/>
      <c r="FH179" s="202"/>
      <c r="FI179" s="202"/>
      <c r="FJ179" s="202"/>
      <c r="FK179" s="202"/>
      <c r="FL179" s="202"/>
      <c r="FM179" s="202"/>
      <c r="FN179" s="202"/>
      <c r="FO179" s="202"/>
      <c r="FP179" s="202"/>
      <c r="FQ179" s="202"/>
      <c r="FR179" s="202"/>
      <c r="FS179" s="202"/>
      <c r="FT179" s="202"/>
      <c r="FU179" s="202"/>
      <c r="FV179" s="202"/>
      <c r="FW179" s="202"/>
      <c r="FX179" s="202"/>
      <c r="FY179" s="202"/>
      <c r="FZ179" s="202"/>
      <c r="GA179" s="202"/>
      <c r="GB179" s="202"/>
      <c r="GC179" s="202"/>
      <c r="GD179" s="202"/>
      <c r="GE179" s="202"/>
      <c r="GF179" s="202"/>
      <c r="GG179" s="202"/>
      <c r="GH179" s="202"/>
      <c r="GI179" s="202"/>
      <c r="GJ179" s="202"/>
      <c r="GK179" s="202"/>
      <c r="GL179" s="202"/>
      <c r="GM179" s="202"/>
      <c r="GN179" s="202"/>
      <c r="GO179" s="202"/>
      <c r="GP179" s="202"/>
      <c r="GQ179" s="202"/>
      <c r="GR179" s="202"/>
      <c r="GS179" s="202"/>
      <c r="GT179" s="202"/>
      <c r="GU179" s="202"/>
      <c r="GV179" s="202"/>
      <c r="GW179" s="202"/>
      <c r="GX179" s="202"/>
      <c r="GY179" s="202"/>
      <c r="GZ179" s="202"/>
      <c r="HA179" s="202"/>
      <c r="HB179" s="202"/>
      <c r="HC179" s="202"/>
      <c r="HD179" s="202"/>
      <c r="HE179" s="202"/>
      <c r="HF179" s="202"/>
      <c r="HG179" s="202"/>
      <c r="HH179" s="202"/>
      <c r="HI179" s="202"/>
      <c r="HJ179" s="202"/>
      <c r="HK179" s="202"/>
      <c r="HL179" s="202"/>
      <c r="HM179" s="202"/>
      <c r="HN179" s="202"/>
      <c r="HO179" s="202"/>
      <c r="HP179" s="202"/>
      <c r="HQ179" s="202"/>
      <c r="HR179" s="202"/>
      <c r="HS179" s="202"/>
      <c r="HT179" s="202"/>
      <c r="HU179" s="202"/>
      <c r="HV179" s="202"/>
      <c r="HW179" s="202"/>
      <c r="HX179" s="202"/>
      <c r="HY179" s="202"/>
      <c r="HZ179" s="202"/>
      <c r="IA179" s="202"/>
      <c r="IB179" s="202"/>
      <c r="IC179" s="202"/>
      <c r="ID179" s="202"/>
      <c r="IE179" s="202"/>
      <c r="IF179" s="202"/>
      <c r="IG179" s="202"/>
      <c r="IH179" s="202"/>
      <c r="II179" s="202"/>
      <c r="IJ179" s="202"/>
      <c r="IK179" s="202"/>
      <c r="IL179" s="202"/>
      <c r="IM179" s="202"/>
      <c r="IN179" s="202"/>
      <c r="IO179" s="202"/>
      <c r="IP179" s="202"/>
      <c r="IQ179" s="202"/>
      <c r="IR179" s="202"/>
      <c r="IS179" s="202"/>
      <c r="IT179" s="202"/>
      <c r="IU179" s="202"/>
      <c r="IV179" s="202"/>
      <c r="IW179" s="202"/>
      <c r="IX179" s="202"/>
      <c r="IY179" s="12"/>
      <c r="IZ179" s="12"/>
      <c r="JA179" s="123"/>
      <c r="JC179" s="239"/>
      <c r="JD179" s="227">
        <f>SUM((TEXT(JA179,"[M]")/60)*'Income Person-hours'!$D$3,(TEXT(JB179,"[M]")/60)*'Income Person-hours'!$D$4,(TEXT(JC179,"[M]")/60)*'Income Person-hours'!$D$5)</f>
        <v>0</v>
      </c>
    </row>
    <row r="180" spans="1:264" s="12" customFormat="1" ht="15.75" hidden="1" x14ac:dyDescent="0.45">
      <c r="A180" s="209">
        <v>8.5</v>
      </c>
      <c r="B180" s="116"/>
      <c r="C180" s="117"/>
      <c r="D180" s="13" t="str">
        <f>IF(OR(j_WEEKDAY(J_ADDDAY(VLOOKUP(I180,A:F,6,FALSE),H180,1),0)=6,SUMIFS(Holieday[ok],Holieday[date],J_ADDDAY(VLOOKUP(I180,A:F,6,FALSE),H180,1)))=FALSE(),J_ADDDAY(VLOOKUP(I180,A:F,6,FALSE),H180,1),IF(OR(j_WEEKDAY(J_ADDDAY(VLOOKUP(I180,A:F,6,FALSE),H180+1,1),0)=6,SUMIFS(Holieday[ok],Holieday[date],J_ADDDAY(VLOOKUP(I180,A:F,6,FALSE),H180+1,1)))=FALSE(),J_ADDDAY(VLOOKUP(I180,A:F,6,FALSE),H180+1,1),IF(OR(j_WEEKDAY(J_ADDDAY(VLOOKUP(I180,A:F,6,FALSE),H180+2,1),0)=6,SUMIFS(Holieday[ok],Holieday[date],J_ADDDAY(VLOOKUP(I180,A:F,6,FALSE),H180+2,1)))=FALSE(),J_ADDDAY(VLOOKUP(I180,A:F,6,FALSE),H180+2,1),IF(OR(j_WEEKDAY(J_ADDDAY(VLOOKUP(I180,A:F,6,FALSE),H180+3,1),0)=6,SUMIFS(Holieday[ok],Holieday[date],J_ADDDAY(VLOOKUP(I180,A:F,6,FALSE),H180+3,1)))=FALSE(),J_ADDDAY(VLOOKUP(I180,A:F,6,FALSE),H180+3,1),IF(OR(j_WEEKDAY(J_ADDDAY(VLOOKUP(I180,A:F,6,FALSE),H180+4,1),0)=6,SUMIFS(Holieday[ok],Holieday[date],J_ADDDAY(VLOOKUP(I180,A:F,6,FALSE),H180+4,1)))=FALSE(),J_ADDDAY(VLOOKUP(I180,A:F,6,FALSE),H180+4,1),J_ADDDAY(VLOOKUP(I180,A:F,6,FALSE),H180+5,1))))))</f>
        <v>1398/06/31</v>
      </c>
      <c r="E180" s="2">
        <f t="shared" si="49"/>
        <v>13980631</v>
      </c>
      <c r="F180" s="13" t="str">
        <f>IF(N180=0,J_SUBDAY(D180,1,1),IF((N180-NETWORKDAYS.INTL(J_GregorianDate(D180,1),J_GregorianDate(J_SUBDAY(J_ADDDAY(D180,N180,1),1,1),1),16,1)-SUMIFS(Holieday[ok],Holieday[date],CONCATENATE("&gt;","=",D180),Holieday[date],CONCATENATE("&lt;","=",J_SUBDAY(J_ADDDAY(D180,N180,1),1,1)))+SUMIFS(Holieday[Friday],Holieday[date],CONCATENATE("&gt;","=",D180),Holieday[date],CONCATENATE("&lt;","=",J_SUBDAY(J_ADDDAY(D180,N180,1),1,1))))=0,J_SUBDAY(J_ADDDAY(D180,N180,1),1,1),IF((N180-NETWORKDAYS.INTL(J_GregorianDate(D180,1),J_GregorianDate(J_SUBDAY(J_ADDDAY(D180,N180,1),1,1),1),16,1)-SUMIFS(Holieday[ok],Holieday[date],CONCATENATE("&gt;","=",D180),Holieday[date],CONCATENATE("&lt;","=",J_SUBDAY(J_ADDDAY(D180,N180,1),1,1)))+SUMIFS(Holieday[Friday],Holieday[date],CONCATENATE("&gt;","=",D180),Holieday[date],CONCATENATE("&lt;","=",J_SUBDAY(J_ADDDAY(D180,N180,1),1,1))))=1,J_SUBDAY(J_ADDDAY(D180,N180+1,1),1,1),IF((N180-NETWORKDAYS.INTL(J_GregorianDate(D180,1),J_GregorianDate(J_SUBDAY(J_ADDDAY(D180,N180,1),1,1),1),16,1)-SUMIFS(Holieday[ok],Holieday[date],CONCATENATE("&gt;","=",D180),Holieday[date],CONCATENATE("&lt;","=",J_SUBDAY(J_ADDDAY(D180,N180,1),1,1)))+SUMIFS(Holieday[Friday],Holieday[date],CONCATENATE("&gt;","=",D180),Holieday[date],CONCATENATE("&lt;","=",J_SUBDAY(J_ADDDAY(D180,N180,1),1,1))))=2,J_SUBDAY(J_ADDDAY(D180,N180+2,1),1,1),J_SUBDAY(J_ADDDAY(D180,N180+3,1),1,1)))))</f>
        <v>1398/06/30</v>
      </c>
      <c r="G180" s="3">
        <f t="shared" si="50"/>
        <v>13980630</v>
      </c>
      <c r="H180" s="119"/>
      <c r="I180" s="120">
        <v>1.1000000000000001</v>
      </c>
      <c r="J180" s="10">
        <f>j_WEEKDAY(D180,2)</f>
        <v>1</v>
      </c>
      <c r="K180" s="22">
        <f t="shared" si="61"/>
        <v>0</v>
      </c>
      <c r="L180" s="9">
        <f t="shared" si="62"/>
        <v>0</v>
      </c>
      <c r="M180" s="121">
        <v>0</v>
      </c>
      <c r="N180" s="118">
        <v>0</v>
      </c>
      <c r="O180" s="11">
        <f t="shared" si="59"/>
        <v>0</v>
      </c>
      <c r="P180" s="11">
        <f>VALUE(J_normdate(J_ADDDAY($D180,$O180,1)))</f>
        <v>13980631</v>
      </c>
      <c r="Q180" s="10">
        <f t="shared" si="60"/>
        <v>0</v>
      </c>
      <c r="R180" s="8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  <c r="AO180" s="8"/>
      <c r="AP180" s="8"/>
      <c r="AQ180" s="8"/>
      <c r="AR180" s="8"/>
      <c r="AS180" s="8"/>
      <c r="AT180" s="8"/>
      <c r="AU180" s="8"/>
      <c r="AV180" s="8"/>
      <c r="AW180" s="8"/>
      <c r="AX180" s="8"/>
      <c r="AY180" s="8"/>
      <c r="AZ180" s="8"/>
      <c r="BA180" s="8"/>
      <c r="BB180" s="8"/>
      <c r="BC180" s="8"/>
      <c r="BD180" s="8"/>
      <c r="BE180" s="8"/>
      <c r="BF180" s="8"/>
      <c r="BG180" s="8"/>
      <c r="BH180" s="8"/>
      <c r="BI180" s="8"/>
      <c r="BJ180" s="8"/>
      <c r="BK180" s="8"/>
      <c r="BL180" s="8"/>
      <c r="BM180" s="8"/>
      <c r="BN180" s="8"/>
      <c r="BO180" s="8"/>
      <c r="BP180" s="8"/>
      <c r="BQ180" s="8"/>
      <c r="BR180" s="8"/>
      <c r="BS180" s="8"/>
      <c r="BT180" s="8"/>
      <c r="BU180" s="8"/>
      <c r="BV180" s="8"/>
      <c r="BW180" s="8"/>
      <c r="BX180" s="8"/>
      <c r="BY180" s="8"/>
      <c r="BZ180" s="8"/>
      <c r="CA180" s="8"/>
      <c r="CB180" s="8"/>
      <c r="CC180" s="8"/>
      <c r="CD180" s="8"/>
      <c r="CE180" s="8"/>
      <c r="CF180" s="8"/>
      <c r="CG180" s="8"/>
      <c r="CH180" s="8"/>
      <c r="CI180" s="8"/>
      <c r="CJ180" s="8"/>
      <c r="CK180" s="8"/>
      <c r="CL180" s="8"/>
      <c r="CM180" s="8"/>
      <c r="CN180" s="8"/>
      <c r="CO180" s="8"/>
      <c r="CP180" s="8"/>
      <c r="CQ180" s="8"/>
      <c r="CR180" s="8"/>
      <c r="CS180" s="8"/>
      <c r="CT180" s="8"/>
      <c r="CU180" s="8"/>
      <c r="CV180" s="8"/>
      <c r="CW180" s="8"/>
      <c r="CX180" s="8"/>
      <c r="CY180" s="8"/>
      <c r="CZ180" s="8"/>
      <c r="DA180" s="8"/>
      <c r="DB180" s="8"/>
      <c r="DC180" s="8"/>
      <c r="DD180" s="8"/>
      <c r="DE180" s="8"/>
      <c r="DF180" s="8"/>
      <c r="DG180" s="8"/>
      <c r="DH180" s="8"/>
      <c r="DI180" s="8"/>
      <c r="DJ180" s="8"/>
      <c r="DK180" s="8"/>
      <c r="DL180" s="8"/>
      <c r="DM180" s="8"/>
      <c r="DN180" s="8"/>
      <c r="DO180" s="8"/>
      <c r="DP180" s="8"/>
      <c r="DQ180" s="8"/>
      <c r="DR180" s="8"/>
      <c r="DS180" s="8"/>
      <c r="DT180" s="8"/>
      <c r="DU180" s="8"/>
      <c r="DV180" s="8"/>
      <c r="DW180" s="8"/>
      <c r="DX180" s="8"/>
      <c r="DY180" s="8"/>
      <c r="DZ180" s="8"/>
      <c r="EA180" s="8"/>
      <c r="EB180" s="8"/>
      <c r="EC180" s="8"/>
      <c r="ED180" s="8"/>
      <c r="EE180" s="8"/>
      <c r="EF180" s="8"/>
      <c r="EG180" s="8"/>
      <c r="EH180" s="8"/>
      <c r="EI180" s="8"/>
      <c r="EJ180" s="8"/>
      <c r="EK180" s="8"/>
      <c r="EL180" s="8"/>
      <c r="EM180" s="8"/>
      <c r="EN180" s="8"/>
      <c r="EO180" s="8"/>
      <c r="EP180" s="8"/>
      <c r="EQ180" s="8"/>
      <c r="ER180" s="8"/>
      <c r="ES180" s="8"/>
      <c r="ET180" s="8"/>
      <c r="EU180" s="8"/>
      <c r="EV180" s="8"/>
      <c r="EW180" s="8"/>
      <c r="EX180" s="8"/>
      <c r="EY180" s="8"/>
      <c r="EZ180" s="8"/>
      <c r="FA180" s="8"/>
      <c r="FB180" s="8"/>
      <c r="FC180" s="8"/>
      <c r="FD180" s="8"/>
      <c r="FE180" s="8"/>
      <c r="FF180" s="8"/>
      <c r="FG180" s="8"/>
      <c r="FH180" s="8"/>
      <c r="FI180" s="8"/>
      <c r="FJ180" s="8"/>
      <c r="FK180" s="8"/>
      <c r="FL180" s="8"/>
      <c r="FM180" s="8"/>
      <c r="FN180" s="8"/>
      <c r="FO180" s="8"/>
      <c r="FP180" s="8"/>
      <c r="FQ180" s="8"/>
      <c r="FR180" s="8"/>
      <c r="FS180" s="8"/>
      <c r="FT180" s="8"/>
      <c r="FU180" s="8"/>
      <c r="FV180" s="8"/>
      <c r="FW180" s="8"/>
      <c r="FX180" s="8"/>
      <c r="FY180" s="8"/>
      <c r="FZ180" s="8"/>
      <c r="GA180" s="8"/>
      <c r="GB180" s="8"/>
      <c r="GC180" s="8"/>
      <c r="GD180" s="8"/>
      <c r="GE180" s="8"/>
      <c r="GF180" s="8"/>
      <c r="GG180" s="8"/>
      <c r="GH180" s="8"/>
      <c r="GI180" s="8"/>
      <c r="GJ180" s="8"/>
      <c r="GK180" s="8"/>
      <c r="GL180" s="8"/>
      <c r="GM180" s="8"/>
      <c r="GN180" s="8"/>
      <c r="GO180" s="8"/>
      <c r="GP180" s="8"/>
      <c r="GQ180" s="8"/>
      <c r="GR180" s="8"/>
      <c r="GS180" s="8"/>
      <c r="GT180" s="8"/>
      <c r="GU180" s="8"/>
      <c r="GV180" s="8"/>
      <c r="GW180" s="8"/>
      <c r="GX180" s="8"/>
      <c r="GY180" s="8"/>
      <c r="GZ180" s="8"/>
      <c r="HA180" s="8"/>
      <c r="HB180" s="8"/>
      <c r="HC180" s="8"/>
      <c r="HD180" s="8"/>
      <c r="HE180" s="8"/>
      <c r="HF180" s="8"/>
      <c r="HG180" s="8"/>
      <c r="HH180" s="8"/>
      <c r="HI180" s="8"/>
      <c r="HJ180" s="8"/>
      <c r="HK180" s="8"/>
      <c r="HL180" s="8"/>
      <c r="HM180" s="8"/>
      <c r="HN180" s="8"/>
      <c r="HO180" s="8"/>
      <c r="HP180" s="8"/>
      <c r="HQ180" s="8"/>
      <c r="HR180" s="8"/>
      <c r="HS180" s="8"/>
      <c r="HT180" s="8"/>
      <c r="HU180" s="8"/>
      <c r="HV180" s="8"/>
      <c r="HW180" s="8"/>
      <c r="HX180" s="8"/>
      <c r="HY180" s="8"/>
      <c r="HZ180" s="8"/>
      <c r="IA180" s="8"/>
      <c r="IB180" s="8"/>
      <c r="IC180" s="8"/>
      <c r="ID180" s="8"/>
      <c r="IE180" s="8"/>
      <c r="IF180" s="8"/>
      <c r="IG180" s="8"/>
      <c r="IH180" s="8"/>
      <c r="II180" s="8"/>
      <c r="IJ180" s="8"/>
      <c r="IK180" s="8"/>
      <c r="IL180" s="8"/>
      <c r="IM180" s="8"/>
      <c r="IN180" s="8"/>
      <c r="IO180" s="8"/>
      <c r="IP180" s="8"/>
      <c r="IQ180" s="8"/>
      <c r="IR180" s="8"/>
      <c r="IS180" s="8"/>
      <c r="IT180" s="8"/>
      <c r="IU180" s="8"/>
      <c r="IV180" s="8"/>
      <c r="IW180" s="8"/>
      <c r="IX180" s="8"/>
      <c r="JA180" s="123"/>
      <c r="JB180" s="123"/>
      <c r="JC180" s="123"/>
      <c r="JD180" s="227">
        <f>SUM((TEXT(JA180,"[M]")/60)*'Income Person-hours'!$D$3,(TEXT(JB180,"[M]")/60)*'Income Person-hours'!$D$4,(TEXT(JC180,"[M]")/60)*'Income Person-hours'!$D$5)</f>
        <v>0</v>
      </c>
    </row>
    <row r="181" spans="1:264" s="12" customFormat="1" ht="15.75" hidden="1" x14ac:dyDescent="0.45">
      <c r="A181" s="32">
        <v>8.6</v>
      </c>
      <c r="B181" s="116"/>
      <c r="C181" s="117"/>
      <c r="D181" s="13" t="str">
        <f>IF(OR(j_WEEKDAY(J_ADDDAY(VLOOKUP(I181,A:F,6,FALSE),H181,1),0)=6,SUMIFS(Holieday[ok],Holieday[date],J_ADDDAY(VLOOKUP(I181,A:F,6,FALSE),H181,1)))=FALSE(),J_ADDDAY(VLOOKUP(I181,A:F,6,FALSE),H181,1),IF(OR(j_WEEKDAY(J_ADDDAY(VLOOKUP(I181,A:F,6,FALSE),H181+1,1),0)=6,SUMIFS(Holieday[ok],Holieday[date],J_ADDDAY(VLOOKUP(I181,A:F,6,FALSE),H181+1,1)))=FALSE(),J_ADDDAY(VLOOKUP(I181,A:F,6,FALSE),H181+1,1),IF(OR(j_WEEKDAY(J_ADDDAY(VLOOKUP(I181,A:F,6,FALSE),H181+2,1),0)=6,SUMIFS(Holieday[ok],Holieday[date],J_ADDDAY(VLOOKUP(I181,A:F,6,FALSE),H181+2,1)))=FALSE(),J_ADDDAY(VLOOKUP(I181,A:F,6,FALSE),H181+2,1),IF(OR(j_WEEKDAY(J_ADDDAY(VLOOKUP(I181,A:F,6,FALSE),H181+3,1),0)=6,SUMIFS(Holieday[ok],Holieday[date],J_ADDDAY(VLOOKUP(I181,A:F,6,FALSE),H181+3,1)))=FALSE(),J_ADDDAY(VLOOKUP(I181,A:F,6,FALSE),H181+3,1),IF(OR(j_WEEKDAY(J_ADDDAY(VLOOKUP(I181,A:F,6,FALSE),H181+4,1),0)=6,SUMIFS(Holieday[ok],Holieday[date],J_ADDDAY(VLOOKUP(I181,A:F,6,FALSE),H181+4,1)))=FALSE(),J_ADDDAY(VLOOKUP(I181,A:F,6,FALSE),H181+4,1),J_ADDDAY(VLOOKUP(I181,A:F,6,FALSE),H181+5,1))))))</f>
        <v>1398/06/31</v>
      </c>
      <c r="E181" s="2">
        <f t="shared" si="49"/>
        <v>13980631</v>
      </c>
      <c r="F181" s="13" t="str">
        <f>IF(N181=0,J_SUBDAY(D181,1,1),IF((N181-NETWORKDAYS.INTL(J_GregorianDate(D181,1),J_GregorianDate(J_SUBDAY(J_ADDDAY(D181,N181,1),1,1),1),16,1)-SUMIFS(Holieday[ok],Holieday[date],CONCATENATE("&gt;","=",D181),Holieday[date],CONCATENATE("&lt;","=",J_SUBDAY(J_ADDDAY(D181,N181,1),1,1)))+SUMIFS(Holieday[Friday],Holieday[date],CONCATENATE("&gt;","=",D181),Holieday[date],CONCATENATE("&lt;","=",J_SUBDAY(J_ADDDAY(D181,N181,1),1,1))))=0,J_SUBDAY(J_ADDDAY(D181,N181,1),1,1),IF((N181-NETWORKDAYS.INTL(J_GregorianDate(D181,1),J_GregorianDate(J_SUBDAY(J_ADDDAY(D181,N181,1),1,1),1),16,1)-SUMIFS(Holieday[ok],Holieday[date],CONCATENATE("&gt;","=",D181),Holieday[date],CONCATENATE("&lt;","=",J_SUBDAY(J_ADDDAY(D181,N181,1),1,1)))+SUMIFS(Holieday[Friday],Holieday[date],CONCATENATE("&gt;","=",D181),Holieday[date],CONCATENATE("&lt;","=",J_SUBDAY(J_ADDDAY(D181,N181,1),1,1))))=1,J_SUBDAY(J_ADDDAY(D181,N181+1,1),1,1),IF((N181-NETWORKDAYS.INTL(J_GregorianDate(D181,1),J_GregorianDate(J_SUBDAY(J_ADDDAY(D181,N181,1),1,1),1),16,1)-SUMIFS(Holieday[ok],Holieday[date],CONCATENATE("&gt;","=",D181),Holieday[date],CONCATENATE("&lt;","=",J_SUBDAY(J_ADDDAY(D181,N181,1),1,1)))+SUMIFS(Holieday[Friday],Holieday[date],CONCATENATE("&gt;","=",D181),Holieday[date],CONCATENATE("&lt;","=",J_SUBDAY(J_ADDDAY(D181,N181,1),1,1))))=2,J_SUBDAY(J_ADDDAY(D181,N181+2,1),1,1),J_SUBDAY(J_ADDDAY(D181,N181+3,1),1,1)))))</f>
        <v>1398/06/30</v>
      </c>
      <c r="G181" s="3">
        <f t="shared" si="50"/>
        <v>13980630</v>
      </c>
      <c r="H181" s="119"/>
      <c r="I181" s="120">
        <v>1.1000000000000001</v>
      </c>
      <c r="J181" s="10">
        <f>j_WEEKDAY(D181,2)</f>
        <v>1</v>
      </c>
      <c r="K181" s="22">
        <f t="shared" si="61"/>
        <v>0</v>
      </c>
      <c r="L181" s="9">
        <f t="shared" si="62"/>
        <v>0</v>
      </c>
      <c r="M181" s="121">
        <v>0</v>
      </c>
      <c r="N181" s="118">
        <v>0</v>
      </c>
      <c r="O181" s="11">
        <f t="shared" si="59"/>
        <v>0</v>
      </c>
      <c r="P181" s="11">
        <f>VALUE(J_normdate(J_ADDDAY($D181,$O181,1)))</f>
        <v>13980631</v>
      </c>
      <c r="Q181" s="10">
        <f t="shared" si="60"/>
        <v>0</v>
      </c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/>
      <c r="AX181" s="8"/>
      <c r="AY181" s="8"/>
      <c r="AZ181" s="8"/>
      <c r="BA181" s="8"/>
      <c r="BB181" s="8"/>
      <c r="BC181" s="8"/>
      <c r="BD181" s="8"/>
      <c r="BE181" s="8"/>
      <c r="BF181" s="8"/>
      <c r="BG181" s="8"/>
      <c r="BH181" s="8"/>
      <c r="BI181" s="8"/>
      <c r="BJ181" s="8"/>
      <c r="BK181" s="8"/>
      <c r="BL181" s="8"/>
      <c r="BM181" s="8"/>
      <c r="BN181" s="8"/>
      <c r="BO181" s="8"/>
      <c r="BP181" s="8"/>
      <c r="BQ181" s="8"/>
      <c r="BR181" s="8"/>
      <c r="BS181" s="8"/>
      <c r="BT181" s="8"/>
      <c r="BU181" s="8"/>
      <c r="BV181" s="8"/>
      <c r="BW181" s="8"/>
      <c r="BX181" s="8"/>
      <c r="BY181" s="8"/>
      <c r="BZ181" s="8"/>
      <c r="CA181" s="8"/>
      <c r="CB181" s="8"/>
      <c r="CC181" s="8"/>
      <c r="CD181" s="8"/>
      <c r="CE181" s="8"/>
      <c r="CF181" s="8"/>
      <c r="CG181" s="8"/>
      <c r="CH181" s="8"/>
      <c r="CI181" s="8"/>
      <c r="CJ181" s="8"/>
      <c r="CK181" s="8"/>
      <c r="CL181" s="8"/>
      <c r="CM181" s="8"/>
      <c r="CN181" s="8"/>
      <c r="CO181" s="8"/>
      <c r="CP181" s="8"/>
      <c r="CQ181" s="8"/>
      <c r="CR181" s="8"/>
      <c r="CS181" s="8"/>
      <c r="CT181" s="8"/>
      <c r="CU181" s="8"/>
      <c r="CV181" s="8"/>
      <c r="CW181" s="8"/>
      <c r="CX181" s="8"/>
      <c r="CY181" s="8"/>
      <c r="CZ181" s="8"/>
      <c r="DA181" s="8"/>
      <c r="DB181" s="8"/>
      <c r="DC181" s="8"/>
      <c r="DD181" s="8"/>
      <c r="DE181" s="8"/>
      <c r="DF181" s="8"/>
      <c r="DG181" s="8"/>
      <c r="DH181" s="8"/>
      <c r="DI181" s="8"/>
      <c r="DJ181" s="8"/>
      <c r="DK181" s="8"/>
      <c r="DL181" s="8"/>
      <c r="DM181" s="8"/>
      <c r="DN181" s="8"/>
      <c r="DO181" s="8"/>
      <c r="DP181" s="8"/>
      <c r="DQ181" s="8"/>
      <c r="DR181" s="8"/>
      <c r="DS181" s="8"/>
      <c r="DT181" s="8"/>
      <c r="DU181" s="8"/>
      <c r="DV181" s="8"/>
      <c r="DW181" s="8"/>
      <c r="DX181" s="8"/>
      <c r="DY181" s="8"/>
      <c r="DZ181" s="8"/>
      <c r="EA181" s="8"/>
      <c r="EB181" s="8"/>
      <c r="EC181" s="8"/>
      <c r="ED181" s="8"/>
      <c r="EE181" s="8"/>
      <c r="EF181" s="8"/>
      <c r="EG181" s="8"/>
      <c r="EH181" s="8"/>
      <c r="EI181" s="8"/>
      <c r="EJ181" s="8"/>
      <c r="EK181" s="8"/>
      <c r="EL181" s="8"/>
      <c r="EM181" s="8"/>
      <c r="EN181" s="8"/>
      <c r="EO181" s="8"/>
      <c r="EP181" s="8"/>
      <c r="EQ181" s="8"/>
      <c r="ER181" s="8"/>
      <c r="ES181" s="8"/>
      <c r="ET181" s="8"/>
      <c r="EU181" s="8"/>
      <c r="EV181" s="8"/>
      <c r="EW181" s="8"/>
      <c r="EX181" s="8"/>
      <c r="EY181" s="8"/>
      <c r="EZ181" s="8"/>
      <c r="FA181" s="8"/>
      <c r="FB181" s="8"/>
      <c r="FC181" s="8"/>
      <c r="FD181" s="8"/>
      <c r="FE181" s="8"/>
      <c r="FF181" s="8"/>
      <c r="FG181" s="8"/>
      <c r="FH181" s="8"/>
      <c r="FI181" s="8"/>
      <c r="FJ181" s="8"/>
      <c r="FK181" s="8"/>
      <c r="FL181" s="8"/>
      <c r="FM181" s="8"/>
      <c r="FN181" s="8"/>
      <c r="FO181" s="8"/>
      <c r="FP181" s="8"/>
      <c r="FQ181" s="8"/>
      <c r="FR181" s="8"/>
      <c r="FS181" s="8"/>
      <c r="FT181" s="8"/>
      <c r="FU181" s="8"/>
      <c r="FV181" s="8"/>
      <c r="FW181" s="8"/>
      <c r="FX181" s="8"/>
      <c r="FY181" s="8"/>
      <c r="FZ181" s="8"/>
      <c r="GA181" s="8"/>
      <c r="GB181" s="8"/>
      <c r="GC181" s="8"/>
      <c r="GD181" s="8"/>
      <c r="GE181" s="8"/>
      <c r="GF181" s="8"/>
      <c r="GG181" s="8"/>
      <c r="GH181" s="8"/>
      <c r="GI181" s="8"/>
      <c r="GJ181" s="8"/>
      <c r="GK181" s="8"/>
      <c r="GL181" s="8"/>
      <c r="GM181" s="8"/>
      <c r="GN181" s="8"/>
      <c r="GO181" s="8"/>
      <c r="GP181" s="8"/>
      <c r="GQ181" s="8"/>
      <c r="GR181" s="8"/>
      <c r="GS181" s="8"/>
      <c r="GT181" s="8"/>
      <c r="GU181" s="8"/>
      <c r="GV181" s="8"/>
      <c r="GW181" s="8"/>
      <c r="GX181" s="8"/>
      <c r="GY181" s="8"/>
      <c r="GZ181" s="8"/>
      <c r="HA181" s="8"/>
      <c r="HB181" s="8"/>
      <c r="HC181" s="8"/>
      <c r="HD181" s="8"/>
      <c r="HE181" s="8"/>
      <c r="HF181" s="8"/>
      <c r="HG181" s="8"/>
      <c r="HH181" s="8"/>
      <c r="HI181" s="8"/>
      <c r="HJ181" s="8"/>
      <c r="HK181" s="8"/>
      <c r="HL181" s="8"/>
      <c r="HM181" s="8"/>
      <c r="HN181" s="8"/>
      <c r="HO181" s="8"/>
      <c r="HP181" s="8"/>
      <c r="HQ181" s="8"/>
      <c r="HR181" s="8"/>
      <c r="HS181" s="8"/>
      <c r="HT181" s="8"/>
      <c r="HU181" s="8"/>
      <c r="HV181" s="8"/>
      <c r="HW181" s="8"/>
      <c r="HX181" s="8"/>
      <c r="HY181" s="8"/>
      <c r="HZ181" s="8"/>
      <c r="IA181" s="8"/>
      <c r="IB181" s="8"/>
      <c r="IC181" s="8"/>
      <c r="ID181" s="8"/>
      <c r="IE181" s="8"/>
      <c r="IF181" s="8"/>
      <c r="IG181" s="8"/>
      <c r="IH181" s="8"/>
      <c r="II181" s="8"/>
      <c r="IJ181" s="8"/>
      <c r="IK181" s="8"/>
      <c r="IL181" s="8"/>
      <c r="IM181" s="8"/>
      <c r="IN181" s="8"/>
      <c r="IO181" s="8"/>
      <c r="IP181" s="8"/>
      <c r="IQ181" s="8"/>
      <c r="IR181" s="8"/>
      <c r="IS181" s="8"/>
      <c r="IT181" s="8"/>
      <c r="IU181" s="8"/>
      <c r="IV181" s="8"/>
      <c r="IW181" s="8"/>
      <c r="IX181" s="8"/>
      <c r="JA181" s="123"/>
      <c r="JB181" s="123"/>
      <c r="JC181" s="123"/>
      <c r="JD181" s="70">
        <f>SUM((TEXT(JA181,"[M]")/60)*'Income Person-hours'!$D$3,(TEXT(JB181,"[M]")/60)*'Income Person-hours'!$D$4,(TEXT(JC181,"[M]")/60)*'Income Person-hours'!$D$5)</f>
        <v>0</v>
      </c>
    </row>
    <row r="182" spans="1:264" s="12" customFormat="1" ht="15.75" hidden="1" x14ac:dyDescent="0.45">
      <c r="A182" s="32">
        <v>8.6999999999999993</v>
      </c>
      <c r="B182" s="126"/>
      <c r="C182" s="117"/>
      <c r="D182" s="13" t="str">
        <f>IF(OR(j_WEEKDAY(J_ADDDAY(VLOOKUP(I182,A:F,6,FALSE),H182,1),0)=6,SUMIFS(Holieday[ok],Holieday[date],J_ADDDAY(VLOOKUP(I182,A:F,6,FALSE),H182,1)))=FALSE(),J_ADDDAY(VLOOKUP(I182,A:F,6,FALSE),H182,1),IF(OR(j_WEEKDAY(J_ADDDAY(VLOOKUP(I182,A:F,6,FALSE),H182+1,1),0)=6,SUMIFS(Holieday[ok],Holieday[date],J_ADDDAY(VLOOKUP(I182,A:F,6,FALSE),H182+1,1)))=FALSE(),J_ADDDAY(VLOOKUP(I182,A:F,6,FALSE),H182+1,1),IF(OR(j_WEEKDAY(J_ADDDAY(VLOOKUP(I182,A:F,6,FALSE),H182+2,1),0)=6,SUMIFS(Holieday[ok],Holieday[date],J_ADDDAY(VLOOKUP(I182,A:F,6,FALSE),H182+2,1)))=FALSE(),J_ADDDAY(VLOOKUP(I182,A:F,6,FALSE),H182+2,1),IF(OR(j_WEEKDAY(J_ADDDAY(VLOOKUP(I182,A:F,6,FALSE),H182+3,1),0)=6,SUMIFS(Holieday[ok],Holieday[date],J_ADDDAY(VLOOKUP(I182,A:F,6,FALSE),H182+3,1)))=FALSE(),J_ADDDAY(VLOOKUP(I182,A:F,6,FALSE),H182+3,1),IF(OR(j_WEEKDAY(J_ADDDAY(VLOOKUP(I182,A:F,6,FALSE),H182+4,1),0)=6,SUMIFS(Holieday[ok],Holieday[date],J_ADDDAY(VLOOKUP(I182,A:F,6,FALSE),H182+4,1)))=FALSE(),J_ADDDAY(VLOOKUP(I182,A:F,6,FALSE),H182+4,1),J_ADDDAY(VLOOKUP(I182,A:F,6,FALSE),H182+5,1))))))</f>
        <v>1398/06/31</v>
      </c>
      <c r="E182" s="2">
        <f t="shared" si="49"/>
        <v>13980631</v>
      </c>
      <c r="F182" s="13" t="str">
        <f>IF(N182=0,J_SUBDAY(D182,1,1),IF((N182-NETWORKDAYS.INTL(J_GregorianDate(D182,1),J_GregorianDate(J_SUBDAY(J_ADDDAY(D182,N182,1),1,1),1),16,1)-SUMIFS(Holieday[ok],Holieday[date],CONCATENATE("&gt;","=",D182),Holieday[date],CONCATENATE("&lt;","=",J_SUBDAY(J_ADDDAY(D182,N182,1),1,1)))+SUMIFS(Holieday[Friday],Holieday[date],CONCATENATE("&gt;","=",D182),Holieday[date],CONCATENATE("&lt;","=",J_SUBDAY(J_ADDDAY(D182,N182,1),1,1))))=0,J_SUBDAY(J_ADDDAY(D182,N182,1),1,1),IF((N182-NETWORKDAYS.INTL(J_GregorianDate(D182,1),J_GregorianDate(J_SUBDAY(J_ADDDAY(D182,N182,1),1,1),1),16,1)-SUMIFS(Holieday[ok],Holieday[date],CONCATENATE("&gt;","=",D182),Holieday[date],CONCATENATE("&lt;","=",J_SUBDAY(J_ADDDAY(D182,N182,1),1,1)))+SUMIFS(Holieday[Friday],Holieday[date],CONCATENATE("&gt;","=",D182),Holieday[date],CONCATENATE("&lt;","=",J_SUBDAY(J_ADDDAY(D182,N182,1),1,1))))=1,J_SUBDAY(J_ADDDAY(D182,N182+1,1),1,1),IF((N182-NETWORKDAYS.INTL(J_GregorianDate(D182,1),J_GregorianDate(J_SUBDAY(J_ADDDAY(D182,N182,1),1,1),1),16,1)-SUMIFS(Holieday[ok],Holieday[date],CONCATENATE("&gt;","=",D182),Holieday[date],CONCATENATE("&lt;","=",J_SUBDAY(J_ADDDAY(D182,N182,1),1,1)))+SUMIFS(Holieday[Friday],Holieday[date],CONCATENATE("&gt;","=",D182),Holieday[date],CONCATENATE("&lt;","=",J_SUBDAY(J_ADDDAY(D182,N182,1),1,1))))=2,J_SUBDAY(J_ADDDAY(D182,N182+2,1),1,1),J_SUBDAY(J_ADDDAY(D182,N182+3,1),1,1)))))</f>
        <v>1398/06/30</v>
      </c>
      <c r="G182" s="3">
        <f t="shared" si="50"/>
        <v>13980630</v>
      </c>
      <c r="H182" s="119"/>
      <c r="I182" s="120">
        <v>1.1000000000000001</v>
      </c>
      <c r="J182" s="10">
        <f>j_WEEKDAY(D182,2)</f>
        <v>1</v>
      </c>
      <c r="K182" s="22">
        <f t="shared" si="61"/>
        <v>0</v>
      </c>
      <c r="L182" s="9">
        <f t="shared" si="62"/>
        <v>0</v>
      </c>
      <c r="M182" s="121">
        <v>0</v>
      </c>
      <c r="N182" s="118">
        <v>0</v>
      </c>
      <c r="O182" s="11">
        <f t="shared" si="59"/>
        <v>0</v>
      </c>
      <c r="P182" s="11">
        <f>VALUE(J_normdate(J_ADDDAY($D182,$O182,1)))</f>
        <v>13980631</v>
      </c>
      <c r="Q182" s="10">
        <f t="shared" si="60"/>
        <v>0</v>
      </c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  <c r="AO182" s="8"/>
      <c r="AP182" s="8"/>
      <c r="AQ182" s="8"/>
      <c r="AR182" s="8"/>
      <c r="AS182" s="8"/>
      <c r="AT182" s="8"/>
      <c r="AU182" s="8"/>
      <c r="AV182" s="8"/>
      <c r="AW182" s="8"/>
      <c r="AX182" s="8"/>
      <c r="AY182" s="8"/>
      <c r="AZ182" s="8"/>
      <c r="BA182" s="8"/>
      <c r="BB182" s="8"/>
      <c r="BC182" s="8"/>
      <c r="BD182" s="8"/>
      <c r="BE182" s="8"/>
      <c r="BF182" s="8"/>
      <c r="BG182" s="8"/>
      <c r="BH182" s="8"/>
      <c r="BI182" s="8"/>
      <c r="BJ182" s="8"/>
      <c r="BK182" s="8"/>
      <c r="BL182" s="8"/>
      <c r="BM182" s="8"/>
      <c r="BN182" s="8"/>
      <c r="BO182" s="8"/>
      <c r="BP182" s="8"/>
      <c r="BQ182" s="8"/>
      <c r="BR182" s="8"/>
      <c r="BS182" s="8"/>
      <c r="BT182" s="8"/>
      <c r="BU182" s="8"/>
      <c r="BV182" s="8"/>
      <c r="BW182" s="8"/>
      <c r="BX182" s="8"/>
      <c r="BY182" s="8"/>
      <c r="BZ182" s="8"/>
      <c r="CA182" s="8"/>
      <c r="CB182" s="8"/>
      <c r="CC182" s="8"/>
      <c r="CD182" s="8"/>
      <c r="CE182" s="8"/>
      <c r="CF182" s="8"/>
      <c r="CG182" s="8"/>
      <c r="CH182" s="8"/>
      <c r="CI182" s="8"/>
      <c r="CJ182" s="8"/>
      <c r="CK182" s="8"/>
      <c r="CL182" s="8"/>
      <c r="CM182" s="8"/>
      <c r="CN182" s="8"/>
      <c r="CO182" s="8"/>
      <c r="CP182" s="8"/>
      <c r="CQ182" s="8"/>
      <c r="CR182" s="8"/>
      <c r="CS182" s="8"/>
      <c r="CT182" s="8"/>
      <c r="CU182" s="8"/>
      <c r="CV182" s="8"/>
      <c r="CW182" s="8"/>
      <c r="CX182" s="8"/>
      <c r="CY182" s="8"/>
      <c r="CZ182" s="8"/>
      <c r="DA182" s="8"/>
      <c r="DB182" s="8"/>
      <c r="DC182" s="8"/>
      <c r="DD182" s="8"/>
      <c r="DE182" s="8"/>
      <c r="DF182" s="8"/>
      <c r="DG182" s="8"/>
      <c r="DH182" s="8"/>
      <c r="DI182" s="8"/>
      <c r="DJ182" s="8"/>
      <c r="DK182" s="8"/>
      <c r="DL182" s="8"/>
      <c r="DM182" s="8"/>
      <c r="DN182" s="8"/>
      <c r="DO182" s="8"/>
      <c r="DP182" s="8"/>
      <c r="DQ182" s="8"/>
      <c r="DR182" s="8"/>
      <c r="DS182" s="8"/>
      <c r="DT182" s="8"/>
      <c r="DU182" s="8"/>
      <c r="DV182" s="8"/>
      <c r="DW182" s="8"/>
      <c r="DX182" s="8"/>
      <c r="DY182" s="8"/>
      <c r="DZ182" s="8"/>
      <c r="EA182" s="8"/>
      <c r="EB182" s="8"/>
      <c r="EC182" s="8"/>
      <c r="ED182" s="8"/>
      <c r="EE182" s="8"/>
      <c r="EF182" s="8"/>
      <c r="EG182" s="8"/>
      <c r="EH182" s="8"/>
      <c r="EI182" s="8"/>
      <c r="EJ182" s="8"/>
      <c r="EK182" s="8"/>
      <c r="EL182" s="8"/>
      <c r="EM182" s="8"/>
      <c r="EN182" s="8"/>
      <c r="EO182" s="8"/>
      <c r="EP182" s="8"/>
      <c r="EQ182" s="8"/>
      <c r="ER182" s="8"/>
      <c r="ES182" s="8"/>
      <c r="ET182" s="8"/>
      <c r="EU182" s="8"/>
      <c r="EV182" s="8"/>
      <c r="EW182" s="8"/>
      <c r="EX182" s="8"/>
      <c r="EY182" s="8"/>
      <c r="EZ182" s="8"/>
      <c r="FA182" s="8"/>
      <c r="FB182" s="8"/>
      <c r="FC182" s="8"/>
      <c r="FD182" s="8"/>
      <c r="FE182" s="8"/>
      <c r="FF182" s="8"/>
      <c r="FG182" s="8"/>
      <c r="FH182" s="8"/>
      <c r="FI182" s="8"/>
      <c r="FJ182" s="8"/>
      <c r="FK182" s="8"/>
      <c r="FL182" s="8"/>
      <c r="FM182" s="8"/>
      <c r="FN182" s="8"/>
      <c r="FO182" s="8"/>
      <c r="FP182" s="8"/>
      <c r="FQ182" s="8"/>
      <c r="FR182" s="8"/>
      <c r="FS182" s="8"/>
      <c r="FT182" s="8"/>
      <c r="FU182" s="8"/>
      <c r="FV182" s="8"/>
      <c r="FW182" s="8"/>
      <c r="FX182" s="8"/>
      <c r="FY182" s="8"/>
      <c r="FZ182" s="8"/>
      <c r="GA182" s="8"/>
      <c r="GB182" s="8"/>
      <c r="GC182" s="8"/>
      <c r="GD182" s="8"/>
      <c r="GE182" s="8"/>
      <c r="GF182" s="8"/>
      <c r="GG182" s="8"/>
      <c r="GH182" s="8"/>
      <c r="GI182" s="8"/>
      <c r="GJ182" s="8"/>
      <c r="GK182" s="8"/>
      <c r="GL182" s="8"/>
      <c r="GM182" s="8"/>
      <c r="GN182" s="8"/>
      <c r="GO182" s="8"/>
      <c r="GP182" s="8"/>
      <c r="GQ182" s="8"/>
      <c r="GR182" s="8"/>
      <c r="GS182" s="8"/>
      <c r="GT182" s="8"/>
      <c r="GU182" s="8"/>
      <c r="GV182" s="8"/>
      <c r="GW182" s="8"/>
      <c r="GX182" s="8"/>
      <c r="GY182" s="8"/>
      <c r="GZ182" s="8"/>
      <c r="HA182" s="8"/>
      <c r="HB182" s="8"/>
      <c r="HC182" s="8"/>
      <c r="HD182" s="8"/>
      <c r="HE182" s="8"/>
      <c r="HF182" s="8"/>
      <c r="HG182" s="8"/>
      <c r="HH182" s="8"/>
      <c r="HI182" s="8"/>
      <c r="HJ182" s="8"/>
      <c r="HK182" s="8"/>
      <c r="HL182" s="8"/>
      <c r="HM182" s="8"/>
      <c r="HN182" s="8"/>
      <c r="HO182" s="8"/>
      <c r="HP182" s="8"/>
      <c r="HQ182" s="8"/>
      <c r="HR182" s="8"/>
      <c r="HS182" s="8"/>
      <c r="HT182" s="8"/>
      <c r="HU182" s="8"/>
      <c r="HV182" s="8"/>
      <c r="HW182" s="8"/>
      <c r="HX182" s="8"/>
      <c r="HY182" s="8"/>
      <c r="HZ182" s="8"/>
      <c r="IA182" s="8"/>
      <c r="IB182" s="8"/>
      <c r="IC182" s="8"/>
      <c r="ID182" s="8"/>
      <c r="IE182" s="8"/>
      <c r="IF182" s="8"/>
      <c r="IG182" s="8"/>
      <c r="IH182" s="8"/>
      <c r="II182" s="8"/>
      <c r="IJ182" s="8"/>
      <c r="IK182" s="8"/>
      <c r="IL182" s="8"/>
      <c r="IM182" s="8"/>
      <c r="IN182" s="8"/>
      <c r="IO182" s="8"/>
      <c r="IP182" s="8"/>
      <c r="IQ182" s="8"/>
      <c r="IR182" s="8"/>
      <c r="IS182" s="8"/>
      <c r="IT182" s="8"/>
      <c r="IU182" s="8"/>
      <c r="IV182" s="8"/>
      <c r="IW182" s="8"/>
      <c r="IX182" s="8"/>
      <c r="JA182" s="123"/>
      <c r="JB182" s="123"/>
      <c r="JC182" s="123"/>
      <c r="JD182" s="70">
        <f>SUM((TEXT(JA182,"[M]")/60)*'Income Person-hours'!$D$3,(TEXT(JB182,"[M]")/60)*'Income Person-hours'!$D$4,(TEXT(JC182,"[M]")/60)*'Income Person-hours'!$D$5)</f>
        <v>0</v>
      </c>
    </row>
    <row r="183" spans="1:264" s="12" customFormat="1" ht="15.75" hidden="1" x14ac:dyDescent="0.45">
      <c r="A183" s="209">
        <v>8.8000000000000007</v>
      </c>
      <c r="B183" s="126"/>
      <c r="C183" s="117"/>
      <c r="D183" s="13" t="str">
        <f>IF(OR(j_WEEKDAY(J_ADDDAY(VLOOKUP(I183,A:F,6,FALSE),H183,1),0)=6,SUMIFS(Holieday[ok],Holieday[date],J_ADDDAY(VLOOKUP(I183,A:F,6,FALSE),H183,1)))=FALSE(),J_ADDDAY(VLOOKUP(I183,A:F,6,FALSE),H183,1),IF(OR(j_WEEKDAY(J_ADDDAY(VLOOKUP(I183,A:F,6,FALSE),H183+1,1),0)=6,SUMIFS(Holieday[ok],Holieday[date],J_ADDDAY(VLOOKUP(I183,A:F,6,FALSE),H183+1,1)))=FALSE(),J_ADDDAY(VLOOKUP(I183,A:F,6,FALSE),H183+1,1),IF(OR(j_WEEKDAY(J_ADDDAY(VLOOKUP(I183,A:F,6,FALSE),H183+2,1),0)=6,SUMIFS(Holieday[ok],Holieday[date],J_ADDDAY(VLOOKUP(I183,A:F,6,FALSE),H183+2,1)))=FALSE(),J_ADDDAY(VLOOKUP(I183,A:F,6,FALSE),H183+2,1),IF(OR(j_WEEKDAY(J_ADDDAY(VLOOKUP(I183,A:F,6,FALSE),H183+3,1),0)=6,SUMIFS(Holieday[ok],Holieday[date],J_ADDDAY(VLOOKUP(I183,A:F,6,FALSE),H183+3,1)))=FALSE(),J_ADDDAY(VLOOKUP(I183,A:F,6,FALSE),H183+3,1),IF(OR(j_WEEKDAY(J_ADDDAY(VLOOKUP(I183,A:F,6,FALSE),H183+4,1),0)=6,SUMIFS(Holieday[ok],Holieday[date],J_ADDDAY(VLOOKUP(I183,A:F,6,FALSE),H183+4,1)))=FALSE(),J_ADDDAY(VLOOKUP(I183,A:F,6,FALSE),H183+4,1),J_ADDDAY(VLOOKUP(I183,A:F,6,FALSE),H183+5,1))))))</f>
        <v>1398/06/31</v>
      </c>
      <c r="E183" s="2">
        <f t="shared" ref="E183:E214" si="63">VALUE(J_normdate(D183))</f>
        <v>13980631</v>
      </c>
      <c r="F183" s="13" t="str">
        <f>IF(N183=0,J_SUBDAY(D183,1,1),IF((N183-NETWORKDAYS.INTL(J_GregorianDate(D183,1),J_GregorianDate(J_SUBDAY(J_ADDDAY(D183,N183,1),1,1),1),16,1)-SUMIFS(Holieday[ok],Holieday[date],CONCATENATE("&gt;","=",D183),Holieday[date],CONCATENATE("&lt;","=",J_SUBDAY(J_ADDDAY(D183,N183,1),1,1)))+SUMIFS(Holieday[Friday],Holieday[date],CONCATENATE("&gt;","=",D183),Holieday[date],CONCATENATE("&lt;","=",J_SUBDAY(J_ADDDAY(D183,N183,1),1,1))))=0,J_SUBDAY(J_ADDDAY(D183,N183,1),1,1),IF((N183-NETWORKDAYS.INTL(J_GregorianDate(D183,1),J_GregorianDate(J_SUBDAY(J_ADDDAY(D183,N183,1),1,1),1),16,1)-SUMIFS(Holieday[ok],Holieday[date],CONCATENATE("&gt;","=",D183),Holieday[date],CONCATENATE("&lt;","=",J_SUBDAY(J_ADDDAY(D183,N183,1),1,1)))+SUMIFS(Holieday[Friday],Holieday[date],CONCATENATE("&gt;","=",D183),Holieday[date],CONCATENATE("&lt;","=",J_SUBDAY(J_ADDDAY(D183,N183,1),1,1))))=1,J_SUBDAY(J_ADDDAY(D183,N183+1,1),1,1),IF((N183-NETWORKDAYS.INTL(J_GregorianDate(D183,1),J_GregorianDate(J_SUBDAY(J_ADDDAY(D183,N183,1),1,1),1),16,1)-SUMIFS(Holieday[ok],Holieday[date],CONCATENATE("&gt;","=",D183),Holieday[date],CONCATENATE("&lt;","=",J_SUBDAY(J_ADDDAY(D183,N183,1),1,1)))+SUMIFS(Holieday[Friday],Holieday[date],CONCATENATE("&gt;","=",D183),Holieday[date],CONCATENATE("&lt;","=",J_SUBDAY(J_ADDDAY(D183,N183,1),1,1))))=2,J_SUBDAY(J_ADDDAY(D183,N183+2,1),1,1),J_SUBDAY(J_ADDDAY(D183,N183+3,1),1,1)))))</f>
        <v>1398/06/30</v>
      </c>
      <c r="G183" s="3">
        <f t="shared" ref="G183:G214" si="64">VALUE(J_normdate(F183))</f>
        <v>13980630</v>
      </c>
      <c r="H183" s="119"/>
      <c r="I183" s="120">
        <v>1.1000000000000001</v>
      </c>
      <c r="J183" s="10">
        <f>j_WEEKDAY(D183,2)</f>
        <v>1</v>
      </c>
      <c r="K183" s="22">
        <f t="shared" si="61"/>
        <v>0</v>
      </c>
      <c r="L183" s="9">
        <f t="shared" si="62"/>
        <v>0</v>
      </c>
      <c r="M183" s="121">
        <v>0</v>
      </c>
      <c r="N183" s="118">
        <v>0</v>
      </c>
      <c r="O183" s="11">
        <f t="shared" si="59"/>
        <v>0</v>
      </c>
      <c r="P183" s="11">
        <f>VALUE(J_normdate(J_ADDDAY($D183,$O183,1)))</f>
        <v>13980631</v>
      </c>
      <c r="Q183" s="10">
        <f t="shared" si="60"/>
        <v>0</v>
      </c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  <c r="AO183" s="8"/>
      <c r="AP183" s="8"/>
      <c r="AQ183" s="8"/>
      <c r="AR183" s="8"/>
      <c r="AS183" s="8"/>
      <c r="AT183" s="8"/>
      <c r="AU183" s="8"/>
      <c r="AV183" s="8"/>
      <c r="AW183" s="8"/>
      <c r="AX183" s="8"/>
      <c r="AY183" s="8"/>
      <c r="AZ183" s="8"/>
      <c r="BA183" s="8"/>
      <c r="BB183" s="8"/>
      <c r="BC183" s="8"/>
      <c r="BD183" s="8"/>
      <c r="BE183" s="8"/>
      <c r="BF183" s="8"/>
      <c r="BG183" s="8"/>
      <c r="BH183" s="8"/>
      <c r="BI183" s="8"/>
      <c r="BJ183" s="8"/>
      <c r="BK183" s="8"/>
      <c r="BL183" s="8"/>
      <c r="BM183" s="8"/>
      <c r="BN183" s="8"/>
      <c r="BO183" s="8"/>
      <c r="BP183" s="8"/>
      <c r="BQ183" s="8"/>
      <c r="BR183" s="8"/>
      <c r="BS183" s="8"/>
      <c r="BT183" s="8"/>
      <c r="BU183" s="8"/>
      <c r="BV183" s="8"/>
      <c r="BW183" s="8"/>
      <c r="BX183" s="8"/>
      <c r="BY183" s="8"/>
      <c r="BZ183" s="8"/>
      <c r="CA183" s="8"/>
      <c r="CB183" s="8"/>
      <c r="CC183" s="8"/>
      <c r="CD183" s="8"/>
      <c r="CE183" s="8"/>
      <c r="CF183" s="8"/>
      <c r="CG183" s="8"/>
      <c r="CH183" s="8"/>
      <c r="CI183" s="8"/>
      <c r="CJ183" s="8"/>
      <c r="CK183" s="8"/>
      <c r="CL183" s="8"/>
      <c r="CM183" s="8"/>
      <c r="CN183" s="8"/>
      <c r="CO183" s="8"/>
      <c r="CP183" s="8"/>
      <c r="CQ183" s="8"/>
      <c r="CR183" s="8"/>
      <c r="CS183" s="8"/>
      <c r="CT183" s="8"/>
      <c r="CU183" s="8"/>
      <c r="CV183" s="8"/>
      <c r="CW183" s="8"/>
      <c r="CX183" s="8"/>
      <c r="CY183" s="8"/>
      <c r="CZ183" s="8"/>
      <c r="DA183" s="8"/>
      <c r="DB183" s="8"/>
      <c r="DC183" s="8"/>
      <c r="DD183" s="8"/>
      <c r="DE183" s="8"/>
      <c r="DF183" s="8"/>
      <c r="DG183" s="8"/>
      <c r="DH183" s="8"/>
      <c r="DI183" s="8"/>
      <c r="DJ183" s="8"/>
      <c r="DK183" s="8"/>
      <c r="DL183" s="8"/>
      <c r="DM183" s="8"/>
      <c r="DN183" s="8"/>
      <c r="DO183" s="8"/>
      <c r="DP183" s="8"/>
      <c r="DQ183" s="8"/>
      <c r="DR183" s="8"/>
      <c r="DS183" s="8"/>
      <c r="DT183" s="8"/>
      <c r="DU183" s="8"/>
      <c r="DV183" s="8"/>
      <c r="DW183" s="8"/>
      <c r="DX183" s="8"/>
      <c r="DY183" s="8"/>
      <c r="DZ183" s="8"/>
      <c r="EA183" s="8"/>
      <c r="EB183" s="8"/>
      <c r="EC183" s="8"/>
      <c r="ED183" s="8"/>
      <c r="EE183" s="8"/>
      <c r="EF183" s="8"/>
      <c r="EG183" s="8"/>
      <c r="EH183" s="8"/>
      <c r="EI183" s="8"/>
      <c r="EJ183" s="8"/>
      <c r="EK183" s="8"/>
      <c r="EL183" s="8"/>
      <c r="EM183" s="8"/>
      <c r="EN183" s="8"/>
      <c r="EO183" s="8"/>
      <c r="EP183" s="8"/>
      <c r="EQ183" s="8"/>
      <c r="ER183" s="8"/>
      <c r="ES183" s="8"/>
      <c r="ET183" s="8"/>
      <c r="EU183" s="8"/>
      <c r="EV183" s="8"/>
      <c r="EW183" s="8"/>
      <c r="EX183" s="8"/>
      <c r="EY183" s="8"/>
      <c r="EZ183" s="8"/>
      <c r="FA183" s="8"/>
      <c r="FB183" s="8"/>
      <c r="FC183" s="8"/>
      <c r="FD183" s="8"/>
      <c r="FE183" s="8"/>
      <c r="FF183" s="8"/>
      <c r="FG183" s="8"/>
      <c r="FH183" s="8"/>
      <c r="FI183" s="8"/>
      <c r="FJ183" s="8"/>
      <c r="FK183" s="8"/>
      <c r="FL183" s="8"/>
      <c r="FM183" s="8"/>
      <c r="FN183" s="8"/>
      <c r="FO183" s="8"/>
      <c r="FP183" s="8"/>
      <c r="FQ183" s="8"/>
      <c r="FR183" s="8"/>
      <c r="FS183" s="8"/>
      <c r="FT183" s="8"/>
      <c r="FU183" s="8"/>
      <c r="FV183" s="8"/>
      <c r="FW183" s="8"/>
      <c r="FX183" s="8"/>
      <c r="FY183" s="8"/>
      <c r="FZ183" s="8"/>
      <c r="GA183" s="8"/>
      <c r="GB183" s="8"/>
      <c r="GC183" s="8"/>
      <c r="GD183" s="8"/>
      <c r="GE183" s="8"/>
      <c r="GF183" s="8"/>
      <c r="GG183" s="8"/>
      <c r="GH183" s="8"/>
      <c r="GI183" s="8"/>
      <c r="GJ183" s="8"/>
      <c r="GK183" s="8"/>
      <c r="GL183" s="8"/>
      <c r="GM183" s="8"/>
      <c r="GN183" s="8"/>
      <c r="GO183" s="8"/>
      <c r="GP183" s="8"/>
      <c r="GQ183" s="8"/>
      <c r="GR183" s="8"/>
      <c r="GS183" s="8"/>
      <c r="GT183" s="8"/>
      <c r="GU183" s="8"/>
      <c r="GV183" s="8"/>
      <c r="GW183" s="8"/>
      <c r="GX183" s="8"/>
      <c r="GY183" s="8"/>
      <c r="GZ183" s="8"/>
      <c r="HA183" s="8"/>
      <c r="HB183" s="8"/>
      <c r="HC183" s="8"/>
      <c r="HD183" s="8"/>
      <c r="HE183" s="8"/>
      <c r="HF183" s="8"/>
      <c r="HG183" s="8"/>
      <c r="HH183" s="8"/>
      <c r="HI183" s="8"/>
      <c r="HJ183" s="8"/>
      <c r="HK183" s="8"/>
      <c r="HL183" s="8"/>
      <c r="HM183" s="8"/>
      <c r="HN183" s="8"/>
      <c r="HO183" s="8"/>
      <c r="HP183" s="8"/>
      <c r="HQ183" s="8"/>
      <c r="HR183" s="8"/>
      <c r="HS183" s="8"/>
      <c r="HT183" s="8"/>
      <c r="HU183" s="8"/>
      <c r="HV183" s="8"/>
      <c r="HW183" s="8"/>
      <c r="HX183" s="8"/>
      <c r="HY183" s="8"/>
      <c r="HZ183" s="8"/>
      <c r="IA183" s="8"/>
      <c r="IB183" s="8"/>
      <c r="IC183" s="8"/>
      <c r="ID183" s="8"/>
      <c r="IE183" s="8"/>
      <c r="IF183" s="8"/>
      <c r="IG183" s="8"/>
      <c r="IH183" s="8"/>
      <c r="II183" s="8"/>
      <c r="IJ183" s="8"/>
      <c r="IK183" s="8"/>
      <c r="IL183" s="8"/>
      <c r="IM183" s="8"/>
      <c r="IN183" s="8"/>
      <c r="IO183" s="8"/>
      <c r="IP183" s="8"/>
      <c r="IQ183" s="8"/>
      <c r="IR183" s="8"/>
      <c r="IS183" s="8"/>
      <c r="IT183" s="8"/>
      <c r="IU183" s="8"/>
      <c r="IV183" s="8"/>
      <c r="IW183" s="8"/>
      <c r="IX183" s="8"/>
      <c r="JA183" s="123"/>
      <c r="JB183" s="123"/>
      <c r="JC183" s="123"/>
      <c r="JD183" s="70">
        <f>SUM((TEXT(JA183,"[M]")/60)*'Income Person-hours'!$D$3,(TEXT(JB183,"[M]")/60)*'Income Person-hours'!$D$4,(TEXT(JC183,"[M]")/60)*'Income Person-hours'!$D$5)</f>
        <v>0</v>
      </c>
    </row>
    <row r="184" spans="1:264" s="12" customFormat="1" ht="15.75" hidden="1" x14ac:dyDescent="0.45">
      <c r="A184" s="209">
        <v>8.9</v>
      </c>
      <c r="B184" s="126"/>
      <c r="C184" s="117"/>
      <c r="D184" s="13" t="str">
        <f>IF(OR(j_WEEKDAY(J_ADDDAY(VLOOKUP(I184,A:F,6,FALSE),H184,1),0)=6,SUMIFS(Holieday[ok],Holieday[date],J_ADDDAY(VLOOKUP(I184,A:F,6,FALSE),H184,1)))=FALSE(),J_ADDDAY(VLOOKUP(I184,A:F,6,FALSE),H184,1),IF(OR(j_WEEKDAY(J_ADDDAY(VLOOKUP(I184,A:F,6,FALSE),H184+1,1),0)=6,SUMIFS(Holieday[ok],Holieday[date],J_ADDDAY(VLOOKUP(I184,A:F,6,FALSE),H184+1,1)))=FALSE(),J_ADDDAY(VLOOKUP(I184,A:F,6,FALSE),H184+1,1),IF(OR(j_WEEKDAY(J_ADDDAY(VLOOKUP(I184,A:F,6,FALSE),H184+2,1),0)=6,SUMIFS(Holieday[ok],Holieday[date],J_ADDDAY(VLOOKUP(I184,A:F,6,FALSE),H184+2,1)))=FALSE(),J_ADDDAY(VLOOKUP(I184,A:F,6,FALSE),H184+2,1),IF(OR(j_WEEKDAY(J_ADDDAY(VLOOKUP(I184,A:F,6,FALSE),H184+3,1),0)=6,SUMIFS(Holieday[ok],Holieday[date],J_ADDDAY(VLOOKUP(I184,A:F,6,FALSE),H184+3,1)))=FALSE(),J_ADDDAY(VLOOKUP(I184,A:F,6,FALSE),H184+3,1),IF(OR(j_WEEKDAY(J_ADDDAY(VLOOKUP(I184,A:F,6,FALSE),H184+4,1),0)=6,SUMIFS(Holieday[ok],Holieday[date],J_ADDDAY(VLOOKUP(I184,A:F,6,FALSE),H184+4,1)))=FALSE(),J_ADDDAY(VLOOKUP(I184,A:F,6,FALSE),H184+4,1),J_ADDDAY(VLOOKUP(I184,A:F,6,FALSE),H184+5,1))))))</f>
        <v>1398/06/31</v>
      </c>
      <c r="E184" s="2">
        <f t="shared" si="63"/>
        <v>13980631</v>
      </c>
      <c r="F184" s="13" t="str">
        <f>IF(N184=0,J_SUBDAY(D184,1,1),IF((N184-NETWORKDAYS.INTL(J_GregorianDate(D184,1),J_GregorianDate(J_SUBDAY(J_ADDDAY(D184,N184,1),1,1),1),16,1)-SUMIFS(Holieday[ok],Holieday[date],CONCATENATE("&gt;","=",D184),Holieday[date],CONCATENATE("&lt;","=",J_SUBDAY(J_ADDDAY(D184,N184,1),1,1)))+SUMIFS(Holieday[Friday],Holieday[date],CONCATENATE("&gt;","=",D184),Holieday[date],CONCATENATE("&lt;","=",J_SUBDAY(J_ADDDAY(D184,N184,1),1,1))))=0,J_SUBDAY(J_ADDDAY(D184,N184,1),1,1),IF((N184-NETWORKDAYS.INTL(J_GregorianDate(D184,1),J_GregorianDate(J_SUBDAY(J_ADDDAY(D184,N184,1),1,1),1),16,1)-SUMIFS(Holieday[ok],Holieday[date],CONCATENATE("&gt;","=",D184),Holieday[date],CONCATENATE("&lt;","=",J_SUBDAY(J_ADDDAY(D184,N184,1),1,1)))+SUMIFS(Holieday[Friday],Holieday[date],CONCATENATE("&gt;","=",D184),Holieday[date],CONCATENATE("&lt;","=",J_SUBDAY(J_ADDDAY(D184,N184,1),1,1))))=1,J_SUBDAY(J_ADDDAY(D184,N184+1,1),1,1),IF((N184-NETWORKDAYS.INTL(J_GregorianDate(D184,1),J_GregorianDate(J_SUBDAY(J_ADDDAY(D184,N184,1),1,1),1),16,1)-SUMIFS(Holieday[ok],Holieday[date],CONCATENATE("&gt;","=",D184),Holieday[date],CONCATENATE("&lt;","=",J_SUBDAY(J_ADDDAY(D184,N184,1),1,1)))+SUMIFS(Holieday[Friday],Holieday[date],CONCATENATE("&gt;","=",D184),Holieday[date],CONCATENATE("&lt;","=",J_SUBDAY(J_ADDDAY(D184,N184,1),1,1))))=2,J_SUBDAY(J_ADDDAY(D184,N184+2,1),1,1),J_SUBDAY(J_ADDDAY(D184,N184+3,1),1,1)))))</f>
        <v>1398/06/30</v>
      </c>
      <c r="G184" s="3">
        <f t="shared" si="64"/>
        <v>13980630</v>
      </c>
      <c r="H184" s="119"/>
      <c r="I184" s="120">
        <v>1.1000000000000001</v>
      </c>
      <c r="J184" s="10">
        <f>j_WEEKDAY(D184,2)</f>
        <v>1</v>
      </c>
      <c r="K184" s="22">
        <f t="shared" si="61"/>
        <v>0</v>
      </c>
      <c r="L184" s="9">
        <f t="shared" si="62"/>
        <v>0</v>
      </c>
      <c r="M184" s="121">
        <v>0</v>
      </c>
      <c r="N184" s="118">
        <v>0</v>
      </c>
      <c r="O184" s="11">
        <f t="shared" si="59"/>
        <v>0</v>
      </c>
      <c r="P184" s="11">
        <f>VALUE(J_normdate(J_ADDDAY($D184,$O184,1)))</f>
        <v>13980631</v>
      </c>
      <c r="Q184" s="10">
        <f t="shared" si="60"/>
        <v>0</v>
      </c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  <c r="AO184" s="8"/>
      <c r="AP184" s="8"/>
      <c r="AQ184" s="8"/>
      <c r="AR184" s="8"/>
      <c r="AS184" s="8"/>
      <c r="AT184" s="8"/>
      <c r="AU184" s="8"/>
      <c r="AV184" s="8"/>
      <c r="AW184" s="8"/>
      <c r="AX184" s="8"/>
      <c r="AY184" s="8"/>
      <c r="AZ184" s="8"/>
      <c r="BA184" s="8"/>
      <c r="BB184" s="8"/>
      <c r="BC184" s="8"/>
      <c r="BD184" s="8"/>
      <c r="BE184" s="8"/>
      <c r="BF184" s="8"/>
      <c r="BG184" s="8"/>
      <c r="BH184" s="8"/>
      <c r="BI184" s="8"/>
      <c r="BJ184" s="8"/>
      <c r="BK184" s="8"/>
      <c r="BL184" s="8"/>
      <c r="BM184" s="8"/>
      <c r="BN184" s="8"/>
      <c r="BO184" s="8"/>
      <c r="BP184" s="8"/>
      <c r="BQ184" s="8"/>
      <c r="BR184" s="8"/>
      <c r="BS184" s="8"/>
      <c r="BT184" s="8"/>
      <c r="BU184" s="8"/>
      <c r="BV184" s="8"/>
      <c r="BW184" s="8"/>
      <c r="BX184" s="8"/>
      <c r="BY184" s="8"/>
      <c r="BZ184" s="8"/>
      <c r="CA184" s="8"/>
      <c r="CB184" s="8"/>
      <c r="CC184" s="8"/>
      <c r="CD184" s="8"/>
      <c r="CE184" s="8"/>
      <c r="CF184" s="8"/>
      <c r="CG184" s="8"/>
      <c r="CH184" s="8"/>
      <c r="CI184" s="8"/>
      <c r="CJ184" s="8"/>
      <c r="CK184" s="8"/>
      <c r="CL184" s="8"/>
      <c r="CM184" s="8"/>
      <c r="CN184" s="8"/>
      <c r="CO184" s="8"/>
      <c r="CP184" s="8"/>
      <c r="CQ184" s="8"/>
      <c r="CR184" s="8"/>
      <c r="CS184" s="8"/>
      <c r="CT184" s="8"/>
      <c r="CU184" s="8"/>
      <c r="CV184" s="8"/>
      <c r="CW184" s="8"/>
      <c r="CX184" s="8"/>
      <c r="CY184" s="8"/>
      <c r="CZ184" s="8"/>
      <c r="DA184" s="8"/>
      <c r="DB184" s="8"/>
      <c r="DC184" s="8"/>
      <c r="DD184" s="8"/>
      <c r="DE184" s="8"/>
      <c r="DF184" s="8"/>
      <c r="DG184" s="8"/>
      <c r="DH184" s="8"/>
      <c r="DI184" s="8"/>
      <c r="DJ184" s="8"/>
      <c r="DK184" s="8"/>
      <c r="DL184" s="8"/>
      <c r="DM184" s="8"/>
      <c r="DN184" s="8"/>
      <c r="DO184" s="8"/>
      <c r="DP184" s="8"/>
      <c r="DQ184" s="8"/>
      <c r="DR184" s="8"/>
      <c r="DS184" s="8"/>
      <c r="DT184" s="8"/>
      <c r="DU184" s="8"/>
      <c r="DV184" s="8"/>
      <c r="DW184" s="8"/>
      <c r="DX184" s="8"/>
      <c r="DY184" s="8"/>
      <c r="DZ184" s="8"/>
      <c r="EA184" s="8"/>
      <c r="EB184" s="8"/>
      <c r="EC184" s="8"/>
      <c r="ED184" s="8"/>
      <c r="EE184" s="8"/>
      <c r="EF184" s="8"/>
      <c r="EG184" s="8"/>
      <c r="EH184" s="8"/>
      <c r="EI184" s="8"/>
      <c r="EJ184" s="8"/>
      <c r="EK184" s="8"/>
      <c r="EL184" s="8"/>
      <c r="EM184" s="8"/>
      <c r="EN184" s="8"/>
      <c r="EO184" s="8"/>
      <c r="EP184" s="8"/>
      <c r="EQ184" s="8"/>
      <c r="ER184" s="8"/>
      <c r="ES184" s="8"/>
      <c r="ET184" s="8"/>
      <c r="EU184" s="8"/>
      <c r="EV184" s="8"/>
      <c r="EW184" s="8"/>
      <c r="EX184" s="8"/>
      <c r="EY184" s="8"/>
      <c r="EZ184" s="8"/>
      <c r="FA184" s="8"/>
      <c r="FB184" s="8"/>
      <c r="FC184" s="8"/>
      <c r="FD184" s="8"/>
      <c r="FE184" s="8"/>
      <c r="FF184" s="8"/>
      <c r="FG184" s="8"/>
      <c r="FH184" s="8"/>
      <c r="FI184" s="8"/>
      <c r="FJ184" s="8"/>
      <c r="FK184" s="8"/>
      <c r="FL184" s="8"/>
      <c r="FM184" s="8"/>
      <c r="FN184" s="8"/>
      <c r="FO184" s="8"/>
      <c r="FP184" s="8"/>
      <c r="FQ184" s="8"/>
      <c r="FR184" s="8"/>
      <c r="FS184" s="8"/>
      <c r="FT184" s="8"/>
      <c r="FU184" s="8"/>
      <c r="FV184" s="8"/>
      <c r="FW184" s="8"/>
      <c r="FX184" s="8"/>
      <c r="FY184" s="8"/>
      <c r="FZ184" s="8"/>
      <c r="GA184" s="8"/>
      <c r="GB184" s="8"/>
      <c r="GC184" s="8"/>
      <c r="GD184" s="8"/>
      <c r="GE184" s="8"/>
      <c r="GF184" s="8"/>
      <c r="GG184" s="8"/>
      <c r="GH184" s="8"/>
      <c r="GI184" s="8"/>
      <c r="GJ184" s="8"/>
      <c r="GK184" s="8"/>
      <c r="GL184" s="8"/>
      <c r="GM184" s="8"/>
      <c r="GN184" s="8"/>
      <c r="GO184" s="8"/>
      <c r="GP184" s="8"/>
      <c r="GQ184" s="8"/>
      <c r="GR184" s="8"/>
      <c r="GS184" s="8"/>
      <c r="GT184" s="8"/>
      <c r="GU184" s="8"/>
      <c r="GV184" s="8"/>
      <c r="GW184" s="8"/>
      <c r="GX184" s="8"/>
      <c r="GY184" s="8"/>
      <c r="GZ184" s="8"/>
      <c r="HA184" s="8"/>
      <c r="HB184" s="8"/>
      <c r="HC184" s="8"/>
      <c r="HD184" s="8"/>
      <c r="HE184" s="8"/>
      <c r="HF184" s="8"/>
      <c r="HG184" s="8"/>
      <c r="HH184" s="8"/>
      <c r="HI184" s="8"/>
      <c r="HJ184" s="8"/>
      <c r="HK184" s="8"/>
      <c r="HL184" s="8"/>
      <c r="HM184" s="8"/>
      <c r="HN184" s="8"/>
      <c r="HO184" s="8"/>
      <c r="HP184" s="8"/>
      <c r="HQ184" s="8"/>
      <c r="HR184" s="8"/>
      <c r="HS184" s="8"/>
      <c r="HT184" s="8"/>
      <c r="HU184" s="8"/>
      <c r="HV184" s="8"/>
      <c r="HW184" s="8"/>
      <c r="HX184" s="8"/>
      <c r="HY184" s="8"/>
      <c r="HZ184" s="8"/>
      <c r="IA184" s="8"/>
      <c r="IB184" s="8"/>
      <c r="IC184" s="8"/>
      <c r="ID184" s="8"/>
      <c r="IE184" s="8"/>
      <c r="IF184" s="8"/>
      <c r="IG184" s="8"/>
      <c r="IH184" s="8"/>
      <c r="II184" s="8"/>
      <c r="IJ184" s="8"/>
      <c r="IK184" s="8"/>
      <c r="IL184" s="8"/>
      <c r="IM184" s="8"/>
      <c r="IN184" s="8"/>
      <c r="IO184" s="8"/>
      <c r="IP184" s="8"/>
      <c r="IQ184" s="8"/>
      <c r="IR184" s="8"/>
      <c r="IS184" s="8"/>
      <c r="IT184" s="8"/>
      <c r="IU184" s="8"/>
      <c r="IV184" s="8"/>
      <c r="IW184" s="8"/>
      <c r="IX184" s="8"/>
      <c r="JA184" s="123"/>
      <c r="JB184" s="123"/>
      <c r="JC184" s="123"/>
      <c r="JD184" s="70">
        <f>SUM((TEXT(JA184,"[M]")/60)*'Income Person-hours'!$D$3,(TEXT(JB184,"[M]")/60)*'Income Person-hours'!$D$4,(TEXT(JC184,"[M]")/60)*'Income Person-hours'!$D$5)</f>
        <v>0</v>
      </c>
    </row>
    <row r="185" spans="1:264" s="12" customFormat="1" ht="15.75" hidden="1" x14ac:dyDescent="0.45">
      <c r="A185" s="32">
        <v>8.11</v>
      </c>
      <c r="B185" s="126"/>
      <c r="C185" s="117"/>
      <c r="D185" s="13" t="str">
        <f>IF(OR(j_WEEKDAY(J_ADDDAY(VLOOKUP(I185,A:F,6,FALSE),H185,1),0)=6,SUMIFS(Holieday[ok],Holieday[date],J_ADDDAY(VLOOKUP(I185,A:F,6,FALSE),H185,1)))=FALSE(),J_ADDDAY(VLOOKUP(I185,A:F,6,FALSE),H185,1),IF(OR(j_WEEKDAY(J_ADDDAY(VLOOKUP(I185,A:F,6,FALSE),H185+1,1),0)=6,SUMIFS(Holieday[ok],Holieday[date],J_ADDDAY(VLOOKUP(I185,A:F,6,FALSE),H185+1,1)))=FALSE(),J_ADDDAY(VLOOKUP(I185,A:F,6,FALSE),H185+1,1),IF(OR(j_WEEKDAY(J_ADDDAY(VLOOKUP(I185,A:F,6,FALSE),H185+2,1),0)=6,SUMIFS(Holieday[ok],Holieday[date],J_ADDDAY(VLOOKUP(I185,A:F,6,FALSE),H185+2,1)))=FALSE(),J_ADDDAY(VLOOKUP(I185,A:F,6,FALSE),H185+2,1),IF(OR(j_WEEKDAY(J_ADDDAY(VLOOKUP(I185,A:F,6,FALSE),H185+3,1),0)=6,SUMIFS(Holieday[ok],Holieday[date],J_ADDDAY(VLOOKUP(I185,A:F,6,FALSE),H185+3,1)))=FALSE(),J_ADDDAY(VLOOKUP(I185,A:F,6,FALSE),H185+3,1),IF(OR(j_WEEKDAY(J_ADDDAY(VLOOKUP(I185,A:F,6,FALSE),H185+4,1),0)=6,SUMIFS(Holieday[ok],Holieday[date],J_ADDDAY(VLOOKUP(I185,A:F,6,FALSE),H185+4,1)))=FALSE(),J_ADDDAY(VLOOKUP(I185,A:F,6,FALSE),H185+4,1),J_ADDDAY(VLOOKUP(I185,A:F,6,FALSE),H185+5,1))))))</f>
        <v>1398/06/31</v>
      </c>
      <c r="E185" s="2">
        <f t="shared" si="63"/>
        <v>13980631</v>
      </c>
      <c r="F185" s="13" t="str">
        <f>IF(N185=0,J_SUBDAY(D185,1,1),IF((N185-NETWORKDAYS.INTL(J_GregorianDate(D185,1),J_GregorianDate(J_SUBDAY(J_ADDDAY(D185,N185,1),1,1),1),16,1)-SUMIFS(Holieday[ok],Holieday[date],CONCATENATE("&gt;","=",D185),Holieday[date],CONCATENATE("&lt;","=",J_SUBDAY(J_ADDDAY(D185,N185,1),1,1)))+SUMIFS(Holieday[Friday],Holieday[date],CONCATENATE("&gt;","=",D185),Holieday[date],CONCATENATE("&lt;","=",J_SUBDAY(J_ADDDAY(D185,N185,1),1,1))))=0,J_SUBDAY(J_ADDDAY(D185,N185,1),1,1),IF((N185-NETWORKDAYS.INTL(J_GregorianDate(D185,1),J_GregorianDate(J_SUBDAY(J_ADDDAY(D185,N185,1),1,1),1),16,1)-SUMIFS(Holieday[ok],Holieday[date],CONCATENATE("&gt;","=",D185),Holieday[date],CONCATENATE("&lt;","=",J_SUBDAY(J_ADDDAY(D185,N185,1),1,1)))+SUMIFS(Holieday[Friday],Holieday[date],CONCATENATE("&gt;","=",D185),Holieday[date],CONCATENATE("&lt;","=",J_SUBDAY(J_ADDDAY(D185,N185,1),1,1))))=1,J_SUBDAY(J_ADDDAY(D185,N185+1,1),1,1),IF((N185-NETWORKDAYS.INTL(J_GregorianDate(D185,1),J_GregorianDate(J_SUBDAY(J_ADDDAY(D185,N185,1),1,1),1),16,1)-SUMIFS(Holieday[ok],Holieday[date],CONCATENATE("&gt;","=",D185),Holieday[date],CONCATENATE("&lt;","=",J_SUBDAY(J_ADDDAY(D185,N185,1),1,1)))+SUMIFS(Holieday[Friday],Holieday[date],CONCATENATE("&gt;","=",D185),Holieday[date],CONCATENATE("&lt;","=",J_SUBDAY(J_ADDDAY(D185,N185,1),1,1))))=2,J_SUBDAY(J_ADDDAY(D185,N185+2,1),1,1),J_SUBDAY(J_ADDDAY(D185,N185+3,1),1,1)))))</f>
        <v>1398/06/30</v>
      </c>
      <c r="G185" s="3">
        <f t="shared" si="64"/>
        <v>13980630</v>
      </c>
      <c r="H185" s="119"/>
      <c r="I185" s="120">
        <v>1.1000000000000001</v>
      </c>
      <c r="J185" s="10">
        <f>j_WEEKDAY(D185,2)</f>
        <v>1</v>
      </c>
      <c r="K185" s="22">
        <f t="shared" si="61"/>
        <v>0</v>
      </c>
      <c r="L185" s="9">
        <f t="shared" si="62"/>
        <v>0</v>
      </c>
      <c r="M185" s="121">
        <v>0</v>
      </c>
      <c r="N185" s="118">
        <v>0</v>
      </c>
      <c r="O185" s="11">
        <f t="shared" si="59"/>
        <v>0</v>
      </c>
      <c r="P185" s="11">
        <f>VALUE(J_normdate(J_ADDDAY($D185,$O185,1)))</f>
        <v>13980631</v>
      </c>
      <c r="Q185" s="10">
        <f t="shared" si="60"/>
        <v>0</v>
      </c>
      <c r="R185" s="8"/>
      <c r="S185" s="8"/>
      <c r="T185" s="8"/>
      <c r="U185" s="8"/>
      <c r="V185" s="8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  <c r="AO185" s="8"/>
      <c r="AP185" s="8"/>
      <c r="AQ185" s="8"/>
      <c r="AR185" s="8"/>
      <c r="AS185" s="8"/>
      <c r="AT185" s="8"/>
      <c r="AU185" s="8"/>
      <c r="AV185" s="8"/>
      <c r="AW185" s="8"/>
      <c r="AX185" s="8"/>
      <c r="AY185" s="8"/>
      <c r="AZ185" s="8"/>
      <c r="BA185" s="8"/>
      <c r="BB185" s="8"/>
      <c r="BC185" s="8"/>
      <c r="BD185" s="8"/>
      <c r="BE185" s="8"/>
      <c r="BF185" s="8"/>
      <c r="BG185" s="8"/>
      <c r="BH185" s="8"/>
      <c r="BI185" s="8"/>
      <c r="BJ185" s="8"/>
      <c r="BK185" s="8"/>
      <c r="BL185" s="8"/>
      <c r="BM185" s="8"/>
      <c r="BN185" s="8"/>
      <c r="BO185" s="8"/>
      <c r="BP185" s="8"/>
      <c r="BQ185" s="8"/>
      <c r="BR185" s="8"/>
      <c r="BS185" s="8"/>
      <c r="BT185" s="8"/>
      <c r="BU185" s="8"/>
      <c r="BV185" s="8"/>
      <c r="BW185" s="8"/>
      <c r="BX185" s="8"/>
      <c r="BY185" s="8"/>
      <c r="BZ185" s="8"/>
      <c r="CA185" s="8"/>
      <c r="CB185" s="8"/>
      <c r="CC185" s="8"/>
      <c r="CD185" s="8"/>
      <c r="CE185" s="8"/>
      <c r="CF185" s="8"/>
      <c r="CG185" s="8"/>
      <c r="CH185" s="8"/>
      <c r="CI185" s="8"/>
      <c r="CJ185" s="8"/>
      <c r="CK185" s="8"/>
      <c r="CL185" s="8"/>
      <c r="CM185" s="8"/>
      <c r="CN185" s="8"/>
      <c r="CO185" s="8"/>
      <c r="CP185" s="8"/>
      <c r="CQ185" s="8"/>
      <c r="CR185" s="8"/>
      <c r="CS185" s="8"/>
      <c r="CT185" s="8"/>
      <c r="CU185" s="8"/>
      <c r="CV185" s="8"/>
      <c r="CW185" s="8"/>
      <c r="CX185" s="8"/>
      <c r="CY185" s="8"/>
      <c r="CZ185" s="8"/>
      <c r="DA185" s="8"/>
      <c r="DB185" s="8"/>
      <c r="DC185" s="8"/>
      <c r="DD185" s="8"/>
      <c r="DE185" s="8"/>
      <c r="DF185" s="8"/>
      <c r="DG185" s="8"/>
      <c r="DH185" s="8"/>
      <c r="DI185" s="8"/>
      <c r="DJ185" s="8"/>
      <c r="DK185" s="8"/>
      <c r="DL185" s="8"/>
      <c r="DM185" s="8"/>
      <c r="DN185" s="8"/>
      <c r="DO185" s="8"/>
      <c r="DP185" s="8"/>
      <c r="DQ185" s="8"/>
      <c r="DR185" s="8"/>
      <c r="DS185" s="8"/>
      <c r="DT185" s="8"/>
      <c r="DU185" s="8"/>
      <c r="DV185" s="8"/>
      <c r="DW185" s="8"/>
      <c r="DX185" s="8"/>
      <c r="DY185" s="8"/>
      <c r="DZ185" s="8"/>
      <c r="EA185" s="8"/>
      <c r="EB185" s="8"/>
      <c r="EC185" s="8"/>
      <c r="ED185" s="8"/>
      <c r="EE185" s="8"/>
      <c r="EF185" s="8"/>
      <c r="EG185" s="8"/>
      <c r="EH185" s="8"/>
      <c r="EI185" s="8"/>
      <c r="EJ185" s="8"/>
      <c r="EK185" s="8"/>
      <c r="EL185" s="8"/>
      <c r="EM185" s="8"/>
      <c r="EN185" s="8"/>
      <c r="EO185" s="8"/>
      <c r="EP185" s="8"/>
      <c r="EQ185" s="8"/>
      <c r="ER185" s="8"/>
      <c r="ES185" s="8"/>
      <c r="ET185" s="8"/>
      <c r="EU185" s="8"/>
      <c r="EV185" s="8"/>
      <c r="EW185" s="8"/>
      <c r="EX185" s="8"/>
      <c r="EY185" s="8"/>
      <c r="EZ185" s="8"/>
      <c r="FA185" s="8"/>
      <c r="FB185" s="8"/>
      <c r="FC185" s="8"/>
      <c r="FD185" s="8"/>
      <c r="FE185" s="8"/>
      <c r="FF185" s="8"/>
      <c r="FG185" s="8"/>
      <c r="FH185" s="8"/>
      <c r="FI185" s="8"/>
      <c r="FJ185" s="8"/>
      <c r="FK185" s="8"/>
      <c r="FL185" s="8"/>
      <c r="FM185" s="8"/>
      <c r="FN185" s="8"/>
      <c r="FO185" s="8"/>
      <c r="FP185" s="8"/>
      <c r="FQ185" s="8"/>
      <c r="FR185" s="8"/>
      <c r="FS185" s="8"/>
      <c r="FT185" s="8"/>
      <c r="FU185" s="8"/>
      <c r="FV185" s="8"/>
      <c r="FW185" s="8"/>
      <c r="FX185" s="8"/>
      <c r="FY185" s="8"/>
      <c r="FZ185" s="8"/>
      <c r="GA185" s="8"/>
      <c r="GB185" s="8"/>
      <c r="GC185" s="8"/>
      <c r="GD185" s="8"/>
      <c r="GE185" s="8"/>
      <c r="GF185" s="8"/>
      <c r="GG185" s="8"/>
      <c r="GH185" s="8"/>
      <c r="GI185" s="8"/>
      <c r="GJ185" s="8"/>
      <c r="GK185" s="8"/>
      <c r="GL185" s="8"/>
      <c r="GM185" s="8"/>
      <c r="GN185" s="8"/>
      <c r="GO185" s="8"/>
      <c r="GP185" s="8"/>
      <c r="GQ185" s="8"/>
      <c r="GR185" s="8"/>
      <c r="GS185" s="8"/>
      <c r="GT185" s="8"/>
      <c r="GU185" s="8"/>
      <c r="GV185" s="8"/>
      <c r="GW185" s="8"/>
      <c r="GX185" s="8"/>
      <c r="GY185" s="8"/>
      <c r="GZ185" s="8"/>
      <c r="HA185" s="8"/>
      <c r="HB185" s="8"/>
      <c r="HC185" s="8"/>
      <c r="HD185" s="8"/>
      <c r="HE185" s="8"/>
      <c r="HF185" s="8"/>
      <c r="HG185" s="8"/>
      <c r="HH185" s="8"/>
      <c r="HI185" s="8"/>
      <c r="HJ185" s="8"/>
      <c r="HK185" s="8"/>
      <c r="HL185" s="8"/>
      <c r="HM185" s="8"/>
      <c r="HN185" s="8"/>
      <c r="HO185" s="8"/>
      <c r="HP185" s="8"/>
      <c r="HQ185" s="8"/>
      <c r="HR185" s="8"/>
      <c r="HS185" s="8"/>
      <c r="HT185" s="8"/>
      <c r="HU185" s="8"/>
      <c r="HV185" s="8"/>
      <c r="HW185" s="8"/>
      <c r="HX185" s="8"/>
      <c r="HY185" s="8"/>
      <c r="HZ185" s="8"/>
      <c r="IA185" s="8"/>
      <c r="IB185" s="8"/>
      <c r="IC185" s="8"/>
      <c r="ID185" s="8"/>
      <c r="IE185" s="8"/>
      <c r="IF185" s="8"/>
      <c r="IG185" s="8"/>
      <c r="IH185" s="8"/>
      <c r="II185" s="8"/>
      <c r="IJ185" s="8"/>
      <c r="IK185" s="8"/>
      <c r="IL185" s="8"/>
      <c r="IM185" s="8"/>
      <c r="IN185" s="8"/>
      <c r="IO185" s="8"/>
      <c r="IP185" s="8"/>
      <c r="IQ185" s="8"/>
      <c r="IR185" s="8"/>
      <c r="IS185" s="8"/>
      <c r="IT185" s="8"/>
      <c r="IU185" s="8"/>
      <c r="IV185" s="8"/>
      <c r="IW185" s="8"/>
      <c r="IX185" s="8"/>
      <c r="JA185" s="123"/>
      <c r="JB185" s="123"/>
      <c r="JC185" s="123"/>
      <c r="JD185" s="70">
        <f>SUM((TEXT(JA185,"[M]")/60)*'Income Person-hours'!$D$3,(TEXT(JB185,"[M]")/60)*'Income Person-hours'!$D$4,(TEXT(JC185,"[M]")/60)*'Income Person-hours'!$D$5)</f>
        <v>0</v>
      </c>
    </row>
    <row r="186" spans="1:264" s="12" customFormat="1" ht="15.75" hidden="1" x14ac:dyDescent="0.45">
      <c r="A186" s="32">
        <v>8.1199999999999992</v>
      </c>
      <c r="B186" s="126"/>
      <c r="C186" s="117"/>
      <c r="D186" s="13" t="str">
        <f>IF(OR(j_WEEKDAY(J_ADDDAY(VLOOKUP(I186,A:F,6,FALSE),H186,1),0)=6,SUMIFS(Holieday[ok],Holieday[date],J_ADDDAY(VLOOKUP(I186,A:F,6,FALSE),H186,1)))=FALSE(),J_ADDDAY(VLOOKUP(I186,A:F,6,FALSE),H186,1),IF(OR(j_WEEKDAY(J_ADDDAY(VLOOKUP(I186,A:F,6,FALSE),H186+1,1),0)=6,SUMIFS(Holieday[ok],Holieday[date],J_ADDDAY(VLOOKUP(I186,A:F,6,FALSE),H186+1,1)))=FALSE(),J_ADDDAY(VLOOKUP(I186,A:F,6,FALSE),H186+1,1),IF(OR(j_WEEKDAY(J_ADDDAY(VLOOKUP(I186,A:F,6,FALSE),H186+2,1),0)=6,SUMIFS(Holieday[ok],Holieday[date],J_ADDDAY(VLOOKUP(I186,A:F,6,FALSE),H186+2,1)))=FALSE(),J_ADDDAY(VLOOKUP(I186,A:F,6,FALSE),H186+2,1),IF(OR(j_WEEKDAY(J_ADDDAY(VLOOKUP(I186,A:F,6,FALSE),H186+3,1),0)=6,SUMIFS(Holieday[ok],Holieday[date],J_ADDDAY(VLOOKUP(I186,A:F,6,FALSE),H186+3,1)))=FALSE(),J_ADDDAY(VLOOKUP(I186,A:F,6,FALSE),H186+3,1),IF(OR(j_WEEKDAY(J_ADDDAY(VLOOKUP(I186,A:F,6,FALSE),H186+4,1),0)=6,SUMIFS(Holieday[ok],Holieday[date],J_ADDDAY(VLOOKUP(I186,A:F,6,FALSE),H186+4,1)))=FALSE(),J_ADDDAY(VLOOKUP(I186,A:F,6,FALSE),H186+4,1),J_ADDDAY(VLOOKUP(I186,A:F,6,FALSE),H186+5,1))))))</f>
        <v>1398/06/31</v>
      </c>
      <c r="E186" s="2">
        <f t="shared" si="63"/>
        <v>13980631</v>
      </c>
      <c r="F186" s="13" t="str">
        <f>IF(N186=0,J_SUBDAY(D186,1,1),IF((N186-NETWORKDAYS.INTL(J_GregorianDate(D186,1),J_GregorianDate(J_SUBDAY(J_ADDDAY(D186,N186,1),1,1),1),16,1)-SUMIFS(Holieday[ok],Holieday[date],CONCATENATE("&gt;","=",D186),Holieday[date],CONCATENATE("&lt;","=",J_SUBDAY(J_ADDDAY(D186,N186,1),1,1)))+SUMIFS(Holieday[Friday],Holieday[date],CONCATENATE("&gt;","=",D186),Holieday[date],CONCATENATE("&lt;","=",J_SUBDAY(J_ADDDAY(D186,N186,1),1,1))))=0,J_SUBDAY(J_ADDDAY(D186,N186,1),1,1),IF((N186-NETWORKDAYS.INTL(J_GregorianDate(D186,1),J_GregorianDate(J_SUBDAY(J_ADDDAY(D186,N186,1),1,1),1),16,1)-SUMIFS(Holieday[ok],Holieday[date],CONCATENATE("&gt;","=",D186),Holieday[date],CONCATENATE("&lt;","=",J_SUBDAY(J_ADDDAY(D186,N186,1),1,1)))+SUMIFS(Holieday[Friday],Holieday[date],CONCATENATE("&gt;","=",D186),Holieday[date],CONCATENATE("&lt;","=",J_SUBDAY(J_ADDDAY(D186,N186,1),1,1))))=1,J_SUBDAY(J_ADDDAY(D186,N186+1,1),1,1),IF((N186-NETWORKDAYS.INTL(J_GregorianDate(D186,1),J_GregorianDate(J_SUBDAY(J_ADDDAY(D186,N186,1),1,1),1),16,1)-SUMIFS(Holieday[ok],Holieday[date],CONCATENATE("&gt;","=",D186),Holieday[date],CONCATENATE("&lt;","=",J_SUBDAY(J_ADDDAY(D186,N186,1),1,1)))+SUMIFS(Holieday[Friday],Holieday[date],CONCATENATE("&gt;","=",D186),Holieday[date],CONCATENATE("&lt;","=",J_SUBDAY(J_ADDDAY(D186,N186,1),1,1))))=2,J_SUBDAY(J_ADDDAY(D186,N186+2,1),1,1),J_SUBDAY(J_ADDDAY(D186,N186+3,1),1,1)))))</f>
        <v>1398/06/30</v>
      </c>
      <c r="G186" s="3">
        <f t="shared" si="64"/>
        <v>13980630</v>
      </c>
      <c r="H186" s="119"/>
      <c r="I186" s="120">
        <v>1.1000000000000001</v>
      </c>
      <c r="J186" s="10">
        <f>j_WEEKDAY(D186,2)</f>
        <v>1</v>
      </c>
      <c r="K186" s="22">
        <f t="shared" si="61"/>
        <v>0</v>
      </c>
      <c r="L186" s="9">
        <f t="shared" si="62"/>
        <v>0</v>
      </c>
      <c r="M186" s="121">
        <v>0</v>
      </c>
      <c r="N186" s="118">
        <v>0</v>
      </c>
      <c r="O186" s="11">
        <f t="shared" si="59"/>
        <v>0</v>
      </c>
      <c r="P186" s="11">
        <f>VALUE(J_normdate(J_ADDDAY($D186,$O186,1)))</f>
        <v>13980631</v>
      </c>
      <c r="Q186" s="10">
        <f t="shared" si="60"/>
        <v>0</v>
      </c>
      <c r="R186" s="8"/>
      <c r="S186" s="8"/>
      <c r="T186" s="8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  <c r="AO186" s="8"/>
      <c r="AP186" s="8"/>
      <c r="AQ186" s="8"/>
      <c r="AR186" s="8"/>
      <c r="AS186" s="8"/>
      <c r="AT186" s="8"/>
      <c r="AU186" s="8"/>
      <c r="AV186" s="8"/>
      <c r="AW186" s="8"/>
      <c r="AX186" s="8"/>
      <c r="AY186" s="8"/>
      <c r="AZ186" s="8"/>
      <c r="BA186" s="8"/>
      <c r="BB186" s="8"/>
      <c r="BC186" s="8"/>
      <c r="BD186" s="8"/>
      <c r="BE186" s="8"/>
      <c r="BF186" s="8"/>
      <c r="BG186" s="8"/>
      <c r="BH186" s="8"/>
      <c r="BI186" s="8"/>
      <c r="BJ186" s="8"/>
      <c r="BK186" s="8"/>
      <c r="BL186" s="8"/>
      <c r="BM186" s="8"/>
      <c r="BN186" s="8"/>
      <c r="BO186" s="8"/>
      <c r="BP186" s="8"/>
      <c r="BQ186" s="8"/>
      <c r="BR186" s="8"/>
      <c r="BS186" s="8"/>
      <c r="BT186" s="8"/>
      <c r="BU186" s="8"/>
      <c r="BV186" s="8"/>
      <c r="BW186" s="8"/>
      <c r="BX186" s="8"/>
      <c r="BY186" s="8"/>
      <c r="BZ186" s="8"/>
      <c r="CA186" s="8"/>
      <c r="CB186" s="8"/>
      <c r="CC186" s="8"/>
      <c r="CD186" s="8"/>
      <c r="CE186" s="8"/>
      <c r="CF186" s="8"/>
      <c r="CG186" s="8"/>
      <c r="CH186" s="8"/>
      <c r="CI186" s="8"/>
      <c r="CJ186" s="8"/>
      <c r="CK186" s="8"/>
      <c r="CL186" s="8"/>
      <c r="CM186" s="8"/>
      <c r="CN186" s="8"/>
      <c r="CO186" s="8"/>
      <c r="CP186" s="8"/>
      <c r="CQ186" s="8"/>
      <c r="CR186" s="8"/>
      <c r="CS186" s="8"/>
      <c r="CT186" s="8"/>
      <c r="CU186" s="8"/>
      <c r="CV186" s="8"/>
      <c r="CW186" s="8"/>
      <c r="CX186" s="8"/>
      <c r="CY186" s="8"/>
      <c r="CZ186" s="8"/>
      <c r="DA186" s="8"/>
      <c r="DB186" s="8"/>
      <c r="DC186" s="8"/>
      <c r="DD186" s="8"/>
      <c r="DE186" s="8"/>
      <c r="DF186" s="8"/>
      <c r="DG186" s="8"/>
      <c r="DH186" s="8"/>
      <c r="DI186" s="8"/>
      <c r="DJ186" s="8"/>
      <c r="DK186" s="8"/>
      <c r="DL186" s="8"/>
      <c r="DM186" s="8"/>
      <c r="DN186" s="8"/>
      <c r="DO186" s="8"/>
      <c r="DP186" s="8"/>
      <c r="DQ186" s="8"/>
      <c r="DR186" s="8"/>
      <c r="DS186" s="8"/>
      <c r="DT186" s="8"/>
      <c r="DU186" s="8"/>
      <c r="DV186" s="8"/>
      <c r="DW186" s="8"/>
      <c r="DX186" s="8"/>
      <c r="DY186" s="8"/>
      <c r="DZ186" s="8"/>
      <c r="EA186" s="8"/>
      <c r="EB186" s="8"/>
      <c r="EC186" s="8"/>
      <c r="ED186" s="8"/>
      <c r="EE186" s="8"/>
      <c r="EF186" s="8"/>
      <c r="EG186" s="8"/>
      <c r="EH186" s="8"/>
      <c r="EI186" s="8"/>
      <c r="EJ186" s="8"/>
      <c r="EK186" s="8"/>
      <c r="EL186" s="8"/>
      <c r="EM186" s="8"/>
      <c r="EN186" s="8"/>
      <c r="EO186" s="8"/>
      <c r="EP186" s="8"/>
      <c r="EQ186" s="8"/>
      <c r="ER186" s="8"/>
      <c r="ES186" s="8"/>
      <c r="ET186" s="8"/>
      <c r="EU186" s="8"/>
      <c r="EV186" s="8"/>
      <c r="EW186" s="8"/>
      <c r="EX186" s="8"/>
      <c r="EY186" s="8"/>
      <c r="EZ186" s="8"/>
      <c r="FA186" s="8"/>
      <c r="FB186" s="8"/>
      <c r="FC186" s="8"/>
      <c r="FD186" s="8"/>
      <c r="FE186" s="8"/>
      <c r="FF186" s="8"/>
      <c r="FG186" s="8"/>
      <c r="FH186" s="8"/>
      <c r="FI186" s="8"/>
      <c r="FJ186" s="8"/>
      <c r="FK186" s="8"/>
      <c r="FL186" s="8"/>
      <c r="FM186" s="8"/>
      <c r="FN186" s="8"/>
      <c r="FO186" s="8"/>
      <c r="FP186" s="8"/>
      <c r="FQ186" s="8"/>
      <c r="FR186" s="8"/>
      <c r="FS186" s="8"/>
      <c r="FT186" s="8"/>
      <c r="FU186" s="8"/>
      <c r="FV186" s="8"/>
      <c r="FW186" s="8"/>
      <c r="FX186" s="8"/>
      <c r="FY186" s="8"/>
      <c r="FZ186" s="8"/>
      <c r="GA186" s="8"/>
      <c r="GB186" s="8"/>
      <c r="GC186" s="8"/>
      <c r="GD186" s="8"/>
      <c r="GE186" s="8"/>
      <c r="GF186" s="8"/>
      <c r="GG186" s="8"/>
      <c r="GH186" s="8"/>
      <c r="GI186" s="8"/>
      <c r="GJ186" s="8"/>
      <c r="GK186" s="8"/>
      <c r="GL186" s="8"/>
      <c r="GM186" s="8"/>
      <c r="GN186" s="8"/>
      <c r="GO186" s="8"/>
      <c r="GP186" s="8"/>
      <c r="GQ186" s="8"/>
      <c r="GR186" s="8"/>
      <c r="GS186" s="8"/>
      <c r="GT186" s="8"/>
      <c r="GU186" s="8"/>
      <c r="GV186" s="8"/>
      <c r="GW186" s="8"/>
      <c r="GX186" s="8"/>
      <c r="GY186" s="8"/>
      <c r="GZ186" s="8"/>
      <c r="HA186" s="8"/>
      <c r="HB186" s="8"/>
      <c r="HC186" s="8"/>
      <c r="HD186" s="8"/>
      <c r="HE186" s="8"/>
      <c r="HF186" s="8"/>
      <c r="HG186" s="8"/>
      <c r="HH186" s="8"/>
      <c r="HI186" s="8"/>
      <c r="HJ186" s="8"/>
      <c r="HK186" s="8"/>
      <c r="HL186" s="8"/>
      <c r="HM186" s="8"/>
      <c r="HN186" s="8"/>
      <c r="HO186" s="8"/>
      <c r="HP186" s="8"/>
      <c r="HQ186" s="8"/>
      <c r="HR186" s="8"/>
      <c r="HS186" s="8"/>
      <c r="HT186" s="8"/>
      <c r="HU186" s="8"/>
      <c r="HV186" s="8"/>
      <c r="HW186" s="8"/>
      <c r="HX186" s="8"/>
      <c r="HY186" s="8"/>
      <c r="HZ186" s="8"/>
      <c r="IA186" s="8"/>
      <c r="IB186" s="8"/>
      <c r="IC186" s="8"/>
      <c r="ID186" s="8"/>
      <c r="IE186" s="8"/>
      <c r="IF186" s="8"/>
      <c r="IG186" s="8"/>
      <c r="IH186" s="8"/>
      <c r="II186" s="8"/>
      <c r="IJ186" s="8"/>
      <c r="IK186" s="8"/>
      <c r="IL186" s="8"/>
      <c r="IM186" s="8"/>
      <c r="IN186" s="8"/>
      <c r="IO186" s="8"/>
      <c r="IP186" s="8"/>
      <c r="IQ186" s="8"/>
      <c r="IR186" s="8"/>
      <c r="IS186" s="8"/>
      <c r="IT186" s="8"/>
      <c r="IU186" s="8"/>
      <c r="IV186" s="8"/>
      <c r="IW186" s="8"/>
      <c r="IX186" s="8"/>
      <c r="JA186" s="123"/>
      <c r="JB186" s="123"/>
      <c r="JC186" s="123"/>
      <c r="JD186" s="70">
        <f>SUM((TEXT(JA186,"[M]")/60)*'Income Person-hours'!$D$3,(TEXT(JB186,"[M]")/60)*'Income Person-hours'!$D$4,(TEXT(JC186,"[M]")/60)*'Income Person-hours'!$D$5)</f>
        <v>0</v>
      </c>
    </row>
    <row r="187" spans="1:264" s="12" customFormat="1" ht="15.75" hidden="1" x14ac:dyDescent="0.45">
      <c r="A187" s="32">
        <v>8.1300000000000008</v>
      </c>
      <c r="B187" s="126"/>
      <c r="C187" s="117"/>
      <c r="D187" s="13" t="str">
        <f>IF(OR(j_WEEKDAY(J_ADDDAY(VLOOKUP(I187,A:F,6,FALSE),H187,1),0)=6,SUMIFS(Holieday[ok],Holieday[date],J_ADDDAY(VLOOKUP(I187,A:F,6,FALSE),H187,1)))=FALSE(),J_ADDDAY(VLOOKUP(I187,A:F,6,FALSE),H187,1),IF(OR(j_WEEKDAY(J_ADDDAY(VLOOKUP(I187,A:F,6,FALSE),H187+1,1),0)=6,SUMIFS(Holieday[ok],Holieday[date],J_ADDDAY(VLOOKUP(I187,A:F,6,FALSE),H187+1,1)))=FALSE(),J_ADDDAY(VLOOKUP(I187,A:F,6,FALSE),H187+1,1),IF(OR(j_WEEKDAY(J_ADDDAY(VLOOKUP(I187,A:F,6,FALSE),H187+2,1),0)=6,SUMIFS(Holieday[ok],Holieday[date],J_ADDDAY(VLOOKUP(I187,A:F,6,FALSE),H187+2,1)))=FALSE(),J_ADDDAY(VLOOKUP(I187,A:F,6,FALSE),H187+2,1),IF(OR(j_WEEKDAY(J_ADDDAY(VLOOKUP(I187,A:F,6,FALSE),H187+3,1),0)=6,SUMIFS(Holieday[ok],Holieday[date],J_ADDDAY(VLOOKUP(I187,A:F,6,FALSE),H187+3,1)))=FALSE(),J_ADDDAY(VLOOKUP(I187,A:F,6,FALSE),H187+3,1),IF(OR(j_WEEKDAY(J_ADDDAY(VLOOKUP(I187,A:F,6,FALSE),H187+4,1),0)=6,SUMIFS(Holieday[ok],Holieday[date],J_ADDDAY(VLOOKUP(I187,A:F,6,FALSE),H187+4,1)))=FALSE(),J_ADDDAY(VLOOKUP(I187,A:F,6,FALSE),H187+4,1),J_ADDDAY(VLOOKUP(I187,A:F,6,FALSE),H187+5,1))))))</f>
        <v>1398/06/31</v>
      </c>
      <c r="E187" s="2">
        <f t="shared" si="63"/>
        <v>13980631</v>
      </c>
      <c r="F187" s="13" t="str">
        <f>IF(N187=0,J_SUBDAY(D187,1,1),IF((N187-NETWORKDAYS.INTL(J_GregorianDate(D187,1),J_GregorianDate(J_SUBDAY(J_ADDDAY(D187,N187,1),1,1),1),16,1)-SUMIFS(Holieday[ok],Holieday[date],CONCATENATE("&gt;","=",D187),Holieday[date],CONCATENATE("&lt;","=",J_SUBDAY(J_ADDDAY(D187,N187,1),1,1)))+SUMIFS(Holieday[Friday],Holieday[date],CONCATENATE("&gt;","=",D187),Holieday[date],CONCATENATE("&lt;","=",J_SUBDAY(J_ADDDAY(D187,N187,1),1,1))))=0,J_SUBDAY(J_ADDDAY(D187,N187,1),1,1),IF((N187-NETWORKDAYS.INTL(J_GregorianDate(D187,1),J_GregorianDate(J_SUBDAY(J_ADDDAY(D187,N187,1),1,1),1),16,1)-SUMIFS(Holieday[ok],Holieday[date],CONCATENATE("&gt;","=",D187),Holieday[date],CONCATENATE("&lt;","=",J_SUBDAY(J_ADDDAY(D187,N187,1),1,1)))+SUMIFS(Holieday[Friday],Holieday[date],CONCATENATE("&gt;","=",D187),Holieday[date],CONCATENATE("&lt;","=",J_SUBDAY(J_ADDDAY(D187,N187,1),1,1))))=1,J_SUBDAY(J_ADDDAY(D187,N187+1,1),1,1),IF((N187-NETWORKDAYS.INTL(J_GregorianDate(D187,1),J_GregorianDate(J_SUBDAY(J_ADDDAY(D187,N187,1),1,1),1),16,1)-SUMIFS(Holieday[ok],Holieday[date],CONCATENATE("&gt;","=",D187),Holieday[date],CONCATENATE("&lt;","=",J_SUBDAY(J_ADDDAY(D187,N187,1),1,1)))+SUMIFS(Holieday[Friday],Holieday[date],CONCATENATE("&gt;","=",D187),Holieday[date],CONCATENATE("&lt;","=",J_SUBDAY(J_ADDDAY(D187,N187,1),1,1))))=2,J_SUBDAY(J_ADDDAY(D187,N187+2,1),1,1),J_SUBDAY(J_ADDDAY(D187,N187+3,1),1,1)))))</f>
        <v>1398/06/30</v>
      </c>
      <c r="G187" s="3">
        <f t="shared" si="64"/>
        <v>13980630</v>
      </c>
      <c r="H187" s="119"/>
      <c r="I187" s="120">
        <v>1.1000000000000001</v>
      </c>
      <c r="J187" s="10">
        <f>j_WEEKDAY(D187,2)</f>
        <v>1</v>
      </c>
      <c r="K187" s="22">
        <f t="shared" si="61"/>
        <v>0</v>
      </c>
      <c r="L187" s="9">
        <f t="shared" si="62"/>
        <v>0</v>
      </c>
      <c r="M187" s="121">
        <v>0</v>
      </c>
      <c r="N187" s="118">
        <v>0</v>
      </c>
      <c r="O187" s="11">
        <f t="shared" si="59"/>
        <v>0</v>
      </c>
      <c r="P187" s="11">
        <f>VALUE(J_normdate(J_ADDDAY($D187,$O187,1)))</f>
        <v>13980631</v>
      </c>
      <c r="Q187" s="10">
        <f t="shared" si="60"/>
        <v>0</v>
      </c>
      <c r="R187" s="8"/>
      <c r="S187" s="8"/>
      <c r="T187" s="8"/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  <c r="AO187" s="8"/>
      <c r="AP187" s="8"/>
      <c r="AQ187" s="8"/>
      <c r="AR187" s="8"/>
      <c r="AS187" s="8"/>
      <c r="AT187" s="8"/>
      <c r="AU187" s="8"/>
      <c r="AV187" s="8"/>
      <c r="AW187" s="8"/>
      <c r="AX187" s="8"/>
      <c r="AY187" s="8"/>
      <c r="AZ187" s="8"/>
      <c r="BA187" s="8"/>
      <c r="BB187" s="8"/>
      <c r="BC187" s="8"/>
      <c r="BD187" s="8"/>
      <c r="BE187" s="8"/>
      <c r="BF187" s="8"/>
      <c r="BG187" s="8"/>
      <c r="BH187" s="8"/>
      <c r="BI187" s="8"/>
      <c r="BJ187" s="8"/>
      <c r="BK187" s="8"/>
      <c r="BL187" s="8"/>
      <c r="BM187" s="8"/>
      <c r="BN187" s="8"/>
      <c r="BO187" s="8"/>
      <c r="BP187" s="8"/>
      <c r="BQ187" s="8"/>
      <c r="BR187" s="8"/>
      <c r="BS187" s="8"/>
      <c r="BT187" s="8"/>
      <c r="BU187" s="8"/>
      <c r="BV187" s="8"/>
      <c r="BW187" s="8"/>
      <c r="BX187" s="8"/>
      <c r="BY187" s="8"/>
      <c r="BZ187" s="8"/>
      <c r="CA187" s="8"/>
      <c r="CB187" s="8"/>
      <c r="CC187" s="8"/>
      <c r="CD187" s="8"/>
      <c r="CE187" s="8"/>
      <c r="CF187" s="8"/>
      <c r="CG187" s="8"/>
      <c r="CH187" s="8"/>
      <c r="CI187" s="8"/>
      <c r="CJ187" s="8"/>
      <c r="CK187" s="8"/>
      <c r="CL187" s="8"/>
      <c r="CM187" s="8"/>
      <c r="CN187" s="8"/>
      <c r="CO187" s="8"/>
      <c r="CP187" s="8"/>
      <c r="CQ187" s="8"/>
      <c r="CR187" s="8"/>
      <c r="CS187" s="8"/>
      <c r="CT187" s="8"/>
      <c r="CU187" s="8"/>
      <c r="CV187" s="8"/>
      <c r="CW187" s="8"/>
      <c r="CX187" s="8"/>
      <c r="CY187" s="8"/>
      <c r="CZ187" s="8"/>
      <c r="DA187" s="8"/>
      <c r="DB187" s="8"/>
      <c r="DC187" s="8"/>
      <c r="DD187" s="8"/>
      <c r="DE187" s="8"/>
      <c r="DF187" s="8"/>
      <c r="DG187" s="8"/>
      <c r="DH187" s="8"/>
      <c r="DI187" s="8"/>
      <c r="DJ187" s="8"/>
      <c r="DK187" s="8"/>
      <c r="DL187" s="8"/>
      <c r="DM187" s="8"/>
      <c r="DN187" s="8"/>
      <c r="DO187" s="8"/>
      <c r="DP187" s="8"/>
      <c r="DQ187" s="8"/>
      <c r="DR187" s="8"/>
      <c r="DS187" s="8"/>
      <c r="DT187" s="8"/>
      <c r="DU187" s="8"/>
      <c r="DV187" s="8"/>
      <c r="DW187" s="8"/>
      <c r="DX187" s="8"/>
      <c r="DY187" s="8"/>
      <c r="DZ187" s="8"/>
      <c r="EA187" s="8"/>
      <c r="EB187" s="8"/>
      <c r="EC187" s="8"/>
      <c r="ED187" s="8"/>
      <c r="EE187" s="8"/>
      <c r="EF187" s="8"/>
      <c r="EG187" s="8"/>
      <c r="EH187" s="8"/>
      <c r="EI187" s="8"/>
      <c r="EJ187" s="8"/>
      <c r="EK187" s="8"/>
      <c r="EL187" s="8"/>
      <c r="EM187" s="8"/>
      <c r="EN187" s="8"/>
      <c r="EO187" s="8"/>
      <c r="EP187" s="8"/>
      <c r="EQ187" s="8"/>
      <c r="ER187" s="8"/>
      <c r="ES187" s="8"/>
      <c r="ET187" s="8"/>
      <c r="EU187" s="8"/>
      <c r="EV187" s="8"/>
      <c r="EW187" s="8"/>
      <c r="EX187" s="8"/>
      <c r="EY187" s="8"/>
      <c r="EZ187" s="8"/>
      <c r="FA187" s="8"/>
      <c r="FB187" s="8"/>
      <c r="FC187" s="8"/>
      <c r="FD187" s="8"/>
      <c r="FE187" s="8"/>
      <c r="FF187" s="8"/>
      <c r="FG187" s="8"/>
      <c r="FH187" s="8"/>
      <c r="FI187" s="8"/>
      <c r="FJ187" s="8"/>
      <c r="FK187" s="8"/>
      <c r="FL187" s="8"/>
      <c r="FM187" s="8"/>
      <c r="FN187" s="8"/>
      <c r="FO187" s="8"/>
      <c r="FP187" s="8"/>
      <c r="FQ187" s="8"/>
      <c r="FR187" s="8"/>
      <c r="FS187" s="8"/>
      <c r="FT187" s="8"/>
      <c r="FU187" s="8"/>
      <c r="FV187" s="8"/>
      <c r="FW187" s="8"/>
      <c r="FX187" s="8"/>
      <c r="FY187" s="8"/>
      <c r="FZ187" s="8"/>
      <c r="GA187" s="8"/>
      <c r="GB187" s="8"/>
      <c r="GC187" s="8"/>
      <c r="GD187" s="8"/>
      <c r="GE187" s="8"/>
      <c r="GF187" s="8"/>
      <c r="GG187" s="8"/>
      <c r="GH187" s="8"/>
      <c r="GI187" s="8"/>
      <c r="GJ187" s="8"/>
      <c r="GK187" s="8"/>
      <c r="GL187" s="8"/>
      <c r="GM187" s="8"/>
      <c r="GN187" s="8"/>
      <c r="GO187" s="8"/>
      <c r="GP187" s="8"/>
      <c r="GQ187" s="8"/>
      <c r="GR187" s="8"/>
      <c r="GS187" s="8"/>
      <c r="GT187" s="8"/>
      <c r="GU187" s="8"/>
      <c r="GV187" s="8"/>
      <c r="GW187" s="8"/>
      <c r="GX187" s="8"/>
      <c r="GY187" s="8"/>
      <c r="GZ187" s="8"/>
      <c r="HA187" s="8"/>
      <c r="HB187" s="8"/>
      <c r="HC187" s="8"/>
      <c r="HD187" s="8"/>
      <c r="HE187" s="8"/>
      <c r="HF187" s="8"/>
      <c r="HG187" s="8"/>
      <c r="HH187" s="8"/>
      <c r="HI187" s="8"/>
      <c r="HJ187" s="8"/>
      <c r="HK187" s="8"/>
      <c r="HL187" s="8"/>
      <c r="HM187" s="8"/>
      <c r="HN187" s="8"/>
      <c r="HO187" s="8"/>
      <c r="HP187" s="8"/>
      <c r="HQ187" s="8"/>
      <c r="HR187" s="8"/>
      <c r="HS187" s="8"/>
      <c r="HT187" s="8"/>
      <c r="HU187" s="8"/>
      <c r="HV187" s="8"/>
      <c r="HW187" s="8"/>
      <c r="HX187" s="8"/>
      <c r="HY187" s="8"/>
      <c r="HZ187" s="8"/>
      <c r="IA187" s="8"/>
      <c r="IB187" s="8"/>
      <c r="IC187" s="8"/>
      <c r="ID187" s="8"/>
      <c r="IE187" s="8"/>
      <c r="IF187" s="8"/>
      <c r="IG187" s="8"/>
      <c r="IH187" s="8"/>
      <c r="II187" s="8"/>
      <c r="IJ187" s="8"/>
      <c r="IK187" s="8"/>
      <c r="IL187" s="8"/>
      <c r="IM187" s="8"/>
      <c r="IN187" s="8"/>
      <c r="IO187" s="8"/>
      <c r="IP187" s="8"/>
      <c r="IQ187" s="8"/>
      <c r="IR187" s="8"/>
      <c r="IS187" s="8"/>
      <c r="IT187" s="8"/>
      <c r="IU187" s="8"/>
      <c r="IV187" s="8"/>
      <c r="IW187" s="8"/>
      <c r="IX187" s="8"/>
      <c r="JA187" s="123"/>
      <c r="JB187" s="123"/>
      <c r="JC187" s="123"/>
      <c r="JD187" s="70">
        <f>SUM((TEXT(JA187,"[M]")/60)*'Income Person-hours'!$D$3,(TEXT(JB187,"[M]")/60)*'Income Person-hours'!$D$4,(TEXT(JC187,"[M]")/60)*'Income Person-hours'!$D$5)</f>
        <v>0</v>
      </c>
    </row>
    <row r="188" spans="1:264" s="12" customFormat="1" ht="15.75" hidden="1" x14ac:dyDescent="0.45">
      <c r="A188" s="32">
        <v>8.14</v>
      </c>
      <c r="B188" s="126"/>
      <c r="C188" s="117"/>
      <c r="D188" s="13" t="str">
        <f>IF(OR(j_WEEKDAY(J_ADDDAY(VLOOKUP(I188,A:F,6,FALSE),H188,1),0)=6,SUMIFS(Holieday[ok],Holieday[date],J_ADDDAY(VLOOKUP(I188,A:F,6,FALSE),H188,1)))=FALSE(),J_ADDDAY(VLOOKUP(I188,A:F,6,FALSE),H188,1),IF(OR(j_WEEKDAY(J_ADDDAY(VLOOKUP(I188,A:F,6,FALSE),H188+1,1),0)=6,SUMIFS(Holieday[ok],Holieday[date],J_ADDDAY(VLOOKUP(I188,A:F,6,FALSE),H188+1,1)))=FALSE(),J_ADDDAY(VLOOKUP(I188,A:F,6,FALSE),H188+1,1),IF(OR(j_WEEKDAY(J_ADDDAY(VLOOKUP(I188,A:F,6,FALSE),H188+2,1),0)=6,SUMIFS(Holieday[ok],Holieday[date],J_ADDDAY(VLOOKUP(I188,A:F,6,FALSE),H188+2,1)))=FALSE(),J_ADDDAY(VLOOKUP(I188,A:F,6,FALSE),H188+2,1),IF(OR(j_WEEKDAY(J_ADDDAY(VLOOKUP(I188,A:F,6,FALSE),H188+3,1),0)=6,SUMIFS(Holieday[ok],Holieday[date],J_ADDDAY(VLOOKUP(I188,A:F,6,FALSE),H188+3,1)))=FALSE(),J_ADDDAY(VLOOKUP(I188,A:F,6,FALSE),H188+3,1),IF(OR(j_WEEKDAY(J_ADDDAY(VLOOKUP(I188,A:F,6,FALSE),H188+4,1),0)=6,SUMIFS(Holieday[ok],Holieday[date],J_ADDDAY(VLOOKUP(I188,A:F,6,FALSE),H188+4,1)))=FALSE(),J_ADDDAY(VLOOKUP(I188,A:F,6,FALSE),H188+4,1),J_ADDDAY(VLOOKUP(I188,A:F,6,FALSE),H188+5,1))))))</f>
        <v>1398/06/31</v>
      </c>
      <c r="E188" s="2">
        <f t="shared" si="63"/>
        <v>13980631</v>
      </c>
      <c r="F188" s="13" t="str">
        <f>IF(N188=0,J_SUBDAY(D188,1,1),IF((N188-NETWORKDAYS.INTL(J_GregorianDate(D188,1),J_GregorianDate(J_SUBDAY(J_ADDDAY(D188,N188,1),1,1),1),16,1)-SUMIFS(Holieday[ok],Holieday[date],CONCATENATE("&gt;","=",D188),Holieday[date],CONCATENATE("&lt;","=",J_SUBDAY(J_ADDDAY(D188,N188,1),1,1)))+SUMIFS(Holieday[Friday],Holieday[date],CONCATENATE("&gt;","=",D188),Holieday[date],CONCATENATE("&lt;","=",J_SUBDAY(J_ADDDAY(D188,N188,1),1,1))))=0,J_SUBDAY(J_ADDDAY(D188,N188,1),1,1),IF((N188-NETWORKDAYS.INTL(J_GregorianDate(D188,1),J_GregorianDate(J_SUBDAY(J_ADDDAY(D188,N188,1),1,1),1),16,1)-SUMIFS(Holieday[ok],Holieday[date],CONCATENATE("&gt;","=",D188),Holieday[date],CONCATENATE("&lt;","=",J_SUBDAY(J_ADDDAY(D188,N188,1),1,1)))+SUMIFS(Holieday[Friday],Holieday[date],CONCATENATE("&gt;","=",D188),Holieday[date],CONCATENATE("&lt;","=",J_SUBDAY(J_ADDDAY(D188,N188,1),1,1))))=1,J_SUBDAY(J_ADDDAY(D188,N188+1,1),1,1),IF((N188-NETWORKDAYS.INTL(J_GregorianDate(D188,1),J_GregorianDate(J_SUBDAY(J_ADDDAY(D188,N188,1),1,1),1),16,1)-SUMIFS(Holieday[ok],Holieday[date],CONCATENATE("&gt;","=",D188),Holieday[date],CONCATENATE("&lt;","=",J_SUBDAY(J_ADDDAY(D188,N188,1),1,1)))+SUMIFS(Holieday[Friday],Holieday[date],CONCATENATE("&gt;","=",D188),Holieday[date],CONCATENATE("&lt;","=",J_SUBDAY(J_ADDDAY(D188,N188,1),1,1))))=2,J_SUBDAY(J_ADDDAY(D188,N188+2,1),1,1),J_SUBDAY(J_ADDDAY(D188,N188+3,1),1,1)))))</f>
        <v>1398/06/30</v>
      </c>
      <c r="G188" s="3">
        <f t="shared" si="64"/>
        <v>13980630</v>
      </c>
      <c r="H188" s="119"/>
      <c r="I188" s="120">
        <v>1.1000000000000001</v>
      </c>
      <c r="J188" s="10">
        <f>j_WEEKDAY(D188,2)</f>
        <v>1</v>
      </c>
      <c r="K188" s="22">
        <f t="shared" si="61"/>
        <v>0</v>
      </c>
      <c r="L188" s="9">
        <f t="shared" si="62"/>
        <v>0</v>
      </c>
      <c r="M188" s="121">
        <v>0</v>
      </c>
      <c r="N188" s="118">
        <v>0</v>
      </c>
      <c r="O188" s="11">
        <f t="shared" si="59"/>
        <v>0</v>
      </c>
      <c r="P188" s="11">
        <f>VALUE(J_normdate(J_ADDDAY($D188,$O188,1)))</f>
        <v>13980631</v>
      </c>
      <c r="Q188" s="10">
        <f t="shared" si="60"/>
        <v>0</v>
      </c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  <c r="AO188" s="8"/>
      <c r="AP188" s="8"/>
      <c r="AQ188" s="8"/>
      <c r="AR188" s="8"/>
      <c r="AS188" s="8"/>
      <c r="AT188" s="8"/>
      <c r="AU188" s="8"/>
      <c r="AV188" s="8"/>
      <c r="AW188" s="8"/>
      <c r="AX188" s="8"/>
      <c r="AY188" s="8"/>
      <c r="AZ188" s="8"/>
      <c r="BA188" s="8"/>
      <c r="BB188" s="8"/>
      <c r="BC188" s="8"/>
      <c r="BD188" s="8"/>
      <c r="BE188" s="8"/>
      <c r="BF188" s="8"/>
      <c r="BG188" s="8"/>
      <c r="BH188" s="8"/>
      <c r="BI188" s="8"/>
      <c r="BJ188" s="8"/>
      <c r="BK188" s="8"/>
      <c r="BL188" s="8"/>
      <c r="BM188" s="8"/>
      <c r="BN188" s="8"/>
      <c r="BO188" s="8"/>
      <c r="BP188" s="8"/>
      <c r="BQ188" s="8"/>
      <c r="BR188" s="8"/>
      <c r="BS188" s="8"/>
      <c r="BT188" s="8"/>
      <c r="BU188" s="8"/>
      <c r="BV188" s="8"/>
      <c r="BW188" s="8"/>
      <c r="BX188" s="8"/>
      <c r="BY188" s="8"/>
      <c r="BZ188" s="8"/>
      <c r="CA188" s="8"/>
      <c r="CB188" s="8"/>
      <c r="CC188" s="8"/>
      <c r="CD188" s="8"/>
      <c r="CE188" s="8"/>
      <c r="CF188" s="8"/>
      <c r="CG188" s="8"/>
      <c r="CH188" s="8"/>
      <c r="CI188" s="8"/>
      <c r="CJ188" s="8"/>
      <c r="CK188" s="8"/>
      <c r="CL188" s="8"/>
      <c r="CM188" s="8"/>
      <c r="CN188" s="8"/>
      <c r="CO188" s="8"/>
      <c r="CP188" s="8"/>
      <c r="CQ188" s="8"/>
      <c r="CR188" s="8"/>
      <c r="CS188" s="8"/>
      <c r="CT188" s="8"/>
      <c r="CU188" s="8"/>
      <c r="CV188" s="8"/>
      <c r="CW188" s="8"/>
      <c r="CX188" s="8"/>
      <c r="CY188" s="8"/>
      <c r="CZ188" s="8"/>
      <c r="DA188" s="8"/>
      <c r="DB188" s="8"/>
      <c r="DC188" s="8"/>
      <c r="DD188" s="8"/>
      <c r="DE188" s="8"/>
      <c r="DF188" s="8"/>
      <c r="DG188" s="8"/>
      <c r="DH188" s="8"/>
      <c r="DI188" s="8"/>
      <c r="DJ188" s="8"/>
      <c r="DK188" s="8"/>
      <c r="DL188" s="8"/>
      <c r="DM188" s="8"/>
      <c r="DN188" s="8"/>
      <c r="DO188" s="8"/>
      <c r="DP188" s="8"/>
      <c r="DQ188" s="8"/>
      <c r="DR188" s="8"/>
      <c r="DS188" s="8"/>
      <c r="DT188" s="8"/>
      <c r="DU188" s="8"/>
      <c r="DV188" s="8"/>
      <c r="DW188" s="8"/>
      <c r="DX188" s="8"/>
      <c r="DY188" s="8"/>
      <c r="DZ188" s="8"/>
      <c r="EA188" s="8"/>
      <c r="EB188" s="8"/>
      <c r="EC188" s="8"/>
      <c r="ED188" s="8"/>
      <c r="EE188" s="8"/>
      <c r="EF188" s="8"/>
      <c r="EG188" s="8"/>
      <c r="EH188" s="8"/>
      <c r="EI188" s="8"/>
      <c r="EJ188" s="8"/>
      <c r="EK188" s="8"/>
      <c r="EL188" s="8"/>
      <c r="EM188" s="8"/>
      <c r="EN188" s="8"/>
      <c r="EO188" s="8"/>
      <c r="EP188" s="8"/>
      <c r="EQ188" s="8"/>
      <c r="ER188" s="8"/>
      <c r="ES188" s="8"/>
      <c r="ET188" s="8"/>
      <c r="EU188" s="8"/>
      <c r="EV188" s="8"/>
      <c r="EW188" s="8"/>
      <c r="EX188" s="8"/>
      <c r="EY188" s="8"/>
      <c r="EZ188" s="8"/>
      <c r="FA188" s="8"/>
      <c r="FB188" s="8"/>
      <c r="FC188" s="8"/>
      <c r="FD188" s="8"/>
      <c r="FE188" s="8"/>
      <c r="FF188" s="8"/>
      <c r="FG188" s="8"/>
      <c r="FH188" s="8"/>
      <c r="FI188" s="8"/>
      <c r="FJ188" s="8"/>
      <c r="FK188" s="8"/>
      <c r="FL188" s="8"/>
      <c r="FM188" s="8"/>
      <c r="FN188" s="8"/>
      <c r="FO188" s="8"/>
      <c r="FP188" s="8"/>
      <c r="FQ188" s="8"/>
      <c r="FR188" s="8"/>
      <c r="FS188" s="8"/>
      <c r="FT188" s="8"/>
      <c r="FU188" s="8"/>
      <c r="FV188" s="8"/>
      <c r="FW188" s="8"/>
      <c r="FX188" s="8"/>
      <c r="FY188" s="8"/>
      <c r="FZ188" s="8"/>
      <c r="GA188" s="8"/>
      <c r="GB188" s="8"/>
      <c r="GC188" s="8"/>
      <c r="GD188" s="8"/>
      <c r="GE188" s="8"/>
      <c r="GF188" s="8"/>
      <c r="GG188" s="8"/>
      <c r="GH188" s="8"/>
      <c r="GI188" s="8"/>
      <c r="GJ188" s="8"/>
      <c r="GK188" s="8"/>
      <c r="GL188" s="8"/>
      <c r="GM188" s="8"/>
      <c r="GN188" s="8"/>
      <c r="GO188" s="8"/>
      <c r="GP188" s="8"/>
      <c r="GQ188" s="8"/>
      <c r="GR188" s="8"/>
      <c r="GS188" s="8"/>
      <c r="GT188" s="8"/>
      <c r="GU188" s="8"/>
      <c r="GV188" s="8"/>
      <c r="GW188" s="8"/>
      <c r="GX188" s="8"/>
      <c r="GY188" s="8"/>
      <c r="GZ188" s="8"/>
      <c r="HA188" s="8"/>
      <c r="HB188" s="8"/>
      <c r="HC188" s="8"/>
      <c r="HD188" s="8"/>
      <c r="HE188" s="8"/>
      <c r="HF188" s="8"/>
      <c r="HG188" s="8"/>
      <c r="HH188" s="8"/>
      <c r="HI188" s="8"/>
      <c r="HJ188" s="8"/>
      <c r="HK188" s="8"/>
      <c r="HL188" s="8"/>
      <c r="HM188" s="8"/>
      <c r="HN188" s="8"/>
      <c r="HO188" s="8"/>
      <c r="HP188" s="8"/>
      <c r="HQ188" s="8"/>
      <c r="HR188" s="8"/>
      <c r="HS188" s="8"/>
      <c r="HT188" s="8"/>
      <c r="HU188" s="8"/>
      <c r="HV188" s="8"/>
      <c r="HW188" s="8"/>
      <c r="HX188" s="8"/>
      <c r="HY188" s="8"/>
      <c r="HZ188" s="8"/>
      <c r="IA188" s="8"/>
      <c r="IB188" s="8"/>
      <c r="IC188" s="8"/>
      <c r="ID188" s="8"/>
      <c r="IE188" s="8"/>
      <c r="IF188" s="8"/>
      <c r="IG188" s="8"/>
      <c r="IH188" s="8"/>
      <c r="II188" s="8"/>
      <c r="IJ188" s="8"/>
      <c r="IK188" s="8"/>
      <c r="IL188" s="8"/>
      <c r="IM188" s="8"/>
      <c r="IN188" s="8"/>
      <c r="IO188" s="8"/>
      <c r="IP188" s="8"/>
      <c r="IQ188" s="8"/>
      <c r="IR188" s="8"/>
      <c r="IS188" s="8"/>
      <c r="IT188" s="8"/>
      <c r="IU188" s="8"/>
      <c r="IV188" s="8"/>
      <c r="IW188" s="8"/>
      <c r="IX188" s="8"/>
      <c r="JA188" s="123"/>
      <c r="JB188" s="123"/>
      <c r="JC188" s="123"/>
      <c r="JD188" s="70">
        <f>SUM((TEXT(JA188,"[M]")/60)*'Income Person-hours'!$D$3,(TEXT(JB188,"[M]")/60)*'Income Person-hours'!$D$4,(TEXT(JC188,"[M]")/60)*'Income Person-hours'!$D$5)</f>
        <v>0</v>
      </c>
    </row>
    <row r="189" spans="1:264" s="12" customFormat="1" ht="15.75" hidden="1" x14ac:dyDescent="0.45">
      <c r="A189" s="32">
        <v>8.15</v>
      </c>
      <c r="B189" s="126"/>
      <c r="C189" s="117"/>
      <c r="D189" s="13" t="str">
        <f>IF(OR(j_WEEKDAY(J_ADDDAY(VLOOKUP(I189,A:F,6,FALSE),H189,1),0)=6,SUMIFS(Holieday[ok],Holieday[date],J_ADDDAY(VLOOKUP(I189,A:F,6,FALSE),H189,1)))=FALSE(),J_ADDDAY(VLOOKUP(I189,A:F,6,FALSE),H189,1),IF(OR(j_WEEKDAY(J_ADDDAY(VLOOKUP(I189,A:F,6,FALSE),H189+1,1),0)=6,SUMIFS(Holieday[ok],Holieday[date],J_ADDDAY(VLOOKUP(I189,A:F,6,FALSE),H189+1,1)))=FALSE(),J_ADDDAY(VLOOKUP(I189,A:F,6,FALSE),H189+1,1),IF(OR(j_WEEKDAY(J_ADDDAY(VLOOKUP(I189,A:F,6,FALSE),H189+2,1),0)=6,SUMIFS(Holieday[ok],Holieday[date],J_ADDDAY(VLOOKUP(I189,A:F,6,FALSE),H189+2,1)))=FALSE(),J_ADDDAY(VLOOKUP(I189,A:F,6,FALSE),H189+2,1),IF(OR(j_WEEKDAY(J_ADDDAY(VLOOKUP(I189,A:F,6,FALSE),H189+3,1),0)=6,SUMIFS(Holieday[ok],Holieday[date],J_ADDDAY(VLOOKUP(I189,A:F,6,FALSE),H189+3,1)))=FALSE(),J_ADDDAY(VLOOKUP(I189,A:F,6,FALSE),H189+3,1),IF(OR(j_WEEKDAY(J_ADDDAY(VLOOKUP(I189,A:F,6,FALSE),H189+4,1),0)=6,SUMIFS(Holieday[ok],Holieday[date],J_ADDDAY(VLOOKUP(I189,A:F,6,FALSE),H189+4,1)))=FALSE(),J_ADDDAY(VLOOKUP(I189,A:F,6,FALSE),H189+4,1),J_ADDDAY(VLOOKUP(I189,A:F,6,FALSE),H189+5,1))))))</f>
        <v>1398/06/31</v>
      </c>
      <c r="E189" s="2">
        <f t="shared" si="63"/>
        <v>13980631</v>
      </c>
      <c r="F189" s="13" t="str">
        <f>IF(N189=0,J_SUBDAY(D189,1,1),IF((N189-NETWORKDAYS.INTL(J_GregorianDate(D189,1),J_GregorianDate(J_SUBDAY(J_ADDDAY(D189,N189,1),1,1),1),16,1)-SUMIFS(Holieday[ok],Holieday[date],CONCATENATE("&gt;","=",D189),Holieday[date],CONCATENATE("&lt;","=",J_SUBDAY(J_ADDDAY(D189,N189,1),1,1)))+SUMIFS(Holieday[Friday],Holieday[date],CONCATENATE("&gt;","=",D189),Holieday[date],CONCATENATE("&lt;","=",J_SUBDAY(J_ADDDAY(D189,N189,1),1,1))))=0,J_SUBDAY(J_ADDDAY(D189,N189,1),1,1),IF((N189-NETWORKDAYS.INTL(J_GregorianDate(D189,1),J_GregorianDate(J_SUBDAY(J_ADDDAY(D189,N189,1),1,1),1),16,1)-SUMIFS(Holieday[ok],Holieday[date],CONCATENATE("&gt;","=",D189),Holieday[date],CONCATENATE("&lt;","=",J_SUBDAY(J_ADDDAY(D189,N189,1),1,1)))+SUMIFS(Holieday[Friday],Holieday[date],CONCATENATE("&gt;","=",D189),Holieday[date],CONCATENATE("&lt;","=",J_SUBDAY(J_ADDDAY(D189,N189,1),1,1))))=1,J_SUBDAY(J_ADDDAY(D189,N189+1,1),1,1),IF((N189-NETWORKDAYS.INTL(J_GregorianDate(D189,1),J_GregorianDate(J_SUBDAY(J_ADDDAY(D189,N189,1),1,1),1),16,1)-SUMIFS(Holieday[ok],Holieday[date],CONCATENATE("&gt;","=",D189),Holieday[date],CONCATENATE("&lt;","=",J_SUBDAY(J_ADDDAY(D189,N189,1),1,1)))+SUMIFS(Holieday[Friday],Holieday[date],CONCATENATE("&gt;","=",D189),Holieday[date],CONCATENATE("&lt;","=",J_SUBDAY(J_ADDDAY(D189,N189,1),1,1))))=2,J_SUBDAY(J_ADDDAY(D189,N189+2,1),1,1),J_SUBDAY(J_ADDDAY(D189,N189+3,1),1,1)))))</f>
        <v>1398/06/30</v>
      </c>
      <c r="G189" s="3">
        <f t="shared" si="64"/>
        <v>13980630</v>
      </c>
      <c r="H189" s="119"/>
      <c r="I189" s="120">
        <v>1.1000000000000001</v>
      </c>
      <c r="J189" s="10">
        <f>j_WEEKDAY(D189,2)</f>
        <v>1</v>
      </c>
      <c r="K189" s="22">
        <f t="shared" si="61"/>
        <v>0</v>
      </c>
      <c r="L189" s="9">
        <f t="shared" si="62"/>
        <v>0</v>
      </c>
      <c r="M189" s="121">
        <v>0</v>
      </c>
      <c r="N189" s="118">
        <v>0</v>
      </c>
      <c r="O189" s="11">
        <f t="shared" si="59"/>
        <v>0</v>
      </c>
      <c r="P189" s="11">
        <f>VALUE(J_normdate(J_ADDDAY($D189,$O189,1)))</f>
        <v>13980631</v>
      </c>
      <c r="Q189" s="10">
        <f t="shared" si="60"/>
        <v>0</v>
      </c>
      <c r="R189" s="8"/>
      <c r="S189" s="8"/>
      <c r="T189" s="8"/>
      <c r="U189" s="8"/>
      <c r="V189" s="8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  <c r="AO189" s="8"/>
      <c r="AP189" s="8"/>
      <c r="AQ189" s="8"/>
      <c r="AR189" s="8"/>
      <c r="AS189" s="8"/>
      <c r="AT189" s="8"/>
      <c r="AU189" s="8"/>
      <c r="AV189" s="8"/>
      <c r="AW189" s="8"/>
      <c r="AX189" s="8"/>
      <c r="AY189" s="8"/>
      <c r="AZ189" s="8"/>
      <c r="BA189" s="8"/>
      <c r="BB189" s="8"/>
      <c r="BC189" s="8"/>
      <c r="BD189" s="8"/>
      <c r="BE189" s="8"/>
      <c r="BF189" s="8"/>
      <c r="BG189" s="8"/>
      <c r="BH189" s="8"/>
      <c r="BI189" s="8"/>
      <c r="BJ189" s="8"/>
      <c r="BK189" s="8"/>
      <c r="BL189" s="8"/>
      <c r="BM189" s="8"/>
      <c r="BN189" s="8"/>
      <c r="BO189" s="8"/>
      <c r="BP189" s="8"/>
      <c r="BQ189" s="8"/>
      <c r="BR189" s="8"/>
      <c r="BS189" s="8"/>
      <c r="BT189" s="8"/>
      <c r="BU189" s="8"/>
      <c r="BV189" s="8"/>
      <c r="BW189" s="8"/>
      <c r="BX189" s="8"/>
      <c r="BY189" s="8"/>
      <c r="BZ189" s="8"/>
      <c r="CA189" s="8"/>
      <c r="CB189" s="8"/>
      <c r="CC189" s="8"/>
      <c r="CD189" s="8"/>
      <c r="CE189" s="8"/>
      <c r="CF189" s="8"/>
      <c r="CG189" s="8"/>
      <c r="CH189" s="8"/>
      <c r="CI189" s="8"/>
      <c r="CJ189" s="8"/>
      <c r="CK189" s="8"/>
      <c r="CL189" s="8"/>
      <c r="CM189" s="8"/>
      <c r="CN189" s="8"/>
      <c r="CO189" s="8"/>
      <c r="CP189" s="8"/>
      <c r="CQ189" s="8"/>
      <c r="CR189" s="8"/>
      <c r="CS189" s="8"/>
      <c r="CT189" s="8"/>
      <c r="CU189" s="8"/>
      <c r="CV189" s="8"/>
      <c r="CW189" s="8"/>
      <c r="CX189" s="8"/>
      <c r="CY189" s="8"/>
      <c r="CZ189" s="8"/>
      <c r="DA189" s="8"/>
      <c r="DB189" s="8"/>
      <c r="DC189" s="8"/>
      <c r="DD189" s="8"/>
      <c r="DE189" s="8"/>
      <c r="DF189" s="8"/>
      <c r="DG189" s="8"/>
      <c r="DH189" s="8"/>
      <c r="DI189" s="8"/>
      <c r="DJ189" s="8"/>
      <c r="DK189" s="8"/>
      <c r="DL189" s="8"/>
      <c r="DM189" s="8"/>
      <c r="DN189" s="8"/>
      <c r="DO189" s="8"/>
      <c r="DP189" s="8"/>
      <c r="DQ189" s="8"/>
      <c r="DR189" s="8"/>
      <c r="DS189" s="8"/>
      <c r="DT189" s="8"/>
      <c r="DU189" s="8"/>
      <c r="DV189" s="8"/>
      <c r="DW189" s="8"/>
      <c r="DX189" s="8"/>
      <c r="DY189" s="8"/>
      <c r="DZ189" s="8"/>
      <c r="EA189" s="8"/>
      <c r="EB189" s="8"/>
      <c r="EC189" s="8"/>
      <c r="ED189" s="8"/>
      <c r="EE189" s="8"/>
      <c r="EF189" s="8"/>
      <c r="EG189" s="8"/>
      <c r="EH189" s="8"/>
      <c r="EI189" s="8"/>
      <c r="EJ189" s="8"/>
      <c r="EK189" s="8"/>
      <c r="EL189" s="8"/>
      <c r="EM189" s="8"/>
      <c r="EN189" s="8"/>
      <c r="EO189" s="8"/>
      <c r="EP189" s="8"/>
      <c r="EQ189" s="8"/>
      <c r="ER189" s="8"/>
      <c r="ES189" s="8"/>
      <c r="ET189" s="8"/>
      <c r="EU189" s="8"/>
      <c r="EV189" s="8"/>
      <c r="EW189" s="8"/>
      <c r="EX189" s="8"/>
      <c r="EY189" s="8"/>
      <c r="EZ189" s="8"/>
      <c r="FA189" s="8"/>
      <c r="FB189" s="8"/>
      <c r="FC189" s="8"/>
      <c r="FD189" s="8"/>
      <c r="FE189" s="8"/>
      <c r="FF189" s="8"/>
      <c r="FG189" s="8"/>
      <c r="FH189" s="8"/>
      <c r="FI189" s="8"/>
      <c r="FJ189" s="8"/>
      <c r="FK189" s="8"/>
      <c r="FL189" s="8"/>
      <c r="FM189" s="8"/>
      <c r="FN189" s="8"/>
      <c r="FO189" s="8"/>
      <c r="FP189" s="8"/>
      <c r="FQ189" s="8"/>
      <c r="FR189" s="8"/>
      <c r="FS189" s="8"/>
      <c r="FT189" s="8"/>
      <c r="FU189" s="8"/>
      <c r="FV189" s="8"/>
      <c r="FW189" s="8"/>
      <c r="FX189" s="8"/>
      <c r="FY189" s="8"/>
      <c r="FZ189" s="8"/>
      <c r="GA189" s="8"/>
      <c r="GB189" s="8"/>
      <c r="GC189" s="8"/>
      <c r="GD189" s="8"/>
      <c r="GE189" s="8"/>
      <c r="GF189" s="8"/>
      <c r="GG189" s="8"/>
      <c r="GH189" s="8"/>
      <c r="GI189" s="8"/>
      <c r="GJ189" s="8"/>
      <c r="GK189" s="8"/>
      <c r="GL189" s="8"/>
      <c r="GM189" s="8"/>
      <c r="GN189" s="8"/>
      <c r="GO189" s="8"/>
      <c r="GP189" s="8"/>
      <c r="GQ189" s="8"/>
      <c r="GR189" s="8"/>
      <c r="GS189" s="8"/>
      <c r="GT189" s="8"/>
      <c r="GU189" s="8"/>
      <c r="GV189" s="8"/>
      <c r="GW189" s="8"/>
      <c r="GX189" s="8"/>
      <c r="GY189" s="8"/>
      <c r="GZ189" s="8"/>
      <c r="HA189" s="8"/>
      <c r="HB189" s="8"/>
      <c r="HC189" s="8"/>
      <c r="HD189" s="8"/>
      <c r="HE189" s="8"/>
      <c r="HF189" s="8"/>
      <c r="HG189" s="8"/>
      <c r="HH189" s="8"/>
      <c r="HI189" s="8"/>
      <c r="HJ189" s="8"/>
      <c r="HK189" s="8"/>
      <c r="HL189" s="8"/>
      <c r="HM189" s="8"/>
      <c r="HN189" s="8"/>
      <c r="HO189" s="8"/>
      <c r="HP189" s="8"/>
      <c r="HQ189" s="8"/>
      <c r="HR189" s="8"/>
      <c r="HS189" s="8"/>
      <c r="HT189" s="8"/>
      <c r="HU189" s="8"/>
      <c r="HV189" s="8"/>
      <c r="HW189" s="8"/>
      <c r="HX189" s="8"/>
      <c r="HY189" s="8"/>
      <c r="HZ189" s="8"/>
      <c r="IA189" s="8"/>
      <c r="IB189" s="8"/>
      <c r="IC189" s="8"/>
      <c r="ID189" s="8"/>
      <c r="IE189" s="8"/>
      <c r="IF189" s="8"/>
      <c r="IG189" s="8"/>
      <c r="IH189" s="8"/>
      <c r="II189" s="8"/>
      <c r="IJ189" s="8"/>
      <c r="IK189" s="8"/>
      <c r="IL189" s="8"/>
      <c r="IM189" s="8"/>
      <c r="IN189" s="8"/>
      <c r="IO189" s="8"/>
      <c r="IP189" s="8"/>
      <c r="IQ189" s="8"/>
      <c r="IR189" s="8"/>
      <c r="IS189" s="8"/>
      <c r="IT189" s="8"/>
      <c r="IU189" s="8"/>
      <c r="IV189" s="8"/>
      <c r="IW189" s="8"/>
      <c r="IX189" s="8"/>
      <c r="JA189" s="123"/>
      <c r="JB189" s="123"/>
      <c r="JC189" s="123"/>
      <c r="JD189" s="70">
        <f>SUM((TEXT(JA189,"[M]")/60)*'Income Person-hours'!$D$3,(TEXT(JB189,"[M]")/60)*'Income Person-hours'!$D$4,(TEXT(JC189,"[M]")/60)*'Income Person-hours'!$D$5)</f>
        <v>0</v>
      </c>
    </row>
    <row r="190" spans="1:264" s="12" customFormat="1" ht="15.75" hidden="1" x14ac:dyDescent="0.45">
      <c r="A190" s="32">
        <v>8.16</v>
      </c>
      <c r="B190" s="126"/>
      <c r="C190" s="117"/>
      <c r="D190" s="13" t="str">
        <f>IF(OR(j_WEEKDAY(J_ADDDAY(VLOOKUP(I190,A:F,6,FALSE),H190,1),0)=6,SUMIFS(Holieday[ok],Holieday[date],J_ADDDAY(VLOOKUP(I190,A:F,6,FALSE),H190,1)))=FALSE(),J_ADDDAY(VLOOKUP(I190,A:F,6,FALSE),H190,1),IF(OR(j_WEEKDAY(J_ADDDAY(VLOOKUP(I190,A:F,6,FALSE),H190+1,1),0)=6,SUMIFS(Holieday[ok],Holieday[date],J_ADDDAY(VLOOKUP(I190,A:F,6,FALSE),H190+1,1)))=FALSE(),J_ADDDAY(VLOOKUP(I190,A:F,6,FALSE),H190+1,1),IF(OR(j_WEEKDAY(J_ADDDAY(VLOOKUP(I190,A:F,6,FALSE),H190+2,1),0)=6,SUMIFS(Holieday[ok],Holieday[date],J_ADDDAY(VLOOKUP(I190,A:F,6,FALSE),H190+2,1)))=FALSE(),J_ADDDAY(VLOOKUP(I190,A:F,6,FALSE),H190+2,1),IF(OR(j_WEEKDAY(J_ADDDAY(VLOOKUP(I190,A:F,6,FALSE),H190+3,1),0)=6,SUMIFS(Holieday[ok],Holieday[date],J_ADDDAY(VLOOKUP(I190,A:F,6,FALSE),H190+3,1)))=FALSE(),J_ADDDAY(VLOOKUP(I190,A:F,6,FALSE),H190+3,1),IF(OR(j_WEEKDAY(J_ADDDAY(VLOOKUP(I190,A:F,6,FALSE),H190+4,1),0)=6,SUMIFS(Holieday[ok],Holieday[date],J_ADDDAY(VLOOKUP(I190,A:F,6,FALSE),H190+4,1)))=FALSE(),J_ADDDAY(VLOOKUP(I190,A:F,6,FALSE),H190+4,1),J_ADDDAY(VLOOKUP(I190,A:F,6,FALSE),H190+5,1))))))</f>
        <v>1398/06/31</v>
      </c>
      <c r="E190" s="2">
        <f t="shared" si="63"/>
        <v>13980631</v>
      </c>
      <c r="F190" s="13" t="str">
        <f>IF(N190=0,J_SUBDAY(D190,1,1),IF((N190-NETWORKDAYS.INTL(J_GregorianDate(D190,1),J_GregorianDate(J_SUBDAY(J_ADDDAY(D190,N190,1),1,1),1),16,1)-SUMIFS(Holieday[ok],Holieday[date],CONCATENATE("&gt;","=",D190),Holieday[date],CONCATENATE("&lt;","=",J_SUBDAY(J_ADDDAY(D190,N190,1),1,1)))+SUMIFS(Holieday[Friday],Holieday[date],CONCATENATE("&gt;","=",D190),Holieday[date],CONCATENATE("&lt;","=",J_SUBDAY(J_ADDDAY(D190,N190,1),1,1))))=0,J_SUBDAY(J_ADDDAY(D190,N190,1),1,1),IF((N190-NETWORKDAYS.INTL(J_GregorianDate(D190,1),J_GregorianDate(J_SUBDAY(J_ADDDAY(D190,N190,1),1,1),1),16,1)-SUMIFS(Holieday[ok],Holieday[date],CONCATENATE("&gt;","=",D190),Holieday[date],CONCATENATE("&lt;","=",J_SUBDAY(J_ADDDAY(D190,N190,1),1,1)))+SUMIFS(Holieday[Friday],Holieday[date],CONCATENATE("&gt;","=",D190),Holieday[date],CONCATENATE("&lt;","=",J_SUBDAY(J_ADDDAY(D190,N190,1),1,1))))=1,J_SUBDAY(J_ADDDAY(D190,N190+1,1),1,1),IF((N190-NETWORKDAYS.INTL(J_GregorianDate(D190,1),J_GregorianDate(J_SUBDAY(J_ADDDAY(D190,N190,1),1,1),1),16,1)-SUMIFS(Holieday[ok],Holieday[date],CONCATENATE("&gt;","=",D190),Holieday[date],CONCATENATE("&lt;","=",J_SUBDAY(J_ADDDAY(D190,N190,1),1,1)))+SUMIFS(Holieday[Friday],Holieday[date],CONCATENATE("&gt;","=",D190),Holieday[date],CONCATENATE("&lt;","=",J_SUBDAY(J_ADDDAY(D190,N190,1),1,1))))=2,J_SUBDAY(J_ADDDAY(D190,N190+2,1),1,1),J_SUBDAY(J_ADDDAY(D190,N190+3,1),1,1)))))</f>
        <v>1398/06/30</v>
      </c>
      <c r="G190" s="3">
        <f t="shared" si="64"/>
        <v>13980630</v>
      </c>
      <c r="H190" s="119"/>
      <c r="I190" s="120">
        <v>1.1000000000000001</v>
      </c>
      <c r="J190" s="10">
        <f>j_WEEKDAY(D190,2)</f>
        <v>1</v>
      </c>
      <c r="K190" s="22">
        <f t="shared" si="61"/>
        <v>0</v>
      </c>
      <c r="L190" s="9">
        <f t="shared" si="62"/>
        <v>0</v>
      </c>
      <c r="M190" s="121">
        <v>0</v>
      </c>
      <c r="N190" s="118">
        <v>0</v>
      </c>
      <c r="O190" s="11">
        <f t="shared" si="59"/>
        <v>0</v>
      </c>
      <c r="P190" s="11">
        <f>VALUE(J_normdate(J_ADDDAY($D190,$O190,1)))</f>
        <v>13980631</v>
      </c>
      <c r="Q190" s="10">
        <f t="shared" si="60"/>
        <v>0</v>
      </c>
      <c r="R190" s="8"/>
      <c r="S190" s="8"/>
      <c r="T190" s="8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  <c r="AO190" s="8"/>
      <c r="AP190" s="8"/>
      <c r="AQ190" s="8"/>
      <c r="AR190" s="8"/>
      <c r="AS190" s="8"/>
      <c r="AT190" s="8"/>
      <c r="AU190" s="8"/>
      <c r="AV190" s="8"/>
      <c r="AW190" s="8"/>
      <c r="AX190" s="8"/>
      <c r="AY190" s="8"/>
      <c r="AZ190" s="8"/>
      <c r="BA190" s="8"/>
      <c r="BB190" s="8"/>
      <c r="BC190" s="8"/>
      <c r="BD190" s="8"/>
      <c r="BE190" s="8"/>
      <c r="BF190" s="8"/>
      <c r="BG190" s="8"/>
      <c r="BH190" s="8"/>
      <c r="BI190" s="8"/>
      <c r="BJ190" s="8"/>
      <c r="BK190" s="8"/>
      <c r="BL190" s="8"/>
      <c r="BM190" s="8"/>
      <c r="BN190" s="8"/>
      <c r="BO190" s="8"/>
      <c r="BP190" s="8"/>
      <c r="BQ190" s="8"/>
      <c r="BR190" s="8"/>
      <c r="BS190" s="8"/>
      <c r="BT190" s="8"/>
      <c r="BU190" s="8"/>
      <c r="BV190" s="8"/>
      <c r="BW190" s="8"/>
      <c r="BX190" s="8"/>
      <c r="BY190" s="8"/>
      <c r="BZ190" s="8"/>
      <c r="CA190" s="8"/>
      <c r="CB190" s="8"/>
      <c r="CC190" s="8"/>
      <c r="CD190" s="8"/>
      <c r="CE190" s="8"/>
      <c r="CF190" s="8"/>
      <c r="CG190" s="8"/>
      <c r="CH190" s="8"/>
      <c r="CI190" s="8"/>
      <c r="CJ190" s="8"/>
      <c r="CK190" s="8"/>
      <c r="CL190" s="8"/>
      <c r="CM190" s="8"/>
      <c r="CN190" s="8"/>
      <c r="CO190" s="8"/>
      <c r="CP190" s="8"/>
      <c r="CQ190" s="8"/>
      <c r="CR190" s="8"/>
      <c r="CS190" s="8"/>
      <c r="CT190" s="8"/>
      <c r="CU190" s="8"/>
      <c r="CV190" s="8"/>
      <c r="CW190" s="8"/>
      <c r="CX190" s="8"/>
      <c r="CY190" s="8"/>
      <c r="CZ190" s="8"/>
      <c r="DA190" s="8"/>
      <c r="DB190" s="8"/>
      <c r="DC190" s="8"/>
      <c r="DD190" s="8"/>
      <c r="DE190" s="8"/>
      <c r="DF190" s="8"/>
      <c r="DG190" s="8"/>
      <c r="DH190" s="8"/>
      <c r="DI190" s="8"/>
      <c r="DJ190" s="8"/>
      <c r="DK190" s="8"/>
      <c r="DL190" s="8"/>
      <c r="DM190" s="8"/>
      <c r="DN190" s="8"/>
      <c r="DO190" s="8"/>
      <c r="DP190" s="8"/>
      <c r="DQ190" s="8"/>
      <c r="DR190" s="8"/>
      <c r="DS190" s="8"/>
      <c r="DT190" s="8"/>
      <c r="DU190" s="8"/>
      <c r="DV190" s="8"/>
      <c r="DW190" s="8"/>
      <c r="DX190" s="8"/>
      <c r="DY190" s="8"/>
      <c r="DZ190" s="8"/>
      <c r="EA190" s="8"/>
      <c r="EB190" s="8"/>
      <c r="EC190" s="8"/>
      <c r="ED190" s="8"/>
      <c r="EE190" s="8"/>
      <c r="EF190" s="8"/>
      <c r="EG190" s="8"/>
      <c r="EH190" s="8"/>
      <c r="EI190" s="8"/>
      <c r="EJ190" s="8"/>
      <c r="EK190" s="8"/>
      <c r="EL190" s="8"/>
      <c r="EM190" s="8"/>
      <c r="EN190" s="8"/>
      <c r="EO190" s="8"/>
      <c r="EP190" s="8"/>
      <c r="EQ190" s="8"/>
      <c r="ER190" s="8"/>
      <c r="ES190" s="8"/>
      <c r="ET190" s="8"/>
      <c r="EU190" s="8"/>
      <c r="EV190" s="8"/>
      <c r="EW190" s="8"/>
      <c r="EX190" s="8"/>
      <c r="EY190" s="8"/>
      <c r="EZ190" s="8"/>
      <c r="FA190" s="8"/>
      <c r="FB190" s="8"/>
      <c r="FC190" s="8"/>
      <c r="FD190" s="8"/>
      <c r="FE190" s="8"/>
      <c r="FF190" s="8"/>
      <c r="FG190" s="8"/>
      <c r="FH190" s="8"/>
      <c r="FI190" s="8"/>
      <c r="FJ190" s="8"/>
      <c r="FK190" s="8"/>
      <c r="FL190" s="8"/>
      <c r="FM190" s="8"/>
      <c r="FN190" s="8"/>
      <c r="FO190" s="8"/>
      <c r="FP190" s="8"/>
      <c r="FQ190" s="8"/>
      <c r="FR190" s="8"/>
      <c r="FS190" s="8"/>
      <c r="FT190" s="8"/>
      <c r="FU190" s="8"/>
      <c r="FV190" s="8"/>
      <c r="FW190" s="8"/>
      <c r="FX190" s="8"/>
      <c r="FY190" s="8"/>
      <c r="FZ190" s="8"/>
      <c r="GA190" s="8"/>
      <c r="GB190" s="8"/>
      <c r="GC190" s="8"/>
      <c r="GD190" s="8"/>
      <c r="GE190" s="8"/>
      <c r="GF190" s="8"/>
      <c r="GG190" s="8"/>
      <c r="GH190" s="8"/>
      <c r="GI190" s="8"/>
      <c r="GJ190" s="8"/>
      <c r="GK190" s="8"/>
      <c r="GL190" s="8"/>
      <c r="GM190" s="8"/>
      <c r="GN190" s="8"/>
      <c r="GO190" s="8"/>
      <c r="GP190" s="8"/>
      <c r="GQ190" s="8"/>
      <c r="GR190" s="8"/>
      <c r="GS190" s="8"/>
      <c r="GT190" s="8"/>
      <c r="GU190" s="8"/>
      <c r="GV190" s="8"/>
      <c r="GW190" s="8"/>
      <c r="GX190" s="8"/>
      <c r="GY190" s="8"/>
      <c r="GZ190" s="8"/>
      <c r="HA190" s="8"/>
      <c r="HB190" s="8"/>
      <c r="HC190" s="8"/>
      <c r="HD190" s="8"/>
      <c r="HE190" s="8"/>
      <c r="HF190" s="8"/>
      <c r="HG190" s="8"/>
      <c r="HH190" s="8"/>
      <c r="HI190" s="8"/>
      <c r="HJ190" s="8"/>
      <c r="HK190" s="8"/>
      <c r="HL190" s="8"/>
      <c r="HM190" s="8"/>
      <c r="HN190" s="8"/>
      <c r="HO190" s="8"/>
      <c r="HP190" s="8"/>
      <c r="HQ190" s="8"/>
      <c r="HR190" s="8"/>
      <c r="HS190" s="8"/>
      <c r="HT190" s="8"/>
      <c r="HU190" s="8"/>
      <c r="HV190" s="8"/>
      <c r="HW190" s="8"/>
      <c r="HX190" s="8"/>
      <c r="HY190" s="8"/>
      <c r="HZ190" s="8"/>
      <c r="IA190" s="8"/>
      <c r="IB190" s="8"/>
      <c r="IC190" s="8"/>
      <c r="ID190" s="8"/>
      <c r="IE190" s="8"/>
      <c r="IF190" s="8"/>
      <c r="IG190" s="8"/>
      <c r="IH190" s="8"/>
      <c r="II190" s="8"/>
      <c r="IJ190" s="8"/>
      <c r="IK190" s="8"/>
      <c r="IL190" s="8"/>
      <c r="IM190" s="8"/>
      <c r="IN190" s="8"/>
      <c r="IO190" s="8"/>
      <c r="IP190" s="8"/>
      <c r="IQ190" s="8"/>
      <c r="IR190" s="8"/>
      <c r="IS190" s="8"/>
      <c r="IT190" s="8"/>
      <c r="IU190" s="8"/>
      <c r="IV190" s="8"/>
      <c r="IW190" s="8"/>
      <c r="IX190" s="8"/>
      <c r="JA190" s="123"/>
      <c r="JB190" s="123"/>
      <c r="JC190" s="123"/>
      <c r="JD190" s="70">
        <f>SUM((TEXT(JA190,"[M]")/60)*'Income Person-hours'!$D$3,(TEXT(JB190,"[M]")/60)*'Income Person-hours'!$D$4,(TEXT(JC190,"[M]")/60)*'Income Person-hours'!$D$5)</f>
        <v>0</v>
      </c>
    </row>
    <row r="191" spans="1:264" s="12" customFormat="1" ht="15.75" hidden="1" x14ac:dyDescent="0.45">
      <c r="A191" s="32">
        <v>8.17</v>
      </c>
      <c r="B191" s="126"/>
      <c r="C191" s="117"/>
      <c r="D191" s="13" t="str">
        <f>IF(OR(j_WEEKDAY(J_ADDDAY(VLOOKUP(I191,A:F,6,FALSE),H191,1),0)=6,SUMIFS(Holieday[ok],Holieday[date],J_ADDDAY(VLOOKUP(I191,A:F,6,FALSE),H191,1)))=FALSE(),J_ADDDAY(VLOOKUP(I191,A:F,6,FALSE),H191,1),IF(OR(j_WEEKDAY(J_ADDDAY(VLOOKUP(I191,A:F,6,FALSE),H191+1,1),0)=6,SUMIFS(Holieday[ok],Holieday[date],J_ADDDAY(VLOOKUP(I191,A:F,6,FALSE),H191+1,1)))=FALSE(),J_ADDDAY(VLOOKUP(I191,A:F,6,FALSE),H191+1,1),IF(OR(j_WEEKDAY(J_ADDDAY(VLOOKUP(I191,A:F,6,FALSE),H191+2,1),0)=6,SUMIFS(Holieday[ok],Holieday[date],J_ADDDAY(VLOOKUP(I191,A:F,6,FALSE),H191+2,1)))=FALSE(),J_ADDDAY(VLOOKUP(I191,A:F,6,FALSE),H191+2,1),IF(OR(j_WEEKDAY(J_ADDDAY(VLOOKUP(I191,A:F,6,FALSE),H191+3,1),0)=6,SUMIFS(Holieday[ok],Holieday[date],J_ADDDAY(VLOOKUP(I191,A:F,6,FALSE),H191+3,1)))=FALSE(),J_ADDDAY(VLOOKUP(I191,A:F,6,FALSE),H191+3,1),IF(OR(j_WEEKDAY(J_ADDDAY(VLOOKUP(I191,A:F,6,FALSE),H191+4,1),0)=6,SUMIFS(Holieday[ok],Holieday[date],J_ADDDAY(VLOOKUP(I191,A:F,6,FALSE),H191+4,1)))=FALSE(),J_ADDDAY(VLOOKUP(I191,A:F,6,FALSE),H191+4,1),J_ADDDAY(VLOOKUP(I191,A:F,6,FALSE),H191+5,1))))))</f>
        <v>1398/06/31</v>
      </c>
      <c r="E191" s="2">
        <f t="shared" si="63"/>
        <v>13980631</v>
      </c>
      <c r="F191" s="13" t="str">
        <f>IF(N191=0,J_SUBDAY(D191,1,1),IF((N191-NETWORKDAYS.INTL(J_GregorianDate(D191,1),J_GregorianDate(J_SUBDAY(J_ADDDAY(D191,N191,1),1,1),1),16,1)-SUMIFS(Holieday[ok],Holieday[date],CONCATENATE("&gt;","=",D191),Holieday[date],CONCATENATE("&lt;","=",J_SUBDAY(J_ADDDAY(D191,N191,1),1,1)))+SUMIFS(Holieday[Friday],Holieday[date],CONCATENATE("&gt;","=",D191),Holieday[date],CONCATENATE("&lt;","=",J_SUBDAY(J_ADDDAY(D191,N191,1),1,1))))=0,J_SUBDAY(J_ADDDAY(D191,N191,1),1,1),IF((N191-NETWORKDAYS.INTL(J_GregorianDate(D191,1),J_GregorianDate(J_SUBDAY(J_ADDDAY(D191,N191,1),1,1),1),16,1)-SUMIFS(Holieday[ok],Holieday[date],CONCATENATE("&gt;","=",D191),Holieday[date],CONCATENATE("&lt;","=",J_SUBDAY(J_ADDDAY(D191,N191,1),1,1)))+SUMIFS(Holieday[Friday],Holieday[date],CONCATENATE("&gt;","=",D191),Holieday[date],CONCATENATE("&lt;","=",J_SUBDAY(J_ADDDAY(D191,N191,1),1,1))))=1,J_SUBDAY(J_ADDDAY(D191,N191+1,1),1,1),IF((N191-NETWORKDAYS.INTL(J_GregorianDate(D191,1),J_GregorianDate(J_SUBDAY(J_ADDDAY(D191,N191,1),1,1),1),16,1)-SUMIFS(Holieday[ok],Holieday[date],CONCATENATE("&gt;","=",D191),Holieday[date],CONCATENATE("&lt;","=",J_SUBDAY(J_ADDDAY(D191,N191,1),1,1)))+SUMIFS(Holieday[Friday],Holieday[date],CONCATENATE("&gt;","=",D191),Holieday[date],CONCATENATE("&lt;","=",J_SUBDAY(J_ADDDAY(D191,N191,1),1,1))))=2,J_SUBDAY(J_ADDDAY(D191,N191+2,1),1,1),J_SUBDAY(J_ADDDAY(D191,N191+3,1),1,1)))))</f>
        <v>1398/06/30</v>
      </c>
      <c r="G191" s="3">
        <f t="shared" si="64"/>
        <v>13980630</v>
      </c>
      <c r="H191" s="119"/>
      <c r="I191" s="120">
        <v>1.1000000000000001</v>
      </c>
      <c r="J191" s="10">
        <f>j_WEEKDAY(D191,2)</f>
        <v>1</v>
      </c>
      <c r="K191" s="22">
        <f t="shared" si="61"/>
        <v>0</v>
      </c>
      <c r="L191" s="9">
        <f t="shared" si="62"/>
        <v>0</v>
      </c>
      <c r="M191" s="121">
        <v>0</v>
      </c>
      <c r="N191" s="118">
        <v>0</v>
      </c>
      <c r="O191" s="11">
        <f t="shared" si="59"/>
        <v>0</v>
      </c>
      <c r="P191" s="11">
        <f>VALUE(J_normdate(J_ADDDAY($D191,$O191,1)))</f>
        <v>13980631</v>
      </c>
      <c r="Q191" s="10">
        <f t="shared" si="60"/>
        <v>0</v>
      </c>
      <c r="R191" s="8"/>
      <c r="S191" s="8"/>
      <c r="T191" s="8"/>
      <c r="U191" s="8"/>
      <c r="V191" s="8"/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AH191" s="8"/>
      <c r="AI191" s="8"/>
      <c r="AJ191" s="8"/>
      <c r="AK191" s="8"/>
      <c r="AL191" s="8"/>
      <c r="AM191" s="8"/>
      <c r="AN191" s="8"/>
      <c r="AO191" s="8"/>
      <c r="AP191" s="8"/>
      <c r="AQ191" s="8"/>
      <c r="AR191" s="8"/>
      <c r="AS191" s="8"/>
      <c r="AT191" s="8"/>
      <c r="AU191" s="8"/>
      <c r="AV191" s="8"/>
      <c r="AW191" s="8"/>
      <c r="AX191" s="8"/>
      <c r="AY191" s="8"/>
      <c r="AZ191" s="8"/>
      <c r="BA191" s="8"/>
      <c r="BB191" s="8"/>
      <c r="BC191" s="8"/>
      <c r="BD191" s="8"/>
      <c r="BE191" s="8"/>
      <c r="BF191" s="8"/>
      <c r="BG191" s="8"/>
      <c r="BH191" s="8"/>
      <c r="BI191" s="8"/>
      <c r="BJ191" s="8"/>
      <c r="BK191" s="8"/>
      <c r="BL191" s="8"/>
      <c r="BM191" s="8"/>
      <c r="BN191" s="8"/>
      <c r="BO191" s="8"/>
      <c r="BP191" s="8"/>
      <c r="BQ191" s="8"/>
      <c r="BR191" s="8"/>
      <c r="BS191" s="8"/>
      <c r="BT191" s="8"/>
      <c r="BU191" s="8"/>
      <c r="BV191" s="8"/>
      <c r="BW191" s="8"/>
      <c r="BX191" s="8"/>
      <c r="BY191" s="8"/>
      <c r="BZ191" s="8"/>
      <c r="CA191" s="8"/>
      <c r="CB191" s="8"/>
      <c r="CC191" s="8"/>
      <c r="CD191" s="8"/>
      <c r="CE191" s="8"/>
      <c r="CF191" s="8"/>
      <c r="CG191" s="8"/>
      <c r="CH191" s="8"/>
      <c r="CI191" s="8"/>
      <c r="CJ191" s="8"/>
      <c r="CK191" s="8"/>
      <c r="CL191" s="8"/>
      <c r="CM191" s="8"/>
      <c r="CN191" s="8"/>
      <c r="CO191" s="8"/>
      <c r="CP191" s="8"/>
      <c r="CQ191" s="8"/>
      <c r="CR191" s="8"/>
      <c r="CS191" s="8"/>
      <c r="CT191" s="8"/>
      <c r="CU191" s="8"/>
      <c r="CV191" s="8"/>
      <c r="CW191" s="8"/>
      <c r="CX191" s="8"/>
      <c r="CY191" s="8"/>
      <c r="CZ191" s="8"/>
      <c r="DA191" s="8"/>
      <c r="DB191" s="8"/>
      <c r="DC191" s="8"/>
      <c r="DD191" s="8"/>
      <c r="DE191" s="8"/>
      <c r="DF191" s="8"/>
      <c r="DG191" s="8"/>
      <c r="DH191" s="8"/>
      <c r="DI191" s="8"/>
      <c r="DJ191" s="8"/>
      <c r="DK191" s="8"/>
      <c r="DL191" s="8"/>
      <c r="DM191" s="8"/>
      <c r="DN191" s="8"/>
      <c r="DO191" s="8"/>
      <c r="DP191" s="8"/>
      <c r="DQ191" s="8"/>
      <c r="DR191" s="8"/>
      <c r="DS191" s="8"/>
      <c r="DT191" s="8"/>
      <c r="DU191" s="8"/>
      <c r="DV191" s="8"/>
      <c r="DW191" s="8"/>
      <c r="DX191" s="8"/>
      <c r="DY191" s="8"/>
      <c r="DZ191" s="8"/>
      <c r="EA191" s="8"/>
      <c r="EB191" s="8"/>
      <c r="EC191" s="8"/>
      <c r="ED191" s="8"/>
      <c r="EE191" s="8"/>
      <c r="EF191" s="8"/>
      <c r="EG191" s="8"/>
      <c r="EH191" s="8"/>
      <c r="EI191" s="8"/>
      <c r="EJ191" s="8"/>
      <c r="EK191" s="8"/>
      <c r="EL191" s="8"/>
      <c r="EM191" s="8"/>
      <c r="EN191" s="8"/>
      <c r="EO191" s="8"/>
      <c r="EP191" s="8"/>
      <c r="EQ191" s="8"/>
      <c r="ER191" s="8"/>
      <c r="ES191" s="8"/>
      <c r="ET191" s="8"/>
      <c r="EU191" s="8"/>
      <c r="EV191" s="8"/>
      <c r="EW191" s="8"/>
      <c r="EX191" s="8"/>
      <c r="EY191" s="8"/>
      <c r="EZ191" s="8"/>
      <c r="FA191" s="8"/>
      <c r="FB191" s="8"/>
      <c r="FC191" s="8"/>
      <c r="FD191" s="8"/>
      <c r="FE191" s="8"/>
      <c r="FF191" s="8"/>
      <c r="FG191" s="8"/>
      <c r="FH191" s="8"/>
      <c r="FI191" s="8"/>
      <c r="FJ191" s="8"/>
      <c r="FK191" s="8"/>
      <c r="FL191" s="8"/>
      <c r="FM191" s="8"/>
      <c r="FN191" s="8"/>
      <c r="FO191" s="8"/>
      <c r="FP191" s="8"/>
      <c r="FQ191" s="8"/>
      <c r="FR191" s="8"/>
      <c r="FS191" s="8"/>
      <c r="FT191" s="8"/>
      <c r="FU191" s="8"/>
      <c r="FV191" s="8"/>
      <c r="FW191" s="8"/>
      <c r="FX191" s="8"/>
      <c r="FY191" s="8"/>
      <c r="FZ191" s="8"/>
      <c r="GA191" s="8"/>
      <c r="GB191" s="8"/>
      <c r="GC191" s="8"/>
      <c r="GD191" s="8"/>
      <c r="GE191" s="8"/>
      <c r="GF191" s="8"/>
      <c r="GG191" s="8"/>
      <c r="GH191" s="8"/>
      <c r="GI191" s="8"/>
      <c r="GJ191" s="8"/>
      <c r="GK191" s="8"/>
      <c r="GL191" s="8"/>
      <c r="GM191" s="8"/>
      <c r="GN191" s="8"/>
      <c r="GO191" s="8"/>
      <c r="GP191" s="8"/>
      <c r="GQ191" s="8"/>
      <c r="GR191" s="8"/>
      <c r="GS191" s="8"/>
      <c r="GT191" s="8"/>
      <c r="GU191" s="8"/>
      <c r="GV191" s="8"/>
      <c r="GW191" s="8"/>
      <c r="GX191" s="8"/>
      <c r="GY191" s="8"/>
      <c r="GZ191" s="8"/>
      <c r="HA191" s="8"/>
      <c r="HB191" s="8"/>
      <c r="HC191" s="8"/>
      <c r="HD191" s="8"/>
      <c r="HE191" s="8"/>
      <c r="HF191" s="8"/>
      <c r="HG191" s="8"/>
      <c r="HH191" s="8"/>
      <c r="HI191" s="8"/>
      <c r="HJ191" s="8"/>
      <c r="HK191" s="8"/>
      <c r="HL191" s="8"/>
      <c r="HM191" s="8"/>
      <c r="HN191" s="8"/>
      <c r="HO191" s="8"/>
      <c r="HP191" s="8"/>
      <c r="HQ191" s="8"/>
      <c r="HR191" s="8"/>
      <c r="HS191" s="8"/>
      <c r="HT191" s="8"/>
      <c r="HU191" s="8"/>
      <c r="HV191" s="8"/>
      <c r="HW191" s="8"/>
      <c r="HX191" s="8"/>
      <c r="HY191" s="8"/>
      <c r="HZ191" s="8"/>
      <c r="IA191" s="8"/>
      <c r="IB191" s="8"/>
      <c r="IC191" s="8"/>
      <c r="ID191" s="8"/>
      <c r="IE191" s="8"/>
      <c r="IF191" s="8"/>
      <c r="IG191" s="8"/>
      <c r="IH191" s="8"/>
      <c r="II191" s="8"/>
      <c r="IJ191" s="8"/>
      <c r="IK191" s="8"/>
      <c r="IL191" s="8"/>
      <c r="IM191" s="8"/>
      <c r="IN191" s="8"/>
      <c r="IO191" s="8"/>
      <c r="IP191" s="8"/>
      <c r="IQ191" s="8"/>
      <c r="IR191" s="8"/>
      <c r="IS191" s="8"/>
      <c r="IT191" s="8"/>
      <c r="IU191" s="8"/>
      <c r="IV191" s="8"/>
      <c r="IW191" s="8"/>
      <c r="IX191" s="8"/>
      <c r="JA191" s="123"/>
      <c r="JB191" s="123"/>
      <c r="JC191" s="123"/>
      <c r="JD191" s="70">
        <f>SUM((TEXT(JA191,"[M]")/60)*'Income Person-hours'!$D$3,(TEXT(JB191,"[M]")/60)*'Income Person-hours'!$D$4,(TEXT(JC191,"[M]")/60)*'Income Person-hours'!$D$5)</f>
        <v>0</v>
      </c>
    </row>
    <row r="192" spans="1:264" s="12" customFormat="1" ht="15.75" hidden="1" x14ac:dyDescent="0.45">
      <c r="A192" s="32">
        <v>8.18</v>
      </c>
      <c r="B192" s="126"/>
      <c r="C192" s="117"/>
      <c r="D192" s="13" t="str">
        <f>IF(OR(j_WEEKDAY(J_ADDDAY(VLOOKUP(I192,A:F,6,FALSE),H192,1),0)=6,SUMIFS(Holieday[ok],Holieday[date],J_ADDDAY(VLOOKUP(I192,A:F,6,FALSE),H192,1)))=FALSE(),J_ADDDAY(VLOOKUP(I192,A:F,6,FALSE),H192,1),IF(OR(j_WEEKDAY(J_ADDDAY(VLOOKUP(I192,A:F,6,FALSE),H192+1,1),0)=6,SUMIFS(Holieday[ok],Holieday[date],J_ADDDAY(VLOOKUP(I192,A:F,6,FALSE),H192+1,1)))=FALSE(),J_ADDDAY(VLOOKUP(I192,A:F,6,FALSE),H192+1,1),IF(OR(j_WEEKDAY(J_ADDDAY(VLOOKUP(I192,A:F,6,FALSE),H192+2,1),0)=6,SUMIFS(Holieday[ok],Holieday[date],J_ADDDAY(VLOOKUP(I192,A:F,6,FALSE),H192+2,1)))=FALSE(),J_ADDDAY(VLOOKUP(I192,A:F,6,FALSE),H192+2,1),IF(OR(j_WEEKDAY(J_ADDDAY(VLOOKUP(I192,A:F,6,FALSE),H192+3,1),0)=6,SUMIFS(Holieday[ok],Holieday[date],J_ADDDAY(VLOOKUP(I192,A:F,6,FALSE),H192+3,1)))=FALSE(),J_ADDDAY(VLOOKUP(I192,A:F,6,FALSE),H192+3,1),IF(OR(j_WEEKDAY(J_ADDDAY(VLOOKUP(I192,A:F,6,FALSE),H192+4,1),0)=6,SUMIFS(Holieday[ok],Holieday[date],J_ADDDAY(VLOOKUP(I192,A:F,6,FALSE),H192+4,1)))=FALSE(),J_ADDDAY(VLOOKUP(I192,A:F,6,FALSE),H192+4,1),J_ADDDAY(VLOOKUP(I192,A:F,6,FALSE),H192+5,1))))))</f>
        <v>1398/06/31</v>
      </c>
      <c r="E192" s="2">
        <f t="shared" si="63"/>
        <v>13980631</v>
      </c>
      <c r="F192" s="13" t="str">
        <f>IF(N192=0,J_SUBDAY(D192,1,1),IF((N192-NETWORKDAYS.INTL(J_GregorianDate(D192,1),J_GregorianDate(J_SUBDAY(J_ADDDAY(D192,N192,1),1,1),1),16,1)-SUMIFS(Holieday[ok],Holieday[date],CONCATENATE("&gt;","=",D192),Holieday[date],CONCATENATE("&lt;","=",J_SUBDAY(J_ADDDAY(D192,N192,1),1,1)))+SUMIFS(Holieday[Friday],Holieday[date],CONCATENATE("&gt;","=",D192),Holieday[date],CONCATENATE("&lt;","=",J_SUBDAY(J_ADDDAY(D192,N192,1),1,1))))=0,J_SUBDAY(J_ADDDAY(D192,N192,1),1,1),IF((N192-NETWORKDAYS.INTL(J_GregorianDate(D192,1),J_GregorianDate(J_SUBDAY(J_ADDDAY(D192,N192,1),1,1),1),16,1)-SUMIFS(Holieday[ok],Holieday[date],CONCATENATE("&gt;","=",D192),Holieday[date],CONCATENATE("&lt;","=",J_SUBDAY(J_ADDDAY(D192,N192,1),1,1)))+SUMIFS(Holieday[Friday],Holieday[date],CONCATENATE("&gt;","=",D192),Holieday[date],CONCATENATE("&lt;","=",J_SUBDAY(J_ADDDAY(D192,N192,1),1,1))))=1,J_SUBDAY(J_ADDDAY(D192,N192+1,1),1,1),IF((N192-NETWORKDAYS.INTL(J_GregorianDate(D192,1),J_GregorianDate(J_SUBDAY(J_ADDDAY(D192,N192,1),1,1),1),16,1)-SUMIFS(Holieday[ok],Holieday[date],CONCATENATE("&gt;","=",D192),Holieday[date],CONCATENATE("&lt;","=",J_SUBDAY(J_ADDDAY(D192,N192,1),1,1)))+SUMIFS(Holieday[Friday],Holieday[date],CONCATENATE("&gt;","=",D192),Holieday[date],CONCATENATE("&lt;","=",J_SUBDAY(J_ADDDAY(D192,N192,1),1,1))))=2,J_SUBDAY(J_ADDDAY(D192,N192+2,1),1,1),J_SUBDAY(J_ADDDAY(D192,N192+3,1),1,1)))))</f>
        <v>1398/06/30</v>
      </c>
      <c r="G192" s="3">
        <f t="shared" si="64"/>
        <v>13980630</v>
      </c>
      <c r="H192" s="119"/>
      <c r="I192" s="120">
        <v>1.1000000000000001</v>
      </c>
      <c r="J192" s="10">
        <f>j_WEEKDAY(D192,2)</f>
        <v>1</v>
      </c>
      <c r="K192" s="22">
        <f t="shared" si="61"/>
        <v>0</v>
      </c>
      <c r="L192" s="9">
        <f t="shared" si="62"/>
        <v>0</v>
      </c>
      <c r="M192" s="121">
        <v>0</v>
      </c>
      <c r="N192" s="118">
        <v>0</v>
      </c>
      <c r="O192" s="11">
        <f t="shared" si="59"/>
        <v>0</v>
      </c>
      <c r="P192" s="11">
        <f>VALUE(J_normdate(J_ADDDAY($D192,$O192,1)))</f>
        <v>13980631</v>
      </c>
      <c r="Q192" s="10">
        <f t="shared" si="60"/>
        <v>0</v>
      </c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F192" s="8"/>
      <c r="AG192" s="8"/>
      <c r="AH192" s="8"/>
      <c r="AI192" s="8"/>
      <c r="AJ192" s="8"/>
      <c r="AK192" s="8"/>
      <c r="AL192" s="8"/>
      <c r="AM192" s="8"/>
      <c r="AN192" s="8"/>
      <c r="AO192" s="8"/>
      <c r="AP192" s="8"/>
      <c r="AQ192" s="8"/>
      <c r="AR192" s="8"/>
      <c r="AS192" s="8"/>
      <c r="AT192" s="8"/>
      <c r="AU192" s="8"/>
      <c r="AV192" s="8"/>
      <c r="AW192" s="8"/>
      <c r="AX192" s="8"/>
      <c r="AY192" s="8"/>
      <c r="AZ192" s="8"/>
      <c r="BA192" s="8"/>
      <c r="BB192" s="8"/>
      <c r="BC192" s="8"/>
      <c r="BD192" s="8"/>
      <c r="BE192" s="8"/>
      <c r="BF192" s="8"/>
      <c r="BG192" s="8"/>
      <c r="BH192" s="8"/>
      <c r="BI192" s="8"/>
      <c r="BJ192" s="8"/>
      <c r="BK192" s="8"/>
      <c r="BL192" s="8"/>
      <c r="BM192" s="8"/>
      <c r="BN192" s="8"/>
      <c r="BO192" s="8"/>
      <c r="BP192" s="8"/>
      <c r="BQ192" s="8"/>
      <c r="BR192" s="8"/>
      <c r="BS192" s="8"/>
      <c r="BT192" s="8"/>
      <c r="BU192" s="8"/>
      <c r="BV192" s="8"/>
      <c r="BW192" s="8"/>
      <c r="BX192" s="8"/>
      <c r="BY192" s="8"/>
      <c r="BZ192" s="8"/>
      <c r="CA192" s="8"/>
      <c r="CB192" s="8"/>
      <c r="CC192" s="8"/>
      <c r="CD192" s="8"/>
      <c r="CE192" s="8"/>
      <c r="CF192" s="8"/>
      <c r="CG192" s="8"/>
      <c r="CH192" s="8"/>
      <c r="CI192" s="8"/>
      <c r="CJ192" s="8"/>
      <c r="CK192" s="8"/>
      <c r="CL192" s="8"/>
      <c r="CM192" s="8"/>
      <c r="CN192" s="8"/>
      <c r="CO192" s="8"/>
      <c r="CP192" s="8"/>
      <c r="CQ192" s="8"/>
      <c r="CR192" s="8"/>
      <c r="CS192" s="8"/>
      <c r="CT192" s="8"/>
      <c r="CU192" s="8"/>
      <c r="CV192" s="8"/>
      <c r="CW192" s="8"/>
      <c r="CX192" s="8"/>
      <c r="CY192" s="8"/>
      <c r="CZ192" s="8"/>
      <c r="DA192" s="8"/>
      <c r="DB192" s="8"/>
      <c r="DC192" s="8"/>
      <c r="DD192" s="8"/>
      <c r="DE192" s="8"/>
      <c r="DF192" s="8"/>
      <c r="DG192" s="8"/>
      <c r="DH192" s="8"/>
      <c r="DI192" s="8"/>
      <c r="DJ192" s="8"/>
      <c r="DK192" s="8"/>
      <c r="DL192" s="8"/>
      <c r="DM192" s="8"/>
      <c r="DN192" s="8"/>
      <c r="DO192" s="8"/>
      <c r="DP192" s="8"/>
      <c r="DQ192" s="8"/>
      <c r="DR192" s="8"/>
      <c r="DS192" s="8"/>
      <c r="DT192" s="8"/>
      <c r="DU192" s="8"/>
      <c r="DV192" s="8"/>
      <c r="DW192" s="8"/>
      <c r="DX192" s="8"/>
      <c r="DY192" s="8"/>
      <c r="DZ192" s="8"/>
      <c r="EA192" s="8"/>
      <c r="EB192" s="8"/>
      <c r="EC192" s="8"/>
      <c r="ED192" s="8"/>
      <c r="EE192" s="8"/>
      <c r="EF192" s="8"/>
      <c r="EG192" s="8"/>
      <c r="EH192" s="8"/>
      <c r="EI192" s="8"/>
      <c r="EJ192" s="8"/>
      <c r="EK192" s="8"/>
      <c r="EL192" s="8"/>
      <c r="EM192" s="8"/>
      <c r="EN192" s="8"/>
      <c r="EO192" s="8"/>
      <c r="EP192" s="8"/>
      <c r="EQ192" s="8"/>
      <c r="ER192" s="8"/>
      <c r="ES192" s="8"/>
      <c r="ET192" s="8"/>
      <c r="EU192" s="8"/>
      <c r="EV192" s="8"/>
      <c r="EW192" s="8"/>
      <c r="EX192" s="8"/>
      <c r="EY192" s="8"/>
      <c r="EZ192" s="8"/>
      <c r="FA192" s="8"/>
      <c r="FB192" s="8"/>
      <c r="FC192" s="8"/>
      <c r="FD192" s="8"/>
      <c r="FE192" s="8"/>
      <c r="FF192" s="8"/>
      <c r="FG192" s="8"/>
      <c r="FH192" s="8"/>
      <c r="FI192" s="8"/>
      <c r="FJ192" s="8"/>
      <c r="FK192" s="8"/>
      <c r="FL192" s="8"/>
      <c r="FM192" s="8"/>
      <c r="FN192" s="8"/>
      <c r="FO192" s="8"/>
      <c r="FP192" s="8"/>
      <c r="FQ192" s="8"/>
      <c r="FR192" s="8"/>
      <c r="FS192" s="8"/>
      <c r="FT192" s="8"/>
      <c r="FU192" s="8"/>
      <c r="FV192" s="8"/>
      <c r="FW192" s="8"/>
      <c r="FX192" s="8"/>
      <c r="FY192" s="8"/>
      <c r="FZ192" s="8"/>
      <c r="GA192" s="8"/>
      <c r="GB192" s="8"/>
      <c r="GC192" s="8"/>
      <c r="GD192" s="8"/>
      <c r="GE192" s="8"/>
      <c r="GF192" s="8"/>
      <c r="GG192" s="8"/>
      <c r="GH192" s="8"/>
      <c r="GI192" s="8"/>
      <c r="GJ192" s="8"/>
      <c r="GK192" s="8"/>
      <c r="GL192" s="8"/>
      <c r="GM192" s="8"/>
      <c r="GN192" s="8"/>
      <c r="GO192" s="8"/>
      <c r="GP192" s="8"/>
      <c r="GQ192" s="8"/>
      <c r="GR192" s="8"/>
      <c r="GS192" s="8"/>
      <c r="GT192" s="8"/>
      <c r="GU192" s="8"/>
      <c r="GV192" s="8"/>
      <c r="GW192" s="8"/>
      <c r="GX192" s="8"/>
      <c r="GY192" s="8"/>
      <c r="GZ192" s="8"/>
      <c r="HA192" s="8"/>
      <c r="HB192" s="8"/>
      <c r="HC192" s="8"/>
      <c r="HD192" s="8"/>
      <c r="HE192" s="8"/>
      <c r="HF192" s="8"/>
      <c r="HG192" s="8"/>
      <c r="HH192" s="8"/>
      <c r="HI192" s="8"/>
      <c r="HJ192" s="8"/>
      <c r="HK192" s="8"/>
      <c r="HL192" s="8"/>
      <c r="HM192" s="8"/>
      <c r="HN192" s="8"/>
      <c r="HO192" s="8"/>
      <c r="HP192" s="8"/>
      <c r="HQ192" s="8"/>
      <c r="HR192" s="8"/>
      <c r="HS192" s="8"/>
      <c r="HT192" s="8"/>
      <c r="HU192" s="8"/>
      <c r="HV192" s="8"/>
      <c r="HW192" s="8"/>
      <c r="HX192" s="8"/>
      <c r="HY192" s="8"/>
      <c r="HZ192" s="8"/>
      <c r="IA192" s="8"/>
      <c r="IB192" s="8"/>
      <c r="IC192" s="8"/>
      <c r="ID192" s="8"/>
      <c r="IE192" s="8"/>
      <c r="IF192" s="8"/>
      <c r="IG192" s="8"/>
      <c r="IH192" s="8"/>
      <c r="II192" s="8"/>
      <c r="IJ192" s="8"/>
      <c r="IK192" s="8"/>
      <c r="IL192" s="8"/>
      <c r="IM192" s="8"/>
      <c r="IN192" s="8"/>
      <c r="IO192" s="8"/>
      <c r="IP192" s="8"/>
      <c r="IQ192" s="8"/>
      <c r="IR192" s="8"/>
      <c r="IS192" s="8"/>
      <c r="IT192" s="8"/>
      <c r="IU192" s="8"/>
      <c r="IV192" s="8"/>
      <c r="IW192" s="8"/>
      <c r="IX192" s="8"/>
      <c r="JA192" s="123"/>
      <c r="JB192" s="123"/>
      <c r="JC192" s="123"/>
      <c r="JD192" s="70">
        <f>SUM((TEXT(JA192,"[M]")/60)*'Income Person-hours'!$D$3,(TEXT(JB192,"[M]")/60)*'Income Person-hours'!$D$4,(TEXT(JC192,"[M]")/60)*'Income Person-hours'!$D$5)</f>
        <v>0</v>
      </c>
    </row>
    <row r="193" spans="1:264 16383:16384" s="12" customFormat="1" ht="15.75" hidden="1" x14ac:dyDescent="0.45">
      <c r="A193" s="32">
        <v>8.19</v>
      </c>
      <c r="B193" s="126"/>
      <c r="C193" s="117"/>
      <c r="D193" s="13" t="str">
        <f>IF(OR(j_WEEKDAY(J_ADDDAY(VLOOKUP(I193,A:F,6,FALSE),H193,1),0)=6,SUMIFS(Holieday[ok],Holieday[date],J_ADDDAY(VLOOKUP(I193,A:F,6,FALSE),H193,1)))=FALSE(),J_ADDDAY(VLOOKUP(I193,A:F,6,FALSE),H193,1),IF(OR(j_WEEKDAY(J_ADDDAY(VLOOKUP(I193,A:F,6,FALSE),H193+1,1),0)=6,SUMIFS(Holieday[ok],Holieday[date],J_ADDDAY(VLOOKUP(I193,A:F,6,FALSE),H193+1,1)))=FALSE(),J_ADDDAY(VLOOKUP(I193,A:F,6,FALSE),H193+1,1),IF(OR(j_WEEKDAY(J_ADDDAY(VLOOKUP(I193,A:F,6,FALSE),H193+2,1),0)=6,SUMIFS(Holieday[ok],Holieday[date],J_ADDDAY(VLOOKUP(I193,A:F,6,FALSE),H193+2,1)))=FALSE(),J_ADDDAY(VLOOKUP(I193,A:F,6,FALSE),H193+2,1),IF(OR(j_WEEKDAY(J_ADDDAY(VLOOKUP(I193,A:F,6,FALSE),H193+3,1),0)=6,SUMIFS(Holieday[ok],Holieday[date],J_ADDDAY(VLOOKUP(I193,A:F,6,FALSE),H193+3,1)))=FALSE(),J_ADDDAY(VLOOKUP(I193,A:F,6,FALSE),H193+3,1),IF(OR(j_WEEKDAY(J_ADDDAY(VLOOKUP(I193,A:F,6,FALSE),H193+4,1),0)=6,SUMIFS(Holieday[ok],Holieday[date],J_ADDDAY(VLOOKUP(I193,A:F,6,FALSE),H193+4,1)))=FALSE(),J_ADDDAY(VLOOKUP(I193,A:F,6,FALSE),H193+4,1),J_ADDDAY(VLOOKUP(I193,A:F,6,FALSE),H193+5,1))))))</f>
        <v>1398/06/31</v>
      </c>
      <c r="E193" s="2">
        <f t="shared" si="63"/>
        <v>13980631</v>
      </c>
      <c r="F193" s="13" t="str">
        <f>IF(N193=0,J_SUBDAY(D193,1,1),IF((N193-NETWORKDAYS.INTL(J_GregorianDate(D193,1),J_GregorianDate(J_SUBDAY(J_ADDDAY(D193,N193,1),1,1),1),16,1)-SUMIFS(Holieday[ok],Holieday[date],CONCATENATE("&gt;","=",D193),Holieday[date],CONCATENATE("&lt;","=",J_SUBDAY(J_ADDDAY(D193,N193,1),1,1)))+SUMIFS(Holieday[Friday],Holieday[date],CONCATENATE("&gt;","=",D193),Holieday[date],CONCATENATE("&lt;","=",J_SUBDAY(J_ADDDAY(D193,N193,1),1,1))))=0,J_SUBDAY(J_ADDDAY(D193,N193,1),1,1),IF((N193-NETWORKDAYS.INTL(J_GregorianDate(D193,1),J_GregorianDate(J_SUBDAY(J_ADDDAY(D193,N193,1),1,1),1),16,1)-SUMIFS(Holieday[ok],Holieday[date],CONCATENATE("&gt;","=",D193),Holieday[date],CONCATENATE("&lt;","=",J_SUBDAY(J_ADDDAY(D193,N193,1),1,1)))+SUMIFS(Holieday[Friday],Holieday[date],CONCATENATE("&gt;","=",D193),Holieday[date],CONCATENATE("&lt;","=",J_SUBDAY(J_ADDDAY(D193,N193,1),1,1))))=1,J_SUBDAY(J_ADDDAY(D193,N193+1,1),1,1),IF((N193-NETWORKDAYS.INTL(J_GregorianDate(D193,1),J_GregorianDate(J_SUBDAY(J_ADDDAY(D193,N193,1),1,1),1),16,1)-SUMIFS(Holieday[ok],Holieday[date],CONCATENATE("&gt;","=",D193),Holieday[date],CONCATENATE("&lt;","=",J_SUBDAY(J_ADDDAY(D193,N193,1),1,1)))+SUMIFS(Holieday[Friday],Holieday[date],CONCATENATE("&gt;","=",D193),Holieday[date],CONCATENATE("&lt;","=",J_SUBDAY(J_ADDDAY(D193,N193,1),1,1))))=2,J_SUBDAY(J_ADDDAY(D193,N193+2,1),1,1),J_SUBDAY(J_ADDDAY(D193,N193+3,1),1,1)))))</f>
        <v>1398/06/30</v>
      </c>
      <c r="G193" s="3">
        <f t="shared" si="64"/>
        <v>13980630</v>
      </c>
      <c r="H193" s="119"/>
      <c r="I193" s="120">
        <v>1.1000000000000001</v>
      </c>
      <c r="J193" s="10">
        <f>j_WEEKDAY(D193,2)</f>
        <v>1</v>
      </c>
      <c r="K193" s="22">
        <f t="shared" si="61"/>
        <v>0</v>
      </c>
      <c r="L193" s="9">
        <f t="shared" si="62"/>
        <v>0</v>
      </c>
      <c r="M193" s="121">
        <v>0</v>
      </c>
      <c r="N193" s="118">
        <v>0</v>
      </c>
      <c r="O193" s="11">
        <f t="shared" si="59"/>
        <v>0</v>
      </c>
      <c r="P193" s="11">
        <f>VALUE(J_normdate(J_ADDDAY($D193,$O193,1)))</f>
        <v>13980631</v>
      </c>
      <c r="Q193" s="10">
        <f t="shared" si="60"/>
        <v>0</v>
      </c>
      <c r="R193" s="8"/>
      <c r="S193" s="8"/>
      <c r="T193" s="8"/>
      <c r="U193" s="8"/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/>
      <c r="AH193" s="8"/>
      <c r="AI193" s="8"/>
      <c r="AJ193" s="8"/>
      <c r="AK193" s="8"/>
      <c r="AL193" s="8"/>
      <c r="AM193" s="8"/>
      <c r="AN193" s="8"/>
      <c r="AO193" s="8"/>
      <c r="AP193" s="8"/>
      <c r="AQ193" s="8"/>
      <c r="AR193" s="8"/>
      <c r="AS193" s="8"/>
      <c r="AT193" s="8"/>
      <c r="AU193" s="8"/>
      <c r="AV193" s="8"/>
      <c r="AW193" s="8"/>
      <c r="AX193" s="8"/>
      <c r="AY193" s="8"/>
      <c r="AZ193" s="8"/>
      <c r="BA193" s="8"/>
      <c r="BB193" s="8"/>
      <c r="BC193" s="8"/>
      <c r="BD193" s="8"/>
      <c r="BE193" s="8"/>
      <c r="BF193" s="8"/>
      <c r="BG193" s="8"/>
      <c r="BH193" s="8"/>
      <c r="BI193" s="8"/>
      <c r="BJ193" s="8"/>
      <c r="BK193" s="8"/>
      <c r="BL193" s="8"/>
      <c r="BM193" s="8"/>
      <c r="BN193" s="8"/>
      <c r="BO193" s="8"/>
      <c r="BP193" s="8"/>
      <c r="BQ193" s="8"/>
      <c r="BR193" s="8"/>
      <c r="BS193" s="8"/>
      <c r="BT193" s="8"/>
      <c r="BU193" s="8"/>
      <c r="BV193" s="8"/>
      <c r="BW193" s="8"/>
      <c r="BX193" s="8"/>
      <c r="BY193" s="8"/>
      <c r="BZ193" s="8"/>
      <c r="CA193" s="8"/>
      <c r="CB193" s="8"/>
      <c r="CC193" s="8"/>
      <c r="CD193" s="8"/>
      <c r="CE193" s="8"/>
      <c r="CF193" s="8"/>
      <c r="CG193" s="8"/>
      <c r="CH193" s="8"/>
      <c r="CI193" s="8"/>
      <c r="CJ193" s="8"/>
      <c r="CK193" s="8"/>
      <c r="CL193" s="8"/>
      <c r="CM193" s="8"/>
      <c r="CN193" s="8"/>
      <c r="CO193" s="8"/>
      <c r="CP193" s="8"/>
      <c r="CQ193" s="8"/>
      <c r="CR193" s="8"/>
      <c r="CS193" s="8"/>
      <c r="CT193" s="8"/>
      <c r="CU193" s="8"/>
      <c r="CV193" s="8"/>
      <c r="CW193" s="8"/>
      <c r="CX193" s="8"/>
      <c r="CY193" s="8"/>
      <c r="CZ193" s="8"/>
      <c r="DA193" s="8"/>
      <c r="DB193" s="8"/>
      <c r="DC193" s="8"/>
      <c r="DD193" s="8"/>
      <c r="DE193" s="8"/>
      <c r="DF193" s="8"/>
      <c r="DG193" s="8"/>
      <c r="DH193" s="8"/>
      <c r="DI193" s="8"/>
      <c r="DJ193" s="8"/>
      <c r="DK193" s="8"/>
      <c r="DL193" s="8"/>
      <c r="DM193" s="8"/>
      <c r="DN193" s="8"/>
      <c r="DO193" s="8"/>
      <c r="DP193" s="8"/>
      <c r="DQ193" s="8"/>
      <c r="DR193" s="8"/>
      <c r="DS193" s="8"/>
      <c r="DT193" s="8"/>
      <c r="DU193" s="8"/>
      <c r="DV193" s="8"/>
      <c r="DW193" s="8"/>
      <c r="DX193" s="8"/>
      <c r="DY193" s="8"/>
      <c r="DZ193" s="8"/>
      <c r="EA193" s="8"/>
      <c r="EB193" s="8"/>
      <c r="EC193" s="8"/>
      <c r="ED193" s="8"/>
      <c r="EE193" s="8"/>
      <c r="EF193" s="8"/>
      <c r="EG193" s="8"/>
      <c r="EH193" s="8"/>
      <c r="EI193" s="8"/>
      <c r="EJ193" s="8"/>
      <c r="EK193" s="8"/>
      <c r="EL193" s="8"/>
      <c r="EM193" s="8"/>
      <c r="EN193" s="8"/>
      <c r="EO193" s="8"/>
      <c r="EP193" s="8"/>
      <c r="EQ193" s="8"/>
      <c r="ER193" s="8"/>
      <c r="ES193" s="8"/>
      <c r="ET193" s="8"/>
      <c r="EU193" s="8"/>
      <c r="EV193" s="8"/>
      <c r="EW193" s="8"/>
      <c r="EX193" s="8"/>
      <c r="EY193" s="8"/>
      <c r="EZ193" s="8"/>
      <c r="FA193" s="8"/>
      <c r="FB193" s="8"/>
      <c r="FC193" s="8"/>
      <c r="FD193" s="8"/>
      <c r="FE193" s="8"/>
      <c r="FF193" s="8"/>
      <c r="FG193" s="8"/>
      <c r="FH193" s="8"/>
      <c r="FI193" s="8"/>
      <c r="FJ193" s="8"/>
      <c r="FK193" s="8"/>
      <c r="FL193" s="8"/>
      <c r="FM193" s="8"/>
      <c r="FN193" s="8"/>
      <c r="FO193" s="8"/>
      <c r="FP193" s="8"/>
      <c r="FQ193" s="8"/>
      <c r="FR193" s="8"/>
      <c r="FS193" s="8"/>
      <c r="FT193" s="8"/>
      <c r="FU193" s="8"/>
      <c r="FV193" s="8"/>
      <c r="FW193" s="8"/>
      <c r="FX193" s="8"/>
      <c r="FY193" s="8"/>
      <c r="FZ193" s="8"/>
      <c r="GA193" s="8"/>
      <c r="GB193" s="8"/>
      <c r="GC193" s="8"/>
      <c r="GD193" s="8"/>
      <c r="GE193" s="8"/>
      <c r="GF193" s="8"/>
      <c r="GG193" s="8"/>
      <c r="GH193" s="8"/>
      <c r="GI193" s="8"/>
      <c r="GJ193" s="8"/>
      <c r="GK193" s="8"/>
      <c r="GL193" s="8"/>
      <c r="GM193" s="8"/>
      <c r="GN193" s="8"/>
      <c r="GO193" s="8"/>
      <c r="GP193" s="8"/>
      <c r="GQ193" s="8"/>
      <c r="GR193" s="8"/>
      <c r="GS193" s="8"/>
      <c r="GT193" s="8"/>
      <c r="GU193" s="8"/>
      <c r="GV193" s="8"/>
      <c r="GW193" s="8"/>
      <c r="GX193" s="8"/>
      <c r="GY193" s="8"/>
      <c r="GZ193" s="8"/>
      <c r="HA193" s="8"/>
      <c r="HB193" s="8"/>
      <c r="HC193" s="8"/>
      <c r="HD193" s="8"/>
      <c r="HE193" s="8"/>
      <c r="HF193" s="8"/>
      <c r="HG193" s="8"/>
      <c r="HH193" s="8"/>
      <c r="HI193" s="8"/>
      <c r="HJ193" s="8"/>
      <c r="HK193" s="8"/>
      <c r="HL193" s="8"/>
      <c r="HM193" s="8"/>
      <c r="HN193" s="8"/>
      <c r="HO193" s="8"/>
      <c r="HP193" s="8"/>
      <c r="HQ193" s="8"/>
      <c r="HR193" s="8"/>
      <c r="HS193" s="8"/>
      <c r="HT193" s="8"/>
      <c r="HU193" s="8"/>
      <c r="HV193" s="8"/>
      <c r="HW193" s="8"/>
      <c r="HX193" s="8"/>
      <c r="HY193" s="8"/>
      <c r="HZ193" s="8"/>
      <c r="IA193" s="8"/>
      <c r="IB193" s="8"/>
      <c r="IC193" s="8"/>
      <c r="ID193" s="8"/>
      <c r="IE193" s="8"/>
      <c r="IF193" s="8"/>
      <c r="IG193" s="8"/>
      <c r="IH193" s="8"/>
      <c r="II193" s="8"/>
      <c r="IJ193" s="8"/>
      <c r="IK193" s="8"/>
      <c r="IL193" s="8"/>
      <c r="IM193" s="8"/>
      <c r="IN193" s="8"/>
      <c r="IO193" s="8"/>
      <c r="IP193" s="8"/>
      <c r="IQ193" s="8"/>
      <c r="IR193" s="8"/>
      <c r="IS193" s="8"/>
      <c r="IT193" s="8"/>
      <c r="IU193" s="8"/>
      <c r="IV193" s="8"/>
      <c r="IW193" s="8"/>
      <c r="IX193" s="8"/>
      <c r="JA193" s="123"/>
      <c r="JB193" s="123"/>
      <c r="JC193" s="123"/>
      <c r="JD193" s="70">
        <f>SUM((TEXT(JA193,"[M]")/60)*'Income Person-hours'!$D$3,(TEXT(JB193,"[M]")/60)*'Income Person-hours'!$D$4,(TEXT(JC193,"[M]")/60)*'Income Person-hours'!$D$5)</f>
        <v>0</v>
      </c>
    </row>
    <row r="194" spans="1:264 16383:16384" s="12" customFormat="1" ht="15.75" hidden="1" x14ac:dyDescent="0.45">
      <c r="A194" s="32">
        <v>8.2100000000000009</v>
      </c>
      <c r="B194" s="126"/>
      <c r="C194" s="117"/>
      <c r="D194" s="13" t="str">
        <f>IF(OR(j_WEEKDAY(J_ADDDAY(VLOOKUP(I194,A:F,6,FALSE),H194,1),0)=6,SUMIFS(Holieday[ok],Holieday[date],J_ADDDAY(VLOOKUP(I194,A:F,6,FALSE),H194,1)))=FALSE(),J_ADDDAY(VLOOKUP(I194,A:F,6,FALSE),H194,1),IF(OR(j_WEEKDAY(J_ADDDAY(VLOOKUP(I194,A:F,6,FALSE),H194+1,1),0)=6,SUMIFS(Holieday[ok],Holieday[date],J_ADDDAY(VLOOKUP(I194,A:F,6,FALSE),H194+1,1)))=FALSE(),J_ADDDAY(VLOOKUP(I194,A:F,6,FALSE),H194+1,1),IF(OR(j_WEEKDAY(J_ADDDAY(VLOOKUP(I194,A:F,6,FALSE),H194+2,1),0)=6,SUMIFS(Holieday[ok],Holieday[date],J_ADDDAY(VLOOKUP(I194,A:F,6,FALSE),H194+2,1)))=FALSE(),J_ADDDAY(VLOOKUP(I194,A:F,6,FALSE),H194+2,1),IF(OR(j_WEEKDAY(J_ADDDAY(VLOOKUP(I194,A:F,6,FALSE),H194+3,1),0)=6,SUMIFS(Holieday[ok],Holieday[date],J_ADDDAY(VLOOKUP(I194,A:F,6,FALSE),H194+3,1)))=FALSE(),J_ADDDAY(VLOOKUP(I194,A:F,6,FALSE),H194+3,1),IF(OR(j_WEEKDAY(J_ADDDAY(VLOOKUP(I194,A:F,6,FALSE),H194+4,1),0)=6,SUMIFS(Holieday[ok],Holieday[date],J_ADDDAY(VLOOKUP(I194,A:F,6,FALSE),H194+4,1)))=FALSE(),J_ADDDAY(VLOOKUP(I194,A:F,6,FALSE),H194+4,1),J_ADDDAY(VLOOKUP(I194,A:F,6,FALSE),H194+5,1))))))</f>
        <v>1398/06/31</v>
      </c>
      <c r="E194" s="2">
        <f t="shared" si="63"/>
        <v>13980631</v>
      </c>
      <c r="F194" s="13" t="str">
        <f>IF(N194=0,J_SUBDAY(D194,1,1),IF((N194-NETWORKDAYS.INTL(J_GregorianDate(D194,1),J_GregorianDate(J_SUBDAY(J_ADDDAY(D194,N194,1),1,1),1),16,1)-SUMIFS(Holieday[ok],Holieday[date],CONCATENATE("&gt;","=",D194),Holieday[date],CONCATENATE("&lt;","=",J_SUBDAY(J_ADDDAY(D194,N194,1),1,1)))+SUMIFS(Holieday[Friday],Holieday[date],CONCATENATE("&gt;","=",D194),Holieday[date],CONCATENATE("&lt;","=",J_SUBDAY(J_ADDDAY(D194,N194,1),1,1))))=0,J_SUBDAY(J_ADDDAY(D194,N194,1),1,1),IF((N194-NETWORKDAYS.INTL(J_GregorianDate(D194,1),J_GregorianDate(J_SUBDAY(J_ADDDAY(D194,N194,1),1,1),1),16,1)-SUMIFS(Holieday[ok],Holieday[date],CONCATENATE("&gt;","=",D194),Holieday[date],CONCATENATE("&lt;","=",J_SUBDAY(J_ADDDAY(D194,N194,1),1,1)))+SUMIFS(Holieday[Friday],Holieday[date],CONCATENATE("&gt;","=",D194),Holieday[date],CONCATENATE("&lt;","=",J_SUBDAY(J_ADDDAY(D194,N194,1),1,1))))=1,J_SUBDAY(J_ADDDAY(D194,N194+1,1),1,1),IF((N194-NETWORKDAYS.INTL(J_GregorianDate(D194,1),J_GregorianDate(J_SUBDAY(J_ADDDAY(D194,N194,1),1,1),1),16,1)-SUMIFS(Holieday[ok],Holieday[date],CONCATENATE("&gt;","=",D194),Holieday[date],CONCATENATE("&lt;","=",J_SUBDAY(J_ADDDAY(D194,N194,1),1,1)))+SUMIFS(Holieday[Friday],Holieday[date],CONCATENATE("&gt;","=",D194),Holieday[date],CONCATENATE("&lt;","=",J_SUBDAY(J_ADDDAY(D194,N194,1),1,1))))=2,J_SUBDAY(J_ADDDAY(D194,N194+2,1),1,1),J_SUBDAY(J_ADDDAY(D194,N194+3,1),1,1)))))</f>
        <v>1398/06/30</v>
      </c>
      <c r="G194" s="3">
        <f t="shared" si="64"/>
        <v>13980630</v>
      </c>
      <c r="H194" s="119"/>
      <c r="I194" s="120">
        <v>1.1000000000000001</v>
      </c>
      <c r="J194" s="10">
        <f>j_WEEKDAY(D194,2)</f>
        <v>1</v>
      </c>
      <c r="K194" s="22">
        <f t="shared" si="61"/>
        <v>0</v>
      </c>
      <c r="L194" s="9">
        <f t="shared" si="62"/>
        <v>0</v>
      </c>
      <c r="M194" s="121">
        <v>0</v>
      </c>
      <c r="N194" s="118">
        <v>0</v>
      </c>
      <c r="O194" s="11">
        <f t="shared" si="59"/>
        <v>0</v>
      </c>
      <c r="P194" s="11">
        <f>VALUE(J_normdate(J_ADDDAY($D194,$O194,1)))</f>
        <v>13980631</v>
      </c>
      <c r="Q194" s="10">
        <f t="shared" si="60"/>
        <v>0</v>
      </c>
      <c r="R194" s="8"/>
      <c r="S194" s="8"/>
      <c r="T194" s="8"/>
      <c r="U194" s="8"/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/>
      <c r="AH194" s="8"/>
      <c r="AI194" s="8"/>
      <c r="AJ194" s="8"/>
      <c r="AK194" s="8"/>
      <c r="AL194" s="8"/>
      <c r="AM194" s="8"/>
      <c r="AN194" s="8"/>
      <c r="AO194" s="8"/>
      <c r="AP194" s="8"/>
      <c r="AQ194" s="8"/>
      <c r="AR194" s="8"/>
      <c r="AS194" s="8"/>
      <c r="AT194" s="8"/>
      <c r="AU194" s="8"/>
      <c r="AV194" s="8"/>
      <c r="AW194" s="8"/>
      <c r="AX194" s="8"/>
      <c r="AY194" s="8"/>
      <c r="AZ194" s="8"/>
      <c r="BA194" s="8"/>
      <c r="BB194" s="8"/>
      <c r="BC194" s="8"/>
      <c r="BD194" s="8"/>
      <c r="BE194" s="8"/>
      <c r="BF194" s="8"/>
      <c r="BG194" s="8"/>
      <c r="BH194" s="8"/>
      <c r="BI194" s="8"/>
      <c r="BJ194" s="8"/>
      <c r="BK194" s="8"/>
      <c r="BL194" s="8"/>
      <c r="BM194" s="8"/>
      <c r="BN194" s="8"/>
      <c r="BO194" s="8"/>
      <c r="BP194" s="8"/>
      <c r="BQ194" s="8"/>
      <c r="BR194" s="8"/>
      <c r="BS194" s="8"/>
      <c r="BT194" s="8"/>
      <c r="BU194" s="8"/>
      <c r="BV194" s="8"/>
      <c r="BW194" s="8"/>
      <c r="BX194" s="8"/>
      <c r="BY194" s="8"/>
      <c r="BZ194" s="8"/>
      <c r="CA194" s="8"/>
      <c r="CB194" s="8"/>
      <c r="CC194" s="8"/>
      <c r="CD194" s="8"/>
      <c r="CE194" s="8"/>
      <c r="CF194" s="8"/>
      <c r="CG194" s="8"/>
      <c r="CH194" s="8"/>
      <c r="CI194" s="8"/>
      <c r="CJ194" s="8"/>
      <c r="CK194" s="8"/>
      <c r="CL194" s="8"/>
      <c r="CM194" s="8"/>
      <c r="CN194" s="8"/>
      <c r="CO194" s="8"/>
      <c r="CP194" s="8"/>
      <c r="CQ194" s="8"/>
      <c r="CR194" s="8"/>
      <c r="CS194" s="8"/>
      <c r="CT194" s="8"/>
      <c r="CU194" s="8"/>
      <c r="CV194" s="8"/>
      <c r="CW194" s="8"/>
      <c r="CX194" s="8"/>
      <c r="CY194" s="8"/>
      <c r="CZ194" s="8"/>
      <c r="DA194" s="8"/>
      <c r="DB194" s="8"/>
      <c r="DC194" s="8"/>
      <c r="DD194" s="8"/>
      <c r="DE194" s="8"/>
      <c r="DF194" s="8"/>
      <c r="DG194" s="8"/>
      <c r="DH194" s="8"/>
      <c r="DI194" s="8"/>
      <c r="DJ194" s="8"/>
      <c r="DK194" s="8"/>
      <c r="DL194" s="8"/>
      <c r="DM194" s="8"/>
      <c r="DN194" s="8"/>
      <c r="DO194" s="8"/>
      <c r="DP194" s="8"/>
      <c r="DQ194" s="8"/>
      <c r="DR194" s="8"/>
      <c r="DS194" s="8"/>
      <c r="DT194" s="8"/>
      <c r="DU194" s="8"/>
      <c r="DV194" s="8"/>
      <c r="DW194" s="8"/>
      <c r="DX194" s="8"/>
      <c r="DY194" s="8"/>
      <c r="DZ194" s="8"/>
      <c r="EA194" s="8"/>
      <c r="EB194" s="8"/>
      <c r="EC194" s="8"/>
      <c r="ED194" s="8"/>
      <c r="EE194" s="8"/>
      <c r="EF194" s="8"/>
      <c r="EG194" s="8"/>
      <c r="EH194" s="8"/>
      <c r="EI194" s="8"/>
      <c r="EJ194" s="8"/>
      <c r="EK194" s="8"/>
      <c r="EL194" s="8"/>
      <c r="EM194" s="8"/>
      <c r="EN194" s="8"/>
      <c r="EO194" s="8"/>
      <c r="EP194" s="8"/>
      <c r="EQ194" s="8"/>
      <c r="ER194" s="8"/>
      <c r="ES194" s="8"/>
      <c r="ET194" s="8"/>
      <c r="EU194" s="8"/>
      <c r="EV194" s="8"/>
      <c r="EW194" s="8"/>
      <c r="EX194" s="8"/>
      <c r="EY194" s="8"/>
      <c r="EZ194" s="8"/>
      <c r="FA194" s="8"/>
      <c r="FB194" s="8"/>
      <c r="FC194" s="8"/>
      <c r="FD194" s="8"/>
      <c r="FE194" s="8"/>
      <c r="FF194" s="8"/>
      <c r="FG194" s="8"/>
      <c r="FH194" s="8"/>
      <c r="FI194" s="8"/>
      <c r="FJ194" s="8"/>
      <c r="FK194" s="8"/>
      <c r="FL194" s="8"/>
      <c r="FM194" s="8"/>
      <c r="FN194" s="8"/>
      <c r="FO194" s="8"/>
      <c r="FP194" s="8"/>
      <c r="FQ194" s="8"/>
      <c r="FR194" s="8"/>
      <c r="FS194" s="8"/>
      <c r="FT194" s="8"/>
      <c r="FU194" s="8"/>
      <c r="FV194" s="8"/>
      <c r="FW194" s="8"/>
      <c r="FX194" s="8"/>
      <c r="FY194" s="8"/>
      <c r="FZ194" s="8"/>
      <c r="GA194" s="8"/>
      <c r="GB194" s="8"/>
      <c r="GC194" s="8"/>
      <c r="GD194" s="8"/>
      <c r="GE194" s="8"/>
      <c r="GF194" s="8"/>
      <c r="GG194" s="8"/>
      <c r="GH194" s="8"/>
      <c r="GI194" s="8"/>
      <c r="GJ194" s="8"/>
      <c r="GK194" s="8"/>
      <c r="GL194" s="8"/>
      <c r="GM194" s="8"/>
      <c r="GN194" s="8"/>
      <c r="GO194" s="8"/>
      <c r="GP194" s="8"/>
      <c r="GQ194" s="8"/>
      <c r="GR194" s="8"/>
      <c r="GS194" s="8"/>
      <c r="GT194" s="8"/>
      <c r="GU194" s="8"/>
      <c r="GV194" s="8"/>
      <c r="GW194" s="8"/>
      <c r="GX194" s="8"/>
      <c r="GY194" s="8"/>
      <c r="GZ194" s="8"/>
      <c r="HA194" s="8"/>
      <c r="HB194" s="8"/>
      <c r="HC194" s="8"/>
      <c r="HD194" s="8"/>
      <c r="HE194" s="8"/>
      <c r="HF194" s="8"/>
      <c r="HG194" s="8"/>
      <c r="HH194" s="8"/>
      <c r="HI194" s="8"/>
      <c r="HJ194" s="8"/>
      <c r="HK194" s="8"/>
      <c r="HL194" s="8"/>
      <c r="HM194" s="8"/>
      <c r="HN194" s="8"/>
      <c r="HO194" s="8"/>
      <c r="HP194" s="8"/>
      <c r="HQ194" s="8"/>
      <c r="HR194" s="8"/>
      <c r="HS194" s="8"/>
      <c r="HT194" s="8"/>
      <c r="HU194" s="8"/>
      <c r="HV194" s="8"/>
      <c r="HW194" s="8"/>
      <c r="HX194" s="8"/>
      <c r="HY194" s="8"/>
      <c r="HZ194" s="8"/>
      <c r="IA194" s="8"/>
      <c r="IB194" s="8"/>
      <c r="IC194" s="8"/>
      <c r="ID194" s="8"/>
      <c r="IE194" s="8"/>
      <c r="IF194" s="8"/>
      <c r="IG194" s="8"/>
      <c r="IH194" s="8"/>
      <c r="II194" s="8"/>
      <c r="IJ194" s="8"/>
      <c r="IK194" s="8"/>
      <c r="IL194" s="8"/>
      <c r="IM194" s="8"/>
      <c r="IN194" s="8"/>
      <c r="IO194" s="8"/>
      <c r="IP194" s="8"/>
      <c r="IQ194" s="8"/>
      <c r="IR194" s="8"/>
      <c r="IS194" s="8"/>
      <c r="IT194" s="8"/>
      <c r="IU194" s="8"/>
      <c r="IV194" s="8"/>
      <c r="IW194" s="8"/>
      <c r="IX194" s="8"/>
      <c r="JA194" s="123"/>
      <c r="JB194" s="123"/>
      <c r="JC194" s="123"/>
      <c r="JD194" s="70">
        <f>SUM((TEXT(JA194,"[M]")/60)*'Income Person-hours'!$D$3,(TEXT(JB194,"[M]")/60)*'Income Person-hours'!$D$4,(TEXT(JC194,"[M]")/60)*'Income Person-hours'!$D$5)</f>
        <v>0</v>
      </c>
    </row>
    <row r="195" spans="1:264 16383:16384" s="12" customFormat="1" ht="15.75" hidden="1" x14ac:dyDescent="0.45">
      <c r="A195" s="32">
        <v>8.2200000000000006</v>
      </c>
      <c r="B195" s="126"/>
      <c r="C195" s="117"/>
      <c r="D195" s="13" t="str">
        <f>IF(OR(j_WEEKDAY(J_ADDDAY(VLOOKUP(I195,A:F,6,FALSE),H195,1),0)=6,SUMIFS(Holieday[ok],Holieday[date],J_ADDDAY(VLOOKUP(I195,A:F,6,FALSE),H195,1)))=FALSE(),J_ADDDAY(VLOOKUP(I195,A:F,6,FALSE),H195,1),IF(OR(j_WEEKDAY(J_ADDDAY(VLOOKUP(I195,A:F,6,FALSE),H195+1,1),0)=6,SUMIFS(Holieday[ok],Holieday[date],J_ADDDAY(VLOOKUP(I195,A:F,6,FALSE),H195+1,1)))=FALSE(),J_ADDDAY(VLOOKUP(I195,A:F,6,FALSE),H195+1,1),IF(OR(j_WEEKDAY(J_ADDDAY(VLOOKUP(I195,A:F,6,FALSE),H195+2,1),0)=6,SUMIFS(Holieday[ok],Holieday[date],J_ADDDAY(VLOOKUP(I195,A:F,6,FALSE),H195+2,1)))=FALSE(),J_ADDDAY(VLOOKUP(I195,A:F,6,FALSE),H195+2,1),IF(OR(j_WEEKDAY(J_ADDDAY(VLOOKUP(I195,A:F,6,FALSE),H195+3,1),0)=6,SUMIFS(Holieday[ok],Holieday[date],J_ADDDAY(VLOOKUP(I195,A:F,6,FALSE),H195+3,1)))=FALSE(),J_ADDDAY(VLOOKUP(I195,A:F,6,FALSE),H195+3,1),IF(OR(j_WEEKDAY(J_ADDDAY(VLOOKUP(I195,A:F,6,FALSE),H195+4,1),0)=6,SUMIFS(Holieday[ok],Holieday[date],J_ADDDAY(VLOOKUP(I195,A:F,6,FALSE),H195+4,1)))=FALSE(),J_ADDDAY(VLOOKUP(I195,A:F,6,FALSE),H195+4,1),J_ADDDAY(VLOOKUP(I195,A:F,6,FALSE),H195+5,1))))))</f>
        <v>1398/06/31</v>
      </c>
      <c r="E195" s="2">
        <f t="shared" si="63"/>
        <v>13980631</v>
      </c>
      <c r="F195" s="13" t="str">
        <f>IF(N195=0,J_SUBDAY(D195,1,1),IF((N195-NETWORKDAYS.INTL(J_GregorianDate(D195,1),J_GregorianDate(J_SUBDAY(J_ADDDAY(D195,N195,1),1,1),1),16,1)-SUMIFS(Holieday[ok],Holieday[date],CONCATENATE("&gt;","=",D195),Holieday[date],CONCATENATE("&lt;","=",J_SUBDAY(J_ADDDAY(D195,N195,1),1,1)))+SUMIFS(Holieday[Friday],Holieday[date],CONCATENATE("&gt;","=",D195),Holieday[date],CONCATENATE("&lt;","=",J_SUBDAY(J_ADDDAY(D195,N195,1),1,1))))=0,J_SUBDAY(J_ADDDAY(D195,N195,1),1,1),IF((N195-NETWORKDAYS.INTL(J_GregorianDate(D195,1),J_GregorianDate(J_SUBDAY(J_ADDDAY(D195,N195,1),1,1),1),16,1)-SUMIFS(Holieday[ok],Holieday[date],CONCATENATE("&gt;","=",D195),Holieday[date],CONCATENATE("&lt;","=",J_SUBDAY(J_ADDDAY(D195,N195,1),1,1)))+SUMIFS(Holieday[Friday],Holieday[date],CONCATENATE("&gt;","=",D195),Holieday[date],CONCATENATE("&lt;","=",J_SUBDAY(J_ADDDAY(D195,N195,1),1,1))))=1,J_SUBDAY(J_ADDDAY(D195,N195+1,1),1,1),IF((N195-NETWORKDAYS.INTL(J_GregorianDate(D195,1),J_GregorianDate(J_SUBDAY(J_ADDDAY(D195,N195,1),1,1),1),16,1)-SUMIFS(Holieday[ok],Holieday[date],CONCATENATE("&gt;","=",D195),Holieday[date],CONCATENATE("&lt;","=",J_SUBDAY(J_ADDDAY(D195,N195,1),1,1)))+SUMIFS(Holieday[Friday],Holieday[date],CONCATENATE("&gt;","=",D195),Holieday[date],CONCATENATE("&lt;","=",J_SUBDAY(J_ADDDAY(D195,N195,1),1,1))))=2,J_SUBDAY(J_ADDDAY(D195,N195+2,1),1,1),J_SUBDAY(J_ADDDAY(D195,N195+3,1),1,1)))))</f>
        <v>1398/06/30</v>
      </c>
      <c r="G195" s="3">
        <f t="shared" si="64"/>
        <v>13980630</v>
      </c>
      <c r="H195" s="119"/>
      <c r="I195" s="120">
        <v>1.1000000000000001</v>
      </c>
      <c r="J195" s="10">
        <f>j_WEEKDAY(D195,2)</f>
        <v>1</v>
      </c>
      <c r="K195" s="22">
        <f t="shared" si="61"/>
        <v>0</v>
      </c>
      <c r="L195" s="9">
        <f t="shared" si="62"/>
        <v>0</v>
      </c>
      <c r="M195" s="121">
        <v>0</v>
      </c>
      <c r="N195" s="118">
        <v>0</v>
      </c>
      <c r="O195" s="11">
        <f t="shared" si="59"/>
        <v>0</v>
      </c>
      <c r="P195" s="11">
        <f>VALUE(J_normdate(J_ADDDAY($D195,$O195,1)))</f>
        <v>13980631</v>
      </c>
      <c r="Q195" s="10">
        <f t="shared" si="60"/>
        <v>0</v>
      </c>
      <c r="R195" s="8"/>
      <c r="S195" s="8"/>
      <c r="T195" s="8"/>
      <c r="U195" s="8"/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/>
      <c r="AH195" s="8"/>
      <c r="AI195" s="8"/>
      <c r="AJ195" s="8"/>
      <c r="AK195" s="8"/>
      <c r="AL195" s="8"/>
      <c r="AM195" s="8"/>
      <c r="AN195" s="8"/>
      <c r="AO195" s="8"/>
      <c r="AP195" s="8"/>
      <c r="AQ195" s="8"/>
      <c r="AR195" s="8"/>
      <c r="AS195" s="8"/>
      <c r="AT195" s="8"/>
      <c r="AU195" s="8"/>
      <c r="AV195" s="8"/>
      <c r="AW195" s="8"/>
      <c r="AX195" s="8"/>
      <c r="AY195" s="8"/>
      <c r="AZ195" s="8"/>
      <c r="BA195" s="8"/>
      <c r="BB195" s="8"/>
      <c r="BC195" s="8"/>
      <c r="BD195" s="8"/>
      <c r="BE195" s="8"/>
      <c r="BF195" s="8"/>
      <c r="BG195" s="8"/>
      <c r="BH195" s="8"/>
      <c r="BI195" s="8"/>
      <c r="BJ195" s="8"/>
      <c r="BK195" s="8"/>
      <c r="BL195" s="8"/>
      <c r="BM195" s="8"/>
      <c r="BN195" s="8"/>
      <c r="BO195" s="8"/>
      <c r="BP195" s="8"/>
      <c r="BQ195" s="8"/>
      <c r="BR195" s="8"/>
      <c r="BS195" s="8"/>
      <c r="BT195" s="8"/>
      <c r="BU195" s="8"/>
      <c r="BV195" s="8"/>
      <c r="BW195" s="8"/>
      <c r="BX195" s="8"/>
      <c r="BY195" s="8"/>
      <c r="BZ195" s="8"/>
      <c r="CA195" s="8"/>
      <c r="CB195" s="8"/>
      <c r="CC195" s="8"/>
      <c r="CD195" s="8"/>
      <c r="CE195" s="8"/>
      <c r="CF195" s="8"/>
      <c r="CG195" s="8"/>
      <c r="CH195" s="8"/>
      <c r="CI195" s="8"/>
      <c r="CJ195" s="8"/>
      <c r="CK195" s="8"/>
      <c r="CL195" s="8"/>
      <c r="CM195" s="8"/>
      <c r="CN195" s="8"/>
      <c r="CO195" s="8"/>
      <c r="CP195" s="8"/>
      <c r="CQ195" s="8"/>
      <c r="CR195" s="8"/>
      <c r="CS195" s="8"/>
      <c r="CT195" s="8"/>
      <c r="CU195" s="8"/>
      <c r="CV195" s="8"/>
      <c r="CW195" s="8"/>
      <c r="CX195" s="8"/>
      <c r="CY195" s="8"/>
      <c r="CZ195" s="8"/>
      <c r="DA195" s="8"/>
      <c r="DB195" s="8"/>
      <c r="DC195" s="8"/>
      <c r="DD195" s="8"/>
      <c r="DE195" s="8"/>
      <c r="DF195" s="8"/>
      <c r="DG195" s="8"/>
      <c r="DH195" s="8"/>
      <c r="DI195" s="8"/>
      <c r="DJ195" s="8"/>
      <c r="DK195" s="8"/>
      <c r="DL195" s="8"/>
      <c r="DM195" s="8"/>
      <c r="DN195" s="8"/>
      <c r="DO195" s="8"/>
      <c r="DP195" s="8"/>
      <c r="DQ195" s="8"/>
      <c r="DR195" s="8"/>
      <c r="DS195" s="8"/>
      <c r="DT195" s="8"/>
      <c r="DU195" s="8"/>
      <c r="DV195" s="8"/>
      <c r="DW195" s="8"/>
      <c r="DX195" s="8"/>
      <c r="DY195" s="8"/>
      <c r="DZ195" s="8"/>
      <c r="EA195" s="8"/>
      <c r="EB195" s="8"/>
      <c r="EC195" s="8"/>
      <c r="ED195" s="8"/>
      <c r="EE195" s="8"/>
      <c r="EF195" s="8"/>
      <c r="EG195" s="8"/>
      <c r="EH195" s="8"/>
      <c r="EI195" s="8"/>
      <c r="EJ195" s="8"/>
      <c r="EK195" s="8"/>
      <c r="EL195" s="8"/>
      <c r="EM195" s="8"/>
      <c r="EN195" s="8"/>
      <c r="EO195" s="8"/>
      <c r="EP195" s="8"/>
      <c r="EQ195" s="8"/>
      <c r="ER195" s="8"/>
      <c r="ES195" s="8"/>
      <c r="ET195" s="8"/>
      <c r="EU195" s="8"/>
      <c r="EV195" s="8"/>
      <c r="EW195" s="8"/>
      <c r="EX195" s="8"/>
      <c r="EY195" s="8"/>
      <c r="EZ195" s="8"/>
      <c r="FA195" s="8"/>
      <c r="FB195" s="8"/>
      <c r="FC195" s="8"/>
      <c r="FD195" s="8"/>
      <c r="FE195" s="8"/>
      <c r="FF195" s="8"/>
      <c r="FG195" s="8"/>
      <c r="FH195" s="8"/>
      <c r="FI195" s="8"/>
      <c r="FJ195" s="8"/>
      <c r="FK195" s="8"/>
      <c r="FL195" s="8"/>
      <c r="FM195" s="8"/>
      <c r="FN195" s="8"/>
      <c r="FO195" s="8"/>
      <c r="FP195" s="8"/>
      <c r="FQ195" s="8"/>
      <c r="FR195" s="8"/>
      <c r="FS195" s="8"/>
      <c r="FT195" s="8"/>
      <c r="FU195" s="8"/>
      <c r="FV195" s="8"/>
      <c r="FW195" s="8"/>
      <c r="FX195" s="8"/>
      <c r="FY195" s="8"/>
      <c r="FZ195" s="8"/>
      <c r="GA195" s="8"/>
      <c r="GB195" s="8"/>
      <c r="GC195" s="8"/>
      <c r="GD195" s="8"/>
      <c r="GE195" s="8"/>
      <c r="GF195" s="8"/>
      <c r="GG195" s="8"/>
      <c r="GH195" s="8"/>
      <c r="GI195" s="8"/>
      <c r="GJ195" s="8"/>
      <c r="GK195" s="8"/>
      <c r="GL195" s="8"/>
      <c r="GM195" s="8"/>
      <c r="GN195" s="8"/>
      <c r="GO195" s="8"/>
      <c r="GP195" s="8"/>
      <c r="GQ195" s="8"/>
      <c r="GR195" s="8"/>
      <c r="GS195" s="8"/>
      <c r="GT195" s="8"/>
      <c r="GU195" s="8"/>
      <c r="GV195" s="8"/>
      <c r="GW195" s="8"/>
      <c r="GX195" s="8"/>
      <c r="GY195" s="8"/>
      <c r="GZ195" s="8"/>
      <c r="HA195" s="8"/>
      <c r="HB195" s="8"/>
      <c r="HC195" s="8"/>
      <c r="HD195" s="8"/>
      <c r="HE195" s="8"/>
      <c r="HF195" s="8"/>
      <c r="HG195" s="8"/>
      <c r="HH195" s="8"/>
      <c r="HI195" s="8"/>
      <c r="HJ195" s="8"/>
      <c r="HK195" s="8"/>
      <c r="HL195" s="8"/>
      <c r="HM195" s="8"/>
      <c r="HN195" s="8"/>
      <c r="HO195" s="8"/>
      <c r="HP195" s="8"/>
      <c r="HQ195" s="8"/>
      <c r="HR195" s="8"/>
      <c r="HS195" s="8"/>
      <c r="HT195" s="8"/>
      <c r="HU195" s="8"/>
      <c r="HV195" s="8"/>
      <c r="HW195" s="8"/>
      <c r="HX195" s="8"/>
      <c r="HY195" s="8"/>
      <c r="HZ195" s="8"/>
      <c r="IA195" s="8"/>
      <c r="IB195" s="8"/>
      <c r="IC195" s="8"/>
      <c r="ID195" s="8"/>
      <c r="IE195" s="8"/>
      <c r="IF195" s="8"/>
      <c r="IG195" s="8"/>
      <c r="IH195" s="8"/>
      <c r="II195" s="8"/>
      <c r="IJ195" s="8"/>
      <c r="IK195" s="8"/>
      <c r="IL195" s="8"/>
      <c r="IM195" s="8"/>
      <c r="IN195" s="8"/>
      <c r="IO195" s="8"/>
      <c r="IP195" s="8"/>
      <c r="IQ195" s="8"/>
      <c r="IR195" s="8"/>
      <c r="IS195" s="8"/>
      <c r="IT195" s="8"/>
      <c r="IU195" s="8"/>
      <c r="IV195" s="8"/>
      <c r="IW195" s="8"/>
      <c r="IX195" s="8"/>
      <c r="JA195" s="123"/>
      <c r="JB195" s="123"/>
      <c r="JC195" s="123"/>
      <c r="JD195" s="70">
        <f>SUM((TEXT(JA195,"[M]")/60)*'Income Person-hours'!$D$3,(TEXT(JB195,"[M]")/60)*'Income Person-hours'!$D$4,(TEXT(JC195,"[M]")/60)*'Income Person-hours'!$D$5)</f>
        <v>0</v>
      </c>
    </row>
    <row r="196" spans="1:264 16383:16384" s="12" customFormat="1" ht="15.75" hidden="1" x14ac:dyDescent="0.45">
      <c r="A196" s="32">
        <v>8.23</v>
      </c>
      <c r="B196" s="126"/>
      <c r="C196" s="117"/>
      <c r="D196" s="13" t="str">
        <f>IF(OR(j_WEEKDAY(J_ADDDAY(VLOOKUP(I196,A:F,6,FALSE),H196,1),0)=6,SUMIFS(Holieday[ok],Holieday[date],J_ADDDAY(VLOOKUP(I196,A:F,6,FALSE),H196,1)))=FALSE(),J_ADDDAY(VLOOKUP(I196,A:F,6,FALSE),H196,1),IF(OR(j_WEEKDAY(J_ADDDAY(VLOOKUP(I196,A:F,6,FALSE),H196+1,1),0)=6,SUMIFS(Holieday[ok],Holieday[date],J_ADDDAY(VLOOKUP(I196,A:F,6,FALSE),H196+1,1)))=FALSE(),J_ADDDAY(VLOOKUP(I196,A:F,6,FALSE),H196+1,1),IF(OR(j_WEEKDAY(J_ADDDAY(VLOOKUP(I196,A:F,6,FALSE),H196+2,1),0)=6,SUMIFS(Holieday[ok],Holieday[date],J_ADDDAY(VLOOKUP(I196,A:F,6,FALSE),H196+2,1)))=FALSE(),J_ADDDAY(VLOOKUP(I196,A:F,6,FALSE),H196+2,1),IF(OR(j_WEEKDAY(J_ADDDAY(VLOOKUP(I196,A:F,6,FALSE),H196+3,1),0)=6,SUMIFS(Holieday[ok],Holieday[date],J_ADDDAY(VLOOKUP(I196,A:F,6,FALSE),H196+3,1)))=FALSE(),J_ADDDAY(VLOOKUP(I196,A:F,6,FALSE),H196+3,1),IF(OR(j_WEEKDAY(J_ADDDAY(VLOOKUP(I196,A:F,6,FALSE),H196+4,1),0)=6,SUMIFS(Holieday[ok],Holieday[date],J_ADDDAY(VLOOKUP(I196,A:F,6,FALSE),H196+4,1)))=FALSE(),J_ADDDAY(VLOOKUP(I196,A:F,6,FALSE),H196+4,1),J_ADDDAY(VLOOKUP(I196,A:F,6,FALSE),H196+5,1))))))</f>
        <v>1398/06/31</v>
      </c>
      <c r="E196" s="2">
        <f t="shared" si="63"/>
        <v>13980631</v>
      </c>
      <c r="F196" s="13" t="str">
        <f>IF(N196=0,J_SUBDAY(D196,1,1),IF((N196-NETWORKDAYS.INTL(J_GregorianDate(D196,1),J_GregorianDate(J_SUBDAY(J_ADDDAY(D196,N196,1),1,1),1),16,1)-SUMIFS(Holieday[ok],Holieday[date],CONCATENATE("&gt;","=",D196),Holieday[date],CONCATENATE("&lt;","=",J_SUBDAY(J_ADDDAY(D196,N196,1),1,1)))+SUMIFS(Holieday[Friday],Holieday[date],CONCATENATE("&gt;","=",D196),Holieday[date],CONCATENATE("&lt;","=",J_SUBDAY(J_ADDDAY(D196,N196,1),1,1))))=0,J_SUBDAY(J_ADDDAY(D196,N196,1),1,1),IF((N196-NETWORKDAYS.INTL(J_GregorianDate(D196,1),J_GregorianDate(J_SUBDAY(J_ADDDAY(D196,N196,1),1,1),1),16,1)-SUMIFS(Holieday[ok],Holieday[date],CONCATENATE("&gt;","=",D196),Holieday[date],CONCATENATE("&lt;","=",J_SUBDAY(J_ADDDAY(D196,N196,1),1,1)))+SUMIFS(Holieday[Friday],Holieday[date],CONCATENATE("&gt;","=",D196),Holieday[date],CONCATENATE("&lt;","=",J_SUBDAY(J_ADDDAY(D196,N196,1),1,1))))=1,J_SUBDAY(J_ADDDAY(D196,N196+1,1),1,1),IF((N196-NETWORKDAYS.INTL(J_GregorianDate(D196,1),J_GregorianDate(J_SUBDAY(J_ADDDAY(D196,N196,1),1,1),1),16,1)-SUMIFS(Holieday[ok],Holieday[date],CONCATENATE("&gt;","=",D196),Holieday[date],CONCATENATE("&lt;","=",J_SUBDAY(J_ADDDAY(D196,N196,1),1,1)))+SUMIFS(Holieday[Friday],Holieday[date],CONCATENATE("&gt;","=",D196),Holieday[date],CONCATENATE("&lt;","=",J_SUBDAY(J_ADDDAY(D196,N196,1),1,1))))=2,J_SUBDAY(J_ADDDAY(D196,N196+2,1),1,1),J_SUBDAY(J_ADDDAY(D196,N196+3,1),1,1)))))</f>
        <v>1398/06/30</v>
      </c>
      <c r="G196" s="3">
        <f t="shared" si="64"/>
        <v>13980630</v>
      </c>
      <c r="H196" s="119"/>
      <c r="I196" s="120">
        <v>1.1000000000000001</v>
      </c>
      <c r="J196" s="10">
        <f>j_WEEKDAY(D196,2)</f>
        <v>1</v>
      </c>
      <c r="K196" s="22">
        <f t="shared" si="61"/>
        <v>0</v>
      </c>
      <c r="L196" s="9">
        <f t="shared" si="62"/>
        <v>0</v>
      </c>
      <c r="M196" s="121">
        <v>0</v>
      </c>
      <c r="N196" s="118">
        <v>0</v>
      </c>
      <c r="O196" s="11">
        <f t="shared" si="59"/>
        <v>0</v>
      </c>
      <c r="P196" s="11">
        <f>VALUE(J_normdate(J_ADDDAY($D196,$O196,1)))</f>
        <v>13980631</v>
      </c>
      <c r="Q196" s="10">
        <f t="shared" si="60"/>
        <v>0</v>
      </c>
      <c r="R196" s="8"/>
      <c r="S196" s="8"/>
      <c r="T196" s="8"/>
      <c r="U196" s="8"/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/>
      <c r="AH196" s="8"/>
      <c r="AI196" s="8"/>
      <c r="AJ196" s="8"/>
      <c r="AK196" s="8"/>
      <c r="AL196" s="8"/>
      <c r="AM196" s="8"/>
      <c r="AN196" s="8"/>
      <c r="AO196" s="8"/>
      <c r="AP196" s="8"/>
      <c r="AQ196" s="8"/>
      <c r="AR196" s="8"/>
      <c r="AS196" s="8"/>
      <c r="AT196" s="8"/>
      <c r="AU196" s="8"/>
      <c r="AV196" s="8"/>
      <c r="AW196" s="8"/>
      <c r="AX196" s="8"/>
      <c r="AY196" s="8"/>
      <c r="AZ196" s="8"/>
      <c r="BA196" s="8"/>
      <c r="BB196" s="8"/>
      <c r="BC196" s="8"/>
      <c r="BD196" s="8"/>
      <c r="BE196" s="8"/>
      <c r="BF196" s="8"/>
      <c r="BG196" s="8"/>
      <c r="BH196" s="8"/>
      <c r="BI196" s="8"/>
      <c r="BJ196" s="8"/>
      <c r="BK196" s="8"/>
      <c r="BL196" s="8"/>
      <c r="BM196" s="8"/>
      <c r="BN196" s="8"/>
      <c r="BO196" s="8"/>
      <c r="BP196" s="8"/>
      <c r="BQ196" s="8"/>
      <c r="BR196" s="8"/>
      <c r="BS196" s="8"/>
      <c r="BT196" s="8"/>
      <c r="BU196" s="8"/>
      <c r="BV196" s="8"/>
      <c r="BW196" s="8"/>
      <c r="BX196" s="8"/>
      <c r="BY196" s="8"/>
      <c r="BZ196" s="8"/>
      <c r="CA196" s="8"/>
      <c r="CB196" s="8"/>
      <c r="CC196" s="8"/>
      <c r="CD196" s="8"/>
      <c r="CE196" s="8"/>
      <c r="CF196" s="8"/>
      <c r="CG196" s="8"/>
      <c r="CH196" s="8"/>
      <c r="CI196" s="8"/>
      <c r="CJ196" s="8"/>
      <c r="CK196" s="8"/>
      <c r="CL196" s="8"/>
      <c r="CM196" s="8"/>
      <c r="CN196" s="8"/>
      <c r="CO196" s="8"/>
      <c r="CP196" s="8"/>
      <c r="CQ196" s="8"/>
      <c r="CR196" s="8"/>
      <c r="CS196" s="8"/>
      <c r="CT196" s="8"/>
      <c r="CU196" s="8"/>
      <c r="CV196" s="8"/>
      <c r="CW196" s="8"/>
      <c r="CX196" s="8"/>
      <c r="CY196" s="8"/>
      <c r="CZ196" s="8"/>
      <c r="DA196" s="8"/>
      <c r="DB196" s="8"/>
      <c r="DC196" s="8"/>
      <c r="DD196" s="8"/>
      <c r="DE196" s="8"/>
      <c r="DF196" s="8"/>
      <c r="DG196" s="8"/>
      <c r="DH196" s="8"/>
      <c r="DI196" s="8"/>
      <c r="DJ196" s="8"/>
      <c r="DK196" s="8"/>
      <c r="DL196" s="8"/>
      <c r="DM196" s="8"/>
      <c r="DN196" s="8"/>
      <c r="DO196" s="8"/>
      <c r="DP196" s="8"/>
      <c r="DQ196" s="8"/>
      <c r="DR196" s="8"/>
      <c r="DS196" s="8"/>
      <c r="DT196" s="8"/>
      <c r="DU196" s="8"/>
      <c r="DV196" s="8"/>
      <c r="DW196" s="8"/>
      <c r="DX196" s="8"/>
      <c r="DY196" s="8"/>
      <c r="DZ196" s="8"/>
      <c r="EA196" s="8"/>
      <c r="EB196" s="8"/>
      <c r="EC196" s="8"/>
      <c r="ED196" s="8"/>
      <c r="EE196" s="8"/>
      <c r="EF196" s="8"/>
      <c r="EG196" s="8"/>
      <c r="EH196" s="8"/>
      <c r="EI196" s="8"/>
      <c r="EJ196" s="8"/>
      <c r="EK196" s="8"/>
      <c r="EL196" s="8"/>
      <c r="EM196" s="8"/>
      <c r="EN196" s="8"/>
      <c r="EO196" s="8"/>
      <c r="EP196" s="8"/>
      <c r="EQ196" s="8"/>
      <c r="ER196" s="8"/>
      <c r="ES196" s="8"/>
      <c r="ET196" s="8"/>
      <c r="EU196" s="8"/>
      <c r="EV196" s="8"/>
      <c r="EW196" s="8"/>
      <c r="EX196" s="8"/>
      <c r="EY196" s="8"/>
      <c r="EZ196" s="8"/>
      <c r="FA196" s="8"/>
      <c r="FB196" s="8"/>
      <c r="FC196" s="8"/>
      <c r="FD196" s="8"/>
      <c r="FE196" s="8"/>
      <c r="FF196" s="8"/>
      <c r="FG196" s="8"/>
      <c r="FH196" s="8"/>
      <c r="FI196" s="8"/>
      <c r="FJ196" s="8"/>
      <c r="FK196" s="8"/>
      <c r="FL196" s="8"/>
      <c r="FM196" s="8"/>
      <c r="FN196" s="8"/>
      <c r="FO196" s="8"/>
      <c r="FP196" s="8"/>
      <c r="FQ196" s="8"/>
      <c r="FR196" s="8"/>
      <c r="FS196" s="8"/>
      <c r="FT196" s="8"/>
      <c r="FU196" s="8"/>
      <c r="FV196" s="8"/>
      <c r="FW196" s="8"/>
      <c r="FX196" s="8"/>
      <c r="FY196" s="8"/>
      <c r="FZ196" s="8"/>
      <c r="GA196" s="8"/>
      <c r="GB196" s="8"/>
      <c r="GC196" s="8"/>
      <c r="GD196" s="8"/>
      <c r="GE196" s="8"/>
      <c r="GF196" s="8"/>
      <c r="GG196" s="8"/>
      <c r="GH196" s="8"/>
      <c r="GI196" s="8"/>
      <c r="GJ196" s="8"/>
      <c r="GK196" s="8"/>
      <c r="GL196" s="8"/>
      <c r="GM196" s="8"/>
      <c r="GN196" s="8"/>
      <c r="GO196" s="8"/>
      <c r="GP196" s="8"/>
      <c r="GQ196" s="8"/>
      <c r="GR196" s="8"/>
      <c r="GS196" s="8"/>
      <c r="GT196" s="8"/>
      <c r="GU196" s="8"/>
      <c r="GV196" s="8"/>
      <c r="GW196" s="8"/>
      <c r="GX196" s="8"/>
      <c r="GY196" s="8"/>
      <c r="GZ196" s="8"/>
      <c r="HA196" s="8"/>
      <c r="HB196" s="8"/>
      <c r="HC196" s="8"/>
      <c r="HD196" s="8"/>
      <c r="HE196" s="8"/>
      <c r="HF196" s="8"/>
      <c r="HG196" s="8"/>
      <c r="HH196" s="8"/>
      <c r="HI196" s="8"/>
      <c r="HJ196" s="8"/>
      <c r="HK196" s="8"/>
      <c r="HL196" s="8"/>
      <c r="HM196" s="8"/>
      <c r="HN196" s="8"/>
      <c r="HO196" s="8"/>
      <c r="HP196" s="8"/>
      <c r="HQ196" s="8"/>
      <c r="HR196" s="8"/>
      <c r="HS196" s="8"/>
      <c r="HT196" s="8"/>
      <c r="HU196" s="8"/>
      <c r="HV196" s="8"/>
      <c r="HW196" s="8"/>
      <c r="HX196" s="8"/>
      <c r="HY196" s="8"/>
      <c r="HZ196" s="8"/>
      <c r="IA196" s="8"/>
      <c r="IB196" s="8"/>
      <c r="IC196" s="8"/>
      <c r="ID196" s="8"/>
      <c r="IE196" s="8"/>
      <c r="IF196" s="8"/>
      <c r="IG196" s="8"/>
      <c r="IH196" s="8"/>
      <c r="II196" s="8"/>
      <c r="IJ196" s="8"/>
      <c r="IK196" s="8"/>
      <c r="IL196" s="8"/>
      <c r="IM196" s="8"/>
      <c r="IN196" s="8"/>
      <c r="IO196" s="8"/>
      <c r="IP196" s="8"/>
      <c r="IQ196" s="8"/>
      <c r="IR196" s="8"/>
      <c r="IS196" s="8"/>
      <c r="IT196" s="8"/>
      <c r="IU196" s="8"/>
      <c r="IV196" s="8"/>
      <c r="IW196" s="8"/>
      <c r="IX196" s="8"/>
      <c r="JA196" s="123"/>
      <c r="JB196" s="123"/>
      <c r="JC196" s="123"/>
      <c r="JD196" s="70">
        <f>SUM((TEXT(JA196,"[M]")/60)*'Income Person-hours'!$D$3,(TEXT(JB196,"[M]")/60)*'Income Person-hours'!$D$4,(TEXT(JC196,"[M]")/60)*'Income Person-hours'!$D$5)</f>
        <v>0</v>
      </c>
    </row>
    <row r="197" spans="1:264 16383:16384" s="266" customFormat="1" ht="15.75" hidden="1" x14ac:dyDescent="0.45">
      <c r="A197" s="262">
        <v>9</v>
      </c>
      <c r="B197" s="263"/>
      <c r="C197" s="264"/>
      <c r="D197" s="265" t="str">
        <f>FDate(MIN(E198:E218))</f>
        <v>1398/06/31</v>
      </c>
      <c r="E197" s="2">
        <f t="shared" si="63"/>
        <v>13980631</v>
      </c>
      <c r="F197" s="265" t="str">
        <f>J_SUBDAY(J_ADDDAY(D197,L197,1),1,1)</f>
        <v>1398/06/30</v>
      </c>
      <c r="G197" s="3">
        <f t="shared" si="64"/>
        <v>13980630</v>
      </c>
      <c r="H197" s="124"/>
      <c r="I197" s="125"/>
      <c r="J197" s="265">
        <f>j_WEEKDAY(D197,2)</f>
        <v>1</v>
      </c>
      <c r="K197" s="21">
        <f>SUM(K198:K218)</f>
        <v>0</v>
      </c>
      <c r="L197" s="271">
        <f>J_DIFF(D197,FDate(MAX(G198:G218)))+1</f>
        <v>0</v>
      </c>
      <c r="M197" s="272">
        <f>IF(SUM(L198:L218)&lt;&gt;0,SUMPRODUCT(L198:L218,M198:M218)/SUM(L198:L218),0)</f>
        <v>0</v>
      </c>
      <c r="N197" s="259">
        <f>IF(F197&gt;=D197,NETWORKDAYS.INTL(J_GregorianDate(D197,1),J_GregorianDate(F197,1),16,1)-SUMIFS(Holieday[ok],Holieday[date],CONCATENATE("&gt;","=",D197),Holieday[date],CONCATENATE("&lt;","=",F197))+SUMIFS(Holieday[Friday],Holieday[date],CONCATENATE("&gt;","=",D197),Holieday[date],CONCATENATE("&lt;","=",F197)),0)</f>
        <v>0</v>
      </c>
      <c r="O197" s="15">
        <f t="shared" ref="O197:O218" si="65">ROUNDDOWN(M197*L197,0)</f>
        <v>0</v>
      </c>
      <c r="P197" s="15">
        <f>VALUE(J_normdate(J_ADDDAY($D197,$O197,1)))</f>
        <v>13980631</v>
      </c>
      <c r="Q197" s="5">
        <f t="shared" ref="Q197:Q218" si="66">L197-O197</f>
        <v>0</v>
      </c>
      <c r="IY197" s="267"/>
      <c r="IZ197" s="267"/>
      <c r="JA197" s="268"/>
      <c r="JB197" s="269"/>
      <c r="JC197" s="270"/>
      <c r="XFC197" s="265"/>
      <c r="XFD197" s="265"/>
    </row>
    <row r="198" spans="1:264 16383:16384" s="12" customFormat="1" ht="15.75" hidden="1" x14ac:dyDescent="0.45">
      <c r="A198" s="32">
        <v>9.1</v>
      </c>
      <c r="B198" s="116"/>
      <c r="C198" s="117"/>
      <c r="D198" s="13" t="str">
        <f>IF(OR(j_WEEKDAY(J_ADDDAY(VLOOKUP(I198,A:F,6,FALSE),H198,1),0)=6,SUMIFS(Holieday[ok],Holieday[date],J_ADDDAY(VLOOKUP(I198,A:F,6,FALSE),H198,1)))=FALSE(),J_ADDDAY(VLOOKUP(I198,A:F,6,FALSE),H198,1),IF(OR(j_WEEKDAY(J_ADDDAY(VLOOKUP(I198,A:F,6,FALSE),H198+1,1),0)=6,SUMIFS(Holieday[ok],Holieday[date],J_ADDDAY(VLOOKUP(I198,A:F,6,FALSE),H198+1,1)))=FALSE(),J_ADDDAY(VLOOKUP(I198,A:F,6,FALSE),H198+1,1),IF(OR(j_WEEKDAY(J_ADDDAY(VLOOKUP(I198,A:F,6,FALSE),H198+2,1),0)=6,SUMIFS(Holieday[ok],Holieday[date],J_ADDDAY(VLOOKUP(I198,A:F,6,FALSE),H198+2,1)))=FALSE(),J_ADDDAY(VLOOKUP(I198,A:F,6,FALSE),H198+2,1),IF(OR(j_WEEKDAY(J_ADDDAY(VLOOKUP(I198,A:F,6,FALSE),H198+3,1),0)=6,SUMIFS(Holieday[ok],Holieday[date],J_ADDDAY(VLOOKUP(I198,A:F,6,FALSE),H198+3,1)))=FALSE(),J_ADDDAY(VLOOKUP(I198,A:F,6,FALSE),H198+3,1),IF(OR(j_WEEKDAY(J_ADDDAY(VLOOKUP(I198,A:F,6,FALSE),H198+4,1),0)=6,SUMIFS(Holieday[ok],Holieday[date],J_ADDDAY(VLOOKUP(I198,A:F,6,FALSE),H198+4,1)))=FALSE(),J_ADDDAY(VLOOKUP(I198,A:F,6,FALSE),H198+4,1),J_ADDDAY(VLOOKUP(I198,A:F,6,FALSE),H198+5,1))))))</f>
        <v>1398/06/31</v>
      </c>
      <c r="E198" s="2">
        <f t="shared" si="63"/>
        <v>13980631</v>
      </c>
      <c r="F198" s="13" t="str">
        <f>IF(N198=0,J_SUBDAY(D198,1,1),IF((N198-NETWORKDAYS.INTL(J_GregorianDate(D198,1),J_GregorianDate(J_SUBDAY(J_ADDDAY(D198,N198,1),1,1),1),16,1)-SUMIFS(Holieday[ok],Holieday[date],CONCATENATE("&gt;","=",D198),Holieday[date],CONCATENATE("&lt;","=",J_SUBDAY(J_ADDDAY(D198,N198,1),1,1)))+SUMIFS(Holieday[Friday],Holieday[date],CONCATENATE("&gt;","=",D198),Holieday[date],CONCATENATE("&lt;","=",J_SUBDAY(J_ADDDAY(D198,N198,1),1,1))))=0,J_SUBDAY(J_ADDDAY(D198,N198,1),1,1),IF((N198-NETWORKDAYS.INTL(J_GregorianDate(D198,1),J_GregorianDate(J_SUBDAY(J_ADDDAY(D198,N198,1),1,1),1),16,1)-SUMIFS(Holieday[ok],Holieday[date],CONCATENATE("&gt;","=",D198),Holieday[date],CONCATENATE("&lt;","=",J_SUBDAY(J_ADDDAY(D198,N198,1),1,1)))+SUMIFS(Holieday[Friday],Holieday[date],CONCATENATE("&gt;","=",D198),Holieday[date],CONCATENATE("&lt;","=",J_SUBDAY(J_ADDDAY(D198,N198,1),1,1))))=1,J_SUBDAY(J_ADDDAY(D198,N198+1,1),1,1),IF((N198-NETWORKDAYS.INTL(J_GregorianDate(D198,1),J_GregorianDate(J_SUBDAY(J_ADDDAY(D198,N198,1),1,1),1),16,1)-SUMIFS(Holieday[ok],Holieday[date],CONCATENATE("&gt;","=",D198),Holieday[date],CONCATENATE("&lt;","=",J_SUBDAY(J_ADDDAY(D198,N198,1),1,1)))+SUMIFS(Holieday[Friday],Holieday[date],CONCATENATE("&gt;","=",D198),Holieday[date],CONCATENATE("&lt;","=",J_SUBDAY(J_ADDDAY(D198,N198,1),1,1))))=2,J_SUBDAY(J_ADDDAY(D198,N198+2,1),1,1),J_SUBDAY(J_ADDDAY(D198,N198+3,1),1,1)))))</f>
        <v>1398/06/30</v>
      </c>
      <c r="G198" s="3">
        <f t="shared" si="64"/>
        <v>13980630</v>
      </c>
      <c r="H198" s="119"/>
      <c r="I198" s="120">
        <v>1.1000000000000001</v>
      </c>
      <c r="J198" s="10">
        <f>j_WEEKDAY(D198,2)</f>
        <v>1</v>
      </c>
      <c r="K198" s="22">
        <f>SUM(JA198:JC198)</f>
        <v>0</v>
      </c>
      <c r="L198" s="9">
        <f t="shared" ref="L198:L218" si="67">J_DIFF(D198,F198)+1</f>
        <v>0</v>
      </c>
      <c r="M198" s="121">
        <v>0</v>
      </c>
      <c r="N198" s="118">
        <v>0</v>
      </c>
      <c r="O198" s="11">
        <f t="shared" si="65"/>
        <v>0</v>
      </c>
      <c r="P198" s="11">
        <f>VALUE(J_normdate(J_ADDDAY($D198,$O198,1)))</f>
        <v>13980631</v>
      </c>
      <c r="Q198" s="10">
        <f t="shared" si="66"/>
        <v>0</v>
      </c>
      <c r="R198" s="8"/>
      <c r="S198" s="8"/>
      <c r="T198" s="8"/>
      <c r="U198" s="8"/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/>
      <c r="AH198" s="8"/>
      <c r="AI198" s="8"/>
      <c r="AJ198" s="8"/>
      <c r="AK198" s="8"/>
      <c r="AL198" s="8"/>
      <c r="AM198" s="8"/>
      <c r="AN198" s="8"/>
      <c r="AO198" s="8"/>
      <c r="AP198" s="8"/>
      <c r="AQ198" s="8"/>
      <c r="AR198" s="8"/>
      <c r="AS198" s="8"/>
      <c r="AT198" s="8"/>
      <c r="AU198" s="8"/>
      <c r="AV198" s="8"/>
      <c r="AW198" s="8"/>
      <c r="AX198" s="8"/>
      <c r="AY198" s="8"/>
      <c r="AZ198" s="8"/>
      <c r="BA198" s="8"/>
      <c r="BB198" s="8"/>
      <c r="BC198" s="8"/>
      <c r="BD198" s="8"/>
      <c r="BE198" s="8"/>
      <c r="BF198" s="8"/>
      <c r="BG198" s="8"/>
      <c r="BH198" s="8"/>
      <c r="BI198" s="8"/>
      <c r="BJ198" s="8"/>
      <c r="BK198" s="8"/>
      <c r="BL198" s="8"/>
      <c r="BM198" s="8"/>
      <c r="BN198" s="8"/>
      <c r="BO198" s="8"/>
      <c r="BP198" s="8"/>
      <c r="BQ198" s="8"/>
      <c r="BR198" s="8"/>
      <c r="BS198" s="8"/>
      <c r="BT198" s="8"/>
      <c r="BU198" s="8"/>
      <c r="BV198" s="8"/>
      <c r="BW198" s="8"/>
      <c r="BX198" s="8"/>
      <c r="BY198" s="8"/>
      <c r="BZ198" s="8"/>
      <c r="CA198" s="8"/>
      <c r="CB198" s="8"/>
      <c r="CC198" s="8"/>
      <c r="CD198" s="8"/>
      <c r="CE198" s="8"/>
      <c r="CF198" s="8"/>
      <c r="CG198" s="8"/>
      <c r="CH198" s="8"/>
      <c r="CI198" s="8"/>
      <c r="CJ198" s="8"/>
      <c r="CK198" s="8"/>
      <c r="CL198" s="8"/>
      <c r="CM198" s="8"/>
      <c r="CN198" s="8"/>
      <c r="CO198" s="8"/>
      <c r="CP198" s="8"/>
      <c r="CQ198" s="8"/>
      <c r="CR198" s="8"/>
      <c r="CS198" s="8"/>
      <c r="CT198" s="8"/>
      <c r="CU198" s="8"/>
      <c r="CV198" s="8"/>
      <c r="CW198" s="8"/>
      <c r="CX198" s="8"/>
      <c r="CY198" s="8"/>
      <c r="CZ198" s="8"/>
      <c r="DA198" s="8"/>
      <c r="DB198" s="8"/>
      <c r="DC198" s="8"/>
      <c r="DD198" s="8"/>
      <c r="DE198" s="8"/>
      <c r="DF198" s="8"/>
      <c r="DG198" s="8"/>
      <c r="DH198" s="8"/>
      <c r="DI198" s="8"/>
      <c r="DJ198" s="8"/>
      <c r="DK198" s="8"/>
      <c r="DL198" s="8"/>
      <c r="DM198" s="8"/>
      <c r="DN198" s="8"/>
      <c r="DO198" s="8"/>
      <c r="DP198" s="8"/>
      <c r="DQ198" s="8"/>
      <c r="DR198" s="8"/>
      <c r="DS198" s="8"/>
      <c r="DT198" s="8"/>
      <c r="DU198" s="8"/>
      <c r="DV198" s="8"/>
      <c r="DW198" s="8"/>
      <c r="DX198" s="8"/>
      <c r="DY198" s="8"/>
      <c r="DZ198" s="8"/>
      <c r="EA198" s="8"/>
      <c r="EB198" s="8"/>
      <c r="EC198" s="8"/>
      <c r="ED198" s="8"/>
      <c r="EE198" s="8"/>
      <c r="EF198" s="8"/>
      <c r="EG198" s="8"/>
      <c r="EH198" s="8"/>
      <c r="EI198" s="8"/>
      <c r="EJ198" s="8"/>
      <c r="EK198" s="8"/>
      <c r="EL198" s="8"/>
      <c r="EM198" s="8"/>
      <c r="EN198" s="8"/>
      <c r="EO198" s="8"/>
      <c r="EP198" s="8"/>
      <c r="EQ198" s="8"/>
      <c r="ER198" s="8"/>
      <c r="ES198" s="8"/>
      <c r="ET198" s="8"/>
      <c r="EU198" s="8"/>
      <c r="EV198" s="8"/>
      <c r="EW198" s="8"/>
      <c r="EX198" s="8"/>
      <c r="EY198" s="8"/>
      <c r="EZ198" s="8"/>
      <c r="FA198" s="8"/>
      <c r="FB198" s="8"/>
      <c r="FC198" s="8"/>
      <c r="FD198" s="8"/>
      <c r="FE198" s="8"/>
      <c r="FF198" s="8"/>
      <c r="FG198" s="8"/>
      <c r="FH198" s="8"/>
      <c r="FI198" s="8"/>
      <c r="FJ198" s="8"/>
      <c r="FK198" s="8"/>
      <c r="FL198" s="8"/>
      <c r="FM198" s="8"/>
      <c r="FN198" s="8"/>
      <c r="FO198" s="8"/>
      <c r="FP198" s="8"/>
      <c r="FQ198" s="8"/>
      <c r="FR198" s="8"/>
      <c r="FS198" s="8"/>
      <c r="FT198" s="8"/>
      <c r="FU198" s="8"/>
      <c r="FV198" s="8"/>
      <c r="FW198" s="8"/>
      <c r="FX198" s="8"/>
      <c r="FY198" s="8"/>
      <c r="FZ198" s="8"/>
      <c r="GA198" s="8"/>
      <c r="GB198" s="8"/>
      <c r="GC198" s="8"/>
      <c r="GD198" s="8"/>
      <c r="GE198" s="8"/>
      <c r="GF198" s="8"/>
      <c r="GG198" s="8"/>
      <c r="GH198" s="8"/>
      <c r="GI198" s="8"/>
      <c r="GJ198" s="8"/>
      <c r="GK198" s="8"/>
      <c r="GL198" s="8"/>
      <c r="GM198" s="8"/>
      <c r="GN198" s="8"/>
      <c r="GO198" s="8"/>
      <c r="GP198" s="8"/>
      <c r="GQ198" s="8"/>
      <c r="GR198" s="8"/>
      <c r="GS198" s="8"/>
      <c r="GT198" s="8"/>
      <c r="GU198" s="8"/>
      <c r="GV198" s="8"/>
      <c r="GW198" s="8"/>
      <c r="GX198" s="8"/>
      <c r="GY198" s="8"/>
      <c r="GZ198" s="8"/>
      <c r="HA198" s="8"/>
      <c r="HB198" s="8"/>
      <c r="HC198" s="8"/>
      <c r="HD198" s="8"/>
      <c r="HE198" s="8"/>
      <c r="HF198" s="8"/>
      <c r="HG198" s="8"/>
      <c r="HH198" s="8"/>
      <c r="HI198" s="8"/>
      <c r="HJ198" s="8"/>
      <c r="HK198" s="8"/>
      <c r="HL198" s="8"/>
      <c r="HM198" s="8"/>
      <c r="HN198" s="8"/>
      <c r="HO198" s="8"/>
      <c r="HP198" s="8"/>
      <c r="HQ198" s="8"/>
      <c r="HR198" s="8"/>
      <c r="HS198" s="8"/>
      <c r="HT198" s="8"/>
      <c r="HU198" s="8"/>
      <c r="HV198" s="8"/>
      <c r="HW198" s="8"/>
      <c r="HX198" s="8"/>
      <c r="HY198" s="8"/>
      <c r="HZ198" s="8"/>
      <c r="IA198" s="8"/>
      <c r="IB198" s="8"/>
      <c r="IC198" s="8"/>
      <c r="ID198" s="8"/>
      <c r="IE198" s="8"/>
      <c r="IF198" s="8"/>
      <c r="IG198" s="8"/>
      <c r="IH198" s="8"/>
      <c r="II198" s="8"/>
      <c r="IJ198" s="8"/>
      <c r="IK198" s="8"/>
      <c r="IL198" s="8"/>
      <c r="IM198" s="8"/>
      <c r="IN198" s="8"/>
      <c r="IO198" s="8"/>
      <c r="IP198" s="8"/>
      <c r="IQ198" s="8"/>
      <c r="IR198" s="8"/>
      <c r="IS198" s="8"/>
      <c r="IT198" s="8"/>
      <c r="IU198" s="8"/>
      <c r="IV198" s="8"/>
      <c r="IW198" s="8"/>
      <c r="IX198" s="8"/>
      <c r="JA198" s="123"/>
      <c r="JB198" s="123"/>
      <c r="JC198" s="123"/>
      <c r="JD198" s="70">
        <f>SUM((TEXT(JA198,"[M]")/60)*'Income Person-hours'!$D$3,(TEXT(JB198,"[M]")/60)*'Income Person-hours'!$D$4,(TEXT(JC198,"[M]")/60)*'Income Person-hours'!$D$5)</f>
        <v>0</v>
      </c>
    </row>
    <row r="199" spans="1:264 16383:16384" s="12" customFormat="1" ht="15.75" hidden="1" x14ac:dyDescent="0.45">
      <c r="A199" s="32">
        <v>9.1999999999999993</v>
      </c>
      <c r="B199" s="116"/>
      <c r="C199" s="117"/>
      <c r="D199" s="13" t="str">
        <f>IF(OR(j_WEEKDAY(J_ADDDAY(VLOOKUP(I199,A:F,6,FALSE),H199,1),0)=6,SUMIFS(Holieday[ok],Holieday[date],J_ADDDAY(VLOOKUP(I199,A:F,6,FALSE),H199,1)))=FALSE(),J_ADDDAY(VLOOKUP(I199,A:F,6,FALSE),H199,1),IF(OR(j_WEEKDAY(J_ADDDAY(VLOOKUP(I199,A:F,6,FALSE),H199+1,1),0)=6,SUMIFS(Holieday[ok],Holieday[date],J_ADDDAY(VLOOKUP(I199,A:F,6,FALSE),H199+1,1)))=FALSE(),J_ADDDAY(VLOOKUP(I199,A:F,6,FALSE),H199+1,1),IF(OR(j_WEEKDAY(J_ADDDAY(VLOOKUP(I199,A:F,6,FALSE),H199+2,1),0)=6,SUMIFS(Holieday[ok],Holieday[date],J_ADDDAY(VLOOKUP(I199,A:F,6,FALSE),H199+2,1)))=FALSE(),J_ADDDAY(VLOOKUP(I199,A:F,6,FALSE),H199+2,1),IF(OR(j_WEEKDAY(J_ADDDAY(VLOOKUP(I199,A:F,6,FALSE),H199+3,1),0)=6,SUMIFS(Holieday[ok],Holieday[date],J_ADDDAY(VLOOKUP(I199,A:F,6,FALSE),H199+3,1)))=FALSE(),J_ADDDAY(VLOOKUP(I199,A:F,6,FALSE),H199+3,1),IF(OR(j_WEEKDAY(J_ADDDAY(VLOOKUP(I199,A:F,6,FALSE),H199+4,1),0)=6,SUMIFS(Holieday[ok],Holieday[date],J_ADDDAY(VLOOKUP(I199,A:F,6,FALSE),H199+4,1)))=FALSE(),J_ADDDAY(VLOOKUP(I199,A:F,6,FALSE),H199+4,1),J_ADDDAY(VLOOKUP(I199,A:F,6,FALSE),H199+5,1))))))</f>
        <v>1398/06/31</v>
      </c>
      <c r="E199" s="2">
        <f t="shared" si="63"/>
        <v>13980631</v>
      </c>
      <c r="F199" s="13" t="str">
        <f>IF(N199=0,J_SUBDAY(D199,1,1),IF((N199-NETWORKDAYS.INTL(J_GregorianDate(D199,1),J_GregorianDate(J_SUBDAY(J_ADDDAY(D199,N199,1),1,1),1),16,1)-SUMIFS(Holieday[ok],Holieday[date],CONCATENATE("&gt;","=",D199),Holieday[date],CONCATENATE("&lt;","=",J_SUBDAY(J_ADDDAY(D199,N199,1),1,1)))+SUMIFS(Holieday[Friday],Holieday[date],CONCATENATE("&gt;","=",D199),Holieday[date],CONCATENATE("&lt;","=",J_SUBDAY(J_ADDDAY(D199,N199,1),1,1))))=0,J_SUBDAY(J_ADDDAY(D199,N199,1),1,1),IF((N199-NETWORKDAYS.INTL(J_GregorianDate(D199,1),J_GregorianDate(J_SUBDAY(J_ADDDAY(D199,N199,1),1,1),1),16,1)-SUMIFS(Holieday[ok],Holieday[date],CONCATENATE("&gt;","=",D199),Holieday[date],CONCATENATE("&lt;","=",J_SUBDAY(J_ADDDAY(D199,N199,1),1,1)))+SUMIFS(Holieday[Friday],Holieday[date],CONCATENATE("&gt;","=",D199),Holieday[date],CONCATENATE("&lt;","=",J_SUBDAY(J_ADDDAY(D199,N199,1),1,1))))=1,J_SUBDAY(J_ADDDAY(D199,N199+1,1),1,1),IF((N199-NETWORKDAYS.INTL(J_GregorianDate(D199,1),J_GregorianDate(J_SUBDAY(J_ADDDAY(D199,N199,1),1,1),1),16,1)-SUMIFS(Holieday[ok],Holieday[date],CONCATENATE("&gt;","=",D199),Holieday[date],CONCATENATE("&lt;","=",J_SUBDAY(J_ADDDAY(D199,N199,1),1,1)))+SUMIFS(Holieday[Friday],Holieday[date],CONCATENATE("&gt;","=",D199),Holieday[date],CONCATENATE("&lt;","=",J_SUBDAY(J_ADDDAY(D199,N199,1),1,1))))=2,J_SUBDAY(J_ADDDAY(D199,N199+2,1),1,1),J_SUBDAY(J_ADDDAY(D199,N199+3,1),1,1)))))</f>
        <v>1398/06/30</v>
      </c>
      <c r="G199" s="3">
        <f t="shared" si="64"/>
        <v>13980630</v>
      </c>
      <c r="H199" s="119"/>
      <c r="I199" s="120">
        <v>1.1000000000000001</v>
      </c>
      <c r="J199" s="10">
        <f>j_WEEKDAY(D199,2)</f>
        <v>1</v>
      </c>
      <c r="K199" s="22">
        <f t="shared" ref="K199:K240" si="68">SUM(JA199:JC199)</f>
        <v>0</v>
      </c>
      <c r="L199" s="9">
        <f t="shared" si="67"/>
        <v>0</v>
      </c>
      <c r="M199" s="121">
        <v>0</v>
      </c>
      <c r="N199" s="118">
        <v>0</v>
      </c>
      <c r="O199" s="11">
        <f t="shared" si="65"/>
        <v>0</v>
      </c>
      <c r="P199" s="11">
        <f>VALUE(J_normdate(J_ADDDAY($D199,$O199,1)))</f>
        <v>13980631</v>
      </c>
      <c r="Q199" s="10">
        <f t="shared" si="66"/>
        <v>0</v>
      </c>
      <c r="R199" s="8"/>
      <c r="S199" s="8"/>
      <c r="T199" s="8"/>
      <c r="U199" s="8"/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/>
      <c r="AH199" s="8"/>
      <c r="AI199" s="8"/>
      <c r="AJ199" s="8"/>
      <c r="AK199" s="8"/>
      <c r="AL199" s="8"/>
      <c r="AM199" s="8"/>
      <c r="AN199" s="8"/>
      <c r="AO199" s="8"/>
      <c r="AP199" s="8"/>
      <c r="AQ199" s="8"/>
      <c r="AR199" s="8"/>
      <c r="AS199" s="8"/>
      <c r="AT199" s="8"/>
      <c r="AU199" s="8"/>
      <c r="AV199" s="8"/>
      <c r="AW199" s="8"/>
      <c r="AX199" s="8"/>
      <c r="AY199" s="8"/>
      <c r="AZ199" s="8"/>
      <c r="BA199" s="8"/>
      <c r="BB199" s="8"/>
      <c r="BC199" s="8"/>
      <c r="BD199" s="8"/>
      <c r="BE199" s="8"/>
      <c r="BF199" s="8"/>
      <c r="BG199" s="8"/>
      <c r="BH199" s="8"/>
      <c r="BI199" s="8"/>
      <c r="BJ199" s="8"/>
      <c r="BK199" s="8"/>
      <c r="BL199" s="8"/>
      <c r="BM199" s="8"/>
      <c r="BN199" s="8"/>
      <c r="BO199" s="8"/>
      <c r="BP199" s="8"/>
      <c r="BQ199" s="8"/>
      <c r="BR199" s="8"/>
      <c r="BS199" s="8"/>
      <c r="BT199" s="8"/>
      <c r="BU199" s="8"/>
      <c r="BV199" s="8"/>
      <c r="BW199" s="8"/>
      <c r="BX199" s="8"/>
      <c r="BY199" s="8"/>
      <c r="BZ199" s="8"/>
      <c r="CA199" s="8"/>
      <c r="CB199" s="8"/>
      <c r="CC199" s="8"/>
      <c r="CD199" s="8"/>
      <c r="CE199" s="8"/>
      <c r="CF199" s="8"/>
      <c r="CG199" s="8"/>
      <c r="CH199" s="8"/>
      <c r="CI199" s="8"/>
      <c r="CJ199" s="8"/>
      <c r="CK199" s="8"/>
      <c r="CL199" s="8"/>
      <c r="CM199" s="8"/>
      <c r="CN199" s="8"/>
      <c r="CO199" s="8"/>
      <c r="CP199" s="8"/>
      <c r="CQ199" s="8"/>
      <c r="CR199" s="8"/>
      <c r="CS199" s="8"/>
      <c r="CT199" s="8"/>
      <c r="CU199" s="8"/>
      <c r="CV199" s="8"/>
      <c r="CW199" s="8"/>
      <c r="CX199" s="8"/>
      <c r="CY199" s="8"/>
      <c r="CZ199" s="8"/>
      <c r="DA199" s="8"/>
      <c r="DB199" s="8"/>
      <c r="DC199" s="8"/>
      <c r="DD199" s="8"/>
      <c r="DE199" s="8"/>
      <c r="DF199" s="8"/>
      <c r="DG199" s="8"/>
      <c r="DH199" s="8"/>
      <c r="DI199" s="8"/>
      <c r="DJ199" s="8"/>
      <c r="DK199" s="8"/>
      <c r="DL199" s="8"/>
      <c r="DM199" s="8"/>
      <c r="DN199" s="8"/>
      <c r="DO199" s="8"/>
      <c r="DP199" s="8"/>
      <c r="DQ199" s="8"/>
      <c r="DR199" s="8"/>
      <c r="DS199" s="8"/>
      <c r="DT199" s="8"/>
      <c r="DU199" s="8"/>
      <c r="DV199" s="8"/>
      <c r="DW199" s="8"/>
      <c r="DX199" s="8"/>
      <c r="DY199" s="8"/>
      <c r="DZ199" s="8"/>
      <c r="EA199" s="8"/>
      <c r="EB199" s="8"/>
      <c r="EC199" s="8"/>
      <c r="ED199" s="8"/>
      <c r="EE199" s="8"/>
      <c r="EF199" s="8"/>
      <c r="EG199" s="8"/>
      <c r="EH199" s="8"/>
      <c r="EI199" s="8"/>
      <c r="EJ199" s="8"/>
      <c r="EK199" s="8"/>
      <c r="EL199" s="8"/>
      <c r="EM199" s="8"/>
      <c r="EN199" s="8"/>
      <c r="EO199" s="8"/>
      <c r="EP199" s="8"/>
      <c r="EQ199" s="8"/>
      <c r="ER199" s="8"/>
      <c r="ES199" s="8"/>
      <c r="ET199" s="8"/>
      <c r="EU199" s="8"/>
      <c r="EV199" s="8"/>
      <c r="EW199" s="8"/>
      <c r="EX199" s="8"/>
      <c r="EY199" s="8"/>
      <c r="EZ199" s="8"/>
      <c r="FA199" s="8"/>
      <c r="FB199" s="8"/>
      <c r="FC199" s="8"/>
      <c r="FD199" s="8"/>
      <c r="FE199" s="8"/>
      <c r="FF199" s="8"/>
      <c r="FG199" s="8"/>
      <c r="FH199" s="8"/>
      <c r="FI199" s="8"/>
      <c r="FJ199" s="8"/>
      <c r="FK199" s="8"/>
      <c r="FL199" s="8"/>
      <c r="FM199" s="8"/>
      <c r="FN199" s="8"/>
      <c r="FO199" s="8"/>
      <c r="FP199" s="8"/>
      <c r="FQ199" s="8"/>
      <c r="FR199" s="8"/>
      <c r="FS199" s="8"/>
      <c r="FT199" s="8"/>
      <c r="FU199" s="8"/>
      <c r="FV199" s="8"/>
      <c r="FW199" s="8"/>
      <c r="FX199" s="8"/>
      <c r="FY199" s="8"/>
      <c r="FZ199" s="8"/>
      <c r="GA199" s="8"/>
      <c r="GB199" s="8"/>
      <c r="GC199" s="8"/>
      <c r="GD199" s="8"/>
      <c r="GE199" s="8"/>
      <c r="GF199" s="8"/>
      <c r="GG199" s="8"/>
      <c r="GH199" s="8"/>
      <c r="GI199" s="8"/>
      <c r="GJ199" s="8"/>
      <c r="GK199" s="8"/>
      <c r="GL199" s="8"/>
      <c r="GM199" s="8"/>
      <c r="GN199" s="8"/>
      <c r="GO199" s="8"/>
      <c r="GP199" s="8"/>
      <c r="GQ199" s="8"/>
      <c r="GR199" s="8"/>
      <c r="GS199" s="8"/>
      <c r="GT199" s="8"/>
      <c r="GU199" s="8"/>
      <c r="GV199" s="8"/>
      <c r="GW199" s="8"/>
      <c r="GX199" s="8"/>
      <c r="GY199" s="8"/>
      <c r="GZ199" s="8"/>
      <c r="HA199" s="8"/>
      <c r="HB199" s="8"/>
      <c r="HC199" s="8"/>
      <c r="HD199" s="8"/>
      <c r="HE199" s="8"/>
      <c r="HF199" s="8"/>
      <c r="HG199" s="8"/>
      <c r="HH199" s="8"/>
      <c r="HI199" s="8"/>
      <c r="HJ199" s="8"/>
      <c r="HK199" s="8"/>
      <c r="HL199" s="8"/>
      <c r="HM199" s="8"/>
      <c r="HN199" s="8"/>
      <c r="HO199" s="8"/>
      <c r="HP199" s="8"/>
      <c r="HQ199" s="8"/>
      <c r="HR199" s="8"/>
      <c r="HS199" s="8"/>
      <c r="HT199" s="8"/>
      <c r="HU199" s="8"/>
      <c r="HV199" s="8"/>
      <c r="HW199" s="8"/>
      <c r="HX199" s="8"/>
      <c r="HY199" s="8"/>
      <c r="HZ199" s="8"/>
      <c r="IA199" s="8"/>
      <c r="IB199" s="8"/>
      <c r="IC199" s="8"/>
      <c r="ID199" s="8"/>
      <c r="IE199" s="8"/>
      <c r="IF199" s="8"/>
      <c r="IG199" s="8"/>
      <c r="IH199" s="8"/>
      <c r="II199" s="8"/>
      <c r="IJ199" s="8"/>
      <c r="IK199" s="8"/>
      <c r="IL199" s="8"/>
      <c r="IM199" s="8"/>
      <c r="IN199" s="8"/>
      <c r="IO199" s="8"/>
      <c r="IP199" s="8"/>
      <c r="IQ199" s="8"/>
      <c r="IR199" s="8"/>
      <c r="IS199" s="8"/>
      <c r="IT199" s="8"/>
      <c r="IU199" s="8"/>
      <c r="IV199" s="8"/>
      <c r="IW199" s="8"/>
      <c r="IX199" s="8"/>
      <c r="JA199" s="123"/>
      <c r="JB199" s="123"/>
      <c r="JC199" s="123"/>
      <c r="JD199" s="70">
        <f>SUM((TEXT(JA199,"[M]")/60)*'Income Person-hours'!$D$3,(TEXT(JB199,"[M]")/60)*'Income Person-hours'!$D$4,(TEXT(JC199,"[M]")/60)*'Income Person-hours'!$D$5)</f>
        <v>0</v>
      </c>
    </row>
    <row r="200" spans="1:264 16383:16384" s="12" customFormat="1" ht="15.75" hidden="1" x14ac:dyDescent="0.45">
      <c r="A200" s="32">
        <v>9.3000000000000007</v>
      </c>
      <c r="B200" s="126"/>
      <c r="C200" s="117"/>
      <c r="D200" s="13" t="str">
        <f>IF(OR(j_WEEKDAY(J_ADDDAY(VLOOKUP(I200,A:F,6,FALSE),H200,1),0)=6,SUMIFS(Holieday[ok],Holieday[date],J_ADDDAY(VLOOKUP(I200,A:F,6,FALSE),H200,1)))=FALSE(),J_ADDDAY(VLOOKUP(I200,A:F,6,FALSE),H200,1),IF(OR(j_WEEKDAY(J_ADDDAY(VLOOKUP(I200,A:F,6,FALSE),H200+1,1),0)=6,SUMIFS(Holieday[ok],Holieday[date],J_ADDDAY(VLOOKUP(I200,A:F,6,FALSE),H200+1,1)))=FALSE(),J_ADDDAY(VLOOKUP(I200,A:F,6,FALSE),H200+1,1),IF(OR(j_WEEKDAY(J_ADDDAY(VLOOKUP(I200,A:F,6,FALSE),H200+2,1),0)=6,SUMIFS(Holieday[ok],Holieday[date],J_ADDDAY(VLOOKUP(I200,A:F,6,FALSE),H200+2,1)))=FALSE(),J_ADDDAY(VLOOKUP(I200,A:F,6,FALSE),H200+2,1),IF(OR(j_WEEKDAY(J_ADDDAY(VLOOKUP(I200,A:F,6,FALSE),H200+3,1),0)=6,SUMIFS(Holieday[ok],Holieday[date],J_ADDDAY(VLOOKUP(I200,A:F,6,FALSE),H200+3,1)))=FALSE(),J_ADDDAY(VLOOKUP(I200,A:F,6,FALSE),H200+3,1),IF(OR(j_WEEKDAY(J_ADDDAY(VLOOKUP(I200,A:F,6,FALSE),H200+4,1),0)=6,SUMIFS(Holieday[ok],Holieday[date],J_ADDDAY(VLOOKUP(I200,A:F,6,FALSE),H200+4,1)))=FALSE(),J_ADDDAY(VLOOKUP(I200,A:F,6,FALSE),H200+4,1),J_ADDDAY(VLOOKUP(I200,A:F,6,FALSE),H200+5,1))))))</f>
        <v>1398/06/31</v>
      </c>
      <c r="E200" s="2">
        <f t="shared" si="63"/>
        <v>13980631</v>
      </c>
      <c r="F200" s="13" t="str">
        <f>IF(N200=0,J_SUBDAY(D200,1,1),IF((N200-NETWORKDAYS.INTL(J_GregorianDate(D200,1),J_GregorianDate(J_SUBDAY(J_ADDDAY(D200,N200,1),1,1),1),16,1)-SUMIFS(Holieday[ok],Holieday[date],CONCATENATE("&gt;","=",D200),Holieday[date],CONCATENATE("&lt;","=",J_SUBDAY(J_ADDDAY(D200,N200,1),1,1)))+SUMIFS(Holieday[Friday],Holieday[date],CONCATENATE("&gt;","=",D200),Holieday[date],CONCATENATE("&lt;","=",J_SUBDAY(J_ADDDAY(D200,N200,1),1,1))))=0,J_SUBDAY(J_ADDDAY(D200,N200,1),1,1),IF((N200-NETWORKDAYS.INTL(J_GregorianDate(D200,1),J_GregorianDate(J_SUBDAY(J_ADDDAY(D200,N200,1),1,1),1),16,1)-SUMIFS(Holieday[ok],Holieday[date],CONCATENATE("&gt;","=",D200),Holieday[date],CONCATENATE("&lt;","=",J_SUBDAY(J_ADDDAY(D200,N200,1),1,1)))+SUMIFS(Holieday[Friday],Holieday[date],CONCATENATE("&gt;","=",D200),Holieday[date],CONCATENATE("&lt;","=",J_SUBDAY(J_ADDDAY(D200,N200,1),1,1))))=1,J_SUBDAY(J_ADDDAY(D200,N200+1,1),1,1),IF((N200-NETWORKDAYS.INTL(J_GregorianDate(D200,1),J_GregorianDate(J_SUBDAY(J_ADDDAY(D200,N200,1),1,1),1),16,1)-SUMIFS(Holieday[ok],Holieday[date],CONCATENATE("&gt;","=",D200),Holieday[date],CONCATENATE("&lt;","=",J_SUBDAY(J_ADDDAY(D200,N200,1),1,1)))+SUMIFS(Holieday[Friday],Holieday[date],CONCATENATE("&gt;","=",D200),Holieday[date],CONCATENATE("&lt;","=",J_SUBDAY(J_ADDDAY(D200,N200,1),1,1))))=2,J_SUBDAY(J_ADDDAY(D200,N200+2,1),1,1),J_SUBDAY(J_ADDDAY(D200,N200+3,1),1,1)))))</f>
        <v>1398/06/30</v>
      </c>
      <c r="G200" s="3">
        <f t="shared" si="64"/>
        <v>13980630</v>
      </c>
      <c r="H200" s="119"/>
      <c r="I200" s="120">
        <v>1.1000000000000001</v>
      </c>
      <c r="J200" s="10">
        <f>j_WEEKDAY(D200,2)</f>
        <v>1</v>
      </c>
      <c r="K200" s="22">
        <f t="shared" si="68"/>
        <v>0</v>
      </c>
      <c r="L200" s="9">
        <f t="shared" si="67"/>
        <v>0</v>
      </c>
      <c r="M200" s="121">
        <v>0</v>
      </c>
      <c r="N200" s="118">
        <v>0</v>
      </c>
      <c r="O200" s="11">
        <f t="shared" si="65"/>
        <v>0</v>
      </c>
      <c r="P200" s="11">
        <f>VALUE(J_normdate(J_ADDDAY($D200,$O200,1)))</f>
        <v>13980631</v>
      </c>
      <c r="Q200" s="10">
        <f t="shared" si="66"/>
        <v>0</v>
      </c>
      <c r="R200" s="8"/>
      <c r="S200" s="8"/>
      <c r="T200" s="8"/>
      <c r="U200" s="8"/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/>
      <c r="AH200" s="8"/>
      <c r="AI200" s="8"/>
      <c r="AJ200" s="8"/>
      <c r="AK200" s="8"/>
      <c r="AL200" s="8"/>
      <c r="AM200" s="8"/>
      <c r="AN200" s="8"/>
      <c r="AO200" s="8"/>
      <c r="AP200" s="8"/>
      <c r="AQ200" s="8"/>
      <c r="AR200" s="8"/>
      <c r="AS200" s="8"/>
      <c r="AT200" s="8"/>
      <c r="AU200" s="8"/>
      <c r="AV200" s="8"/>
      <c r="AW200" s="8"/>
      <c r="AX200" s="8"/>
      <c r="AY200" s="8"/>
      <c r="AZ200" s="8"/>
      <c r="BA200" s="8"/>
      <c r="BB200" s="8"/>
      <c r="BC200" s="8"/>
      <c r="BD200" s="8"/>
      <c r="BE200" s="8"/>
      <c r="BF200" s="8"/>
      <c r="BG200" s="8"/>
      <c r="BH200" s="8"/>
      <c r="BI200" s="8"/>
      <c r="BJ200" s="8"/>
      <c r="BK200" s="8"/>
      <c r="BL200" s="8"/>
      <c r="BM200" s="8"/>
      <c r="BN200" s="8"/>
      <c r="BO200" s="8"/>
      <c r="BP200" s="8"/>
      <c r="BQ200" s="8"/>
      <c r="BR200" s="8"/>
      <c r="BS200" s="8"/>
      <c r="BT200" s="8"/>
      <c r="BU200" s="8"/>
      <c r="BV200" s="8"/>
      <c r="BW200" s="8"/>
      <c r="BX200" s="8"/>
      <c r="BY200" s="8"/>
      <c r="BZ200" s="8"/>
      <c r="CA200" s="8"/>
      <c r="CB200" s="8"/>
      <c r="CC200" s="8"/>
      <c r="CD200" s="8"/>
      <c r="CE200" s="8"/>
      <c r="CF200" s="8"/>
      <c r="CG200" s="8"/>
      <c r="CH200" s="8"/>
      <c r="CI200" s="8"/>
      <c r="CJ200" s="8"/>
      <c r="CK200" s="8"/>
      <c r="CL200" s="8"/>
      <c r="CM200" s="8"/>
      <c r="CN200" s="8"/>
      <c r="CO200" s="8"/>
      <c r="CP200" s="8"/>
      <c r="CQ200" s="8"/>
      <c r="CR200" s="8"/>
      <c r="CS200" s="8"/>
      <c r="CT200" s="8"/>
      <c r="CU200" s="8"/>
      <c r="CV200" s="8"/>
      <c r="CW200" s="8"/>
      <c r="CX200" s="8"/>
      <c r="CY200" s="8"/>
      <c r="CZ200" s="8"/>
      <c r="DA200" s="8"/>
      <c r="DB200" s="8"/>
      <c r="DC200" s="8"/>
      <c r="DD200" s="8"/>
      <c r="DE200" s="8"/>
      <c r="DF200" s="8"/>
      <c r="DG200" s="8"/>
      <c r="DH200" s="8"/>
      <c r="DI200" s="8"/>
      <c r="DJ200" s="8"/>
      <c r="DK200" s="8"/>
      <c r="DL200" s="8"/>
      <c r="DM200" s="8"/>
      <c r="DN200" s="8"/>
      <c r="DO200" s="8"/>
      <c r="DP200" s="8"/>
      <c r="DQ200" s="8"/>
      <c r="DR200" s="8"/>
      <c r="DS200" s="8"/>
      <c r="DT200" s="8"/>
      <c r="DU200" s="8"/>
      <c r="DV200" s="8"/>
      <c r="DW200" s="8"/>
      <c r="DX200" s="8"/>
      <c r="DY200" s="8"/>
      <c r="DZ200" s="8"/>
      <c r="EA200" s="8"/>
      <c r="EB200" s="8"/>
      <c r="EC200" s="8"/>
      <c r="ED200" s="8"/>
      <c r="EE200" s="8"/>
      <c r="EF200" s="8"/>
      <c r="EG200" s="8"/>
      <c r="EH200" s="8"/>
      <c r="EI200" s="8"/>
      <c r="EJ200" s="8"/>
      <c r="EK200" s="8"/>
      <c r="EL200" s="8"/>
      <c r="EM200" s="8"/>
      <c r="EN200" s="8"/>
      <c r="EO200" s="8"/>
      <c r="EP200" s="8"/>
      <c r="EQ200" s="8"/>
      <c r="ER200" s="8"/>
      <c r="ES200" s="8"/>
      <c r="ET200" s="8"/>
      <c r="EU200" s="8"/>
      <c r="EV200" s="8"/>
      <c r="EW200" s="8"/>
      <c r="EX200" s="8"/>
      <c r="EY200" s="8"/>
      <c r="EZ200" s="8"/>
      <c r="FA200" s="8"/>
      <c r="FB200" s="8"/>
      <c r="FC200" s="8"/>
      <c r="FD200" s="8"/>
      <c r="FE200" s="8"/>
      <c r="FF200" s="8"/>
      <c r="FG200" s="8"/>
      <c r="FH200" s="8"/>
      <c r="FI200" s="8"/>
      <c r="FJ200" s="8"/>
      <c r="FK200" s="8"/>
      <c r="FL200" s="8"/>
      <c r="FM200" s="8"/>
      <c r="FN200" s="8"/>
      <c r="FO200" s="8"/>
      <c r="FP200" s="8"/>
      <c r="FQ200" s="8"/>
      <c r="FR200" s="8"/>
      <c r="FS200" s="8"/>
      <c r="FT200" s="8"/>
      <c r="FU200" s="8"/>
      <c r="FV200" s="8"/>
      <c r="FW200" s="8"/>
      <c r="FX200" s="8"/>
      <c r="FY200" s="8"/>
      <c r="FZ200" s="8"/>
      <c r="GA200" s="8"/>
      <c r="GB200" s="8"/>
      <c r="GC200" s="8"/>
      <c r="GD200" s="8"/>
      <c r="GE200" s="8"/>
      <c r="GF200" s="8"/>
      <c r="GG200" s="8"/>
      <c r="GH200" s="8"/>
      <c r="GI200" s="8"/>
      <c r="GJ200" s="8"/>
      <c r="GK200" s="8"/>
      <c r="GL200" s="8"/>
      <c r="GM200" s="8"/>
      <c r="GN200" s="8"/>
      <c r="GO200" s="8"/>
      <c r="GP200" s="8"/>
      <c r="GQ200" s="8"/>
      <c r="GR200" s="8"/>
      <c r="GS200" s="8"/>
      <c r="GT200" s="8"/>
      <c r="GU200" s="8"/>
      <c r="GV200" s="8"/>
      <c r="GW200" s="8"/>
      <c r="GX200" s="8"/>
      <c r="GY200" s="8"/>
      <c r="GZ200" s="8"/>
      <c r="HA200" s="8"/>
      <c r="HB200" s="8"/>
      <c r="HC200" s="8"/>
      <c r="HD200" s="8"/>
      <c r="HE200" s="8"/>
      <c r="HF200" s="8"/>
      <c r="HG200" s="8"/>
      <c r="HH200" s="8"/>
      <c r="HI200" s="8"/>
      <c r="HJ200" s="8"/>
      <c r="HK200" s="8"/>
      <c r="HL200" s="8"/>
      <c r="HM200" s="8"/>
      <c r="HN200" s="8"/>
      <c r="HO200" s="8"/>
      <c r="HP200" s="8"/>
      <c r="HQ200" s="8"/>
      <c r="HR200" s="8"/>
      <c r="HS200" s="8"/>
      <c r="HT200" s="8"/>
      <c r="HU200" s="8"/>
      <c r="HV200" s="8"/>
      <c r="HW200" s="8"/>
      <c r="HX200" s="8"/>
      <c r="HY200" s="8"/>
      <c r="HZ200" s="8"/>
      <c r="IA200" s="8"/>
      <c r="IB200" s="8"/>
      <c r="IC200" s="8"/>
      <c r="ID200" s="8"/>
      <c r="IE200" s="8"/>
      <c r="IF200" s="8"/>
      <c r="IG200" s="8"/>
      <c r="IH200" s="8"/>
      <c r="II200" s="8"/>
      <c r="IJ200" s="8"/>
      <c r="IK200" s="8"/>
      <c r="IL200" s="8"/>
      <c r="IM200" s="8"/>
      <c r="IN200" s="8"/>
      <c r="IO200" s="8"/>
      <c r="IP200" s="8"/>
      <c r="IQ200" s="8"/>
      <c r="IR200" s="8"/>
      <c r="IS200" s="8"/>
      <c r="IT200" s="8"/>
      <c r="IU200" s="8"/>
      <c r="IV200" s="8"/>
      <c r="IW200" s="8"/>
      <c r="IX200" s="8"/>
      <c r="JA200" s="123"/>
      <c r="JB200" s="123"/>
      <c r="JC200" s="123"/>
      <c r="JD200" s="70">
        <f>SUM((TEXT(JA200,"[M]")/60)*'Income Person-hours'!$D$3,(TEXT(JB200,"[M]")/60)*'Income Person-hours'!$D$4,(TEXT(JC200,"[M]")/60)*'Income Person-hours'!$D$5)</f>
        <v>0</v>
      </c>
    </row>
    <row r="201" spans="1:264 16383:16384" s="12" customFormat="1" ht="15.75" hidden="1" x14ac:dyDescent="0.45">
      <c r="A201" s="32">
        <v>9.4</v>
      </c>
      <c r="B201" s="126"/>
      <c r="C201" s="117"/>
      <c r="D201" s="13" t="str">
        <f>IF(OR(j_WEEKDAY(J_ADDDAY(VLOOKUP(I201,A:F,6,FALSE),H201,1),0)=6,SUMIFS(Holieday[ok],Holieday[date],J_ADDDAY(VLOOKUP(I201,A:F,6,FALSE),H201,1)))=FALSE(),J_ADDDAY(VLOOKUP(I201,A:F,6,FALSE),H201,1),IF(OR(j_WEEKDAY(J_ADDDAY(VLOOKUP(I201,A:F,6,FALSE),H201+1,1),0)=6,SUMIFS(Holieday[ok],Holieday[date],J_ADDDAY(VLOOKUP(I201,A:F,6,FALSE),H201+1,1)))=FALSE(),J_ADDDAY(VLOOKUP(I201,A:F,6,FALSE),H201+1,1),IF(OR(j_WEEKDAY(J_ADDDAY(VLOOKUP(I201,A:F,6,FALSE),H201+2,1),0)=6,SUMIFS(Holieday[ok],Holieday[date],J_ADDDAY(VLOOKUP(I201,A:F,6,FALSE),H201+2,1)))=FALSE(),J_ADDDAY(VLOOKUP(I201,A:F,6,FALSE),H201+2,1),IF(OR(j_WEEKDAY(J_ADDDAY(VLOOKUP(I201,A:F,6,FALSE),H201+3,1),0)=6,SUMIFS(Holieday[ok],Holieday[date],J_ADDDAY(VLOOKUP(I201,A:F,6,FALSE),H201+3,1)))=FALSE(),J_ADDDAY(VLOOKUP(I201,A:F,6,FALSE),H201+3,1),IF(OR(j_WEEKDAY(J_ADDDAY(VLOOKUP(I201,A:F,6,FALSE),H201+4,1),0)=6,SUMIFS(Holieday[ok],Holieday[date],J_ADDDAY(VLOOKUP(I201,A:F,6,FALSE),H201+4,1)))=FALSE(),J_ADDDAY(VLOOKUP(I201,A:F,6,FALSE),H201+4,1),J_ADDDAY(VLOOKUP(I201,A:F,6,FALSE),H201+5,1))))))</f>
        <v>1398/06/31</v>
      </c>
      <c r="E201" s="2">
        <f t="shared" si="63"/>
        <v>13980631</v>
      </c>
      <c r="F201" s="13" t="str">
        <f>IF(N201=0,J_SUBDAY(D201,1,1),IF((N201-NETWORKDAYS.INTL(J_GregorianDate(D201,1),J_GregorianDate(J_SUBDAY(J_ADDDAY(D201,N201,1),1,1),1),16,1)-SUMIFS(Holieday[ok],Holieday[date],CONCATENATE("&gt;","=",D201),Holieday[date],CONCATENATE("&lt;","=",J_SUBDAY(J_ADDDAY(D201,N201,1),1,1)))+SUMIFS(Holieday[Friday],Holieday[date],CONCATENATE("&gt;","=",D201),Holieday[date],CONCATENATE("&lt;","=",J_SUBDAY(J_ADDDAY(D201,N201,1),1,1))))=0,J_SUBDAY(J_ADDDAY(D201,N201,1),1,1),IF((N201-NETWORKDAYS.INTL(J_GregorianDate(D201,1),J_GregorianDate(J_SUBDAY(J_ADDDAY(D201,N201,1),1,1),1),16,1)-SUMIFS(Holieday[ok],Holieday[date],CONCATENATE("&gt;","=",D201),Holieday[date],CONCATENATE("&lt;","=",J_SUBDAY(J_ADDDAY(D201,N201,1),1,1)))+SUMIFS(Holieday[Friday],Holieday[date],CONCATENATE("&gt;","=",D201),Holieday[date],CONCATENATE("&lt;","=",J_SUBDAY(J_ADDDAY(D201,N201,1),1,1))))=1,J_SUBDAY(J_ADDDAY(D201,N201+1,1),1,1),IF((N201-NETWORKDAYS.INTL(J_GregorianDate(D201,1),J_GregorianDate(J_SUBDAY(J_ADDDAY(D201,N201,1),1,1),1),16,1)-SUMIFS(Holieday[ok],Holieday[date],CONCATENATE("&gt;","=",D201),Holieday[date],CONCATENATE("&lt;","=",J_SUBDAY(J_ADDDAY(D201,N201,1),1,1)))+SUMIFS(Holieday[Friday],Holieday[date],CONCATENATE("&gt;","=",D201),Holieday[date],CONCATENATE("&lt;","=",J_SUBDAY(J_ADDDAY(D201,N201,1),1,1))))=2,J_SUBDAY(J_ADDDAY(D201,N201+2,1),1,1),J_SUBDAY(J_ADDDAY(D201,N201+3,1),1,1)))))</f>
        <v>1398/06/30</v>
      </c>
      <c r="G201" s="3">
        <f t="shared" si="64"/>
        <v>13980630</v>
      </c>
      <c r="H201" s="119"/>
      <c r="I201" s="120">
        <v>1.1000000000000001</v>
      </c>
      <c r="J201" s="10">
        <f>j_WEEKDAY(D201,2)</f>
        <v>1</v>
      </c>
      <c r="K201" s="22">
        <f t="shared" si="68"/>
        <v>0</v>
      </c>
      <c r="L201" s="9">
        <f t="shared" si="67"/>
        <v>0</v>
      </c>
      <c r="M201" s="121">
        <v>0</v>
      </c>
      <c r="N201" s="118">
        <v>0</v>
      </c>
      <c r="O201" s="11">
        <f t="shared" si="65"/>
        <v>0</v>
      </c>
      <c r="P201" s="11">
        <f>VALUE(J_normdate(J_ADDDAY($D201,$O201,1)))</f>
        <v>13980631</v>
      </c>
      <c r="Q201" s="10">
        <f t="shared" si="66"/>
        <v>0</v>
      </c>
      <c r="R201" s="8"/>
      <c r="S201" s="8"/>
      <c r="T201" s="8"/>
      <c r="U201" s="8"/>
      <c r="V201" s="8"/>
      <c r="W201" s="8"/>
      <c r="X201" s="8"/>
      <c r="Y201" s="8"/>
      <c r="Z201" s="8"/>
      <c r="AA201" s="8"/>
      <c r="AB201" s="8"/>
      <c r="AC201" s="8"/>
      <c r="AD201" s="8"/>
      <c r="AE201" s="8"/>
      <c r="AF201" s="8"/>
      <c r="AG201" s="8"/>
      <c r="AH201" s="8"/>
      <c r="AI201" s="8"/>
      <c r="AJ201" s="8"/>
      <c r="AK201" s="8"/>
      <c r="AL201" s="8"/>
      <c r="AM201" s="8"/>
      <c r="AN201" s="8"/>
      <c r="AO201" s="8"/>
      <c r="AP201" s="8"/>
      <c r="AQ201" s="8"/>
      <c r="AR201" s="8"/>
      <c r="AS201" s="8"/>
      <c r="AT201" s="8"/>
      <c r="AU201" s="8"/>
      <c r="AV201" s="8"/>
      <c r="AW201" s="8"/>
      <c r="AX201" s="8"/>
      <c r="AY201" s="8"/>
      <c r="AZ201" s="8"/>
      <c r="BA201" s="8"/>
      <c r="BB201" s="8"/>
      <c r="BC201" s="8"/>
      <c r="BD201" s="8"/>
      <c r="BE201" s="8"/>
      <c r="BF201" s="8"/>
      <c r="BG201" s="8"/>
      <c r="BH201" s="8"/>
      <c r="BI201" s="8"/>
      <c r="BJ201" s="8"/>
      <c r="BK201" s="8"/>
      <c r="BL201" s="8"/>
      <c r="BM201" s="8"/>
      <c r="BN201" s="8"/>
      <c r="BO201" s="8"/>
      <c r="BP201" s="8"/>
      <c r="BQ201" s="8"/>
      <c r="BR201" s="8"/>
      <c r="BS201" s="8"/>
      <c r="BT201" s="8"/>
      <c r="BU201" s="8"/>
      <c r="BV201" s="8"/>
      <c r="BW201" s="8"/>
      <c r="BX201" s="8"/>
      <c r="BY201" s="8"/>
      <c r="BZ201" s="8"/>
      <c r="CA201" s="8"/>
      <c r="CB201" s="8"/>
      <c r="CC201" s="8"/>
      <c r="CD201" s="8"/>
      <c r="CE201" s="8"/>
      <c r="CF201" s="8"/>
      <c r="CG201" s="8"/>
      <c r="CH201" s="8"/>
      <c r="CI201" s="8"/>
      <c r="CJ201" s="8"/>
      <c r="CK201" s="8"/>
      <c r="CL201" s="8"/>
      <c r="CM201" s="8"/>
      <c r="CN201" s="8"/>
      <c r="CO201" s="8"/>
      <c r="CP201" s="8"/>
      <c r="CQ201" s="8"/>
      <c r="CR201" s="8"/>
      <c r="CS201" s="8"/>
      <c r="CT201" s="8"/>
      <c r="CU201" s="8"/>
      <c r="CV201" s="8"/>
      <c r="CW201" s="8"/>
      <c r="CX201" s="8"/>
      <c r="CY201" s="8"/>
      <c r="CZ201" s="8"/>
      <c r="DA201" s="8"/>
      <c r="DB201" s="8"/>
      <c r="DC201" s="8"/>
      <c r="DD201" s="8"/>
      <c r="DE201" s="8"/>
      <c r="DF201" s="8"/>
      <c r="DG201" s="8"/>
      <c r="DH201" s="8"/>
      <c r="DI201" s="8"/>
      <c r="DJ201" s="8"/>
      <c r="DK201" s="8"/>
      <c r="DL201" s="8"/>
      <c r="DM201" s="8"/>
      <c r="DN201" s="8"/>
      <c r="DO201" s="8"/>
      <c r="DP201" s="8"/>
      <c r="DQ201" s="8"/>
      <c r="DR201" s="8"/>
      <c r="DS201" s="8"/>
      <c r="DT201" s="8"/>
      <c r="DU201" s="8"/>
      <c r="DV201" s="8"/>
      <c r="DW201" s="8"/>
      <c r="DX201" s="8"/>
      <c r="DY201" s="8"/>
      <c r="DZ201" s="8"/>
      <c r="EA201" s="8"/>
      <c r="EB201" s="8"/>
      <c r="EC201" s="8"/>
      <c r="ED201" s="8"/>
      <c r="EE201" s="8"/>
      <c r="EF201" s="8"/>
      <c r="EG201" s="8"/>
      <c r="EH201" s="8"/>
      <c r="EI201" s="8"/>
      <c r="EJ201" s="8"/>
      <c r="EK201" s="8"/>
      <c r="EL201" s="8"/>
      <c r="EM201" s="8"/>
      <c r="EN201" s="8"/>
      <c r="EO201" s="8"/>
      <c r="EP201" s="8"/>
      <c r="EQ201" s="8"/>
      <c r="ER201" s="8"/>
      <c r="ES201" s="8"/>
      <c r="ET201" s="8"/>
      <c r="EU201" s="8"/>
      <c r="EV201" s="8"/>
      <c r="EW201" s="8"/>
      <c r="EX201" s="8"/>
      <c r="EY201" s="8"/>
      <c r="EZ201" s="8"/>
      <c r="FA201" s="8"/>
      <c r="FB201" s="8"/>
      <c r="FC201" s="8"/>
      <c r="FD201" s="8"/>
      <c r="FE201" s="8"/>
      <c r="FF201" s="8"/>
      <c r="FG201" s="8"/>
      <c r="FH201" s="8"/>
      <c r="FI201" s="8"/>
      <c r="FJ201" s="8"/>
      <c r="FK201" s="8"/>
      <c r="FL201" s="8"/>
      <c r="FM201" s="8"/>
      <c r="FN201" s="8"/>
      <c r="FO201" s="8"/>
      <c r="FP201" s="8"/>
      <c r="FQ201" s="8"/>
      <c r="FR201" s="8"/>
      <c r="FS201" s="8"/>
      <c r="FT201" s="8"/>
      <c r="FU201" s="8"/>
      <c r="FV201" s="8"/>
      <c r="FW201" s="8"/>
      <c r="FX201" s="8"/>
      <c r="FY201" s="8"/>
      <c r="FZ201" s="8"/>
      <c r="GA201" s="8"/>
      <c r="GB201" s="8"/>
      <c r="GC201" s="8"/>
      <c r="GD201" s="8"/>
      <c r="GE201" s="8"/>
      <c r="GF201" s="8"/>
      <c r="GG201" s="8"/>
      <c r="GH201" s="8"/>
      <c r="GI201" s="8"/>
      <c r="GJ201" s="8"/>
      <c r="GK201" s="8"/>
      <c r="GL201" s="8"/>
      <c r="GM201" s="8"/>
      <c r="GN201" s="8"/>
      <c r="GO201" s="8"/>
      <c r="GP201" s="8"/>
      <c r="GQ201" s="8"/>
      <c r="GR201" s="8"/>
      <c r="GS201" s="8"/>
      <c r="GT201" s="8"/>
      <c r="GU201" s="8"/>
      <c r="GV201" s="8"/>
      <c r="GW201" s="8"/>
      <c r="GX201" s="8"/>
      <c r="GY201" s="8"/>
      <c r="GZ201" s="8"/>
      <c r="HA201" s="8"/>
      <c r="HB201" s="8"/>
      <c r="HC201" s="8"/>
      <c r="HD201" s="8"/>
      <c r="HE201" s="8"/>
      <c r="HF201" s="8"/>
      <c r="HG201" s="8"/>
      <c r="HH201" s="8"/>
      <c r="HI201" s="8"/>
      <c r="HJ201" s="8"/>
      <c r="HK201" s="8"/>
      <c r="HL201" s="8"/>
      <c r="HM201" s="8"/>
      <c r="HN201" s="8"/>
      <c r="HO201" s="8"/>
      <c r="HP201" s="8"/>
      <c r="HQ201" s="8"/>
      <c r="HR201" s="8"/>
      <c r="HS201" s="8"/>
      <c r="HT201" s="8"/>
      <c r="HU201" s="8"/>
      <c r="HV201" s="8"/>
      <c r="HW201" s="8"/>
      <c r="HX201" s="8"/>
      <c r="HY201" s="8"/>
      <c r="HZ201" s="8"/>
      <c r="IA201" s="8"/>
      <c r="IB201" s="8"/>
      <c r="IC201" s="8"/>
      <c r="ID201" s="8"/>
      <c r="IE201" s="8"/>
      <c r="IF201" s="8"/>
      <c r="IG201" s="8"/>
      <c r="IH201" s="8"/>
      <c r="II201" s="8"/>
      <c r="IJ201" s="8"/>
      <c r="IK201" s="8"/>
      <c r="IL201" s="8"/>
      <c r="IM201" s="8"/>
      <c r="IN201" s="8"/>
      <c r="IO201" s="8"/>
      <c r="IP201" s="8"/>
      <c r="IQ201" s="8"/>
      <c r="IR201" s="8"/>
      <c r="IS201" s="8"/>
      <c r="IT201" s="8"/>
      <c r="IU201" s="8"/>
      <c r="IV201" s="8"/>
      <c r="IW201" s="8"/>
      <c r="IX201" s="8"/>
      <c r="JA201" s="123"/>
      <c r="JB201" s="123"/>
      <c r="JC201" s="123"/>
      <c r="JD201" s="70">
        <f>SUM((TEXT(JA201,"[M]")/60)*'Income Person-hours'!$D$3,(TEXT(JB201,"[M]")/60)*'Income Person-hours'!$D$4,(TEXT(JC201,"[M]")/60)*'Income Person-hours'!$D$5)</f>
        <v>0</v>
      </c>
    </row>
    <row r="202" spans="1:264 16383:16384" s="12" customFormat="1" ht="15.75" hidden="1" x14ac:dyDescent="0.45">
      <c r="A202" s="32">
        <v>9.5</v>
      </c>
      <c r="B202" s="126"/>
      <c r="C202" s="117"/>
      <c r="D202" s="13" t="str">
        <f>IF(OR(j_WEEKDAY(J_ADDDAY(VLOOKUP(I202,A:F,6,FALSE),H202,1),0)=6,SUMIFS(Holieday[ok],Holieday[date],J_ADDDAY(VLOOKUP(I202,A:F,6,FALSE),H202,1)))=FALSE(),J_ADDDAY(VLOOKUP(I202,A:F,6,FALSE),H202,1),IF(OR(j_WEEKDAY(J_ADDDAY(VLOOKUP(I202,A:F,6,FALSE),H202+1,1),0)=6,SUMIFS(Holieday[ok],Holieday[date],J_ADDDAY(VLOOKUP(I202,A:F,6,FALSE),H202+1,1)))=FALSE(),J_ADDDAY(VLOOKUP(I202,A:F,6,FALSE),H202+1,1),IF(OR(j_WEEKDAY(J_ADDDAY(VLOOKUP(I202,A:F,6,FALSE),H202+2,1),0)=6,SUMIFS(Holieday[ok],Holieday[date],J_ADDDAY(VLOOKUP(I202,A:F,6,FALSE),H202+2,1)))=FALSE(),J_ADDDAY(VLOOKUP(I202,A:F,6,FALSE),H202+2,1),IF(OR(j_WEEKDAY(J_ADDDAY(VLOOKUP(I202,A:F,6,FALSE),H202+3,1),0)=6,SUMIFS(Holieday[ok],Holieday[date],J_ADDDAY(VLOOKUP(I202,A:F,6,FALSE),H202+3,1)))=FALSE(),J_ADDDAY(VLOOKUP(I202,A:F,6,FALSE),H202+3,1),IF(OR(j_WEEKDAY(J_ADDDAY(VLOOKUP(I202,A:F,6,FALSE),H202+4,1),0)=6,SUMIFS(Holieday[ok],Holieday[date],J_ADDDAY(VLOOKUP(I202,A:F,6,FALSE),H202+4,1)))=FALSE(),J_ADDDAY(VLOOKUP(I202,A:F,6,FALSE),H202+4,1),J_ADDDAY(VLOOKUP(I202,A:F,6,FALSE),H202+5,1))))))</f>
        <v>1398/06/31</v>
      </c>
      <c r="E202" s="2">
        <f t="shared" si="63"/>
        <v>13980631</v>
      </c>
      <c r="F202" s="13" t="str">
        <f>IF(N202=0,J_SUBDAY(D202,1,1),IF((N202-NETWORKDAYS.INTL(J_GregorianDate(D202,1),J_GregorianDate(J_SUBDAY(J_ADDDAY(D202,N202,1),1,1),1),16,1)-SUMIFS(Holieday[ok],Holieday[date],CONCATENATE("&gt;","=",D202),Holieday[date],CONCATENATE("&lt;","=",J_SUBDAY(J_ADDDAY(D202,N202,1),1,1)))+SUMIFS(Holieday[Friday],Holieday[date],CONCATENATE("&gt;","=",D202),Holieday[date],CONCATENATE("&lt;","=",J_SUBDAY(J_ADDDAY(D202,N202,1),1,1))))=0,J_SUBDAY(J_ADDDAY(D202,N202,1),1,1),IF((N202-NETWORKDAYS.INTL(J_GregorianDate(D202,1),J_GregorianDate(J_SUBDAY(J_ADDDAY(D202,N202,1),1,1),1),16,1)-SUMIFS(Holieday[ok],Holieday[date],CONCATENATE("&gt;","=",D202),Holieday[date],CONCATENATE("&lt;","=",J_SUBDAY(J_ADDDAY(D202,N202,1),1,1)))+SUMIFS(Holieday[Friday],Holieday[date],CONCATENATE("&gt;","=",D202),Holieday[date],CONCATENATE("&lt;","=",J_SUBDAY(J_ADDDAY(D202,N202,1),1,1))))=1,J_SUBDAY(J_ADDDAY(D202,N202+1,1),1,1),IF((N202-NETWORKDAYS.INTL(J_GregorianDate(D202,1),J_GregorianDate(J_SUBDAY(J_ADDDAY(D202,N202,1),1,1),1),16,1)-SUMIFS(Holieday[ok],Holieday[date],CONCATENATE("&gt;","=",D202),Holieday[date],CONCATENATE("&lt;","=",J_SUBDAY(J_ADDDAY(D202,N202,1),1,1)))+SUMIFS(Holieday[Friday],Holieday[date],CONCATENATE("&gt;","=",D202),Holieday[date],CONCATENATE("&lt;","=",J_SUBDAY(J_ADDDAY(D202,N202,1),1,1))))=2,J_SUBDAY(J_ADDDAY(D202,N202+2,1),1,1),J_SUBDAY(J_ADDDAY(D202,N202+3,1),1,1)))))</f>
        <v>1398/06/30</v>
      </c>
      <c r="G202" s="3">
        <f t="shared" si="64"/>
        <v>13980630</v>
      </c>
      <c r="H202" s="119"/>
      <c r="I202" s="120">
        <v>1.1000000000000001</v>
      </c>
      <c r="J202" s="10">
        <f>j_WEEKDAY(D202,2)</f>
        <v>1</v>
      </c>
      <c r="K202" s="22">
        <f t="shared" si="68"/>
        <v>0</v>
      </c>
      <c r="L202" s="9">
        <f t="shared" si="67"/>
        <v>0</v>
      </c>
      <c r="M202" s="121">
        <v>0</v>
      </c>
      <c r="N202" s="118">
        <v>0</v>
      </c>
      <c r="O202" s="11">
        <f t="shared" si="65"/>
        <v>0</v>
      </c>
      <c r="P202" s="11">
        <f>VALUE(J_normdate(J_ADDDAY($D202,$O202,1)))</f>
        <v>13980631</v>
      </c>
      <c r="Q202" s="10">
        <f t="shared" si="66"/>
        <v>0</v>
      </c>
      <c r="R202" s="8"/>
      <c r="S202" s="8"/>
      <c r="T202" s="8"/>
      <c r="U202" s="8"/>
      <c r="V202" s="8"/>
      <c r="W202" s="8"/>
      <c r="X202" s="8"/>
      <c r="Y202" s="8"/>
      <c r="Z202" s="8"/>
      <c r="AA202" s="8"/>
      <c r="AB202" s="8"/>
      <c r="AC202" s="8"/>
      <c r="AD202" s="8"/>
      <c r="AE202" s="8"/>
      <c r="AF202" s="8"/>
      <c r="AG202" s="8"/>
      <c r="AH202" s="8"/>
      <c r="AI202" s="8"/>
      <c r="AJ202" s="8"/>
      <c r="AK202" s="8"/>
      <c r="AL202" s="8"/>
      <c r="AM202" s="8"/>
      <c r="AN202" s="8"/>
      <c r="AO202" s="8"/>
      <c r="AP202" s="8"/>
      <c r="AQ202" s="8"/>
      <c r="AR202" s="8"/>
      <c r="AS202" s="8"/>
      <c r="AT202" s="8"/>
      <c r="AU202" s="8"/>
      <c r="AV202" s="8"/>
      <c r="AW202" s="8"/>
      <c r="AX202" s="8"/>
      <c r="AY202" s="8"/>
      <c r="AZ202" s="8"/>
      <c r="BA202" s="8"/>
      <c r="BB202" s="8"/>
      <c r="BC202" s="8"/>
      <c r="BD202" s="8"/>
      <c r="BE202" s="8"/>
      <c r="BF202" s="8"/>
      <c r="BG202" s="8"/>
      <c r="BH202" s="8"/>
      <c r="BI202" s="8"/>
      <c r="BJ202" s="8"/>
      <c r="BK202" s="8"/>
      <c r="BL202" s="8"/>
      <c r="BM202" s="8"/>
      <c r="BN202" s="8"/>
      <c r="BO202" s="8"/>
      <c r="BP202" s="8"/>
      <c r="BQ202" s="8"/>
      <c r="BR202" s="8"/>
      <c r="BS202" s="8"/>
      <c r="BT202" s="8"/>
      <c r="BU202" s="8"/>
      <c r="BV202" s="8"/>
      <c r="BW202" s="8"/>
      <c r="BX202" s="8"/>
      <c r="BY202" s="8"/>
      <c r="BZ202" s="8"/>
      <c r="CA202" s="8"/>
      <c r="CB202" s="8"/>
      <c r="CC202" s="8"/>
      <c r="CD202" s="8"/>
      <c r="CE202" s="8"/>
      <c r="CF202" s="8"/>
      <c r="CG202" s="8"/>
      <c r="CH202" s="8"/>
      <c r="CI202" s="8"/>
      <c r="CJ202" s="8"/>
      <c r="CK202" s="8"/>
      <c r="CL202" s="8"/>
      <c r="CM202" s="8"/>
      <c r="CN202" s="8"/>
      <c r="CO202" s="8"/>
      <c r="CP202" s="8"/>
      <c r="CQ202" s="8"/>
      <c r="CR202" s="8"/>
      <c r="CS202" s="8"/>
      <c r="CT202" s="8"/>
      <c r="CU202" s="8"/>
      <c r="CV202" s="8"/>
      <c r="CW202" s="8"/>
      <c r="CX202" s="8"/>
      <c r="CY202" s="8"/>
      <c r="CZ202" s="8"/>
      <c r="DA202" s="8"/>
      <c r="DB202" s="8"/>
      <c r="DC202" s="8"/>
      <c r="DD202" s="8"/>
      <c r="DE202" s="8"/>
      <c r="DF202" s="8"/>
      <c r="DG202" s="8"/>
      <c r="DH202" s="8"/>
      <c r="DI202" s="8"/>
      <c r="DJ202" s="8"/>
      <c r="DK202" s="8"/>
      <c r="DL202" s="8"/>
      <c r="DM202" s="8"/>
      <c r="DN202" s="8"/>
      <c r="DO202" s="8"/>
      <c r="DP202" s="8"/>
      <c r="DQ202" s="8"/>
      <c r="DR202" s="8"/>
      <c r="DS202" s="8"/>
      <c r="DT202" s="8"/>
      <c r="DU202" s="8"/>
      <c r="DV202" s="8"/>
      <c r="DW202" s="8"/>
      <c r="DX202" s="8"/>
      <c r="DY202" s="8"/>
      <c r="DZ202" s="8"/>
      <c r="EA202" s="8"/>
      <c r="EB202" s="8"/>
      <c r="EC202" s="8"/>
      <c r="ED202" s="8"/>
      <c r="EE202" s="8"/>
      <c r="EF202" s="8"/>
      <c r="EG202" s="8"/>
      <c r="EH202" s="8"/>
      <c r="EI202" s="8"/>
      <c r="EJ202" s="8"/>
      <c r="EK202" s="8"/>
      <c r="EL202" s="8"/>
      <c r="EM202" s="8"/>
      <c r="EN202" s="8"/>
      <c r="EO202" s="8"/>
      <c r="EP202" s="8"/>
      <c r="EQ202" s="8"/>
      <c r="ER202" s="8"/>
      <c r="ES202" s="8"/>
      <c r="ET202" s="8"/>
      <c r="EU202" s="8"/>
      <c r="EV202" s="8"/>
      <c r="EW202" s="8"/>
      <c r="EX202" s="8"/>
      <c r="EY202" s="8"/>
      <c r="EZ202" s="8"/>
      <c r="FA202" s="8"/>
      <c r="FB202" s="8"/>
      <c r="FC202" s="8"/>
      <c r="FD202" s="8"/>
      <c r="FE202" s="8"/>
      <c r="FF202" s="8"/>
      <c r="FG202" s="8"/>
      <c r="FH202" s="8"/>
      <c r="FI202" s="8"/>
      <c r="FJ202" s="8"/>
      <c r="FK202" s="8"/>
      <c r="FL202" s="8"/>
      <c r="FM202" s="8"/>
      <c r="FN202" s="8"/>
      <c r="FO202" s="8"/>
      <c r="FP202" s="8"/>
      <c r="FQ202" s="8"/>
      <c r="FR202" s="8"/>
      <c r="FS202" s="8"/>
      <c r="FT202" s="8"/>
      <c r="FU202" s="8"/>
      <c r="FV202" s="8"/>
      <c r="FW202" s="8"/>
      <c r="FX202" s="8"/>
      <c r="FY202" s="8"/>
      <c r="FZ202" s="8"/>
      <c r="GA202" s="8"/>
      <c r="GB202" s="8"/>
      <c r="GC202" s="8"/>
      <c r="GD202" s="8"/>
      <c r="GE202" s="8"/>
      <c r="GF202" s="8"/>
      <c r="GG202" s="8"/>
      <c r="GH202" s="8"/>
      <c r="GI202" s="8"/>
      <c r="GJ202" s="8"/>
      <c r="GK202" s="8"/>
      <c r="GL202" s="8"/>
      <c r="GM202" s="8"/>
      <c r="GN202" s="8"/>
      <c r="GO202" s="8"/>
      <c r="GP202" s="8"/>
      <c r="GQ202" s="8"/>
      <c r="GR202" s="8"/>
      <c r="GS202" s="8"/>
      <c r="GT202" s="8"/>
      <c r="GU202" s="8"/>
      <c r="GV202" s="8"/>
      <c r="GW202" s="8"/>
      <c r="GX202" s="8"/>
      <c r="GY202" s="8"/>
      <c r="GZ202" s="8"/>
      <c r="HA202" s="8"/>
      <c r="HB202" s="8"/>
      <c r="HC202" s="8"/>
      <c r="HD202" s="8"/>
      <c r="HE202" s="8"/>
      <c r="HF202" s="8"/>
      <c r="HG202" s="8"/>
      <c r="HH202" s="8"/>
      <c r="HI202" s="8"/>
      <c r="HJ202" s="8"/>
      <c r="HK202" s="8"/>
      <c r="HL202" s="8"/>
      <c r="HM202" s="8"/>
      <c r="HN202" s="8"/>
      <c r="HO202" s="8"/>
      <c r="HP202" s="8"/>
      <c r="HQ202" s="8"/>
      <c r="HR202" s="8"/>
      <c r="HS202" s="8"/>
      <c r="HT202" s="8"/>
      <c r="HU202" s="8"/>
      <c r="HV202" s="8"/>
      <c r="HW202" s="8"/>
      <c r="HX202" s="8"/>
      <c r="HY202" s="8"/>
      <c r="HZ202" s="8"/>
      <c r="IA202" s="8"/>
      <c r="IB202" s="8"/>
      <c r="IC202" s="8"/>
      <c r="ID202" s="8"/>
      <c r="IE202" s="8"/>
      <c r="IF202" s="8"/>
      <c r="IG202" s="8"/>
      <c r="IH202" s="8"/>
      <c r="II202" s="8"/>
      <c r="IJ202" s="8"/>
      <c r="IK202" s="8"/>
      <c r="IL202" s="8"/>
      <c r="IM202" s="8"/>
      <c r="IN202" s="8"/>
      <c r="IO202" s="8"/>
      <c r="IP202" s="8"/>
      <c r="IQ202" s="8"/>
      <c r="IR202" s="8"/>
      <c r="IS202" s="8"/>
      <c r="IT202" s="8"/>
      <c r="IU202" s="8"/>
      <c r="IV202" s="8"/>
      <c r="IW202" s="8"/>
      <c r="IX202" s="8"/>
      <c r="JA202" s="123"/>
      <c r="JB202" s="123"/>
      <c r="JC202" s="123"/>
      <c r="JD202" s="70">
        <f>SUM((TEXT(JA202,"[M]")/60)*'Income Person-hours'!$D$3,(TEXT(JB202,"[M]")/60)*'Income Person-hours'!$D$4,(TEXT(JC202,"[M]")/60)*'Income Person-hours'!$D$5)</f>
        <v>0</v>
      </c>
    </row>
    <row r="203" spans="1:264 16383:16384" s="12" customFormat="1" ht="15.75" hidden="1" x14ac:dyDescent="0.45">
      <c r="A203" s="32">
        <v>9.6</v>
      </c>
      <c r="B203" s="126"/>
      <c r="C203" s="117"/>
      <c r="D203" s="13" t="str">
        <f>IF(OR(j_WEEKDAY(J_ADDDAY(VLOOKUP(I203,A:F,6,FALSE),H203,1),0)=6,SUMIFS(Holieday[ok],Holieday[date],J_ADDDAY(VLOOKUP(I203,A:F,6,FALSE),H203,1)))=FALSE(),J_ADDDAY(VLOOKUP(I203,A:F,6,FALSE),H203,1),IF(OR(j_WEEKDAY(J_ADDDAY(VLOOKUP(I203,A:F,6,FALSE),H203+1,1),0)=6,SUMIFS(Holieday[ok],Holieday[date],J_ADDDAY(VLOOKUP(I203,A:F,6,FALSE),H203+1,1)))=FALSE(),J_ADDDAY(VLOOKUP(I203,A:F,6,FALSE),H203+1,1),IF(OR(j_WEEKDAY(J_ADDDAY(VLOOKUP(I203,A:F,6,FALSE),H203+2,1),0)=6,SUMIFS(Holieday[ok],Holieday[date],J_ADDDAY(VLOOKUP(I203,A:F,6,FALSE),H203+2,1)))=FALSE(),J_ADDDAY(VLOOKUP(I203,A:F,6,FALSE),H203+2,1),IF(OR(j_WEEKDAY(J_ADDDAY(VLOOKUP(I203,A:F,6,FALSE),H203+3,1),0)=6,SUMIFS(Holieday[ok],Holieday[date],J_ADDDAY(VLOOKUP(I203,A:F,6,FALSE),H203+3,1)))=FALSE(),J_ADDDAY(VLOOKUP(I203,A:F,6,FALSE),H203+3,1),IF(OR(j_WEEKDAY(J_ADDDAY(VLOOKUP(I203,A:F,6,FALSE),H203+4,1),0)=6,SUMIFS(Holieday[ok],Holieday[date],J_ADDDAY(VLOOKUP(I203,A:F,6,FALSE),H203+4,1)))=FALSE(),J_ADDDAY(VLOOKUP(I203,A:F,6,FALSE),H203+4,1),J_ADDDAY(VLOOKUP(I203,A:F,6,FALSE),H203+5,1))))))</f>
        <v>1398/06/31</v>
      </c>
      <c r="E203" s="2">
        <f t="shared" si="63"/>
        <v>13980631</v>
      </c>
      <c r="F203" s="13" t="str">
        <f>IF(N203=0,J_SUBDAY(D203,1,1),IF((N203-NETWORKDAYS.INTL(J_GregorianDate(D203,1),J_GregorianDate(J_SUBDAY(J_ADDDAY(D203,N203,1),1,1),1),16,1)-SUMIFS(Holieday[ok],Holieday[date],CONCATENATE("&gt;","=",D203),Holieday[date],CONCATENATE("&lt;","=",J_SUBDAY(J_ADDDAY(D203,N203,1),1,1)))+SUMIFS(Holieday[Friday],Holieday[date],CONCATENATE("&gt;","=",D203),Holieday[date],CONCATENATE("&lt;","=",J_SUBDAY(J_ADDDAY(D203,N203,1),1,1))))=0,J_SUBDAY(J_ADDDAY(D203,N203,1),1,1),IF((N203-NETWORKDAYS.INTL(J_GregorianDate(D203,1),J_GregorianDate(J_SUBDAY(J_ADDDAY(D203,N203,1),1,1),1),16,1)-SUMIFS(Holieday[ok],Holieday[date],CONCATENATE("&gt;","=",D203),Holieday[date],CONCATENATE("&lt;","=",J_SUBDAY(J_ADDDAY(D203,N203,1),1,1)))+SUMIFS(Holieday[Friday],Holieday[date],CONCATENATE("&gt;","=",D203),Holieday[date],CONCATENATE("&lt;","=",J_SUBDAY(J_ADDDAY(D203,N203,1),1,1))))=1,J_SUBDAY(J_ADDDAY(D203,N203+1,1),1,1),IF((N203-NETWORKDAYS.INTL(J_GregorianDate(D203,1),J_GregorianDate(J_SUBDAY(J_ADDDAY(D203,N203,1),1,1),1),16,1)-SUMIFS(Holieday[ok],Holieday[date],CONCATENATE("&gt;","=",D203),Holieday[date],CONCATENATE("&lt;","=",J_SUBDAY(J_ADDDAY(D203,N203,1),1,1)))+SUMIFS(Holieday[Friday],Holieday[date],CONCATENATE("&gt;","=",D203),Holieday[date],CONCATENATE("&lt;","=",J_SUBDAY(J_ADDDAY(D203,N203,1),1,1))))=2,J_SUBDAY(J_ADDDAY(D203,N203+2,1),1,1),J_SUBDAY(J_ADDDAY(D203,N203+3,1),1,1)))))</f>
        <v>1398/06/30</v>
      </c>
      <c r="G203" s="3">
        <f t="shared" si="64"/>
        <v>13980630</v>
      </c>
      <c r="H203" s="119"/>
      <c r="I203" s="120">
        <v>1.1000000000000001</v>
      </c>
      <c r="J203" s="10">
        <f>j_WEEKDAY(D203,2)</f>
        <v>1</v>
      </c>
      <c r="K203" s="22">
        <f t="shared" si="68"/>
        <v>0</v>
      </c>
      <c r="L203" s="9">
        <f t="shared" si="67"/>
        <v>0</v>
      </c>
      <c r="M203" s="121">
        <v>0</v>
      </c>
      <c r="N203" s="118">
        <v>0</v>
      </c>
      <c r="O203" s="11">
        <f t="shared" si="65"/>
        <v>0</v>
      </c>
      <c r="P203" s="11">
        <f>VALUE(J_normdate(J_ADDDAY($D203,$O203,1)))</f>
        <v>13980631</v>
      </c>
      <c r="Q203" s="10">
        <f t="shared" si="66"/>
        <v>0</v>
      </c>
      <c r="R203" s="8"/>
      <c r="S203" s="8"/>
      <c r="T203" s="8"/>
      <c r="U203" s="8"/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/>
      <c r="AH203" s="8"/>
      <c r="AI203" s="8"/>
      <c r="AJ203" s="8"/>
      <c r="AK203" s="8"/>
      <c r="AL203" s="8"/>
      <c r="AM203" s="8"/>
      <c r="AN203" s="8"/>
      <c r="AO203" s="8"/>
      <c r="AP203" s="8"/>
      <c r="AQ203" s="8"/>
      <c r="AR203" s="8"/>
      <c r="AS203" s="8"/>
      <c r="AT203" s="8"/>
      <c r="AU203" s="8"/>
      <c r="AV203" s="8"/>
      <c r="AW203" s="8"/>
      <c r="AX203" s="8"/>
      <c r="AY203" s="8"/>
      <c r="AZ203" s="8"/>
      <c r="BA203" s="8"/>
      <c r="BB203" s="8"/>
      <c r="BC203" s="8"/>
      <c r="BD203" s="8"/>
      <c r="BE203" s="8"/>
      <c r="BF203" s="8"/>
      <c r="BG203" s="8"/>
      <c r="BH203" s="8"/>
      <c r="BI203" s="8"/>
      <c r="BJ203" s="8"/>
      <c r="BK203" s="8"/>
      <c r="BL203" s="8"/>
      <c r="BM203" s="8"/>
      <c r="BN203" s="8"/>
      <c r="BO203" s="8"/>
      <c r="BP203" s="8"/>
      <c r="BQ203" s="8"/>
      <c r="BR203" s="8"/>
      <c r="BS203" s="8"/>
      <c r="BT203" s="8"/>
      <c r="BU203" s="8"/>
      <c r="BV203" s="8"/>
      <c r="BW203" s="8"/>
      <c r="BX203" s="8"/>
      <c r="BY203" s="8"/>
      <c r="BZ203" s="8"/>
      <c r="CA203" s="8"/>
      <c r="CB203" s="8"/>
      <c r="CC203" s="8"/>
      <c r="CD203" s="8"/>
      <c r="CE203" s="8"/>
      <c r="CF203" s="8"/>
      <c r="CG203" s="8"/>
      <c r="CH203" s="8"/>
      <c r="CI203" s="8"/>
      <c r="CJ203" s="8"/>
      <c r="CK203" s="8"/>
      <c r="CL203" s="8"/>
      <c r="CM203" s="8"/>
      <c r="CN203" s="8"/>
      <c r="CO203" s="8"/>
      <c r="CP203" s="8"/>
      <c r="CQ203" s="8"/>
      <c r="CR203" s="8"/>
      <c r="CS203" s="8"/>
      <c r="CT203" s="8"/>
      <c r="CU203" s="8"/>
      <c r="CV203" s="8"/>
      <c r="CW203" s="8"/>
      <c r="CX203" s="8"/>
      <c r="CY203" s="8"/>
      <c r="CZ203" s="8"/>
      <c r="DA203" s="8"/>
      <c r="DB203" s="8"/>
      <c r="DC203" s="8"/>
      <c r="DD203" s="8"/>
      <c r="DE203" s="8"/>
      <c r="DF203" s="8"/>
      <c r="DG203" s="8"/>
      <c r="DH203" s="8"/>
      <c r="DI203" s="8"/>
      <c r="DJ203" s="8"/>
      <c r="DK203" s="8"/>
      <c r="DL203" s="8"/>
      <c r="DM203" s="8"/>
      <c r="DN203" s="8"/>
      <c r="DO203" s="8"/>
      <c r="DP203" s="8"/>
      <c r="DQ203" s="8"/>
      <c r="DR203" s="8"/>
      <c r="DS203" s="8"/>
      <c r="DT203" s="8"/>
      <c r="DU203" s="8"/>
      <c r="DV203" s="8"/>
      <c r="DW203" s="8"/>
      <c r="DX203" s="8"/>
      <c r="DY203" s="8"/>
      <c r="DZ203" s="8"/>
      <c r="EA203" s="8"/>
      <c r="EB203" s="8"/>
      <c r="EC203" s="8"/>
      <c r="ED203" s="8"/>
      <c r="EE203" s="8"/>
      <c r="EF203" s="8"/>
      <c r="EG203" s="8"/>
      <c r="EH203" s="8"/>
      <c r="EI203" s="8"/>
      <c r="EJ203" s="8"/>
      <c r="EK203" s="8"/>
      <c r="EL203" s="8"/>
      <c r="EM203" s="8"/>
      <c r="EN203" s="8"/>
      <c r="EO203" s="8"/>
      <c r="EP203" s="8"/>
      <c r="EQ203" s="8"/>
      <c r="ER203" s="8"/>
      <c r="ES203" s="8"/>
      <c r="ET203" s="8"/>
      <c r="EU203" s="8"/>
      <c r="EV203" s="8"/>
      <c r="EW203" s="8"/>
      <c r="EX203" s="8"/>
      <c r="EY203" s="8"/>
      <c r="EZ203" s="8"/>
      <c r="FA203" s="8"/>
      <c r="FB203" s="8"/>
      <c r="FC203" s="8"/>
      <c r="FD203" s="8"/>
      <c r="FE203" s="8"/>
      <c r="FF203" s="8"/>
      <c r="FG203" s="8"/>
      <c r="FH203" s="8"/>
      <c r="FI203" s="8"/>
      <c r="FJ203" s="8"/>
      <c r="FK203" s="8"/>
      <c r="FL203" s="8"/>
      <c r="FM203" s="8"/>
      <c r="FN203" s="8"/>
      <c r="FO203" s="8"/>
      <c r="FP203" s="8"/>
      <c r="FQ203" s="8"/>
      <c r="FR203" s="8"/>
      <c r="FS203" s="8"/>
      <c r="FT203" s="8"/>
      <c r="FU203" s="8"/>
      <c r="FV203" s="8"/>
      <c r="FW203" s="8"/>
      <c r="FX203" s="8"/>
      <c r="FY203" s="8"/>
      <c r="FZ203" s="8"/>
      <c r="GA203" s="8"/>
      <c r="GB203" s="8"/>
      <c r="GC203" s="8"/>
      <c r="GD203" s="8"/>
      <c r="GE203" s="8"/>
      <c r="GF203" s="8"/>
      <c r="GG203" s="8"/>
      <c r="GH203" s="8"/>
      <c r="GI203" s="8"/>
      <c r="GJ203" s="8"/>
      <c r="GK203" s="8"/>
      <c r="GL203" s="8"/>
      <c r="GM203" s="8"/>
      <c r="GN203" s="8"/>
      <c r="GO203" s="8"/>
      <c r="GP203" s="8"/>
      <c r="GQ203" s="8"/>
      <c r="GR203" s="8"/>
      <c r="GS203" s="8"/>
      <c r="GT203" s="8"/>
      <c r="GU203" s="8"/>
      <c r="GV203" s="8"/>
      <c r="GW203" s="8"/>
      <c r="GX203" s="8"/>
      <c r="GY203" s="8"/>
      <c r="GZ203" s="8"/>
      <c r="HA203" s="8"/>
      <c r="HB203" s="8"/>
      <c r="HC203" s="8"/>
      <c r="HD203" s="8"/>
      <c r="HE203" s="8"/>
      <c r="HF203" s="8"/>
      <c r="HG203" s="8"/>
      <c r="HH203" s="8"/>
      <c r="HI203" s="8"/>
      <c r="HJ203" s="8"/>
      <c r="HK203" s="8"/>
      <c r="HL203" s="8"/>
      <c r="HM203" s="8"/>
      <c r="HN203" s="8"/>
      <c r="HO203" s="8"/>
      <c r="HP203" s="8"/>
      <c r="HQ203" s="8"/>
      <c r="HR203" s="8"/>
      <c r="HS203" s="8"/>
      <c r="HT203" s="8"/>
      <c r="HU203" s="8"/>
      <c r="HV203" s="8"/>
      <c r="HW203" s="8"/>
      <c r="HX203" s="8"/>
      <c r="HY203" s="8"/>
      <c r="HZ203" s="8"/>
      <c r="IA203" s="8"/>
      <c r="IB203" s="8"/>
      <c r="IC203" s="8"/>
      <c r="ID203" s="8"/>
      <c r="IE203" s="8"/>
      <c r="IF203" s="8"/>
      <c r="IG203" s="8"/>
      <c r="IH203" s="8"/>
      <c r="II203" s="8"/>
      <c r="IJ203" s="8"/>
      <c r="IK203" s="8"/>
      <c r="IL203" s="8"/>
      <c r="IM203" s="8"/>
      <c r="IN203" s="8"/>
      <c r="IO203" s="8"/>
      <c r="IP203" s="8"/>
      <c r="IQ203" s="8"/>
      <c r="IR203" s="8"/>
      <c r="IS203" s="8"/>
      <c r="IT203" s="8"/>
      <c r="IU203" s="8"/>
      <c r="IV203" s="8"/>
      <c r="IW203" s="8"/>
      <c r="IX203" s="8"/>
      <c r="JA203" s="123"/>
      <c r="JB203" s="123"/>
      <c r="JC203" s="123"/>
      <c r="JD203" s="70">
        <f>SUM((TEXT(JA203,"[M]")/60)*'Income Person-hours'!$D$3,(TEXT(JB203,"[M]")/60)*'Income Person-hours'!$D$4,(TEXT(JC203,"[M]")/60)*'Income Person-hours'!$D$5)</f>
        <v>0</v>
      </c>
    </row>
    <row r="204" spans="1:264 16383:16384" s="12" customFormat="1" ht="15.75" hidden="1" x14ac:dyDescent="0.45">
      <c r="A204" s="32">
        <v>9.6999999999999993</v>
      </c>
      <c r="B204" s="126"/>
      <c r="C204" s="117"/>
      <c r="D204" s="13" t="str">
        <f>IF(OR(j_WEEKDAY(J_ADDDAY(VLOOKUP(I204,A:F,6,FALSE),H204,1),0)=6,SUMIFS(Holieday[ok],Holieday[date],J_ADDDAY(VLOOKUP(I204,A:F,6,FALSE),H204,1)))=FALSE(),J_ADDDAY(VLOOKUP(I204,A:F,6,FALSE),H204,1),IF(OR(j_WEEKDAY(J_ADDDAY(VLOOKUP(I204,A:F,6,FALSE),H204+1,1),0)=6,SUMIFS(Holieday[ok],Holieday[date],J_ADDDAY(VLOOKUP(I204,A:F,6,FALSE),H204+1,1)))=FALSE(),J_ADDDAY(VLOOKUP(I204,A:F,6,FALSE),H204+1,1),IF(OR(j_WEEKDAY(J_ADDDAY(VLOOKUP(I204,A:F,6,FALSE),H204+2,1),0)=6,SUMIFS(Holieday[ok],Holieday[date],J_ADDDAY(VLOOKUP(I204,A:F,6,FALSE),H204+2,1)))=FALSE(),J_ADDDAY(VLOOKUP(I204,A:F,6,FALSE),H204+2,1),IF(OR(j_WEEKDAY(J_ADDDAY(VLOOKUP(I204,A:F,6,FALSE),H204+3,1),0)=6,SUMIFS(Holieday[ok],Holieday[date],J_ADDDAY(VLOOKUP(I204,A:F,6,FALSE),H204+3,1)))=FALSE(),J_ADDDAY(VLOOKUP(I204,A:F,6,FALSE),H204+3,1),IF(OR(j_WEEKDAY(J_ADDDAY(VLOOKUP(I204,A:F,6,FALSE),H204+4,1),0)=6,SUMIFS(Holieday[ok],Holieday[date],J_ADDDAY(VLOOKUP(I204,A:F,6,FALSE),H204+4,1)))=FALSE(),J_ADDDAY(VLOOKUP(I204,A:F,6,FALSE),H204+4,1),J_ADDDAY(VLOOKUP(I204,A:F,6,FALSE),H204+5,1))))))</f>
        <v>1398/06/31</v>
      </c>
      <c r="E204" s="2">
        <f t="shared" si="63"/>
        <v>13980631</v>
      </c>
      <c r="F204" s="13" t="str">
        <f>IF(N204=0,J_SUBDAY(D204,1,1),IF((N204-NETWORKDAYS.INTL(J_GregorianDate(D204,1),J_GregorianDate(J_SUBDAY(J_ADDDAY(D204,N204,1),1,1),1),16,1)-SUMIFS(Holieday[ok],Holieday[date],CONCATENATE("&gt;","=",D204),Holieday[date],CONCATENATE("&lt;","=",J_SUBDAY(J_ADDDAY(D204,N204,1),1,1)))+SUMIFS(Holieday[Friday],Holieday[date],CONCATENATE("&gt;","=",D204),Holieday[date],CONCATENATE("&lt;","=",J_SUBDAY(J_ADDDAY(D204,N204,1),1,1))))=0,J_SUBDAY(J_ADDDAY(D204,N204,1),1,1),IF((N204-NETWORKDAYS.INTL(J_GregorianDate(D204,1),J_GregorianDate(J_SUBDAY(J_ADDDAY(D204,N204,1),1,1),1),16,1)-SUMIFS(Holieday[ok],Holieday[date],CONCATENATE("&gt;","=",D204),Holieday[date],CONCATENATE("&lt;","=",J_SUBDAY(J_ADDDAY(D204,N204,1),1,1)))+SUMIFS(Holieday[Friday],Holieday[date],CONCATENATE("&gt;","=",D204),Holieday[date],CONCATENATE("&lt;","=",J_SUBDAY(J_ADDDAY(D204,N204,1),1,1))))=1,J_SUBDAY(J_ADDDAY(D204,N204+1,1),1,1),IF((N204-NETWORKDAYS.INTL(J_GregorianDate(D204,1),J_GregorianDate(J_SUBDAY(J_ADDDAY(D204,N204,1),1,1),1),16,1)-SUMIFS(Holieday[ok],Holieday[date],CONCATENATE("&gt;","=",D204),Holieday[date],CONCATENATE("&lt;","=",J_SUBDAY(J_ADDDAY(D204,N204,1),1,1)))+SUMIFS(Holieday[Friday],Holieday[date],CONCATENATE("&gt;","=",D204),Holieday[date],CONCATENATE("&lt;","=",J_SUBDAY(J_ADDDAY(D204,N204,1),1,1))))=2,J_SUBDAY(J_ADDDAY(D204,N204+2,1),1,1),J_SUBDAY(J_ADDDAY(D204,N204+3,1),1,1)))))</f>
        <v>1398/06/30</v>
      </c>
      <c r="G204" s="3">
        <f t="shared" si="64"/>
        <v>13980630</v>
      </c>
      <c r="H204" s="119"/>
      <c r="I204" s="120">
        <v>1.1000000000000001</v>
      </c>
      <c r="J204" s="10">
        <f>j_WEEKDAY(D204,2)</f>
        <v>1</v>
      </c>
      <c r="K204" s="22">
        <f t="shared" si="68"/>
        <v>0</v>
      </c>
      <c r="L204" s="9">
        <f t="shared" si="67"/>
        <v>0</v>
      </c>
      <c r="M204" s="121">
        <v>0</v>
      </c>
      <c r="N204" s="118">
        <v>0</v>
      </c>
      <c r="O204" s="11">
        <f t="shared" si="65"/>
        <v>0</v>
      </c>
      <c r="P204" s="11">
        <f>VALUE(J_normdate(J_ADDDAY($D204,$O204,1)))</f>
        <v>13980631</v>
      </c>
      <c r="Q204" s="10">
        <f t="shared" si="66"/>
        <v>0</v>
      </c>
      <c r="R204" s="8"/>
      <c r="S204" s="8"/>
      <c r="T204" s="8"/>
      <c r="U204" s="8"/>
      <c r="V204" s="8"/>
      <c r="W204" s="8"/>
      <c r="X204" s="8"/>
      <c r="Y204" s="8"/>
      <c r="Z204" s="8"/>
      <c r="AA204" s="8"/>
      <c r="AB204" s="8"/>
      <c r="AC204" s="8"/>
      <c r="AD204" s="8"/>
      <c r="AE204" s="8"/>
      <c r="AF204" s="8"/>
      <c r="AG204" s="8"/>
      <c r="AH204" s="8"/>
      <c r="AI204" s="8"/>
      <c r="AJ204" s="8"/>
      <c r="AK204" s="8"/>
      <c r="AL204" s="8"/>
      <c r="AM204" s="8"/>
      <c r="AN204" s="8"/>
      <c r="AO204" s="8"/>
      <c r="AP204" s="8"/>
      <c r="AQ204" s="8"/>
      <c r="AR204" s="8"/>
      <c r="AS204" s="8"/>
      <c r="AT204" s="8"/>
      <c r="AU204" s="8"/>
      <c r="AV204" s="8"/>
      <c r="AW204" s="8"/>
      <c r="AX204" s="8"/>
      <c r="AY204" s="8"/>
      <c r="AZ204" s="8"/>
      <c r="BA204" s="8"/>
      <c r="BB204" s="8"/>
      <c r="BC204" s="8"/>
      <c r="BD204" s="8"/>
      <c r="BE204" s="8"/>
      <c r="BF204" s="8"/>
      <c r="BG204" s="8"/>
      <c r="BH204" s="8"/>
      <c r="BI204" s="8"/>
      <c r="BJ204" s="8"/>
      <c r="BK204" s="8"/>
      <c r="BL204" s="8"/>
      <c r="BM204" s="8"/>
      <c r="BN204" s="8"/>
      <c r="BO204" s="8"/>
      <c r="BP204" s="8"/>
      <c r="BQ204" s="8"/>
      <c r="BR204" s="8"/>
      <c r="BS204" s="8"/>
      <c r="BT204" s="8"/>
      <c r="BU204" s="8"/>
      <c r="BV204" s="8"/>
      <c r="BW204" s="8"/>
      <c r="BX204" s="8"/>
      <c r="BY204" s="8"/>
      <c r="BZ204" s="8"/>
      <c r="CA204" s="8"/>
      <c r="CB204" s="8"/>
      <c r="CC204" s="8"/>
      <c r="CD204" s="8"/>
      <c r="CE204" s="8"/>
      <c r="CF204" s="8"/>
      <c r="CG204" s="8"/>
      <c r="CH204" s="8"/>
      <c r="CI204" s="8"/>
      <c r="CJ204" s="8"/>
      <c r="CK204" s="8"/>
      <c r="CL204" s="8"/>
      <c r="CM204" s="8"/>
      <c r="CN204" s="8"/>
      <c r="CO204" s="8"/>
      <c r="CP204" s="8"/>
      <c r="CQ204" s="8"/>
      <c r="CR204" s="8"/>
      <c r="CS204" s="8"/>
      <c r="CT204" s="8"/>
      <c r="CU204" s="8"/>
      <c r="CV204" s="8"/>
      <c r="CW204" s="8"/>
      <c r="CX204" s="8"/>
      <c r="CY204" s="8"/>
      <c r="CZ204" s="8"/>
      <c r="DA204" s="8"/>
      <c r="DB204" s="8"/>
      <c r="DC204" s="8"/>
      <c r="DD204" s="8"/>
      <c r="DE204" s="8"/>
      <c r="DF204" s="8"/>
      <c r="DG204" s="8"/>
      <c r="DH204" s="8"/>
      <c r="DI204" s="8"/>
      <c r="DJ204" s="8"/>
      <c r="DK204" s="8"/>
      <c r="DL204" s="8"/>
      <c r="DM204" s="8"/>
      <c r="DN204" s="8"/>
      <c r="DO204" s="8"/>
      <c r="DP204" s="8"/>
      <c r="DQ204" s="8"/>
      <c r="DR204" s="8"/>
      <c r="DS204" s="8"/>
      <c r="DT204" s="8"/>
      <c r="DU204" s="8"/>
      <c r="DV204" s="8"/>
      <c r="DW204" s="8"/>
      <c r="DX204" s="8"/>
      <c r="DY204" s="8"/>
      <c r="DZ204" s="8"/>
      <c r="EA204" s="8"/>
      <c r="EB204" s="8"/>
      <c r="EC204" s="8"/>
      <c r="ED204" s="8"/>
      <c r="EE204" s="8"/>
      <c r="EF204" s="8"/>
      <c r="EG204" s="8"/>
      <c r="EH204" s="8"/>
      <c r="EI204" s="8"/>
      <c r="EJ204" s="8"/>
      <c r="EK204" s="8"/>
      <c r="EL204" s="8"/>
      <c r="EM204" s="8"/>
      <c r="EN204" s="8"/>
      <c r="EO204" s="8"/>
      <c r="EP204" s="8"/>
      <c r="EQ204" s="8"/>
      <c r="ER204" s="8"/>
      <c r="ES204" s="8"/>
      <c r="ET204" s="8"/>
      <c r="EU204" s="8"/>
      <c r="EV204" s="8"/>
      <c r="EW204" s="8"/>
      <c r="EX204" s="8"/>
      <c r="EY204" s="8"/>
      <c r="EZ204" s="8"/>
      <c r="FA204" s="8"/>
      <c r="FB204" s="8"/>
      <c r="FC204" s="8"/>
      <c r="FD204" s="8"/>
      <c r="FE204" s="8"/>
      <c r="FF204" s="8"/>
      <c r="FG204" s="8"/>
      <c r="FH204" s="8"/>
      <c r="FI204" s="8"/>
      <c r="FJ204" s="8"/>
      <c r="FK204" s="8"/>
      <c r="FL204" s="8"/>
      <c r="FM204" s="8"/>
      <c r="FN204" s="8"/>
      <c r="FO204" s="8"/>
      <c r="FP204" s="8"/>
      <c r="FQ204" s="8"/>
      <c r="FR204" s="8"/>
      <c r="FS204" s="8"/>
      <c r="FT204" s="8"/>
      <c r="FU204" s="8"/>
      <c r="FV204" s="8"/>
      <c r="FW204" s="8"/>
      <c r="FX204" s="8"/>
      <c r="FY204" s="8"/>
      <c r="FZ204" s="8"/>
      <c r="GA204" s="8"/>
      <c r="GB204" s="8"/>
      <c r="GC204" s="8"/>
      <c r="GD204" s="8"/>
      <c r="GE204" s="8"/>
      <c r="GF204" s="8"/>
      <c r="GG204" s="8"/>
      <c r="GH204" s="8"/>
      <c r="GI204" s="8"/>
      <c r="GJ204" s="8"/>
      <c r="GK204" s="8"/>
      <c r="GL204" s="8"/>
      <c r="GM204" s="8"/>
      <c r="GN204" s="8"/>
      <c r="GO204" s="8"/>
      <c r="GP204" s="8"/>
      <c r="GQ204" s="8"/>
      <c r="GR204" s="8"/>
      <c r="GS204" s="8"/>
      <c r="GT204" s="8"/>
      <c r="GU204" s="8"/>
      <c r="GV204" s="8"/>
      <c r="GW204" s="8"/>
      <c r="GX204" s="8"/>
      <c r="GY204" s="8"/>
      <c r="GZ204" s="8"/>
      <c r="HA204" s="8"/>
      <c r="HB204" s="8"/>
      <c r="HC204" s="8"/>
      <c r="HD204" s="8"/>
      <c r="HE204" s="8"/>
      <c r="HF204" s="8"/>
      <c r="HG204" s="8"/>
      <c r="HH204" s="8"/>
      <c r="HI204" s="8"/>
      <c r="HJ204" s="8"/>
      <c r="HK204" s="8"/>
      <c r="HL204" s="8"/>
      <c r="HM204" s="8"/>
      <c r="HN204" s="8"/>
      <c r="HO204" s="8"/>
      <c r="HP204" s="8"/>
      <c r="HQ204" s="8"/>
      <c r="HR204" s="8"/>
      <c r="HS204" s="8"/>
      <c r="HT204" s="8"/>
      <c r="HU204" s="8"/>
      <c r="HV204" s="8"/>
      <c r="HW204" s="8"/>
      <c r="HX204" s="8"/>
      <c r="HY204" s="8"/>
      <c r="HZ204" s="8"/>
      <c r="IA204" s="8"/>
      <c r="IB204" s="8"/>
      <c r="IC204" s="8"/>
      <c r="ID204" s="8"/>
      <c r="IE204" s="8"/>
      <c r="IF204" s="8"/>
      <c r="IG204" s="8"/>
      <c r="IH204" s="8"/>
      <c r="II204" s="8"/>
      <c r="IJ204" s="8"/>
      <c r="IK204" s="8"/>
      <c r="IL204" s="8"/>
      <c r="IM204" s="8"/>
      <c r="IN204" s="8"/>
      <c r="IO204" s="8"/>
      <c r="IP204" s="8"/>
      <c r="IQ204" s="8"/>
      <c r="IR204" s="8"/>
      <c r="IS204" s="8"/>
      <c r="IT204" s="8"/>
      <c r="IU204" s="8"/>
      <c r="IV204" s="8"/>
      <c r="IW204" s="8"/>
      <c r="IX204" s="8"/>
      <c r="JA204" s="123"/>
      <c r="JB204" s="123"/>
      <c r="JC204" s="123"/>
      <c r="JD204" s="70">
        <f>SUM((TEXT(JA204,"[M]")/60)*'Income Person-hours'!$D$3,(TEXT(JB204,"[M]")/60)*'Income Person-hours'!$D$4,(TEXT(JC204,"[M]")/60)*'Income Person-hours'!$D$5)</f>
        <v>0</v>
      </c>
    </row>
    <row r="205" spans="1:264 16383:16384" s="12" customFormat="1" ht="15.75" hidden="1" x14ac:dyDescent="0.45">
      <c r="A205" s="32">
        <v>9.8000000000000007</v>
      </c>
      <c r="B205" s="126"/>
      <c r="C205" s="117"/>
      <c r="D205" s="13" t="str">
        <f>IF(OR(j_WEEKDAY(J_ADDDAY(VLOOKUP(I205,A:F,6,FALSE),H205,1),0)=6,SUMIFS(Holieday[ok],Holieday[date],J_ADDDAY(VLOOKUP(I205,A:F,6,FALSE),H205,1)))=FALSE(),J_ADDDAY(VLOOKUP(I205,A:F,6,FALSE),H205,1),IF(OR(j_WEEKDAY(J_ADDDAY(VLOOKUP(I205,A:F,6,FALSE),H205+1,1),0)=6,SUMIFS(Holieday[ok],Holieday[date],J_ADDDAY(VLOOKUP(I205,A:F,6,FALSE),H205+1,1)))=FALSE(),J_ADDDAY(VLOOKUP(I205,A:F,6,FALSE),H205+1,1),IF(OR(j_WEEKDAY(J_ADDDAY(VLOOKUP(I205,A:F,6,FALSE),H205+2,1),0)=6,SUMIFS(Holieday[ok],Holieday[date],J_ADDDAY(VLOOKUP(I205,A:F,6,FALSE),H205+2,1)))=FALSE(),J_ADDDAY(VLOOKUP(I205,A:F,6,FALSE),H205+2,1),IF(OR(j_WEEKDAY(J_ADDDAY(VLOOKUP(I205,A:F,6,FALSE),H205+3,1),0)=6,SUMIFS(Holieday[ok],Holieday[date],J_ADDDAY(VLOOKUP(I205,A:F,6,FALSE),H205+3,1)))=FALSE(),J_ADDDAY(VLOOKUP(I205,A:F,6,FALSE),H205+3,1),IF(OR(j_WEEKDAY(J_ADDDAY(VLOOKUP(I205,A:F,6,FALSE),H205+4,1),0)=6,SUMIFS(Holieday[ok],Holieday[date],J_ADDDAY(VLOOKUP(I205,A:F,6,FALSE),H205+4,1)))=FALSE(),J_ADDDAY(VLOOKUP(I205,A:F,6,FALSE),H205+4,1),J_ADDDAY(VLOOKUP(I205,A:F,6,FALSE),H205+5,1))))))</f>
        <v>1398/06/31</v>
      </c>
      <c r="E205" s="2">
        <f t="shared" si="63"/>
        <v>13980631</v>
      </c>
      <c r="F205" s="13" t="str">
        <f>IF(N205=0,J_SUBDAY(D205,1,1),IF((N205-NETWORKDAYS.INTL(J_GregorianDate(D205,1),J_GregorianDate(J_SUBDAY(J_ADDDAY(D205,N205,1),1,1),1),16,1)-SUMIFS(Holieday[ok],Holieday[date],CONCATENATE("&gt;","=",D205),Holieday[date],CONCATENATE("&lt;","=",J_SUBDAY(J_ADDDAY(D205,N205,1),1,1)))+SUMIFS(Holieday[Friday],Holieday[date],CONCATENATE("&gt;","=",D205),Holieday[date],CONCATENATE("&lt;","=",J_SUBDAY(J_ADDDAY(D205,N205,1),1,1))))=0,J_SUBDAY(J_ADDDAY(D205,N205,1),1,1),IF((N205-NETWORKDAYS.INTL(J_GregorianDate(D205,1),J_GregorianDate(J_SUBDAY(J_ADDDAY(D205,N205,1),1,1),1),16,1)-SUMIFS(Holieday[ok],Holieday[date],CONCATENATE("&gt;","=",D205),Holieday[date],CONCATENATE("&lt;","=",J_SUBDAY(J_ADDDAY(D205,N205,1),1,1)))+SUMIFS(Holieday[Friday],Holieday[date],CONCATENATE("&gt;","=",D205),Holieday[date],CONCATENATE("&lt;","=",J_SUBDAY(J_ADDDAY(D205,N205,1),1,1))))=1,J_SUBDAY(J_ADDDAY(D205,N205+1,1),1,1),IF((N205-NETWORKDAYS.INTL(J_GregorianDate(D205,1),J_GregorianDate(J_SUBDAY(J_ADDDAY(D205,N205,1),1,1),1),16,1)-SUMIFS(Holieday[ok],Holieday[date],CONCATENATE("&gt;","=",D205),Holieday[date],CONCATENATE("&lt;","=",J_SUBDAY(J_ADDDAY(D205,N205,1),1,1)))+SUMIFS(Holieday[Friday],Holieday[date],CONCATENATE("&gt;","=",D205),Holieday[date],CONCATENATE("&lt;","=",J_SUBDAY(J_ADDDAY(D205,N205,1),1,1))))=2,J_SUBDAY(J_ADDDAY(D205,N205+2,1),1,1),J_SUBDAY(J_ADDDAY(D205,N205+3,1),1,1)))))</f>
        <v>1398/06/30</v>
      </c>
      <c r="G205" s="3">
        <f t="shared" si="64"/>
        <v>13980630</v>
      </c>
      <c r="H205" s="119"/>
      <c r="I205" s="120">
        <v>1.1000000000000001</v>
      </c>
      <c r="J205" s="10">
        <f>j_WEEKDAY(D205,2)</f>
        <v>1</v>
      </c>
      <c r="K205" s="22">
        <f t="shared" si="68"/>
        <v>0</v>
      </c>
      <c r="L205" s="9">
        <f t="shared" si="67"/>
        <v>0</v>
      </c>
      <c r="M205" s="121">
        <v>0</v>
      </c>
      <c r="N205" s="118">
        <v>0</v>
      </c>
      <c r="O205" s="11">
        <f t="shared" si="65"/>
        <v>0</v>
      </c>
      <c r="P205" s="11">
        <f>VALUE(J_normdate(J_ADDDAY($D205,$O205,1)))</f>
        <v>13980631</v>
      </c>
      <c r="Q205" s="10">
        <f t="shared" si="66"/>
        <v>0</v>
      </c>
      <c r="R205" s="8"/>
      <c r="S205" s="8"/>
      <c r="T205" s="8"/>
      <c r="U205" s="8"/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/>
      <c r="AH205" s="8"/>
      <c r="AI205" s="8"/>
      <c r="AJ205" s="8"/>
      <c r="AK205" s="8"/>
      <c r="AL205" s="8"/>
      <c r="AM205" s="8"/>
      <c r="AN205" s="8"/>
      <c r="AO205" s="8"/>
      <c r="AP205" s="8"/>
      <c r="AQ205" s="8"/>
      <c r="AR205" s="8"/>
      <c r="AS205" s="8"/>
      <c r="AT205" s="8"/>
      <c r="AU205" s="8"/>
      <c r="AV205" s="8"/>
      <c r="AW205" s="8"/>
      <c r="AX205" s="8"/>
      <c r="AY205" s="8"/>
      <c r="AZ205" s="8"/>
      <c r="BA205" s="8"/>
      <c r="BB205" s="8"/>
      <c r="BC205" s="8"/>
      <c r="BD205" s="8"/>
      <c r="BE205" s="8"/>
      <c r="BF205" s="8"/>
      <c r="BG205" s="8"/>
      <c r="BH205" s="8"/>
      <c r="BI205" s="8"/>
      <c r="BJ205" s="8"/>
      <c r="BK205" s="8"/>
      <c r="BL205" s="8"/>
      <c r="BM205" s="8"/>
      <c r="BN205" s="8"/>
      <c r="BO205" s="8"/>
      <c r="BP205" s="8"/>
      <c r="BQ205" s="8"/>
      <c r="BR205" s="8"/>
      <c r="BS205" s="8"/>
      <c r="BT205" s="8"/>
      <c r="BU205" s="8"/>
      <c r="BV205" s="8"/>
      <c r="BW205" s="8"/>
      <c r="BX205" s="8"/>
      <c r="BY205" s="8"/>
      <c r="BZ205" s="8"/>
      <c r="CA205" s="8"/>
      <c r="CB205" s="8"/>
      <c r="CC205" s="8"/>
      <c r="CD205" s="8"/>
      <c r="CE205" s="8"/>
      <c r="CF205" s="8"/>
      <c r="CG205" s="8"/>
      <c r="CH205" s="8"/>
      <c r="CI205" s="8"/>
      <c r="CJ205" s="8"/>
      <c r="CK205" s="8"/>
      <c r="CL205" s="8"/>
      <c r="CM205" s="8"/>
      <c r="CN205" s="8"/>
      <c r="CO205" s="8"/>
      <c r="CP205" s="8"/>
      <c r="CQ205" s="8"/>
      <c r="CR205" s="8"/>
      <c r="CS205" s="8"/>
      <c r="CT205" s="8"/>
      <c r="CU205" s="8"/>
      <c r="CV205" s="8"/>
      <c r="CW205" s="8"/>
      <c r="CX205" s="8"/>
      <c r="CY205" s="8"/>
      <c r="CZ205" s="8"/>
      <c r="DA205" s="8"/>
      <c r="DB205" s="8"/>
      <c r="DC205" s="8"/>
      <c r="DD205" s="8"/>
      <c r="DE205" s="8"/>
      <c r="DF205" s="8"/>
      <c r="DG205" s="8"/>
      <c r="DH205" s="8"/>
      <c r="DI205" s="8"/>
      <c r="DJ205" s="8"/>
      <c r="DK205" s="8"/>
      <c r="DL205" s="8"/>
      <c r="DM205" s="8"/>
      <c r="DN205" s="8"/>
      <c r="DO205" s="8"/>
      <c r="DP205" s="8"/>
      <c r="DQ205" s="8"/>
      <c r="DR205" s="8"/>
      <c r="DS205" s="8"/>
      <c r="DT205" s="8"/>
      <c r="DU205" s="8"/>
      <c r="DV205" s="8"/>
      <c r="DW205" s="8"/>
      <c r="DX205" s="8"/>
      <c r="DY205" s="8"/>
      <c r="DZ205" s="8"/>
      <c r="EA205" s="8"/>
      <c r="EB205" s="8"/>
      <c r="EC205" s="8"/>
      <c r="ED205" s="8"/>
      <c r="EE205" s="8"/>
      <c r="EF205" s="8"/>
      <c r="EG205" s="8"/>
      <c r="EH205" s="8"/>
      <c r="EI205" s="8"/>
      <c r="EJ205" s="8"/>
      <c r="EK205" s="8"/>
      <c r="EL205" s="8"/>
      <c r="EM205" s="8"/>
      <c r="EN205" s="8"/>
      <c r="EO205" s="8"/>
      <c r="EP205" s="8"/>
      <c r="EQ205" s="8"/>
      <c r="ER205" s="8"/>
      <c r="ES205" s="8"/>
      <c r="ET205" s="8"/>
      <c r="EU205" s="8"/>
      <c r="EV205" s="8"/>
      <c r="EW205" s="8"/>
      <c r="EX205" s="8"/>
      <c r="EY205" s="8"/>
      <c r="EZ205" s="8"/>
      <c r="FA205" s="8"/>
      <c r="FB205" s="8"/>
      <c r="FC205" s="8"/>
      <c r="FD205" s="8"/>
      <c r="FE205" s="8"/>
      <c r="FF205" s="8"/>
      <c r="FG205" s="8"/>
      <c r="FH205" s="8"/>
      <c r="FI205" s="8"/>
      <c r="FJ205" s="8"/>
      <c r="FK205" s="8"/>
      <c r="FL205" s="8"/>
      <c r="FM205" s="8"/>
      <c r="FN205" s="8"/>
      <c r="FO205" s="8"/>
      <c r="FP205" s="8"/>
      <c r="FQ205" s="8"/>
      <c r="FR205" s="8"/>
      <c r="FS205" s="8"/>
      <c r="FT205" s="8"/>
      <c r="FU205" s="8"/>
      <c r="FV205" s="8"/>
      <c r="FW205" s="8"/>
      <c r="FX205" s="8"/>
      <c r="FY205" s="8"/>
      <c r="FZ205" s="8"/>
      <c r="GA205" s="8"/>
      <c r="GB205" s="8"/>
      <c r="GC205" s="8"/>
      <c r="GD205" s="8"/>
      <c r="GE205" s="8"/>
      <c r="GF205" s="8"/>
      <c r="GG205" s="8"/>
      <c r="GH205" s="8"/>
      <c r="GI205" s="8"/>
      <c r="GJ205" s="8"/>
      <c r="GK205" s="8"/>
      <c r="GL205" s="8"/>
      <c r="GM205" s="8"/>
      <c r="GN205" s="8"/>
      <c r="GO205" s="8"/>
      <c r="GP205" s="8"/>
      <c r="GQ205" s="8"/>
      <c r="GR205" s="8"/>
      <c r="GS205" s="8"/>
      <c r="GT205" s="8"/>
      <c r="GU205" s="8"/>
      <c r="GV205" s="8"/>
      <c r="GW205" s="8"/>
      <c r="GX205" s="8"/>
      <c r="GY205" s="8"/>
      <c r="GZ205" s="8"/>
      <c r="HA205" s="8"/>
      <c r="HB205" s="8"/>
      <c r="HC205" s="8"/>
      <c r="HD205" s="8"/>
      <c r="HE205" s="8"/>
      <c r="HF205" s="8"/>
      <c r="HG205" s="8"/>
      <c r="HH205" s="8"/>
      <c r="HI205" s="8"/>
      <c r="HJ205" s="8"/>
      <c r="HK205" s="8"/>
      <c r="HL205" s="8"/>
      <c r="HM205" s="8"/>
      <c r="HN205" s="8"/>
      <c r="HO205" s="8"/>
      <c r="HP205" s="8"/>
      <c r="HQ205" s="8"/>
      <c r="HR205" s="8"/>
      <c r="HS205" s="8"/>
      <c r="HT205" s="8"/>
      <c r="HU205" s="8"/>
      <c r="HV205" s="8"/>
      <c r="HW205" s="8"/>
      <c r="HX205" s="8"/>
      <c r="HY205" s="8"/>
      <c r="HZ205" s="8"/>
      <c r="IA205" s="8"/>
      <c r="IB205" s="8"/>
      <c r="IC205" s="8"/>
      <c r="ID205" s="8"/>
      <c r="IE205" s="8"/>
      <c r="IF205" s="8"/>
      <c r="IG205" s="8"/>
      <c r="IH205" s="8"/>
      <c r="II205" s="8"/>
      <c r="IJ205" s="8"/>
      <c r="IK205" s="8"/>
      <c r="IL205" s="8"/>
      <c r="IM205" s="8"/>
      <c r="IN205" s="8"/>
      <c r="IO205" s="8"/>
      <c r="IP205" s="8"/>
      <c r="IQ205" s="8"/>
      <c r="IR205" s="8"/>
      <c r="IS205" s="8"/>
      <c r="IT205" s="8"/>
      <c r="IU205" s="8"/>
      <c r="IV205" s="8"/>
      <c r="IW205" s="8"/>
      <c r="IX205" s="8"/>
      <c r="JA205" s="123"/>
      <c r="JB205" s="123"/>
      <c r="JC205" s="123"/>
      <c r="JD205" s="70">
        <f>SUM((TEXT(JA205,"[M]")/60)*'Income Person-hours'!$D$3,(TEXT(JB205,"[M]")/60)*'Income Person-hours'!$D$4,(TEXT(JC205,"[M]")/60)*'Income Person-hours'!$D$5)</f>
        <v>0</v>
      </c>
    </row>
    <row r="206" spans="1:264 16383:16384" s="12" customFormat="1" ht="15.75" hidden="1" x14ac:dyDescent="0.45">
      <c r="A206" s="32">
        <v>9.9</v>
      </c>
      <c r="B206" s="126"/>
      <c r="C206" s="117"/>
      <c r="D206" s="13" t="str">
        <f>IF(OR(j_WEEKDAY(J_ADDDAY(VLOOKUP(I206,A:F,6,FALSE),H206,1),0)=6,SUMIFS(Holieday[ok],Holieday[date],J_ADDDAY(VLOOKUP(I206,A:F,6,FALSE),H206,1)))=FALSE(),J_ADDDAY(VLOOKUP(I206,A:F,6,FALSE),H206,1),IF(OR(j_WEEKDAY(J_ADDDAY(VLOOKUP(I206,A:F,6,FALSE),H206+1,1),0)=6,SUMIFS(Holieday[ok],Holieday[date],J_ADDDAY(VLOOKUP(I206,A:F,6,FALSE),H206+1,1)))=FALSE(),J_ADDDAY(VLOOKUP(I206,A:F,6,FALSE),H206+1,1),IF(OR(j_WEEKDAY(J_ADDDAY(VLOOKUP(I206,A:F,6,FALSE),H206+2,1),0)=6,SUMIFS(Holieday[ok],Holieday[date],J_ADDDAY(VLOOKUP(I206,A:F,6,FALSE),H206+2,1)))=FALSE(),J_ADDDAY(VLOOKUP(I206,A:F,6,FALSE),H206+2,1),IF(OR(j_WEEKDAY(J_ADDDAY(VLOOKUP(I206,A:F,6,FALSE),H206+3,1),0)=6,SUMIFS(Holieday[ok],Holieday[date],J_ADDDAY(VLOOKUP(I206,A:F,6,FALSE),H206+3,1)))=FALSE(),J_ADDDAY(VLOOKUP(I206,A:F,6,FALSE),H206+3,1),IF(OR(j_WEEKDAY(J_ADDDAY(VLOOKUP(I206,A:F,6,FALSE),H206+4,1),0)=6,SUMIFS(Holieday[ok],Holieday[date],J_ADDDAY(VLOOKUP(I206,A:F,6,FALSE),H206+4,1)))=FALSE(),J_ADDDAY(VLOOKUP(I206,A:F,6,FALSE),H206+4,1),J_ADDDAY(VLOOKUP(I206,A:F,6,FALSE),H206+5,1))))))</f>
        <v>1398/06/31</v>
      </c>
      <c r="E206" s="2">
        <f t="shared" si="63"/>
        <v>13980631</v>
      </c>
      <c r="F206" s="13" t="str">
        <f>IF(N206=0,J_SUBDAY(D206,1,1),IF((N206-NETWORKDAYS.INTL(J_GregorianDate(D206,1),J_GregorianDate(J_SUBDAY(J_ADDDAY(D206,N206,1),1,1),1),16,1)-SUMIFS(Holieday[ok],Holieday[date],CONCATENATE("&gt;","=",D206),Holieday[date],CONCATENATE("&lt;","=",J_SUBDAY(J_ADDDAY(D206,N206,1),1,1)))+SUMIFS(Holieday[Friday],Holieday[date],CONCATENATE("&gt;","=",D206),Holieday[date],CONCATENATE("&lt;","=",J_SUBDAY(J_ADDDAY(D206,N206,1),1,1))))=0,J_SUBDAY(J_ADDDAY(D206,N206,1),1,1),IF((N206-NETWORKDAYS.INTL(J_GregorianDate(D206,1),J_GregorianDate(J_SUBDAY(J_ADDDAY(D206,N206,1),1,1),1),16,1)-SUMIFS(Holieday[ok],Holieday[date],CONCATENATE("&gt;","=",D206),Holieday[date],CONCATENATE("&lt;","=",J_SUBDAY(J_ADDDAY(D206,N206,1),1,1)))+SUMIFS(Holieday[Friday],Holieday[date],CONCATENATE("&gt;","=",D206),Holieday[date],CONCATENATE("&lt;","=",J_SUBDAY(J_ADDDAY(D206,N206,1),1,1))))=1,J_SUBDAY(J_ADDDAY(D206,N206+1,1),1,1),IF((N206-NETWORKDAYS.INTL(J_GregorianDate(D206,1),J_GregorianDate(J_SUBDAY(J_ADDDAY(D206,N206,1),1,1),1),16,1)-SUMIFS(Holieday[ok],Holieday[date],CONCATENATE("&gt;","=",D206),Holieday[date],CONCATENATE("&lt;","=",J_SUBDAY(J_ADDDAY(D206,N206,1),1,1)))+SUMIFS(Holieday[Friday],Holieday[date],CONCATENATE("&gt;","=",D206),Holieday[date],CONCATENATE("&lt;","=",J_SUBDAY(J_ADDDAY(D206,N206,1),1,1))))=2,J_SUBDAY(J_ADDDAY(D206,N206+2,1),1,1),J_SUBDAY(J_ADDDAY(D206,N206+3,1),1,1)))))</f>
        <v>1398/06/30</v>
      </c>
      <c r="G206" s="3">
        <f t="shared" si="64"/>
        <v>13980630</v>
      </c>
      <c r="H206" s="119"/>
      <c r="I206" s="120">
        <v>1.1000000000000001</v>
      </c>
      <c r="J206" s="10">
        <f>j_WEEKDAY(D206,2)</f>
        <v>1</v>
      </c>
      <c r="K206" s="22">
        <f t="shared" si="68"/>
        <v>0</v>
      </c>
      <c r="L206" s="9">
        <f t="shared" si="67"/>
        <v>0</v>
      </c>
      <c r="M206" s="121">
        <v>0</v>
      </c>
      <c r="N206" s="118">
        <v>0</v>
      </c>
      <c r="O206" s="11">
        <f t="shared" si="65"/>
        <v>0</v>
      </c>
      <c r="P206" s="11">
        <f>VALUE(J_normdate(J_ADDDAY($D206,$O206,1)))</f>
        <v>13980631</v>
      </c>
      <c r="Q206" s="10">
        <f t="shared" si="66"/>
        <v>0</v>
      </c>
      <c r="R206" s="8"/>
      <c r="S206" s="8"/>
      <c r="T206" s="8"/>
      <c r="U206" s="8"/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/>
      <c r="AH206" s="8"/>
      <c r="AI206" s="8"/>
      <c r="AJ206" s="8"/>
      <c r="AK206" s="8"/>
      <c r="AL206" s="8"/>
      <c r="AM206" s="8"/>
      <c r="AN206" s="8"/>
      <c r="AO206" s="8"/>
      <c r="AP206" s="8"/>
      <c r="AQ206" s="8"/>
      <c r="AR206" s="8"/>
      <c r="AS206" s="8"/>
      <c r="AT206" s="8"/>
      <c r="AU206" s="8"/>
      <c r="AV206" s="8"/>
      <c r="AW206" s="8"/>
      <c r="AX206" s="8"/>
      <c r="AY206" s="8"/>
      <c r="AZ206" s="8"/>
      <c r="BA206" s="8"/>
      <c r="BB206" s="8"/>
      <c r="BC206" s="8"/>
      <c r="BD206" s="8"/>
      <c r="BE206" s="8"/>
      <c r="BF206" s="8"/>
      <c r="BG206" s="8"/>
      <c r="BH206" s="8"/>
      <c r="BI206" s="8"/>
      <c r="BJ206" s="8"/>
      <c r="BK206" s="8"/>
      <c r="BL206" s="8"/>
      <c r="BM206" s="8"/>
      <c r="BN206" s="8"/>
      <c r="BO206" s="8"/>
      <c r="BP206" s="8"/>
      <c r="BQ206" s="8"/>
      <c r="BR206" s="8"/>
      <c r="BS206" s="8"/>
      <c r="BT206" s="8"/>
      <c r="BU206" s="8"/>
      <c r="BV206" s="8"/>
      <c r="BW206" s="8"/>
      <c r="BX206" s="8"/>
      <c r="BY206" s="8"/>
      <c r="BZ206" s="8"/>
      <c r="CA206" s="8"/>
      <c r="CB206" s="8"/>
      <c r="CC206" s="8"/>
      <c r="CD206" s="8"/>
      <c r="CE206" s="8"/>
      <c r="CF206" s="8"/>
      <c r="CG206" s="8"/>
      <c r="CH206" s="8"/>
      <c r="CI206" s="8"/>
      <c r="CJ206" s="8"/>
      <c r="CK206" s="8"/>
      <c r="CL206" s="8"/>
      <c r="CM206" s="8"/>
      <c r="CN206" s="8"/>
      <c r="CO206" s="8"/>
      <c r="CP206" s="8"/>
      <c r="CQ206" s="8"/>
      <c r="CR206" s="8"/>
      <c r="CS206" s="8"/>
      <c r="CT206" s="8"/>
      <c r="CU206" s="8"/>
      <c r="CV206" s="8"/>
      <c r="CW206" s="8"/>
      <c r="CX206" s="8"/>
      <c r="CY206" s="8"/>
      <c r="CZ206" s="8"/>
      <c r="DA206" s="8"/>
      <c r="DB206" s="8"/>
      <c r="DC206" s="8"/>
      <c r="DD206" s="8"/>
      <c r="DE206" s="8"/>
      <c r="DF206" s="8"/>
      <c r="DG206" s="8"/>
      <c r="DH206" s="8"/>
      <c r="DI206" s="8"/>
      <c r="DJ206" s="8"/>
      <c r="DK206" s="8"/>
      <c r="DL206" s="8"/>
      <c r="DM206" s="8"/>
      <c r="DN206" s="8"/>
      <c r="DO206" s="8"/>
      <c r="DP206" s="8"/>
      <c r="DQ206" s="8"/>
      <c r="DR206" s="8"/>
      <c r="DS206" s="8"/>
      <c r="DT206" s="8"/>
      <c r="DU206" s="8"/>
      <c r="DV206" s="8"/>
      <c r="DW206" s="8"/>
      <c r="DX206" s="8"/>
      <c r="DY206" s="8"/>
      <c r="DZ206" s="8"/>
      <c r="EA206" s="8"/>
      <c r="EB206" s="8"/>
      <c r="EC206" s="8"/>
      <c r="ED206" s="8"/>
      <c r="EE206" s="8"/>
      <c r="EF206" s="8"/>
      <c r="EG206" s="8"/>
      <c r="EH206" s="8"/>
      <c r="EI206" s="8"/>
      <c r="EJ206" s="8"/>
      <c r="EK206" s="8"/>
      <c r="EL206" s="8"/>
      <c r="EM206" s="8"/>
      <c r="EN206" s="8"/>
      <c r="EO206" s="8"/>
      <c r="EP206" s="8"/>
      <c r="EQ206" s="8"/>
      <c r="ER206" s="8"/>
      <c r="ES206" s="8"/>
      <c r="ET206" s="8"/>
      <c r="EU206" s="8"/>
      <c r="EV206" s="8"/>
      <c r="EW206" s="8"/>
      <c r="EX206" s="8"/>
      <c r="EY206" s="8"/>
      <c r="EZ206" s="8"/>
      <c r="FA206" s="8"/>
      <c r="FB206" s="8"/>
      <c r="FC206" s="8"/>
      <c r="FD206" s="8"/>
      <c r="FE206" s="8"/>
      <c r="FF206" s="8"/>
      <c r="FG206" s="8"/>
      <c r="FH206" s="8"/>
      <c r="FI206" s="8"/>
      <c r="FJ206" s="8"/>
      <c r="FK206" s="8"/>
      <c r="FL206" s="8"/>
      <c r="FM206" s="8"/>
      <c r="FN206" s="8"/>
      <c r="FO206" s="8"/>
      <c r="FP206" s="8"/>
      <c r="FQ206" s="8"/>
      <c r="FR206" s="8"/>
      <c r="FS206" s="8"/>
      <c r="FT206" s="8"/>
      <c r="FU206" s="8"/>
      <c r="FV206" s="8"/>
      <c r="FW206" s="8"/>
      <c r="FX206" s="8"/>
      <c r="FY206" s="8"/>
      <c r="FZ206" s="8"/>
      <c r="GA206" s="8"/>
      <c r="GB206" s="8"/>
      <c r="GC206" s="8"/>
      <c r="GD206" s="8"/>
      <c r="GE206" s="8"/>
      <c r="GF206" s="8"/>
      <c r="GG206" s="8"/>
      <c r="GH206" s="8"/>
      <c r="GI206" s="8"/>
      <c r="GJ206" s="8"/>
      <c r="GK206" s="8"/>
      <c r="GL206" s="8"/>
      <c r="GM206" s="8"/>
      <c r="GN206" s="8"/>
      <c r="GO206" s="8"/>
      <c r="GP206" s="8"/>
      <c r="GQ206" s="8"/>
      <c r="GR206" s="8"/>
      <c r="GS206" s="8"/>
      <c r="GT206" s="8"/>
      <c r="GU206" s="8"/>
      <c r="GV206" s="8"/>
      <c r="GW206" s="8"/>
      <c r="GX206" s="8"/>
      <c r="GY206" s="8"/>
      <c r="GZ206" s="8"/>
      <c r="HA206" s="8"/>
      <c r="HB206" s="8"/>
      <c r="HC206" s="8"/>
      <c r="HD206" s="8"/>
      <c r="HE206" s="8"/>
      <c r="HF206" s="8"/>
      <c r="HG206" s="8"/>
      <c r="HH206" s="8"/>
      <c r="HI206" s="8"/>
      <c r="HJ206" s="8"/>
      <c r="HK206" s="8"/>
      <c r="HL206" s="8"/>
      <c r="HM206" s="8"/>
      <c r="HN206" s="8"/>
      <c r="HO206" s="8"/>
      <c r="HP206" s="8"/>
      <c r="HQ206" s="8"/>
      <c r="HR206" s="8"/>
      <c r="HS206" s="8"/>
      <c r="HT206" s="8"/>
      <c r="HU206" s="8"/>
      <c r="HV206" s="8"/>
      <c r="HW206" s="8"/>
      <c r="HX206" s="8"/>
      <c r="HY206" s="8"/>
      <c r="HZ206" s="8"/>
      <c r="IA206" s="8"/>
      <c r="IB206" s="8"/>
      <c r="IC206" s="8"/>
      <c r="ID206" s="8"/>
      <c r="IE206" s="8"/>
      <c r="IF206" s="8"/>
      <c r="IG206" s="8"/>
      <c r="IH206" s="8"/>
      <c r="II206" s="8"/>
      <c r="IJ206" s="8"/>
      <c r="IK206" s="8"/>
      <c r="IL206" s="8"/>
      <c r="IM206" s="8"/>
      <c r="IN206" s="8"/>
      <c r="IO206" s="8"/>
      <c r="IP206" s="8"/>
      <c r="IQ206" s="8"/>
      <c r="IR206" s="8"/>
      <c r="IS206" s="8"/>
      <c r="IT206" s="8"/>
      <c r="IU206" s="8"/>
      <c r="IV206" s="8"/>
      <c r="IW206" s="8"/>
      <c r="IX206" s="8"/>
      <c r="JA206" s="123"/>
      <c r="JB206" s="123"/>
      <c r="JC206" s="123"/>
      <c r="JD206" s="70">
        <f>SUM((TEXT(JA206,"[M]")/60)*'Income Person-hours'!$D$3,(TEXT(JB206,"[M]")/60)*'Income Person-hours'!$D$4,(TEXT(JC206,"[M]")/60)*'Income Person-hours'!$D$5)</f>
        <v>0</v>
      </c>
    </row>
    <row r="207" spans="1:264 16383:16384" s="12" customFormat="1" ht="15.75" hidden="1" x14ac:dyDescent="0.45">
      <c r="A207" s="32">
        <v>9.11</v>
      </c>
      <c r="B207" s="126"/>
      <c r="C207" s="117"/>
      <c r="D207" s="13" t="str">
        <f>IF(OR(j_WEEKDAY(J_ADDDAY(VLOOKUP(I207,A:F,6,FALSE),H207,1),0)=6,SUMIFS(Holieday[ok],Holieday[date],J_ADDDAY(VLOOKUP(I207,A:F,6,FALSE),H207,1)))=FALSE(),J_ADDDAY(VLOOKUP(I207,A:F,6,FALSE),H207,1),IF(OR(j_WEEKDAY(J_ADDDAY(VLOOKUP(I207,A:F,6,FALSE),H207+1,1),0)=6,SUMIFS(Holieday[ok],Holieday[date],J_ADDDAY(VLOOKUP(I207,A:F,6,FALSE),H207+1,1)))=FALSE(),J_ADDDAY(VLOOKUP(I207,A:F,6,FALSE),H207+1,1),IF(OR(j_WEEKDAY(J_ADDDAY(VLOOKUP(I207,A:F,6,FALSE),H207+2,1),0)=6,SUMIFS(Holieday[ok],Holieday[date],J_ADDDAY(VLOOKUP(I207,A:F,6,FALSE),H207+2,1)))=FALSE(),J_ADDDAY(VLOOKUP(I207,A:F,6,FALSE),H207+2,1),IF(OR(j_WEEKDAY(J_ADDDAY(VLOOKUP(I207,A:F,6,FALSE),H207+3,1),0)=6,SUMIFS(Holieday[ok],Holieday[date],J_ADDDAY(VLOOKUP(I207,A:F,6,FALSE),H207+3,1)))=FALSE(),J_ADDDAY(VLOOKUP(I207,A:F,6,FALSE),H207+3,1),IF(OR(j_WEEKDAY(J_ADDDAY(VLOOKUP(I207,A:F,6,FALSE),H207+4,1),0)=6,SUMIFS(Holieday[ok],Holieday[date],J_ADDDAY(VLOOKUP(I207,A:F,6,FALSE),H207+4,1)))=FALSE(),J_ADDDAY(VLOOKUP(I207,A:F,6,FALSE),H207+4,1),J_ADDDAY(VLOOKUP(I207,A:F,6,FALSE),H207+5,1))))))</f>
        <v>1398/06/31</v>
      </c>
      <c r="E207" s="2">
        <f t="shared" si="63"/>
        <v>13980631</v>
      </c>
      <c r="F207" s="13" t="str">
        <f>IF(N207=0,J_SUBDAY(D207,1,1),IF((N207-NETWORKDAYS.INTL(J_GregorianDate(D207,1),J_GregorianDate(J_SUBDAY(J_ADDDAY(D207,N207,1),1,1),1),16,1)-SUMIFS(Holieday[ok],Holieday[date],CONCATENATE("&gt;","=",D207),Holieday[date],CONCATENATE("&lt;","=",J_SUBDAY(J_ADDDAY(D207,N207,1),1,1)))+SUMIFS(Holieday[Friday],Holieday[date],CONCATENATE("&gt;","=",D207),Holieday[date],CONCATENATE("&lt;","=",J_SUBDAY(J_ADDDAY(D207,N207,1),1,1))))=0,J_SUBDAY(J_ADDDAY(D207,N207,1),1,1),IF((N207-NETWORKDAYS.INTL(J_GregorianDate(D207,1),J_GregorianDate(J_SUBDAY(J_ADDDAY(D207,N207,1),1,1),1),16,1)-SUMIFS(Holieday[ok],Holieday[date],CONCATENATE("&gt;","=",D207),Holieday[date],CONCATENATE("&lt;","=",J_SUBDAY(J_ADDDAY(D207,N207,1),1,1)))+SUMIFS(Holieday[Friday],Holieday[date],CONCATENATE("&gt;","=",D207),Holieday[date],CONCATENATE("&lt;","=",J_SUBDAY(J_ADDDAY(D207,N207,1),1,1))))=1,J_SUBDAY(J_ADDDAY(D207,N207+1,1),1,1),IF((N207-NETWORKDAYS.INTL(J_GregorianDate(D207,1),J_GregorianDate(J_SUBDAY(J_ADDDAY(D207,N207,1),1,1),1),16,1)-SUMIFS(Holieday[ok],Holieday[date],CONCATENATE("&gt;","=",D207),Holieday[date],CONCATENATE("&lt;","=",J_SUBDAY(J_ADDDAY(D207,N207,1),1,1)))+SUMIFS(Holieday[Friday],Holieday[date],CONCATENATE("&gt;","=",D207),Holieday[date],CONCATENATE("&lt;","=",J_SUBDAY(J_ADDDAY(D207,N207,1),1,1))))=2,J_SUBDAY(J_ADDDAY(D207,N207+2,1),1,1),J_SUBDAY(J_ADDDAY(D207,N207+3,1),1,1)))))</f>
        <v>1398/06/30</v>
      </c>
      <c r="G207" s="3">
        <f t="shared" si="64"/>
        <v>13980630</v>
      </c>
      <c r="H207" s="119"/>
      <c r="I207" s="120">
        <v>1.1000000000000001</v>
      </c>
      <c r="J207" s="10">
        <f>j_WEEKDAY(D207,2)</f>
        <v>1</v>
      </c>
      <c r="K207" s="22">
        <f t="shared" si="68"/>
        <v>0</v>
      </c>
      <c r="L207" s="9">
        <f t="shared" si="67"/>
        <v>0</v>
      </c>
      <c r="M207" s="121">
        <v>0</v>
      </c>
      <c r="N207" s="118">
        <v>0</v>
      </c>
      <c r="O207" s="11">
        <f t="shared" si="65"/>
        <v>0</v>
      </c>
      <c r="P207" s="11">
        <f>VALUE(J_normdate(J_ADDDAY($D207,$O207,1)))</f>
        <v>13980631</v>
      </c>
      <c r="Q207" s="10">
        <f t="shared" si="66"/>
        <v>0</v>
      </c>
      <c r="R207" s="8"/>
      <c r="S207" s="8"/>
      <c r="T207" s="8"/>
      <c r="U207" s="8"/>
      <c r="V207" s="8"/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/>
      <c r="AH207" s="8"/>
      <c r="AI207" s="8"/>
      <c r="AJ207" s="8"/>
      <c r="AK207" s="8"/>
      <c r="AL207" s="8"/>
      <c r="AM207" s="8"/>
      <c r="AN207" s="8"/>
      <c r="AO207" s="8"/>
      <c r="AP207" s="8"/>
      <c r="AQ207" s="8"/>
      <c r="AR207" s="8"/>
      <c r="AS207" s="8"/>
      <c r="AT207" s="8"/>
      <c r="AU207" s="8"/>
      <c r="AV207" s="8"/>
      <c r="AW207" s="8"/>
      <c r="AX207" s="8"/>
      <c r="AY207" s="8"/>
      <c r="AZ207" s="8"/>
      <c r="BA207" s="8"/>
      <c r="BB207" s="8"/>
      <c r="BC207" s="8"/>
      <c r="BD207" s="8"/>
      <c r="BE207" s="8"/>
      <c r="BF207" s="8"/>
      <c r="BG207" s="8"/>
      <c r="BH207" s="8"/>
      <c r="BI207" s="8"/>
      <c r="BJ207" s="8"/>
      <c r="BK207" s="8"/>
      <c r="BL207" s="8"/>
      <c r="BM207" s="8"/>
      <c r="BN207" s="8"/>
      <c r="BO207" s="8"/>
      <c r="BP207" s="8"/>
      <c r="BQ207" s="8"/>
      <c r="BR207" s="8"/>
      <c r="BS207" s="8"/>
      <c r="BT207" s="8"/>
      <c r="BU207" s="8"/>
      <c r="BV207" s="8"/>
      <c r="BW207" s="8"/>
      <c r="BX207" s="8"/>
      <c r="BY207" s="8"/>
      <c r="BZ207" s="8"/>
      <c r="CA207" s="8"/>
      <c r="CB207" s="8"/>
      <c r="CC207" s="8"/>
      <c r="CD207" s="8"/>
      <c r="CE207" s="8"/>
      <c r="CF207" s="8"/>
      <c r="CG207" s="8"/>
      <c r="CH207" s="8"/>
      <c r="CI207" s="8"/>
      <c r="CJ207" s="8"/>
      <c r="CK207" s="8"/>
      <c r="CL207" s="8"/>
      <c r="CM207" s="8"/>
      <c r="CN207" s="8"/>
      <c r="CO207" s="8"/>
      <c r="CP207" s="8"/>
      <c r="CQ207" s="8"/>
      <c r="CR207" s="8"/>
      <c r="CS207" s="8"/>
      <c r="CT207" s="8"/>
      <c r="CU207" s="8"/>
      <c r="CV207" s="8"/>
      <c r="CW207" s="8"/>
      <c r="CX207" s="8"/>
      <c r="CY207" s="8"/>
      <c r="CZ207" s="8"/>
      <c r="DA207" s="8"/>
      <c r="DB207" s="8"/>
      <c r="DC207" s="8"/>
      <c r="DD207" s="8"/>
      <c r="DE207" s="8"/>
      <c r="DF207" s="8"/>
      <c r="DG207" s="8"/>
      <c r="DH207" s="8"/>
      <c r="DI207" s="8"/>
      <c r="DJ207" s="8"/>
      <c r="DK207" s="8"/>
      <c r="DL207" s="8"/>
      <c r="DM207" s="8"/>
      <c r="DN207" s="8"/>
      <c r="DO207" s="8"/>
      <c r="DP207" s="8"/>
      <c r="DQ207" s="8"/>
      <c r="DR207" s="8"/>
      <c r="DS207" s="8"/>
      <c r="DT207" s="8"/>
      <c r="DU207" s="8"/>
      <c r="DV207" s="8"/>
      <c r="DW207" s="8"/>
      <c r="DX207" s="8"/>
      <c r="DY207" s="8"/>
      <c r="DZ207" s="8"/>
      <c r="EA207" s="8"/>
      <c r="EB207" s="8"/>
      <c r="EC207" s="8"/>
      <c r="ED207" s="8"/>
      <c r="EE207" s="8"/>
      <c r="EF207" s="8"/>
      <c r="EG207" s="8"/>
      <c r="EH207" s="8"/>
      <c r="EI207" s="8"/>
      <c r="EJ207" s="8"/>
      <c r="EK207" s="8"/>
      <c r="EL207" s="8"/>
      <c r="EM207" s="8"/>
      <c r="EN207" s="8"/>
      <c r="EO207" s="8"/>
      <c r="EP207" s="8"/>
      <c r="EQ207" s="8"/>
      <c r="ER207" s="8"/>
      <c r="ES207" s="8"/>
      <c r="ET207" s="8"/>
      <c r="EU207" s="8"/>
      <c r="EV207" s="8"/>
      <c r="EW207" s="8"/>
      <c r="EX207" s="8"/>
      <c r="EY207" s="8"/>
      <c r="EZ207" s="8"/>
      <c r="FA207" s="8"/>
      <c r="FB207" s="8"/>
      <c r="FC207" s="8"/>
      <c r="FD207" s="8"/>
      <c r="FE207" s="8"/>
      <c r="FF207" s="8"/>
      <c r="FG207" s="8"/>
      <c r="FH207" s="8"/>
      <c r="FI207" s="8"/>
      <c r="FJ207" s="8"/>
      <c r="FK207" s="8"/>
      <c r="FL207" s="8"/>
      <c r="FM207" s="8"/>
      <c r="FN207" s="8"/>
      <c r="FO207" s="8"/>
      <c r="FP207" s="8"/>
      <c r="FQ207" s="8"/>
      <c r="FR207" s="8"/>
      <c r="FS207" s="8"/>
      <c r="FT207" s="8"/>
      <c r="FU207" s="8"/>
      <c r="FV207" s="8"/>
      <c r="FW207" s="8"/>
      <c r="FX207" s="8"/>
      <c r="FY207" s="8"/>
      <c r="FZ207" s="8"/>
      <c r="GA207" s="8"/>
      <c r="GB207" s="8"/>
      <c r="GC207" s="8"/>
      <c r="GD207" s="8"/>
      <c r="GE207" s="8"/>
      <c r="GF207" s="8"/>
      <c r="GG207" s="8"/>
      <c r="GH207" s="8"/>
      <c r="GI207" s="8"/>
      <c r="GJ207" s="8"/>
      <c r="GK207" s="8"/>
      <c r="GL207" s="8"/>
      <c r="GM207" s="8"/>
      <c r="GN207" s="8"/>
      <c r="GO207" s="8"/>
      <c r="GP207" s="8"/>
      <c r="GQ207" s="8"/>
      <c r="GR207" s="8"/>
      <c r="GS207" s="8"/>
      <c r="GT207" s="8"/>
      <c r="GU207" s="8"/>
      <c r="GV207" s="8"/>
      <c r="GW207" s="8"/>
      <c r="GX207" s="8"/>
      <c r="GY207" s="8"/>
      <c r="GZ207" s="8"/>
      <c r="HA207" s="8"/>
      <c r="HB207" s="8"/>
      <c r="HC207" s="8"/>
      <c r="HD207" s="8"/>
      <c r="HE207" s="8"/>
      <c r="HF207" s="8"/>
      <c r="HG207" s="8"/>
      <c r="HH207" s="8"/>
      <c r="HI207" s="8"/>
      <c r="HJ207" s="8"/>
      <c r="HK207" s="8"/>
      <c r="HL207" s="8"/>
      <c r="HM207" s="8"/>
      <c r="HN207" s="8"/>
      <c r="HO207" s="8"/>
      <c r="HP207" s="8"/>
      <c r="HQ207" s="8"/>
      <c r="HR207" s="8"/>
      <c r="HS207" s="8"/>
      <c r="HT207" s="8"/>
      <c r="HU207" s="8"/>
      <c r="HV207" s="8"/>
      <c r="HW207" s="8"/>
      <c r="HX207" s="8"/>
      <c r="HY207" s="8"/>
      <c r="HZ207" s="8"/>
      <c r="IA207" s="8"/>
      <c r="IB207" s="8"/>
      <c r="IC207" s="8"/>
      <c r="ID207" s="8"/>
      <c r="IE207" s="8"/>
      <c r="IF207" s="8"/>
      <c r="IG207" s="8"/>
      <c r="IH207" s="8"/>
      <c r="II207" s="8"/>
      <c r="IJ207" s="8"/>
      <c r="IK207" s="8"/>
      <c r="IL207" s="8"/>
      <c r="IM207" s="8"/>
      <c r="IN207" s="8"/>
      <c r="IO207" s="8"/>
      <c r="IP207" s="8"/>
      <c r="IQ207" s="8"/>
      <c r="IR207" s="8"/>
      <c r="IS207" s="8"/>
      <c r="IT207" s="8"/>
      <c r="IU207" s="8"/>
      <c r="IV207" s="8"/>
      <c r="IW207" s="8"/>
      <c r="IX207" s="8"/>
      <c r="JA207" s="123"/>
      <c r="JB207" s="123"/>
      <c r="JC207" s="123"/>
      <c r="JD207" s="70">
        <f>SUM((TEXT(JA207,"[M]")/60)*'Income Person-hours'!$D$3,(TEXT(JB207,"[M]")/60)*'Income Person-hours'!$D$4,(TEXT(JC207,"[M]")/60)*'Income Person-hours'!$D$5)</f>
        <v>0</v>
      </c>
    </row>
    <row r="208" spans="1:264 16383:16384" s="12" customFormat="1" ht="15.75" hidden="1" x14ac:dyDescent="0.45">
      <c r="A208" s="32">
        <v>9.1199999999999992</v>
      </c>
      <c r="B208" s="126"/>
      <c r="C208" s="117"/>
      <c r="D208" s="13" t="str">
        <f>IF(OR(j_WEEKDAY(J_ADDDAY(VLOOKUP(I208,A:F,6,FALSE),H208,1),0)=6,SUMIFS(Holieday[ok],Holieday[date],J_ADDDAY(VLOOKUP(I208,A:F,6,FALSE),H208,1)))=FALSE(),J_ADDDAY(VLOOKUP(I208,A:F,6,FALSE),H208,1),IF(OR(j_WEEKDAY(J_ADDDAY(VLOOKUP(I208,A:F,6,FALSE),H208+1,1),0)=6,SUMIFS(Holieday[ok],Holieday[date],J_ADDDAY(VLOOKUP(I208,A:F,6,FALSE),H208+1,1)))=FALSE(),J_ADDDAY(VLOOKUP(I208,A:F,6,FALSE),H208+1,1),IF(OR(j_WEEKDAY(J_ADDDAY(VLOOKUP(I208,A:F,6,FALSE),H208+2,1),0)=6,SUMIFS(Holieday[ok],Holieday[date],J_ADDDAY(VLOOKUP(I208,A:F,6,FALSE),H208+2,1)))=FALSE(),J_ADDDAY(VLOOKUP(I208,A:F,6,FALSE),H208+2,1),IF(OR(j_WEEKDAY(J_ADDDAY(VLOOKUP(I208,A:F,6,FALSE),H208+3,1),0)=6,SUMIFS(Holieday[ok],Holieday[date],J_ADDDAY(VLOOKUP(I208,A:F,6,FALSE),H208+3,1)))=FALSE(),J_ADDDAY(VLOOKUP(I208,A:F,6,FALSE),H208+3,1),IF(OR(j_WEEKDAY(J_ADDDAY(VLOOKUP(I208,A:F,6,FALSE),H208+4,1),0)=6,SUMIFS(Holieday[ok],Holieday[date],J_ADDDAY(VLOOKUP(I208,A:F,6,FALSE),H208+4,1)))=FALSE(),J_ADDDAY(VLOOKUP(I208,A:F,6,FALSE),H208+4,1),J_ADDDAY(VLOOKUP(I208,A:F,6,FALSE),H208+5,1))))))</f>
        <v>1398/06/31</v>
      </c>
      <c r="E208" s="2">
        <f t="shared" si="63"/>
        <v>13980631</v>
      </c>
      <c r="F208" s="13" t="str">
        <f>IF(N208=0,J_SUBDAY(D208,1,1),IF((N208-NETWORKDAYS.INTL(J_GregorianDate(D208,1),J_GregorianDate(J_SUBDAY(J_ADDDAY(D208,N208,1),1,1),1),16,1)-SUMIFS(Holieday[ok],Holieday[date],CONCATENATE("&gt;","=",D208),Holieday[date],CONCATENATE("&lt;","=",J_SUBDAY(J_ADDDAY(D208,N208,1),1,1)))+SUMIFS(Holieday[Friday],Holieday[date],CONCATENATE("&gt;","=",D208),Holieday[date],CONCATENATE("&lt;","=",J_SUBDAY(J_ADDDAY(D208,N208,1),1,1))))=0,J_SUBDAY(J_ADDDAY(D208,N208,1),1,1),IF((N208-NETWORKDAYS.INTL(J_GregorianDate(D208,1),J_GregorianDate(J_SUBDAY(J_ADDDAY(D208,N208,1),1,1),1),16,1)-SUMIFS(Holieday[ok],Holieday[date],CONCATENATE("&gt;","=",D208),Holieday[date],CONCATENATE("&lt;","=",J_SUBDAY(J_ADDDAY(D208,N208,1),1,1)))+SUMIFS(Holieday[Friday],Holieday[date],CONCATENATE("&gt;","=",D208),Holieday[date],CONCATENATE("&lt;","=",J_SUBDAY(J_ADDDAY(D208,N208,1),1,1))))=1,J_SUBDAY(J_ADDDAY(D208,N208+1,1),1,1),IF((N208-NETWORKDAYS.INTL(J_GregorianDate(D208,1),J_GregorianDate(J_SUBDAY(J_ADDDAY(D208,N208,1),1,1),1),16,1)-SUMIFS(Holieday[ok],Holieday[date],CONCATENATE("&gt;","=",D208),Holieday[date],CONCATENATE("&lt;","=",J_SUBDAY(J_ADDDAY(D208,N208,1),1,1)))+SUMIFS(Holieday[Friday],Holieday[date],CONCATENATE("&gt;","=",D208),Holieday[date],CONCATENATE("&lt;","=",J_SUBDAY(J_ADDDAY(D208,N208,1),1,1))))=2,J_SUBDAY(J_ADDDAY(D208,N208+2,1),1,1),J_SUBDAY(J_ADDDAY(D208,N208+3,1),1,1)))))</f>
        <v>1398/06/30</v>
      </c>
      <c r="G208" s="3">
        <f t="shared" si="64"/>
        <v>13980630</v>
      </c>
      <c r="H208" s="119"/>
      <c r="I208" s="120">
        <v>1.1000000000000001</v>
      </c>
      <c r="J208" s="10">
        <f>j_WEEKDAY(D208,2)</f>
        <v>1</v>
      </c>
      <c r="K208" s="22">
        <f t="shared" si="68"/>
        <v>0</v>
      </c>
      <c r="L208" s="9">
        <f t="shared" si="67"/>
        <v>0</v>
      </c>
      <c r="M208" s="121">
        <v>0</v>
      </c>
      <c r="N208" s="118">
        <v>0</v>
      </c>
      <c r="O208" s="11">
        <f t="shared" si="65"/>
        <v>0</v>
      </c>
      <c r="P208" s="11">
        <f>VALUE(J_normdate(J_ADDDAY($D208,$O208,1)))</f>
        <v>13980631</v>
      </c>
      <c r="Q208" s="10">
        <f t="shared" si="66"/>
        <v>0</v>
      </c>
      <c r="R208" s="8"/>
      <c r="S208" s="8"/>
      <c r="T208" s="8"/>
      <c r="U208" s="8"/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/>
      <c r="AH208" s="8"/>
      <c r="AI208" s="8"/>
      <c r="AJ208" s="8"/>
      <c r="AK208" s="8"/>
      <c r="AL208" s="8"/>
      <c r="AM208" s="8"/>
      <c r="AN208" s="8"/>
      <c r="AO208" s="8"/>
      <c r="AP208" s="8"/>
      <c r="AQ208" s="8"/>
      <c r="AR208" s="8"/>
      <c r="AS208" s="8"/>
      <c r="AT208" s="8"/>
      <c r="AU208" s="8"/>
      <c r="AV208" s="8"/>
      <c r="AW208" s="8"/>
      <c r="AX208" s="8"/>
      <c r="AY208" s="8"/>
      <c r="AZ208" s="8"/>
      <c r="BA208" s="8"/>
      <c r="BB208" s="8"/>
      <c r="BC208" s="8"/>
      <c r="BD208" s="8"/>
      <c r="BE208" s="8"/>
      <c r="BF208" s="8"/>
      <c r="BG208" s="8"/>
      <c r="BH208" s="8"/>
      <c r="BI208" s="8"/>
      <c r="BJ208" s="8"/>
      <c r="BK208" s="8"/>
      <c r="BL208" s="8"/>
      <c r="BM208" s="8"/>
      <c r="BN208" s="8"/>
      <c r="BO208" s="8"/>
      <c r="BP208" s="8"/>
      <c r="BQ208" s="8"/>
      <c r="BR208" s="8"/>
      <c r="BS208" s="8"/>
      <c r="BT208" s="8"/>
      <c r="BU208" s="8"/>
      <c r="BV208" s="8"/>
      <c r="BW208" s="8"/>
      <c r="BX208" s="8"/>
      <c r="BY208" s="8"/>
      <c r="BZ208" s="8"/>
      <c r="CA208" s="8"/>
      <c r="CB208" s="8"/>
      <c r="CC208" s="8"/>
      <c r="CD208" s="8"/>
      <c r="CE208" s="8"/>
      <c r="CF208" s="8"/>
      <c r="CG208" s="8"/>
      <c r="CH208" s="8"/>
      <c r="CI208" s="8"/>
      <c r="CJ208" s="8"/>
      <c r="CK208" s="8"/>
      <c r="CL208" s="8"/>
      <c r="CM208" s="8"/>
      <c r="CN208" s="8"/>
      <c r="CO208" s="8"/>
      <c r="CP208" s="8"/>
      <c r="CQ208" s="8"/>
      <c r="CR208" s="8"/>
      <c r="CS208" s="8"/>
      <c r="CT208" s="8"/>
      <c r="CU208" s="8"/>
      <c r="CV208" s="8"/>
      <c r="CW208" s="8"/>
      <c r="CX208" s="8"/>
      <c r="CY208" s="8"/>
      <c r="CZ208" s="8"/>
      <c r="DA208" s="8"/>
      <c r="DB208" s="8"/>
      <c r="DC208" s="8"/>
      <c r="DD208" s="8"/>
      <c r="DE208" s="8"/>
      <c r="DF208" s="8"/>
      <c r="DG208" s="8"/>
      <c r="DH208" s="8"/>
      <c r="DI208" s="8"/>
      <c r="DJ208" s="8"/>
      <c r="DK208" s="8"/>
      <c r="DL208" s="8"/>
      <c r="DM208" s="8"/>
      <c r="DN208" s="8"/>
      <c r="DO208" s="8"/>
      <c r="DP208" s="8"/>
      <c r="DQ208" s="8"/>
      <c r="DR208" s="8"/>
      <c r="DS208" s="8"/>
      <c r="DT208" s="8"/>
      <c r="DU208" s="8"/>
      <c r="DV208" s="8"/>
      <c r="DW208" s="8"/>
      <c r="DX208" s="8"/>
      <c r="DY208" s="8"/>
      <c r="DZ208" s="8"/>
      <c r="EA208" s="8"/>
      <c r="EB208" s="8"/>
      <c r="EC208" s="8"/>
      <c r="ED208" s="8"/>
      <c r="EE208" s="8"/>
      <c r="EF208" s="8"/>
      <c r="EG208" s="8"/>
      <c r="EH208" s="8"/>
      <c r="EI208" s="8"/>
      <c r="EJ208" s="8"/>
      <c r="EK208" s="8"/>
      <c r="EL208" s="8"/>
      <c r="EM208" s="8"/>
      <c r="EN208" s="8"/>
      <c r="EO208" s="8"/>
      <c r="EP208" s="8"/>
      <c r="EQ208" s="8"/>
      <c r="ER208" s="8"/>
      <c r="ES208" s="8"/>
      <c r="ET208" s="8"/>
      <c r="EU208" s="8"/>
      <c r="EV208" s="8"/>
      <c r="EW208" s="8"/>
      <c r="EX208" s="8"/>
      <c r="EY208" s="8"/>
      <c r="EZ208" s="8"/>
      <c r="FA208" s="8"/>
      <c r="FB208" s="8"/>
      <c r="FC208" s="8"/>
      <c r="FD208" s="8"/>
      <c r="FE208" s="8"/>
      <c r="FF208" s="8"/>
      <c r="FG208" s="8"/>
      <c r="FH208" s="8"/>
      <c r="FI208" s="8"/>
      <c r="FJ208" s="8"/>
      <c r="FK208" s="8"/>
      <c r="FL208" s="8"/>
      <c r="FM208" s="8"/>
      <c r="FN208" s="8"/>
      <c r="FO208" s="8"/>
      <c r="FP208" s="8"/>
      <c r="FQ208" s="8"/>
      <c r="FR208" s="8"/>
      <c r="FS208" s="8"/>
      <c r="FT208" s="8"/>
      <c r="FU208" s="8"/>
      <c r="FV208" s="8"/>
      <c r="FW208" s="8"/>
      <c r="FX208" s="8"/>
      <c r="FY208" s="8"/>
      <c r="FZ208" s="8"/>
      <c r="GA208" s="8"/>
      <c r="GB208" s="8"/>
      <c r="GC208" s="8"/>
      <c r="GD208" s="8"/>
      <c r="GE208" s="8"/>
      <c r="GF208" s="8"/>
      <c r="GG208" s="8"/>
      <c r="GH208" s="8"/>
      <c r="GI208" s="8"/>
      <c r="GJ208" s="8"/>
      <c r="GK208" s="8"/>
      <c r="GL208" s="8"/>
      <c r="GM208" s="8"/>
      <c r="GN208" s="8"/>
      <c r="GO208" s="8"/>
      <c r="GP208" s="8"/>
      <c r="GQ208" s="8"/>
      <c r="GR208" s="8"/>
      <c r="GS208" s="8"/>
      <c r="GT208" s="8"/>
      <c r="GU208" s="8"/>
      <c r="GV208" s="8"/>
      <c r="GW208" s="8"/>
      <c r="GX208" s="8"/>
      <c r="GY208" s="8"/>
      <c r="GZ208" s="8"/>
      <c r="HA208" s="8"/>
      <c r="HB208" s="8"/>
      <c r="HC208" s="8"/>
      <c r="HD208" s="8"/>
      <c r="HE208" s="8"/>
      <c r="HF208" s="8"/>
      <c r="HG208" s="8"/>
      <c r="HH208" s="8"/>
      <c r="HI208" s="8"/>
      <c r="HJ208" s="8"/>
      <c r="HK208" s="8"/>
      <c r="HL208" s="8"/>
      <c r="HM208" s="8"/>
      <c r="HN208" s="8"/>
      <c r="HO208" s="8"/>
      <c r="HP208" s="8"/>
      <c r="HQ208" s="8"/>
      <c r="HR208" s="8"/>
      <c r="HS208" s="8"/>
      <c r="HT208" s="8"/>
      <c r="HU208" s="8"/>
      <c r="HV208" s="8"/>
      <c r="HW208" s="8"/>
      <c r="HX208" s="8"/>
      <c r="HY208" s="8"/>
      <c r="HZ208" s="8"/>
      <c r="IA208" s="8"/>
      <c r="IB208" s="8"/>
      <c r="IC208" s="8"/>
      <c r="ID208" s="8"/>
      <c r="IE208" s="8"/>
      <c r="IF208" s="8"/>
      <c r="IG208" s="8"/>
      <c r="IH208" s="8"/>
      <c r="II208" s="8"/>
      <c r="IJ208" s="8"/>
      <c r="IK208" s="8"/>
      <c r="IL208" s="8"/>
      <c r="IM208" s="8"/>
      <c r="IN208" s="8"/>
      <c r="IO208" s="8"/>
      <c r="IP208" s="8"/>
      <c r="IQ208" s="8"/>
      <c r="IR208" s="8"/>
      <c r="IS208" s="8"/>
      <c r="IT208" s="8"/>
      <c r="IU208" s="8"/>
      <c r="IV208" s="8"/>
      <c r="IW208" s="8"/>
      <c r="IX208" s="8"/>
      <c r="JA208" s="123"/>
      <c r="JB208" s="123"/>
      <c r="JC208" s="123"/>
      <c r="JD208" s="70">
        <f>SUM((TEXT(JA208,"[M]")/60)*'Income Person-hours'!$D$3,(TEXT(JB208,"[M]")/60)*'Income Person-hours'!$D$4,(TEXT(JC208,"[M]")/60)*'Income Person-hours'!$D$5)</f>
        <v>0</v>
      </c>
    </row>
    <row r="209" spans="1:264 16383:16384" s="12" customFormat="1" ht="15.75" hidden="1" x14ac:dyDescent="0.45">
      <c r="A209" s="32">
        <v>9.1300000000000008</v>
      </c>
      <c r="B209" s="126"/>
      <c r="C209" s="117"/>
      <c r="D209" s="13" t="str">
        <f>IF(OR(j_WEEKDAY(J_ADDDAY(VLOOKUP(I209,A:F,6,FALSE),H209,1),0)=6,SUMIFS(Holieday[ok],Holieday[date],J_ADDDAY(VLOOKUP(I209,A:F,6,FALSE),H209,1)))=FALSE(),J_ADDDAY(VLOOKUP(I209,A:F,6,FALSE),H209,1),IF(OR(j_WEEKDAY(J_ADDDAY(VLOOKUP(I209,A:F,6,FALSE),H209+1,1),0)=6,SUMIFS(Holieday[ok],Holieday[date],J_ADDDAY(VLOOKUP(I209,A:F,6,FALSE),H209+1,1)))=FALSE(),J_ADDDAY(VLOOKUP(I209,A:F,6,FALSE),H209+1,1),IF(OR(j_WEEKDAY(J_ADDDAY(VLOOKUP(I209,A:F,6,FALSE),H209+2,1),0)=6,SUMIFS(Holieday[ok],Holieday[date],J_ADDDAY(VLOOKUP(I209,A:F,6,FALSE),H209+2,1)))=FALSE(),J_ADDDAY(VLOOKUP(I209,A:F,6,FALSE),H209+2,1),IF(OR(j_WEEKDAY(J_ADDDAY(VLOOKUP(I209,A:F,6,FALSE),H209+3,1),0)=6,SUMIFS(Holieday[ok],Holieday[date],J_ADDDAY(VLOOKUP(I209,A:F,6,FALSE),H209+3,1)))=FALSE(),J_ADDDAY(VLOOKUP(I209,A:F,6,FALSE),H209+3,1),IF(OR(j_WEEKDAY(J_ADDDAY(VLOOKUP(I209,A:F,6,FALSE),H209+4,1),0)=6,SUMIFS(Holieday[ok],Holieday[date],J_ADDDAY(VLOOKUP(I209,A:F,6,FALSE),H209+4,1)))=FALSE(),J_ADDDAY(VLOOKUP(I209,A:F,6,FALSE),H209+4,1),J_ADDDAY(VLOOKUP(I209,A:F,6,FALSE),H209+5,1))))))</f>
        <v>1398/06/31</v>
      </c>
      <c r="E209" s="2">
        <f t="shared" si="63"/>
        <v>13980631</v>
      </c>
      <c r="F209" s="13" t="str">
        <f>IF(N209=0,J_SUBDAY(D209,1,1),IF((N209-NETWORKDAYS.INTL(J_GregorianDate(D209,1),J_GregorianDate(J_SUBDAY(J_ADDDAY(D209,N209,1),1,1),1),16,1)-SUMIFS(Holieday[ok],Holieday[date],CONCATENATE("&gt;","=",D209),Holieday[date],CONCATENATE("&lt;","=",J_SUBDAY(J_ADDDAY(D209,N209,1),1,1)))+SUMIFS(Holieday[Friday],Holieday[date],CONCATENATE("&gt;","=",D209),Holieday[date],CONCATENATE("&lt;","=",J_SUBDAY(J_ADDDAY(D209,N209,1),1,1))))=0,J_SUBDAY(J_ADDDAY(D209,N209,1),1,1),IF((N209-NETWORKDAYS.INTL(J_GregorianDate(D209,1),J_GregorianDate(J_SUBDAY(J_ADDDAY(D209,N209,1),1,1),1),16,1)-SUMIFS(Holieday[ok],Holieday[date],CONCATENATE("&gt;","=",D209),Holieday[date],CONCATENATE("&lt;","=",J_SUBDAY(J_ADDDAY(D209,N209,1),1,1)))+SUMIFS(Holieday[Friday],Holieday[date],CONCATENATE("&gt;","=",D209),Holieday[date],CONCATENATE("&lt;","=",J_SUBDAY(J_ADDDAY(D209,N209,1),1,1))))=1,J_SUBDAY(J_ADDDAY(D209,N209+1,1),1,1),IF((N209-NETWORKDAYS.INTL(J_GregorianDate(D209,1),J_GregorianDate(J_SUBDAY(J_ADDDAY(D209,N209,1),1,1),1),16,1)-SUMIFS(Holieday[ok],Holieday[date],CONCATENATE("&gt;","=",D209),Holieday[date],CONCATENATE("&lt;","=",J_SUBDAY(J_ADDDAY(D209,N209,1),1,1)))+SUMIFS(Holieday[Friday],Holieday[date],CONCATENATE("&gt;","=",D209),Holieday[date],CONCATENATE("&lt;","=",J_SUBDAY(J_ADDDAY(D209,N209,1),1,1))))=2,J_SUBDAY(J_ADDDAY(D209,N209+2,1),1,1),J_SUBDAY(J_ADDDAY(D209,N209+3,1),1,1)))))</f>
        <v>1398/06/30</v>
      </c>
      <c r="G209" s="3">
        <f t="shared" si="64"/>
        <v>13980630</v>
      </c>
      <c r="H209" s="119"/>
      <c r="I209" s="120">
        <v>1.1000000000000001</v>
      </c>
      <c r="J209" s="10">
        <f>j_WEEKDAY(D209,2)</f>
        <v>1</v>
      </c>
      <c r="K209" s="22">
        <f t="shared" si="68"/>
        <v>0</v>
      </c>
      <c r="L209" s="9">
        <f t="shared" si="67"/>
        <v>0</v>
      </c>
      <c r="M209" s="121">
        <v>0</v>
      </c>
      <c r="N209" s="118">
        <v>0</v>
      </c>
      <c r="O209" s="11">
        <f t="shared" si="65"/>
        <v>0</v>
      </c>
      <c r="P209" s="11">
        <f>VALUE(J_normdate(J_ADDDAY($D209,$O209,1)))</f>
        <v>13980631</v>
      </c>
      <c r="Q209" s="10">
        <f t="shared" si="66"/>
        <v>0</v>
      </c>
      <c r="R209" s="8"/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/>
      <c r="AH209" s="8"/>
      <c r="AI209" s="8"/>
      <c r="AJ209" s="8"/>
      <c r="AK209" s="8"/>
      <c r="AL209" s="8"/>
      <c r="AM209" s="8"/>
      <c r="AN209" s="8"/>
      <c r="AO209" s="8"/>
      <c r="AP209" s="8"/>
      <c r="AQ209" s="8"/>
      <c r="AR209" s="8"/>
      <c r="AS209" s="8"/>
      <c r="AT209" s="8"/>
      <c r="AU209" s="8"/>
      <c r="AV209" s="8"/>
      <c r="AW209" s="8"/>
      <c r="AX209" s="8"/>
      <c r="AY209" s="8"/>
      <c r="AZ209" s="8"/>
      <c r="BA209" s="8"/>
      <c r="BB209" s="8"/>
      <c r="BC209" s="8"/>
      <c r="BD209" s="8"/>
      <c r="BE209" s="8"/>
      <c r="BF209" s="8"/>
      <c r="BG209" s="8"/>
      <c r="BH209" s="8"/>
      <c r="BI209" s="8"/>
      <c r="BJ209" s="8"/>
      <c r="BK209" s="8"/>
      <c r="BL209" s="8"/>
      <c r="BM209" s="8"/>
      <c r="BN209" s="8"/>
      <c r="BO209" s="8"/>
      <c r="BP209" s="8"/>
      <c r="BQ209" s="8"/>
      <c r="BR209" s="8"/>
      <c r="BS209" s="8"/>
      <c r="BT209" s="8"/>
      <c r="BU209" s="8"/>
      <c r="BV209" s="8"/>
      <c r="BW209" s="8"/>
      <c r="BX209" s="8"/>
      <c r="BY209" s="8"/>
      <c r="BZ209" s="8"/>
      <c r="CA209" s="8"/>
      <c r="CB209" s="8"/>
      <c r="CC209" s="8"/>
      <c r="CD209" s="8"/>
      <c r="CE209" s="8"/>
      <c r="CF209" s="8"/>
      <c r="CG209" s="8"/>
      <c r="CH209" s="8"/>
      <c r="CI209" s="8"/>
      <c r="CJ209" s="8"/>
      <c r="CK209" s="8"/>
      <c r="CL209" s="8"/>
      <c r="CM209" s="8"/>
      <c r="CN209" s="8"/>
      <c r="CO209" s="8"/>
      <c r="CP209" s="8"/>
      <c r="CQ209" s="8"/>
      <c r="CR209" s="8"/>
      <c r="CS209" s="8"/>
      <c r="CT209" s="8"/>
      <c r="CU209" s="8"/>
      <c r="CV209" s="8"/>
      <c r="CW209" s="8"/>
      <c r="CX209" s="8"/>
      <c r="CY209" s="8"/>
      <c r="CZ209" s="8"/>
      <c r="DA209" s="8"/>
      <c r="DB209" s="8"/>
      <c r="DC209" s="8"/>
      <c r="DD209" s="8"/>
      <c r="DE209" s="8"/>
      <c r="DF209" s="8"/>
      <c r="DG209" s="8"/>
      <c r="DH209" s="8"/>
      <c r="DI209" s="8"/>
      <c r="DJ209" s="8"/>
      <c r="DK209" s="8"/>
      <c r="DL209" s="8"/>
      <c r="DM209" s="8"/>
      <c r="DN209" s="8"/>
      <c r="DO209" s="8"/>
      <c r="DP209" s="8"/>
      <c r="DQ209" s="8"/>
      <c r="DR209" s="8"/>
      <c r="DS209" s="8"/>
      <c r="DT209" s="8"/>
      <c r="DU209" s="8"/>
      <c r="DV209" s="8"/>
      <c r="DW209" s="8"/>
      <c r="DX209" s="8"/>
      <c r="DY209" s="8"/>
      <c r="DZ209" s="8"/>
      <c r="EA209" s="8"/>
      <c r="EB209" s="8"/>
      <c r="EC209" s="8"/>
      <c r="ED209" s="8"/>
      <c r="EE209" s="8"/>
      <c r="EF209" s="8"/>
      <c r="EG209" s="8"/>
      <c r="EH209" s="8"/>
      <c r="EI209" s="8"/>
      <c r="EJ209" s="8"/>
      <c r="EK209" s="8"/>
      <c r="EL209" s="8"/>
      <c r="EM209" s="8"/>
      <c r="EN209" s="8"/>
      <c r="EO209" s="8"/>
      <c r="EP209" s="8"/>
      <c r="EQ209" s="8"/>
      <c r="ER209" s="8"/>
      <c r="ES209" s="8"/>
      <c r="ET209" s="8"/>
      <c r="EU209" s="8"/>
      <c r="EV209" s="8"/>
      <c r="EW209" s="8"/>
      <c r="EX209" s="8"/>
      <c r="EY209" s="8"/>
      <c r="EZ209" s="8"/>
      <c r="FA209" s="8"/>
      <c r="FB209" s="8"/>
      <c r="FC209" s="8"/>
      <c r="FD209" s="8"/>
      <c r="FE209" s="8"/>
      <c r="FF209" s="8"/>
      <c r="FG209" s="8"/>
      <c r="FH209" s="8"/>
      <c r="FI209" s="8"/>
      <c r="FJ209" s="8"/>
      <c r="FK209" s="8"/>
      <c r="FL209" s="8"/>
      <c r="FM209" s="8"/>
      <c r="FN209" s="8"/>
      <c r="FO209" s="8"/>
      <c r="FP209" s="8"/>
      <c r="FQ209" s="8"/>
      <c r="FR209" s="8"/>
      <c r="FS209" s="8"/>
      <c r="FT209" s="8"/>
      <c r="FU209" s="8"/>
      <c r="FV209" s="8"/>
      <c r="FW209" s="8"/>
      <c r="FX209" s="8"/>
      <c r="FY209" s="8"/>
      <c r="FZ209" s="8"/>
      <c r="GA209" s="8"/>
      <c r="GB209" s="8"/>
      <c r="GC209" s="8"/>
      <c r="GD209" s="8"/>
      <c r="GE209" s="8"/>
      <c r="GF209" s="8"/>
      <c r="GG209" s="8"/>
      <c r="GH209" s="8"/>
      <c r="GI209" s="8"/>
      <c r="GJ209" s="8"/>
      <c r="GK209" s="8"/>
      <c r="GL209" s="8"/>
      <c r="GM209" s="8"/>
      <c r="GN209" s="8"/>
      <c r="GO209" s="8"/>
      <c r="GP209" s="8"/>
      <c r="GQ209" s="8"/>
      <c r="GR209" s="8"/>
      <c r="GS209" s="8"/>
      <c r="GT209" s="8"/>
      <c r="GU209" s="8"/>
      <c r="GV209" s="8"/>
      <c r="GW209" s="8"/>
      <c r="GX209" s="8"/>
      <c r="GY209" s="8"/>
      <c r="GZ209" s="8"/>
      <c r="HA209" s="8"/>
      <c r="HB209" s="8"/>
      <c r="HC209" s="8"/>
      <c r="HD209" s="8"/>
      <c r="HE209" s="8"/>
      <c r="HF209" s="8"/>
      <c r="HG209" s="8"/>
      <c r="HH209" s="8"/>
      <c r="HI209" s="8"/>
      <c r="HJ209" s="8"/>
      <c r="HK209" s="8"/>
      <c r="HL209" s="8"/>
      <c r="HM209" s="8"/>
      <c r="HN209" s="8"/>
      <c r="HO209" s="8"/>
      <c r="HP209" s="8"/>
      <c r="HQ209" s="8"/>
      <c r="HR209" s="8"/>
      <c r="HS209" s="8"/>
      <c r="HT209" s="8"/>
      <c r="HU209" s="8"/>
      <c r="HV209" s="8"/>
      <c r="HW209" s="8"/>
      <c r="HX209" s="8"/>
      <c r="HY209" s="8"/>
      <c r="HZ209" s="8"/>
      <c r="IA209" s="8"/>
      <c r="IB209" s="8"/>
      <c r="IC209" s="8"/>
      <c r="ID209" s="8"/>
      <c r="IE209" s="8"/>
      <c r="IF209" s="8"/>
      <c r="IG209" s="8"/>
      <c r="IH209" s="8"/>
      <c r="II209" s="8"/>
      <c r="IJ209" s="8"/>
      <c r="IK209" s="8"/>
      <c r="IL209" s="8"/>
      <c r="IM209" s="8"/>
      <c r="IN209" s="8"/>
      <c r="IO209" s="8"/>
      <c r="IP209" s="8"/>
      <c r="IQ209" s="8"/>
      <c r="IR209" s="8"/>
      <c r="IS209" s="8"/>
      <c r="IT209" s="8"/>
      <c r="IU209" s="8"/>
      <c r="IV209" s="8"/>
      <c r="IW209" s="8"/>
      <c r="IX209" s="8"/>
      <c r="JA209" s="123"/>
      <c r="JB209" s="123"/>
      <c r="JC209" s="123"/>
      <c r="JD209" s="70">
        <f>SUM((TEXT(JA209,"[M]")/60)*'Income Person-hours'!$D$3,(TEXT(JB209,"[M]")/60)*'Income Person-hours'!$D$4,(TEXT(JC209,"[M]")/60)*'Income Person-hours'!$D$5)</f>
        <v>0</v>
      </c>
    </row>
    <row r="210" spans="1:264 16383:16384" s="12" customFormat="1" ht="15.75" hidden="1" x14ac:dyDescent="0.45">
      <c r="A210" s="32">
        <v>9.14</v>
      </c>
      <c r="B210" s="126"/>
      <c r="C210" s="117"/>
      <c r="D210" s="13" t="str">
        <f>IF(OR(j_WEEKDAY(J_ADDDAY(VLOOKUP(I210,A:F,6,FALSE),H210,1),0)=6,SUMIFS(Holieday[ok],Holieday[date],J_ADDDAY(VLOOKUP(I210,A:F,6,FALSE),H210,1)))=FALSE(),J_ADDDAY(VLOOKUP(I210,A:F,6,FALSE),H210,1),IF(OR(j_WEEKDAY(J_ADDDAY(VLOOKUP(I210,A:F,6,FALSE),H210+1,1),0)=6,SUMIFS(Holieday[ok],Holieday[date],J_ADDDAY(VLOOKUP(I210,A:F,6,FALSE),H210+1,1)))=FALSE(),J_ADDDAY(VLOOKUP(I210,A:F,6,FALSE),H210+1,1),IF(OR(j_WEEKDAY(J_ADDDAY(VLOOKUP(I210,A:F,6,FALSE),H210+2,1),0)=6,SUMIFS(Holieday[ok],Holieday[date],J_ADDDAY(VLOOKUP(I210,A:F,6,FALSE),H210+2,1)))=FALSE(),J_ADDDAY(VLOOKUP(I210,A:F,6,FALSE),H210+2,1),IF(OR(j_WEEKDAY(J_ADDDAY(VLOOKUP(I210,A:F,6,FALSE),H210+3,1),0)=6,SUMIFS(Holieday[ok],Holieday[date],J_ADDDAY(VLOOKUP(I210,A:F,6,FALSE),H210+3,1)))=FALSE(),J_ADDDAY(VLOOKUP(I210,A:F,6,FALSE),H210+3,1),IF(OR(j_WEEKDAY(J_ADDDAY(VLOOKUP(I210,A:F,6,FALSE),H210+4,1),0)=6,SUMIFS(Holieday[ok],Holieday[date],J_ADDDAY(VLOOKUP(I210,A:F,6,FALSE),H210+4,1)))=FALSE(),J_ADDDAY(VLOOKUP(I210,A:F,6,FALSE),H210+4,1),J_ADDDAY(VLOOKUP(I210,A:F,6,FALSE),H210+5,1))))))</f>
        <v>1398/06/31</v>
      </c>
      <c r="E210" s="2">
        <f t="shared" si="63"/>
        <v>13980631</v>
      </c>
      <c r="F210" s="13" t="str">
        <f>IF(N210=0,J_SUBDAY(D210,1,1),IF((N210-NETWORKDAYS.INTL(J_GregorianDate(D210,1),J_GregorianDate(J_SUBDAY(J_ADDDAY(D210,N210,1),1,1),1),16,1)-SUMIFS(Holieday[ok],Holieday[date],CONCATENATE("&gt;","=",D210),Holieday[date],CONCATENATE("&lt;","=",J_SUBDAY(J_ADDDAY(D210,N210,1),1,1)))+SUMIFS(Holieday[Friday],Holieday[date],CONCATENATE("&gt;","=",D210),Holieday[date],CONCATENATE("&lt;","=",J_SUBDAY(J_ADDDAY(D210,N210,1),1,1))))=0,J_SUBDAY(J_ADDDAY(D210,N210,1),1,1),IF((N210-NETWORKDAYS.INTL(J_GregorianDate(D210,1),J_GregorianDate(J_SUBDAY(J_ADDDAY(D210,N210,1),1,1),1),16,1)-SUMIFS(Holieday[ok],Holieday[date],CONCATENATE("&gt;","=",D210),Holieday[date],CONCATENATE("&lt;","=",J_SUBDAY(J_ADDDAY(D210,N210,1),1,1)))+SUMIFS(Holieday[Friday],Holieday[date],CONCATENATE("&gt;","=",D210),Holieday[date],CONCATENATE("&lt;","=",J_SUBDAY(J_ADDDAY(D210,N210,1),1,1))))=1,J_SUBDAY(J_ADDDAY(D210,N210+1,1),1,1),IF((N210-NETWORKDAYS.INTL(J_GregorianDate(D210,1),J_GregorianDate(J_SUBDAY(J_ADDDAY(D210,N210,1),1,1),1),16,1)-SUMIFS(Holieday[ok],Holieday[date],CONCATENATE("&gt;","=",D210),Holieday[date],CONCATENATE("&lt;","=",J_SUBDAY(J_ADDDAY(D210,N210,1),1,1)))+SUMIFS(Holieday[Friday],Holieday[date],CONCATENATE("&gt;","=",D210),Holieday[date],CONCATENATE("&lt;","=",J_SUBDAY(J_ADDDAY(D210,N210,1),1,1))))=2,J_SUBDAY(J_ADDDAY(D210,N210+2,1),1,1),J_SUBDAY(J_ADDDAY(D210,N210+3,1),1,1)))))</f>
        <v>1398/06/30</v>
      </c>
      <c r="G210" s="3">
        <f t="shared" si="64"/>
        <v>13980630</v>
      </c>
      <c r="H210" s="119"/>
      <c r="I210" s="120">
        <v>1.1000000000000001</v>
      </c>
      <c r="J210" s="10">
        <f>j_WEEKDAY(D210,2)</f>
        <v>1</v>
      </c>
      <c r="K210" s="22">
        <f t="shared" si="68"/>
        <v>0</v>
      </c>
      <c r="L210" s="9">
        <f t="shared" si="67"/>
        <v>0</v>
      </c>
      <c r="M210" s="121">
        <v>0</v>
      </c>
      <c r="N210" s="118">
        <v>0</v>
      </c>
      <c r="O210" s="11">
        <f t="shared" si="65"/>
        <v>0</v>
      </c>
      <c r="P210" s="11">
        <f>VALUE(J_normdate(J_ADDDAY($D210,$O210,1)))</f>
        <v>13980631</v>
      </c>
      <c r="Q210" s="10">
        <f t="shared" si="66"/>
        <v>0</v>
      </c>
      <c r="R210" s="8"/>
      <c r="S210" s="8"/>
      <c r="T210" s="8"/>
      <c r="U210" s="8"/>
      <c r="V210" s="8"/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8"/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8"/>
      <c r="AS210" s="8"/>
      <c r="AT210" s="8"/>
      <c r="AU210" s="8"/>
      <c r="AV210" s="8"/>
      <c r="AW210" s="8"/>
      <c r="AX210" s="8"/>
      <c r="AY210" s="8"/>
      <c r="AZ210" s="8"/>
      <c r="BA210" s="8"/>
      <c r="BB210" s="8"/>
      <c r="BC210" s="8"/>
      <c r="BD210" s="8"/>
      <c r="BE210" s="8"/>
      <c r="BF210" s="8"/>
      <c r="BG210" s="8"/>
      <c r="BH210" s="8"/>
      <c r="BI210" s="8"/>
      <c r="BJ210" s="8"/>
      <c r="BK210" s="8"/>
      <c r="BL210" s="8"/>
      <c r="BM210" s="8"/>
      <c r="BN210" s="8"/>
      <c r="BO210" s="8"/>
      <c r="BP210" s="8"/>
      <c r="BQ210" s="8"/>
      <c r="BR210" s="8"/>
      <c r="BS210" s="8"/>
      <c r="BT210" s="8"/>
      <c r="BU210" s="8"/>
      <c r="BV210" s="8"/>
      <c r="BW210" s="8"/>
      <c r="BX210" s="8"/>
      <c r="BY210" s="8"/>
      <c r="BZ210" s="8"/>
      <c r="CA210" s="8"/>
      <c r="CB210" s="8"/>
      <c r="CC210" s="8"/>
      <c r="CD210" s="8"/>
      <c r="CE210" s="8"/>
      <c r="CF210" s="8"/>
      <c r="CG210" s="8"/>
      <c r="CH210" s="8"/>
      <c r="CI210" s="8"/>
      <c r="CJ210" s="8"/>
      <c r="CK210" s="8"/>
      <c r="CL210" s="8"/>
      <c r="CM210" s="8"/>
      <c r="CN210" s="8"/>
      <c r="CO210" s="8"/>
      <c r="CP210" s="8"/>
      <c r="CQ210" s="8"/>
      <c r="CR210" s="8"/>
      <c r="CS210" s="8"/>
      <c r="CT210" s="8"/>
      <c r="CU210" s="8"/>
      <c r="CV210" s="8"/>
      <c r="CW210" s="8"/>
      <c r="CX210" s="8"/>
      <c r="CY210" s="8"/>
      <c r="CZ210" s="8"/>
      <c r="DA210" s="8"/>
      <c r="DB210" s="8"/>
      <c r="DC210" s="8"/>
      <c r="DD210" s="8"/>
      <c r="DE210" s="8"/>
      <c r="DF210" s="8"/>
      <c r="DG210" s="8"/>
      <c r="DH210" s="8"/>
      <c r="DI210" s="8"/>
      <c r="DJ210" s="8"/>
      <c r="DK210" s="8"/>
      <c r="DL210" s="8"/>
      <c r="DM210" s="8"/>
      <c r="DN210" s="8"/>
      <c r="DO210" s="8"/>
      <c r="DP210" s="8"/>
      <c r="DQ210" s="8"/>
      <c r="DR210" s="8"/>
      <c r="DS210" s="8"/>
      <c r="DT210" s="8"/>
      <c r="DU210" s="8"/>
      <c r="DV210" s="8"/>
      <c r="DW210" s="8"/>
      <c r="DX210" s="8"/>
      <c r="DY210" s="8"/>
      <c r="DZ210" s="8"/>
      <c r="EA210" s="8"/>
      <c r="EB210" s="8"/>
      <c r="EC210" s="8"/>
      <c r="ED210" s="8"/>
      <c r="EE210" s="8"/>
      <c r="EF210" s="8"/>
      <c r="EG210" s="8"/>
      <c r="EH210" s="8"/>
      <c r="EI210" s="8"/>
      <c r="EJ210" s="8"/>
      <c r="EK210" s="8"/>
      <c r="EL210" s="8"/>
      <c r="EM210" s="8"/>
      <c r="EN210" s="8"/>
      <c r="EO210" s="8"/>
      <c r="EP210" s="8"/>
      <c r="EQ210" s="8"/>
      <c r="ER210" s="8"/>
      <c r="ES210" s="8"/>
      <c r="ET210" s="8"/>
      <c r="EU210" s="8"/>
      <c r="EV210" s="8"/>
      <c r="EW210" s="8"/>
      <c r="EX210" s="8"/>
      <c r="EY210" s="8"/>
      <c r="EZ210" s="8"/>
      <c r="FA210" s="8"/>
      <c r="FB210" s="8"/>
      <c r="FC210" s="8"/>
      <c r="FD210" s="8"/>
      <c r="FE210" s="8"/>
      <c r="FF210" s="8"/>
      <c r="FG210" s="8"/>
      <c r="FH210" s="8"/>
      <c r="FI210" s="8"/>
      <c r="FJ210" s="8"/>
      <c r="FK210" s="8"/>
      <c r="FL210" s="8"/>
      <c r="FM210" s="8"/>
      <c r="FN210" s="8"/>
      <c r="FO210" s="8"/>
      <c r="FP210" s="8"/>
      <c r="FQ210" s="8"/>
      <c r="FR210" s="8"/>
      <c r="FS210" s="8"/>
      <c r="FT210" s="8"/>
      <c r="FU210" s="8"/>
      <c r="FV210" s="8"/>
      <c r="FW210" s="8"/>
      <c r="FX210" s="8"/>
      <c r="FY210" s="8"/>
      <c r="FZ210" s="8"/>
      <c r="GA210" s="8"/>
      <c r="GB210" s="8"/>
      <c r="GC210" s="8"/>
      <c r="GD210" s="8"/>
      <c r="GE210" s="8"/>
      <c r="GF210" s="8"/>
      <c r="GG210" s="8"/>
      <c r="GH210" s="8"/>
      <c r="GI210" s="8"/>
      <c r="GJ210" s="8"/>
      <c r="GK210" s="8"/>
      <c r="GL210" s="8"/>
      <c r="GM210" s="8"/>
      <c r="GN210" s="8"/>
      <c r="GO210" s="8"/>
      <c r="GP210" s="8"/>
      <c r="GQ210" s="8"/>
      <c r="GR210" s="8"/>
      <c r="GS210" s="8"/>
      <c r="GT210" s="8"/>
      <c r="GU210" s="8"/>
      <c r="GV210" s="8"/>
      <c r="GW210" s="8"/>
      <c r="GX210" s="8"/>
      <c r="GY210" s="8"/>
      <c r="GZ210" s="8"/>
      <c r="HA210" s="8"/>
      <c r="HB210" s="8"/>
      <c r="HC210" s="8"/>
      <c r="HD210" s="8"/>
      <c r="HE210" s="8"/>
      <c r="HF210" s="8"/>
      <c r="HG210" s="8"/>
      <c r="HH210" s="8"/>
      <c r="HI210" s="8"/>
      <c r="HJ210" s="8"/>
      <c r="HK210" s="8"/>
      <c r="HL210" s="8"/>
      <c r="HM210" s="8"/>
      <c r="HN210" s="8"/>
      <c r="HO210" s="8"/>
      <c r="HP210" s="8"/>
      <c r="HQ210" s="8"/>
      <c r="HR210" s="8"/>
      <c r="HS210" s="8"/>
      <c r="HT210" s="8"/>
      <c r="HU210" s="8"/>
      <c r="HV210" s="8"/>
      <c r="HW210" s="8"/>
      <c r="HX210" s="8"/>
      <c r="HY210" s="8"/>
      <c r="HZ210" s="8"/>
      <c r="IA210" s="8"/>
      <c r="IB210" s="8"/>
      <c r="IC210" s="8"/>
      <c r="ID210" s="8"/>
      <c r="IE210" s="8"/>
      <c r="IF210" s="8"/>
      <c r="IG210" s="8"/>
      <c r="IH210" s="8"/>
      <c r="II210" s="8"/>
      <c r="IJ210" s="8"/>
      <c r="IK210" s="8"/>
      <c r="IL210" s="8"/>
      <c r="IM210" s="8"/>
      <c r="IN210" s="8"/>
      <c r="IO210" s="8"/>
      <c r="IP210" s="8"/>
      <c r="IQ210" s="8"/>
      <c r="IR210" s="8"/>
      <c r="IS210" s="8"/>
      <c r="IT210" s="8"/>
      <c r="IU210" s="8"/>
      <c r="IV210" s="8"/>
      <c r="IW210" s="8"/>
      <c r="IX210" s="8"/>
      <c r="JA210" s="123"/>
      <c r="JB210" s="123"/>
      <c r="JC210" s="123"/>
      <c r="JD210" s="70">
        <f>SUM((TEXT(JA210,"[M]")/60)*'Income Person-hours'!$D$3,(TEXT(JB210,"[M]")/60)*'Income Person-hours'!$D$4,(TEXT(JC210,"[M]")/60)*'Income Person-hours'!$D$5)</f>
        <v>0</v>
      </c>
    </row>
    <row r="211" spans="1:264 16383:16384" s="12" customFormat="1" ht="15.75" hidden="1" x14ac:dyDescent="0.45">
      <c r="A211" s="32">
        <v>9.15</v>
      </c>
      <c r="B211" s="126"/>
      <c r="C211" s="117"/>
      <c r="D211" s="13" t="str">
        <f>IF(OR(j_WEEKDAY(J_ADDDAY(VLOOKUP(I211,A:F,6,FALSE),H211,1),0)=6,SUMIFS(Holieday[ok],Holieday[date],J_ADDDAY(VLOOKUP(I211,A:F,6,FALSE),H211,1)))=FALSE(),J_ADDDAY(VLOOKUP(I211,A:F,6,FALSE),H211,1),IF(OR(j_WEEKDAY(J_ADDDAY(VLOOKUP(I211,A:F,6,FALSE),H211+1,1),0)=6,SUMIFS(Holieday[ok],Holieday[date],J_ADDDAY(VLOOKUP(I211,A:F,6,FALSE),H211+1,1)))=FALSE(),J_ADDDAY(VLOOKUP(I211,A:F,6,FALSE),H211+1,1),IF(OR(j_WEEKDAY(J_ADDDAY(VLOOKUP(I211,A:F,6,FALSE),H211+2,1),0)=6,SUMIFS(Holieday[ok],Holieday[date],J_ADDDAY(VLOOKUP(I211,A:F,6,FALSE),H211+2,1)))=FALSE(),J_ADDDAY(VLOOKUP(I211,A:F,6,FALSE),H211+2,1),IF(OR(j_WEEKDAY(J_ADDDAY(VLOOKUP(I211,A:F,6,FALSE),H211+3,1),0)=6,SUMIFS(Holieday[ok],Holieday[date],J_ADDDAY(VLOOKUP(I211,A:F,6,FALSE),H211+3,1)))=FALSE(),J_ADDDAY(VLOOKUP(I211,A:F,6,FALSE),H211+3,1),IF(OR(j_WEEKDAY(J_ADDDAY(VLOOKUP(I211,A:F,6,FALSE),H211+4,1),0)=6,SUMIFS(Holieday[ok],Holieday[date],J_ADDDAY(VLOOKUP(I211,A:F,6,FALSE),H211+4,1)))=FALSE(),J_ADDDAY(VLOOKUP(I211,A:F,6,FALSE),H211+4,1),J_ADDDAY(VLOOKUP(I211,A:F,6,FALSE),H211+5,1))))))</f>
        <v>1398/06/31</v>
      </c>
      <c r="E211" s="2">
        <f t="shared" si="63"/>
        <v>13980631</v>
      </c>
      <c r="F211" s="13" t="str">
        <f>IF(N211=0,J_SUBDAY(D211,1,1),IF((N211-NETWORKDAYS.INTL(J_GregorianDate(D211,1),J_GregorianDate(J_SUBDAY(J_ADDDAY(D211,N211,1),1,1),1),16,1)-SUMIFS(Holieday[ok],Holieday[date],CONCATENATE("&gt;","=",D211),Holieday[date],CONCATENATE("&lt;","=",J_SUBDAY(J_ADDDAY(D211,N211,1),1,1)))+SUMIFS(Holieday[Friday],Holieday[date],CONCATENATE("&gt;","=",D211),Holieday[date],CONCATENATE("&lt;","=",J_SUBDAY(J_ADDDAY(D211,N211,1),1,1))))=0,J_SUBDAY(J_ADDDAY(D211,N211,1),1,1),IF((N211-NETWORKDAYS.INTL(J_GregorianDate(D211,1),J_GregorianDate(J_SUBDAY(J_ADDDAY(D211,N211,1),1,1),1),16,1)-SUMIFS(Holieday[ok],Holieday[date],CONCATENATE("&gt;","=",D211),Holieday[date],CONCATENATE("&lt;","=",J_SUBDAY(J_ADDDAY(D211,N211,1),1,1)))+SUMIFS(Holieday[Friday],Holieday[date],CONCATENATE("&gt;","=",D211),Holieday[date],CONCATENATE("&lt;","=",J_SUBDAY(J_ADDDAY(D211,N211,1),1,1))))=1,J_SUBDAY(J_ADDDAY(D211,N211+1,1),1,1),IF((N211-NETWORKDAYS.INTL(J_GregorianDate(D211,1),J_GregorianDate(J_SUBDAY(J_ADDDAY(D211,N211,1),1,1),1),16,1)-SUMIFS(Holieday[ok],Holieday[date],CONCATENATE("&gt;","=",D211),Holieday[date],CONCATENATE("&lt;","=",J_SUBDAY(J_ADDDAY(D211,N211,1),1,1)))+SUMIFS(Holieday[Friday],Holieday[date],CONCATENATE("&gt;","=",D211),Holieday[date],CONCATENATE("&lt;","=",J_SUBDAY(J_ADDDAY(D211,N211,1),1,1))))=2,J_SUBDAY(J_ADDDAY(D211,N211+2,1),1,1),J_SUBDAY(J_ADDDAY(D211,N211+3,1),1,1)))))</f>
        <v>1398/06/30</v>
      </c>
      <c r="G211" s="3">
        <f t="shared" si="64"/>
        <v>13980630</v>
      </c>
      <c r="H211" s="119"/>
      <c r="I211" s="120">
        <v>1.1000000000000001</v>
      </c>
      <c r="J211" s="10">
        <f>j_WEEKDAY(D211,2)</f>
        <v>1</v>
      </c>
      <c r="K211" s="22">
        <f t="shared" si="68"/>
        <v>0</v>
      </c>
      <c r="L211" s="9">
        <f t="shared" si="67"/>
        <v>0</v>
      </c>
      <c r="M211" s="121">
        <v>0</v>
      </c>
      <c r="N211" s="118">
        <v>0</v>
      </c>
      <c r="O211" s="11">
        <f t="shared" si="65"/>
        <v>0</v>
      </c>
      <c r="P211" s="11">
        <f>VALUE(J_normdate(J_ADDDAY($D211,$O211,1)))</f>
        <v>13980631</v>
      </c>
      <c r="Q211" s="10">
        <f t="shared" si="66"/>
        <v>0</v>
      </c>
      <c r="R211" s="8"/>
      <c r="S211" s="8"/>
      <c r="T211" s="8"/>
      <c r="U211" s="8"/>
      <c r="V211" s="8"/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/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8"/>
      <c r="AS211" s="8"/>
      <c r="AT211" s="8"/>
      <c r="AU211" s="8"/>
      <c r="AV211" s="8"/>
      <c r="AW211" s="8"/>
      <c r="AX211" s="8"/>
      <c r="AY211" s="8"/>
      <c r="AZ211" s="8"/>
      <c r="BA211" s="8"/>
      <c r="BB211" s="8"/>
      <c r="BC211" s="8"/>
      <c r="BD211" s="8"/>
      <c r="BE211" s="8"/>
      <c r="BF211" s="8"/>
      <c r="BG211" s="8"/>
      <c r="BH211" s="8"/>
      <c r="BI211" s="8"/>
      <c r="BJ211" s="8"/>
      <c r="BK211" s="8"/>
      <c r="BL211" s="8"/>
      <c r="BM211" s="8"/>
      <c r="BN211" s="8"/>
      <c r="BO211" s="8"/>
      <c r="BP211" s="8"/>
      <c r="BQ211" s="8"/>
      <c r="BR211" s="8"/>
      <c r="BS211" s="8"/>
      <c r="BT211" s="8"/>
      <c r="BU211" s="8"/>
      <c r="BV211" s="8"/>
      <c r="BW211" s="8"/>
      <c r="BX211" s="8"/>
      <c r="BY211" s="8"/>
      <c r="BZ211" s="8"/>
      <c r="CA211" s="8"/>
      <c r="CB211" s="8"/>
      <c r="CC211" s="8"/>
      <c r="CD211" s="8"/>
      <c r="CE211" s="8"/>
      <c r="CF211" s="8"/>
      <c r="CG211" s="8"/>
      <c r="CH211" s="8"/>
      <c r="CI211" s="8"/>
      <c r="CJ211" s="8"/>
      <c r="CK211" s="8"/>
      <c r="CL211" s="8"/>
      <c r="CM211" s="8"/>
      <c r="CN211" s="8"/>
      <c r="CO211" s="8"/>
      <c r="CP211" s="8"/>
      <c r="CQ211" s="8"/>
      <c r="CR211" s="8"/>
      <c r="CS211" s="8"/>
      <c r="CT211" s="8"/>
      <c r="CU211" s="8"/>
      <c r="CV211" s="8"/>
      <c r="CW211" s="8"/>
      <c r="CX211" s="8"/>
      <c r="CY211" s="8"/>
      <c r="CZ211" s="8"/>
      <c r="DA211" s="8"/>
      <c r="DB211" s="8"/>
      <c r="DC211" s="8"/>
      <c r="DD211" s="8"/>
      <c r="DE211" s="8"/>
      <c r="DF211" s="8"/>
      <c r="DG211" s="8"/>
      <c r="DH211" s="8"/>
      <c r="DI211" s="8"/>
      <c r="DJ211" s="8"/>
      <c r="DK211" s="8"/>
      <c r="DL211" s="8"/>
      <c r="DM211" s="8"/>
      <c r="DN211" s="8"/>
      <c r="DO211" s="8"/>
      <c r="DP211" s="8"/>
      <c r="DQ211" s="8"/>
      <c r="DR211" s="8"/>
      <c r="DS211" s="8"/>
      <c r="DT211" s="8"/>
      <c r="DU211" s="8"/>
      <c r="DV211" s="8"/>
      <c r="DW211" s="8"/>
      <c r="DX211" s="8"/>
      <c r="DY211" s="8"/>
      <c r="DZ211" s="8"/>
      <c r="EA211" s="8"/>
      <c r="EB211" s="8"/>
      <c r="EC211" s="8"/>
      <c r="ED211" s="8"/>
      <c r="EE211" s="8"/>
      <c r="EF211" s="8"/>
      <c r="EG211" s="8"/>
      <c r="EH211" s="8"/>
      <c r="EI211" s="8"/>
      <c r="EJ211" s="8"/>
      <c r="EK211" s="8"/>
      <c r="EL211" s="8"/>
      <c r="EM211" s="8"/>
      <c r="EN211" s="8"/>
      <c r="EO211" s="8"/>
      <c r="EP211" s="8"/>
      <c r="EQ211" s="8"/>
      <c r="ER211" s="8"/>
      <c r="ES211" s="8"/>
      <c r="ET211" s="8"/>
      <c r="EU211" s="8"/>
      <c r="EV211" s="8"/>
      <c r="EW211" s="8"/>
      <c r="EX211" s="8"/>
      <c r="EY211" s="8"/>
      <c r="EZ211" s="8"/>
      <c r="FA211" s="8"/>
      <c r="FB211" s="8"/>
      <c r="FC211" s="8"/>
      <c r="FD211" s="8"/>
      <c r="FE211" s="8"/>
      <c r="FF211" s="8"/>
      <c r="FG211" s="8"/>
      <c r="FH211" s="8"/>
      <c r="FI211" s="8"/>
      <c r="FJ211" s="8"/>
      <c r="FK211" s="8"/>
      <c r="FL211" s="8"/>
      <c r="FM211" s="8"/>
      <c r="FN211" s="8"/>
      <c r="FO211" s="8"/>
      <c r="FP211" s="8"/>
      <c r="FQ211" s="8"/>
      <c r="FR211" s="8"/>
      <c r="FS211" s="8"/>
      <c r="FT211" s="8"/>
      <c r="FU211" s="8"/>
      <c r="FV211" s="8"/>
      <c r="FW211" s="8"/>
      <c r="FX211" s="8"/>
      <c r="FY211" s="8"/>
      <c r="FZ211" s="8"/>
      <c r="GA211" s="8"/>
      <c r="GB211" s="8"/>
      <c r="GC211" s="8"/>
      <c r="GD211" s="8"/>
      <c r="GE211" s="8"/>
      <c r="GF211" s="8"/>
      <c r="GG211" s="8"/>
      <c r="GH211" s="8"/>
      <c r="GI211" s="8"/>
      <c r="GJ211" s="8"/>
      <c r="GK211" s="8"/>
      <c r="GL211" s="8"/>
      <c r="GM211" s="8"/>
      <c r="GN211" s="8"/>
      <c r="GO211" s="8"/>
      <c r="GP211" s="8"/>
      <c r="GQ211" s="8"/>
      <c r="GR211" s="8"/>
      <c r="GS211" s="8"/>
      <c r="GT211" s="8"/>
      <c r="GU211" s="8"/>
      <c r="GV211" s="8"/>
      <c r="GW211" s="8"/>
      <c r="GX211" s="8"/>
      <c r="GY211" s="8"/>
      <c r="GZ211" s="8"/>
      <c r="HA211" s="8"/>
      <c r="HB211" s="8"/>
      <c r="HC211" s="8"/>
      <c r="HD211" s="8"/>
      <c r="HE211" s="8"/>
      <c r="HF211" s="8"/>
      <c r="HG211" s="8"/>
      <c r="HH211" s="8"/>
      <c r="HI211" s="8"/>
      <c r="HJ211" s="8"/>
      <c r="HK211" s="8"/>
      <c r="HL211" s="8"/>
      <c r="HM211" s="8"/>
      <c r="HN211" s="8"/>
      <c r="HO211" s="8"/>
      <c r="HP211" s="8"/>
      <c r="HQ211" s="8"/>
      <c r="HR211" s="8"/>
      <c r="HS211" s="8"/>
      <c r="HT211" s="8"/>
      <c r="HU211" s="8"/>
      <c r="HV211" s="8"/>
      <c r="HW211" s="8"/>
      <c r="HX211" s="8"/>
      <c r="HY211" s="8"/>
      <c r="HZ211" s="8"/>
      <c r="IA211" s="8"/>
      <c r="IB211" s="8"/>
      <c r="IC211" s="8"/>
      <c r="ID211" s="8"/>
      <c r="IE211" s="8"/>
      <c r="IF211" s="8"/>
      <c r="IG211" s="8"/>
      <c r="IH211" s="8"/>
      <c r="II211" s="8"/>
      <c r="IJ211" s="8"/>
      <c r="IK211" s="8"/>
      <c r="IL211" s="8"/>
      <c r="IM211" s="8"/>
      <c r="IN211" s="8"/>
      <c r="IO211" s="8"/>
      <c r="IP211" s="8"/>
      <c r="IQ211" s="8"/>
      <c r="IR211" s="8"/>
      <c r="IS211" s="8"/>
      <c r="IT211" s="8"/>
      <c r="IU211" s="8"/>
      <c r="IV211" s="8"/>
      <c r="IW211" s="8"/>
      <c r="IX211" s="8"/>
      <c r="JA211" s="123"/>
      <c r="JB211" s="123"/>
      <c r="JC211" s="123"/>
      <c r="JD211" s="70">
        <f>SUM((TEXT(JA211,"[M]")/60)*'Income Person-hours'!$D$3,(TEXT(JB211,"[M]")/60)*'Income Person-hours'!$D$4,(TEXT(JC211,"[M]")/60)*'Income Person-hours'!$D$5)</f>
        <v>0</v>
      </c>
    </row>
    <row r="212" spans="1:264 16383:16384" s="12" customFormat="1" ht="15.75" hidden="1" x14ac:dyDescent="0.45">
      <c r="A212" s="32">
        <v>9.16</v>
      </c>
      <c r="B212" s="126"/>
      <c r="C212" s="117"/>
      <c r="D212" s="13" t="str">
        <f>IF(OR(j_WEEKDAY(J_ADDDAY(VLOOKUP(I212,A:F,6,FALSE),H212,1),0)=6,SUMIFS(Holieday[ok],Holieday[date],J_ADDDAY(VLOOKUP(I212,A:F,6,FALSE),H212,1)))=FALSE(),J_ADDDAY(VLOOKUP(I212,A:F,6,FALSE),H212,1),IF(OR(j_WEEKDAY(J_ADDDAY(VLOOKUP(I212,A:F,6,FALSE),H212+1,1),0)=6,SUMIFS(Holieday[ok],Holieday[date],J_ADDDAY(VLOOKUP(I212,A:F,6,FALSE),H212+1,1)))=FALSE(),J_ADDDAY(VLOOKUP(I212,A:F,6,FALSE),H212+1,1),IF(OR(j_WEEKDAY(J_ADDDAY(VLOOKUP(I212,A:F,6,FALSE),H212+2,1),0)=6,SUMIFS(Holieday[ok],Holieday[date],J_ADDDAY(VLOOKUP(I212,A:F,6,FALSE),H212+2,1)))=FALSE(),J_ADDDAY(VLOOKUP(I212,A:F,6,FALSE),H212+2,1),IF(OR(j_WEEKDAY(J_ADDDAY(VLOOKUP(I212,A:F,6,FALSE),H212+3,1),0)=6,SUMIFS(Holieday[ok],Holieday[date],J_ADDDAY(VLOOKUP(I212,A:F,6,FALSE),H212+3,1)))=FALSE(),J_ADDDAY(VLOOKUP(I212,A:F,6,FALSE),H212+3,1),IF(OR(j_WEEKDAY(J_ADDDAY(VLOOKUP(I212,A:F,6,FALSE),H212+4,1),0)=6,SUMIFS(Holieday[ok],Holieday[date],J_ADDDAY(VLOOKUP(I212,A:F,6,FALSE),H212+4,1)))=FALSE(),J_ADDDAY(VLOOKUP(I212,A:F,6,FALSE),H212+4,1),J_ADDDAY(VLOOKUP(I212,A:F,6,FALSE),H212+5,1))))))</f>
        <v>1398/06/31</v>
      </c>
      <c r="E212" s="2">
        <f t="shared" si="63"/>
        <v>13980631</v>
      </c>
      <c r="F212" s="13" t="str">
        <f>IF(N212=0,J_SUBDAY(D212,1,1),IF((N212-NETWORKDAYS.INTL(J_GregorianDate(D212,1),J_GregorianDate(J_SUBDAY(J_ADDDAY(D212,N212,1),1,1),1),16,1)-SUMIFS(Holieday[ok],Holieday[date],CONCATENATE("&gt;","=",D212),Holieday[date],CONCATENATE("&lt;","=",J_SUBDAY(J_ADDDAY(D212,N212,1),1,1)))+SUMIFS(Holieday[Friday],Holieday[date],CONCATENATE("&gt;","=",D212),Holieday[date],CONCATENATE("&lt;","=",J_SUBDAY(J_ADDDAY(D212,N212,1),1,1))))=0,J_SUBDAY(J_ADDDAY(D212,N212,1),1,1),IF((N212-NETWORKDAYS.INTL(J_GregorianDate(D212,1),J_GregorianDate(J_SUBDAY(J_ADDDAY(D212,N212,1),1,1),1),16,1)-SUMIFS(Holieday[ok],Holieday[date],CONCATENATE("&gt;","=",D212),Holieday[date],CONCATENATE("&lt;","=",J_SUBDAY(J_ADDDAY(D212,N212,1),1,1)))+SUMIFS(Holieday[Friday],Holieday[date],CONCATENATE("&gt;","=",D212),Holieday[date],CONCATENATE("&lt;","=",J_SUBDAY(J_ADDDAY(D212,N212,1),1,1))))=1,J_SUBDAY(J_ADDDAY(D212,N212+1,1),1,1),IF((N212-NETWORKDAYS.INTL(J_GregorianDate(D212,1),J_GregorianDate(J_SUBDAY(J_ADDDAY(D212,N212,1),1,1),1),16,1)-SUMIFS(Holieday[ok],Holieday[date],CONCATENATE("&gt;","=",D212),Holieday[date],CONCATENATE("&lt;","=",J_SUBDAY(J_ADDDAY(D212,N212,1),1,1)))+SUMIFS(Holieday[Friday],Holieday[date],CONCATENATE("&gt;","=",D212),Holieday[date],CONCATENATE("&lt;","=",J_SUBDAY(J_ADDDAY(D212,N212,1),1,1))))=2,J_SUBDAY(J_ADDDAY(D212,N212+2,1),1,1),J_SUBDAY(J_ADDDAY(D212,N212+3,1),1,1)))))</f>
        <v>1398/06/30</v>
      </c>
      <c r="G212" s="3">
        <f t="shared" si="64"/>
        <v>13980630</v>
      </c>
      <c r="H212" s="119"/>
      <c r="I212" s="120">
        <v>1.1000000000000001</v>
      </c>
      <c r="J212" s="10">
        <f>j_WEEKDAY(D212,2)</f>
        <v>1</v>
      </c>
      <c r="K212" s="22">
        <f t="shared" si="68"/>
        <v>0</v>
      </c>
      <c r="L212" s="9">
        <f t="shared" si="67"/>
        <v>0</v>
      </c>
      <c r="M212" s="121">
        <v>0</v>
      </c>
      <c r="N212" s="118">
        <v>0</v>
      </c>
      <c r="O212" s="11">
        <f t="shared" si="65"/>
        <v>0</v>
      </c>
      <c r="P212" s="11">
        <f>VALUE(J_normdate(J_ADDDAY($D212,$O212,1)))</f>
        <v>13980631</v>
      </c>
      <c r="Q212" s="10">
        <f t="shared" si="66"/>
        <v>0</v>
      </c>
      <c r="R212" s="8"/>
      <c r="S212" s="8"/>
      <c r="T212" s="8"/>
      <c r="U212" s="8"/>
      <c r="V212" s="8"/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/>
      <c r="AH212" s="8"/>
      <c r="AI212" s="8"/>
      <c r="AJ212" s="8"/>
      <c r="AK212" s="8"/>
      <c r="AL212" s="8"/>
      <c r="AM212" s="8"/>
      <c r="AN212" s="8"/>
      <c r="AO212" s="8"/>
      <c r="AP212" s="8"/>
      <c r="AQ212" s="8"/>
      <c r="AR212" s="8"/>
      <c r="AS212" s="8"/>
      <c r="AT212" s="8"/>
      <c r="AU212" s="8"/>
      <c r="AV212" s="8"/>
      <c r="AW212" s="8"/>
      <c r="AX212" s="8"/>
      <c r="AY212" s="8"/>
      <c r="AZ212" s="8"/>
      <c r="BA212" s="8"/>
      <c r="BB212" s="8"/>
      <c r="BC212" s="8"/>
      <c r="BD212" s="8"/>
      <c r="BE212" s="8"/>
      <c r="BF212" s="8"/>
      <c r="BG212" s="8"/>
      <c r="BH212" s="8"/>
      <c r="BI212" s="8"/>
      <c r="BJ212" s="8"/>
      <c r="BK212" s="8"/>
      <c r="BL212" s="8"/>
      <c r="BM212" s="8"/>
      <c r="BN212" s="8"/>
      <c r="BO212" s="8"/>
      <c r="BP212" s="8"/>
      <c r="BQ212" s="8"/>
      <c r="BR212" s="8"/>
      <c r="BS212" s="8"/>
      <c r="BT212" s="8"/>
      <c r="BU212" s="8"/>
      <c r="BV212" s="8"/>
      <c r="BW212" s="8"/>
      <c r="BX212" s="8"/>
      <c r="BY212" s="8"/>
      <c r="BZ212" s="8"/>
      <c r="CA212" s="8"/>
      <c r="CB212" s="8"/>
      <c r="CC212" s="8"/>
      <c r="CD212" s="8"/>
      <c r="CE212" s="8"/>
      <c r="CF212" s="8"/>
      <c r="CG212" s="8"/>
      <c r="CH212" s="8"/>
      <c r="CI212" s="8"/>
      <c r="CJ212" s="8"/>
      <c r="CK212" s="8"/>
      <c r="CL212" s="8"/>
      <c r="CM212" s="8"/>
      <c r="CN212" s="8"/>
      <c r="CO212" s="8"/>
      <c r="CP212" s="8"/>
      <c r="CQ212" s="8"/>
      <c r="CR212" s="8"/>
      <c r="CS212" s="8"/>
      <c r="CT212" s="8"/>
      <c r="CU212" s="8"/>
      <c r="CV212" s="8"/>
      <c r="CW212" s="8"/>
      <c r="CX212" s="8"/>
      <c r="CY212" s="8"/>
      <c r="CZ212" s="8"/>
      <c r="DA212" s="8"/>
      <c r="DB212" s="8"/>
      <c r="DC212" s="8"/>
      <c r="DD212" s="8"/>
      <c r="DE212" s="8"/>
      <c r="DF212" s="8"/>
      <c r="DG212" s="8"/>
      <c r="DH212" s="8"/>
      <c r="DI212" s="8"/>
      <c r="DJ212" s="8"/>
      <c r="DK212" s="8"/>
      <c r="DL212" s="8"/>
      <c r="DM212" s="8"/>
      <c r="DN212" s="8"/>
      <c r="DO212" s="8"/>
      <c r="DP212" s="8"/>
      <c r="DQ212" s="8"/>
      <c r="DR212" s="8"/>
      <c r="DS212" s="8"/>
      <c r="DT212" s="8"/>
      <c r="DU212" s="8"/>
      <c r="DV212" s="8"/>
      <c r="DW212" s="8"/>
      <c r="DX212" s="8"/>
      <c r="DY212" s="8"/>
      <c r="DZ212" s="8"/>
      <c r="EA212" s="8"/>
      <c r="EB212" s="8"/>
      <c r="EC212" s="8"/>
      <c r="ED212" s="8"/>
      <c r="EE212" s="8"/>
      <c r="EF212" s="8"/>
      <c r="EG212" s="8"/>
      <c r="EH212" s="8"/>
      <c r="EI212" s="8"/>
      <c r="EJ212" s="8"/>
      <c r="EK212" s="8"/>
      <c r="EL212" s="8"/>
      <c r="EM212" s="8"/>
      <c r="EN212" s="8"/>
      <c r="EO212" s="8"/>
      <c r="EP212" s="8"/>
      <c r="EQ212" s="8"/>
      <c r="ER212" s="8"/>
      <c r="ES212" s="8"/>
      <c r="ET212" s="8"/>
      <c r="EU212" s="8"/>
      <c r="EV212" s="8"/>
      <c r="EW212" s="8"/>
      <c r="EX212" s="8"/>
      <c r="EY212" s="8"/>
      <c r="EZ212" s="8"/>
      <c r="FA212" s="8"/>
      <c r="FB212" s="8"/>
      <c r="FC212" s="8"/>
      <c r="FD212" s="8"/>
      <c r="FE212" s="8"/>
      <c r="FF212" s="8"/>
      <c r="FG212" s="8"/>
      <c r="FH212" s="8"/>
      <c r="FI212" s="8"/>
      <c r="FJ212" s="8"/>
      <c r="FK212" s="8"/>
      <c r="FL212" s="8"/>
      <c r="FM212" s="8"/>
      <c r="FN212" s="8"/>
      <c r="FO212" s="8"/>
      <c r="FP212" s="8"/>
      <c r="FQ212" s="8"/>
      <c r="FR212" s="8"/>
      <c r="FS212" s="8"/>
      <c r="FT212" s="8"/>
      <c r="FU212" s="8"/>
      <c r="FV212" s="8"/>
      <c r="FW212" s="8"/>
      <c r="FX212" s="8"/>
      <c r="FY212" s="8"/>
      <c r="FZ212" s="8"/>
      <c r="GA212" s="8"/>
      <c r="GB212" s="8"/>
      <c r="GC212" s="8"/>
      <c r="GD212" s="8"/>
      <c r="GE212" s="8"/>
      <c r="GF212" s="8"/>
      <c r="GG212" s="8"/>
      <c r="GH212" s="8"/>
      <c r="GI212" s="8"/>
      <c r="GJ212" s="8"/>
      <c r="GK212" s="8"/>
      <c r="GL212" s="8"/>
      <c r="GM212" s="8"/>
      <c r="GN212" s="8"/>
      <c r="GO212" s="8"/>
      <c r="GP212" s="8"/>
      <c r="GQ212" s="8"/>
      <c r="GR212" s="8"/>
      <c r="GS212" s="8"/>
      <c r="GT212" s="8"/>
      <c r="GU212" s="8"/>
      <c r="GV212" s="8"/>
      <c r="GW212" s="8"/>
      <c r="GX212" s="8"/>
      <c r="GY212" s="8"/>
      <c r="GZ212" s="8"/>
      <c r="HA212" s="8"/>
      <c r="HB212" s="8"/>
      <c r="HC212" s="8"/>
      <c r="HD212" s="8"/>
      <c r="HE212" s="8"/>
      <c r="HF212" s="8"/>
      <c r="HG212" s="8"/>
      <c r="HH212" s="8"/>
      <c r="HI212" s="8"/>
      <c r="HJ212" s="8"/>
      <c r="HK212" s="8"/>
      <c r="HL212" s="8"/>
      <c r="HM212" s="8"/>
      <c r="HN212" s="8"/>
      <c r="HO212" s="8"/>
      <c r="HP212" s="8"/>
      <c r="HQ212" s="8"/>
      <c r="HR212" s="8"/>
      <c r="HS212" s="8"/>
      <c r="HT212" s="8"/>
      <c r="HU212" s="8"/>
      <c r="HV212" s="8"/>
      <c r="HW212" s="8"/>
      <c r="HX212" s="8"/>
      <c r="HY212" s="8"/>
      <c r="HZ212" s="8"/>
      <c r="IA212" s="8"/>
      <c r="IB212" s="8"/>
      <c r="IC212" s="8"/>
      <c r="ID212" s="8"/>
      <c r="IE212" s="8"/>
      <c r="IF212" s="8"/>
      <c r="IG212" s="8"/>
      <c r="IH212" s="8"/>
      <c r="II212" s="8"/>
      <c r="IJ212" s="8"/>
      <c r="IK212" s="8"/>
      <c r="IL212" s="8"/>
      <c r="IM212" s="8"/>
      <c r="IN212" s="8"/>
      <c r="IO212" s="8"/>
      <c r="IP212" s="8"/>
      <c r="IQ212" s="8"/>
      <c r="IR212" s="8"/>
      <c r="IS212" s="8"/>
      <c r="IT212" s="8"/>
      <c r="IU212" s="8"/>
      <c r="IV212" s="8"/>
      <c r="IW212" s="8"/>
      <c r="IX212" s="8"/>
      <c r="JA212" s="123"/>
      <c r="JB212" s="123"/>
      <c r="JC212" s="123"/>
      <c r="JD212" s="70">
        <f>SUM((TEXT(JA212,"[M]")/60)*'Income Person-hours'!$D$3,(TEXT(JB212,"[M]")/60)*'Income Person-hours'!$D$4,(TEXT(JC212,"[M]")/60)*'Income Person-hours'!$D$5)</f>
        <v>0</v>
      </c>
    </row>
    <row r="213" spans="1:264 16383:16384" s="12" customFormat="1" ht="15.75" hidden="1" x14ac:dyDescent="0.45">
      <c r="A213" s="32">
        <v>9.17</v>
      </c>
      <c r="B213" s="126"/>
      <c r="C213" s="117"/>
      <c r="D213" s="13" t="str">
        <f>IF(OR(j_WEEKDAY(J_ADDDAY(VLOOKUP(I213,A:F,6,FALSE),H213,1),0)=6,SUMIFS(Holieday[ok],Holieday[date],J_ADDDAY(VLOOKUP(I213,A:F,6,FALSE),H213,1)))=FALSE(),J_ADDDAY(VLOOKUP(I213,A:F,6,FALSE),H213,1),IF(OR(j_WEEKDAY(J_ADDDAY(VLOOKUP(I213,A:F,6,FALSE),H213+1,1),0)=6,SUMIFS(Holieday[ok],Holieday[date],J_ADDDAY(VLOOKUP(I213,A:F,6,FALSE),H213+1,1)))=FALSE(),J_ADDDAY(VLOOKUP(I213,A:F,6,FALSE),H213+1,1),IF(OR(j_WEEKDAY(J_ADDDAY(VLOOKUP(I213,A:F,6,FALSE),H213+2,1),0)=6,SUMIFS(Holieday[ok],Holieday[date],J_ADDDAY(VLOOKUP(I213,A:F,6,FALSE),H213+2,1)))=FALSE(),J_ADDDAY(VLOOKUP(I213,A:F,6,FALSE),H213+2,1),IF(OR(j_WEEKDAY(J_ADDDAY(VLOOKUP(I213,A:F,6,FALSE),H213+3,1),0)=6,SUMIFS(Holieday[ok],Holieday[date],J_ADDDAY(VLOOKUP(I213,A:F,6,FALSE),H213+3,1)))=FALSE(),J_ADDDAY(VLOOKUP(I213,A:F,6,FALSE),H213+3,1),IF(OR(j_WEEKDAY(J_ADDDAY(VLOOKUP(I213,A:F,6,FALSE),H213+4,1),0)=6,SUMIFS(Holieday[ok],Holieday[date],J_ADDDAY(VLOOKUP(I213,A:F,6,FALSE),H213+4,1)))=FALSE(),J_ADDDAY(VLOOKUP(I213,A:F,6,FALSE),H213+4,1),J_ADDDAY(VLOOKUP(I213,A:F,6,FALSE),H213+5,1))))))</f>
        <v>1398/06/31</v>
      </c>
      <c r="E213" s="2">
        <f t="shared" si="63"/>
        <v>13980631</v>
      </c>
      <c r="F213" s="13" t="str">
        <f>IF(N213=0,J_SUBDAY(D213,1,1),IF((N213-NETWORKDAYS.INTL(J_GregorianDate(D213,1),J_GregorianDate(J_SUBDAY(J_ADDDAY(D213,N213,1),1,1),1),16,1)-SUMIFS(Holieday[ok],Holieday[date],CONCATENATE("&gt;","=",D213),Holieday[date],CONCATENATE("&lt;","=",J_SUBDAY(J_ADDDAY(D213,N213,1),1,1)))+SUMIFS(Holieday[Friday],Holieday[date],CONCATENATE("&gt;","=",D213),Holieday[date],CONCATENATE("&lt;","=",J_SUBDAY(J_ADDDAY(D213,N213,1),1,1))))=0,J_SUBDAY(J_ADDDAY(D213,N213,1),1,1),IF((N213-NETWORKDAYS.INTL(J_GregorianDate(D213,1),J_GregorianDate(J_SUBDAY(J_ADDDAY(D213,N213,1),1,1),1),16,1)-SUMIFS(Holieday[ok],Holieday[date],CONCATENATE("&gt;","=",D213),Holieday[date],CONCATENATE("&lt;","=",J_SUBDAY(J_ADDDAY(D213,N213,1),1,1)))+SUMIFS(Holieday[Friday],Holieday[date],CONCATENATE("&gt;","=",D213),Holieday[date],CONCATENATE("&lt;","=",J_SUBDAY(J_ADDDAY(D213,N213,1),1,1))))=1,J_SUBDAY(J_ADDDAY(D213,N213+1,1),1,1),IF((N213-NETWORKDAYS.INTL(J_GregorianDate(D213,1),J_GregorianDate(J_SUBDAY(J_ADDDAY(D213,N213,1),1,1),1),16,1)-SUMIFS(Holieday[ok],Holieday[date],CONCATENATE("&gt;","=",D213),Holieday[date],CONCATENATE("&lt;","=",J_SUBDAY(J_ADDDAY(D213,N213,1),1,1)))+SUMIFS(Holieday[Friday],Holieday[date],CONCATENATE("&gt;","=",D213),Holieday[date],CONCATENATE("&lt;","=",J_SUBDAY(J_ADDDAY(D213,N213,1),1,1))))=2,J_SUBDAY(J_ADDDAY(D213,N213+2,1),1,1),J_SUBDAY(J_ADDDAY(D213,N213+3,1),1,1)))))</f>
        <v>1398/06/30</v>
      </c>
      <c r="G213" s="3">
        <f t="shared" si="64"/>
        <v>13980630</v>
      </c>
      <c r="H213" s="119"/>
      <c r="I213" s="120">
        <v>1.1000000000000001</v>
      </c>
      <c r="J213" s="10">
        <f>j_WEEKDAY(D213,2)</f>
        <v>1</v>
      </c>
      <c r="K213" s="22">
        <f t="shared" si="68"/>
        <v>0</v>
      </c>
      <c r="L213" s="9">
        <f t="shared" si="67"/>
        <v>0</v>
      </c>
      <c r="M213" s="121">
        <v>0</v>
      </c>
      <c r="N213" s="118">
        <v>0</v>
      </c>
      <c r="O213" s="11">
        <f t="shared" si="65"/>
        <v>0</v>
      </c>
      <c r="P213" s="11">
        <f>VALUE(J_normdate(J_ADDDAY($D213,$O213,1)))</f>
        <v>13980631</v>
      </c>
      <c r="Q213" s="10">
        <f t="shared" si="66"/>
        <v>0</v>
      </c>
      <c r="R213" s="8"/>
      <c r="S213" s="8"/>
      <c r="T213" s="8"/>
      <c r="U213" s="8"/>
      <c r="V213" s="8"/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/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8"/>
      <c r="AS213" s="8"/>
      <c r="AT213" s="8"/>
      <c r="AU213" s="8"/>
      <c r="AV213" s="8"/>
      <c r="AW213" s="8"/>
      <c r="AX213" s="8"/>
      <c r="AY213" s="8"/>
      <c r="AZ213" s="8"/>
      <c r="BA213" s="8"/>
      <c r="BB213" s="8"/>
      <c r="BC213" s="8"/>
      <c r="BD213" s="8"/>
      <c r="BE213" s="8"/>
      <c r="BF213" s="8"/>
      <c r="BG213" s="8"/>
      <c r="BH213" s="8"/>
      <c r="BI213" s="8"/>
      <c r="BJ213" s="8"/>
      <c r="BK213" s="8"/>
      <c r="BL213" s="8"/>
      <c r="BM213" s="8"/>
      <c r="BN213" s="8"/>
      <c r="BO213" s="8"/>
      <c r="BP213" s="8"/>
      <c r="BQ213" s="8"/>
      <c r="BR213" s="8"/>
      <c r="BS213" s="8"/>
      <c r="BT213" s="8"/>
      <c r="BU213" s="8"/>
      <c r="BV213" s="8"/>
      <c r="BW213" s="8"/>
      <c r="BX213" s="8"/>
      <c r="BY213" s="8"/>
      <c r="BZ213" s="8"/>
      <c r="CA213" s="8"/>
      <c r="CB213" s="8"/>
      <c r="CC213" s="8"/>
      <c r="CD213" s="8"/>
      <c r="CE213" s="8"/>
      <c r="CF213" s="8"/>
      <c r="CG213" s="8"/>
      <c r="CH213" s="8"/>
      <c r="CI213" s="8"/>
      <c r="CJ213" s="8"/>
      <c r="CK213" s="8"/>
      <c r="CL213" s="8"/>
      <c r="CM213" s="8"/>
      <c r="CN213" s="8"/>
      <c r="CO213" s="8"/>
      <c r="CP213" s="8"/>
      <c r="CQ213" s="8"/>
      <c r="CR213" s="8"/>
      <c r="CS213" s="8"/>
      <c r="CT213" s="8"/>
      <c r="CU213" s="8"/>
      <c r="CV213" s="8"/>
      <c r="CW213" s="8"/>
      <c r="CX213" s="8"/>
      <c r="CY213" s="8"/>
      <c r="CZ213" s="8"/>
      <c r="DA213" s="8"/>
      <c r="DB213" s="8"/>
      <c r="DC213" s="8"/>
      <c r="DD213" s="8"/>
      <c r="DE213" s="8"/>
      <c r="DF213" s="8"/>
      <c r="DG213" s="8"/>
      <c r="DH213" s="8"/>
      <c r="DI213" s="8"/>
      <c r="DJ213" s="8"/>
      <c r="DK213" s="8"/>
      <c r="DL213" s="8"/>
      <c r="DM213" s="8"/>
      <c r="DN213" s="8"/>
      <c r="DO213" s="8"/>
      <c r="DP213" s="8"/>
      <c r="DQ213" s="8"/>
      <c r="DR213" s="8"/>
      <c r="DS213" s="8"/>
      <c r="DT213" s="8"/>
      <c r="DU213" s="8"/>
      <c r="DV213" s="8"/>
      <c r="DW213" s="8"/>
      <c r="DX213" s="8"/>
      <c r="DY213" s="8"/>
      <c r="DZ213" s="8"/>
      <c r="EA213" s="8"/>
      <c r="EB213" s="8"/>
      <c r="EC213" s="8"/>
      <c r="ED213" s="8"/>
      <c r="EE213" s="8"/>
      <c r="EF213" s="8"/>
      <c r="EG213" s="8"/>
      <c r="EH213" s="8"/>
      <c r="EI213" s="8"/>
      <c r="EJ213" s="8"/>
      <c r="EK213" s="8"/>
      <c r="EL213" s="8"/>
      <c r="EM213" s="8"/>
      <c r="EN213" s="8"/>
      <c r="EO213" s="8"/>
      <c r="EP213" s="8"/>
      <c r="EQ213" s="8"/>
      <c r="ER213" s="8"/>
      <c r="ES213" s="8"/>
      <c r="ET213" s="8"/>
      <c r="EU213" s="8"/>
      <c r="EV213" s="8"/>
      <c r="EW213" s="8"/>
      <c r="EX213" s="8"/>
      <c r="EY213" s="8"/>
      <c r="EZ213" s="8"/>
      <c r="FA213" s="8"/>
      <c r="FB213" s="8"/>
      <c r="FC213" s="8"/>
      <c r="FD213" s="8"/>
      <c r="FE213" s="8"/>
      <c r="FF213" s="8"/>
      <c r="FG213" s="8"/>
      <c r="FH213" s="8"/>
      <c r="FI213" s="8"/>
      <c r="FJ213" s="8"/>
      <c r="FK213" s="8"/>
      <c r="FL213" s="8"/>
      <c r="FM213" s="8"/>
      <c r="FN213" s="8"/>
      <c r="FO213" s="8"/>
      <c r="FP213" s="8"/>
      <c r="FQ213" s="8"/>
      <c r="FR213" s="8"/>
      <c r="FS213" s="8"/>
      <c r="FT213" s="8"/>
      <c r="FU213" s="8"/>
      <c r="FV213" s="8"/>
      <c r="FW213" s="8"/>
      <c r="FX213" s="8"/>
      <c r="FY213" s="8"/>
      <c r="FZ213" s="8"/>
      <c r="GA213" s="8"/>
      <c r="GB213" s="8"/>
      <c r="GC213" s="8"/>
      <c r="GD213" s="8"/>
      <c r="GE213" s="8"/>
      <c r="GF213" s="8"/>
      <c r="GG213" s="8"/>
      <c r="GH213" s="8"/>
      <c r="GI213" s="8"/>
      <c r="GJ213" s="8"/>
      <c r="GK213" s="8"/>
      <c r="GL213" s="8"/>
      <c r="GM213" s="8"/>
      <c r="GN213" s="8"/>
      <c r="GO213" s="8"/>
      <c r="GP213" s="8"/>
      <c r="GQ213" s="8"/>
      <c r="GR213" s="8"/>
      <c r="GS213" s="8"/>
      <c r="GT213" s="8"/>
      <c r="GU213" s="8"/>
      <c r="GV213" s="8"/>
      <c r="GW213" s="8"/>
      <c r="GX213" s="8"/>
      <c r="GY213" s="8"/>
      <c r="GZ213" s="8"/>
      <c r="HA213" s="8"/>
      <c r="HB213" s="8"/>
      <c r="HC213" s="8"/>
      <c r="HD213" s="8"/>
      <c r="HE213" s="8"/>
      <c r="HF213" s="8"/>
      <c r="HG213" s="8"/>
      <c r="HH213" s="8"/>
      <c r="HI213" s="8"/>
      <c r="HJ213" s="8"/>
      <c r="HK213" s="8"/>
      <c r="HL213" s="8"/>
      <c r="HM213" s="8"/>
      <c r="HN213" s="8"/>
      <c r="HO213" s="8"/>
      <c r="HP213" s="8"/>
      <c r="HQ213" s="8"/>
      <c r="HR213" s="8"/>
      <c r="HS213" s="8"/>
      <c r="HT213" s="8"/>
      <c r="HU213" s="8"/>
      <c r="HV213" s="8"/>
      <c r="HW213" s="8"/>
      <c r="HX213" s="8"/>
      <c r="HY213" s="8"/>
      <c r="HZ213" s="8"/>
      <c r="IA213" s="8"/>
      <c r="IB213" s="8"/>
      <c r="IC213" s="8"/>
      <c r="ID213" s="8"/>
      <c r="IE213" s="8"/>
      <c r="IF213" s="8"/>
      <c r="IG213" s="8"/>
      <c r="IH213" s="8"/>
      <c r="II213" s="8"/>
      <c r="IJ213" s="8"/>
      <c r="IK213" s="8"/>
      <c r="IL213" s="8"/>
      <c r="IM213" s="8"/>
      <c r="IN213" s="8"/>
      <c r="IO213" s="8"/>
      <c r="IP213" s="8"/>
      <c r="IQ213" s="8"/>
      <c r="IR213" s="8"/>
      <c r="IS213" s="8"/>
      <c r="IT213" s="8"/>
      <c r="IU213" s="8"/>
      <c r="IV213" s="8"/>
      <c r="IW213" s="8"/>
      <c r="IX213" s="8"/>
      <c r="JA213" s="123"/>
      <c r="JB213" s="123"/>
      <c r="JC213" s="123"/>
      <c r="JD213" s="70">
        <f>SUM((TEXT(JA213,"[M]")/60)*'Income Person-hours'!$D$3,(TEXT(JB213,"[M]")/60)*'Income Person-hours'!$D$4,(TEXT(JC213,"[M]")/60)*'Income Person-hours'!$D$5)</f>
        <v>0</v>
      </c>
    </row>
    <row r="214" spans="1:264 16383:16384" s="12" customFormat="1" ht="15.75" hidden="1" x14ac:dyDescent="0.45">
      <c r="A214" s="32">
        <v>9.18</v>
      </c>
      <c r="B214" s="126"/>
      <c r="C214" s="117"/>
      <c r="D214" s="13" t="str">
        <f>IF(OR(j_WEEKDAY(J_ADDDAY(VLOOKUP(I214,A:F,6,FALSE),H214,1),0)=6,SUMIFS(Holieday[ok],Holieday[date],J_ADDDAY(VLOOKUP(I214,A:F,6,FALSE),H214,1)))=FALSE(),J_ADDDAY(VLOOKUP(I214,A:F,6,FALSE),H214,1),IF(OR(j_WEEKDAY(J_ADDDAY(VLOOKUP(I214,A:F,6,FALSE),H214+1,1),0)=6,SUMIFS(Holieday[ok],Holieday[date],J_ADDDAY(VLOOKUP(I214,A:F,6,FALSE),H214+1,1)))=FALSE(),J_ADDDAY(VLOOKUP(I214,A:F,6,FALSE),H214+1,1),IF(OR(j_WEEKDAY(J_ADDDAY(VLOOKUP(I214,A:F,6,FALSE),H214+2,1),0)=6,SUMIFS(Holieday[ok],Holieday[date],J_ADDDAY(VLOOKUP(I214,A:F,6,FALSE),H214+2,1)))=FALSE(),J_ADDDAY(VLOOKUP(I214,A:F,6,FALSE),H214+2,1),IF(OR(j_WEEKDAY(J_ADDDAY(VLOOKUP(I214,A:F,6,FALSE),H214+3,1),0)=6,SUMIFS(Holieday[ok],Holieday[date],J_ADDDAY(VLOOKUP(I214,A:F,6,FALSE),H214+3,1)))=FALSE(),J_ADDDAY(VLOOKUP(I214,A:F,6,FALSE),H214+3,1),IF(OR(j_WEEKDAY(J_ADDDAY(VLOOKUP(I214,A:F,6,FALSE),H214+4,1),0)=6,SUMIFS(Holieday[ok],Holieday[date],J_ADDDAY(VLOOKUP(I214,A:F,6,FALSE),H214+4,1)))=FALSE(),J_ADDDAY(VLOOKUP(I214,A:F,6,FALSE),H214+4,1),J_ADDDAY(VLOOKUP(I214,A:F,6,FALSE),H214+5,1))))))</f>
        <v>1398/06/31</v>
      </c>
      <c r="E214" s="2">
        <f t="shared" si="63"/>
        <v>13980631</v>
      </c>
      <c r="F214" s="13" t="str">
        <f>IF(N214=0,J_SUBDAY(D214,1,1),IF((N214-NETWORKDAYS.INTL(J_GregorianDate(D214,1),J_GregorianDate(J_SUBDAY(J_ADDDAY(D214,N214,1),1,1),1),16,1)-SUMIFS(Holieday[ok],Holieday[date],CONCATENATE("&gt;","=",D214),Holieday[date],CONCATENATE("&lt;","=",J_SUBDAY(J_ADDDAY(D214,N214,1),1,1)))+SUMIFS(Holieday[Friday],Holieday[date],CONCATENATE("&gt;","=",D214),Holieday[date],CONCATENATE("&lt;","=",J_SUBDAY(J_ADDDAY(D214,N214,1),1,1))))=0,J_SUBDAY(J_ADDDAY(D214,N214,1),1,1),IF((N214-NETWORKDAYS.INTL(J_GregorianDate(D214,1),J_GregorianDate(J_SUBDAY(J_ADDDAY(D214,N214,1),1,1),1),16,1)-SUMIFS(Holieday[ok],Holieday[date],CONCATENATE("&gt;","=",D214),Holieday[date],CONCATENATE("&lt;","=",J_SUBDAY(J_ADDDAY(D214,N214,1),1,1)))+SUMIFS(Holieday[Friday],Holieday[date],CONCATENATE("&gt;","=",D214),Holieday[date],CONCATENATE("&lt;","=",J_SUBDAY(J_ADDDAY(D214,N214,1),1,1))))=1,J_SUBDAY(J_ADDDAY(D214,N214+1,1),1,1),IF((N214-NETWORKDAYS.INTL(J_GregorianDate(D214,1),J_GregorianDate(J_SUBDAY(J_ADDDAY(D214,N214,1),1,1),1),16,1)-SUMIFS(Holieday[ok],Holieday[date],CONCATENATE("&gt;","=",D214),Holieday[date],CONCATENATE("&lt;","=",J_SUBDAY(J_ADDDAY(D214,N214,1),1,1)))+SUMIFS(Holieday[Friday],Holieday[date],CONCATENATE("&gt;","=",D214),Holieday[date],CONCATENATE("&lt;","=",J_SUBDAY(J_ADDDAY(D214,N214,1),1,1))))=2,J_SUBDAY(J_ADDDAY(D214,N214+2,1),1,1),J_SUBDAY(J_ADDDAY(D214,N214+3,1),1,1)))))</f>
        <v>1398/06/30</v>
      </c>
      <c r="G214" s="3">
        <f t="shared" si="64"/>
        <v>13980630</v>
      </c>
      <c r="H214" s="119"/>
      <c r="I214" s="120">
        <v>1.1000000000000001</v>
      </c>
      <c r="J214" s="10">
        <f>j_WEEKDAY(D214,2)</f>
        <v>1</v>
      </c>
      <c r="K214" s="22">
        <f t="shared" si="68"/>
        <v>0</v>
      </c>
      <c r="L214" s="9">
        <f t="shared" si="67"/>
        <v>0</v>
      </c>
      <c r="M214" s="121">
        <v>0</v>
      </c>
      <c r="N214" s="118">
        <v>0</v>
      </c>
      <c r="O214" s="11">
        <f t="shared" si="65"/>
        <v>0</v>
      </c>
      <c r="P214" s="11">
        <f>VALUE(J_normdate(J_ADDDAY($D214,$O214,1)))</f>
        <v>13980631</v>
      </c>
      <c r="Q214" s="10">
        <f t="shared" si="66"/>
        <v>0</v>
      </c>
      <c r="R214" s="8"/>
      <c r="S214" s="8"/>
      <c r="T214" s="8"/>
      <c r="U214" s="8"/>
      <c r="V214" s="8"/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/>
      <c r="AH214" s="8"/>
      <c r="AI214" s="8"/>
      <c r="AJ214" s="8"/>
      <c r="AK214" s="8"/>
      <c r="AL214" s="8"/>
      <c r="AM214" s="8"/>
      <c r="AN214" s="8"/>
      <c r="AO214" s="8"/>
      <c r="AP214" s="8"/>
      <c r="AQ214" s="8"/>
      <c r="AR214" s="8"/>
      <c r="AS214" s="8"/>
      <c r="AT214" s="8"/>
      <c r="AU214" s="8"/>
      <c r="AV214" s="8"/>
      <c r="AW214" s="8"/>
      <c r="AX214" s="8"/>
      <c r="AY214" s="8"/>
      <c r="AZ214" s="8"/>
      <c r="BA214" s="8"/>
      <c r="BB214" s="8"/>
      <c r="BC214" s="8"/>
      <c r="BD214" s="8"/>
      <c r="BE214" s="8"/>
      <c r="BF214" s="8"/>
      <c r="BG214" s="8"/>
      <c r="BH214" s="8"/>
      <c r="BI214" s="8"/>
      <c r="BJ214" s="8"/>
      <c r="BK214" s="8"/>
      <c r="BL214" s="8"/>
      <c r="BM214" s="8"/>
      <c r="BN214" s="8"/>
      <c r="BO214" s="8"/>
      <c r="BP214" s="8"/>
      <c r="BQ214" s="8"/>
      <c r="BR214" s="8"/>
      <c r="BS214" s="8"/>
      <c r="BT214" s="8"/>
      <c r="BU214" s="8"/>
      <c r="BV214" s="8"/>
      <c r="BW214" s="8"/>
      <c r="BX214" s="8"/>
      <c r="BY214" s="8"/>
      <c r="BZ214" s="8"/>
      <c r="CA214" s="8"/>
      <c r="CB214" s="8"/>
      <c r="CC214" s="8"/>
      <c r="CD214" s="8"/>
      <c r="CE214" s="8"/>
      <c r="CF214" s="8"/>
      <c r="CG214" s="8"/>
      <c r="CH214" s="8"/>
      <c r="CI214" s="8"/>
      <c r="CJ214" s="8"/>
      <c r="CK214" s="8"/>
      <c r="CL214" s="8"/>
      <c r="CM214" s="8"/>
      <c r="CN214" s="8"/>
      <c r="CO214" s="8"/>
      <c r="CP214" s="8"/>
      <c r="CQ214" s="8"/>
      <c r="CR214" s="8"/>
      <c r="CS214" s="8"/>
      <c r="CT214" s="8"/>
      <c r="CU214" s="8"/>
      <c r="CV214" s="8"/>
      <c r="CW214" s="8"/>
      <c r="CX214" s="8"/>
      <c r="CY214" s="8"/>
      <c r="CZ214" s="8"/>
      <c r="DA214" s="8"/>
      <c r="DB214" s="8"/>
      <c r="DC214" s="8"/>
      <c r="DD214" s="8"/>
      <c r="DE214" s="8"/>
      <c r="DF214" s="8"/>
      <c r="DG214" s="8"/>
      <c r="DH214" s="8"/>
      <c r="DI214" s="8"/>
      <c r="DJ214" s="8"/>
      <c r="DK214" s="8"/>
      <c r="DL214" s="8"/>
      <c r="DM214" s="8"/>
      <c r="DN214" s="8"/>
      <c r="DO214" s="8"/>
      <c r="DP214" s="8"/>
      <c r="DQ214" s="8"/>
      <c r="DR214" s="8"/>
      <c r="DS214" s="8"/>
      <c r="DT214" s="8"/>
      <c r="DU214" s="8"/>
      <c r="DV214" s="8"/>
      <c r="DW214" s="8"/>
      <c r="DX214" s="8"/>
      <c r="DY214" s="8"/>
      <c r="DZ214" s="8"/>
      <c r="EA214" s="8"/>
      <c r="EB214" s="8"/>
      <c r="EC214" s="8"/>
      <c r="ED214" s="8"/>
      <c r="EE214" s="8"/>
      <c r="EF214" s="8"/>
      <c r="EG214" s="8"/>
      <c r="EH214" s="8"/>
      <c r="EI214" s="8"/>
      <c r="EJ214" s="8"/>
      <c r="EK214" s="8"/>
      <c r="EL214" s="8"/>
      <c r="EM214" s="8"/>
      <c r="EN214" s="8"/>
      <c r="EO214" s="8"/>
      <c r="EP214" s="8"/>
      <c r="EQ214" s="8"/>
      <c r="ER214" s="8"/>
      <c r="ES214" s="8"/>
      <c r="ET214" s="8"/>
      <c r="EU214" s="8"/>
      <c r="EV214" s="8"/>
      <c r="EW214" s="8"/>
      <c r="EX214" s="8"/>
      <c r="EY214" s="8"/>
      <c r="EZ214" s="8"/>
      <c r="FA214" s="8"/>
      <c r="FB214" s="8"/>
      <c r="FC214" s="8"/>
      <c r="FD214" s="8"/>
      <c r="FE214" s="8"/>
      <c r="FF214" s="8"/>
      <c r="FG214" s="8"/>
      <c r="FH214" s="8"/>
      <c r="FI214" s="8"/>
      <c r="FJ214" s="8"/>
      <c r="FK214" s="8"/>
      <c r="FL214" s="8"/>
      <c r="FM214" s="8"/>
      <c r="FN214" s="8"/>
      <c r="FO214" s="8"/>
      <c r="FP214" s="8"/>
      <c r="FQ214" s="8"/>
      <c r="FR214" s="8"/>
      <c r="FS214" s="8"/>
      <c r="FT214" s="8"/>
      <c r="FU214" s="8"/>
      <c r="FV214" s="8"/>
      <c r="FW214" s="8"/>
      <c r="FX214" s="8"/>
      <c r="FY214" s="8"/>
      <c r="FZ214" s="8"/>
      <c r="GA214" s="8"/>
      <c r="GB214" s="8"/>
      <c r="GC214" s="8"/>
      <c r="GD214" s="8"/>
      <c r="GE214" s="8"/>
      <c r="GF214" s="8"/>
      <c r="GG214" s="8"/>
      <c r="GH214" s="8"/>
      <c r="GI214" s="8"/>
      <c r="GJ214" s="8"/>
      <c r="GK214" s="8"/>
      <c r="GL214" s="8"/>
      <c r="GM214" s="8"/>
      <c r="GN214" s="8"/>
      <c r="GO214" s="8"/>
      <c r="GP214" s="8"/>
      <c r="GQ214" s="8"/>
      <c r="GR214" s="8"/>
      <c r="GS214" s="8"/>
      <c r="GT214" s="8"/>
      <c r="GU214" s="8"/>
      <c r="GV214" s="8"/>
      <c r="GW214" s="8"/>
      <c r="GX214" s="8"/>
      <c r="GY214" s="8"/>
      <c r="GZ214" s="8"/>
      <c r="HA214" s="8"/>
      <c r="HB214" s="8"/>
      <c r="HC214" s="8"/>
      <c r="HD214" s="8"/>
      <c r="HE214" s="8"/>
      <c r="HF214" s="8"/>
      <c r="HG214" s="8"/>
      <c r="HH214" s="8"/>
      <c r="HI214" s="8"/>
      <c r="HJ214" s="8"/>
      <c r="HK214" s="8"/>
      <c r="HL214" s="8"/>
      <c r="HM214" s="8"/>
      <c r="HN214" s="8"/>
      <c r="HO214" s="8"/>
      <c r="HP214" s="8"/>
      <c r="HQ214" s="8"/>
      <c r="HR214" s="8"/>
      <c r="HS214" s="8"/>
      <c r="HT214" s="8"/>
      <c r="HU214" s="8"/>
      <c r="HV214" s="8"/>
      <c r="HW214" s="8"/>
      <c r="HX214" s="8"/>
      <c r="HY214" s="8"/>
      <c r="HZ214" s="8"/>
      <c r="IA214" s="8"/>
      <c r="IB214" s="8"/>
      <c r="IC214" s="8"/>
      <c r="ID214" s="8"/>
      <c r="IE214" s="8"/>
      <c r="IF214" s="8"/>
      <c r="IG214" s="8"/>
      <c r="IH214" s="8"/>
      <c r="II214" s="8"/>
      <c r="IJ214" s="8"/>
      <c r="IK214" s="8"/>
      <c r="IL214" s="8"/>
      <c r="IM214" s="8"/>
      <c r="IN214" s="8"/>
      <c r="IO214" s="8"/>
      <c r="IP214" s="8"/>
      <c r="IQ214" s="8"/>
      <c r="IR214" s="8"/>
      <c r="IS214" s="8"/>
      <c r="IT214" s="8"/>
      <c r="IU214" s="8"/>
      <c r="IV214" s="8"/>
      <c r="IW214" s="8"/>
      <c r="IX214" s="8"/>
      <c r="JA214" s="123"/>
      <c r="JB214" s="123"/>
      <c r="JC214" s="123"/>
      <c r="JD214" s="70">
        <f>SUM((TEXT(JA214,"[M]")/60)*'Income Person-hours'!$D$3,(TEXT(JB214,"[M]")/60)*'Income Person-hours'!$D$4,(TEXT(JC214,"[M]")/60)*'Income Person-hours'!$D$5)</f>
        <v>0</v>
      </c>
    </row>
    <row r="215" spans="1:264 16383:16384" s="12" customFormat="1" ht="15.75" hidden="1" x14ac:dyDescent="0.45">
      <c r="A215" s="32">
        <v>9.19</v>
      </c>
      <c r="B215" s="126"/>
      <c r="C215" s="117"/>
      <c r="D215" s="13" t="str">
        <f>IF(OR(j_WEEKDAY(J_ADDDAY(VLOOKUP(I215,A:F,6,FALSE),H215,1),0)=6,SUMIFS(Holieday[ok],Holieday[date],J_ADDDAY(VLOOKUP(I215,A:F,6,FALSE),H215,1)))=FALSE(),J_ADDDAY(VLOOKUP(I215,A:F,6,FALSE),H215,1),IF(OR(j_WEEKDAY(J_ADDDAY(VLOOKUP(I215,A:F,6,FALSE),H215+1,1),0)=6,SUMIFS(Holieday[ok],Holieday[date],J_ADDDAY(VLOOKUP(I215,A:F,6,FALSE),H215+1,1)))=FALSE(),J_ADDDAY(VLOOKUP(I215,A:F,6,FALSE),H215+1,1),IF(OR(j_WEEKDAY(J_ADDDAY(VLOOKUP(I215,A:F,6,FALSE),H215+2,1),0)=6,SUMIFS(Holieday[ok],Holieday[date],J_ADDDAY(VLOOKUP(I215,A:F,6,FALSE),H215+2,1)))=FALSE(),J_ADDDAY(VLOOKUP(I215,A:F,6,FALSE),H215+2,1),IF(OR(j_WEEKDAY(J_ADDDAY(VLOOKUP(I215,A:F,6,FALSE),H215+3,1),0)=6,SUMIFS(Holieday[ok],Holieday[date],J_ADDDAY(VLOOKUP(I215,A:F,6,FALSE),H215+3,1)))=FALSE(),J_ADDDAY(VLOOKUP(I215,A:F,6,FALSE),H215+3,1),IF(OR(j_WEEKDAY(J_ADDDAY(VLOOKUP(I215,A:F,6,FALSE),H215+4,1),0)=6,SUMIFS(Holieday[ok],Holieday[date],J_ADDDAY(VLOOKUP(I215,A:F,6,FALSE),H215+4,1)))=FALSE(),J_ADDDAY(VLOOKUP(I215,A:F,6,FALSE),H215+4,1),J_ADDDAY(VLOOKUP(I215,A:F,6,FALSE),H215+5,1))))))</f>
        <v>1398/06/31</v>
      </c>
      <c r="E215" s="2">
        <f t="shared" ref="E215:E240" si="69">VALUE(J_normdate(D215))</f>
        <v>13980631</v>
      </c>
      <c r="F215" s="13" t="str">
        <f>IF(N215=0,J_SUBDAY(D215,1,1),IF((N215-NETWORKDAYS.INTL(J_GregorianDate(D215,1),J_GregorianDate(J_SUBDAY(J_ADDDAY(D215,N215,1),1,1),1),16,1)-SUMIFS(Holieday[ok],Holieday[date],CONCATENATE("&gt;","=",D215),Holieday[date],CONCATENATE("&lt;","=",J_SUBDAY(J_ADDDAY(D215,N215,1),1,1)))+SUMIFS(Holieday[Friday],Holieday[date],CONCATENATE("&gt;","=",D215),Holieday[date],CONCATENATE("&lt;","=",J_SUBDAY(J_ADDDAY(D215,N215,1),1,1))))=0,J_SUBDAY(J_ADDDAY(D215,N215,1),1,1),IF((N215-NETWORKDAYS.INTL(J_GregorianDate(D215,1),J_GregorianDate(J_SUBDAY(J_ADDDAY(D215,N215,1),1,1),1),16,1)-SUMIFS(Holieday[ok],Holieday[date],CONCATENATE("&gt;","=",D215),Holieday[date],CONCATENATE("&lt;","=",J_SUBDAY(J_ADDDAY(D215,N215,1),1,1)))+SUMIFS(Holieday[Friday],Holieday[date],CONCATENATE("&gt;","=",D215),Holieday[date],CONCATENATE("&lt;","=",J_SUBDAY(J_ADDDAY(D215,N215,1),1,1))))=1,J_SUBDAY(J_ADDDAY(D215,N215+1,1),1,1),IF((N215-NETWORKDAYS.INTL(J_GregorianDate(D215,1),J_GregorianDate(J_SUBDAY(J_ADDDAY(D215,N215,1),1,1),1),16,1)-SUMIFS(Holieday[ok],Holieday[date],CONCATENATE("&gt;","=",D215),Holieday[date],CONCATENATE("&lt;","=",J_SUBDAY(J_ADDDAY(D215,N215,1),1,1)))+SUMIFS(Holieday[Friday],Holieday[date],CONCATENATE("&gt;","=",D215),Holieday[date],CONCATENATE("&lt;","=",J_SUBDAY(J_ADDDAY(D215,N215,1),1,1))))=2,J_SUBDAY(J_ADDDAY(D215,N215+2,1),1,1),J_SUBDAY(J_ADDDAY(D215,N215+3,1),1,1)))))</f>
        <v>1398/06/30</v>
      </c>
      <c r="G215" s="3">
        <f t="shared" ref="G215:G240" si="70">VALUE(J_normdate(F215))</f>
        <v>13980630</v>
      </c>
      <c r="H215" s="119"/>
      <c r="I215" s="120">
        <v>1.1000000000000001</v>
      </c>
      <c r="J215" s="10">
        <f>j_WEEKDAY(D215,2)</f>
        <v>1</v>
      </c>
      <c r="K215" s="22">
        <f t="shared" si="68"/>
        <v>0</v>
      </c>
      <c r="L215" s="9">
        <f t="shared" si="67"/>
        <v>0</v>
      </c>
      <c r="M215" s="121">
        <v>0</v>
      </c>
      <c r="N215" s="118">
        <v>0</v>
      </c>
      <c r="O215" s="11">
        <f t="shared" si="65"/>
        <v>0</v>
      </c>
      <c r="P215" s="11">
        <f>VALUE(J_normdate(J_ADDDAY($D215,$O215,1)))</f>
        <v>13980631</v>
      </c>
      <c r="Q215" s="10">
        <f t="shared" si="66"/>
        <v>0</v>
      </c>
      <c r="R215" s="8"/>
      <c r="S215" s="8"/>
      <c r="T215" s="8"/>
      <c r="U215" s="8"/>
      <c r="V215" s="8"/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/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8"/>
      <c r="AS215" s="8"/>
      <c r="AT215" s="8"/>
      <c r="AU215" s="8"/>
      <c r="AV215" s="8"/>
      <c r="AW215" s="8"/>
      <c r="AX215" s="8"/>
      <c r="AY215" s="8"/>
      <c r="AZ215" s="8"/>
      <c r="BA215" s="8"/>
      <c r="BB215" s="8"/>
      <c r="BC215" s="8"/>
      <c r="BD215" s="8"/>
      <c r="BE215" s="8"/>
      <c r="BF215" s="8"/>
      <c r="BG215" s="8"/>
      <c r="BH215" s="8"/>
      <c r="BI215" s="8"/>
      <c r="BJ215" s="8"/>
      <c r="BK215" s="8"/>
      <c r="BL215" s="8"/>
      <c r="BM215" s="8"/>
      <c r="BN215" s="8"/>
      <c r="BO215" s="8"/>
      <c r="BP215" s="8"/>
      <c r="BQ215" s="8"/>
      <c r="BR215" s="8"/>
      <c r="BS215" s="8"/>
      <c r="BT215" s="8"/>
      <c r="BU215" s="8"/>
      <c r="BV215" s="8"/>
      <c r="BW215" s="8"/>
      <c r="BX215" s="8"/>
      <c r="BY215" s="8"/>
      <c r="BZ215" s="8"/>
      <c r="CA215" s="8"/>
      <c r="CB215" s="8"/>
      <c r="CC215" s="8"/>
      <c r="CD215" s="8"/>
      <c r="CE215" s="8"/>
      <c r="CF215" s="8"/>
      <c r="CG215" s="8"/>
      <c r="CH215" s="8"/>
      <c r="CI215" s="8"/>
      <c r="CJ215" s="8"/>
      <c r="CK215" s="8"/>
      <c r="CL215" s="8"/>
      <c r="CM215" s="8"/>
      <c r="CN215" s="8"/>
      <c r="CO215" s="8"/>
      <c r="CP215" s="8"/>
      <c r="CQ215" s="8"/>
      <c r="CR215" s="8"/>
      <c r="CS215" s="8"/>
      <c r="CT215" s="8"/>
      <c r="CU215" s="8"/>
      <c r="CV215" s="8"/>
      <c r="CW215" s="8"/>
      <c r="CX215" s="8"/>
      <c r="CY215" s="8"/>
      <c r="CZ215" s="8"/>
      <c r="DA215" s="8"/>
      <c r="DB215" s="8"/>
      <c r="DC215" s="8"/>
      <c r="DD215" s="8"/>
      <c r="DE215" s="8"/>
      <c r="DF215" s="8"/>
      <c r="DG215" s="8"/>
      <c r="DH215" s="8"/>
      <c r="DI215" s="8"/>
      <c r="DJ215" s="8"/>
      <c r="DK215" s="8"/>
      <c r="DL215" s="8"/>
      <c r="DM215" s="8"/>
      <c r="DN215" s="8"/>
      <c r="DO215" s="8"/>
      <c r="DP215" s="8"/>
      <c r="DQ215" s="8"/>
      <c r="DR215" s="8"/>
      <c r="DS215" s="8"/>
      <c r="DT215" s="8"/>
      <c r="DU215" s="8"/>
      <c r="DV215" s="8"/>
      <c r="DW215" s="8"/>
      <c r="DX215" s="8"/>
      <c r="DY215" s="8"/>
      <c r="DZ215" s="8"/>
      <c r="EA215" s="8"/>
      <c r="EB215" s="8"/>
      <c r="EC215" s="8"/>
      <c r="ED215" s="8"/>
      <c r="EE215" s="8"/>
      <c r="EF215" s="8"/>
      <c r="EG215" s="8"/>
      <c r="EH215" s="8"/>
      <c r="EI215" s="8"/>
      <c r="EJ215" s="8"/>
      <c r="EK215" s="8"/>
      <c r="EL215" s="8"/>
      <c r="EM215" s="8"/>
      <c r="EN215" s="8"/>
      <c r="EO215" s="8"/>
      <c r="EP215" s="8"/>
      <c r="EQ215" s="8"/>
      <c r="ER215" s="8"/>
      <c r="ES215" s="8"/>
      <c r="ET215" s="8"/>
      <c r="EU215" s="8"/>
      <c r="EV215" s="8"/>
      <c r="EW215" s="8"/>
      <c r="EX215" s="8"/>
      <c r="EY215" s="8"/>
      <c r="EZ215" s="8"/>
      <c r="FA215" s="8"/>
      <c r="FB215" s="8"/>
      <c r="FC215" s="8"/>
      <c r="FD215" s="8"/>
      <c r="FE215" s="8"/>
      <c r="FF215" s="8"/>
      <c r="FG215" s="8"/>
      <c r="FH215" s="8"/>
      <c r="FI215" s="8"/>
      <c r="FJ215" s="8"/>
      <c r="FK215" s="8"/>
      <c r="FL215" s="8"/>
      <c r="FM215" s="8"/>
      <c r="FN215" s="8"/>
      <c r="FO215" s="8"/>
      <c r="FP215" s="8"/>
      <c r="FQ215" s="8"/>
      <c r="FR215" s="8"/>
      <c r="FS215" s="8"/>
      <c r="FT215" s="8"/>
      <c r="FU215" s="8"/>
      <c r="FV215" s="8"/>
      <c r="FW215" s="8"/>
      <c r="FX215" s="8"/>
      <c r="FY215" s="8"/>
      <c r="FZ215" s="8"/>
      <c r="GA215" s="8"/>
      <c r="GB215" s="8"/>
      <c r="GC215" s="8"/>
      <c r="GD215" s="8"/>
      <c r="GE215" s="8"/>
      <c r="GF215" s="8"/>
      <c r="GG215" s="8"/>
      <c r="GH215" s="8"/>
      <c r="GI215" s="8"/>
      <c r="GJ215" s="8"/>
      <c r="GK215" s="8"/>
      <c r="GL215" s="8"/>
      <c r="GM215" s="8"/>
      <c r="GN215" s="8"/>
      <c r="GO215" s="8"/>
      <c r="GP215" s="8"/>
      <c r="GQ215" s="8"/>
      <c r="GR215" s="8"/>
      <c r="GS215" s="8"/>
      <c r="GT215" s="8"/>
      <c r="GU215" s="8"/>
      <c r="GV215" s="8"/>
      <c r="GW215" s="8"/>
      <c r="GX215" s="8"/>
      <c r="GY215" s="8"/>
      <c r="GZ215" s="8"/>
      <c r="HA215" s="8"/>
      <c r="HB215" s="8"/>
      <c r="HC215" s="8"/>
      <c r="HD215" s="8"/>
      <c r="HE215" s="8"/>
      <c r="HF215" s="8"/>
      <c r="HG215" s="8"/>
      <c r="HH215" s="8"/>
      <c r="HI215" s="8"/>
      <c r="HJ215" s="8"/>
      <c r="HK215" s="8"/>
      <c r="HL215" s="8"/>
      <c r="HM215" s="8"/>
      <c r="HN215" s="8"/>
      <c r="HO215" s="8"/>
      <c r="HP215" s="8"/>
      <c r="HQ215" s="8"/>
      <c r="HR215" s="8"/>
      <c r="HS215" s="8"/>
      <c r="HT215" s="8"/>
      <c r="HU215" s="8"/>
      <c r="HV215" s="8"/>
      <c r="HW215" s="8"/>
      <c r="HX215" s="8"/>
      <c r="HY215" s="8"/>
      <c r="HZ215" s="8"/>
      <c r="IA215" s="8"/>
      <c r="IB215" s="8"/>
      <c r="IC215" s="8"/>
      <c r="ID215" s="8"/>
      <c r="IE215" s="8"/>
      <c r="IF215" s="8"/>
      <c r="IG215" s="8"/>
      <c r="IH215" s="8"/>
      <c r="II215" s="8"/>
      <c r="IJ215" s="8"/>
      <c r="IK215" s="8"/>
      <c r="IL215" s="8"/>
      <c r="IM215" s="8"/>
      <c r="IN215" s="8"/>
      <c r="IO215" s="8"/>
      <c r="IP215" s="8"/>
      <c r="IQ215" s="8"/>
      <c r="IR215" s="8"/>
      <c r="IS215" s="8"/>
      <c r="IT215" s="8"/>
      <c r="IU215" s="8"/>
      <c r="IV215" s="8"/>
      <c r="IW215" s="8"/>
      <c r="IX215" s="8"/>
      <c r="JA215" s="123"/>
      <c r="JB215" s="123"/>
      <c r="JC215" s="123"/>
      <c r="JD215" s="70">
        <f>SUM((TEXT(JA215,"[M]")/60)*'Income Person-hours'!$D$3,(TEXT(JB215,"[M]")/60)*'Income Person-hours'!$D$4,(TEXT(JC215,"[M]")/60)*'Income Person-hours'!$D$5)</f>
        <v>0</v>
      </c>
    </row>
    <row r="216" spans="1:264 16383:16384" s="12" customFormat="1" ht="15.75" hidden="1" x14ac:dyDescent="0.45">
      <c r="A216" s="6" t="s">
        <v>76</v>
      </c>
      <c r="B216" s="126"/>
      <c r="C216" s="117"/>
      <c r="D216" s="13" t="str">
        <f>IF(OR(j_WEEKDAY(J_ADDDAY(VLOOKUP(I216,A:F,6,FALSE),H216,1),0)=6,SUMIFS(Holieday[ok],Holieday[date],J_ADDDAY(VLOOKUP(I216,A:F,6,FALSE),H216,1)))=FALSE(),J_ADDDAY(VLOOKUP(I216,A:F,6,FALSE),H216,1),IF(OR(j_WEEKDAY(J_ADDDAY(VLOOKUP(I216,A:F,6,FALSE),H216+1,1),0)=6,SUMIFS(Holieday[ok],Holieday[date],J_ADDDAY(VLOOKUP(I216,A:F,6,FALSE),H216+1,1)))=FALSE(),J_ADDDAY(VLOOKUP(I216,A:F,6,FALSE),H216+1,1),IF(OR(j_WEEKDAY(J_ADDDAY(VLOOKUP(I216,A:F,6,FALSE),H216+2,1),0)=6,SUMIFS(Holieday[ok],Holieday[date],J_ADDDAY(VLOOKUP(I216,A:F,6,FALSE),H216+2,1)))=FALSE(),J_ADDDAY(VLOOKUP(I216,A:F,6,FALSE),H216+2,1),IF(OR(j_WEEKDAY(J_ADDDAY(VLOOKUP(I216,A:F,6,FALSE),H216+3,1),0)=6,SUMIFS(Holieday[ok],Holieday[date],J_ADDDAY(VLOOKUP(I216,A:F,6,FALSE),H216+3,1)))=FALSE(),J_ADDDAY(VLOOKUP(I216,A:F,6,FALSE),H216+3,1),IF(OR(j_WEEKDAY(J_ADDDAY(VLOOKUP(I216,A:F,6,FALSE),H216+4,1),0)=6,SUMIFS(Holieday[ok],Holieday[date],J_ADDDAY(VLOOKUP(I216,A:F,6,FALSE),H216+4,1)))=FALSE(),J_ADDDAY(VLOOKUP(I216,A:F,6,FALSE),H216+4,1),J_ADDDAY(VLOOKUP(I216,A:F,6,FALSE),H216+5,1))))))</f>
        <v>1398/06/31</v>
      </c>
      <c r="E216" s="2">
        <f t="shared" si="69"/>
        <v>13980631</v>
      </c>
      <c r="F216" s="13" t="str">
        <f>IF(N216=0,J_SUBDAY(D216,1,1),IF((N216-NETWORKDAYS.INTL(J_GregorianDate(D216,1),J_GregorianDate(J_SUBDAY(J_ADDDAY(D216,N216,1),1,1),1),16,1)-SUMIFS(Holieday[ok],Holieday[date],CONCATENATE("&gt;","=",D216),Holieday[date],CONCATENATE("&lt;","=",J_SUBDAY(J_ADDDAY(D216,N216,1),1,1)))+SUMIFS(Holieday[Friday],Holieday[date],CONCATENATE("&gt;","=",D216),Holieday[date],CONCATENATE("&lt;","=",J_SUBDAY(J_ADDDAY(D216,N216,1),1,1))))=0,J_SUBDAY(J_ADDDAY(D216,N216,1),1,1),IF((N216-NETWORKDAYS.INTL(J_GregorianDate(D216,1),J_GregorianDate(J_SUBDAY(J_ADDDAY(D216,N216,1),1,1),1),16,1)-SUMIFS(Holieday[ok],Holieday[date],CONCATENATE("&gt;","=",D216),Holieday[date],CONCATENATE("&lt;","=",J_SUBDAY(J_ADDDAY(D216,N216,1),1,1)))+SUMIFS(Holieday[Friday],Holieday[date],CONCATENATE("&gt;","=",D216),Holieday[date],CONCATENATE("&lt;","=",J_SUBDAY(J_ADDDAY(D216,N216,1),1,1))))=1,J_SUBDAY(J_ADDDAY(D216,N216+1,1),1,1),IF((N216-NETWORKDAYS.INTL(J_GregorianDate(D216,1),J_GregorianDate(J_SUBDAY(J_ADDDAY(D216,N216,1),1,1),1),16,1)-SUMIFS(Holieday[ok],Holieday[date],CONCATENATE("&gt;","=",D216),Holieday[date],CONCATENATE("&lt;","=",J_SUBDAY(J_ADDDAY(D216,N216,1),1,1)))+SUMIFS(Holieday[Friday],Holieday[date],CONCATENATE("&gt;","=",D216),Holieday[date],CONCATENATE("&lt;","=",J_SUBDAY(J_ADDDAY(D216,N216,1),1,1))))=2,J_SUBDAY(J_ADDDAY(D216,N216+2,1),1,1),J_SUBDAY(J_ADDDAY(D216,N216+3,1),1,1)))))</f>
        <v>1398/06/30</v>
      </c>
      <c r="G216" s="3">
        <f t="shared" si="70"/>
        <v>13980630</v>
      </c>
      <c r="H216" s="119"/>
      <c r="I216" s="120">
        <v>1.1000000000000001</v>
      </c>
      <c r="J216" s="10">
        <f>j_WEEKDAY(D216,2)</f>
        <v>1</v>
      </c>
      <c r="K216" s="22">
        <f t="shared" si="68"/>
        <v>0</v>
      </c>
      <c r="L216" s="9">
        <f t="shared" si="67"/>
        <v>0</v>
      </c>
      <c r="M216" s="121">
        <v>0</v>
      </c>
      <c r="N216" s="118">
        <v>0</v>
      </c>
      <c r="O216" s="11">
        <f t="shared" si="65"/>
        <v>0</v>
      </c>
      <c r="P216" s="11">
        <f>VALUE(J_normdate(J_ADDDAY($D216,$O216,1)))</f>
        <v>13980631</v>
      </c>
      <c r="Q216" s="10">
        <f t="shared" si="66"/>
        <v>0</v>
      </c>
      <c r="R216" s="8"/>
      <c r="S216" s="8"/>
      <c r="T216" s="8"/>
      <c r="U216" s="8"/>
      <c r="V216" s="8"/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/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8"/>
      <c r="AS216" s="8"/>
      <c r="AT216" s="8"/>
      <c r="AU216" s="8"/>
      <c r="AV216" s="8"/>
      <c r="AW216" s="8"/>
      <c r="AX216" s="8"/>
      <c r="AY216" s="8"/>
      <c r="AZ216" s="8"/>
      <c r="BA216" s="8"/>
      <c r="BB216" s="8"/>
      <c r="BC216" s="8"/>
      <c r="BD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BO216" s="8"/>
      <c r="BP216" s="8"/>
      <c r="BQ216" s="8"/>
      <c r="BR216" s="8"/>
      <c r="BS216" s="8"/>
      <c r="BT216" s="8"/>
      <c r="BU216" s="8"/>
      <c r="BV216" s="8"/>
      <c r="BW216" s="8"/>
      <c r="BX216" s="8"/>
      <c r="BY216" s="8"/>
      <c r="BZ216" s="8"/>
      <c r="CA216" s="8"/>
      <c r="CB216" s="8"/>
      <c r="CC216" s="8"/>
      <c r="CD216" s="8"/>
      <c r="CE216" s="8"/>
      <c r="CF216" s="8"/>
      <c r="CG216" s="8"/>
      <c r="CH216" s="8"/>
      <c r="CI216" s="8"/>
      <c r="CJ216" s="8"/>
      <c r="CK216" s="8"/>
      <c r="CL216" s="8"/>
      <c r="CM216" s="8"/>
      <c r="CN216" s="8"/>
      <c r="CO216" s="8"/>
      <c r="CP216" s="8"/>
      <c r="CQ216" s="8"/>
      <c r="CR216" s="8"/>
      <c r="CS216" s="8"/>
      <c r="CT216" s="8"/>
      <c r="CU216" s="8"/>
      <c r="CV216" s="8"/>
      <c r="CW216" s="8"/>
      <c r="CX216" s="8"/>
      <c r="CY216" s="8"/>
      <c r="CZ216" s="8"/>
      <c r="DA216" s="8"/>
      <c r="DB216" s="8"/>
      <c r="DC216" s="8"/>
      <c r="DD216" s="8"/>
      <c r="DE216" s="8"/>
      <c r="DF216" s="8"/>
      <c r="DG216" s="8"/>
      <c r="DH216" s="8"/>
      <c r="DI216" s="8"/>
      <c r="DJ216" s="8"/>
      <c r="DK216" s="8"/>
      <c r="DL216" s="8"/>
      <c r="DM216" s="8"/>
      <c r="DN216" s="8"/>
      <c r="DO216" s="8"/>
      <c r="DP216" s="8"/>
      <c r="DQ216" s="8"/>
      <c r="DR216" s="8"/>
      <c r="DS216" s="8"/>
      <c r="DT216" s="8"/>
      <c r="DU216" s="8"/>
      <c r="DV216" s="8"/>
      <c r="DW216" s="8"/>
      <c r="DX216" s="8"/>
      <c r="DY216" s="8"/>
      <c r="DZ216" s="8"/>
      <c r="EA216" s="8"/>
      <c r="EB216" s="8"/>
      <c r="EC216" s="8"/>
      <c r="ED216" s="8"/>
      <c r="EE216" s="8"/>
      <c r="EF216" s="8"/>
      <c r="EG216" s="8"/>
      <c r="EH216" s="8"/>
      <c r="EI216" s="8"/>
      <c r="EJ216" s="8"/>
      <c r="EK216" s="8"/>
      <c r="EL216" s="8"/>
      <c r="EM216" s="8"/>
      <c r="EN216" s="8"/>
      <c r="EO216" s="8"/>
      <c r="EP216" s="8"/>
      <c r="EQ216" s="8"/>
      <c r="ER216" s="8"/>
      <c r="ES216" s="8"/>
      <c r="ET216" s="8"/>
      <c r="EU216" s="8"/>
      <c r="EV216" s="8"/>
      <c r="EW216" s="8"/>
      <c r="EX216" s="8"/>
      <c r="EY216" s="8"/>
      <c r="EZ216" s="8"/>
      <c r="FA216" s="8"/>
      <c r="FB216" s="8"/>
      <c r="FC216" s="8"/>
      <c r="FD216" s="8"/>
      <c r="FE216" s="8"/>
      <c r="FF216" s="8"/>
      <c r="FG216" s="8"/>
      <c r="FH216" s="8"/>
      <c r="FI216" s="8"/>
      <c r="FJ216" s="8"/>
      <c r="FK216" s="8"/>
      <c r="FL216" s="8"/>
      <c r="FM216" s="8"/>
      <c r="FN216" s="8"/>
      <c r="FO216" s="8"/>
      <c r="FP216" s="8"/>
      <c r="FQ216" s="8"/>
      <c r="FR216" s="8"/>
      <c r="FS216" s="8"/>
      <c r="FT216" s="8"/>
      <c r="FU216" s="8"/>
      <c r="FV216" s="8"/>
      <c r="FW216" s="8"/>
      <c r="FX216" s="8"/>
      <c r="FY216" s="8"/>
      <c r="FZ216" s="8"/>
      <c r="GA216" s="8"/>
      <c r="GB216" s="8"/>
      <c r="GC216" s="8"/>
      <c r="GD216" s="8"/>
      <c r="GE216" s="8"/>
      <c r="GF216" s="8"/>
      <c r="GG216" s="8"/>
      <c r="GH216" s="8"/>
      <c r="GI216" s="8"/>
      <c r="GJ216" s="8"/>
      <c r="GK216" s="8"/>
      <c r="GL216" s="8"/>
      <c r="GM216" s="8"/>
      <c r="GN216" s="8"/>
      <c r="GO216" s="8"/>
      <c r="GP216" s="8"/>
      <c r="GQ216" s="8"/>
      <c r="GR216" s="8"/>
      <c r="GS216" s="8"/>
      <c r="GT216" s="8"/>
      <c r="GU216" s="8"/>
      <c r="GV216" s="8"/>
      <c r="GW216" s="8"/>
      <c r="GX216" s="8"/>
      <c r="GY216" s="8"/>
      <c r="GZ216" s="8"/>
      <c r="HA216" s="8"/>
      <c r="HB216" s="8"/>
      <c r="HC216" s="8"/>
      <c r="HD216" s="8"/>
      <c r="HE216" s="8"/>
      <c r="HF216" s="8"/>
      <c r="HG216" s="8"/>
      <c r="HH216" s="8"/>
      <c r="HI216" s="8"/>
      <c r="HJ216" s="8"/>
      <c r="HK216" s="8"/>
      <c r="HL216" s="8"/>
      <c r="HM216" s="8"/>
      <c r="HN216" s="8"/>
      <c r="HO216" s="8"/>
      <c r="HP216" s="8"/>
      <c r="HQ216" s="8"/>
      <c r="HR216" s="8"/>
      <c r="HS216" s="8"/>
      <c r="HT216" s="8"/>
      <c r="HU216" s="8"/>
      <c r="HV216" s="8"/>
      <c r="HW216" s="8"/>
      <c r="HX216" s="8"/>
      <c r="HY216" s="8"/>
      <c r="HZ216" s="8"/>
      <c r="IA216" s="8"/>
      <c r="IB216" s="8"/>
      <c r="IC216" s="8"/>
      <c r="ID216" s="8"/>
      <c r="IE216" s="8"/>
      <c r="IF216" s="8"/>
      <c r="IG216" s="8"/>
      <c r="IH216" s="8"/>
      <c r="II216" s="8"/>
      <c r="IJ216" s="8"/>
      <c r="IK216" s="8"/>
      <c r="IL216" s="8"/>
      <c r="IM216" s="8"/>
      <c r="IN216" s="8"/>
      <c r="IO216" s="8"/>
      <c r="IP216" s="8"/>
      <c r="IQ216" s="8"/>
      <c r="IR216" s="8"/>
      <c r="IS216" s="8"/>
      <c r="IT216" s="8"/>
      <c r="IU216" s="8"/>
      <c r="IV216" s="8"/>
      <c r="IW216" s="8"/>
      <c r="IX216" s="8"/>
      <c r="JA216" s="123"/>
      <c r="JB216" s="123"/>
      <c r="JC216" s="123"/>
      <c r="JD216" s="70">
        <f>SUM((TEXT(JA216,"[M]")/60)*'Income Person-hours'!$D$3,(TEXT(JB216,"[M]")/60)*'Income Person-hours'!$D$4,(TEXT(JC216,"[M]")/60)*'Income Person-hours'!$D$5)</f>
        <v>0</v>
      </c>
    </row>
    <row r="217" spans="1:264 16383:16384" s="12" customFormat="1" ht="15.75" hidden="1" x14ac:dyDescent="0.45">
      <c r="A217" s="6" t="s">
        <v>77</v>
      </c>
      <c r="B217" s="126"/>
      <c r="C217" s="117"/>
      <c r="D217" s="13" t="str">
        <f>IF(OR(j_WEEKDAY(J_ADDDAY(VLOOKUP(I217,A:F,6,FALSE),H217,1),0)=6,SUMIFS(Holieday[ok],Holieday[date],J_ADDDAY(VLOOKUP(I217,A:F,6,FALSE),H217,1)))=FALSE(),J_ADDDAY(VLOOKUP(I217,A:F,6,FALSE),H217,1),IF(OR(j_WEEKDAY(J_ADDDAY(VLOOKUP(I217,A:F,6,FALSE),H217+1,1),0)=6,SUMIFS(Holieday[ok],Holieday[date],J_ADDDAY(VLOOKUP(I217,A:F,6,FALSE),H217+1,1)))=FALSE(),J_ADDDAY(VLOOKUP(I217,A:F,6,FALSE),H217+1,1),IF(OR(j_WEEKDAY(J_ADDDAY(VLOOKUP(I217,A:F,6,FALSE),H217+2,1),0)=6,SUMIFS(Holieday[ok],Holieday[date],J_ADDDAY(VLOOKUP(I217,A:F,6,FALSE),H217+2,1)))=FALSE(),J_ADDDAY(VLOOKUP(I217,A:F,6,FALSE),H217+2,1),IF(OR(j_WEEKDAY(J_ADDDAY(VLOOKUP(I217,A:F,6,FALSE),H217+3,1),0)=6,SUMIFS(Holieday[ok],Holieday[date],J_ADDDAY(VLOOKUP(I217,A:F,6,FALSE),H217+3,1)))=FALSE(),J_ADDDAY(VLOOKUP(I217,A:F,6,FALSE),H217+3,1),IF(OR(j_WEEKDAY(J_ADDDAY(VLOOKUP(I217,A:F,6,FALSE),H217+4,1),0)=6,SUMIFS(Holieday[ok],Holieday[date],J_ADDDAY(VLOOKUP(I217,A:F,6,FALSE),H217+4,1)))=FALSE(),J_ADDDAY(VLOOKUP(I217,A:F,6,FALSE),H217+4,1),J_ADDDAY(VLOOKUP(I217,A:F,6,FALSE),H217+5,1))))))</f>
        <v>1398/06/31</v>
      </c>
      <c r="E217" s="2">
        <f t="shared" si="69"/>
        <v>13980631</v>
      </c>
      <c r="F217" s="13" t="str">
        <f>IF(N217=0,J_SUBDAY(D217,1,1),IF((N217-NETWORKDAYS.INTL(J_GregorianDate(D217,1),J_GregorianDate(J_SUBDAY(J_ADDDAY(D217,N217,1),1,1),1),16,1)-SUMIFS(Holieday[ok],Holieday[date],CONCATENATE("&gt;","=",D217),Holieday[date],CONCATENATE("&lt;","=",J_SUBDAY(J_ADDDAY(D217,N217,1),1,1)))+SUMIFS(Holieday[Friday],Holieday[date],CONCATENATE("&gt;","=",D217),Holieday[date],CONCATENATE("&lt;","=",J_SUBDAY(J_ADDDAY(D217,N217,1),1,1))))=0,J_SUBDAY(J_ADDDAY(D217,N217,1),1,1),IF((N217-NETWORKDAYS.INTL(J_GregorianDate(D217,1),J_GregorianDate(J_SUBDAY(J_ADDDAY(D217,N217,1),1,1),1),16,1)-SUMIFS(Holieday[ok],Holieday[date],CONCATENATE("&gt;","=",D217),Holieday[date],CONCATENATE("&lt;","=",J_SUBDAY(J_ADDDAY(D217,N217,1),1,1)))+SUMIFS(Holieday[Friday],Holieday[date],CONCATENATE("&gt;","=",D217),Holieday[date],CONCATENATE("&lt;","=",J_SUBDAY(J_ADDDAY(D217,N217,1),1,1))))=1,J_SUBDAY(J_ADDDAY(D217,N217+1,1),1,1),IF((N217-NETWORKDAYS.INTL(J_GregorianDate(D217,1),J_GregorianDate(J_SUBDAY(J_ADDDAY(D217,N217,1),1,1),1),16,1)-SUMIFS(Holieday[ok],Holieday[date],CONCATENATE("&gt;","=",D217),Holieday[date],CONCATENATE("&lt;","=",J_SUBDAY(J_ADDDAY(D217,N217,1),1,1)))+SUMIFS(Holieday[Friday],Holieday[date],CONCATENATE("&gt;","=",D217),Holieday[date],CONCATENATE("&lt;","=",J_SUBDAY(J_ADDDAY(D217,N217,1),1,1))))=2,J_SUBDAY(J_ADDDAY(D217,N217+2,1),1,1),J_SUBDAY(J_ADDDAY(D217,N217+3,1),1,1)))))</f>
        <v>1398/06/30</v>
      </c>
      <c r="G217" s="3">
        <f t="shared" si="70"/>
        <v>13980630</v>
      </c>
      <c r="H217" s="119"/>
      <c r="I217" s="120">
        <v>1.1000000000000001</v>
      </c>
      <c r="J217" s="10">
        <f>j_WEEKDAY(D217,2)</f>
        <v>1</v>
      </c>
      <c r="K217" s="22">
        <f t="shared" si="68"/>
        <v>0</v>
      </c>
      <c r="L217" s="9">
        <f t="shared" si="67"/>
        <v>0</v>
      </c>
      <c r="M217" s="121">
        <v>0</v>
      </c>
      <c r="N217" s="118">
        <v>0</v>
      </c>
      <c r="O217" s="11">
        <f t="shared" si="65"/>
        <v>0</v>
      </c>
      <c r="P217" s="11">
        <f>VALUE(J_normdate(J_ADDDAY($D217,$O217,1)))</f>
        <v>13980631</v>
      </c>
      <c r="Q217" s="10">
        <f t="shared" si="66"/>
        <v>0</v>
      </c>
      <c r="R217" s="8"/>
      <c r="S217" s="8"/>
      <c r="T217" s="8"/>
      <c r="U217" s="8"/>
      <c r="V217" s="8"/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/>
      <c r="AH217" s="8"/>
      <c r="AI217" s="8"/>
      <c r="AJ217" s="8"/>
      <c r="AK217" s="8"/>
      <c r="AL217" s="8"/>
      <c r="AM217" s="8"/>
      <c r="AN217" s="8"/>
      <c r="AO217" s="8"/>
      <c r="AP217" s="8"/>
      <c r="AQ217" s="8"/>
      <c r="AR217" s="8"/>
      <c r="AS217" s="8"/>
      <c r="AT217" s="8"/>
      <c r="AU217" s="8"/>
      <c r="AV217" s="8"/>
      <c r="AW217" s="8"/>
      <c r="AX217" s="8"/>
      <c r="AY217" s="8"/>
      <c r="AZ217" s="8"/>
      <c r="BA217" s="8"/>
      <c r="BB217" s="8"/>
      <c r="BC217" s="8"/>
      <c r="BD217" s="8"/>
      <c r="BE217" s="8"/>
      <c r="BF217" s="8"/>
      <c r="BG217" s="8"/>
      <c r="BH217" s="8"/>
      <c r="BI217" s="8"/>
      <c r="BJ217" s="8"/>
      <c r="BK217" s="8"/>
      <c r="BL217" s="8"/>
      <c r="BM217" s="8"/>
      <c r="BN217" s="8"/>
      <c r="BO217" s="8"/>
      <c r="BP217" s="8"/>
      <c r="BQ217" s="8"/>
      <c r="BR217" s="8"/>
      <c r="BS217" s="8"/>
      <c r="BT217" s="8"/>
      <c r="BU217" s="8"/>
      <c r="BV217" s="8"/>
      <c r="BW217" s="8"/>
      <c r="BX217" s="8"/>
      <c r="BY217" s="8"/>
      <c r="BZ217" s="8"/>
      <c r="CA217" s="8"/>
      <c r="CB217" s="8"/>
      <c r="CC217" s="8"/>
      <c r="CD217" s="8"/>
      <c r="CE217" s="8"/>
      <c r="CF217" s="8"/>
      <c r="CG217" s="8"/>
      <c r="CH217" s="8"/>
      <c r="CI217" s="8"/>
      <c r="CJ217" s="8"/>
      <c r="CK217" s="8"/>
      <c r="CL217" s="8"/>
      <c r="CM217" s="8"/>
      <c r="CN217" s="8"/>
      <c r="CO217" s="8"/>
      <c r="CP217" s="8"/>
      <c r="CQ217" s="8"/>
      <c r="CR217" s="8"/>
      <c r="CS217" s="8"/>
      <c r="CT217" s="8"/>
      <c r="CU217" s="8"/>
      <c r="CV217" s="8"/>
      <c r="CW217" s="8"/>
      <c r="CX217" s="8"/>
      <c r="CY217" s="8"/>
      <c r="CZ217" s="8"/>
      <c r="DA217" s="8"/>
      <c r="DB217" s="8"/>
      <c r="DC217" s="8"/>
      <c r="DD217" s="8"/>
      <c r="DE217" s="8"/>
      <c r="DF217" s="8"/>
      <c r="DG217" s="8"/>
      <c r="DH217" s="8"/>
      <c r="DI217" s="8"/>
      <c r="DJ217" s="8"/>
      <c r="DK217" s="8"/>
      <c r="DL217" s="8"/>
      <c r="DM217" s="8"/>
      <c r="DN217" s="8"/>
      <c r="DO217" s="8"/>
      <c r="DP217" s="8"/>
      <c r="DQ217" s="8"/>
      <c r="DR217" s="8"/>
      <c r="DS217" s="8"/>
      <c r="DT217" s="8"/>
      <c r="DU217" s="8"/>
      <c r="DV217" s="8"/>
      <c r="DW217" s="8"/>
      <c r="DX217" s="8"/>
      <c r="DY217" s="8"/>
      <c r="DZ217" s="8"/>
      <c r="EA217" s="8"/>
      <c r="EB217" s="8"/>
      <c r="EC217" s="8"/>
      <c r="ED217" s="8"/>
      <c r="EE217" s="8"/>
      <c r="EF217" s="8"/>
      <c r="EG217" s="8"/>
      <c r="EH217" s="8"/>
      <c r="EI217" s="8"/>
      <c r="EJ217" s="8"/>
      <c r="EK217" s="8"/>
      <c r="EL217" s="8"/>
      <c r="EM217" s="8"/>
      <c r="EN217" s="8"/>
      <c r="EO217" s="8"/>
      <c r="EP217" s="8"/>
      <c r="EQ217" s="8"/>
      <c r="ER217" s="8"/>
      <c r="ES217" s="8"/>
      <c r="ET217" s="8"/>
      <c r="EU217" s="8"/>
      <c r="EV217" s="8"/>
      <c r="EW217" s="8"/>
      <c r="EX217" s="8"/>
      <c r="EY217" s="8"/>
      <c r="EZ217" s="8"/>
      <c r="FA217" s="8"/>
      <c r="FB217" s="8"/>
      <c r="FC217" s="8"/>
      <c r="FD217" s="8"/>
      <c r="FE217" s="8"/>
      <c r="FF217" s="8"/>
      <c r="FG217" s="8"/>
      <c r="FH217" s="8"/>
      <c r="FI217" s="8"/>
      <c r="FJ217" s="8"/>
      <c r="FK217" s="8"/>
      <c r="FL217" s="8"/>
      <c r="FM217" s="8"/>
      <c r="FN217" s="8"/>
      <c r="FO217" s="8"/>
      <c r="FP217" s="8"/>
      <c r="FQ217" s="8"/>
      <c r="FR217" s="8"/>
      <c r="FS217" s="8"/>
      <c r="FT217" s="8"/>
      <c r="FU217" s="8"/>
      <c r="FV217" s="8"/>
      <c r="FW217" s="8"/>
      <c r="FX217" s="8"/>
      <c r="FY217" s="8"/>
      <c r="FZ217" s="8"/>
      <c r="GA217" s="8"/>
      <c r="GB217" s="8"/>
      <c r="GC217" s="8"/>
      <c r="GD217" s="8"/>
      <c r="GE217" s="8"/>
      <c r="GF217" s="8"/>
      <c r="GG217" s="8"/>
      <c r="GH217" s="8"/>
      <c r="GI217" s="8"/>
      <c r="GJ217" s="8"/>
      <c r="GK217" s="8"/>
      <c r="GL217" s="8"/>
      <c r="GM217" s="8"/>
      <c r="GN217" s="8"/>
      <c r="GO217" s="8"/>
      <c r="GP217" s="8"/>
      <c r="GQ217" s="8"/>
      <c r="GR217" s="8"/>
      <c r="GS217" s="8"/>
      <c r="GT217" s="8"/>
      <c r="GU217" s="8"/>
      <c r="GV217" s="8"/>
      <c r="GW217" s="8"/>
      <c r="GX217" s="8"/>
      <c r="GY217" s="8"/>
      <c r="GZ217" s="8"/>
      <c r="HA217" s="8"/>
      <c r="HB217" s="8"/>
      <c r="HC217" s="8"/>
      <c r="HD217" s="8"/>
      <c r="HE217" s="8"/>
      <c r="HF217" s="8"/>
      <c r="HG217" s="8"/>
      <c r="HH217" s="8"/>
      <c r="HI217" s="8"/>
      <c r="HJ217" s="8"/>
      <c r="HK217" s="8"/>
      <c r="HL217" s="8"/>
      <c r="HM217" s="8"/>
      <c r="HN217" s="8"/>
      <c r="HO217" s="8"/>
      <c r="HP217" s="8"/>
      <c r="HQ217" s="8"/>
      <c r="HR217" s="8"/>
      <c r="HS217" s="8"/>
      <c r="HT217" s="8"/>
      <c r="HU217" s="8"/>
      <c r="HV217" s="8"/>
      <c r="HW217" s="8"/>
      <c r="HX217" s="8"/>
      <c r="HY217" s="8"/>
      <c r="HZ217" s="8"/>
      <c r="IA217" s="8"/>
      <c r="IB217" s="8"/>
      <c r="IC217" s="8"/>
      <c r="ID217" s="8"/>
      <c r="IE217" s="8"/>
      <c r="IF217" s="8"/>
      <c r="IG217" s="8"/>
      <c r="IH217" s="8"/>
      <c r="II217" s="8"/>
      <c r="IJ217" s="8"/>
      <c r="IK217" s="8"/>
      <c r="IL217" s="8"/>
      <c r="IM217" s="8"/>
      <c r="IN217" s="8"/>
      <c r="IO217" s="8"/>
      <c r="IP217" s="8"/>
      <c r="IQ217" s="8"/>
      <c r="IR217" s="8"/>
      <c r="IS217" s="8"/>
      <c r="IT217" s="8"/>
      <c r="IU217" s="8"/>
      <c r="IV217" s="8"/>
      <c r="IW217" s="8"/>
      <c r="IX217" s="8"/>
      <c r="JA217" s="123"/>
      <c r="JB217" s="123"/>
      <c r="JC217" s="123"/>
      <c r="JD217" s="70">
        <f>SUM((TEXT(JA217,"[M]")/60)*'Income Person-hours'!$D$3,(TEXT(JB217,"[M]")/60)*'Income Person-hours'!$D$4,(TEXT(JC217,"[M]")/60)*'Income Person-hours'!$D$5)</f>
        <v>0</v>
      </c>
    </row>
    <row r="218" spans="1:264 16383:16384" s="12" customFormat="1" ht="15.75" hidden="1" x14ac:dyDescent="0.45">
      <c r="A218" s="6" t="s">
        <v>78</v>
      </c>
      <c r="B218" s="126"/>
      <c r="C218" s="117"/>
      <c r="D218" s="13" t="str">
        <f>IF(OR(j_WEEKDAY(J_ADDDAY(VLOOKUP(I218,A:F,6,FALSE),H218,1),0)=6,SUMIFS(Holieday[ok],Holieday[date],J_ADDDAY(VLOOKUP(I218,A:F,6,FALSE),H218,1)))=FALSE(),J_ADDDAY(VLOOKUP(I218,A:F,6,FALSE),H218,1),IF(OR(j_WEEKDAY(J_ADDDAY(VLOOKUP(I218,A:F,6,FALSE),H218+1,1),0)=6,SUMIFS(Holieday[ok],Holieday[date],J_ADDDAY(VLOOKUP(I218,A:F,6,FALSE),H218+1,1)))=FALSE(),J_ADDDAY(VLOOKUP(I218,A:F,6,FALSE),H218+1,1),IF(OR(j_WEEKDAY(J_ADDDAY(VLOOKUP(I218,A:F,6,FALSE),H218+2,1),0)=6,SUMIFS(Holieday[ok],Holieday[date],J_ADDDAY(VLOOKUP(I218,A:F,6,FALSE),H218+2,1)))=FALSE(),J_ADDDAY(VLOOKUP(I218,A:F,6,FALSE),H218+2,1),IF(OR(j_WEEKDAY(J_ADDDAY(VLOOKUP(I218,A:F,6,FALSE),H218+3,1),0)=6,SUMIFS(Holieday[ok],Holieday[date],J_ADDDAY(VLOOKUP(I218,A:F,6,FALSE),H218+3,1)))=FALSE(),J_ADDDAY(VLOOKUP(I218,A:F,6,FALSE),H218+3,1),IF(OR(j_WEEKDAY(J_ADDDAY(VLOOKUP(I218,A:F,6,FALSE),H218+4,1),0)=6,SUMIFS(Holieday[ok],Holieday[date],J_ADDDAY(VLOOKUP(I218,A:F,6,FALSE),H218+4,1)))=FALSE(),J_ADDDAY(VLOOKUP(I218,A:F,6,FALSE),H218+4,1),J_ADDDAY(VLOOKUP(I218,A:F,6,FALSE),H218+5,1))))))</f>
        <v>1398/06/31</v>
      </c>
      <c r="E218" s="2">
        <f t="shared" si="69"/>
        <v>13980631</v>
      </c>
      <c r="F218" s="13" t="str">
        <f>IF(N218=0,J_SUBDAY(D218,1,1),IF((N218-NETWORKDAYS.INTL(J_GregorianDate(D218,1),J_GregorianDate(J_SUBDAY(J_ADDDAY(D218,N218,1),1,1),1),16,1)-SUMIFS(Holieday[ok],Holieday[date],CONCATENATE("&gt;","=",D218),Holieday[date],CONCATENATE("&lt;","=",J_SUBDAY(J_ADDDAY(D218,N218,1),1,1)))+SUMIFS(Holieday[Friday],Holieday[date],CONCATENATE("&gt;","=",D218),Holieday[date],CONCATENATE("&lt;","=",J_SUBDAY(J_ADDDAY(D218,N218,1),1,1))))=0,J_SUBDAY(J_ADDDAY(D218,N218,1),1,1),IF((N218-NETWORKDAYS.INTL(J_GregorianDate(D218,1),J_GregorianDate(J_SUBDAY(J_ADDDAY(D218,N218,1),1,1),1),16,1)-SUMIFS(Holieday[ok],Holieday[date],CONCATENATE("&gt;","=",D218),Holieday[date],CONCATENATE("&lt;","=",J_SUBDAY(J_ADDDAY(D218,N218,1),1,1)))+SUMIFS(Holieday[Friday],Holieday[date],CONCATENATE("&gt;","=",D218),Holieday[date],CONCATENATE("&lt;","=",J_SUBDAY(J_ADDDAY(D218,N218,1),1,1))))=1,J_SUBDAY(J_ADDDAY(D218,N218+1,1),1,1),IF((N218-NETWORKDAYS.INTL(J_GregorianDate(D218,1),J_GregorianDate(J_SUBDAY(J_ADDDAY(D218,N218,1),1,1),1),16,1)-SUMIFS(Holieday[ok],Holieday[date],CONCATENATE("&gt;","=",D218),Holieday[date],CONCATENATE("&lt;","=",J_SUBDAY(J_ADDDAY(D218,N218,1),1,1)))+SUMIFS(Holieday[Friday],Holieday[date],CONCATENATE("&gt;","=",D218),Holieday[date],CONCATENATE("&lt;","=",J_SUBDAY(J_ADDDAY(D218,N218,1),1,1))))=2,J_SUBDAY(J_ADDDAY(D218,N218+2,1),1,1),J_SUBDAY(J_ADDDAY(D218,N218+3,1),1,1)))))</f>
        <v>1398/06/30</v>
      </c>
      <c r="G218" s="3">
        <f t="shared" si="70"/>
        <v>13980630</v>
      </c>
      <c r="H218" s="119"/>
      <c r="I218" s="120">
        <v>1.1000000000000001</v>
      </c>
      <c r="J218" s="10">
        <f>j_WEEKDAY(D218,2)</f>
        <v>1</v>
      </c>
      <c r="K218" s="22">
        <f t="shared" si="68"/>
        <v>0</v>
      </c>
      <c r="L218" s="9">
        <f t="shared" si="67"/>
        <v>0</v>
      </c>
      <c r="M218" s="121">
        <v>0</v>
      </c>
      <c r="N218" s="118">
        <v>0</v>
      </c>
      <c r="O218" s="11">
        <f t="shared" si="65"/>
        <v>0</v>
      </c>
      <c r="P218" s="11">
        <f>VALUE(J_normdate(J_ADDDAY($D218,$O218,1)))</f>
        <v>13980631</v>
      </c>
      <c r="Q218" s="10">
        <f t="shared" si="66"/>
        <v>0</v>
      </c>
      <c r="R218" s="8"/>
      <c r="S218" s="8"/>
      <c r="T218" s="8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/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8"/>
      <c r="AS218" s="8"/>
      <c r="AT218" s="8"/>
      <c r="AU218" s="8"/>
      <c r="AV218" s="8"/>
      <c r="AW218" s="8"/>
      <c r="AX218" s="8"/>
      <c r="AY218" s="8"/>
      <c r="AZ218" s="8"/>
      <c r="BA218" s="8"/>
      <c r="BB218" s="8"/>
      <c r="BC218" s="8"/>
      <c r="BD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BO218" s="8"/>
      <c r="BP218" s="8"/>
      <c r="BQ218" s="8"/>
      <c r="BR218" s="8"/>
      <c r="BS218" s="8"/>
      <c r="BT218" s="8"/>
      <c r="BU218" s="8"/>
      <c r="BV218" s="8"/>
      <c r="BW218" s="8"/>
      <c r="BX218" s="8"/>
      <c r="BY218" s="8"/>
      <c r="BZ218" s="8"/>
      <c r="CA218" s="8"/>
      <c r="CB218" s="8"/>
      <c r="CC218" s="8"/>
      <c r="CD218" s="8"/>
      <c r="CE218" s="8"/>
      <c r="CF218" s="8"/>
      <c r="CG218" s="8"/>
      <c r="CH218" s="8"/>
      <c r="CI218" s="8"/>
      <c r="CJ218" s="8"/>
      <c r="CK218" s="8"/>
      <c r="CL218" s="8"/>
      <c r="CM218" s="8"/>
      <c r="CN218" s="8"/>
      <c r="CO218" s="8"/>
      <c r="CP218" s="8"/>
      <c r="CQ218" s="8"/>
      <c r="CR218" s="8"/>
      <c r="CS218" s="8"/>
      <c r="CT218" s="8"/>
      <c r="CU218" s="8"/>
      <c r="CV218" s="8"/>
      <c r="CW218" s="8"/>
      <c r="CX218" s="8"/>
      <c r="CY218" s="8"/>
      <c r="CZ218" s="8"/>
      <c r="DA218" s="8"/>
      <c r="DB218" s="8"/>
      <c r="DC218" s="8"/>
      <c r="DD218" s="8"/>
      <c r="DE218" s="8"/>
      <c r="DF218" s="8"/>
      <c r="DG218" s="8"/>
      <c r="DH218" s="8"/>
      <c r="DI218" s="8"/>
      <c r="DJ218" s="8"/>
      <c r="DK218" s="8"/>
      <c r="DL218" s="8"/>
      <c r="DM218" s="8"/>
      <c r="DN218" s="8"/>
      <c r="DO218" s="8"/>
      <c r="DP218" s="8"/>
      <c r="DQ218" s="8"/>
      <c r="DR218" s="8"/>
      <c r="DS218" s="8"/>
      <c r="DT218" s="8"/>
      <c r="DU218" s="8"/>
      <c r="DV218" s="8"/>
      <c r="DW218" s="8"/>
      <c r="DX218" s="8"/>
      <c r="DY218" s="8"/>
      <c r="DZ218" s="8"/>
      <c r="EA218" s="8"/>
      <c r="EB218" s="8"/>
      <c r="EC218" s="8"/>
      <c r="ED218" s="8"/>
      <c r="EE218" s="8"/>
      <c r="EF218" s="8"/>
      <c r="EG218" s="8"/>
      <c r="EH218" s="8"/>
      <c r="EI218" s="8"/>
      <c r="EJ218" s="8"/>
      <c r="EK218" s="8"/>
      <c r="EL218" s="8"/>
      <c r="EM218" s="8"/>
      <c r="EN218" s="8"/>
      <c r="EO218" s="8"/>
      <c r="EP218" s="8"/>
      <c r="EQ218" s="8"/>
      <c r="ER218" s="8"/>
      <c r="ES218" s="8"/>
      <c r="ET218" s="8"/>
      <c r="EU218" s="8"/>
      <c r="EV218" s="8"/>
      <c r="EW218" s="8"/>
      <c r="EX218" s="8"/>
      <c r="EY218" s="8"/>
      <c r="EZ218" s="8"/>
      <c r="FA218" s="8"/>
      <c r="FB218" s="8"/>
      <c r="FC218" s="8"/>
      <c r="FD218" s="8"/>
      <c r="FE218" s="8"/>
      <c r="FF218" s="8"/>
      <c r="FG218" s="8"/>
      <c r="FH218" s="8"/>
      <c r="FI218" s="8"/>
      <c r="FJ218" s="8"/>
      <c r="FK218" s="8"/>
      <c r="FL218" s="8"/>
      <c r="FM218" s="8"/>
      <c r="FN218" s="8"/>
      <c r="FO218" s="8"/>
      <c r="FP218" s="8"/>
      <c r="FQ218" s="8"/>
      <c r="FR218" s="8"/>
      <c r="FS218" s="8"/>
      <c r="FT218" s="8"/>
      <c r="FU218" s="8"/>
      <c r="FV218" s="8"/>
      <c r="FW218" s="8"/>
      <c r="FX218" s="8"/>
      <c r="FY218" s="8"/>
      <c r="FZ218" s="8"/>
      <c r="GA218" s="8"/>
      <c r="GB218" s="8"/>
      <c r="GC218" s="8"/>
      <c r="GD218" s="8"/>
      <c r="GE218" s="8"/>
      <c r="GF218" s="8"/>
      <c r="GG218" s="8"/>
      <c r="GH218" s="8"/>
      <c r="GI218" s="8"/>
      <c r="GJ218" s="8"/>
      <c r="GK218" s="8"/>
      <c r="GL218" s="8"/>
      <c r="GM218" s="8"/>
      <c r="GN218" s="8"/>
      <c r="GO218" s="8"/>
      <c r="GP218" s="8"/>
      <c r="GQ218" s="8"/>
      <c r="GR218" s="8"/>
      <c r="GS218" s="8"/>
      <c r="GT218" s="8"/>
      <c r="GU218" s="8"/>
      <c r="GV218" s="8"/>
      <c r="GW218" s="8"/>
      <c r="GX218" s="8"/>
      <c r="GY218" s="8"/>
      <c r="GZ218" s="8"/>
      <c r="HA218" s="8"/>
      <c r="HB218" s="8"/>
      <c r="HC218" s="8"/>
      <c r="HD218" s="8"/>
      <c r="HE218" s="8"/>
      <c r="HF218" s="8"/>
      <c r="HG218" s="8"/>
      <c r="HH218" s="8"/>
      <c r="HI218" s="8"/>
      <c r="HJ218" s="8"/>
      <c r="HK218" s="8"/>
      <c r="HL218" s="8"/>
      <c r="HM218" s="8"/>
      <c r="HN218" s="8"/>
      <c r="HO218" s="8"/>
      <c r="HP218" s="8"/>
      <c r="HQ218" s="8"/>
      <c r="HR218" s="8"/>
      <c r="HS218" s="8"/>
      <c r="HT218" s="8"/>
      <c r="HU218" s="8"/>
      <c r="HV218" s="8"/>
      <c r="HW218" s="8"/>
      <c r="HX218" s="8"/>
      <c r="HY218" s="8"/>
      <c r="HZ218" s="8"/>
      <c r="IA218" s="8"/>
      <c r="IB218" s="8"/>
      <c r="IC218" s="8"/>
      <c r="ID218" s="8"/>
      <c r="IE218" s="8"/>
      <c r="IF218" s="8"/>
      <c r="IG218" s="8"/>
      <c r="IH218" s="8"/>
      <c r="II218" s="8"/>
      <c r="IJ218" s="8"/>
      <c r="IK218" s="8"/>
      <c r="IL218" s="8"/>
      <c r="IM218" s="8"/>
      <c r="IN218" s="8"/>
      <c r="IO218" s="8"/>
      <c r="IP218" s="8"/>
      <c r="IQ218" s="8"/>
      <c r="IR218" s="8"/>
      <c r="IS218" s="8"/>
      <c r="IT218" s="8"/>
      <c r="IU218" s="8"/>
      <c r="IV218" s="8"/>
      <c r="IW218" s="8"/>
      <c r="IX218" s="8"/>
      <c r="JA218" s="123"/>
      <c r="JB218" s="123"/>
      <c r="JC218" s="123"/>
      <c r="JD218" s="70">
        <f>SUM((TEXT(JA218,"[M]")/60)*'Income Person-hours'!$D$3,(TEXT(JB218,"[M]")/60)*'Income Person-hours'!$D$4,(TEXT(JC218,"[M]")/60)*'Income Person-hours'!$D$5)</f>
        <v>0</v>
      </c>
    </row>
    <row r="219" spans="1:264 16383:16384" s="2" customFormat="1" ht="15.75" hidden="1" x14ac:dyDescent="0.45">
      <c r="A219" s="62">
        <v>10</v>
      </c>
      <c r="B219" s="112"/>
      <c r="C219" s="113"/>
      <c r="D219" s="5" t="str">
        <f>FDate(MIN(E220:E240))</f>
        <v>1398/06/30</v>
      </c>
      <c r="E219" s="2">
        <f t="shared" si="69"/>
        <v>13980630</v>
      </c>
      <c r="F219" s="5" t="str">
        <f>J_SUBDAY(J_ADDDAY(D219,L219,1),1,1)</f>
        <v>1398/06/29</v>
      </c>
      <c r="G219" s="3">
        <f t="shared" si="70"/>
        <v>13980629</v>
      </c>
      <c r="H219" s="114"/>
      <c r="I219" s="115"/>
      <c r="J219" s="5">
        <f>j_WEEKDAY(D219,2)</f>
        <v>0</v>
      </c>
      <c r="K219" s="21">
        <f>SUM(K220:K240)</f>
        <v>0</v>
      </c>
      <c r="L219" s="4">
        <f>J_DIFF(D219,FDate(MAX(G220:G240)))+1</f>
        <v>0</v>
      </c>
      <c r="M219" s="199">
        <f>IF(SUM(L220:L240)&lt;&gt;0,SUMPRODUCT(L220:L240,M220:M240)/SUM(L220:L240),0)</f>
        <v>0</v>
      </c>
      <c r="N219" s="200">
        <f>IF(F219&gt;=D219,NETWORKDAYS.INTL(J_GregorianDate(D219,1),J_GregorianDate(F219,1),16,1)-SUMIFS(Holieday[ok],Holieday[date],CONCATENATE("&gt;","=",D219),Holieday[date],CONCATENATE("&lt;","=",F219))+SUMIFS(Holieday[Friday],Holieday[date],CONCATENATE("&gt;","=",D219),Holieday[date],CONCATENATE("&lt;","=",F219)),0)</f>
        <v>0</v>
      </c>
      <c r="O219" s="15">
        <f t="shared" ref="O219" si="71">ROUNDDOWN(M219*L219,0)</f>
        <v>0</v>
      </c>
      <c r="P219" s="15">
        <f>VALUE(J_normdate(J_ADDDAY($D219,$O219,1)))</f>
        <v>13980630</v>
      </c>
      <c r="Q219" s="5">
        <f t="shared" ref="Q219" si="72">L219-O219</f>
        <v>0</v>
      </c>
      <c r="IV219" s="193"/>
      <c r="IW219" s="193"/>
      <c r="IX219" s="193"/>
      <c r="IY219" s="223"/>
      <c r="IZ219" s="223"/>
      <c r="JA219" s="223"/>
      <c r="JB219" s="224"/>
      <c r="JC219" s="193"/>
      <c r="XFC219" s="5"/>
      <c r="XFD219" s="5"/>
    </row>
    <row r="220" spans="1:264 16383:16384" s="12" customFormat="1" ht="15.75" hidden="1" x14ac:dyDescent="0.45">
      <c r="A220" s="32">
        <v>10.1</v>
      </c>
      <c r="B220" s="126"/>
      <c r="C220" s="117"/>
      <c r="D220" s="13" t="str">
        <f>IF(OR(j_WEEKDAY(J_ADDDAY(VLOOKUP(I220,A:F,6,FALSE),H220,1),0)=6,SUMIFS(Holieday[ok],Holieday[date],J_ADDDAY(VLOOKUP(I220,A:F,6,FALSE),H220,1)))=FALSE(),J_ADDDAY(VLOOKUP(I220,A:F,6,FALSE),H220,1),IF(OR(j_WEEKDAY(J_ADDDAY(VLOOKUP(I220,A:F,6,FALSE),H220+1,1),0)=6,SUMIFS(Holieday[ok],Holieday[date],J_ADDDAY(VLOOKUP(I220,A:F,6,FALSE),H220+1,1)))=FALSE(),J_ADDDAY(VLOOKUP(I220,A:F,6,FALSE),H220+1,1),IF(OR(j_WEEKDAY(J_ADDDAY(VLOOKUP(I220,A:F,6,FALSE),H220+2,1),0)=6,SUMIFS(Holieday[ok],Holieday[date],J_ADDDAY(VLOOKUP(I220,A:F,6,FALSE),H220+2,1)))=FALSE(),J_ADDDAY(VLOOKUP(I220,A:F,6,FALSE),H220+2,1),IF(OR(j_WEEKDAY(J_ADDDAY(VLOOKUP(I220,A:F,6,FALSE),H220+3,1),0)=6,SUMIFS(Holieday[ok],Holieday[date],J_ADDDAY(VLOOKUP(I220,A:F,6,FALSE),H220+3,1)))=FALSE(),J_ADDDAY(VLOOKUP(I220,A:F,6,FALSE),H220+3,1),IF(OR(j_WEEKDAY(J_ADDDAY(VLOOKUP(I220,A:F,6,FALSE),H220+4,1),0)=6,SUMIFS(Holieday[ok],Holieday[date],J_ADDDAY(VLOOKUP(I220,A:F,6,FALSE),H220+4,1)))=FALSE(),J_ADDDAY(VLOOKUP(I220,A:F,6,FALSE),H220+4,1),J_ADDDAY(VLOOKUP(I220,A:F,6,FALSE),H220+5,1))))))</f>
        <v>1398/06/30</v>
      </c>
      <c r="E220" s="2">
        <f t="shared" si="69"/>
        <v>13980630</v>
      </c>
      <c r="F220" s="13" t="str">
        <f>IF(N220=0,J_SUBDAY(D220,1,1),IF((N220-NETWORKDAYS.INTL(J_GregorianDate(D220,1),J_GregorianDate(J_SUBDAY(J_ADDDAY(D220,N220,1),1,1),1),16,1)-SUMIFS(Holieday[ok],Holieday[date],CONCATENATE("&gt;","=",D220),Holieday[date],CONCATENATE("&lt;","=",J_SUBDAY(J_ADDDAY(D220,N220,1),1,1)))+SUMIFS(Holieday[Friday],Holieday[date],CONCATENATE("&gt;","=",D220),Holieday[date],CONCATENATE("&lt;","=",J_SUBDAY(J_ADDDAY(D220,N220,1),1,1))))=0,J_SUBDAY(J_ADDDAY(D220,N220,1),1,1),IF((N220-NETWORKDAYS.INTL(J_GregorianDate(D220,1),J_GregorianDate(J_SUBDAY(J_ADDDAY(D220,N220,1),1,1),1),16,1)-SUMIFS(Holieday[ok],Holieday[date],CONCATENATE("&gt;","=",D220),Holieday[date],CONCATENATE("&lt;","=",J_SUBDAY(J_ADDDAY(D220,N220,1),1,1)))+SUMIFS(Holieday[Friday],Holieday[date],CONCATENATE("&gt;","=",D220),Holieday[date],CONCATENATE("&lt;","=",J_SUBDAY(J_ADDDAY(D220,N220,1),1,1))))=1,J_SUBDAY(J_ADDDAY(D220,N220+1,1),1,1),IF((N220-NETWORKDAYS.INTL(J_GregorianDate(D220,1),J_GregorianDate(J_SUBDAY(J_ADDDAY(D220,N220,1),1,1),1),16,1)-SUMIFS(Holieday[ok],Holieday[date],CONCATENATE("&gt;","=",D220),Holieday[date],CONCATENATE("&lt;","=",J_SUBDAY(J_ADDDAY(D220,N220,1),1,1)))+SUMIFS(Holieday[Friday],Holieday[date],CONCATENATE("&gt;","=",D220),Holieday[date],CONCATENATE("&lt;","=",J_SUBDAY(J_ADDDAY(D220,N220,1),1,1))))=2,J_SUBDAY(J_ADDDAY(D220,N220+2,1),1,1),J_SUBDAY(J_ADDDAY(D220,N220+3,1),1,1)))))</f>
        <v>1398/06/29</v>
      </c>
      <c r="G220" s="3">
        <f t="shared" si="70"/>
        <v>13980629</v>
      </c>
      <c r="H220" s="119"/>
      <c r="I220" s="120">
        <v>9.1</v>
      </c>
      <c r="J220" s="10">
        <f>j_WEEKDAY(D220,2)</f>
        <v>0</v>
      </c>
      <c r="K220" s="22">
        <f t="shared" si="68"/>
        <v>0</v>
      </c>
      <c r="L220" s="9">
        <f t="shared" ref="L220:L240" si="73">J_DIFF(D220,F220)+1</f>
        <v>0</v>
      </c>
      <c r="M220" s="121">
        <v>0</v>
      </c>
      <c r="N220" s="118">
        <v>0</v>
      </c>
      <c r="O220" s="11">
        <f t="shared" ref="O220:O240" si="74">ROUNDDOWN(M220*L220,0)</f>
        <v>0</v>
      </c>
      <c r="P220" s="11">
        <f>VALUE(J_normdate(J_ADDDAY($D220,$O220,1)))</f>
        <v>13980630</v>
      </c>
      <c r="Q220" s="10">
        <f t="shared" ref="Q220:Q240" si="75">L220-O220</f>
        <v>0</v>
      </c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/>
      <c r="AH220" s="8"/>
      <c r="AI220" s="8"/>
      <c r="AJ220" s="8"/>
      <c r="AK220" s="8"/>
      <c r="AL220" s="8"/>
      <c r="AM220" s="8"/>
      <c r="AN220" s="8"/>
      <c r="AO220" s="8"/>
      <c r="AP220" s="8"/>
      <c r="AQ220" s="8"/>
      <c r="AR220" s="8"/>
      <c r="AS220" s="8"/>
      <c r="AT220" s="8"/>
      <c r="AU220" s="8"/>
      <c r="AV220" s="8"/>
      <c r="AW220" s="8"/>
      <c r="AX220" s="8"/>
      <c r="AY220" s="8"/>
      <c r="AZ220" s="8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  <c r="BO220" s="8"/>
      <c r="BP220" s="8"/>
      <c r="BQ220" s="8"/>
      <c r="BR220" s="8"/>
      <c r="BS220" s="8"/>
      <c r="BT220" s="8"/>
      <c r="BU220" s="8"/>
      <c r="BV220" s="8"/>
      <c r="BW220" s="8"/>
      <c r="BX220" s="8"/>
      <c r="BY220" s="8"/>
      <c r="BZ220" s="8"/>
      <c r="CA220" s="8"/>
      <c r="CB220" s="8"/>
      <c r="CC220" s="8"/>
      <c r="CD220" s="8"/>
      <c r="CE220" s="8"/>
      <c r="CF220" s="8"/>
      <c r="CG220" s="8"/>
      <c r="CH220" s="8"/>
      <c r="CI220" s="8"/>
      <c r="CJ220" s="8"/>
      <c r="CK220" s="8"/>
      <c r="CL220" s="8"/>
      <c r="CM220" s="8"/>
      <c r="CN220" s="8"/>
      <c r="CO220" s="8"/>
      <c r="CP220" s="8"/>
      <c r="CQ220" s="8"/>
      <c r="CR220" s="8"/>
      <c r="CS220" s="8"/>
      <c r="CT220" s="8"/>
      <c r="CU220" s="8"/>
      <c r="CV220" s="8"/>
      <c r="CW220" s="8"/>
      <c r="CX220" s="8"/>
      <c r="CY220" s="8"/>
      <c r="CZ220" s="8"/>
      <c r="DA220" s="8"/>
      <c r="DB220" s="8"/>
      <c r="DC220" s="8"/>
      <c r="DD220" s="8"/>
      <c r="DE220" s="8"/>
      <c r="DF220" s="8"/>
      <c r="DG220" s="8"/>
      <c r="DH220" s="8"/>
      <c r="DI220" s="8"/>
      <c r="DJ220" s="8"/>
      <c r="DK220" s="8"/>
      <c r="DL220" s="8"/>
      <c r="DM220" s="8"/>
      <c r="DN220" s="8"/>
      <c r="DO220" s="8"/>
      <c r="DP220" s="8"/>
      <c r="DQ220" s="8"/>
      <c r="DR220" s="8"/>
      <c r="DS220" s="8"/>
      <c r="DT220" s="8"/>
      <c r="DU220" s="8"/>
      <c r="DV220" s="8"/>
      <c r="DW220" s="8"/>
      <c r="DX220" s="8"/>
      <c r="DY220" s="8"/>
      <c r="DZ220" s="8"/>
      <c r="EA220" s="8"/>
      <c r="EB220" s="8"/>
      <c r="EC220" s="8"/>
      <c r="ED220" s="8"/>
      <c r="EE220" s="8"/>
      <c r="EF220" s="8"/>
      <c r="EG220" s="8"/>
      <c r="EH220" s="8"/>
      <c r="EI220" s="8"/>
      <c r="EJ220" s="8"/>
      <c r="EK220" s="8"/>
      <c r="EL220" s="8"/>
      <c r="EM220" s="8"/>
      <c r="EN220" s="8"/>
      <c r="EO220" s="8"/>
      <c r="EP220" s="8"/>
      <c r="EQ220" s="8"/>
      <c r="ER220" s="8"/>
      <c r="ES220" s="8"/>
      <c r="ET220" s="8"/>
      <c r="EU220" s="8"/>
      <c r="EV220" s="8"/>
      <c r="EW220" s="8"/>
      <c r="EX220" s="8"/>
      <c r="EY220" s="8"/>
      <c r="EZ220" s="8"/>
      <c r="FA220" s="8"/>
      <c r="FB220" s="8"/>
      <c r="FC220" s="8"/>
      <c r="FD220" s="8"/>
      <c r="FE220" s="8"/>
      <c r="FF220" s="8"/>
      <c r="FG220" s="8"/>
      <c r="FH220" s="8"/>
      <c r="FI220" s="8"/>
      <c r="FJ220" s="8"/>
      <c r="FK220" s="8"/>
      <c r="FL220" s="8"/>
      <c r="FM220" s="8"/>
      <c r="FN220" s="8"/>
      <c r="FO220" s="8"/>
      <c r="FP220" s="8"/>
      <c r="FQ220" s="8"/>
      <c r="FR220" s="8"/>
      <c r="FS220" s="8"/>
      <c r="FT220" s="8"/>
      <c r="FU220" s="8"/>
      <c r="FV220" s="8"/>
      <c r="FW220" s="8"/>
      <c r="FX220" s="8"/>
      <c r="FY220" s="8"/>
      <c r="FZ220" s="8"/>
      <c r="GA220" s="8"/>
      <c r="GB220" s="8"/>
      <c r="GC220" s="8"/>
      <c r="GD220" s="8"/>
      <c r="GE220" s="8"/>
      <c r="GF220" s="8"/>
      <c r="GG220" s="8"/>
      <c r="GH220" s="8"/>
      <c r="GI220" s="8"/>
      <c r="GJ220" s="8"/>
      <c r="GK220" s="8"/>
      <c r="GL220" s="8"/>
      <c r="GM220" s="8"/>
      <c r="GN220" s="8"/>
      <c r="GO220" s="8"/>
      <c r="GP220" s="8"/>
      <c r="GQ220" s="8"/>
      <c r="GR220" s="8"/>
      <c r="GS220" s="8"/>
      <c r="GT220" s="8"/>
      <c r="GU220" s="8"/>
      <c r="GV220" s="8"/>
      <c r="GW220" s="8"/>
      <c r="GX220" s="8"/>
      <c r="GY220" s="8"/>
      <c r="GZ220" s="8"/>
      <c r="HA220" s="8"/>
      <c r="HB220" s="8"/>
      <c r="HC220" s="8"/>
      <c r="HD220" s="8"/>
      <c r="HE220" s="8"/>
      <c r="HF220" s="8"/>
      <c r="HG220" s="8"/>
      <c r="HH220" s="8"/>
      <c r="HI220" s="8"/>
      <c r="HJ220" s="8"/>
      <c r="HK220" s="8"/>
      <c r="HL220" s="8"/>
      <c r="HM220" s="8"/>
      <c r="HN220" s="8"/>
      <c r="HO220" s="8"/>
      <c r="HP220" s="8"/>
      <c r="HQ220" s="8"/>
      <c r="HR220" s="8"/>
      <c r="HS220" s="8"/>
      <c r="HT220" s="8"/>
      <c r="HU220" s="8"/>
      <c r="HV220" s="8"/>
      <c r="HW220" s="8"/>
      <c r="HX220" s="8"/>
      <c r="HY220" s="8"/>
      <c r="HZ220" s="8"/>
      <c r="IA220" s="8"/>
      <c r="IB220" s="8"/>
      <c r="IC220" s="8"/>
      <c r="ID220" s="8"/>
      <c r="IE220" s="8"/>
      <c r="IF220" s="8"/>
      <c r="IG220" s="8"/>
      <c r="IH220" s="8"/>
      <c r="II220" s="8"/>
      <c r="IJ220" s="8"/>
      <c r="IK220" s="8"/>
      <c r="IL220" s="8"/>
      <c r="IM220" s="8"/>
      <c r="IN220" s="8"/>
      <c r="IO220" s="8"/>
      <c r="IP220" s="8"/>
      <c r="IQ220" s="8"/>
      <c r="IR220" s="8"/>
      <c r="IS220" s="8"/>
      <c r="IT220" s="8"/>
      <c r="IU220" s="8"/>
      <c r="IV220" s="8"/>
      <c r="IW220" s="8"/>
      <c r="IX220" s="8"/>
      <c r="JA220" s="123"/>
      <c r="JB220" s="123"/>
      <c r="JC220" s="123"/>
      <c r="JD220" s="70">
        <f>SUM((TEXT(JA220,"[M]")/60)*'Income Person-hours'!$D$3,(TEXT(JB220,"[M]")/60)*'Income Person-hours'!$D$4,(TEXT(JC220,"[M]")/60)*'Income Person-hours'!$D$5)</f>
        <v>0</v>
      </c>
    </row>
    <row r="221" spans="1:264 16383:16384" s="12" customFormat="1" ht="15.75" hidden="1" x14ac:dyDescent="0.45">
      <c r="A221" s="32">
        <v>10.199999999999999</v>
      </c>
      <c r="B221" s="126"/>
      <c r="C221" s="117"/>
      <c r="D221" s="13" t="str">
        <f>IF(OR(j_WEEKDAY(J_ADDDAY(VLOOKUP(I221,A:F,6,FALSE),H221,1),0)=6,SUMIFS(Holieday[ok],Holieday[date],J_ADDDAY(VLOOKUP(I221,A:F,6,FALSE),H221,1)))=FALSE(),J_ADDDAY(VLOOKUP(I221,A:F,6,FALSE),H221,1),IF(OR(j_WEEKDAY(J_ADDDAY(VLOOKUP(I221,A:F,6,FALSE),H221+1,1),0)=6,SUMIFS(Holieday[ok],Holieday[date],J_ADDDAY(VLOOKUP(I221,A:F,6,FALSE),H221+1,1)))=FALSE(),J_ADDDAY(VLOOKUP(I221,A:F,6,FALSE),H221+1,1),IF(OR(j_WEEKDAY(J_ADDDAY(VLOOKUP(I221,A:F,6,FALSE),H221+2,1),0)=6,SUMIFS(Holieday[ok],Holieday[date],J_ADDDAY(VLOOKUP(I221,A:F,6,FALSE),H221+2,1)))=FALSE(),J_ADDDAY(VLOOKUP(I221,A:F,6,FALSE),H221+2,1),IF(OR(j_WEEKDAY(J_ADDDAY(VLOOKUP(I221,A:F,6,FALSE),H221+3,1),0)=6,SUMIFS(Holieday[ok],Holieday[date],J_ADDDAY(VLOOKUP(I221,A:F,6,FALSE),H221+3,1)))=FALSE(),J_ADDDAY(VLOOKUP(I221,A:F,6,FALSE),H221+3,1),IF(OR(j_WEEKDAY(J_ADDDAY(VLOOKUP(I221,A:F,6,FALSE),H221+4,1),0)=6,SUMIFS(Holieday[ok],Holieday[date],J_ADDDAY(VLOOKUP(I221,A:F,6,FALSE),H221+4,1)))=FALSE(),J_ADDDAY(VLOOKUP(I221,A:F,6,FALSE),H221+4,1),J_ADDDAY(VLOOKUP(I221,A:F,6,FALSE),H221+5,1))))))</f>
        <v>1398/06/30</v>
      </c>
      <c r="E221" s="2">
        <f t="shared" si="69"/>
        <v>13980630</v>
      </c>
      <c r="F221" s="13" t="str">
        <f>IF(N221=0,J_SUBDAY(D221,1,1),IF((N221-NETWORKDAYS.INTL(J_GregorianDate(D221,1),J_GregorianDate(J_SUBDAY(J_ADDDAY(D221,N221,1),1,1),1),16,1)-SUMIFS(Holieday[ok],Holieday[date],CONCATENATE("&gt;","=",D221),Holieday[date],CONCATENATE("&lt;","=",J_SUBDAY(J_ADDDAY(D221,N221,1),1,1)))+SUMIFS(Holieday[Friday],Holieday[date],CONCATENATE("&gt;","=",D221),Holieday[date],CONCATENATE("&lt;","=",J_SUBDAY(J_ADDDAY(D221,N221,1),1,1))))=0,J_SUBDAY(J_ADDDAY(D221,N221,1),1,1),IF((N221-NETWORKDAYS.INTL(J_GregorianDate(D221,1),J_GregorianDate(J_SUBDAY(J_ADDDAY(D221,N221,1),1,1),1),16,1)-SUMIFS(Holieday[ok],Holieday[date],CONCATENATE("&gt;","=",D221),Holieday[date],CONCATENATE("&lt;","=",J_SUBDAY(J_ADDDAY(D221,N221,1),1,1)))+SUMIFS(Holieday[Friday],Holieday[date],CONCATENATE("&gt;","=",D221),Holieday[date],CONCATENATE("&lt;","=",J_SUBDAY(J_ADDDAY(D221,N221,1),1,1))))=1,J_SUBDAY(J_ADDDAY(D221,N221+1,1),1,1),IF((N221-NETWORKDAYS.INTL(J_GregorianDate(D221,1),J_GregorianDate(J_SUBDAY(J_ADDDAY(D221,N221,1),1,1),1),16,1)-SUMIFS(Holieday[ok],Holieday[date],CONCATENATE("&gt;","=",D221),Holieday[date],CONCATENATE("&lt;","=",J_SUBDAY(J_ADDDAY(D221,N221,1),1,1)))+SUMIFS(Holieday[Friday],Holieday[date],CONCATENATE("&gt;","=",D221),Holieday[date],CONCATENATE("&lt;","=",J_SUBDAY(J_ADDDAY(D221,N221,1),1,1))))=2,J_SUBDAY(J_ADDDAY(D221,N221+2,1),1,1),J_SUBDAY(J_ADDDAY(D221,N221+3,1),1,1)))))</f>
        <v>1398/06/29</v>
      </c>
      <c r="G221" s="3">
        <f t="shared" si="70"/>
        <v>13980629</v>
      </c>
      <c r="H221" s="119"/>
      <c r="I221" s="120">
        <v>10.1</v>
      </c>
      <c r="J221" s="10">
        <f>j_WEEKDAY(D221,2)</f>
        <v>0</v>
      </c>
      <c r="K221" s="22">
        <f t="shared" si="68"/>
        <v>0</v>
      </c>
      <c r="L221" s="9">
        <f t="shared" si="73"/>
        <v>0</v>
      </c>
      <c r="M221" s="121">
        <v>0</v>
      </c>
      <c r="N221" s="118">
        <v>0</v>
      </c>
      <c r="O221" s="11">
        <f t="shared" si="74"/>
        <v>0</v>
      </c>
      <c r="P221" s="11">
        <f>VALUE(J_normdate(J_ADDDAY($D221,$O221,1)))</f>
        <v>13980630</v>
      </c>
      <c r="Q221" s="10">
        <f t="shared" si="75"/>
        <v>0</v>
      </c>
      <c r="R221" s="8"/>
      <c r="S221" s="8"/>
      <c r="T221" s="8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  <c r="AF221" s="8"/>
      <c r="AG221" s="8"/>
      <c r="AH221" s="8"/>
      <c r="AI221" s="8"/>
      <c r="AJ221" s="8"/>
      <c r="AK221" s="8"/>
      <c r="AL221" s="8"/>
      <c r="AM221" s="8"/>
      <c r="AN221" s="8"/>
      <c r="AO221" s="8"/>
      <c r="AP221" s="8"/>
      <c r="AQ221" s="8"/>
      <c r="AR221" s="8"/>
      <c r="AS221" s="8"/>
      <c r="AT221" s="8"/>
      <c r="AU221" s="8"/>
      <c r="AV221" s="8"/>
      <c r="AW221" s="8"/>
      <c r="AX221" s="8"/>
      <c r="AY221" s="8"/>
      <c r="AZ221" s="8"/>
      <c r="BA221" s="8"/>
      <c r="BB221" s="8"/>
      <c r="BC221" s="8"/>
      <c r="BD221" s="8"/>
      <c r="BE221" s="8"/>
      <c r="BF221" s="8"/>
      <c r="BG221" s="8"/>
      <c r="BH221" s="8"/>
      <c r="BI221" s="8"/>
      <c r="BJ221" s="8"/>
      <c r="BK221" s="8"/>
      <c r="BL221" s="8"/>
      <c r="BM221" s="8"/>
      <c r="BN221" s="8"/>
      <c r="BO221" s="8"/>
      <c r="BP221" s="8"/>
      <c r="BQ221" s="8"/>
      <c r="BR221" s="8"/>
      <c r="BS221" s="8"/>
      <c r="BT221" s="8"/>
      <c r="BU221" s="8"/>
      <c r="BV221" s="8"/>
      <c r="BW221" s="8"/>
      <c r="BX221" s="8"/>
      <c r="BY221" s="8"/>
      <c r="BZ221" s="8"/>
      <c r="CA221" s="8"/>
      <c r="CB221" s="8"/>
      <c r="CC221" s="8"/>
      <c r="CD221" s="8"/>
      <c r="CE221" s="8"/>
      <c r="CF221" s="8"/>
      <c r="CG221" s="8"/>
      <c r="CH221" s="8"/>
      <c r="CI221" s="8"/>
      <c r="CJ221" s="8"/>
      <c r="CK221" s="8"/>
      <c r="CL221" s="8"/>
      <c r="CM221" s="8"/>
      <c r="CN221" s="8"/>
      <c r="CO221" s="8"/>
      <c r="CP221" s="8"/>
      <c r="CQ221" s="8"/>
      <c r="CR221" s="8"/>
      <c r="CS221" s="8"/>
      <c r="CT221" s="8"/>
      <c r="CU221" s="8"/>
      <c r="CV221" s="8"/>
      <c r="CW221" s="8"/>
      <c r="CX221" s="8"/>
      <c r="CY221" s="8"/>
      <c r="CZ221" s="8"/>
      <c r="DA221" s="8"/>
      <c r="DB221" s="8"/>
      <c r="DC221" s="8"/>
      <c r="DD221" s="8"/>
      <c r="DE221" s="8"/>
      <c r="DF221" s="8"/>
      <c r="DG221" s="8"/>
      <c r="DH221" s="8"/>
      <c r="DI221" s="8"/>
      <c r="DJ221" s="8"/>
      <c r="DK221" s="8"/>
      <c r="DL221" s="8"/>
      <c r="DM221" s="8"/>
      <c r="DN221" s="8"/>
      <c r="DO221" s="8"/>
      <c r="DP221" s="8"/>
      <c r="DQ221" s="8"/>
      <c r="DR221" s="8"/>
      <c r="DS221" s="8"/>
      <c r="DT221" s="8"/>
      <c r="DU221" s="8"/>
      <c r="DV221" s="8"/>
      <c r="DW221" s="8"/>
      <c r="DX221" s="8"/>
      <c r="DY221" s="8"/>
      <c r="DZ221" s="8"/>
      <c r="EA221" s="8"/>
      <c r="EB221" s="8"/>
      <c r="EC221" s="8"/>
      <c r="ED221" s="8"/>
      <c r="EE221" s="8"/>
      <c r="EF221" s="8"/>
      <c r="EG221" s="8"/>
      <c r="EH221" s="8"/>
      <c r="EI221" s="8"/>
      <c r="EJ221" s="8"/>
      <c r="EK221" s="8"/>
      <c r="EL221" s="8"/>
      <c r="EM221" s="8"/>
      <c r="EN221" s="8"/>
      <c r="EO221" s="8"/>
      <c r="EP221" s="8"/>
      <c r="EQ221" s="8"/>
      <c r="ER221" s="8"/>
      <c r="ES221" s="8"/>
      <c r="ET221" s="8"/>
      <c r="EU221" s="8"/>
      <c r="EV221" s="8"/>
      <c r="EW221" s="8"/>
      <c r="EX221" s="8"/>
      <c r="EY221" s="8"/>
      <c r="EZ221" s="8"/>
      <c r="FA221" s="8"/>
      <c r="FB221" s="8"/>
      <c r="FC221" s="8"/>
      <c r="FD221" s="8"/>
      <c r="FE221" s="8"/>
      <c r="FF221" s="8"/>
      <c r="FG221" s="8"/>
      <c r="FH221" s="8"/>
      <c r="FI221" s="8"/>
      <c r="FJ221" s="8"/>
      <c r="FK221" s="8"/>
      <c r="FL221" s="8"/>
      <c r="FM221" s="8"/>
      <c r="FN221" s="8"/>
      <c r="FO221" s="8"/>
      <c r="FP221" s="8"/>
      <c r="FQ221" s="8"/>
      <c r="FR221" s="8"/>
      <c r="FS221" s="8"/>
      <c r="FT221" s="8"/>
      <c r="FU221" s="8"/>
      <c r="FV221" s="8"/>
      <c r="FW221" s="8"/>
      <c r="FX221" s="8"/>
      <c r="FY221" s="8"/>
      <c r="FZ221" s="8"/>
      <c r="GA221" s="8"/>
      <c r="GB221" s="8"/>
      <c r="GC221" s="8"/>
      <c r="GD221" s="8"/>
      <c r="GE221" s="8"/>
      <c r="GF221" s="8"/>
      <c r="GG221" s="8"/>
      <c r="GH221" s="8"/>
      <c r="GI221" s="8"/>
      <c r="GJ221" s="8"/>
      <c r="GK221" s="8"/>
      <c r="GL221" s="8"/>
      <c r="GM221" s="8"/>
      <c r="GN221" s="8"/>
      <c r="GO221" s="8"/>
      <c r="GP221" s="8"/>
      <c r="GQ221" s="8"/>
      <c r="GR221" s="8"/>
      <c r="GS221" s="8"/>
      <c r="GT221" s="8"/>
      <c r="GU221" s="8"/>
      <c r="GV221" s="8"/>
      <c r="GW221" s="8"/>
      <c r="GX221" s="8"/>
      <c r="GY221" s="8"/>
      <c r="GZ221" s="8"/>
      <c r="HA221" s="8"/>
      <c r="HB221" s="8"/>
      <c r="HC221" s="8"/>
      <c r="HD221" s="8"/>
      <c r="HE221" s="8"/>
      <c r="HF221" s="8"/>
      <c r="HG221" s="8"/>
      <c r="HH221" s="8"/>
      <c r="HI221" s="8"/>
      <c r="HJ221" s="8"/>
      <c r="HK221" s="8"/>
      <c r="HL221" s="8"/>
      <c r="HM221" s="8"/>
      <c r="HN221" s="8"/>
      <c r="HO221" s="8"/>
      <c r="HP221" s="8"/>
      <c r="HQ221" s="8"/>
      <c r="HR221" s="8"/>
      <c r="HS221" s="8"/>
      <c r="HT221" s="8"/>
      <c r="HU221" s="8"/>
      <c r="HV221" s="8"/>
      <c r="HW221" s="8"/>
      <c r="HX221" s="8"/>
      <c r="HY221" s="8"/>
      <c r="HZ221" s="8"/>
      <c r="IA221" s="8"/>
      <c r="IB221" s="8"/>
      <c r="IC221" s="8"/>
      <c r="ID221" s="8"/>
      <c r="IE221" s="8"/>
      <c r="IF221" s="8"/>
      <c r="IG221" s="8"/>
      <c r="IH221" s="8"/>
      <c r="II221" s="8"/>
      <c r="IJ221" s="8"/>
      <c r="IK221" s="8"/>
      <c r="IL221" s="8"/>
      <c r="IM221" s="8"/>
      <c r="IN221" s="8"/>
      <c r="IO221" s="8"/>
      <c r="IP221" s="8"/>
      <c r="IQ221" s="8"/>
      <c r="IR221" s="8"/>
      <c r="IS221" s="8"/>
      <c r="IT221" s="8"/>
      <c r="IU221" s="8"/>
      <c r="IV221" s="8"/>
      <c r="IW221" s="8"/>
      <c r="IX221" s="8"/>
      <c r="JA221" s="123"/>
      <c r="JB221" s="123"/>
      <c r="JC221" s="123"/>
      <c r="JD221" s="70">
        <f>SUM((TEXT(JA221,"[M]")/60)*'Income Person-hours'!$D$3,(TEXT(JB221,"[M]")/60)*'Income Person-hours'!$D$4,(TEXT(JC221,"[M]")/60)*'Income Person-hours'!$D$5)</f>
        <v>0</v>
      </c>
    </row>
    <row r="222" spans="1:264 16383:16384" s="12" customFormat="1" ht="15.75" hidden="1" x14ac:dyDescent="0.45">
      <c r="A222" s="32">
        <v>10.3</v>
      </c>
      <c r="B222" s="126"/>
      <c r="C222" s="117"/>
      <c r="D222" s="13" t="str">
        <f>IF(OR(j_WEEKDAY(J_ADDDAY(VLOOKUP(I222,A:F,6,FALSE),H222,1),0)=6,SUMIFS(Holieday[ok],Holieday[date],J_ADDDAY(VLOOKUP(I222,A:F,6,FALSE),H222,1)))=FALSE(),J_ADDDAY(VLOOKUP(I222,A:F,6,FALSE),H222,1),IF(OR(j_WEEKDAY(J_ADDDAY(VLOOKUP(I222,A:F,6,FALSE),H222+1,1),0)=6,SUMIFS(Holieday[ok],Holieday[date],J_ADDDAY(VLOOKUP(I222,A:F,6,FALSE),H222+1,1)))=FALSE(),J_ADDDAY(VLOOKUP(I222,A:F,6,FALSE),H222+1,1),IF(OR(j_WEEKDAY(J_ADDDAY(VLOOKUP(I222,A:F,6,FALSE),H222+2,1),0)=6,SUMIFS(Holieday[ok],Holieday[date],J_ADDDAY(VLOOKUP(I222,A:F,6,FALSE),H222+2,1)))=FALSE(),J_ADDDAY(VLOOKUP(I222,A:F,6,FALSE),H222+2,1),IF(OR(j_WEEKDAY(J_ADDDAY(VLOOKUP(I222,A:F,6,FALSE),H222+3,1),0)=6,SUMIFS(Holieday[ok],Holieday[date],J_ADDDAY(VLOOKUP(I222,A:F,6,FALSE),H222+3,1)))=FALSE(),J_ADDDAY(VLOOKUP(I222,A:F,6,FALSE),H222+3,1),IF(OR(j_WEEKDAY(J_ADDDAY(VLOOKUP(I222,A:F,6,FALSE),H222+4,1),0)=6,SUMIFS(Holieday[ok],Holieday[date],J_ADDDAY(VLOOKUP(I222,A:F,6,FALSE),H222+4,1)))=FALSE(),J_ADDDAY(VLOOKUP(I222,A:F,6,FALSE),H222+4,1),J_ADDDAY(VLOOKUP(I222,A:F,6,FALSE),H222+5,1))))))</f>
        <v>1398/06/30</v>
      </c>
      <c r="E222" s="2">
        <f t="shared" si="69"/>
        <v>13980630</v>
      </c>
      <c r="F222" s="13" t="str">
        <f>IF(N222=0,J_SUBDAY(D222,1,1),IF((N222-NETWORKDAYS.INTL(J_GregorianDate(D222,1),J_GregorianDate(J_SUBDAY(J_ADDDAY(D222,N222,1),1,1),1),16,1)-SUMIFS(Holieday[ok],Holieday[date],CONCATENATE("&gt;","=",D222),Holieday[date],CONCATENATE("&lt;","=",J_SUBDAY(J_ADDDAY(D222,N222,1),1,1)))+SUMIFS(Holieday[Friday],Holieday[date],CONCATENATE("&gt;","=",D222),Holieday[date],CONCATENATE("&lt;","=",J_SUBDAY(J_ADDDAY(D222,N222,1),1,1))))=0,J_SUBDAY(J_ADDDAY(D222,N222,1),1,1),IF((N222-NETWORKDAYS.INTL(J_GregorianDate(D222,1),J_GregorianDate(J_SUBDAY(J_ADDDAY(D222,N222,1),1,1),1),16,1)-SUMIFS(Holieday[ok],Holieday[date],CONCATENATE("&gt;","=",D222),Holieday[date],CONCATENATE("&lt;","=",J_SUBDAY(J_ADDDAY(D222,N222,1),1,1)))+SUMIFS(Holieday[Friday],Holieday[date],CONCATENATE("&gt;","=",D222),Holieday[date],CONCATENATE("&lt;","=",J_SUBDAY(J_ADDDAY(D222,N222,1),1,1))))=1,J_SUBDAY(J_ADDDAY(D222,N222+1,1),1,1),IF((N222-NETWORKDAYS.INTL(J_GregorianDate(D222,1),J_GregorianDate(J_SUBDAY(J_ADDDAY(D222,N222,1),1,1),1),16,1)-SUMIFS(Holieday[ok],Holieday[date],CONCATENATE("&gt;","=",D222),Holieday[date],CONCATENATE("&lt;","=",J_SUBDAY(J_ADDDAY(D222,N222,1),1,1)))+SUMIFS(Holieday[Friday],Holieday[date],CONCATENATE("&gt;","=",D222),Holieday[date],CONCATENATE("&lt;","=",J_SUBDAY(J_ADDDAY(D222,N222,1),1,1))))=2,J_SUBDAY(J_ADDDAY(D222,N222+2,1),1,1),J_SUBDAY(J_ADDDAY(D222,N222+3,1),1,1)))))</f>
        <v>1398/06/29</v>
      </c>
      <c r="G222" s="3">
        <f t="shared" si="70"/>
        <v>13980629</v>
      </c>
      <c r="H222" s="119"/>
      <c r="I222" s="120">
        <v>10.1</v>
      </c>
      <c r="J222" s="10">
        <f>j_WEEKDAY(D222,2)</f>
        <v>0</v>
      </c>
      <c r="K222" s="22">
        <f t="shared" si="68"/>
        <v>0</v>
      </c>
      <c r="L222" s="9">
        <f t="shared" si="73"/>
        <v>0</v>
      </c>
      <c r="M222" s="121">
        <v>0</v>
      </c>
      <c r="N222" s="118">
        <v>0</v>
      </c>
      <c r="O222" s="11">
        <f t="shared" si="74"/>
        <v>0</v>
      </c>
      <c r="P222" s="11">
        <f>VALUE(J_normdate(J_ADDDAY($D222,$O222,1)))</f>
        <v>13980630</v>
      </c>
      <c r="Q222" s="10">
        <f t="shared" si="75"/>
        <v>0</v>
      </c>
      <c r="R222" s="8"/>
      <c r="S222" s="8"/>
      <c r="T222" s="8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/>
      <c r="AH222" s="8"/>
      <c r="AI222" s="8"/>
      <c r="AJ222" s="8"/>
      <c r="AK222" s="8"/>
      <c r="AL222" s="8"/>
      <c r="AM222" s="8"/>
      <c r="AN222" s="8"/>
      <c r="AO222" s="8"/>
      <c r="AP222" s="8"/>
      <c r="AQ222" s="8"/>
      <c r="AR222" s="8"/>
      <c r="AS222" s="8"/>
      <c r="AT222" s="8"/>
      <c r="AU222" s="8"/>
      <c r="AV222" s="8"/>
      <c r="AW222" s="8"/>
      <c r="AX222" s="8"/>
      <c r="AY222" s="8"/>
      <c r="AZ222" s="8"/>
      <c r="BA222" s="8"/>
      <c r="BB222" s="8"/>
      <c r="BC222" s="8"/>
      <c r="BD222" s="8"/>
      <c r="BE222" s="8"/>
      <c r="BF222" s="8"/>
      <c r="BG222" s="8"/>
      <c r="BH222" s="8"/>
      <c r="BI222" s="8"/>
      <c r="BJ222" s="8"/>
      <c r="BK222" s="8"/>
      <c r="BL222" s="8"/>
      <c r="BM222" s="8"/>
      <c r="BN222" s="8"/>
      <c r="BO222" s="8"/>
      <c r="BP222" s="8"/>
      <c r="BQ222" s="8"/>
      <c r="BR222" s="8"/>
      <c r="BS222" s="8"/>
      <c r="BT222" s="8"/>
      <c r="BU222" s="8"/>
      <c r="BV222" s="8"/>
      <c r="BW222" s="8"/>
      <c r="BX222" s="8"/>
      <c r="BY222" s="8"/>
      <c r="BZ222" s="8"/>
      <c r="CA222" s="8"/>
      <c r="CB222" s="8"/>
      <c r="CC222" s="8"/>
      <c r="CD222" s="8"/>
      <c r="CE222" s="8"/>
      <c r="CF222" s="8"/>
      <c r="CG222" s="8"/>
      <c r="CH222" s="8"/>
      <c r="CI222" s="8"/>
      <c r="CJ222" s="8"/>
      <c r="CK222" s="8"/>
      <c r="CL222" s="8"/>
      <c r="CM222" s="8"/>
      <c r="CN222" s="8"/>
      <c r="CO222" s="8"/>
      <c r="CP222" s="8"/>
      <c r="CQ222" s="8"/>
      <c r="CR222" s="8"/>
      <c r="CS222" s="8"/>
      <c r="CT222" s="8"/>
      <c r="CU222" s="8"/>
      <c r="CV222" s="8"/>
      <c r="CW222" s="8"/>
      <c r="CX222" s="8"/>
      <c r="CY222" s="8"/>
      <c r="CZ222" s="8"/>
      <c r="DA222" s="8"/>
      <c r="DB222" s="8"/>
      <c r="DC222" s="8"/>
      <c r="DD222" s="8"/>
      <c r="DE222" s="8"/>
      <c r="DF222" s="8"/>
      <c r="DG222" s="8"/>
      <c r="DH222" s="8"/>
      <c r="DI222" s="8"/>
      <c r="DJ222" s="8"/>
      <c r="DK222" s="8"/>
      <c r="DL222" s="8"/>
      <c r="DM222" s="8"/>
      <c r="DN222" s="8"/>
      <c r="DO222" s="8"/>
      <c r="DP222" s="8"/>
      <c r="DQ222" s="8"/>
      <c r="DR222" s="8"/>
      <c r="DS222" s="8"/>
      <c r="DT222" s="8"/>
      <c r="DU222" s="8"/>
      <c r="DV222" s="8"/>
      <c r="DW222" s="8"/>
      <c r="DX222" s="8"/>
      <c r="DY222" s="8"/>
      <c r="DZ222" s="8"/>
      <c r="EA222" s="8"/>
      <c r="EB222" s="8"/>
      <c r="EC222" s="8"/>
      <c r="ED222" s="8"/>
      <c r="EE222" s="8"/>
      <c r="EF222" s="8"/>
      <c r="EG222" s="8"/>
      <c r="EH222" s="8"/>
      <c r="EI222" s="8"/>
      <c r="EJ222" s="8"/>
      <c r="EK222" s="8"/>
      <c r="EL222" s="8"/>
      <c r="EM222" s="8"/>
      <c r="EN222" s="8"/>
      <c r="EO222" s="8"/>
      <c r="EP222" s="8"/>
      <c r="EQ222" s="8"/>
      <c r="ER222" s="8"/>
      <c r="ES222" s="8"/>
      <c r="ET222" s="8"/>
      <c r="EU222" s="8"/>
      <c r="EV222" s="8"/>
      <c r="EW222" s="8"/>
      <c r="EX222" s="8"/>
      <c r="EY222" s="8"/>
      <c r="EZ222" s="8"/>
      <c r="FA222" s="8"/>
      <c r="FB222" s="8"/>
      <c r="FC222" s="8"/>
      <c r="FD222" s="8"/>
      <c r="FE222" s="8"/>
      <c r="FF222" s="8"/>
      <c r="FG222" s="8"/>
      <c r="FH222" s="8"/>
      <c r="FI222" s="8"/>
      <c r="FJ222" s="8"/>
      <c r="FK222" s="8"/>
      <c r="FL222" s="8"/>
      <c r="FM222" s="8"/>
      <c r="FN222" s="8"/>
      <c r="FO222" s="8"/>
      <c r="FP222" s="8"/>
      <c r="FQ222" s="8"/>
      <c r="FR222" s="8"/>
      <c r="FS222" s="8"/>
      <c r="FT222" s="8"/>
      <c r="FU222" s="8"/>
      <c r="FV222" s="8"/>
      <c r="FW222" s="8"/>
      <c r="FX222" s="8"/>
      <c r="FY222" s="8"/>
      <c r="FZ222" s="8"/>
      <c r="GA222" s="8"/>
      <c r="GB222" s="8"/>
      <c r="GC222" s="8"/>
      <c r="GD222" s="8"/>
      <c r="GE222" s="8"/>
      <c r="GF222" s="8"/>
      <c r="GG222" s="8"/>
      <c r="GH222" s="8"/>
      <c r="GI222" s="8"/>
      <c r="GJ222" s="8"/>
      <c r="GK222" s="8"/>
      <c r="GL222" s="8"/>
      <c r="GM222" s="8"/>
      <c r="GN222" s="8"/>
      <c r="GO222" s="8"/>
      <c r="GP222" s="8"/>
      <c r="GQ222" s="8"/>
      <c r="GR222" s="8"/>
      <c r="GS222" s="8"/>
      <c r="GT222" s="8"/>
      <c r="GU222" s="8"/>
      <c r="GV222" s="8"/>
      <c r="GW222" s="8"/>
      <c r="GX222" s="8"/>
      <c r="GY222" s="8"/>
      <c r="GZ222" s="8"/>
      <c r="HA222" s="8"/>
      <c r="HB222" s="8"/>
      <c r="HC222" s="8"/>
      <c r="HD222" s="8"/>
      <c r="HE222" s="8"/>
      <c r="HF222" s="8"/>
      <c r="HG222" s="8"/>
      <c r="HH222" s="8"/>
      <c r="HI222" s="8"/>
      <c r="HJ222" s="8"/>
      <c r="HK222" s="8"/>
      <c r="HL222" s="8"/>
      <c r="HM222" s="8"/>
      <c r="HN222" s="8"/>
      <c r="HO222" s="8"/>
      <c r="HP222" s="8"/>
      <c r="HQ222" s="8"/>
      <c r="HR222" s="8"/>
      <c r="HS222" s="8"/>
      <c r="HT222" s="8"/>
      <c r="HU222" s="8"/>
      <c r="HV222" s="8"/>
      <c r="HW222" s="8"/>
      <c r="HX222" s="8"/>
      <c r="HY222" s="8"/>
      <c r="HZ222" s="8"/>
      <c r="IA222" s="8"/>
      <c r="IB222" s="8"/>
      <c r="IC222" s="8"/>
      <c r="ID222" s="8"/>
      <c r="IE222" s="8"/>
      <c r="IF222" s="8"/>
      <c r="IG222" s="8"/>
      <c r="IH222" s="8"/>
      <c r="II222" s="8"/>
      <c r="IJ222" s="8"/>
      <c r="IK222" s="8"/>
      <c r="IL222" s="8"/>
      <c r="IM222" s="8"/>
      <c r="IN222" s="8"/>
      <c r="IO222" s="8"/>
      <c r="IP222" s="8"/>
      <c r="IQ222" s="8"/>
      <c r="IR222" s="8"/>
      <c r="IS222" s="8"/>
      <c r="IT222" s="8"/>
      <c r="IU222" s="8"/>
      <c r="IV222" s="8"/>
      <c r="IW222" s="8"/>
      <c r="IX222" s="8"/>
      <c r="JA222" s="123"/>
      <c r="JB222" s="123"/>
      <c r="JC222" s="123"/>
      <c r="JD222" s="70">
        <f>SUM((TEXT(JA222,"[M]")/60)*'Income Person-hours'!$D$3,(TEXT(JB222,"[M]")/60)*'Income Person-hours'!$D$4,(TEXT(JC222,"[M]")/60)*'Income Person-hours'!$D$5)</f>
        <v>0</v>
      </c>
    </row>
    <row r="223" spans="1:264 16383:16384" s="12" customFormat="1" ht="15.75" hidden="1" x14ac:dyDescent="0.45">
      <c r="A223" s="32">
        <v>10.4</v>
      </c>
      <c r="B223" s="126"/>
      <c r="C223" s="117"/>
      <c r="D223" s="13" t="str">
        <f>IF(OR(j_WEEKDAY(J_ADDDAY(VLOOKUP(I223,A:F,6,FALSE),H223,1),0)=6,SUMIFS(Holieday[ok],Holieday[date],J_ADDDAY(VLOOKUP(I223,A:F,6,FALSE),H223,1)))=FALSE(),J_ADDDAY(VLOOKUP(I223,A:F,6,FALSE),H223,1),IF(OR(j_WEEKDAY(J_ADDDAY(VLOOKUP(I223,A:F,6,FALSE),H223+1,1),0)=6,SUMIFS(Holieday[ok],Holieday[date],J_ADDDAY(VLOOKUP(I223,A:F,6,FALSE),H223+1,1)))=FALSE(),J_ADDDAY(VLOOKUP(I223,A:F,6,FALSE),H223+1,1),IF(OR(j_WEEKDAY(J_ADDDAY(VLOOKUP(I223,A:F,6,FALSE),H223+2,1),0)=6,SUMIFS(Holieday[ok],Holieday[date],J_ADDDAY(VLOOKUP(I223,A:F,6,FALSE),H223+2,1)))=FALSE(),J_ADDDAY(VLOOKUP(I223,A:F,6,FALSE),H223+2,1),IF(OR(j_WEEKDAY(J_ADDDAY(VLOOKUP(I223,A:F,6,FALSE),H223+3,1),0)=6,SUMIFS(Holieday[ok],Holieday[date],J_ADDDAY(VLOOKUP(I223,A:F,6,FALSE),H223+3,1)))=FALSE(),J_ADDDAY(VLOOKUP(I223,A:F,6,FALSE),H223+3,1),IF(OR(j_WEEKDAY(J_ADDDAY(VLOOKUP(I223,A:F,6,FALSE),H223+4,1),0)=6,SUMIFS(Holieday[ok],Holieday[date],J_ADDDAY(VLOOKUP(I223,A:F,6,FALSE),H223+4,1)))=FALSE(),J_ADDDAY(VLOOKUP(I223,A:F,6,FALSE),H223+4,1),J_ADDDAY(VLOOKUP(I223,A:F,6,FALSE),H223+5,1))))))</f>
        <v>1398/06/30</v>
      </c>
      <c r="E223" s="2">
        <f t="shared" si="69"/>
        <v>13980630</v>
      </c>
      <c r="F223" s="13" t="str">
        <f>IF(N223=0,J_SUBDAY(D223,1,1),IF((N223-NETWORKDAYS.INTL(J_GregorianDate(D223,1),J_GregorianDate(J_SUBDAY(J_ADDDAY(D223,N223,1),1,1),1),16,1)-SUMIFS(Holieday[ok],Holieday[date],CONCATENATE("&gt;","=",D223),Holieday[date],CONCATENATE("&lt;","=",J_SUBDAY(J_ADDDAY(D223,N223,1),1,1)))+SUMIFS(Holieday[Friday],Holieday[date],CONCATENATE("&gt;","=",D223),Holieday[date],CONCATENATE("&lt;","=",J_SUBDAY(J_ADDDAY(D223,N223,1),1,1))))=0,J_SUBDAY(J_ADDDAY(D223,N223,1),1,1),IF((N223-NETWORKDAYS.INTL(J_GregorianDate(D223,1),J_GregorianDate(J_SUBDAY(J_ADDDAY(D223,N223,1),1,1),1),16,1)-SUMIFS(Holieday[ok],Holieday[date],CONCATENATE("&gt;","=",D223),Holieday[date],CONCATENATE("&lt;","=",J_SUBDAY(J_ADDDAY(D223,N223,1),1,1)))+SUMIFS(Holieday[Friday],Holieday[date],CONCATENATE("&gt;","=",D223),Holieday[date],CONCATENATE("&lt;","=",J_SUBDAY(J_ADDDAY(D223,N223,1),1,1))))=1,J_SUBDAY(J_ADDDAY(D223,N223+1,1),1,1),IF((N223-NETWORKDAYS.INTL(J_GregorianDate(D223,1),J_GregorianDate(J_SUBDAY(J_ADDDAY(D223,N223,1),1,1),1),16,1)-SUMIFS(Holieday[ok],Holieday[date],CONCATENATE("&gt;","=",D223),Holieday[date],CONCATENATE("&lt;","=",J_SUBDAY(J_ADDDAY(D223,N223,1),1,1)))+SUMIFS(Holieday[Friday],Holieday[date],CONCATENATE("&gt;","=",D223),Holieday[date],CONCATENATE("&lt;","=",J_SUBDAY(J_ADDDAY(D223,N223,1),1,1))))=2,J_SUBDAY(J_ADDDAY(D223,N223+2,1),1,1),J_SUBDAY(J_ADDDAY(D223,N223+3,1),1,1)))))</f>
        <v>1398/06/29</v>
      </c>
      <c r="G223" s="3">
        <f t="shared" si="70"/>
        <v>13980629</v>
      </c>
      <c r="H223" s="119"/>
      <c r="I223" s="120">
        <v>10.1</v>
      </c>
      <c r="J223" s="10">
        <f>j_WEEKDAY(D223,2)</f>
        <v>0</v>
      </c>
      <c r="K223" s="22">
        <f t="shared" si="68"/>
        <v>0</v>
      </c>
      <c r="L223" s="9">
        <f t="shared" si="73"/>
        <v>0</v>
      </c>
      <c r="M223" s="121">
        <v>0</v>
      </c>
      <c r="N223" s="118">
        <v>0</v>
      </c>
      <c r="O223" s="11">
        <f t="shared" si="74"/>
        <v>0</v>
      </c>
      <c r="P223" s="11">
        <f>VALUE(J_normdate(J_ADDDAY($D223,$O223,1)))</f>
        <v>13980630</v>
      </c>
      <c r="Q223" s="10">
        <f t="shared" si="75"/>
        <v>0</v>
      </c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  <c r="AS223" s="8"/>
      <c r="AT223" s="8"/>
      <c r="AU223" s="8"/>
      <c r="AV223" s="8"/>
      <c r="AW223" s="8"/>
      <c r="AX223" s="8"/>
      <c r="AY223" s="8"/>
      <c r="AZ223" s="8"/>
      <c r="BA223" s="8"/>
      <c r="BB223" s="8"/>
      <c r="BC223" s="8"/>
      <c r="BD223" s="8"/>
      <c r="BE223" s="8"/>
      <c r="BF223" s="8"/>
      <c r="BG223" s="8"/>
      <c r="BH223" s="8"/>
      <c r="BI223" s="8"/>
      <c r="BJ223" s="8"/>
      <c r="BK223" s="8"/>
      <c r="BL223" s="8"/>
      <c r="BM223" s="8"/>
      <c r="BN223" s="8"/>
      <c r="BO223" s="8"/>
      <c r="BP223" s="8"/>
      <c r="BQ223" s="8"/>
      <c r="BR223" s="8"/>
      <c r="BS223" s="8"/>
      <c r="BT223" s="8"/>
      <c r="BU223" s="8"/>
      <c r="BV223" s="8"/>
      <c r="BW223" s="8"/>
      <c r="BX223" s="8"/>
      <c r="BY223" s="8"/>
      <c r="BZ223" s="8"/>
      <c r="CA223" s="8"/>
      <c r="CB223" s="8"/>
      <c r="CC223" s="8"/>
      <c r="CD223" s="8"/>
      <c r="CE223" s="8"/>
      <c r="CF223" s="8"/>
      <c r="CG223" s="8"/>
      <c r="CH223" s="8"/>
      <c r="CI223" s="8"/>
      <c r="CJ223" s="8"/>
      <c r="CK223" s="8"/>
      <c r="CL223" s="8"/>
      <c r="CM223" s="8"/>
      <c r="CN223" s="8"/>
      <c r="CO223" s="8"/>
      <c r="CP223" s="8"/>
      <c r="CQ223" s="8"/>
      <c r="CR223" s="8"/>
      <c r="CS223" s="8"/>
      <c r="CT223" s="8"/>
      <c r="CU223" s="8"/>
      <c r="CV223" s="8"/>
      <c r="CW223" s="8"/>
      <c r="CX223" s="8"/>
      <c r="CY223" s="8"/>
      <c r="CZ223" s="8"/>
      <c r="DA223" s="8"/>
      <c r="DB223" s="8"/>
      <c r="DC223" s="8"/>
      <c r="DD223" s="8"/>
      <c r="DE223" s="8"/>
      <c r="DF223" s="8"/>
      <c r="DG223" s="8"/>
      <c r="DH223" s="8"/>
      <c r="DI223" s="8"/>
      <c r="DJ223" s="8"/>
      <c r="DK223" s="8"/>
      <c r="DL223" s="8"/>
      <c r="DM223" s="8"/>
      <c r="DN223" s="8"/>
      <c r="DO223" s="8"/>
      <c r="DP223" s="8"/>
      <c r="DQ223" s="8"/>
      <c r="DR223" s="8"/>
      <c r="DS223" s="8"/>
      <c r="DT223" s="8"/>
      <c r="DU223" s="8"/>
      <c r="DV223" s="8"/>
      <c r="DW223" s="8"/>
      <c r="DX223" s="8"/>
      <c r="DY223" s="8"/>
      <c r="DZ223" s="8"/>
      <c r="EA223" s="8"/>
      <c r="EB223" s="8"/>
      <c r="EC223" s="8"/>
      <c r="ED223" s="8"/>
      <c r="EE223" s="8"/>
      <c r="EF223" s="8"/>
      <c r="EG223" s="8"/>
      <c r="EH223" s="8"/>
      <c r="EI223" s="8"/>
      <c r="EJ223" s="8"/>
      <c r="EK223" s="8"/>
      <c r="EL223" s="8"/>
      <c r="EM223" s="8"/>
      <c r="EN223" s="8"/>
      <c r="EO223" s="8"/>
      <c r="EP223" s="8"/>
      <c r="EQ223" s="8"/>
      <c r="ER223" s="8"/>
      <c r="ES223" s="8"/>
      <c r="ET223" s="8"/>
      <c r="EU223" s="8"/>
      <c r="EV223" s="8"/>
      <c r="EW223" s="8"/>
      <c r="EX223" s="8"/>
      <c r="EY223" s="8"/>
      <c r="EZ223" s="8"/>
      <c r="FA223" s="8"/>
      <c r="FB223" s="8"/>
      <c r="FC223" s="8"/>
      <c r="FD223" s="8"/>
      <c r="FE223" s="8"/>
      <c r="FF223" s="8"/>
      <c r="FG223" s="8"/>
      <c r="FH223" s="8"/>
      <c r="FI223" s="8"/>
      <c r="FJ223" s="8"/>
      <c r="FK223" s="8"/>
      <c r="FL223" s="8"/>
      <c r="FM223" s="8"/>
      <c r="FN223" s="8"/>
      <c r="FO223" s="8"/>
      <c r="FP223" s="8"/>
      <c r="FQ223" s="8"/>
      <c r="FR223" s="8"/>
      <c r="FS223" s="8"/>
      <c r="FT223" s="8"/>
      <c r="FU223" s="8"/>
      <c r="FV223" s="8"/>
      <c r="FW223" s="8"/>
      <c r="FX223" s="8"/>
      <c r="FY223" s="8"/>
      <c r="FZ223" s="8"/>
      <c r="GA223" s="8"/>
      <c r="GB223" s="8"/>
      <c r="GC223" s="8"/>
      <c r="GD223" s="8"/>
      <c r="GE223" s="8"/>
      <c r="GF223" s="8"/>
      <c r="GG223" s="8"/>
      <c r="GH223" s="8"/>
      <c r="GI223" s="8"/>
      <c r="GJ223" s="8"/>
      <c r="GK223" s="8"/>
      <c r="GL223" s="8"/>
      <c r="GM223" s="8"/>
      <c r="GN223" s="8"/>
      <c r="GO223" s="8"/>
      <c r="GP223" s="8"/>
      <c r="GQ223" s="8"/>
      <c r="GR223" s="8"/>
      <c r="GS223" s="8"/>
      <c r="GT223" s="8"/>
      <c r="GU223" s="8"/>
      <c r="GV223" s="8"/>
      <c r="GW223" s="8"/>
      <c r="GX223" s="8"/>
      <c r="GY223" s="8"/>
      <c r="GZ223" s="8"/>
      <c r="HA223" s="8"/>
      <c r="HB223" s="8"/>
      <c r="HC223" s="8"/>
      <c r="HD223" s="8"/>
      <c r="HE223" s="8"/>
      <c r="HF223" s="8"/>
      <c r="HG223" s="8"/>
      <c r="HH223" s="8"/>
      <c r="HI223" s="8"/>
      <c r="HJ223" s="8"/>
      <c r="HK223" s="8"/>
      <c r="HL223" s="8"/>
      <c r="HM223" s="8"/>
      <c r="HN223" s="8"/>
      <c r="HO223" s="8"/>
      <c r="HP223" s="8"/>
      <c r="HQ223" s="8"/>
      <c r="HR223" s="8"/>
      <c r="HS223" s="8"/>
      <c r="HT223" s="8"/>
      <c r="HU223" s="8"/>
      <c r="HV223" s="8"/>
      <c r="HW223" s="8"/>
      <c r="HX223" s="8"/>
      <c r="HY223" s="8"/>
      <c r="HZ223" s="8"/>
      <c r="IA223" s="8"/>
      <c r="IB223" s="8"/>
      <c r="IC223" s="8"/>
      <c r="ID223" s="8"/>
      <c r="IE223" s="8"/>
      <c r="IF223" s="8"/>
      <c r="IG223" s="8"/>
      <c r="IH223" s="8"/>
      <c r="II223" s="8"/>
      <c r="IJ223" s="8"/>
      <c r="IK223" s="8"/>
      <c r="IL223" s="8"/>
      <c r="IM223" s="8"/>
      <c r="IN223" s="8"/>
      <c r="IO223" s="8"/>
      <c r="IP223" s="8"/>
      <c r="IQ223" s="8"/>
      <c r="IR223" s="8"/>
      <c r="IS223" s="8"/>
      <c r="IT223" s="8"/>
      <c r="IU223" s="8"/>
      <c r="IV223" s="8"/>
      <c r="IW223" s="8"/>
      <c r="IX223" s="8"/>
      <c r="JA223" s="123"/>
      <c r="JB223" s="123"/>
      <c r="JC223" s="123"/>
      <c r="JD223" s="70">
        <f>SUM((TEXT(JA223,"[M]")/60)*'Income Person-hours'!$D$3,(TEXT(JB223,"[M]")/60)*'Income Person-hours'!$D$4,(TEXT(JC223,"[M]")/60)*'Income Person-hours'!$D$5)</f>
        <v>0</v>
      </c>
    </row>
    <row r="224" spans="1:264 16383:16384" s="12" customFormat="1" ht="15.75" hidden="1" x14ac:dyDescent="0.45">
      <c r="A224" s="32">
        <v>10.5</v>
      </c>
      <c r="B224" s="126"/>
      <c r="C224" s="117"/>
      <c r="D224" s="13" t="str">
        <f>IF(OR(j_WEEKDAY(J_ADDDAY(VLOOKUP(I224,A:F,6,FALSE),H224,1),0)=6,SUMIFS(Holieday[ok],Holieday[date],J_ADDDAY(VLOOKUP(I224,A:F,6,FALSE),H224,1)))=FALSE(),J_ADDDAY(VLOOKUP(I224,A:F,6,FALSE),H224,1),IF(OR(j_WEEKDAY(J_ADDDAY(VLOOKUP(I224,A:F,6,FALSE),H224+1,1),0)=6,SUMIFS(Holieday[ok],Holieday[date],J_ADDDAY(VLOOKUP(I224,A:F,6,FALSE),H224+1,1)))=FALSE(),J_ADDDAY(VLOOKUP(I224,A:F,6,FALSE),H224+1,1),IF(OR(j_WEEKDAY(J_ADDDAY(VLOOKUP(I224,A:F,6,FALSE),H224+2,1),0)=6,SUMIFS(Holieday[ok],Holieday[date],J_ADDDAY(VLOOKUP(I224,A:F,6,FALSE),H224+2,1)))=FALSE(),J_ADDDAY(VLOOKUP(I224,A:F,6,FALSE),H224+2,1),IF(OR(j_WEEKDAY(J_ADDDAY(VLOOKUP(I224,A:F,6,FALSE),H224+3,1),0)=6,SUMIFS(Holieday[ok],Holieday[date],J_ADDDAY(VLOOKUP(I224,A:F,6,FALSE),H224+3,1)))=FALSE(),J_ADDDAY(VLOOKUP(I224,A:F,6,FALSE),H224+3,1),IF(OR(j_WEEKDAY(J_ADDDAY(VLOOKUP(I224,A:F,6,FALSE),H224+4,1),0)=6,SUMIFS(Holieday[ok],Holieday[date],J_ADDDAY(VLOOKUP(I224,A:F,6,FALSE),H224+4,1)))=FALSE(),J_ADDDAY(VLOOKUP(I224,A:F,6,FALSE),H224+4,1),J_ADDDAY(VLOOKUP(I224,A:F,6,FALSE),H224+5,1))))))</f>
        <v>1398/06/30</v>
      </c>
      <c r="E224" s="2">
        <f t="shared" si="69"/>
        <v>13980630</v>
      </c>
      <c r="F224" s="13" t="str">
        <f>IF(N224=0,J_SUBDAY(D224,1,1),IF((N224-NETWORKDAYS.INTL(J_GregorianDate(D224,1),J_GregorianDate(J_SUBDAY(J_ADDDAY(D224,N224,1),1,1),1),16,1)-SUMIFS(Holieday[ok],Holieday[date],CONCATENATE("&gt;","=",D224),Holieday[date],CONCATENATE("&lt;","=",J_SUBDAY(J_ADDDAY(D224,N224,1),1,1)))+SUMIFS(Holieday[Friday],Holieday[date],CONCATENATE("&gt;","=",D224),Holieday[date],CONCATENATE("&lt;","=",J_SUBDAY(J_ADDDAY(D224,N224,1),1,1))))=0,J_SUBDAY(J_ADDDAY(D224,N224,1),1,1),IF((N224-NETWORKDAYS.INTL(J_GregorianDate(D224,1),J_GregorianDate(J_SUBDAY(J_ADDDAY(D224,N224,1),1,1),1),16,1)-SUMIFS(Holieday[ok],Holieday[date],CONCATENATE("&gt;","=",D224),Holieday[date],CONCATENATE("&lt;","=",J_SUBDAY(J_ADDDAY(D224,N224,1),1,1)))+SUMIFS(Holieday[Friday],Holieday[date],CONCATENATE("&gt;","=",D224),Holieday[date],CONCATENATE("&lt;","=",J_SUBDAY(J_ADDDAY(D224,N224,1),1,1))))=1,J_SUBDAY(J_ADDDAY(D224,N224+1,1),1,1),IF((N224-NETWORKDAYS.INTL(J_GregorianDate(D224,1),J_GregorianDate(J_SUBDAY(J_ADDDAY(D224,N224,1),1,1),1),16,1)-SUMIFS(Holieday[ok],Holieday[date],CONCATENATE("&gt;","=",D224),Holieday[date],CONCATENATE("&lt;","=",J_SUBDAY(J_ADDDAY(D224,N224,1),1,1)))+SUMIFS(Holieday[Friday],Holieday[date],CONCATENATE("&gt;","=",D224),Holieday[date],CONCATENATE("&lt;","=",J_SUBDAY(J_ADDDAY(D224,N224,1),1,1))))=2,J_SUBDAY(J_ADDDAY(D224,N224+2,1),1,1),J_SUBDAY(J_ADDDAY(D224,N224+3,1),1,1)))))</f>
        <v>1398/06/29</v>
      </c>
      <c r="G224" s="3">
        <f t="shared" si="70"/>
        <v>13980629</v>
      </c>
      <c r="H224" s="119"/>
      <c r="I224" s="120">
        <v>10.1</v>
      </c>
      <c r="J224" s="10">
        <f>j_WEEKDAY(D224,2)</f>
        <v>0</v>
      </c>
      <c r="K224" s="22">
        <f t="shared" si="68"/>
        <v>0</v>
      </c>
      <c r="L224" s="9">
        <f t="shared" si="73"/>
        <v>0</v>
      </c>
      <c r="M224" s="121">
        <v>0</v>
      </c>
      <c r="N224" s="118">
        <v>0</v>
      </c>
      <c r="O224" s="11">
        <f t="shared" si="74"/>
        <v>0</v>
      </c>
      <c r="P224" s="11">
        <f>VALUE(J_normdate(J_ADDDAY($D224,$O224,1)))</f>
        <v>13980630</v>
      </c>
      <c r="Q224" s="10">
        <f t="shared" si="75"/>
        <v>0</v>
      </c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  <c r="AS224" s="8"/>
      <c r="AT224" s="8"/>
      <c r="AU224" s="8"/>
      <c r="AV224" s="8"/>
      <c r="AW224" s="8"/>
      <c r="AX224" s="8"/>
      <c r="AY224" s="8"/>
      <c r="AZ224" s="8"/>
      <c r="BA224" s="8"/>
      <c r="BB224" s="8"/>
      <c r="BC224" s="8"/>
      <c r="BD224" s="8"/>
      <c r="BE224" s="8"/>
      <c r="BF224" s="8"/>
      <c r="BG224" s="8"/>
      <c r="BH224" s="8"/>
      <c r="BI224" s="8"/>
      <c r="BJ224" s="8"/>
      <c r="BK224" s="8"/>
      <c r="BL224" s="8"/>
      <c r="BM224" s="8"/>
      <c r="BN224" s="8"/>
      <c r="BO224" s="8"/>
      <c r="BP224" s="8"/>
      <c r="BQ224" s="8"/>
      <c r="BR224" s="8"/>
      <c r="BS224" s="8"/>
      <c r="BT224" s="8"/>
      <c r="BU224" s="8"/>
      <c r="BV224" s="8"/>
      <c r="BW224" s="8"/>
      <c r="BX224" s="8"/>
      <c r="BY224" s="8"/>
      <c r="BZ224" s="8"/>
      <c r="CA224" s="8"/>
      <c r="CB224" s="8"/>
      <c r="CC224" s="8"/>
      <c r="CD224" s="8"/>
      <c r="CE224" s="8"/>
      <c r="CF224" s="8"/>
      <c r="CG224" s="8"/>
      <c r="CH224" s="8"/>
      <c r="CI224" s="8"/>
      <c r="CJ224" s="8"/>
      <c r="CK224" s="8"/>
      <c r="CL224" s="8"/>
      <c r="CM224" s="8"/>
      <c r="CN224" s="8"/>
      <c r="CO224" s="8"/>
      <c r="CP224" s="8"/>
      <c r="CQ224" s="8"/>
      <c r="CR224" s="8"/>
      <c r="CS224" s="8"/>
      <c r="CT224" s="8"/>
      <c r="CU224" s="8"/>
      <c r="CV224" s="8"/>
      <c r="CW224" s="8"/>
      <c r="CX224" s="8"/>
      <c r="CY224" s="8"/>
      <c r="CZ224" s="8"/>
      <c r="DA224" s="8"/>
      <c r="DB224" s="8"/>
      <c r="DC224" s="8"/>
      <c r="DD224" s="8"/>
      <c r="DE224" s="8"/>
      <c r="DF224" s="8"/>
      <c r="DG224" s="8"/>
      <c r="DH224" s="8"/>
      <c r="DI224" s="8"/>
      <c r="DJ224" s="8"/>
      <c r="DK224" s="8"/>
      <c r="DL224" s="8"/>
      <c r="DM224" s="8"/>
      <c r="DN224" s="8"/>
      <c r="DO224" s="8"/>
      <c r="DP224" s="8"/>
      <c r="DQ224" s="8"/>
      <c r="DR224" s="8"/>
      <c r="DS224" s="8"/>
      <c r="DT224" s="8"/>
      <c r="DU224" s="8"/>
      <c r="DV224" s="8"/>
      <c r="DW224" s="8"/>
      <c r="DX224" s="8"/>
      <c r="DY224" s="8"/>
      <c r="DZ224" s="8"/>
      <c r="EA224" s="8"/>
      <c r="EB224" s="8"/>
      <c r="EC224" s="8"/>
      <c r="ED224" s="8"/>
      <c r="EE224" s="8"/>
      <c r="EF224" s="8"/>
      <c r="EG224" s="8"/>
      <c r="EH224" s="8"/>
      <c r="EI224" s="8"/>
      <c r="EJ224" s="8"/>
      <c r="EK224" s="8"/>
      <c r="EL224" s="8"/>
      <c r="EM224" s="8"/>
      <c r="EN224" s="8"/>
      <c r="EO224" s="8"/>
      <c r="EP224" s="8"/>
      <c r="EQ224" s="8"/>
      <c r="ER224" s="8"/>
      <c r="ES224" s="8"/>
      <c r="ET224" s="8"/>
      <c r="EU224" s="8"/>
      <c r="EV224" s="8"/>
      <c r="EW224" s="8"/>
      <c r="EX224" s="8"/>
      <c r="EY224" s="8"/>
      <c r="EZ224" s="8"/>
      <c r="FA224" s="8"/>
      <c r="FB224" s="8"/>
      <c r="FC224" s="8"/>
      <c r="FD224" s="8"/>
      <c r="FE224" s="8"/>
      <c r="FF224" s="8"/>
      <c r="FG224" s="8"/>
      <c r="FH224" s="8"/>
      <c r="FI224" s="8"/>
      <c r="FJ224" s="8"/>
      <c r="FK224" s="8"/>
      <c r="FL224" s="8"/>
      <c r="FM224" s="8"/>
      <c r="FN224" s="8"/>
      <c r="FO224" s="8"/>
      <c r="FP224" s="8"/>
      <c r="FQ224" s="8"/>
      <c r="FR224" s="8"/>
      <c r="FS224" s="8"/>
      <c r="FT224" s="8"/>
      <c r="FU224" s="8"/>
      <c r="FV224" s="8"/>
      <c r="FW224" s="8"/>
      <c r="FX224" s="8"/>
      <c r="FY224" s="8"/>
      <c r="FZ224" s="8"/>
      <c r="GA224" s="8"/>
      <c r="GB224" s="8"/>
      <c r="GC224" s="8"/>
      <c r="GD224" s="8"/>
      <c r="GE224" s="8"/>
      <c r="GF224" s="8"/>
      <c r="GG224" s="8"/>
      <c r="GH224" s="8"/>
      <c r="GI224" s="8"/>
      <c r="GJ224" s="8"/>
      <c r="GK224" s="8"/>
      <c r="GL224" s="8"/>
      <c r="GM224" s="8"/>
      <c r="GN224" s="8"/>
      <c r="GO224" s="8"/>
      <c r="GP224" s="8"/>
      <c r="GQ224" s="8"/>
      <c r="GR224" s="8"/>
      <c r="GS224" s="8"/>
      <c r="GT224" s="8"/>
      <c r="GU224" s="8"/>
      <c r="GV224" s="8"/>
      <c r="GW224" s="8"/>
      <c r="GX224" s="8"/>
      <c r="GY224" s="8"/>
      <c r="GZ224" s="8"/>
      <c r="HA224" s="8"/>
      <c r="HB224" s="8"/>
      <c r="HC224" s="8"/>
      <c r="HD224" s="8"/>
      <c r="HE224" s="8"/>
      <c r="HF224" s="8"/>
      <c r="HG224" s="8"/>
      <c r="HH224" s="8"/>
      <c r="HI224" s="8"/>
      <c r="HJ224" s="8"/>
      <c r="HK224" s="8"/>
      <c r="HL224" s="8"/>
      <c r="HM224" s="8"/>
      <c r="HN224" s="8"/>
      <c r="HO224" s="8"/>
      <c r="HP224" s="8"/>
      <c r="HQ224" s="8"/>
      <c r="HR224" s="8"/>
      <c r="HS224" s="8"/>
      <c r="HT224" s="8"/>
      <c r="HU224" s="8"/>
      <c r="HV224" s="8"/>
      <c r="HW224" s="8"/>
      <c r="HX224" s="8"/>
      <c r="HY224" s="8"/>
      <c r="HZ224" s="8"/>
      <c r="IA224" s="8"/>
      <c r="IB224" s="8"/>
      <c r="IC224" s="8"/>
      <c r="ID224" s="8"/>
      <c r="IE224" s="8"/>
      <c r="IF224" s="8"/>
      <c r="IG224" s="8"/>
      <c r="IH224" s="8"/>
      <c r="II224" s="8"/>
      <c r="IJ224" s="8"/>
      <c r="IK224" s="8"/>
      <c r="IL224" s="8"/>
      <c r="IM224" s="8"/>
      <c r="IN224" s="8"/>
      <c r="IO224" s="8"/>
      <c r="IP224" s="8"/>
      <c r="IQ224" s="8"/>
      <c r="IR224" s="8"/>
      <c r="IS224" s="8"/>
      <c r="IT224" s="8"/>
      <c r="IU224" s="8"/>
      <c r="IV224" s="8"/>
      <c r="IW224" s="8"/>
      <c r="IX224" s="8"/>
      <c r="JA224" s="123"/>
      <c r="JB224" s="123"/>
      <c r="JC224" s="123"/>
      <c r="JD224" s="70">
        <f>SUM((TEXT(JA224,"[M]")/60)*'Income Person-hours'!$D$3,(TEXT(JB224,"[M]")/60)*'Income Person-hours'!$D$4,(TEXT(JC224,"[M]")/60)*'Income Person-hours'!$D$5)</f>
        <v>0</v>
      </c>
    </row>
    <row r="225" spans="1:264" s="12" customFormat="1" ht="15.75" hidden="1" x14ac:dyDescent="0.45">
      <c r="A225" s="32">
        <v>10.6</v>
      </c>
      <c r="B225" s="126"/>
      <c r="C225" s="117"/>
      <c r="D225" s="13" t="str">
        <f>IF(OR(j_WEEKDAY(J_ADDDAY(VLOOKUP(I225,A:F,6,FALSE),H225,1),0)=6,SUMIFS(Holieday[ok],Holieday[date],J_ADDDAY(VLOOKUP(I225,A:F,6,FALSE),H225,1)))=FALSE(),J_ADDDAY(VLOOKUP(I225,A:F,6,FALSE),H225,1),IF(OR(j_WEEKDAY(J_ADDDAY(VLOOKUP(I225,A:F,6,FALSE),H225+1,1),0)=6,SUMIFS(Holieday[ok],Holieday[date],J_ADDDAY(VLOOKUP(I225,A:F,6,FALSE),H225+1,1)))=FALSE(),J_ADDDAY(VLOOKUP(I225,A:F,6,FALSE),H225+1,1),IF(OR(j_WEEKDAY(J_ADDDAY(VLOOKUP(I225,A:F,6,FALSE),H225+2,1),0)=6,SUMIFS(Holieday[ok],Holieday[date],J_ADDDAY(VLOOKUP(I225,A:F,6,FALSE),H225+2,1)))=FALSE(),J_ADDDAY(VLOOKUP(I225,A:F,6,FALSE),H225+2,1),IF(OR(j_WEEKDAY(J_ADDDAY(VLOOKUP(I225,A:F,6,FALSE),H225+3,1),0)=6,SUMIFS(Holieday[ok],Holieday[date],J_ADDDAY(VLOOKUP(I225,A:F,6,FALSE),H225+3,1)))=FALSE(),J_ADDDAY(VLOOKUP(I225,A:F,6,FALSE),H225+3,1),IF(OR(j_WEEKDAY(J_ADDDAY(VLOOKUP(I225,A:F,6,FALSE),H225+4,1),0)=6,SUMIFS(Holieday[ok],Holieday[date],J_ADDDAY(VLOOKUP(I225,A:F,6,FALSE),H225+4,1)))=FALSE(),J_ADDDAY(VLOOKUP(I225,A:F,6,FALSE),H225+4,1),J_ADDDAY(VLOOKUP(I225,A:F,6,FALSE),H225+5,1))))))</f>
        <v>1398/06/30</v>
      </c>
      <c r="E225" s="2">
        <f t="shared" si="69"/>
        <v>13980630</v>
      </c>
      <c r="F225" s="13" t="str">
        <f>IF(N225=0,J_SUBDAY(D225,1,1),IF((N225-NETWORKDAYS.INTL(J_GregorianDate(D225,1),J_GregorianDate(J_SUBDAY(J_ADDDAY(D225,N225,1),1,1),1),16,1)-SUMIFS(Holieday[ok],Holieday[date],CONCATENATE("&gt;","=",D225),Holieday[date],CONCATENATE("&lt;","=",J_SUBDAY(J_ADDDAY(D225,N225,1),1,1)))+SUMIFS(Holieday[Friday],Holieday[date],CONCATENATE("&gt;","=",D225),Holieday[date],CONCATENATE("&lt;","=",J_SUBDAY(J_ADDDAY(D225,N225,1),1,1))))=0,J_SUBDAY(J_ADDDAY(D225,N225,1),1,1),IF((N225-NETWORKDAYS.INTL(J_GregorianDate(D225,1),J_GregorianDate(J_SUBDAY(J_ADDDAY(D225,N225,1),1,1),1),16,1)-SUMIFS(Holieday[ok],Holieday[date],CONCATENATE("&gt;","=",D225),Holieday[date],CONCATENATE("&lt;","=",J_SUBDAY(J_ADDDAY(D225,N225,1),1,1)))+SUMIFS(Holieday[Friday],Holieday[date],CONCATENATE("&gt;","=",D225),Holieday[date],CONCATENATE("&lt;","=",J_SUBDAY(J_ADDDAY(D225,N225,1),1,1))))=1,J_SUBDAY(J_ADDDAY(D225,N225+1,1),1,1),IF((N225-NETWORKDAYS.INTL(J_GregorianDate(D225,1),J_GregorianDate(J_SUBDAY(J_ADDDAY(D225,N225,1),1,1),1),16,1)-SUMIFS(Holieday[ok],Holieday[date],CONCATENATE("&gt;","=",D225),Holieday[date],CONCATENATE("&lt;","=",J_SUBDAY(J_ADDDAY(D225,N225,1),1,1)))+SUMIFS(Holieday[Friday],Holieday[date],CONCATENATE("&gt;","=",D225),Holieday[date],CONCATENATE("&lt;","=",J_SUBDAY(J_ADDDAY(D225,N225,1),1,1))))=2,J_SUBDAY(J_ADDDAY(D225,N225+2,1),1,1),J_SUBDAY(J_ADDDAY(D225,N225+3,1),1,1)))))</f>
        <v>1398/06/29</v>
      </c>
      <c r="G225" s="3">
        <f t="shared" si="70"/>
        <v>13980629</v>
      </c>
      <c r="H225" s="119"/>
      <c r="I225" s="120">
        <v>10.1</v>
      </c>
      <c r="J225" s="10">
        <f>j_WEEKDAY(D225,2)</f>
        <v>0</v>
      </c>
      <c r="K225" s="22">
        <f t="shared" si="68"/>
        <v>0</v>
      </c>
      <c r="L225" s="9">
        <f t="shared" si="73"/>
        <v>0</v>
      </c>
      <c r="M225" s="121">
        <v>0</v>
      </c>
      <c r="N225" s="118">
        <v>0</v>
      </c>
      <c r="O225" s="11">
        <f t="shared" si="74"/>
        <v>0</v>
      </c>
      <c r="P225" s="11">
        <f>VALUE(J_normdate(J_ADDDAY($D225,$O225,1)))</f>
        <v>13980630</v>
      </c>
      <c r="Q225" s="10">
        <f t="shared" si="75"/>
        <v>0</v>
      </c>
      <c r="R225" s="8"/>
      <c r="S225" s="8"/>
      <c r="T225" s="8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/>
      <c r="AH225" s="8"/>
      <c r="AI225" s="8"/>
      <c r="AJ225" s="8"/>
      <c r="AK225" s="8"/>
      <c r="AL225" s="8"/>
      <c r="AM225" s="8"/>
      <c r="AN225" s="8"/>
      <c r="AO225" s="8"/>
      <c r="AP225" s="8"/>
      <c r="AQ225" s="8"/>
      <c r="AR225" s="8"/>
      <c r="AS225" s="8"/>
      <c r="AT225" s="8"/>
      <c r="AU225" s="8"/>
      <c r="AV225" s="8"/>
      <c r="AW225" s="8"/>
      <c r="AX225" s="8"/>
      <c r="AY225" s="8"/>
      <c r="AZ225" s="8"/>
      <c r="BA225" s="8"/>
      <c r="BB225" s="8"/>
      <c r="BC225" s="8"/>
      <c r="BD225" s="8"/>
      <c r="BE225" s="8"/>
      <c r="BF225" s="8"/>
      <c r="BG225" s="8"/>
      <c r="BH225" s="8"/>
      <c r="BI225" s="8"/>
      <c r="BJ225" s="8"/>
      <c r="BK225" s="8"/>
      <c r="BL225" s="8"/>
      <c r="BM225" s="8"/>
      <c r="BN225" s="8"/>
      <c r="BO225" s="8"/>
      <c r="BP225" s="8"/>
      <c r="BQ225" s="8"/>
      <c r="BR225" s="8"/>
      <c r="BS225" s="8"/>
      <c r="BT225" s="8"/>
      <c r="BU225" s="8"/>
      <c r="BV225" s="8"/>
      <c r="BW225" s="8"/>
      <c r="BX225" s="8"/>
      <c r="BY225" s="8"/>
      <c r="BZ225" s="8"/>
      <c r="CA225" s="8"/>
      <c r="CB225" s="8"/>
      <c r="CC225" s="8"/>
      <c r="CD225" s="8"/>
      <c r="CE225" s="8"/>
      <c r="CF225" s="8"/>
      <c r="CG225" s="8"/>
      <c r="CH225" s="8"/>
      <c r="CI225" s="8"/>
      <c r="CJ225" s="8"/>
      <c r="CK225" s="8"/>
      <c r="CL225" s="8"/>
      <c r="CM225" s="8"/>
      <c r="CN225" s="8"/>
      <c r="CO225" s="8"/>
      <c r="CP225" s="8"/>
      <c r="CQ225" s="8"/>
      <c r="CR225" s="8"/>
      <c r="CS225" s="8"/>
      <c r="CT225" s="8"/>
      <c r="CU225" s="8"/>
      <c r="CV225" s="8"/>
      <c r="CW225" s="8"/>
      <c r="CX225" s="8"/>
      <c r="CY225" s="8"/>
      <c r="CZ225" s="8"/>
      <c r="DA225" s="8"/>
      <c r="DB225" s="8"/>
      <c r="DC225" s="8"/>
      <c r="DD225" s="8"/>
      <c r="DE225" s="8"/>
      <c r="DF225" s="8"/>
      <c r="DG225" s="8"/>
      <c r="DH225" s="8"/>
      <c r="DI225" s="8"/>
      <c r="DJ225" s="8"/>
      <c r="DK225" s="8"/>
      <c r="DL225" s="8"/>
      <c r="DM225" s="8"/>
      <c r="DN225" s="8"/>
      <c r="DO225" s="8"/>
      <c r="DP225" s="8"/>
      <c r="DQ225" s="8"/>
      <c r="DR225" s="8"/>
      <c r="DS225" s="8"/>
      <c r="DT225" s="8"/>
      <c r="DU225" s="8"/>
      <c r="DV225" s="8"/>
      <c r="DW225" s="8"/>
      <c r="DX225" s="8"/>
      <c r="DY225" s="8"/>
      <c r="DZ225" s="8"/>
      <c r="EA225" s="8"/>
      <c r="EB225" s="8"/>
      <c r="EC225" s="8"/>
      <c r="ED225" s="8"/>
      <c r="EE225" s="8"/>
      <c r="EF225" s="8"/>
      <c r="EG225" s="8"/>
      <c r="EH225" s="8"/>
      <c r="EI225" s="8"/>
      <c r="EJ225" s="8"/>
      <c r="EK225" s="8"/>
      <c r="EL225" s="8"/>
      <c r="EM225" s="8"/>
      <c r="EN225" s="8"/>
      <c r="EO225" s="8"/>
      <c r="EP225" s="8"/>
      <c r="EQ225" s="8"/>
      <c r="ER225" s="8"/>
      <c r="ES225" s="8"/>
      <c r="ET225" s="8"/>
      <c r="EU225" s="8"/>
      <c r="EV225" s="8"/>
      <c r="EW225" s="8"/>
      <c r="EX225" s="8"/>
      <c r="EY225" s="8"/>
      <c r="EZ225" s="8"/>
      <c r="FA225" s="8"/>
      <c r="FB225" s="8"/>
      <c r="FC225" s="8"/>
      <c r="FD225" s="8"/>
      <c r="FE225" s="8"/>
      <c r="FF225" s="8"/>
      <c r="FG225" s="8"/>
      <c r="FH225" s="8"/>
      <c r="FI225" s="8"/>
      <c r="FJ225" s="8"/>
      <c r="FK225" s="8"/>
      <c r="FL225" s="8"/>
      <c r="FM225" s="8"/>
      <c r="FN225" s="8"/>
      <c r="FO225" s="8"/>
      <c r="FP225" s="8"/>
      <c r="FQ225" s="8"/>
      <c r="FR225" s="8"/>
      <c r="FS225" s="8"/>
      <c r="FT225" s="8"/>
      <c r="FU225" s="8"/>
      <c r="FV225" s="8"/>
      <c r="FW225" s="8"/>
      <c r="FX225" s="8"/>
      <c r="FY225" s="8"/>
      <c r="FZ225" s="8"/>
      <c r="GA225" s="8"/>
      <c r="GB225" s="8"/>
      <c r="GC225" s="8"/>
      <c r="GD225" s="8"/>
      <c r="GE225" s="8"/>
      <c r="GF225" s="8"/>
      <c r="GG225" s="8"/>
      <c r="GH225" s="8"/>
      <c r="GI225" s="8"/>
      <c r="GJ225" s="8"/>
      <c r="GK225" s="8"/>
      <c r="GL225" s="8"/>
      <c r="GM225" s="8"/>
      <c r="GN225" s="8"/>
      <c r="GO225" s="8"/>
      <c r="GP225" s="8"/>
      <c r="GQ225" s="8"/>
      <c r="GR225" s="8"/>
      <c r="GS225" s="8"/>
      <c r="GT225" s="8"/>
      <c r="GU225" s="8"/>
      <c r="GV225" s="8"/>
      <c r="GW225" s="8"/>
      <c r="GX225" s="8"/>
      <c r="GY225" s="8"/>
      <c r="GZ225" s="8"/>
      <c r="HA225" s="8"/>
      <c r="HB225" s="8"/>
      <c r="HC225" s="8"/>
      <c r="HD225" s="8"/>
      <c r="HE225" s="8"/>
      <c r="HF225" s="8"/>
      <c r="HG225" s="8"/>
      <c r="HH225" s="8"/>
      <c r="HI225" s="8"/>
      <c r="HJ225" s="8"/>
      <c r="HK225" s="8"/>
      <c r="HL225" s="8"/>
      <c r="HM225" s="8"/>
      <c r="HN225" s="8"/>
      <c r="HO225" s="8"/>
      <c r="HP225" s="8"/>
      <c r="HQ225" s="8"/>
      <c r="HR225" s="8"/>
      <c r="HS225" s="8"/>
      <c r="HT225" s="8"/>
      <c r="HU225" s="8"/>
      <c r="HV225" s="8"/>
      <c r="HW225" s="8"/>
      <c r="HX225" s="8"/>
      <c r="HY225" s="8"/>
      <c r="HZ225" s="8"/>
      <c r="IA225" s="8"/>
      <c r="IB225" s="8"/>
      <c r="IC225" s="8"/>
      <c r="ID225" s="8"/>
      <c r="IE225" s="8"/>
      <c r="IF225" s="8"/>
      <c r="IG225" s="8"/>
      <c r="IH225" s="8"/>
      <c r="II225" s="8"/>
      <c r="IJ225" s="8"/>
      <c r="IK225" s="8"/>
      <c r="IL225" s="8"/>
      <c r="IM225" s="8"/>
      <c r="IN225" s="8"/>
      <c r="IO225" s="8"/>
      <c r="IP225" s="8"/>
      <c r="IQ225" s="8"/>
      <c r="IR225" s="8"/>
      <c r="IS225" s="8"/>
      <c r="IT225" s="8"/>
      <c r="IU225" s="8"/>
      <c r="IV225" s="8"/>
      <c r="IW225" s="8"/>
      <c r="IX225" s="8"/>
      <c r="JA225" s="123"/>
      <c r="JB225" s="123"/>
      <c r="JC225" s="123"/>
      <c r="JD225" s="70">
        <f>SUM((TEXT(JA225,"[M]")/60)*'Income Person-hours'!$D$3,(TEXT(JB225,"[M]")/60)*'Income Person-hours'!$D$4,(TEXT(JC225,"[M]")/60)*'Income Person-hours'!$D$5)</f>
        <v>0</v>
      </c>
    </row>
    <row r="226" spans="1:264" s="12" customFormat="1" ht="15.75" hidden="1" x14ac:dyDescent="0.45">
      <c r="A226" s="32">
        <v>10.7</v>
      </c>
      <c r="B226" s="126"/>
      <c r="C226" s="117"/>
      <c r="D226" s="13" t="str">
        <f>IF(OR(j_WEEKDAY(J_ADDDAY(VLOOKUP(I226,A:F,6,FALSE),H226,1),0)=6,SUMIFS(Holieday[ok],Holieday[date],J_ADDDAY(VLOOKUP(I226,A:F,6,FALSE),H226,1)))=FALSE(),J_ADDDAY(VLOOKUP(I226,A:F,6,FALSE),H226,1),IF(OR(j_WEEKDAY(J_ADDDAY(VLOOKUP(I226,A:F,6,FALSE),H226+1,1),0)=6,SUMIFS(Holieday[ok],Holieday[date],J_ADDDAY(VLOOKUP(I226,A:F,6,FALSE),H226+1,1)))=FALSE(),J_ADDDAY(VLOOKUP(I226,A:F,6,FALSE),H226+1,1),IF(OR(j_WEEKDAY(J_ADDDAY(VLOOKUP(I226,A:F,6,FALSE),H226+2,1),0)=6,SUMIFS(Holieday[ok],Holieday[date],J_ADDDAY(VLOOKUP(I226,A:F,6,FALSE),H226+2,1)))=FALSE(),J_ADDDAY(VLOOKUP(I226,A:F,6,FALSE),H226+2,1),IF(OR(j_WEEKDAY(J_ADDDAY(VLOOKUP(I226,A:F,6,FALSE),H226+3,1),0)=6,SUMIFS(Holieday[ok],Holieday[date],J_ADDDAY(VLOOKUP(I226,A:F,6,FALSE),H226+3,1)))=FALSE(),J_ADDDAY(VLOOKUP(I226,A:F,6,FALSE),H226+3,1),IF(OR(j_WEEKDAY(J_ADDDAY(VLOOKUP(I226,A:F,6,FALSE),H226+4,1),0)=6,SUMIFS(Holieday[ok],Holieday[date],J_ADDDAY(VLOOKUP(I226,A:F,6,FALSE),H226+4,1)))=FALSE(),J_ADDDAY(VLOOKUP(I226,A:F,6,FALSE),H226+4,1),J_ADDDAY(VLOOKUP(I226,A:F,6,FALSE),H226+5,1))))))</f>
        <v>1398/06/30</v>
      </c>
      <c r="E226" s="2">
        <f t="shared" si="69"/>
        <v>13980630</v>
      </c>
      <c r="F226" s="13" t="str">
        <f>IF(N226=0,J_SUBDAY(D226,1,1),IF((N226-NETWORKDAYS.INTL(J_GregorianDate(D226,1),J_GregorianDate(J_SUBDAY(J_ADDDAY(D226,N226,1),1,1),1),16,1)-SUMIFS(Holieday[ok],Holieday[date],CONCATENATE("&gt;","=",D226),Holieday[date],CONCATENATE("&lt;","=",J_SUBDAY(J_ADDDAY(D226,N226,1),1,1)))+SUMIFS(Holieday[Friday],Holieday[date],CONCATENATE("&gt;","=",D226),Holieday[date],CONCATENATE("&lt;","=",J_SUBDAY(J_ADDDAY(D226,N226,1),1,1))))=0,J_SUBDAY(J_ADDDAY(D226,N226,1),1,1),IF((N226-NETWORKDAYS.INTL(J_GregorianDate(D226,1),J_GregorianDate(J_SUBDAY(J_ADDDAY(D226,N226,1),1,1),1),16,1)-SUMIFS(Holieday[ok],Holieday[date],CONCATENATE("&gt;","=",D226),Holieday[date],CONCATENATE("&lt;","=",J_SUBDAY(J_ADDDAY(D226,N226,1),1,1)))+SUMIFS(Holieday[Friday],Holieday[date],CONCATENATE("&gt;","=",D226),Holieday[date],CONCATENATE("&lt;","=",J_SUBDAY(J_ADDDAY(D226,N226,1),1,1))))=1,J_SUBDAY(J_ADDDAY(D226,N226+1,1),1,1),IF((N226-NETWORKDAYS.INTL(J_GregorianDate(D226,1),J_GregorianDate(J_SUBDAY(J_ADDDAY(D226,N226,1),1,1),1),16,1)-SUMIFS(Holieday[ok],Holieday[date],CONCATENATE("&gt;","=",D226),Holieday[date],CONCATENATE("&lt;","=",J_SUBDAY(J_ADDDAY(D226,N226,1),1,1)))+SUMIFS(Holieday[Friday],Holieday[date],CONCATENATE("&gt;","=",D226),Holieday[date],CONCATENATE("&lt;","=",J_SUBDAY(J_ADDDAY(D226,N226,1),1,1))))=2,J_SUBDAY(J_ADDDAY(D226,N226+2,1),1,1),J_SUBDAY(J_ADDDAY(D226,N226+3,1),1,1)))))</f>
        <v>1398/06/29</v>
      </c>
      <c r="G226" s="3">
        <f t="shared" si="70"/>
        <v>13980629</v>
      </c>
      <c r="H226" s="119"/>
      <c r="I226" s="120">
        <v>10.1</v>
      </c>
      <c r="J226" s="10">
        <f>j_WEEKDAY(D226,2)</f>
        <v>0</v>
      </c>
      <c r="K226" s="22">
        <f t="shared" si="68"/>
        <v>0</v>
      </c>
      <c r="L226" s="9">
        <f t="shared" si="73"/>
        <v>0</v>
      </c>
      <c r="M226" s="121">
        <v>0</v>
      </c>
      <c r="N226" s="118">
        <v>0</v>
      </c>
      <c r="O226" s="11">
        <f t="shared" si="74"/>
        <v>0</v>
      </c>
      <c r="P226" s="11">
        <f>VALUE(J_normdate(J_ADDDAY($D226,$O226,1)))</f>
        <v>13980630</v>
      </c>
      <c r="Q226" s="10">
        <f t="shared" si="75"/>
        <v>0</v>
      </c>
      <c r="R226" s="8"/>
      <c r="S226" s="8"/>
      <c r="T226" s="8"/>
      <c r="U226" s="8"/>
      <c r="V226" s="8"/>
      <c r="W226" s="8"/>
      <c r="X226" s="8"/>
      <c r="Y226" s="8"/>
      <c r="Z226" s="8"/>
      <c r="AA226" s="8"/>
      <c r="AB226" s="8"/>
      <c r="AC226" s="8"/>
      <c r="AD226" s="8"/>
      <c r="AE226" s="8"/>
      <c r="AF226" s="8"/>
      <c r="AG226" s="8"/>
      <c r="AH226" s="8"/>
      <c r="AI226" s="8"/>
      <c r="AJ226" s="8"/>
      <c r="AK226" s="8"/>
      <c r="AL226" s="8"/>
      <c r="AM226" s="8"/>
      <c r="AN226" s="8"/>
      <c r="AO226" s="8"/>
      <c r="AP226" s="8"/>
      <c r="AQ226" s="8"/>
      <c r="AR226" s="8"/>
      <c r="AS226" s="8"/>
      <c r="AT226" s="8"/>
      <c r="AU226" s="8"/>
      <c r="AV226" s="8"/>
      <c r="AW226" s="8"/>
      <c r="AX226" s="8"/>
      <c r="AY226" s="8"/>
      <c r="AZ226" s="8"/>
      <c r="BA226" s="8"/>
      <c r="BB226" s="8"/>
      <c r="BC226" s="8"/>
      <c r="BD226" s="8"/>
      <c r="BE226" s="8"/>
      <c r="BF226" s="8"/>
      <c r="BG226" s="8"/>
      <c r="BH226" s="8"/>
      <c r="BI226" s="8"/>
      <c r="BJ226" s="8"/>
      <c r="BK226" s="8"/>
      <c r="BL226" s="8"/>
      <c r="BM226" s="8"/>
      <c r="BN226" s="8"/>
      <c r="BO226" s="8"/>
      <c r="BP226" s="8"/>
      <c r="BQ226" s="8"/>
      <c r="BR226" s="8"/>
      <c r="BS226" s="8"/>
      <c r="BT226" s="8"/>
      <c r="BU226" s="8"/>
      <c r="BV226" s="8"/>
      <c r="BW226" s="8"/>
      <c r="BX226" s="8"/>
      <c r="BY226" s="8"/>
      <c r="BZ226" s="8"/>
      <c r="CA226" s="8"/>
      <c r="CB226" s="8"/>
      <c r="CC226" s="8"/>
      <c r="CD226" s="8"/>
      <c r="CE226" s="8"/>
      <c r="CF226" s="8"/>
      <c r="CG226" s="8"/>
      <c r="CH226" s="8"/>
      <c r="CI226" s="8"/>
      <c r="CJ226" s="8"/>
      <c r="CK226" s="8"/>
      <c r="CL226" s="8"/>
      <c r="CM226" s="8"/>
      <c r="CN226" s="8"/>
      <c r="CO226" s="8"/>
      <c r="CP226" s="8"/>
      <c r="CQ226" s="8"/>
      <c r="CR226" s="8"/>
      <c r="CS226" s="8"/>
      <c r="CT226" s="8"/>
      <c r="CU226" s="8"/>
      <c r="CV226" s="8"/>
      <c r="CW226" s="8"/>
      <c r="CX226" s="8"/>
      <c r="CY226" s="8"/>
      <c r="CZ226" s="8"/>
      <c r="DA226" s="8"/>
      <c r="DB226" s="8"/>
      <c r="DC226" s="8"/>
      <c r="DD226" s="8"/>
      <c r="DE226" s="8"/>
      <c r="DF226" s="8"/>
      <c r="DG226" s="8"/>
      <c r="DH226" s="8"/>
      <c r="DI226" s="8"/>
      <c r="DJ226" s="8"/>
      <c r="DK226" s="8"/>
      <c r="DL226" s="8"/>
      <c r="DM226" s="8"/>
      <c r="DN226" s="8"/>
      <c r="DO226" s="8"/>
      <c r="DP226" s="8"/>
      <c r="DQ226" s="8"/>
      <c r="DR226" s="8"/>
      <c r="DS226" s="8"/>
      <c r="DT226" s="8"/>
      <c r="DU226" s="8"/>
      <c r="DV226" s="8"/>
      <c r="DW226" s="8"/>
      <c r="DX226" s="8"/>
      <c r="DY226" s="8"/>
      <c r="DZ226" s="8"/>
      <c r="EA226" s="8"/>
      <c r="EB226" s="8"/>
      <c r="EC226" s="8"/>
      <c r="ED226" s="8"/>
      <c r="EE226" s="8"/>
      <c r="EF226" s="8"/>
      <c r="EG226" s="8"/>
      <c r="EH226" s="8"/>
      <c r="EI226" s="8"/>
      <c r="EJ226" s="8"/>
      <c r="EK226" s="8"/>
      <c r="EL226" s="8"/>
      <c r="EM226" s="8"/>
      <c r="EN226" s="8"/>
      <c r="EO226" s="8"/>
      <c r="EP226" s="8"/>
      <c r="EQ226" s="8"/>
      <c r="ER226" s="8"/>
      <c r="ES226" s="8"/>
      <c r="ET226" s="8"/>
      <c r="EU226" s="8"/>
      <c r="EV226" s="8"/>
      <c r="EW226" s="8"/>
      <c r="EX226" s="8"/>
      <c r="EY226" s="8"/>
      <c r="EZ226" s="8"/>
      <c r="FA226" s="8"/>
      <c r="FB226" s="8"/>
      <c r="FC226" s="8"/>
      <c r="FD226" s="8"/>
      <c r="FE226" s="8"/>
      <c r="FF226" s="8"/>
      <c r="FG226" s="8"/>
      <c r="FH226" s="8"/>
      <c r="FI226" s="8"/>
      <c r="FJ226" s="8"/>
      <c r="FK226" s="8"/>
      <c r="FL226" s="8"/>
      <c r="FM226" s="8"/>
      <c r="FN226" s="8"/>
      <c r="FO226" s="8"/>
      <c r="FP226" s="8"/>
      <c r="FQ226" s="8"/>
      <c r="FR226" s="8"/>
      <c r="FS226" s="8"/>
      <c r="FT226" s="8"/>
      <c r="FU226" s="8"/>
      <c r="FV226" s="8"/>
      <c r="FW226" s="8"/>
      <c r="FX226" s="8"/>
      <c r="FY226" s="8"/>
      <c r="FZ226" s="8"/>
      <c r="GA226" s="8"/>
      <c r="GB226" s="8"/>
      <c r="GC226" s="8"/>
      <c r="GD226" s="8"/>
      <c r="GE226" s="8"/>
      <c r="GF226" s="8"/>
      <c r="GG226" s="8"/>
      <c r="GH226" s="8"/>
      <c r="GI226" s="8"/>
      <c r="GJ226" s="8"/>
      <c r="GK226" s="8"/>
      <c r="GL226" s="8"/>
      <c r="GM226" s="8"/>
      <c r="GN226" s="8"/>
      <c r="GO226" s="8"/>
      <c r="GP226" s="8"/>
      <c r="GQ226" s="8"/>
      <c r="GR226" s="8"/>
      <c r="GS226" s="8"/>
      <c r="GT226" s="8"/>
      <c r="GU226" s="8"/>
      <c r="GV226" s="8"/>
      <c r="GW226" s="8"/>
      <c r="GX226" s="8"/>
      <c r="GY226" s="8"/>
      <c r="GZ226" s="8"/>
      <c r="HA226" s="8"/>
      <c r="HB226" s="8"/>
      <c r="HC226" s="8"/>
      <c r="HD226" s="8"/>
      <c r="HE226" s="8"/>
      <c r="HF226" s="8"/>
      <c r="HG226" s="8"/>
      <c r="HH226" s="8"/>
      <c r="HI226" s="8"/>
      <c r="HJ226" s="8"/>
      <c r="HK226" s="8"/>
      <c r="HL226" s="8"/>
      <c r="HM226" s="8"/>
      <c r="HN226" s="8"/>
      <c r="HO226" s="8"/>
      <c r="HP226" s="8"/>
      <c r="HQ226" s="8"/>
      <c r="HR226" s="8"/>
      <c r="HS226" s="8"/>
      <c r="HT226" s="8"/>
      <c r="HU226" s="8"/>
      <c r="HV226" s="8"/>
      <c r="HW226" s="8"/>
      <c r="HX226" s="8"/>
      <c r="HY226" s="8"/>
      <c r="HZ226" s="8"/>
      <c r="IA226" s="8"/>
      <c r="IB226" s="8"/>
      <c r="IC226" s="8"/>
      <c r="ID226" s="8"/>
      <c r="IE226" s="8"/>
      <c r="IF226" s="8"/>
      <c r="IG226" s="8"/>
      <c r="IH226" s="8"/>
      <c r="II226" s="8"/>
      <c r="IJ226" s="8"/>
      <c r="IK226" s="8"/>
      <c r="IL226" s="8"/>
      <c r="IM226" s="8"/>
      <c r="IN226" s="8"/>
      <c r="IO226" s="8"/>
      <c r="IP226" s="8"/>
      <c r="IQ226" s="8"/>
      <c r="IR226" s="8"/>
      <c r="IS226" s="8"/>
      <c r="IT226" s="8"/>
      <c r="IU226" s="8"/>
      <c r="IV226" s="8"/>
      <c r="IW226" s="8"/>
      <c r="IX226" s="8"/>
      <c r="JA226" s="123"/>
      <c r="JB226" s="123"/>
      <c r="JC226" s="123"/>
      <c r="JD226" s="70">
        <f>SUM((TEXT(JA226,"[M]")/60)*'Income Person-hours'!$D$3,(TEXT(JB226,"[M]")/60)*'Income Person-hours'!$D$4,(TEXT(JC226,"[M]")/60)*'Income Person-hours'!$D$5)</f>
        <v>0</v>
      </c>
    </row>
    <row r="227" spans="1:264" s="12" customFormat="1" ht="15.75" hidden="1" x14ac:dyDescent="0.45">
      <c r="A227" s="32">
        <v>10.8</v>
      </c>
      <c r="B227" s="126"/>
      <c r="C227" s="117"/>
      <c r="D227" s="13" t="str">
        <f>IF(OR(j_WEEKDAY(J_ADDDAY(VLOOKUP(I227,A:F,6,FALSE),H227,1),0)=6,SUMIFS(Holieday[ok],Holieday[date],J_ADDDAY(VLOOKUP(I227,A:F,6,FALSE),H227,1)))=FALSE(),J_ADDDAY(VLOOKUP(I227,A:F,6,FALSE),H227,1),IF(OR(j_WEEKDAY(J_ADDDAY(VLOOKUP(I227,A:F,6,FALSE),H227+1,1),0)=6,SUMIFS(Holieday[ok],Holieday[date],J_ADDDAY(VLOOKUP(I227,A:F,6,FALSE),H227+1,1)))=FALSE(),J_ADDDAY(VLOOKUP(I227,A:F,6,FALSE),H227+1,1),IF(OR(j_WEEKDAY(J_ADDDAY(VLOOKUP(I227,A:F,6,FALSE),H227+2,1),0)=6,SUMIFS(Holieday[ok],Holieday[date],J_ADDDAY(VLOOKUP(I227,A:F,6,FALSE),H227+2,1)))=FALSE(),J_ADDDAY(VLOOKUP(I227,A:F,6,FALSE),H227+2,1),IF(OR(j_WEEKDAY(J_ADDDAY(VLOOKUP(I227,A:F,6,FALSE),H227+3,1),0)=6,SUMIFS(Holieday[ok],Holieday[date],J_ADDDAY(VLOOKUP(I227,A:F,6,FALSE),H227+3,1)))=FALSE(),J_ADDDAY(VLOOKUP(I227,A:F,6,FALSE),H227+3,1),IF(OR(j_WEEKDAY(J_ADDDAY(VLOOKUP(I227,A:F,6,FALSE),H227+4,1),0)=6,SUMIFS(Holieday[ok],Holieday[date],J_ADDDAY(VLOOKUP(I227,A:F,6,FALSE),H227+4,1)))=FALSE(),J_ADDDAY(VLOOKUP(I227,A:F,6,FALSE),H227+4,1),J_ADDDAY(VLOOKUP(I227,A:F,6,FALSE),H227+5,1))))))</f>
        <v>1398/06/30</v>
      </c>
      <c r="E227" s="2">
        <f t="shared" si="69"/>
        <v>13980630</v>
      </c>
      <c r="F227" s="13" t="str">
        <f>IF(N227=0,J_SUBDAY(D227,1,1),IF((N227-NETWORKDAYS.INTL(J_GregorianDate(D227,1),J_GregorianDate(J_SUBDAY(J_ADDDAY(D227,N227,1),1,1),1),16,1)-SUMIFS(Holieday[ok],Holieday[date],CONCATENATE("&gt;","=",D227),Holieday[date],CONCATENATE("&lt;","=",J_SUBDAY(J_ADDDAY(D227,N227,1),1,1)))+SUMIFS(Holieday[Friday],Holieday[date],CONCATENATE("&gt;","=",D227),Holieday[date],CONCATENATE("&lt;","=",J_SUBDAY(J_ADDDAY(D227,N227,1),1,1))))=0,J_SUBDAY(J_ADDDAY(D227,N227,1),1,1),IF((N227-NETWORKDAYS.INTL(J_GregorianDate(D227,1),J_GregorianDate(J_SUBDAY(J_ADDDAY(D227,N227,1),1,1),1),16,1)-SUMIFS(Holieday[ok],Holieday[date],CONCATENATE("&gt;","=",D227),Holieday[date],CONCATENATE("&lt;","=",J_SUBDAY(J_ADDDAY(D227,N227,1),1,1)))+SUMIFS(Holieday[Friday],Holieday[date],CONCATENATE("&gt;","=",D227),Holieday[date],CONCATENATE("&lt;","=",J_SUBDAY(J_ADDDAY(D227,N227,1),1,1))))=1,J_SUBDAY(J_ADDDAY(D227,N227+1,1),1,1),IF((N227-NETWORKDAYS.INTL(J_GregorianDate(D227,1),J_GregorianDate(J_SUBDAY(J_ADDDAY(D227,N227,1),1,1),1),16,1)-SUMIFS(Holieday[ok],Holieday[date],CONCATENATE("&gt;","=",D227),Holieday[date],CONCATENATE("&lt;","=",J_SUBDAY(J_ADDDAY(D227,N227,1),1,1)))+SUMIFS(Holieday[Friday],Holieday[date],CONCATENATE("&gt;","=",D227),Holieday[date],CONCATENATE("&lt;","=",J_SUBDAY(J_ADDDAY(D227,N227,1),1,1))))=2,J_SUBDAY(J_ADDDAY(D227,N227+2,1),1,1),J_SUBDAY(J_ADDDAY(D227,N227+3,1),1,1)))))</f>
        <v>1398/06/29</v>
      </c>
      <c r="G227" s="3">
        <f t="shared" si="70"/>
        <v>13980629</v>
      </c>
      <c r="H227" s="119"/>
      <c r="I227" s="120">
        <v>10.1</v>
      </c>
      <c r="J227" s="10">
        <f>j_WEEKDAY(D227,2)</f>
        <v>0</v>
      </c>
      <c r="K227" s="22">
        <f t="shared" si="68"/>
        <v>0</v>
      </c>
      <c r="L227" s="9">
        <f t="shared" si="73"/>
        <v>0</v>
      </c>
      <c r="M227" s="121">
        <v>0</v>
      </c>
      <c r="N227" s="118">
        <v>0</v>
      </c>
      <c r="O227" s="11">
        <f t="shared" si="74"/>
        <v>0</v>
      </c>
      <c r="P227" s="11">
        <f>VALUE(J_normdate(J_ADDDAY($D227,$O227,1)))</f>
        <v>13980630</v>
      </c>
      <c r="Q227" s="10">
        <f t="shared" si="75"/>
        <v>0</v>
      </c>
      <c r="R227" s="8"/>
      <c r="S227" s="8"/>
      <c r="T227" s="8"/>
      <c r="U227" s="8"/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/>
      <c r="AH227" s="8"/>
      <c r="AI227" s="8"/>
      <c r="AJ227" s="8"/>
      <c r="AK227" s="8"/>
      <c r="AL227" s="8"/>
      <c r="AM227" s="8"/>
      <c r="AN227" s="8"/>
      <c r="AO227" s="8"/>
      <c r="AP227" s="8"/>
      <c r="AQ227" s="8"/>
      <c r="AR227" s="8"/>
      <c r="AS227" s="8"/>
      <c r="AT227" s="8"/>
      <c r="AU227" s="8"/>
      <c r="AV227" s="8"/>
      <c r="AW227" s="8"/>
      <c r="AX227" s="8"/>
      <c r="AY227" s="8"/>
      <c r="AZ227" s="8"/>
      <c r="BA227" s="8"/>
      <c r="BB227" s="8"/>
      <c r="BC227" s="8"/>
      <c r="BD227" s="8"/>
      <c r="BE227" s="8"/>
      <c r="BF227" s="8"/>
      <c r="BG227" s="8"/>
      <c r="BH227" s="8"/>
      <c r="BI227" s="8"/>
      <c r="BJ227" s="8"/>
      <c r="BK227" s="8"/>
      <c r="BL227" s="8"/>
      <c r="BM227" s="8"/>
      <c r="BN227" s="8"/>
      <c r="BO227" s="8"/>
      <c r="BP227" s="8"/>
      <c r="BQ227" s="8"/>
      <c r="BR227" s="8"/>
      <c r="BS227" s="8"/>
      <c r="BT227" s="8"/>
      <c r="BU227" s="8"/>
      <c r="BV227" s="8"/>
      <c r="BW227" s="8"/>
      <c r="BX227" s="8"/>
      <c r="BY227" s="8"/>
      <c r="BZ227" s="8"/>
      <c r="CA227" s="8"/>
      <c r="CB227" s="8"/>
      <c r="CC227" s="8"/>
      <c r="CD227" s="8"/>
      <c r="CE227" s="8"/>
      <c r="CF227" s="8"/>
      <c r="CG227" s="8"/>
      <c r="CH227" s="8"/>
      <c r="CI227" s="8"/>
      <c r="CJ227" s="8"/>
      <c r="CK227" s="8"/>
      <c r="CL227" s="8"/>
      <c r="CM227" s="8"/>
      <c r="CN227" s="8"/>
      <c r="CO227" s="8"/>
      <c r="CP227" s="8"/>
      <c r="CQ227" s="8"/>
      <c r="CR227" s="8"/>
      <c r="CS227" s="8"/>
      <c r="CT227" s="8"/>
      <c r="CU227" s="8"/>
      <c r="CV227" s="8"/>
      <c r="CW227" s="8"/>
      <c r="CX227" s="8"/>
      <c r="CY227" s="8"/>
      <c r="CZ227" s="8"/>
      <c r="DA227" s="8"/>
      <c r="DB227" s="8"/>
      <c r="DC227" s="8"/>
      <c r="DD227" s="8"/>
      <c r="DE227" s="8"/>
      <c r="DF227" s="8"/>
      <c r="DG227" s="8"/>
      <c r="DH227" s="8"/>
      <c r="DI227" s="8"/>
      <c r="DJ227" s="8"/>
      <c r="DK227" s="8"/>
      <c r="DL227" s="8"/>
      <c r="DM227" s="8"/>
      <c r="DN227" s="8"/>
      <c r="DO227" s="8"/>
      <c r="DP227" s="8"/>
      <c r="DQ227" s="8"/>
      <c r="DR227" s="8"/>
      <c r="DS227" s="8"/>
      <c r="DT227" s="8"/>
      <c r="DU227" s="8"/>
      <c r="DV227" s="8"/>
      <c r="DW227" s="8"/>
      <c r="DX227" s="8"/>
      <c r="DY227" s="8"/>
      <c r="DZ227" s="8"/>
      <c r="EA227" s="8"/>
      <c r="EB227" s="8"/>
      <c r="EC227" s="8"/>
      <c r="ED227" s="8"/>
      <c r="EE227" s="8"/>
      <c r="EF227" s="8"/>
      <c r="EG227" s="8"/>
      <c r="EH227" s="8"/>
      <c r="EI227" s="8"/>
      <c r="EJ227" s="8"/>
      <c r="EK227" s="8"/>
      <c r="EL227" s="8"/>
      <c r="EM227" s="8"/>
      <c r="EN227" s="8"/>
      <c r="EO227" s="8"/>
      <c r="EP227" s="8"/>
      <c r="EQ227" s="8"/>
      <c r="ER227" s="8"/>
      <c r="ES227" s="8"/>
      <c r="ET227" s="8"/>
      <c r="EU227" s="8"/>
      <c r="EV227" s="8"/>
      <c r="EW227" s="8"/>
      <c r="EX227" s="8"/>
      <c r="EY227" s="8"/>
      <c r="EZ227" s="8"/>
      <c r="FA227" s="8"/>
      <c r="FB227" s="8"/>
      <c r="FC227" s="8"/>
      <c r="FD227" s="8"/>
      <c r="FE227" s="8"/>
      <c r="FF227" s="8"/>
      <c r="FG227" s="8"/>
      <c r="FH227" s="8"/>
      <c r="FI227" s="8"/>
      <c r="FJ227" s="8"/>
      <c r="FK227" s="8"/>
      <c r="FL227" s="8"/>
      <c r="FM227" s="8"/>
      <c r="FN227" s="8"/>
      <c r="FO227" s="8"/>
      <c r="FP227" s="8"/>
      <c r="FQ227" s="8"/>
      <c r="FR227" s="8"/>
      <c r="FS227" s="8"/>
      <c r="FT227" s="8"/>
      <c r="FU227" s="8"/>
      <c r="FV227" s="8"/>
      <c r="FW227" s="8"/>
      <c r="FX227" s="8"/>
      <c r="FY227" s="8"/>
      <c r="FZ227" s="8"/>
      <c r="GA227" s="8"/>
      <c r="GB227" s="8"/>
      <c r="GC227" s="8"/>
      <c r="GD227" s="8"/>
      <c r="GE227" s="8"/>
      <c r="GF227" s="8"/>
      <c r="GG227" s="8"/>
      <c r="GH227" s="8"/>
      <c r="GI227" s="8"/>
      <c r="GJ227" s="8"/>
      <c r="GK227" s="8"/>
      <c r="GL227" s="8"/>
      <c r="GM227" s="8"/>
      <c r="GN227" s="8"/>
      <c r="GO227" s="8"/>
      <c r="GP227" s="8"/>
      <c r="GQ227" s="8"/>
      <c r="GR227" s="8"/>
      <c r="GS227" s="8"/>
      <c r="GT227" s="8"/>
      <c r="GU227" s="8"/>
      <c r="GV227" s="8"/>
      <c r="GW227" s="8"/>
      <c r="GX227" s="8"/>
      <c r="GY227" s="8"/>
      <c r="GZ227" s="8"/>
      <c r="HA227" s="8"/>
      <c r="HB227" s="8"/>
      <c r="HC227" s="8"/>
      <c r="HD227" s="8"/>
      <c r="HE227" s="8"/>
      <c r="HF227" s="8"/>
      <c r="HG227" s="8"/>
      <c r="HH227" s="8"/>
      <c r="HI227" s="8"/>
      <c r="HJ227" s="8"/>
      <c r="HK227" s="8"/>
      <c r="HL227" s="8"/>
      <c r="HM227" s="8"/>
      <c r="HN227" s="8"/>
      <c r="HO227" s="8"/>
      <c r="HP227" s="8"/>
      <c r="HQ227" s="8"/>
      <c r="HR227" s="8"/>
      <c r="HS227" s="8"/>
      <c r="HT227" s="8"/>
      <c r="HU227" s="8"/>
      <c r="HV227" s="8"/>
      <c r="HW227" s="8"/>
      <c r="HX227" s="8"/>
      <c r="HY227" s="8"/>
      <c r="HZ227" s="8"/>
      <c r="IA227" s="8"/>
      <c r="IB227" s="8"/>
      <c r="IC227" s="8"/>
      <c r="ID227" s="8"/>
      <c r="IE227" s="8"/>
      <c r="IF227" s="8"/>
      <c r="IG227" s="8"/>
      <c r="IH227" s="8"/>
      <c r="II227" s="8"/>
      <c r="IJ227" s="8"/>
      <c r="IK227" s="8"/>
      <c r="IL227" s="8"/>
      <c r="IM227" s="8"/>
      <c r="IN227" s="8"/>
      <c r="IO227" s="8"/>
      <c r="IP227" s="8"/>
      <c r="IQ227" s="8"/>
      <c r="IR227" s="8"/>
      <c r="IS227" s="8"/>
      <c r="IT227" s="8"/>
      <c r="IU227" s="8"/>
      <c r="IV227" s="8"/>
      <c r="IW227" s="8"/>
      <c r="IX227" s="8"/>
      <c r="JA227" s="123"/>
      <c r="JB227" s="123"/>
      <c r="JC227" s="123"/>
      <c r="JD227" s="70">
        <f>SUM((TEXT(JA227,"[M]")/60)*'Income Person-hours'!$D$3,(TEXT(JB227,"[M]")/60)*'Income Person-hours'!$D$4,(TEXT(JC227,"[M]")/60)*'Income Person-hours'!$D$5)</f>
        <v>0</v>
      </c>
    </row>
    <row r="228" spans="1:264" s="12" customFormat="1" ht="15.75" hidden="1" x14ac:dyDescent="0.45">
      <c r="A228" s="32">
        <v>10.9</v>
      </c>
      <c r="B228" s="126"/>
      <c r="C228" s="117"/>
      <c r="D228" s="13" t="str">
        <f>IF(OR(j_WEEKDAY(J_ADDDAY(VLOOKUP(I228,A:F,6,FALSE),H228,1),0)=6,SUMIFS(Holieday[ok],Holieday[date],J_ADDDAY(VLOOKUP(I228,A:F,6,FALSE),H228,1)))=FALSE(),J_ADDDAY(VLOOKUP(I228,A:F,6,FALSE),H228,1),IF(OR(j_WEEKDAY(J_ADDDAY(VLOOKUP(I228,A:F,6,FALSE),H228+1,1),0)=6,SUMIFS(Holieday[ok],Holieday[date],J_ADDDAY(VLOOKUP(I228,A:F,6,FALSE),H228+1,1)))=FALSE(),J_ADDDAY(VLOOKUP(I228,A:F,6,FALSE),H228+1,1),IF(OR(j_WEEKDAY(J_ADDDAY(VLOOKUP(I228,A:F,6,FALSE),H228+2,1),0)=6,SUMIFS(Holieday[ok],Holieday[date],J_ADDDAY(VLOOKUP(I228,A:F,6,FALSE),H228+2,1)))=FALSE(),J_ADDDAY(VLOOKUP(I228,A:F,6,FALSE),H228+2,1),IF(OR(j_WEEKDAY(J_ADDDAY(VLOOKUP(I228,A:F,6,FALSE),H228+3,1),0)=6,SUMIFS(Holieday[ok],Holieday[date],J_ADDDAY(VLOOKUP(I228,A:F,6,FALSE),H228+3,1)))=FALSE(),J_ADDDAY(VLOOKUP(I228,A:F,6,FALSE),H228+3,1),IF(OR(j_WEEKDAY(J_ADDDAY(VLOOKUP(I228,A:F,6,FALSE),H228+4,1),0)=6,SUMIFS(Holieday[ok],Holieday[date],J_ADDDAY(VLOOKUP(I228,A:F,6,FALSE),H228+4,1)))=FALSE(),J_ADDDAY(VLOOKUP(I228,A:F,6,FALSE),H228+4,1),J_ADDDAY(VLOOKUP(I228,A:F,6,FALSE),H228+5,1))))))</f>
        <v>1398/06/30</v>
      </c>
      <c r="E228" s="2">
        <f t="shared" si="69"/>
        <v>13980630</v>
      </c>
      <c r="F228" s="13" t="str">
        <f>IF(N228=0,J_SUBDAY(D228,1,1),IF((N228-NETWORKDAYS.INTL(J_GregorianDate(D228,1),J_GregorianDate(J_SUBDAY(J_ADDDAY(D228,N228,1),1,1),1),16,1)-SUMIFS(Holieday[ok],Holieday[date],CONCATENATE("&gt;","=",D228),Holieday[date],CONCATENATE("&lt;","=",J_SUBDAY(J_ADDDAY(D228,N228,1),1,1)))+SUMIFS(Holieday[Friday],Holieday[date],CONCATENATE("&gt;","=",D228),Holieday[date],CONCATENATE("&lt;","=",J_SUBDAY(J_ADDDAY(D228,N228,1),1,1))))=0,J_SUBDAY(J_ADDDAY(D228,N228,1),1,1),IF((N228-NETWORKDAYS.INTL(J_GregorianDate(D228,1),J_GregorianDate(J_SUBDAY(J_ADDDAY(D228,N228,1),1,1),1),16,1)-SUMIFS(Holieday[ok],Holieday[date],CONCATENATE("&gt;","=",D228),Holieday[date],CONCATENATE("&lt;","=",J_SUBDAY(J_ADDDAY(D228,N228,1),1,1)))+SUMIFS(Holieday[Friday],Holieday[date],CONCATENATE("&gt;","=",D228),Holieday[date],CONCATENATE("&lt;","=",J_SUBDAY(J_ADDDAY(D228,N228,1),1,1))))=1,J_SUBDAY(J_ADDDAY(D228,N228+1,1),1,1),IF((N228-NETWORKDAYS.INTL(J_GregorianDate(D228,1),J_GregorianDate(J_SUBDAY(J_ADDDAY(D228,N228,1),1,1),1),16,1)-SUMIFS(Holieday[ok],Holieday[date],CONCATENATE("&gt;","=",D228),Holieday[date],CONCATENATE("&lt;","=",J_SUBDAY(J_ADDDAY(D228,N228,1),1,1)))+SUMIFS(Holieday[Friday],Holieday[date],CONCATENATE("&gt;","=",D228),Holieday[date],CONCATENATE("&lt;","=",J_SUBDAY(J_ADDDAY(D228,N228,1),1,1))))=2,J_SUBDAY(J_ADDDAY(D228,N228+2,1),1,1),J_SUBDAY(J_ADDDAY(D228,N228+3,1),1,1)))))</f>
        <v>1398/06/29</v>
      </c>
      <c r="G228" s="3">
        <f t="shared" si="70"/>
        <v>13980629</v>
      </c>
      <c r="H228" s="119"/>
      <c r="I228" s="120">
        <v>10.1</v>
      </c>
      <c r="J228" s="10">
        <f>j_WEEKDAY(D228,2)</f>
        <v>0</v>
      </c>
      <c r="K228" s="22">
        <f t="shared" si="68"/>
        <v>0</v>
      </c>
      <c r="L228" s="9">
        <f t="shared" si="73"/>
        <v>0</v>
      </c>
      <c r="M228" s="121">
        <v>0</v>
      </c>
      <c r="N228" s="118">
        <v>0</v>
      </c>
      <c r="O228" s="11">
        <f t="shared" si="74"/>
        <v>0</v>
      </c>
      <c r="P228" s="11">
        <f>VALUE(J_normdate(J_ADDDAY($D228,$O228,1)))</f>
        <v>13980630</v>
      </c>
      <c r="Q228" s="10">
        <f t="shared" si="75"/>
        <v>0</v>
      </c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/>
      <c r="AH228" s="8"/>
      <c r="AI228" s="8"/>
      <c r="AJ228" s="8"/>
      <c r="AK228" s="8"/>
      <c r="AL228" s="8"/>
      <c r="AM228" s="8"/>
      <c r="AN228" s="8"/>
      <c r="AO228" s="8"/>
      <c r="AP228" s="8"/>
      <c r="AQ228" s="8"/>
      <c r="AR228" s="8"/>
      <c r="AS228" s="8"/>
      <c r="AT228" s="8"/>
      <c r="AU228" s="8"/>
      <c r="AV228" s="8"/>
      <c r="AW228" s="8"/>
      <c r="AX228" s="8"/>
      <c r="AY228" s="8"/>
      <c r="AZ228" s="8"/>
      <c r="BA228" s="8"/>
      <c r="BB228" s="8"/>
      <c r="BC228" s="8"/>
      <c r="BD228" s="8"/>
      <c r="BE228" s="8"/>
      <c r="BF228" s="8"/>
      <c r="BG228" s="8"/>
      <c r="BH228" s="8"/>
      <c r="BI228" s="8"/>
      <c r="BJ228" s="8"/>
      <c r="BK228" s="8"/>
      <c r="BL228" s="8"/>
      <c r="BM228" s="8"/>
      <c r="BN228" s="8"/>
      <c r="BO228" s="8"/>
      <c r="BP228" s="8"/>
      <c r="BQ228" s="8"/>
      <c r="BR228" s="8"/>
      <c r="BS228" s="8"/>
      <c r="BT228" s="8"/>
      <c r="BU228" s="8"/>
      <c r="BV228" s="8"/>
      <c r="BW228" s="8"/>
      <c r="BX228" s="8"/>
      <c r="BY228" s="8"/>
      <c r="BZ228" s="8"/>
      <c r="CA228" s="8"/>
      <c r="CB228" s="8"/>
      <c r="CC228" s="8"/>
      <c r="CD228" s="8"/>
      <c r="CE228" s="8"/>
      <c r="CF228" s="8"/>
      <c r="CG228" s="8"/>
      <c r="CH228" s="8"/>
      <c r="CI228" s="8"/>
      <c r="CJ228" s="8"/>
      <c r="CK228" s="8"/>
      <c r="CL228" s="8"/>
      <c r="CM228" s="8"/>
      <c r="CN228" s="8"/>
      <c r="CO228" s="8"/>
      <c r="CP228" s="8"/>
      <c r="CQ228" s="8"/>
      <c r="CR228" s="8"/>
      <c r="CS228" s="8"/>
      <c r="CT228" s="8"/>
      <c r="CU228" s="8"/>
      <c r="CV228" s="8"/>
      <c r="CW228" s="8"/>
      <c r="CX228" s="8"/>
      <c r="CY228" s="8"/>
      <c r="CZ228" s="8"/>
      <c r="DA228" s="8"/>
      <c r="DB228" s="8"/>
      <c r="DC228" s="8"/>
      <c r="DD228" s="8"/>
      <c r="DE228" s="8"/>
      <c r="DF228" s="8"/>
      <c r="DG228" s="8"/>
      <c r="DH228" s="8"/>
      <c r="DI228" s="8"/>
      <c r="DJ228" s="8"/>
      <c r="DK228" s="8"/>
      <c r="DL228" s="8"/>
      <c r="DM228" s="8"/>
      <c r="DN228" s="8"/>
      <c r="DO228" s="8"/>
      <c r="DP228" s="8"/>
      <c r="DQ228" s="8"/>
      <c r="DR228" s="8"/>
      <c r="DS228" s="8"/>
      <c r="DT228" s="8"/>
      <c r="DU228" s="8"/>
      <c r="DV228" s="8"/>
      <c r="DW228" s="8"/>
      <c r="DX228" s="8"/>
      <c r="DY228" s="8"/>
      <c r="DZ228" s="8"/>
      <c r="EA228" s="8"/>
      <c r="EB228" s="8"/>
      <c r="EC228" s="8"/>
      <c r="ED228" s="8"/>
      <c r="EE228" s="8"/>
      <c r="EF228" s="8"/>
      <c r="EG228" s="8"/>
      <c r="EH228" s="8"/>
      <c r="EI228" s="8"/>
      <c r="EJ228" s="8"/>
      <c r="EK228" s="8"/>
      <c r="EL228" s="8"/>
      <c r="EM228" s="8"/>
      <c r="EN228" s="8"/>
      <c r="EO228" s="8"/>
      <c r="EP228" s="8"/>
      <c r="EQ228" s="8"/>
      <c r="ER228" s="8"/>
      <c r="ES228" s="8"/>
      <c r="ET228" s="8"/>
      <c r="EU228" s="8"/>
      <c r="EV228" s="8"/>
      <c r="EW228" s="8"/>
      <c r="EX228" s="8"/>
      <c r="EY228" s="8"/>
      <c r="EZ228" s="8"/>
      <c r="FA228" s="8"/>
      <c r="FB228" s="8"/>
      <c r="FC228" s="8"/>
      <c r="FD228" s="8"/>
      <c r="FE228" s="8"/>
      <c r="FF228" s="8"/>
      <c r="FG228" s="8"/>
      <c r="FH228" s="8"/>
      <c r="FI228" s="8"/>
      <c r="FJ228" s="8"/>
      <c r="FK228" s="8"/>
      <c r="FL228" s="8"/>
      <c r="FM228" s="8"/>
      <c r="FN228" s="8"/>
      <c r="FO228" s="8"/>
      <c r="FP228" s="8"/>
      <c r="FQ228" s="8"/>
      <c r="FR228" s="8"/>
      <c r="FS228" s="8"/>
      <c r="FT228" s="8"/>
      <c r="FU228" s="8"/>
      <c r="FV228" s="8"/>
      <c r="FW228" s="8"/>
      <c r="FX228" s="8"/>
      <c r="FY228" s="8"/>
      <c r="FZ228" s="8"/>
      <c r="GA228" s="8"/>
      <c r="GB228" s="8"/>
      <c r="GC228" s="8"/>
      <c r="GD228" s="8"/>
      <c r="GE228" s="8"/>
      <c r="GF228" s="8"/>
      <c r="GG228" s="8"/>
      <c r="GH228" s="8"/>
      <c r="GI228" s="8"/>
      <c r="GJ228" s="8"/>
      <c r="GK228" s="8"/>
      <c r="GL228" s="8"/>
      <c r="GM228" s="8"/>
      <c r="GN228" s="8"/>
      <c r="GO228" s="8"/>
      <c r="GP228" s="8"/>
      <c r="GQ228" s="8"/>
      <c r="GR228" s="8"/>
      <c r="GS228" s="8"/>
      <c r="GT228" s="8"/>
      <c r="GU228" s="8"/>
      <c r="GV228" s="8"/>
      <c r="GW228" s="8"/>
      <c r="GX228" s="8"/>
      <c r="GY228" s="8"/>
      <c r="GZ228" s="8"/>
      <c r="HA228" s="8"/>
      <c r="HB228" s="8"/>
      <c r="HC228" s="8"/>
      <c r="HD228" s="8"/>
      <c r="HE228" s="8"/>
      <c r="HF228" s="8"/>
      <c r="HG228" s="8"/>
      <c r="HH228" s="8"/>
      <c r="HI228" s="8"/>
      <c r="HJ228" s="8"/>
      <c r="HK228" s="8"/>
      <c r="HL228" s="8"/>
      <c r="HM228" s="8"/>
      <c r="HN228" s="8"/>
      <c r="HO228" s="8"/>
      <c r="HP228" s="8"/>
      <c r="HQ228" s="8"/>
      <c r="HR228" s="8"/>
      <c r="HS228" s="8"/>
      <c r="HT228" s="8"/>
      <c r="HU228" s="8"/>
      <c r="HV228" s="8"/>
      <c r="HW228" s="8"/>
      <c r="HX228" s="8"/>
      <c r="HY228" s="8"/>
      <c r="HZ228" s="8"/>
      <c r="IA228" s="8"/>
      <c r="IB228" s="8"/>
      <c r="IC228" s="8"/>
      <c r="ID228" s="8"/>
      <c r="IE228" s="8"/>
      <c r="IF228" s="8"/>
      <c r="IG228" s="8"/>
      <c r="IH228" s="8"/>
      <c r="II228" s="8"/>
      <c r="IJ228" s="8"/>
      <c r="IK228" s="8"/>
      <c r="IL228" s="8"/>
      <c r="IM228" s="8"/>
      <c r="IN228" s="8"/>
      <c r="IO228" s="8"/>
      <c r="IP228" s="8"/>
      <c r="IQ228" s="8"/>
      <c r="IR228" s="8"/>
      <c r="IS228" s="8"/>
      <c r="IT228" s="8"/>
      <c r="IU228" s="8"/>
      <c r="IV228" s="8"/>
      <c r="IW228" s="8"/>
      <c r="IX228" s="8"/>
      <c r="JA228" s="123"/>
      <c r="JB228" s="123"/>
      <c r="JC228" s="123"/>
      <c r="JD228" s="70">
        <f>SUM((TEXT(JA228,"[M]")/60)*'Income Person-hours'!$D$3,(TEXT(JB228,"[M]")/60)*'Income Person-hours'!$D$4,(TEXT(JC228,"[M]")/60)*'Income Person-hours'!$D$5)</f>
        <v>0</v>
      </c>
    </row>
    <row r="229" spans="1:264" s="12" customFormat="1" ht="15.75" hidden="1" x14ac:dyDescent="0.45">
      <c r="A229" s="32">
        <v>10.11</v>
      </c>
      <c r="B229" s="126"/>
      <c r="C229" s="117"/>
      <c r="D229" s="13" t="str">
        <f>IF(OR(j_WEEKDAY(J_ADDDAY(VLOOKUP(I229,A:F,6,FALSE),H229,1),0)=6,SUMIFS(Holieday[ok],Holieday[date],J_ADDDAY(VLOOKUP(I229,A:F,6,FALSE),H229,1)))=FALSE(),J_ADDDAY(VLOOKUP(I229,A:F,6,FALSE),H229,1),IF(OR(j_WEEKDAY(J_ADDDAY(VLOOKUP(I229,A:F,6,FALSE),H229+1,1),0)=6,SUMIFS(Holieday[ok],Holieday[date],J_ADDDAY(VLOOKUP(I229,A:F,6,FALSE),H229+1,1)))=FALSE(),J_ADDDAY(VLOOKUP(I229,A:F,6,FALSE),H229+1,1),IF(OR(j_WEEKDAY(J_ADDDAY(VLOOKUP(I229,A:F,6,FALSE),H229+2,1),0)=6,SUMIFS(Holieday[ok],Holieday[date],J_ADDDAY(VLOOKUP(I229,A:F,6,FALSE),H229+2,1)))=FALSE(),J_ADDDAY(VLOOKUP(I229,A:F,6,FALSE),H229+2,1),IF(OR(j_WEEKDAY(J_ADDDAY(VLOOKUP(I229,A:F,6,FALSE),H229+3,1),0)=6,SUMIFS(Holieday[ok],Holieday[date],J_ADDDAY(VLOOKUP(I229,A:F,6,FALSE),H229+3,1)))=FALSE(),J_ADDDAY(VLOOKUP(I229,A:F,6,FALSE),H229+3,1),IF(OR(j_WEEKDAY(J_ADDDAY(VLOOKUP(I229,A:F,6,FALSE),H229+4,1),0)=6,SUMIFS(Holieday[ok],Holieday[date],J_ADDDAY(VLOOKUP(I229,A:F,6,FALSE),H229+4,1)))=FALSE(),J_ADDDAY(VLOOKUP(I229,A:F,6,FALSE),H229+4,1),J_ADDDAY(VLOOKUP(I229,A:F,6,FALSE),H229+5,1))))))</f>
        <v>1398/06/30</v>
      </c>
      <c r="E229" s="2">
        <f t="shared" si="69"/>
        <v>13980630</v>
      </c>
      <c r="F229" s="13" t="str">
        <f>IF(N229=0,J_SUBDAY(D229,1,1),IF((N229-NETWORKDAYS.INTL(J_GregorianDate(D229,1),J_GregorianDate(J_SUBDAY(J_ADDDAY(D229,N229,1),1,1),1),16,1)-SUMIFS(Holieday[ok],Holieday[date],CONCATENATE("&gt;","=",D229),Holieday[date],CONCATENATE("&lt;","=",J_SUBDAY(J_ADDDAY(D229,N229,1),1,1)))+SUMIFS(Holieday[Friday],Holieday[date],CONCATENATE("&gt;","=",D229),Holieday[date],CONCATENATE("&lt;","=",J_SUBDAY(J_ADDDAY(D229,N229,1),1,1))))=0,J_SUBDAY(J_ADDDAY(D229,N229,1),1,1),IF((N229-NETWORKDAYS.INTL(J_GregorianDate(D229,1),J_GregorianDate(J_SUBDAY(J_ADDDAY(D229,N229,1),1,1),1),16,1)-SUMIFS(Holieday[ok],Holieday[date],CONCATENATE("&gt;","=",D229),Holieday[date],CONCATENATE("&lt;","=",J_SUBDAY(J_ADDDAY(D229,N229,1),1,1)))+SUMIFS(Holieday[Friday],Holieday[date],CONCATENATE("&gt;","=",D229),Holieday[date],CONCATENATE("&lt;","=",J_SUBDAY(J_ADDDAY(D229,N229,1),1,1))))=1,J_SUBDAY(J_ADDDAY(D229,N229+1,1),1,1),IF((N229-NETWORKDAYS.INTL(J_GregorianDate(D229,1),J_GregorianDate(J_SUBDAY(J_ADDDAY(D229,N229,1),1,1),1),16,1)-SUMIFS(Holieday[ok],Holieday[date],CONCATENATE("&gt;","=",D229),Holieday[date],CONCATENATE("&lt;","=",J_SUBDAY(J_ADDDAY(D229,N229,1),1,1)))+SUMIFS(Holieday[Friday],Holieday[date],CONCATENATE("&gt;","=",D229),Holieday[date],CONCATENATE("&lt;","=",J_SUBDAY(J_ADDDAY(D229,N229,1),1,1))))=2,J_SUBDAY(J_ADDDAY(D229,N229+2,1),1,1),J_SUBDAY(J_ADDDAY(D229,N229+3,1),1,1)))))</f>
        <v>1398/06/29</v>
      </c>
      <c r="G229" s="3">
        <f t="shared" si="70"/>
        <v>13980629</v>
      </c>
      <c r="H229" s="119"/>
      <c r="I229" s="120">
        <v>10.1</v>
      </c>
      <c r="J229" s="10">
        <f>j_WEEKDAY(D229,2)</f>
        <v>0</v>
      </c>
      <c r="K229" s="22">
        <f t="shared" si="68"/>
        <v>0</v>
      </c>
      <c r="L229" s="9">
        <f t="shared" si="73"/>
        <v>0</v>
      </c>
      <c r="M229" s="121">
        <v>0</v>
      </c>
      <c r="N229" s="118">
        <v>0</v>
      </c>
      <c r="O229" s="11">
        <f t="shared" si="74"/>
        <v>0</v>
      </c>
      <c r="P229" s="11">
        <f>VALUE(J_normdate(J_ADDDAY($D229,$O229,1)))</f>
        <v>13980630</v>
      </c>
      <c r="Q229" s="10">
        <f t="shared" si="75"/>
        <v>0</v>
      </c>
      <c r="R229" s="8"/>
      <c r="S229" s="8"/>
      <c r="T229" s="8"/>
      <c r="U229" s="8"/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8"/>
      <c r="AG229" s="8"/>
      <c r="AH229" s="8"/>
      <c r="AI229" s="8"/>
      <c r="AJ229" s="8"/>
      <c r="AK229" s="8"/>
      <c r="AL229" s="8"/>
      <c r="AM229" s="8"/>
      <c r="AN229" s="8"/>
      <c r="AO229" s="8"/>
      <c r="AP229" s="8"/>
      <c r="AQ229" s="8"/>
      <c r="AR229" s="8"/>
      <c r="AS229" s="8"/>
      <c r="AT229" s="8"/>
      <c r="AU229" s="8"/>
      <c r="AV229" s="8"/>
      <c r="AW229" s="8"/>
      <c r="AX229" s="8"/>
      <c r="AY229" s="8"/>
      <c r="AZ229" s="8"/>
      <c r="BA229" s="8"/>
      <c r="BB229" s="8"/>
      <c r="BC229" s="8"/>
      <c r="BD229" s="8"/>
      <c r="BE229" s="8"/>
      <c r="BF229" s="8"/>
      <c r="BG229" s="8"/>
      <c r="BH229" s="8"/>
      <c r="BI229" s="8"/>
      <c r="BJ229" s="8"/>
      <c r="BK229" s="8"/>
      <c r="BL229" s="8"/>
      <c r="BM229" s="8"/>
      <c r="BN229" s="8"/>
      <c r="BO229" s="8"/>
      <c r="BP229" s="8"/>
      <c r="BQ229" s="8"/>
      <c r="BR229" s="8"/>
      <c r="BS229" s="8"/>
      <c r="BT229" s="8"/>
      <c r="BU229" s="8"/>
      <c r="BV229" s="8"/>
      <c r="BW229" s="8"/>
      <c r="BX229" s="8"/>
      <c r="BY229" s="8"/>
      <c r="BZ229" s="8"/>
      <c r="CA229" s="8"/>
      <c r="CB229" s="8"/>
      <c r="CC229" s="8"/>
      <c r="CD229" s="8"/>
      <c r="CE229" s="8"/>
      <c r="CF229" s="8"/>
      <c r="CG229" s="8"/>
      <c r="CH229" s="8"/>
      <c r="CI229" s="8"/>
      <c r="CJ229" s="8"/>
      <c r="CK229" s="8"/>
      <c r="CL229" s="8"/>
      <c r="CM229" s="8"/>
      <c r="CN229" s="8"/>
      <c r="CO229" s="8"/>
      <c r="CP229" s="8"/>
      <c r="CQ229" s="8"/>
      <c r="CR229" s="8"/>
      <c r="CS229" s="8"/>
      <c r="CT229" s="8"/>
      <c r="CU229" s="8"/>
      <c r="CV229" s="8"/>
      <c r="CW229" s="8"/>
      <c r="CX229" s="8"/>
      <c r="CY229" s="8"/>
      <c r="CZ229" s="8"/>
      <c r="DA229" s="8"/>
      <c r="DB229" s="8"/>
      <c r="DC229" s="8"/>
      <c r="DD229" s="8"/>
      <c r="DE229" s="8"/>
      <c r="DF229" s="8"/>
      <c r="DG229" s="8"/>
      <c r="DH229" s="8"/>
      <c r="DI229" s="8"/>
      <c r="DJ229" s="8"/>
      <c r="DK229" s="8"/>
      <c r="DL229" s="8"/>
      <c r="DM229" s="8"/>
      <c r="DN229" s="8"/>
      <c r="DO229" s="8"/>
      <c r="DP229" s="8"/>
      <c r="DQ229" s="8"/>
      <c r="DR229" s="8"/>
      <c r="DS229" s="8"/>
      <c r="DT229" s="8"/>
      <c r="DU229" s="8"/>
      <c r="DV229" s="8"/>
      <c r="DW229" s="8"/>
      <c r="DX229" s="8"/>
      <c r="DY229" s="8"/>
      <c r="DZ229" s="8"/>
      <c r="EA229" s="8"/>
      <c r="EB229" s="8"/>
      <c r="EC229" s="8"/>
      <c r="ED229" s="8"/>
      <c r="EE229" s="8"/>
      <c r="EF229" s="8"/>
      <c r="EG229" s="8"/>
      <c r="EH229" s="8"/>
      <c r="EI229" s="8"/>
      <c r="EJ229" s="8"/>
      <c r="EK229" s="8"/>
      <c r="EL229" s="8"/>
      <c r="EM229" s="8"/>
      <c r="EN229" s="8"/>
      <c r="EO229" s="8"/>
      <c r="EP229" s="8"/>
      <c r="EQ229" s="8"/>
      <c r="ER229" s="8"/>
      <c r="ES229" s="8"/>
      <c r="ET229" s="8"/>
      <c r="EU229" s="8"/>
      <c r="EV229" s="8"/>
      <c r="EW229" s="8"/>
      <c r="EX229" s="8"/>
      <c r="EY229" s="8"/>
      <c r="EZ229" s="8"/>
      <c r="FA229" s="8"/>
      <c r="FB229" s="8"/>
      <c r="FC229" s="8"/>
      <c r="FD229" s="8"/>
      <c r="FE229" s="8"/>
      <c r="FF229" s="8"/>
      <c r="FG229" s="8"/>
      <c r="FH229" s="8"/>
      <c r="FI229" s="8"/>
      <c r="FJ229" s="8"/>
      <c r="FK229" s="8"/>
      <c r="FL229" s="8"/>
      <c r="FM229" s="8"/>
      <c r="FN229" s="8"/>
      <c r="FO229" s="8"/>
      <c r="FP229" s="8"/>
      <c r="FQ229" s="8"/>
      <c r="FR229" s="8"/>
      <c r="FS229" s="8"/>
      <c r="FT229" s="8"/>
      <c r="FU229" s="8"/>
      <c r="FV229" s="8"/>
      <c r="FW229" s="8"/>
      <c r="FX229" s="8"/>
      <c r="FY229" s="8"/>
      <c r="FZ229" s="8"/>
      <c r="GA229" s="8"/>
      <c r="GB229" s="8"/>
      <c r="GC229" s="8"/>
      <c r="GD229" s="8"/>
      <c r="GE229" s="8"/>
      <c r="GF229" s="8"/>
      <c r="GG229" s="8"/>
      <c r="GH229" s="8"/>
      <c r="GI229" s="8"/>
      <c r="GJ229" s="8"/>
      <c r="GK229" s="8"/>
      <c r="GL229" s="8"/>
      <c r="GM229" s="8"/>
      <c r="GN229" s="8"/>
      <c r="GO229" s="8"/>
      <c r="GP229" s="8"/>
      <c r="GQ229" s="8"/>
      <c r="GR229" s="8"/>
      <c r="GS229" s="8"/>
      <c r="GT229" s="8"/>
      <c r="GU229" s="8"/>
      <c r="GV229" s="8"/>
      <c r="GW229" s="8"/>
      <c r="GX229" s="8"/>
      <c r="GY229" s="8"/>
      <c r="GZ229" s="8"/>
      <c r="HA229" s="8"/>
      <c r="HB229" s="8"/>
      <c r="HC229" s="8"/>
      <c r="HD229" s="8"/>
      <c r="HE229" s="8"/>
      <c r="HF229" s="8"/>
      <c r="HG229" s="8"/>
      <c r="HH229" s="8"/>
      <c r="HI229" s="8"/>
      <c r="HJ229" s="8"/>
      <c r="HK229" s="8"/>
      <c r="HL229" s="8"/>
      <c r="HM229" s="8"/>
      <c r="HN229" s="8"/>
      <c r="HO229" s="8"/>
      <c r="HP229" s="8"/>
      <c r="HQ229" s="8"/>
      <c r="HR229" s="8"/>
      <c r="HS229" s="8"/>
      <c r="HT229" s="8"/>
      <c r="HU229" s="8"/>
      <c r="HV229" s="8"/>
      <c r="HW229" s="8"/>
      <c r="HX229" s="8"/>
      <c r="HY229" s="8"/>
      <c r="HZ229" s="8"/>
      <c r="IA229" s="8"/>
      <c r="IB229" s="8"/>
      <c r="IC229" s="8"/>
      <c r="ID229" s="8"/>
      <c r="IE229" s="8"/>
      <c r="IF229" s="8"/>
      <c r="IG229" s="8"/>
      <c r="IH229" s="8"/>
      <c r="II229" s="8"/>
      <c r="IJ229" s="8"/>
      <c r="IK229" s="8"/>
      <c r="IL229" s="8"/>
      <c r="IM229" s="8"/>
      <c r="IN229" s="8"/>
      <c r="IO229" s="8"/>
      <c r="IP229" s="8"/>
      <c r="IQ229" s="8"/>
      <c r="IR229" s="8"/>
      <c r="IS229" s="8"/>
      <c r="IT229" s="8"/>
      <c r="IU229" s="8"/>
      <c r="IV229" s="8"/>
      <c r="IW229" s="8"/>
      <c r="IX229" s="8"/>
      <c r="JA229" s="123"/>
      <c r="JB229" s="123"/>
      <c r="JC229" s="123"/>
      <c r="JD229" s="70">
        <f>SUM((TEXT(JA229,"[M]")/60)*'Income Person-hours'!$D$3,(TEXT(JB229,"[M]")/60)*'Income Person-hours'!$D$4,(TEXT(JC229,"[M]")/60)*'Income Person-hours'!$D$5)</f>
        <v>0</v>
      </c>
    </row>
    <row r="230" spans="1:264" s="12" customFormat="1" ht="15.75" hidden="1" x14ac:dyDescent="0.45">
      <c r="A230" s="32">
        <v>10.119999999999999</v>
      </c>
      <c r="B230" s="126"/>
      <c r="C230" s="117"/>
      <c r="D230" s="13" t="str">
        <f>IF(OR(j_WEEKDAY(J_ADDDAY(VLOOKUP(I230,A:F,6,FALSE),H230,1),0)=6,SUMIFS(Holieday[ok],Holieday[date],J_ADDDAY(VLOOKUP(I230,A:F,6,FALSE),H230,1)))=FALSE(),J_ADDDAY(VLOOKUP(I230,A:F,6,FALSE),H230,1),IF(OR(j_WEEKDAY(J_ADDDAY(VLOOKUP(I230,A:F,6,FALSE),H230+1,1),0)=6,SUMIFS(Holieday[ok],Holieday[date],J_ADDDAY(VLOOKUP(I230,A:F,6,FALSE),H230+1,1)))=FALSE(),J_ADDDAY(VLOOKUP(I230,A:F,6,FALSE),H230+1,1),IF(OR(j_WEEKDAY(J_ADDDAY(VLOOKUP(I230,A:F,6,FALSE),H230+2,1),0)=6,SUMIFS(Holieday[ok],Holieday[date],J_ADDDAY(VLOOKUP(I230,A:F,6,FALSE),H230+2,1)))=FALSE(),J_ADDDAY(VLOOKUP(I230,A:F,6,FALSE),H230+2,1),IF(OR(j_WEEKDAY(J_ADDDAY(VLOOKUP(I230,A:F,6,FALSE),H230+3,1),0)=6,SUMIFS(Holieday[ok],Holieday[date],J_ADDDAY(VLOOKUP(I230,A:F,6,FALSE),H230+3,1)))=FALSE(),J_ADDDAY(VLOOKUP(I230,A:F,6,FALSE),H230+3,1),IF(OR(j_WEEKDAY(J_ADDDAY(VLOOKUP(I230,A:F,6,FALSE),H230+4,1),0)=6,SUMIFS(Holieday[ok],Holieday[date],J_ADDDAY(VLOOKUP(I230,A:F,6,FALSE),H230+4,1)))=FALSE(),J_ADDDAY(VLOOKUP(I230,A:F,6,FALSE),H230+4,1),J_ADDDAY(VLOOKUP(I230,A:F,6,FALSE),H230+5,1))))))</f>
        <v>1398/06/30</v>
      </c>
      <c r="E230" s="2">
        <f t="shared" si="69"/>
        <v>13980630</v>
      </c>
      <c r="F230" s="13" t="str">
        <f>IF(N230=0,J_SUBDAY(D230,1,1),IF((N230-NETWORKDAYS.INTL(J_GregorianDate(D230,1),J_GregorianDate(J_SUBDAY(J_ADDDAY(D230,N230,1),1,1),1),16,1)-SUMIFS(Holieday[ok],Holieday[date],CONCATENATE("&gt;","=",D230),Holieday[date],CONCATENATE("&lt;","=",J_SUBDAY(J_ADDDAY(D230,N230,1),1,1)))+SUMIFS(Holieday[Friday],Holieday[date],CONCATENATE("&gt;","=",D230),Holieday[date],CONCATENATE("&lt;","=",J_SUBDAY(J_ADDDAY(D230,N230,1),1,1))))=0,J_SUBDAY(J_ADDDAY(D230,N230,1),1,1),IF((N230-NETWORKDAYS.INTL(J_GregorianDate(D230,1),J_GregorianDate(J_SUBDAY(J_ADDDAY(D230,N230,1),1,1),1),16,1)-SUMIFS(Holieday[ok],Holieday[date],CONCATENATE("&gt;","=",D230),Holieday[date],CONCATENATE("&lt;","=",J_SUBDAY(J_ADDDAY(D230,N230,1),1,1)))+SUMIFS(Holieday[Friday],Holieday[date],CONCATENATE("&gt;","=",D230),Holieday[date],CONCATENATE("&lt;","=",J_SUBDAY(J_ADDDAY(D230,N230,1),1,1))))=1,J_SUBDAY(J_ADDDAY(D230,N230+1,1),1,1),IF((N230-NETWORKDAYS.INTL(J_GregorianDate(D230,1),J_GregorianDate(J_SUBDAY(J_ADDDAY(D230,N230,1),1,1),1),16,1)-SUMIFS(Holieday[ok],Holieday[date],CONCATENATE("&gt;","=",D230),Holieday[date],CONCATENATE("&lt;","=",J_SUBDAY(J_ADDDAY(D230,N230,1),1,1)))+SUMIFS(Holieday[Friday],Holieday[date],CONCATENATE("&gt;","=",D230),Holieday[date],CONCATENATE("&lt;","=",J_SUBDAY(J_ADDDAY(D230,N230,1),1,1))))=2,J_SUBDAY(J_ADDDAY(D230,N230+2,1),1,1),J_SUBDAY(J_ADDDAY(D230,N230+3,1),1,1)))))</f>
        <v>1398/06/29</v>
      </c>
      <c r="G230" s="3">
        <f t="shared" si="70"/>
        <v>13980629</v>
      </c>
      <c r="H230" s="119"/>
      <c r="I230" s="120">
        <v>10.1</v>
      </c>
      <c r="J230" s="10">
        <f>j_WEEKDAY(D230,2)</f>
        <v>0</v>
      </c>
      <c r="K230" s="22">
        <f t="shared" si="68"/>
        <v>0</v>
      </c>
      <c r="L230" s="9">
        <f t="shared" si="73"/>
        <v>0</v>
      </c>
      <c r="M230" s="121">
        <v>0</v>
      </c>
      <c r="N230" s="118">
        <v>0</v>
      </c>
      <c r="O230" s="11">
        <f t="shared" si="74"/>
        <v>0</v>
      </c>
      <c r="P230" s="11">
        <f>VALUE(J_normdate(J_ADDDAY($D230,$O230,1)))</f>
        <v>13980630</v>
      </c>
      <c r="Q230" s="10">
        <f t="shared" si="75"/>
        <v>0</v>
      </c>
      <c r="R230" s="8"/>
      <c r="S230" s="8"/>
      <c r="T230" s="8"/>
      <c r="U230" s="8"/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/>
      <c r="AH230" s="8"/>
      <c r="AI230" s="8"/>
      <c r="AJ230" s="8"/>
      <c r="AK230" s="8"/>
      <c r="AL230" s="8"/>
      <c r="AM230" s="8"/>
      <c r="AN230" s="8"/>
      <c r="AO230" s="8"/>
      <c r="AP230" s="8"/>
      <c r="AQ230" s="8"/>
      <c r="AR230" s="8"/>
      <c r="AS230" s="8"/>
      <c r="AT230" s="8"/>
      <c r="AU230" s="8"/>
      <c r="AV230" s="8"/>
      <c r="AW230" s="8"/>
      <c r="AX230" s="8"/>
      <c r="AY230" s="8"/>
      <c r="AZ230" s="8"/>
      <c r="BA230" s="8"/>
      <c r="BB230" s="8"/>
      <c r="BC230" s="8"/>
      <c r="BD230" s="8"/>
      <c r="BE230" s="8"/>
      <c r="BF230" s="8"/>
      <c r="BG230" s="8"/>
      <c r="BH230" s="8"/>
      <c r="BI230" s="8"/>
      <c r="BJ230" s="8"/>
      <c r="BK230" s="8"/>
      <c r="BL230" s="8"/>
      <c r="BM230" s="8"/>
      <c r="BN230" s="8"/>
      <c r="BO230" s="8"/>
      <c r="BP230" s="8"/>
      <c r="BQ230" s="8"/>
      <c r="BR230" s="8"/>
      <c r="BS230" s="8"/>
      <c r="BT230" s="8"/>
      <c r="BU230" s="8"/>
      <c r="BV230" s="8"/>
      <c r="BW230" s="8"/>
      <c r="BX230" s="8"/>
      <c r="BY230" s="8"/>
      <c r="BZ230" s="8"/>
      <c r="CA230" s="8"/>
      <c r="CB230" s="8"/>
      <c r="CC230" s="8"/>
      <c r="CD230" s="8"/>
      <c r="CE230" s="8"/>
      <c r="CF230" s="8"/>
      <c r="CG230" s="8"/>
      <c r="CH230" s="8"/>
      <c r="CI230" s="8"/>
      <c r="CJ230" s="8"/>
      <c r="CK230" s="8"/>
      <c r="CL230" s="8"/>
      <c r="CM230" s="8"/>
      <c r="CN230" s="8"/>
      <c r="CO230" s="8"/>
      <c r="CP230" s="8"/>
      <c r="CQ230" s="8"/>
      <c r="CR230" s="8"/>
      <c r="CS230" s="8"/>
      <c r="CT230" s="8"/>
      <c r="CU230" s="8"/>
      <c r="CV230" s="8"/>
      <c r="CW230" s="8"/>
      <c r="CX230" s="8"/>
      <c r="CY230" s="8"/>
      <c r="CZ230" s="8"/>
      <c r="DA230" s="8"/>
      <c r="DB230" s="8"/>
      <c r="DC230" s="8"/>
      <c r="DD230" s="8"/>
      <c r="DE230" s="8"/>
      <c r="DF230" s="8"/>
      <c r="DG230" s="8"/>
      <c r="DH230" s="8"/>
      <c r="DI230" s="8"/>
      <c r="DJ230" s="8"/>
      <c r="DK230" s="8"/>
      <c r="DL230" s="8"/>
      <c r="DM230" s="8"/>
      <c r="DN230" s="8"/>
      <c r="DO230" s="8"/>
      <c r="DP230" s="8"/>
      <c r="DQ230" s="8"/>
      <c r="DR230" s="8"/>
      <c r="DS230" s="8"/>
      <c r="DT230" s="8"/>
      <c r="DU230" s="8"/>
      <c r="DV230" s="8"/>
      <c r="DW230" s="8"/>
      <c r="DX230" s="8"/>
      <c r="DY230" s="8"/>
      <c r="DZ230" s="8"/>
      <c r="EA230" s="8"/>
      <c r="EB230" s="8"/>
      <c r="EC230" s="8"/>
      <c r="ED230" s="8"/>
      <c r="EE230" s="8"/>
      <c r="EF230" s="8"/>
      <c r="EG230" s="8"/>
      <c r="EH230" s="8"/>
      <c r="EI230" s="8"/>
      <c r="EJ230" s="8"/>
      <c r="EK230" s="8"/>
      <c r="EL230" s="8"/>
      <c r="EM230" s="8"/>
      <c r="EN230" s="8"/>
      <c r="EO230" s="8"/>
      <c r="EP230" s="8"/>
      <c r="EQ230" s="8"/>
      <c r="ER230" s="8"/>
      <c r="ES230" s="8"/>
      <c r="ET230" s="8"/>
      <c r="EU230" s="8"/>
      <c r="EV230" s="8"/>
      <c r="EW230" s="8"/>
      <c r="EX230" s="8"/>
      <c r="EY230" s="8"/>
      <c r="EZ230" s="8"/>
      <c r="FA230" s="8"/>
      <c r="FB230" s="8"/>
      <c r="FC230" s="8"/>
      <c r="FD230" s="8"/>
      <c r="FE230" s="8"/>
      <c r="FF230" s="8"/>
      <c r="FG230" s="8"/>
      <c r="FH230" s="8"/>
      <c r="FI230" s="8"/>
      <c r="FJ230" s="8"/>
      <c r="FK230" s="8"/>
      <c r="FL230" s="8"/>
      <c r="FM230" s="8"/>
      <c r="FN230" s="8"/>
      <c r="FO230" s="8"/>
      <c r="FP230" s="8"/>
      <c r="FQ230" s="8"/>
      <c r="FR230" s="8"/>
      <c r="FS230" s="8"/>
      <c r="FT230" s="8"/>
      <c r="FU230" s="8"/>
      <c r="FV230" s="8"/>
      <c r="FW230" s="8"/>
      <c r="FX230" s="8"/>
      <c r="FY230" s="8"/>
      <c r="FZ230" s="8"/>
      <c r="GA230" s="8"/>
      <c r="GB230" s="8"/>
      <c r="GC230" s="8"/>
      <c r="GD230" s="8"/>
      <c r="GE230" s="8"/>
      <c r="GF230" s="8"/>
      <c r="GG230" s="8"/>
      <c r="GH230" s="8"/>
      <c r="GI230" s="8"/>
      <c r="GJ230" s="8"/>
      <c r="GK230" s="8"/>
      <c r="GL230" s="8"/>
      <c r="GM230" s="8"/>
      <c r="GN230" s="8"/>
      <c r="GO230" s="8"/>
      <c r="GP230" s="8"/>
      <c r="GQ230" s="8"/>
      <c r="GR230" s="8"/>
      <c r="GS230" s="8"/>
      <c r="GT230" s="8"/>
      <c r="GU230" s="8"/>
      <c r="GV230" s="8"/>
      <c r="GW230" s="8"/>
      <c r="GX230" s="8"/>
      <c r="GY230" s="8"/>
      <c r="GZ230" s="8"/>
      <c r="HA230" s="8"/>
      <c r="HB230" s="8"/>
      <c r="HC230" s="8"/>
      <c r="HD230" s="8"/>
      <c r="HE230" s="8"/>
      <c r="HF230" s="8"/>
      <c r="HG230" s="8"/>
      <c r="HH230" s="8"/>
      <c r="HI230" s="8"/>
      <c r="HJ230" s="8"/>
      <c r="HK230" s="8"/>
      <c r="HL230" s="8"/>
      <c r="HM230" s="8"/>
      <c r="HN230" s="8"/>
      <c r="HO230" s="8"/>
      <c r="HP230" s="8"/>
      <c r="HQ230" s="8"/>
      <c r="HR230" s="8"/>
      <c r="HS230" s="8"/>
      <c r="HT230" s="8"/>
      <c r="HU230" s="8"/>
      <c r="HV230" s="8"/>
      <c r="HW230" s="8"/>
      <c r="HX230" s="8"/>
      <c r="HY230" s="8"/>
      <c r="HZ230" s="8"/>
      <c r="IA230" s="8"/>
      <c r="IB230" s="8"/>
      <c r="IC230" s="8"/>
      <c r="ID230" s="8"/>
      <c r="IE230" s="8"/>
      <c r="IF230" s="8"/>
      <c r="IG230" s="8"/>
      <c r="IH230" s="8"/>
      <c r="II230" s="8"/>
      <c r="IJ230" s="8"/>
      <c r="IK230" s="8"/>
      <c r="IL230" s="8"/>
      <c r="IM230" s="8"/>
      <c r="IN230" s="8"/>
      <c r="IO230" s="8"/>
      <c r="IP230" s="8"/>
      <c r="IQ230" s="8"/>
      <c r="IR230" s="8"/>
      <c r="IS230" s="8"/>
      <c r="IT230" s="8"/>
      <c r="IU230" s="8"/>
      <c r="IV230" s="8"/>
      <c r="IW230" s="8"/>
      <c r="IX230" s="8"/>
      <c r="JA230" s="123"/>
      <c r="JB230" s="123"/>
      <c r="JC230" s="123"/>
      <c r="JD230" s="70">
        <f>SUM((TEXT(JA230,"[M]")/60)*'Income Person-hours'!$D$3,(TEXT(JB230,"[M]")/60)*'Income Person-hours'!$D$4,(TEXT(JC230,"[M]")/60)*'Income Person-hours'!$D$5)</f>
        <v>0</v>
      </c>
    </row>
    <row r="231" spans="1:264" s="12" customFormat="1" ht="15.75" hidden="1" x14ac:dyDescent="0.45">
      <c r="A231" s="32">
        <v>10.130000000000001</v>
      </c>
      <c r="B231" s="126"/>
      <c r="C231" s="117"/>
      <c r="D231" s="13" t="str">
        <f>IF(OR(j_WEEKDAY(J_ADDDAY(VLOOKUP(I231,A:F,6,FALSE),H231,1),0)=6,SUMIFS(Holieday[ok],Holieday[date],J_ADDDAY(VLOOKUP(I231,A:F,6,FALSE),H231,1)))=FALSE(),J_ADDDAY(VLOOKUP(I231,A:F,6,FALSE),H231,1),IF(OR(j_WEEKDAY(J_ADDDAY(VLOOKUP(I231,A:F,6,FALSE),H231+1,1),0)=6,SUMIFS(Holieday[ok],Holieday[date],J_ADDDAY(VLOOKUP(I231,A:F,6,FALSE),H231+1,1)))=FALSE(),J_ADDDAY(VLOOKUP(I231,A:F,6,FALSE),H231+1,1),IF(OR(j_WEEKDAY(J_ADDDAY(VLOOKUP(I231,A:F,6,FALSE),H231+2,1),0)=6,SUMIFS(Holieday[ok],Holieday[date],J_ADDDAY(VLOOKUP(I231,A:F,6,FALSE),H231+2,1)))=FALSE(),J_ADDDAY(VLOOKUP(I231,A:F,6,FALSE),H231+2,1),IF(OR(j_WEEKDAY(J_ADDDAY(VLOOKUP(I231,A:F,6,FALSE),H231+3,1),0)=6,SUMIFS(Holieday[ok],Holieday[date],J_ADDDAY(VLOOKUP(I231,A:F,6,FALSE),H231+3,1)))=FALSE(),J_ADDDAY(VLOOKUP(I231,A:F,6,FALSE),H231+3,1),IF(OR(j_WEEKDAY(J_ADDDAY(VLOOKUP(I231,A:F,6,FALSE),H231+4,1),0)=6,SUMIFS(Holieday[ok],Holieday[date],J_ADDDAY(VLOOKUP(I231,A:F,6,FALSE),H231+4,1)))=FALSE(),J_ADDDAY(VLOOKUP(I231,A:F,6,FALSE),H231+4,1),J_ADDDAY(VLOOKUP(I231,A:F,6,FALSE),H231+5,1))))))</f>
        <v>1398/06/30</v>
      </c>
      <c r="E231" s="2">
        <f t="shared" si="69"/>
        <v>13980630</v>
      </c>
      <c r="F231" s="13" t="str">
        <f>IF(N231=0,J_SUBDAY(D231,1,1),IF((N231-NETWORKDAYS.INTL(J_GregorianDate(D231,1),J_GregorianDate(J_SUBDAY(J_ADDDAY(D231,N231,1),1,1),1),16,1)-SUMIFS(Holieday[ok],Holieday[date],CONCATENATE("&gt;","=",D231),Holieday[date],CONCATENATE("&lt;","=",J_SUBDAY(J_ADDDAY(D231,N231,1),1,1)))+SUMIFS(Holieday[Friday],Holieday[date],CONCATENATE("&gt;","=",D231),Holieday[date],CONCATENATE("&lt;","=",J_SUBDAY(J_ADDDAY(D231,N231,1),1,1))))=0,J_SUBDAY(J_ADDDAY(D231,N231,1),1,1),IF((N231-NETWORKDAYS.INTL(J_GregorianDate(D231,1),J_GregorianDate(J_SUBDAY(J_ADDDAY(D231,N231,1),1,1),1),16,1)-SUMIFS(Holieday[ok],Holieday[date],CONCATENATE("&gt;","=",D231),Holieday[date],CONCATENATE("&lt;","=",J_SUBDAY(J_ADDDAY(D231,N231,1),1,1)))+SUMIFS(Holieday[Friday],Holieday[date],CONCATENATE("&gt;","=",D231),Holieday[date],CONCATENATE("&lt;","=",J_SUBDAY(J_ADDDAY(D231,N231,1),1,1))))=1,J_SUBDAY(J_ADDDAY(D231,N231+1,1),1,1),IF((N231-NETWORKDAYS.INTL(J_GregorianDate(D231,1),J_GregorianDate(J_SUBDAY(J_ADDDAY(D231,N231,1),1,1),1),16,1)-SUMIFS(Holieday[ok],Holieday[date],CONCATENATE("&gt;","=",D231),Holieday[date],CONCATENATE("&lt;","=",J_SUBDAY(J_ADDDAY(D231,N231,1),1,1)))+SUMIFS(Holieday[Friday],Holieday[date],CONCATENATE("&gt;","=",D231),Holieday[date],CONCATENATE("&lt;","=",J_SUBDAY(J_ADDDAY(D231,N231,1),1,1))))=2,J_SUBDAY(J_ADDDAY(D231,N231+2,1),1,1),J_SUBDAY(J_ADDDAY(D231,N231+3,1),1,1)))))</f>
        <v>1398/06/29</v>
      </c>
      <c r="G231" s="3">
        <f t="shared" si="70"/>
        <v>13980629</v>
      </c>
      <c r="H231" s="119"/>
      <c r="I231" s="120">
        <v>10.1</v>
      </c>
      <c r="J231" s="10">
        <f>j_WEEKDAY(D231,2)</f>
        <v>0</v>
      </c>
      <c r="K231" s="22">
        <f t="shared" si="68"/>
        <v>0</v>
      </c>
      <c r="L231" s="9">
        <f t="shared" si="73"/>
        <v>0</v>
      </c>
      <c r="M231" s="121">
        <v>0</v>
      </c>
      <c r="N231" s="118">
        <v>0</v>
      </c>
      <c r="O231" s="11">
        <f t="shared" si="74"/>
        <v>0</v>
      </c>
      <c r="P231" s="11">
        <f>VALUE(J_normdate(J_ADDDAY($D231,$O231,1)))</f>
        <v>13980630</v>
      </c>
      <c r="Q231" s="10">
        <f t="shared" si="75"/>
        <v>0</v>
      </c>
      <c r="R231" s="8"/>
      <c r="S231" s="8"/>
      <c r="T231" s="8"/>
      <c r="U231" s="8"/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/>
      <c r="AH231" s="8"/>
      <c r="AI231" s="8"/>
      <c r="AJ231" s="8"/>
      <c r="AK231" s="8"/>
      <c r="AL231" s="8"/>
      <c r="AM231" s="8"/>
      <c r="AN231" s="8"/>
      <c r="AO231" s="8"/>
      <c r="AP231" s="8"/>
      <c r="AQ231" s="8"/>
      <c r="AR231" s="8"/>
      <c r="AS231" s="8"/>
      <c r="AT231" s="8"/>
      <c r="AU231" s="8"/>
      <c r="AV231" s="8"/>
      <c r="AW231" s="8"/>
      <c r="AX231" s="8"/>
      <c r="AY231" s="8"/>
      <c r="AZ231" s="8"/>
      <c r="BA231" s="8"/>
      <c r="BB231" s="8"/>
      <c r="BC231" s="8"/>
      <c r="BD231" s="8"/>
      <c r="BE231" s="8"/>
      <c r="BF231" s="8"/>
      <c r="BG231" s="8"/>
      <c r="BH231" s="8"/>
      <c r="BI231" s="8"/>
      <c r="BJ231" s="8"/>
      <c r="BK231" s="8"/>
      <c r="BL231" s="8"/>
      <c r="BM231" s="8"/>
      <c r="BN231" s="8"/>
      <c r="BO231" s="8"/>
      <c r="BP231" s="8"/>
      <c r="BQ231" s="8"/>
      <c r="BR231" s="8"/>
      <c r="BS231" s="8"/>
      <c r="BT231" s="8"/>
      <c r="BU231" s="8"/>
      <c r="BV231" s="8"/>
      <c r="BW231" s="8"/>
      <c r="BX231" s="8"/>
      <c r="BY231" s="8"/>
      <c r="BZ231" s="8"/>
      <c r="CA231" s="8"/>
      <c r="CB231" s="8"/>
      <c r="CC231" s="8"/>
      <c r="CD231" s="8"/>
      <c r="CE231" s="8"/>
      <c r="CF231" s="8"/>
      <c r="CG231" s="8"/>
      <c r="CH231" s="8"/>
      <c r="CI231" s="8"/>
      <c r="CJ231" s="8"/>
      <c r="CK231" s="8"/>
      <c r="CL231" s="8"/>
      <c r="CM231" s="8"/>
      <c r="CN231" s="8"/>
      <c r="CO231" s="8"/>
      <c r="CP231" s="8"/>
      <c r="CQ231" s="8"/>
      <c r="CR231" s="8"/>
      <c r="CS231" s="8"/>
      <c r="CT231" s="8"/>
      <c r="CU231" s="8"/>
      <c r="CV231" s="8"/>
      <c r="CW231" s="8"/>
      <c r="CX231" s="8"/>
      <c r="CY231" s="8"/>
      <c r="CZ231" s="8"/>
      <c r="DA231" s="8"/>
      <c r="DB231" s="8"/>
      <c r="DC231" s="8"/>
      <c r="DD231" s="8"/>
      <c r="DE231" s="8"/>
      <c r="DF231" s="8"/>
      <c r="DG231" s="8"/>
      <c r="DH231" s="8"/>
      <c r="DI231" s="8"/>
      <c r="DJ231" s="8"/>
      <c r="DK231" s="8"/>
      <c r="DL231" s="8"/>
      <c r="DM231" s="8"/>
      <c r="DN231" s="8"/>
      <c r="DO231" s="8"/>
      <c r="DP231" s="8"/>
      <c r="DQ231" s="8"/>
      <c r="DR231" s="8"/>
      <c r="DS231" s="8"/>
      <c r="DT231" s="8"/>
      <c r="DU231" s="8"/>
      <c r="DV231" s="8"/>
      <c r="DW231" s="8"/>
      <c r="DX231" s="8"/>
      <c r="DY231" s="8"/>
      <c r="DZ231" s="8"/>
      <c r="EA231" s="8"/>
      <c r="EB231" s="8"/>
      <c r="EC231" s="8"/>
      <c r="ED231" s="8"/>
      <c r="EE231" s="8"/>
      <c r="EF231" s="8"/>
      <c r="EG231" s="8"/>
      <c r="EH231" s="8"/>
      <c r="EI231" s="8"/>
      <c r="EJ231" s="8"/>
      <c r="EK231" s="8"/>
      <c r="EL231" s="8"/>
      <c r="EM231" s="8"/>
      <c r="EN231" s="8"/>
      <c r="EO231" s="8"/>
      <c r="EP231" s="8"/>
      <c r="EQ231" s="8"/>
      <c r="ER231" s="8"/>
      <c r="ES231" s="8"/>
      <c r="ET231" s="8"/>
      <c r="EU231" s="8"/>
      <c r="EV231" s="8"/>
      <c r="EW231" s="8"/>
      <c r="EX231" s="8"/>
      <c r="EY231" s="8"/>
      <c r="EZ231" s="8"/>
      <c r="FA231" s="8"/>
      <c r="FB231" s="8"/>
      <c r="FC231" s="8"/>
      <c r="FD231" s="8"/>
      <c r="FE231" s="8"/>
      <c r="FF231" s="8"/>
      <c r="FG231" s="8"/>
      <c r="FH231" s="8"/>
      <c r="FI231" s="8"/>
      <c r="FJ231" s="8"/>
      <c r="FK231" s="8"/>
      <c r="FL231" s="8"/>
      <c r="FM231" s="8"/>
      <c r="FN231" s="8"/>
      <c r="FO231" s="8"/>
      <c r="FP231" s="8"/>
      <c r="FQ231" s="8"/>
      <c r="FR231" s="8"/>
      <c r="FS231" s="8"/>
      <c r="FT231" s="8"/>
      <c r="FU231" s="8"/>
      <c r="FV231" s="8"/>
      <c r="FW231" s="8"/>
      <c r="FX231" s="8"/>
      <c r="FY231" s="8"/>
      <c r="FZ231" s="8"/>
      <c r="GA231" s="8"/>
      <c r="GB231" s="8"/>
      <c r="GC231" s="8"/>
      <c r="GD231" s="8"/>
      <c r="GE231" s="8"/>
      <c r="GF231" s="8"/>
      <c r="GG231" s="8"/>
      <c r="GH231" s="8"/>
      <c r="GI231" s="8"/>
      <c r="GJ231" s="8"/>
      <c r="GK231" s="8"/>
      <c r="GL231" s="8"/>
      <c r="GM231" s="8"/>
      <c r="GN231" s="8"/>
      <c r="GO231" s="8"/>
      <c r="GP231" s="8"/>
      <c r="GQ231" s="8"/>
      <c r="GR231" s="8"/>
      <c r="GS231" s="8"/>
      <c r="GT231" s="8"/>
      <c r="GU231" s="8"/>
      <c r="GV231" s="8"/>
      <c r="GW231" s="8"/>
      <c r="GX231" s="8"/>
      <c r="GY231" s="8"/>
      <c r="GZ231" s="8"/>
      <c r="HA231" s="8"/>
      <c r="HB231" s="8"/>
      <c r="HC231" s="8"/>
      <c r="HD231" s="8"/>
      <c r="HE231" s="8"/>
      <c r="HF231" s="8"/>
      <c r="HG231" s="8"/>
      <c r="HH231" s="8"/>
      <c r="HI231" s="8"/>
      <c r="HJ231" s="8"/>
      <c r="HK231" s="8"/>
      <c r="HL231" s="8"/>
      <c r="HM231" s="8"/>
      <c r="HN231" s="8"/>
      <c r="HO231" s="8"/>
      <c r="HP231" s="8"/>
      <c r="HQ231" s="8"/>
      <c r="HR231" s="8"/>
      <c r="HS231" s="8"/>
      <c r="HT231" s="8"/>
      <c r="HU231" s="8"/>
      <c r="HV231" s="8"/>
      <c r="HW231" s="8"/>
      <c r="HX231" s="8"/>
      <c r="HY231" s="8"/>
      <c r="HZ231" s="8"/>
      <c r="IA231" s="8"/>
      <c r="IB231" s="8"/>
      <c r="IC231" s="8"/>
      <c r="ID231" s="8"/>
      <c r="IE231" s="8"/>
      <c r="IF231" s="8"/>
      <c r="IG231" s="8"/>
      <c r="IH231" s="8"/>
      <c r="II231" s="8"/>
      <c r="IJ231" s="8"/>
      <c r="IK231" s="8"/>
      <c r="IL231" s="8"/>
      <c r="IM231" s="8"/>
      <c r="IN231" s="8"/>
      <c r="IO231" s="8"/>
      <c r="IP231" s="8"/>
      <c r="IQ231" s="8"/>
      <c r="IR231" s="8"/>
      <c r="IS231" s="8"/>
      <c r="IT231" s="8"/>
      <c r="IU231" s="8"/>
      <c r="IV231" s="8"/>
      <c r="IW231" s="8"/>
      <c r="IX231" s="8"/>
      <c r="JA231" s="123"/>
      <c r="JB231" s="123"/>
      <c r="JC231" s="123"/>
      <c r="JD231" s="70">
        <f>SUM((TEXT(JA231,"[M]")/60)*'Income Person-hours'!$D$3,(TEXT(JB231,"[M]")/60)*'Income Person-hours'!$D$4,(TEXT(JC231,"[M]")/60)*'Income Person-hours'!$D$5)</f>
        <v>0</v>
      </c>
    </row>
    <row r="232" spans="1:264" s="12" customFormat="1" ht="15.75" hidden="1" x14ac:dyDescent="0.45">
      <c r="A232" s="32">
        <v>10.14</v>
      </c>
      <c r="B232" s="126"/>
      <c r="C232" s="117"/>
      <c r="D232" s="13" t="str">
        <f>IF(OR(j_WEEKDAY(J_ADDDAY(VLOOKUP(I232,A:F,6,FALSE),H232,1),0)=6,SUMIFS(Holieday[ok],Holieday[date],J_ADDDAY(VLOOKUP(I232,A:F,6,FALSE),H232,1)))=FALSE(),J_ADDDAY(VLOOKUP(I232,A:F,6,FALSE),H232,1),IF(OR(j_WEEKDAY(J_ADDDAY(VLOOKUP(I232,A:F,6,FALSE),H232+1,1),0)=6,SUMIFS(Holieday[ok],Holieday[date],J_ADDDAY(VLOOKUP(I232,A:F,6,FALSE),H232+1,1)))=FALSE(),J_ADDDAY(VLOOKUP(I232,A:F,6,FALSE),H232+1,1),IF(OR(j_WEEKDAY(J_ADDDAY(VLOOKUP(I232,A:F,6,FALSE),H232+2,1),0)=6,SUMIFS(Holieday[ok],Holieday[date],J_ADDDAY(VLOOKUP(I232,A:F,6,FALSE),H232+2,1)))=FALSE(),J_ADDDAY(VLOOKUP(I232,A:F,6,FALSE),H232+2,1),IF(OR(j_WEEKDAY(J_ADDDAY(VLOOKUP(I232,A:F,6,FALSE),H232+3,1),0)=6,SUMIFS(Holieday[ok],Holieday[date],J_ADDDAY(VLOOKUP(I232,A:F,6,FALSE),H232+3,1)))=FALSE(),J_ADDDAY(VLOOKUP(I232,A:F,6,FALSE),H232+3,1),IF(OR(j_WEEKDAY(J_ADDDAY(VLOOKUP(I232,A:F,6,FALSE),H232+4,1),0)=6,SUMIFS(Holieday[ok],Holieday[date],J_ADDDAY(VLOOKUP(I232,A:F,6,FALSE),H232+4,1)))=FALSE(),J_ADDDAY(VLOOKUP(I232,A:F,6,FALSE),H232+4,1),J_ADDDAY(VLOOKUP(I232,A:F,6,FALSE),H232+5,1))))))</f>
        <v>1398/06/30</v>
      </c>
      <c r="E232" s="2">
        <f t="shared" si="69"/>
        <v>13980630</v>
      </c>
      <c r="F232" s="13" t="str">
        <f>IF(N232=0,J_SUBDAY(D232,1,1),IF((N232-NETWORKDAYS.INTL(J_GregorianDate(D232,1),J_GregorianDate(J_SUBDAY(J_ADDDAY(D232,N232,1),1,1),1),16,1)-SUMIFS(Holieday[ok],Holieday[date],CONCATENATE("&gt;","=",D232),Holieday[date],CONCATENATE("&lt;","=",J_SUBDAY(J_ADDDAY(D232,N232,1),1,1)))+SUMIFS(Holieday[Friday],Holieday[date],CONCATENATE("&gt;","=",D232),Holieday[date],CONCATENATE("&lt;","=",J_SUBDAY(J_ADDDAY(D232,N232,1),1,1))))=0,J_SUBDAY(J_ADDDAY(D232,N232,1),1,1),IF((N232-NETWORKDAYS.INTL(J_GregorianDate(D232,1),J_GregorianDate(J_SUBDAY(J_ADDDAY(D232,N232,1),1,1),1),16,1)-SUMIFS(Holieday[ok],Holieday[date],CONCATENATE("&gt;","=",D232),Holieday[date],CONCATENATE("&lt;","=",J_SUBDAY(J_ADDDAY(D232,N232,1),1,1)))+SUMIFS(Holieday[Friday],Holieday[date],CONCATENATE("&gt;","=",D232),Holieday[date],CONCATENATE("&lt;","=",J_SUBDAY(J_ADDDAY(D232,N232,1),1,1))))=1,J_SUBDAY(J_ADDDAY(D232,N232+1,1),1,1),IF((N232-NETWORKDAYS.INTL(J_GregorianDate(D232,1),J_GregorianDate(J_SUBDAY(J_ADDDAY(D232,N232,1),1,1),1),16,1)-SUMIFS(Holieday[ok],Holieday[date],CONCATENATE("&gt;","=",D232),Holieday[date],CONCATENATE("&lt;","=",J_SUBDAY(J_ADDDAY(D232,N232,1),1,1)))+SUMIFS(Holieday[Friday],Holieday[date],CONCATENATE("&gt;","=",D232),Holieday[date],CONCATENATE("&lt;","=",J_SUBDAY(J_ADDDAY(D232,N232,1),1,1))))=2,J_SUBDAY(J_ADDDAY(D232,N232+2,1),1,1),J_SUBDAY(J_ADDDAY(D232,N232+3,1),1,1)))))</f>
        <v>1398/06/29</v>
      </c>
      <c r="G232" s="3">
        <f t="shared" si="70"/>
        <v>13980629</v>
      </c>
      <c r="H232" s="119"/>
      <c r="I232" s="120">
        <v>10.1</v>
      </c>
      <c r="J232" s="10">
        <f>j_WEEKDAY(D232,2)</f>
        <v>0</v>
      </c>
      <c r="K232" s="22">
        <f t="shared" si="68"/>
        <v>0</v>
      </c>
      <c r="L232" s="9">
        <f t="shared" si="73"/>
        <v>0</v>
      </c>
      <c r="M232" s="121">
        <v>0</v>
      </c>
      <c r="N232" s="118">
        <v>0</v>
      </c>
      <c r="O232" s="11">
        <f t="shared" si="74"/>
        <v>0</v>
      </c>
      <c r="P232" s="11">
        <f>VALUE(J_normdate(J_ADDDAY($D232,$O232,1)))</f>
        <v>13980630</v>
      </c>
      <c r="Q232" s="10">
        <f t="shared" si="75"/>
        <v>0</v>
      </c>
      <c r="R232" s="8"/>
      <c r="S232" s="8"/>
      <c r="T232" s="8"/>
      <c r="U232" s="8"/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/>
      <c r="AH232" s="8"/>
      <c r="AI232" s="8"/>
      <c r="AJ232" s="8"/>
      <c r="AK232" s="8"/>
      <c r="AL232" s="8"/>
      <c r="AM232" s="8"/>
      <c r="AN232" s="8"/>
      <c r="AO232" s="8"/>
      <c r="AP232" s="8"/>
      <c r="AQ232" s="8"/>
      <c r="AR232" s="8"/>
      <c r="AS232" s="8"/>
      <c r="AT232" s="8"/>
      <c r="AU232" s="8"/>
      <c r="AV232" s="8"/>
      <c r="AW232" s="8"/>
      <c r="AX232" s="8"/>
      <c r="AY232" s="8"/>
      <c r="AZ232" s="8"/>
      <c r="BA232" s="8"/>
      <c r="BB232" s="8"/>
      <c r="BC232" s="8"/>
      <c r="BD232" s="8"/>
      <c r="BE232" s="8"/>
      <c r="BF232" s="8"/>
      <c r="BG232" s="8"/>
      <c r="BH232" s="8"/>
      <c r="BI232" s="8"/>
      <c r="BJ232" s="8"/>
      <c r="BK232" s="8"/>
      <c r="BL232" s="8"/>
      <c r="BM232" s="8"/>
      <c r="BN232" s="8"/>
      <c r="BO232" s="8"/>
      <c r="BP232" s="8"/>
      <c r="BQ232" s="8"/>
      <c r="BR232" s="8"/>
      <c r="BS232" s="8"/>
      <c r="BT232" s="8"/>
      <c r="BU232" s="8"/>
      <c r="BV232" s="8"/>
      <c r="BW232" s="8"/>
      <c r="BX232" s="8"/>
      <c r="BY232" s="8"/>
      <c r="BZ232" s="8"/>
      <c r="CA232" s="8"/>
      <c r="CB232" s="8"/>
      <c r="CC232" s="8"/>
      <c r="CD232" s="8"/>
      <c r="CE232" s="8"/>
      <c r="CF232" s="8"/>
      <c r="CG232" s="8"/>
      <c r="CH232" s="8"/>
      <c r="CI232" s="8"/>
      <c r="CJ232" s="8"/>
      <c r="CK232" s="8"/>
      <c r="CL232" s="8"/>
      <c r="CM232" s="8"/>
      <c r="CN232" s="8"/>
      <c r="CO232" s="8"/>
      <c r="CP232" s="8"/>
      <c r="CQ232" s="8"/>
      <c r="CR232" s="8"/>
      <c r="CS232" s="8"/>
      <c r="CT232" s="8"/>
      <c r="CU232" s="8"/>
      <c r="CV232" s="8"/>
      <c r="CW232" s="8"/>
      <c r="CX232" s="8"/>
      <c r="CY232" s="8"/>
      <c r="CZ232" s="8"/>
      <c r="DA232" s="8"/>
      <c r="DB232" s="8"/>
      <c r="DC232" s="8"/>
      <c r="DD232" s="8"/>
      <c r="DE232" s="8"/>
      <c r="DF232" s="8"/>
      <c r="DG232" s="8"/>
      <c r="DH232" s="8"/>
      <c r="DI232" s="8"/>
      <c r="DJ232" s="8"/>
      <c r="DK232" s="8"/>
      <c r="DL232" s="8"/>
      <c r="DM232" s="8"/>
      <c r="DN232" s="8"/>
      <c r="DO232" s="8"/>
      <c r="DP232" s="8"/>
      <c r="DQ232" s="8"/>
      <c r="DR232" s="8"/>
      <c r="DS232" s="8"/>
      <c r="DT232" s="8"/>
      <c r="DU232" s="8"/>
      <c r="DV232" s="8"/>
      <c r="DW232" s="8"/>
      <c r="DX232" s="8"/>
      <c r="DY232" s="8"/>
      <c r="DZ232" s="8"/>
      <c r="EA232" s="8"/>
      <c r="EB232" s="8"/>
      <c r="EC232" s="8"/>
      <c r="ED232" s="8"/>
      <c r="EE232" s="8"/>
      <c r="EF232" s="8"/>
      <c r="EG232" s="8"/>
      <c r="EH232" s="8"/>
      <c r="EI232" s="8"/>
      <c r="EJ232" s="8"/>
      <c r="EK232" s="8"/>
      <c r="EL232" s="8"/>
      <c r="EM232" s="8"/>
      <c r="EN232" s="8"/>
      <c r="EO232" s="8"/>
      <c r="EP232" s="8"/>
      <c r="EQ232" s="8"/>
      <c r="ER232" s="8"/>
      <c r="ES232" s="8"/>
      <c r="ET232" s="8"/>
      <c r="EU232" s="8"/>
      <c r="EV232" s="8"/>
      <c r="EW232" s="8"/>
      <c r="EX232" s="8"/>
      <c r="EY232" s="8"/>
      <c r="EZ232" s="8"/>
      <c r="FA232" s="8"/>
      <c r="FB232" s="8"/>
      <c r="FC232" s="8"/>
      <c r="FD232" s="8"/>
      <c r="FE232" s="8"/>
      <c r="FF232" s="8"/>
      <c r="FG232" s="8"/>
      <c r="FH232" s="8"/>
      <c r="FI232" s="8"/>
      <c r="FJ232" s="8"/>
      <c r="FK232" s="8"/>
      <c r="FL232" s="8"/>
      <c r="FM232" s="8"/>
      <c r="FN232" s="8"/>
      <c r="FO232" s="8"/>
      <c r="FP232" s="8"/>
      <c r="FQ232" s="8"/>
      <c r="FR232" s="8"/>
      <c r="FS232" s="8"/>
      <c r="FT232" s="8"/>
      <c r="FU232" s="8"/>
      <c r="FV232" s="8"/>
      <c r="FW232" s="8"/>
      <c r="FX232" s="8"/>
      <c r="FY232" s="8"/>
      <c r="FZ232" s="8"/>
      <c r="GA232" s="8"/>
      <c r="GB232" s="8"/>
      <c r="GC232" s="8"/>
      <c r="GD232" s="8"/>
      <c r="GE232" s="8"/>
      <c r="GF232" s="8"/>
      <c r="GG232" s="8"/>
      <c r="GH232" s="8"/>
      <c r="GI232" s="8"/>
      <c r="GJ232" s="8"/>
      <c r="GK232" s="8"/>
      <c r="GL232" s="8"/>
      <c r="GM232" s="8"/>
      <c r="GN232" s="8"/>
      <c r="GO232" s="8"/>
      <c r="GP232" s="8"/>
      <c r="GQ232" s="8"/>
      <c r="GR232" s="8"/>
      <c r="GS232" s="8"/>
      <c r="GT232" s="8"/>
      <c r="GU232" s="8"/>
      <c r="GV232" s="8"/>
      <c r="GW232" s="8"/>
      <c r="GX232" s="8"/>
      <c r="GY232" s="8"/>
      <c r="GZ232" s="8"/>
      <c r="HA232" s="8"/>
      <c r="HB232" s="8"/>
      <c r="HC232" s="8"/>
      <c r="HD232" s="8"/>
      <c r="HE232" s="8"/>
      <c r="HF232" s="8"/>
      <c r="HG232" s="8"/>
      <c r="HH232" s="8"/>
      <c r="HI232" s="8"/>
      <c r="HJ232" s="8"/>
      <c r="HK232" s="8"/>
      <c r="HL232" s="8"/>
      <c r="HM232" s="8"/>
      <c r="HN232" s="8"/>
      <c r="HO232" s="8"/>
      <c r="HP232" s="8"/>
      <c r="HQ232" s="8"/>
      <c r="HR232" s="8"/>
      <c r="HS232" s="8"/>
      <c r="HT232" s="8"/>
      <c r="HU232" s="8"/>
      <c r="HV232" s="8"/>
      <c r="HW232" s="8"/>
      <c r="HX232" s="8"/>
      <c r="HY232" s="8"/>
      <c r="HZ232" s="8"/>
      <c r="IA232" s="8"/>
      <c r="IB232" s="8"/>
      <c r="IC232" s="8"/>
      <c r="ID232" s="8"/>
      <c r="IE232" s="8"/>
      <c r="IF232" s="8"/>
      <c r="IG232" s="8"/>
      <c r="IH232" s="8"/>
      <c r="II232" s="8"/>
      <c r="IJ232" s="8"/>
      <c r="IK232" s="8"/>
      <c r="IL232" s="8"/>
      <c r="IM232" s="8"/>
      <c r="IN232" s="8"/>
      <c r="IO232" s="8"/>
      <c r="IP232" s="8"/>
      <c r="IQ232" s="8"/>
      <c r="IR232" s="8"/>
      <c r="IS232" s="8"/>
      <c r="IT232" s="8"/>
      <c r="IU232" s="8"/>
      <c r="IV232" s="8"/>
      <c r="IW232" s="8"/>
      <c r="IX232" s="8"/>
      <c r="JA232" s="123"/>
      <c r="JB232" s="123"/>
      <c r="JC232" s="123"/>
      <c r="JD232" s="70">
        <f>SUM((TEXT(JA232,"[M]")/60)*'Income Person-hours'!$D$3,(TEXT(JB232,"[M]")/60)*'Income Person-hours'!$D$4,(TEXT(JC232,"[M]")/60)*'Income Person-hours'!$D$5)</f>
        <v>0</v>
      </c>
    </row>
    <row r="233" spans="1:264" s="12" customFormat="1" ht="15.75" hidden="1" x14ac:dyDescent="0.45">
      <c r="A233" s="32">
        <v>10.15</v>
      </c>
      <c r="B233" s="126"/>
      <c r="C233" s="117"/>
      <c r="D233" s="13" t="str">
        <f>IF(OR(j_WEEKDAY(J_ADDDAY(VLOOKUP(I233,A:F,6,FALSE),H233,1),0)=6,SUMIFS(Holieday[ok],Holieday[date],J_ADDDAY(VLOOKUP(I233,A:F,6,FALSE),H233,1)))=FALSE(),J_ADDDAY(VLOOKUP(I233,A:F,6,FALSE),H233,1),IF(OR(j_WEEKDAY(J_ADDDAY(VLOOKUP(I233,A:F,6,FALSE),H233+1,1),0)=6,SUMIFS(Holieday[ok],Holieday[date],J_ADDDAY(VLOOKUP(I233,A:F,6,FALSE),H233+1,1)))=FALSE(),J_ADDDAY(VLOOKUP(I233,A:F,6,FALSE),H233+1,1),IF(OR(j_WEEKDAY(J_ADDDAY(VLOOKUP(I233,A:F,6,FALSE),H233+2,1),0)=6,SUMIFS(Holieday[ok],Holieday[date],J_ADDDAY(VLOOKUP(I233,A:F,6,FALSE),H233+2,1)))=FALSE(),J_ADDDAY(VLOOKUP(I233,A:F,6,FALSE),H233+2,1),IF(OR(j_WEEKDAY(J_ADDDAY(VLOOKUP(I233,A:F,6,FALSE),H233+3,1),0)=6,SUMIFS(Holieday[ok],Holieday[date],J_ADDDAY(VLOOKUP(I233,A:F,6,FALSE),H233+3,1)))=FALSE(),J_ADDDAY(VLOOKUP(I233,A:F,6,FALSE),H233+3,1),IF(OR(j_WEEKDAY(J_ADDDAY(VLOOKUP(I233,A:F,6,FALSE),H233+4,1),0)=6,SUMIFS(Holieday[ok],Holieday[date],J_ADDDAY(VLOOKUP(I233,A:F,6,FALSE),H233+4,1)))=FALSE(),J_ADDDAY(VLOOKUP(I233,A:F,6,FALSE),H233+4,1),J_ADDDAY(VLOOKUP(I233,A:F,6,FALSE),H233+5,1))))))</f>
        <v>1398/06/30</v>
      </c>
      <c r="E233" s="2">
        <f t="shared" si="69"/>
        <v>13980630</v>
      </c>
      <c r="F233" s="13" t="str">
        <f>IF(N233=0,J_SUBDAY(D233,1,1),IF((N233-NETWORKDAYS.INTL(J_GregorianDate(D233,1),J_GregorianDate(J_SUBDAY(J_ADDDAY(D233,N233,1),1,1),1),16,1)-SUMIFS(Holieday[ok],Holieday[date],CONCATENATE("&gt;","=",D233),Holieday[date],CONCATENATE("&lt;","=",J_SUBDAY(J_ADDDAY(D233,N233,1),1,1)))+SUMIFS(Holieday[Friday],Holieday[date],CONCATENATE("&gt;","=",D233),Holieday[date],CONCATENATE("&lt;","=",J_SUBDAY(J_ADDDAY(D233,N233,1),1,1))))=0,J_SUBDAY(J_ADDDAY(D233,N233,1),1,1),IF((N233-NETWORKDAYS.INTL(J_GregorianDate(D233,1),J_GregorianDate(J_SUBDAY(J_ADDDAY(D233,N233,1),1,1),1),16,1)-SUMIFS(Holieday[ok],Holieday[date],CONCATENATE("&gt;","=",D233),Holieday[date],CONCATENATE("&lt;","=",J_SUBDAY(J_ADDDAY(D233,N233,1),1,1)))+SUMIFS(Holieday[Friday],Holieday[date],CONCATENATE("&gt;","=",D233),Holieday[date],CONCATENATE("&lt;","=",J_SUBDAY(J_ADDDAY(D233,N233,1),1,1))))=1,J_SUBDAY(J_ADDDAY(D233,N233+1,1),1,1),IF((N233-NETWORKDAYS.INTL(J_GregorianDate(D233,1),J_GregorianDate(J_SUBDAY(J_ADDDAY(D233,N233,1),1,1),1),16,1)-SUMIFS(Holieday[ok],Holieday[date],CONCATENATE("&gt;","=",D233),Holieday[date],CONCATENATE("&lt;","=",J_SUBDAY(J_ADDDAY(D233,N233,1),1,1)))+SUMIFS(Holieday[Friday],Holieday[date],CONCATENATE("&gt;","=",D233),Holieday[date],CONCATENATE("&lt;","=",J_SUBDAY(J_ADDDAY(D233,N233,1),1,1))))=2,J_SUBDAY(J_ADDDAY(D233,N233+2,1),1,1),J_SUBDAY(J_ADDDAY(D233,N233+3,1),1,1)))))</f>
        <v>1398/06/29</v>
      </c>
      <c r="G233" s="3">
        <f t="shared" si="70"/>
        <v>13980629</v>
      </c>
      <c r="H233" s="119"/>
      <c r="I233" s="120">
        <v>10.1</v>
      </c>
      <c r="J233" s="10">
        <f>j_WEEKDAY(D233,2)</f>
        <v>0</v>
      </c>
      <c r="K233" s="22">
        <f t="shared" si="68"/>
        <v>0</v>
      </c>
      <c r="L233" s="9">
        <f t="shared" si="73"/>
        <v>0</v>
      </c>
      <c r="M233" s="121">
        <v>0</v>
      </c>
      <c r="N233" s="118">
        <v>0</v>
      </c>
      <c r="O233" s="11">
        <f t="shared" si="74"/>
        <v>0</v>
      </c>
      <c r="P233" s="11">
        <f>VALUE(J_normdate(J_ADDDAY($D233,$O233,1)))</f>
        <v>13980630</v>
      </c>
      <c r="Q233" s="10">
        <f t="shared" si="75"/>
        <v>0</v>
      </c>
      <c r="R233" s="8"/>
      <c r="S233" s="8"/>
      <c r="T233" s="8"/>
      <c r="U233" s="8"/>
      <c r="V233" s="8"/>
      <c r="W233" s="8"/>
      <c r="X233" s="8"/>
      <c r="Y233" s="8"/>
      <c r="Z233" s="8"/>
      <c r="AA233" s="8"/>
      <c r="AB233" s="8"/>
      <c r="AC233" s="8"/>
      <c r="AD233" s="8"/>
      <c r="AE233" s="8"/>
      <c r="AF233" s="8"/>
      <c r="AG233" s="8"/>
      <c r="AH233" s="8"/>
      <c r="AI233" s="8"/>
      <c r="AJ233" s="8"/>
      <c r="AK233" s="8"/>
      <c r="AL233" s="8"/>
      <c r="AM233" s="8"/>
      <c r="AN233" s="8"/>
      <c r="AO233" s="8"/>
      <c r="AP233" s="8"/>
      <c r="AQ233" s="8"/>
      <c r="AR233" s="8"/>
      <c r="AS233" s="8"/>
      <c r="AT233" s="8"/>
      <c r="AU233" s="8"/>
      <c r="AV233" s="8"/>
      <c r="AW233" s="8"/>
      <c r="AX233" s="8"/>
      <c r="AY233" s="8"/>
      <c r="AZ233" s="8"/>
      <c r="BA233" s="8"/>
      <c r="BB233" s="8"/>
      <c r="BC233" s="8"/>
      <c r="BD233" s="8"/>
      <c r="BE233" s="8"/>
      <c r="BF233" s="8"/>
      <c r="BG233" s="8"/>
      <c r="BH233" s="8"/>
      <c r="BI233" s="8"/>
      <c r="BJ233" s="8"/>
      <c r="BK233" s="8"/>
      <c r="BL233" s="8"/>
      <c r="BM233" s="8"/>
      <c r="BN233" s="8"/>
      <c r="BO233" s="8"/>
      <c r="BP233" s="8"/>
      <c r="BQ233" s="8"/>
      <c r="BR233" s="8"/>
      <c r="BS233" s="8"/>
      <c r="BT233" s="8"/>
      <c r="BU233" s="8"/>
      <c r="BV233" s="8"/>
      <c r="BW233" s="8"/>
      <c r="BX233" s="8"/>
      <c r="BY233" s="8"/>
      <c r="BZ233" s="8"/>
      <c r="CA233" s="8"/>
      <c r="CB233" s="8"/>
      <c r="CC233" s="8"/>
      <c r="CD233" s="8"/>
      <c r="CE233" s="8"/>
      <c r="CF233" s="8"/>
      <c r="CG233" s="8"/>
      <c r="CH233" s="8"/>
      <c r="CI233" s="8"/>
      <c r="CJ233" s="8"/>
      <c r="CK233" s="8"/>
      <c r="CL233" s="8"/>
      <c r="CM233" s="8"/>
      <c r="CN233" s="8"/>
      <c r="CO233" s="8"/>
      <c r="CP233" s="8"/>
      <c r="CQ233" s="8"/>
      <c r="CR233" s="8"/>
      <c r="CS233" s="8"/>
      <c r="CT233" s="8"/>
      <c r="CU233" s="8"/>
      <c r="CV233" s="8"/>
      <c r="CW233" s="8"/>
      <c r="CX233" s="8"/>
      <c r="CY233" s="8"/>
      <c r="CZ233" s="8"/>
      <c r="DA233" s="8"/>
      <c r="DB233" s="8"/>
      <c r="DC233" s="8"/>
      <c r="DD233" s="8"/>
      <c r="DE233" s="8"/>
      <c r="DF233" s="8"/>
      <c r="DG233" s="8"/>
      <c r="DH233" s="8"/>
      <c r="DI233" s="8"/>
      <c r="DJ233" s="8"/>
      <c r="DK233" s="8"/>
      <c r="DL233" s="8"/>
      <c r="DM233" s="8"/>
      <c r="DN233" s="8"/>
      <c r="DO233" s="8"/>
      <c r="DP233" s="8"/>
      <c r="DQ233" s="8"/>
      <c r="DR233" s="8"/>
      <c r="DS233" s="8"/>
      <c r="DT233" s="8"/>
      <c r="DU233" s="8"/>
      <c r="DV233" s="8"/>
      <c r="DW233" s="8"/>
      <c r="DX233" s="8"/>
      <c r="DY233" s="8"/>
      <c r="DZ233" s="8"/>
      <c r="EA233" s="8"/>
      <c r="EB233" s="8"/>
      <c r="EC233" s="8"/>
      <c r="ED233" s="8"/>
      <c r="EE233" s="8"/>
      <c r="EF233" s="8"/>
      <c r="EG233" s="8"/>
      <c r="EH233" s="8"/>
      <c r="EI233" s="8"/>
      <c r="EJ233" s="8"/>
      <c r="EK233" s="8"/>
      <c r="EL233" s="8"/>
      <c r="EM233" s="8"/>
      <c r="EN233" s="8"/>
      <c r="EO233" s="8"/>
      <c r="EP233" s="8"/>
      <c r="EQ233" s="8"/>
      <c r="ER233" s="8"/>
      <c r="ES233" s="8"/>
      <c r="ET233" s="8"/>
      <c r="EU233" s="8"/>
      <c r="EV233" s="8"/>
      <c r="EW233" s="8"/>
      <c r="EX233" s="8"/>
      <c r="EY233" s="8"/>
      <c r="EZ233" s="8"/>
      <c r="FA233" s="8"/>
      <c r="FB233" s="8"/>
      <c r="FC233" s="8"/>
      <c r="FD233" s="8"/>
      <c r="FE233" s="8"/>
      <c r="FF233" s="8"/>
      <c r="FG233" s="8"/>
      <c r="FH233" s="8"/>
      <c r="FI233" s="8"/>
      <c r="FJ233" s="8"/>
      <c r="FK233" s="8"/>
      <c r="FL233" s="8"/>
      <c r="FM233" s="8"/>
      <c r="FN233" s="8"/>
      <c r="FO233" s="8"/>
      <c r="FP233" s="8"/>
      <c r="FQ233" s="8"/>
      <c r="FR233" s="8"/>
      <c r="FS233" s="8"/>
      <c r="FT233" s="8"/>
      <c r="FU233" s="8"/>
      <c r="FV233" s="8"/>
      <c r="FW233" s="8"/>
      <c r="FX233" s="8"/>
      <c r="FY233" s="8"/>
      <c r="FZ233" s="8"/>
      <c r="GA233" s="8"/>
      <c r="GB233" s="8"/>
      <c r="GC233" s="8"/>
      <c r="GD233" s="8"/>
      <c r="GE233" s="8"/>
      <c r="GF233" s="8"/>
      <c r="GG233" s="8"/>
      <c r="GH233" s="8"/>
      <c r="GI233" s="8"/>
      <c r="GJ233" s="8"/>
      <c r="GK233" s="8"/>
      <c r="GL233" s="8"/>
      <c r="GM233" s="8"/>
      <c r="GN233" s="8"/>
      <c r="GO233" s="8"/>
      <c r="GP233" s="8"/>
      <c r="GQ233" s="8"/>
      <c r="GR233" s="8"/>
      <c r="GS233" s="8"/>
      <c r="GT233" s="8"/>
      <c r="GU233" s="8"/>
      <c r="GV233" s="8"/>
      <c r="GW233" s="8"/>
      <c r="GX233" s="8"/>
      <c r="GY233" s="8"/>
      <c r="GZ233" s="8"/>
      <c r="HA233" s="8"/>
      <c r="HB233" s="8"/>
      <c r="HC233" s="8"/>
      <c r="HD233" s="8"/>
      <c r="HE233" s="8"/>
      <c r="HF233" s="8"/>
      <c r="HG233" s="8"/>
      <c r="HH233" s="8"/>
      <c r="HI233" s="8"/>
      <c r="HJ233" s="8"/>
      <c r="HK233" s="8"/>
      <c r="HL233" s="8"/>
      <c r="HM233" s="8"/>
      <c r="HN233" s="8"/>
      <c r="HO233" s="8"/>
      <c r="HP233" s="8"/>
      <c r="HQ233" s="8"/>
      <c r="HR233" s="8"/>
      <c r="HS233" s="8"/>
      <c r="HT233" s="8"/>
      <c r="HU233" s="8"/>
      <c r="HV233" s="8"/>
      <c r="HW233" s="8"/>
      <c r="HX233" s="8"/>
      <c r="HY233" s="8"/>
      <c r="HZ233" s="8"/>
      <c r="IA233" s="8"/>
      <c r="IB233" s="8"/>
      <c r="IC233" s="8"/>
      <c r="ID233" s="8"/>
      <c r="IE233" s="8"/>
      <c r="IF233" s="8"/>
      <c r="IG233" s="8"/>
      <c r="IH233" s="8"/>
      <c r="II233" s="8"/>
      <c r="IJ233" s="8"/>
      <c r="IK233" s="8"/>
      <c r="IL233" s="8"/>
      <c r="IM233" s="8"/>
      <c r="IN233" s="8"/>
      <c r="IO233" s="8"/>
      <c r="IP233" s="8"/>
      <c r="IQ233" s="8"/>
      <c r="IR233" s="8"/>
      <c r="IS233" s="8"/>
      <c r="IT233" s="8"/>
      <c r="IU233" s="8"/>
      <c r="IV233" s="8"/>
      <c r="IW233" s="8"/>
      <c r="IX233" s="8"/>
      <c r="JA233" s="123"/>
      <c r="JB233" s="123"/>
      <c r="JC233" s="123"/>
      <c r="JD233" s="70">
        <f>SUM((TEXT(JA233,"[M]")/60)*'Income Person-hours'!$D$3,(TEXT(JB233,"[M]")/60)*'Income Person-hours'!$D$4,(TEXT(JC233,"[M]")/60)*'Income Person-hours'!$D$5)</f>
        <v>0</v>
      </c>
    </row>
    <row r="234" spans="1:264" s="12" customFormat="1" ht="15.75" hidden="1" x14ac:dyDescent="0.45">
      <c r="A234" s="32">
        <v>10.16</v>
      </c>
      <c r="B234" s="126"/>
      <c r="C234" s="117"/>
      <c r="D234" s="13" t="str">
        <f>IF(OR(j_WEEKDAY(J_ADDDAY(VLOOKUP(I234,A:F,6,FALSE),H234,1),0)=6,SUMIFS(Holieday[ok],Holieday[date],J_ADDDAY(VLOOKUP(I234,A:F,6,FALSE),H234,1)))=FALSE(),J_ADDDAY(VLOOKUP(I234,A:F,6,FALSE),H234,1),IF(OR(j_WEEKDAY(J_ADDDAY(VLOOKUP(I234,A:F,6,FALSE),H234+1,1),0)=6,SUMIFS(Holieday[ok],Holieday[date],J_ADDDAY(VLOOKUP(I234,A:F,6,FALSE),H234+1,1)))=FALSE(),J_ADDDAY(VLOOKUP(I234,A:F,6,FALSE),H234+1,1),IF(OR(j_WEEKDAY(J_ADDDAY(VLOOKUP(I234,A:F,6,FALSE),H234+2,1),0)=6,SUMIFS(Holieday[ok],Holieday[date],J_ADDDAY(VLOOKUP(I234,A:F,6,FALSE),H234+2,1)))=FALSE(),J_ADDDAY(VLOOKUP(I234,A:F,6,FALSE),H234+2,1),IF(OR(j_WEEKDAY(J_ADDDAY(VLOOKUP(I234,A:F,6,FALSE),H234+3,1),0)=6,SUMIFS(Holieday[ok],Holieday[date],J_ADDDAY(VLOOKUP(I234,A:F,6,FALSE),H234+3,1)))=FALSE(),J_ADDDAY(VLOOKUP(I234,A:F,6,FALSE),H234+3,1),IF(OR(j_WEEKDAY(J_ADDDAY(VLOOKUP(I234,A:F,6,FALSE),H234+4,1),0)=6,SUMIFS(Holieday[ok],Holieday[date],J_ADDDAY(VLOOKUP(I234,A:F,6,FALSE),H234+4,1)))=FALSE(),J_ADDDAY(VLOOKUP(I234,A:F,6,FALSE),H234+4,1),J_ADDDAY(VLOOKUP(I234,A:F,6,FALSE),H234+5,1))))))</f>
        <v>1398/06/30</v>
      </c>
      <c r="E234" s="2">
        <f t="shared" si="69"/>
        <v>13980630</v>
      </c>
      <c r="F234" s="13" t="str">
        <f>IF(N234=0,J_SUBDAY(D234,1,1),IF((N234-NETWORKDAYS.INTL(J_GregorianDate(D234,1),J_GregorianDate(J_SUBDAY(J_ADDDAY(D234,N234,1),1,1),1),16,1)-SUMIFS(Holieday[ok],Holieday[date],CONCATENATE("&gt;","=",D234),Holieday[date],CONCATENATE("&lt;","=",J_SUBDAY(J_ADDDAY(D234,N234,1),1,1)))+SUMIFS(Holieday[Friday],Holieday[date],CONCATENATE("&gt;","=",D234),Holieday[date],CONCATENATE("&lt;","=",J_SUBDAY(J_ADDDAY(D234,N234,1),1,1))))=0,J_SUBDAY(J_ADDDAY(D234,N234,1),1,1),IF((N234-NETWORKDAYS.INTL(J_GregorianDate(D234,1),J_GregorianDate(J_SUBDAY(J_ADDDAY(D234,N234,1),1,1),1),16,1)-SUMIFS(Holieday[ok],Holieday[date],CONCATENATE("&gt;","=",D234),Holieday[date],CONCATENATE("&lt;","=",J_SUBDAY(J_ADDDAY(D234,N234,1),1,1)))+SUMIFS(Holieday[Friday],Holieday[date],CONCATENATE("&gt;","=",D234),Holieday[date],CONCATENATE("&lt;","=",J_SUBDAY(J_ADDDAY(D234,N234,1),1,1))))=1,J_SUBDAY(J_ADDDAY(D234,N234+1,1),1,1),IF((N234-NETWORKDAYS.INTL(J_GregorianDate(D234,1),J_GregorianDate(J_SUBDAY(J_ADDDAY(D234,N234,1),1,1),1),16,1)-SUMIFS(Holieday[ok],Holieday[date],CONCATENATE("&gt;","=",D234),Holieday[date],CONCATENATE("&lt;","=",J_SUBDAY(J_ADDDAY(D234,N234,1),1,1)))+SUMIFS(Holieday[Friday],Holieday[date],CONCATENATE("&gt;","=",D234),Holieday[date],CONCATENATE("&lt;","=",J_SUBDAY(J_ADDDAY(D234,N234,1),1,1))))=2,J_SUBDAY(J_ADDDAY(D234,N234+2,1),1,1),J_SUBDAY(J_ADDDAY(D234,N234+3,1),1,1)))))</f>
        <v>1398/06/29</v>
      </c>
      <c r="G234" s="3">
        <f t="shared" si="70"/>
        <v>13980629</v>
      </c>
      <c r="H234" s="119"/>
      <c r="I234" s="120">
        <v>10.1</v>
      </c>
      <c r="J234" s="10">
        <f>j_WEEKDAY(D234,2)</f>
        <v>0</v>
      </c>
      <c r="K234" s="22">
        <f t="shared" si="68"/>
        <v>0</v>
      </c>
      <c r="L234" s="9">
        <f t="shared" si="73"/>
        <v>0</v>
      </c>
      <c r="M234" s="121">
        <v>0</v>
      </c>
      <c r="N234" s="118">
        <v>0</v>
      </c>
      <c r="O234" s="11">
        <f t="shared" si="74"/>
        <v>0</v>
      </c>
      <c r="P234" s="11">
        <f>VALUE(J_normdate(J_ADDDAY($D234,$O234,1)))</f>
        <v>13980630</v>
      </c>
      <c r="Q234" s="10">
        <f t="shared" si="75"/>
        <v>0</v>
      </c>
      <c r="R234" s="8"/>
      <c r="S234" s="8"/>
      <c r="T234" s="8"/>
      <c r="U234" s="8"/>
      <c r="V234" s="8"/>
      <c r="W234" s="8"/>
      <c r="X234" s="8"/>
      <c r="Y234" s="8"/>
      <c r="Z234" s="8"/>
      <c r="AA234" s="8"/>
      <c r="AB234" s="8"/>
      <c r="AC234" s="8"/>
      <c r="AD234" s="8"/>
      <c r="AE234" s="8"/>
      <c r="AF234" s="8"/>
      <c r="AG234" s="8"/>
      <c r="AH234" s="8"/>
      <c r="AI234" s="8"/>
      <c r="AJ234" s="8"/>
      <c r="AK234" s="8"/>
      <c r="AL234" s="8"/>
      <c r="AM234" s="8"/>
      <c r="AN234" s="8"/>
      <c r="AO234" s="8"/>
      <c r="AP234" s="8"/>
      <c r="AQ234" s="8"/>
      <c r="AR234" s="8"/>
      <c r="AS234" s="8"/>
      <c r="AT234" s="8"/>
      <c r="AU234" s="8"/>
      <c r="AV234" s="8"/>
      <c r="AW234" s="8"/>
      <c r="AX234" s="8"/>
      <c r="AY234" s="8"/>
      <c r="AZ234" s="8"/>
      <c r="BA234" s="8"/>
      <c r="BB234" s="8"/>
      <c r="BC234" s="8"/>
      <c r="BD234" s="8"/>
      <c r="BE234" s="8"/>
      <c r="BF234" s="8"/>
      <c r="BG234" s="8"/>
      <c r="BH234" s="8"/>
      <c r="BI234" s="8"/>
      <c r="BJ234" s="8"/>
      <c r="BK234" s="8"/>
      <c r="BL234" s="8"/>
      <c r="BM234" s="8"/>
      <c r="BN234" s="8"/>
      <c r="BO234" s="8"/>
      <c r="BP234" s="8"/>
      <c r="BQ234" s="8"/>
      <c r="BR234" s="8"/>
      <c r="BS234" s="8"/>
      <c r="BT234" s="8"/>
      <c r="BU234" s="8"/>
      <c r="BV234" s="8"/>
      <c r="BW234" s="8"/>
      <c r="BX234" s="8"/>
      <c r="BY234" s="8"/>
      <c r="BZ234" s="8"/>
      <c r="CA234" s="8"/>
      <c r="CB234" s="8"/>
      <c r="CC234" s="8"/>
      <c r="CD234" s="8"/>
      <c r="CE234" s="8"/>
      <c r="CF234" s="8"/>
      <c r="CG234" s="8"/>
      <c r="CH234" s="8"/>
      <c r="CI234" s="8"/>
      <c r="CJ234" s="8"/>
      <c r="CK234" s="8"/>
      <c r="CL234" s="8"/>
      <c r="CM234" s="8"/>
      <c r="CN234" s="8"/>
      <c r="CO234" s="8"/>
      <c r="CP234" s="8"/>
      <c r="CQ234" s="8"/>
      <c r="CR234" s="8"/>
      <c r="CS234" s="8"/>
      <c r="CT234" s="8"/>
      <c r="CU234" s="8"/>
      <c r="CV234" s="8"/>
      <c r="CW234" s="8"/>
      <c r="CX234" s="8"/>
      <c r="CY234" s="8"/>
      <c r="CZ234" s="8"/>
      <c r="DA234" s="8"/>
      <c r="DB234" s="8"/>
      <c r="DC234" s="8"/>
      <c r="DD234" s="8"/>
      <c r="DE234" s="8"/>
      <c r="DF234" s="8"/>
      <c r="DG234" s="8"/>
      <c r="DH234" s="8"/>
      <c r="DI234" s="8"/>
      <c r="DJ234" s="8"/>
      <c r="DK234" s="8"/>
      <c r="DL234" s="8"/>
      <c r="DM234" s="8"/>
      <c r="DN234" s="8"/>
      <c r="DO234" s="8"/>
      <c r="DP234" s="8"/>
      <c r="DQ234" s="8"/>
      <c r="DR234" s="8"/>
      <c r="DS234" s="8"/>
      <c r="DT234" s="8"/>
      <c r="DU234" s="8"/>
      <c r="DV234" s="8"/>
      <c r="DW234" s="8"/>
      <c r="DX234" s="8"/>
      <c r="DY234" s="8"/>
      <c r="DZ234" s="8"/>
      <c r="EA234" s="8"/>
      <c r="EB234" s="8"/>
      <c r="EC234" s="8"/>
      <c r="ED234" s="8"/>
      <c r="EE234" s="8"/>
      <c r="EF234" s="8"/>
      <c r="EG234" s="8"/>
      <c r="EH234" s="8"/>
      <c r="EI234" s="8"/>
      <c r="EJ234" s="8"/>
      <c r="EK234" s="8"/>
      <c r="EL234" s="8"/>
      <c r="EM234" s="8"/>
      <c r="EN234" s="8"/>
      <c r="EO234" s="8"/>
      <c r="EP234" s="8"/>
      <c r="EQ234" s="8"/>
      <c r="ER234" s="8"/>
      <c r="ES234" s="8"/>
      <c r="ET234" s="8"/>
      <c r="EU234" s="8"/>
      <c r="EV234" s="8"/>
      <c r="EW234" s="8"/>
      <c r="EX234" s="8"/>
      <c r="EY234" s="8"/>
      <c r="EZ234" s="8"/>
      <c r="FA234" s="8"/>
      <c r="FB234" s="8"/>
      <c r="FC234" s="8"/>
      <c r="FD234" s="8"/>
      <c r="FE234" s="8"/>
      <c r="FF234" s="8"/>
      <c r="FG234" s="8"/>
      <c r="FH234" s="8"/>
      <c r="FI234" s="8"/>
      <c r="FJ234" s="8"/>
      <c r="FK234" s="8"/>
      <c r="FL234" s="8"/>
      <c r="FM234" s="8"/>
      <c r="FN234" s="8"/>
      <c r="FO234" s="8"/>
      <c r="FP234" s="8"/>
      <c r="FQ234" s="8"/>
      <c r="FR234" s="8"/>
      <c r="FS234" s="8"/>
      <c r="FT234" s="8"/>
      <c r="FU234" s="8"/>
      <c r="FV234" s="8"/>
      <c r="FW234" s="8"/>
      <c r="FX234" s="8"/>
      <c r="FY234" s="8"/>
      <c r="FZ234" s="8"/>
      <c r="GA234" s="8"/>
      <c r="GB234" s="8"/>
      <c r="GC234" s="8"/>
      <c r="GD234" s="8"/>
      <c r="GE234" s="8"/>
      <c r="GF234" s="8"/>
      <c r="GG234" s="8"/>
      <c r="GH234" s="8"/>
      <c r="GI234" s="8"/>
      <c r="GJ234" s="8"/>
      <c r="GK234" s="8"/>
      <c r="GL234" s="8"/>
      <c r="GM234" s="8"/>
      <c r="GN234" s="8"/>
      <c r="GO234" s="8"/>
      <c r="GP234" s="8"/>
      <c r="GQ234" s="8"/>
      <c r="GR234" s="8"/>
      <c r="GS234" s="8"/>
      <c r="GT234" s="8"/>
      <c r="GU234" s="8"/>
      <c r="GV234" s="8"/>
      <c r="GW234" s="8"/>
      <c r="GX234" s="8"/>
      <c r="GY234" s="8"/>
      <c r="GZ234" s="8"/>
      <c r="HA234" s="8"/>
      <c r="HB234" s="8"/>
      <c r="HC234" s="8"/>
      <c r="HD234" s="8"/>
      <c r="HE234" s="8"/>
      <c r="HF234" s="8"/>
      <c r="HG234" s="8"/>
      <c r="HH234" s="8"/>
      <c r="HI234" s="8"/>
      <c r="HJ234" s="8"/>
      <c r="HK234" s="8"/>
      <c r="HL234" s="8"/>
      <c r="HM234" s="8"/>
      <c r="HN234" s="8"/>
      <c r="HO234" s="8"/>
      <c r="HP234" s="8"/>
      <c r="HQ234" s="8"/>
      <c r="HR234" s="8"/>
      <c r="HS234" s="8"/>
      <c r="HT234" s="8"/>
      <c r="HU234" s="8"/>
      <c r="HV234" s="8"/>
      <c r="HW234" s="8"/>
      <c r="HX234" s="8"/>
      <c r="HY234" s="8"/>
      <c r="HZ234" s="8"/>
      <c r="IA234" s="8"/>
      <c r="IB234" s="8"/>
      <c r="IC234" s="8"/>
      <c r="ID234" s="8"/>
      <c r="IE234" s="8"/>
      <c r="IF234" s="8"/>
      <c r="IG234" s="8"/>
      <c r="IH234" s="8"/>
      <c r="II234" s="8"/>
      <c r="IJ234" s="8"/>
      <c r="IK234" s="8"/>
      <c r="IL234" s="8"/>
      <c r="IM234" s="8"/>
      <c r="IN234" s="8"/>
      <c r="IO234" s="8"/>
      <c r="IP234" s="8"/>
      <c r="IQ234" s="8"/>
      <c r="IR234" s="8"/>
      <c r="IS234" s="8"/>
      <c r="IT234" s="8"/>
      <c r="IU234" s="8"/>
      <c r="IV234" s="8"/>
      <c r="IW234" s="8"/>
      <c r="IX234" s="8"/>
      <c r="JA234" s="123"/>
      <c r="JB234" s="123"/>
      <c r="JC234" s="123"/>
      <c r="JD234" s="70">
        <f>SUM((TEXT(JA234,"[M]")/60)*'Income Person-hours'!$D$3,(TEXT(JB234,"[M]")/60)*'Income Person-hours'!$D$4,(TEXT(JC234,"[M]")/60)*'Income Person-hours'!$D$5)</f>
        <v>0</v>
      </c>
    </row>
    <row r="235" spans="1:264" s="12" customFormat="1" ht="15.75" hidden="1" x14ac:dyDescent="0.45">
      <c r="A235" s="32">
        <v>10.17</v>
      </c>
      <c r="B235" s="126"/>
      <c r="C235" s="117"/>
      <c r="D235" s="13" t="str">
        <f>IF(OR(j_WEEKDAY(J_ADDDAY(VLOOKUP(I235,A:F,6,FALSE),H235,1),0)=6,SUMIFS(Holieday[ok],Holieday[date],J_ADDDAY(VLOOKUP(I235,A:F,6,FALSE),H235,1)))=FALSE(),J_ADDDAY(VLOOKUP(I235,A:F,6,FALSE),H235,1),IF(OR(j_WEEKDAY(J_ADDDAY(VLOOKUP(I235,A:F,6,FALSE),H235+1,1),0)=6,SUMIFS(Holieday[ok],Holieday[date],J_ADDDAY(VLOOKUP(I235,A:F,6,FALSE),H235+1,1)))=FALSE(),J_ADDDAY(VLOOKUP(I235,A:F,6,FALSE),H235+1,1),IF(OR(j_WEEKDAY(J_ADDDAY(VLOOKUP(I235,A:F,6,FALSE),H235+2,1),0)=6,SUMIFS(Holieday[ok],Holieday[date],J_ADDDAY(VLOOKUP(I235,A:F,6,FALSE),H235+2,1)))=FALSE(),J_ADDDAY(VLOOKUP(I235,A:F,6,FALSE),H235+2,1),IF(OR(j_WEEKDAY(J_ADDDAY(VLOOKUP(I235,A:F,6,FALSE),H235+3,1),0)=6,SUMIFS(Holieday[ok],Holieday[date],J_ADDDAY(VLOOKUP(I235,A:F,6,FALSE),H235+3,1)))=FALSE(),J_ADDDAY(VLOOKUP(I235,A:F,6,FALSE),H235+3,1),IF(OR(j_WEEKDAY(J_ADDDAY(VLOOKUP(I235,A:F,6,FALSE),H235+4,1),0)=6,SUMIFS(Holieday[ok],Holieday[date],J_ADDDAY(VLOOKUP(I235,A:F,6,FALSE),H235+4,1)))=FALSE(),J_ADDDAY(VLOOKUP(I235,A:F,6,FALSE),H235+4,1),J_ADDDAY(VLOOKUP(I235,A:F,6,FALSE),H235+5,1))))))</f>
        <v>1398/06/30</v>
      </c>
      <c r="E235" s="2">
        <f t="shared" si="69"/>
        <v>13980630</v>
      </c>
      <c r="F235" s="13" t="str">
        <f>IF(N235=0,J_SUBDAY(D235,1,1),IF((N235-NETWORKDAYS.INTL(J_GregorianDate(D235,1),J_GregorianDate(J_SUBDAY(J_ADDDAY(D235,N235,1),1,1),1),16,1)-SUMIFS(Holieday[ok],Holieday[date],CONCATENATE("&gt;","=",D235),Holieday[date],CONCATENATE("&lt;","=",J_SUBDAY(J_ADDDAY(D235,N235,1),1,1)))+SUMIFS(Holieday[Friday],Holieday[date],CONCATENATE("&gt;","=",D235),Holieday[date],CONCATENATE("&lt;","=",J_SUBDAY(J_ADDDAY(D235,N235,1),1,1))))=0,J_SUBDAY(J_ADDDAY(D235,N235,1),1,1),IF((N235-NETWORKDAYS.INTL(J_GregorianDate(D235,1),J_GregorianDate(J_SUBDAY(J_ADDDAY(D235,N235,1),1,1),1),16,1)-SUMIFS(Holieday[ok],Holieday[date],CONCATENATE("&gt;","=",D235),Holieday[date],CONCATENATE("&lt;","=",J_SUBDAY(J_ADDDAY(D235,N235,1),1,1)))+SUMIFS(Holieday[Friday],Holieday[date],CONCATENATE("&gt;","=",D235),Holieday[date],CONCATENATE("&lt;","=",J_SUBDAY(J_ADDDAY(D235,N235,1),1,1))))=1,J_SUBDAY(J_ADDDAY(D235,N235+1,1),1,1),IF((N235-NETWORKDAYS.INTL(J_GregorianDate(D235,1),J_GregorianDate(J_SUBDAY(J_ADDDAY(D235,N235,1),1,1),1),16,1)-SUMIFS(Holieday[ok],Holieday[date],CONCATENATE("&gt;","=",D235),Holieday[date],CONCATENATE("&lt;","=",J_SUBDAY(J_ADDDAY(D235,N235,1),1,1)))+SUMIFS(Holieday[Friday],Holieday[date],CONCATENATE("&gt;","=",D235),Holieday[date],CONCATENATE("&lt;","=",J_SUBDAY(J_ADDDAY(D235,N235,1),1,1))))=2,J_SUBDAY(J_ADDDAY(D235,N235+2,1),1,1),J_SUBDAY(J_ADDDAY(D235,N235+3,1),1,1)))))</f>
        <v>1398/06/29</v>
      </c>
      <c r="G235" s="3">
        <f t="shared" si="70"/>
        <v>13980629</v>
      </c>
      <c r="H235" s="119"/>
      <c r="I235" s="120">
        <v>10.1</v>
      </c>
      <c r="J235" s="10">
        <f>j_WEEKDAY(D235,2)</f>
        <v>0</v>
      </c>
      <c r="K235" s="22">
        <f t="shared" si="68"/>
        <v>0</v>
      </c>
      <c r="L235" s="9">
        <f t="shared" si="73"/>
        <v>0</v>
      </c>
      <c r="M235" s="121">
        <v>0</v>
      </c>
      <c r="N235" s="118">
        <v>0</v>
      </c>
      <c r="O235" s="11">
        <f t="shared" si="74"/>
        <v>0</v>
      </c>
      <c r="P235" s="11">
        <f>VALUE(J_normdate(J_ADDDAY($D235,$O235,1)))</f>
        <v>13980630</v>
      </c>
      <c r="Q235" s="10">
        <f t="shared" si="75"/>
        <v>0</v>
      </c>
      <c r="R235" s="8"/>
      <c r="S235" s="8"/>
      <c r="T235" s="8"/>
      <c r="U235" s="8"/>
      <c r="V235" s="8"/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/>
      <c r="AH235" s="8"/>
      <c r="AI235" s="8"/>
      <c r="AJ235" s="8"/>
      <c r="AK235" s="8"/>
      <c r="AL235" s="8"/>
      <c r="AM235" s="8"/>
      <c r="AN235" s="8"/>
      <c r="AO235" s="8"/>
      <c r="AP235" s="8"/>
      <c r="AQ235" s="8"/>
      <c r="AR235" s="8"/>
      <c r="AS235" s="8"/>
      <c r="AT235" s="8"/>
      <c r="AU235" s="8"/>
      <c r="AV235" s="8"/>
      <c r="AW235" s="8"/>
      <c r="AX235" s="8"/>
      <c r="AY235" s="8"/>
      <c r="AZ235" s="8"/>
      <c r="BA235" s="8"/>
      <c r="BB235" s="8"/>
      <c r="BC235" s="8"/>
      <c r="BD235" s="8"/>
      <c r="BE235" s="8"/>
      <c r="BF235" s="8"/>
      <c r="BG235" s="8"/>
      <c r="BH235" s="8"/>
      <c r="BI235" s="8"/>
      <c r="BJ235" s="8"/>
      <c r="BK235" s="8"/>
      <c r="BL235" s="8"/>
      <c r="BM235" s="8"/>
      <c r="BN235" s="8"/>
      <c r="BO235" s="8"/>
      <c r="BP235" s="8"/>
      <c r="BQ235" s="8"/>
      <c r="BR235" s="8"/>
      <c r="BS235" s="8"/>
      <c r="BT235" s="8"/>
      <c r="BU235" s="8"/>
      <c r="BV235" s="8"/>
      <c r="BW235" s="8"/>
      <c r="BX235" s="8"/>
      <c r="BY235" s="8"/>
      <c r="BZ235" s="8"/>
      <c r="CA235" s="8"/>
      <c r="CB235" s="8"/>
      <c r="CC235" s="8"/>
      <c r="CD235" s="8"/>
      <c r="CE235" s="8"/>
      <c r="CF235" s="8"/>
      <c r="CG235" s="8"/>
      <c r="CH235" s="8"/>
      <c r="CI235" s="8"/>
      <c r="CJ235" s="8"/>
      <c r="CK235" s="8"/>
      <c r="CL235" s="8"/>
      <c r="CM235" s="8"/>
      <c r="CN235" s="8"/>
      <c r="CO235" s="8"/>
      <c r="CP235" s="8"/>
      <c r="CQ235" s="8"/>
      <c r="CR235" s="8"/>
      <c r="CS235" s="8"/>
      <c r="CT235" s="8"/>
      <c r="CU235" s="8"/>
      <c r="CV235" s="8"/>
      <c r="CW235" s="8"/>
      <c r="CX235" s="8"/>
      <c r="CY235" s="8"/>
      <c r="CZ235" s="8"/>
      <c r="DA235" s="8"/>
      <c r="DB235" s="8"/>
      <c r="DC235" s="8"/>
      <c r="DD235" s="8"/>
      <c r="DE235" s="8"/>
      <c r="DF235" s="8"/>
      <c r="DG235" s="8"/>
      <c r="DH235" s="8"/>
      <c r="DI235" s="8"/>
      <c r="DJ235" s="8"/>
      <c r="DK235" s="8"/>
      <c r="DL235" s="8"/>
      <c r="DM235" s="8"/>
      <c r="DN235" s="8"/>
      <c r="DO235" s="8"/>
      <c r="DP235" s="8"/>
      <c r="DQ235" s="8"/>
      <c r="DR235" s="8"/>
      <c r="DS235" s="8"/>
      <c r="DT235" s="8"/>
      <c r="DU235" s="8"/>
      <c r="DV235" s="8"/>
      <c r="DW235" s="8"/>
      <c r="DX235" s="8"/>
      <c r="DY235" s="8"/>
      <c r="DZ235" s="8"/>
      <c r="EA235" s="8"/>
      <c r="EB235" s="8"/>
      <c r="EC235" s="8"/>
      <c r="ED235" s="8"/>
      <c r="EE235" s="8"/>
      <c r="EF235" s="8"/>
      <c r="EG235" s="8"/>
      <c r="EH235" s="8"/>
      <c r="EI235" s="8"/>
      <c r="EJ235" s="8"/>
      <c r="EK235" s="8"/>
      <c r="EL235" s="8"/>
      <c r="EM235" s="8"/>
      <c r="EN235" s="8"/>
      <c r="EO235" s="8"/>
      <c r="EP235" s="8"/>
      <c r="EQ235" s="8"/>
      <c r="ER235" s="8"/>
      <c r="ES235" s="8"/>
      <c r="ET235" s="8"/>
      <c r="EU235" s="8"/>
      <c r="EV235" s="8"/>
      <c r="EW235" s="8"/>
      <c r="EX235" s="8"/>
      <c r="EY235" s="8"/>
      <c r="EZ235" s="8"/>
      <c r="FA235" s="8"/>
      <c r="FB235" s="8"/>
      <c r="FC235" s="8"/>
      <c r="FD235" s="8"/>
      <c r="FE235" s="8"/>
      <c r="FF235" s="8"/>
      <c r="FG235" s="8"/>
      <c r="FH235" s="8"/>
      <c r="FI235" s="8"/>
      <c r="FJ235" s="8"/>
      <c r="FK235" s="8"/>
      <c r="FL235" s="8"/>
      <c r="FM235" s="8"/>
      <c r="FN235" s="8"/>
      <c r="FO235" s="8"/>
      <c r="FP235" s="8"/>
      <c r="FQ235" s="8"/>
      <c r="FR235" s="8"/>
      <c r="FS235" s="8"/>
      <c r="FT235" s="8"/>
      <c r="FU235" s="8"/>
      <c r="FV235" s="8"/>
      <c r="FW235" s="8"/>
      <c r="FX235" s="8"/>
      <c r="FY235" s="8"/>
      <c r="FZ235" s="8"/>
      <c r="GA235" s="8"/>
      <c r="GB235" s="8"/>
      <c r="GC235" s="8"/>
      <c r="GD235" s="8"/>
      <c r="GE235" s="8"/>
      <c r="GF235" s="8"/>
      <c r="GG235" s="8"/>
      <c r="GH235" s="8"/>
      <c r="GI235" s="8"/>
      <c r="GJ235" s="8"/>
      <c r="GK235" s="8"/>
      <c r="GL235" s="8"/>
      <c r="GM235" s="8"/>
      <c r="GN235" s="8"/>
      <c r="GO235" s="8"/>
      <c r="GP235" s="8"/>
      <c r="GQ235" s="8"/>
      <c r="GR235" s="8"/>
      <c r="GS235" s="8"/>
      <c r="GT235" s="8"/>
      <c r="GU235" s="8"/>
      <c r="GV235" s="8"/>
      <c r="GW235" s="8"/>
      <c r="GX235" s="8"/>
      <c r="GY235" s="8"/>
      <c r="GZ235" s="8"/>
      <c r="HA235" s="8"/>
      <c r="HB235" s="8"/>
      <c r="HC235" s="8"/>
      <c r="HD235" s="8"/>
      <c r="HE235" s="8"/>
      <c r="HF235" s="8"/>
      <c r="HG235" s="8"/>
      <c r="HH235" s="8"/>
      <c r="HI235" s="8"/>
      <c r="HJ235" s="8"/>
      <c r="HK235" s="8"/>
      <c r="HL235" s="8"/>
      <c r="HM235" s="8"/>
      <c r="HN235" s="8"/>
      <c r="HO235" s="8"/>
      <c r="HP235" s="8"/>
      <c r="HQ235" s="8"/>
      <c r="HR235" s="8"/>
      <c r="HS235" s="8"/>
      <c r="HT235" s="8"/>
      <c r="HU235" s="8"/>
      <c r="HV235" s="8"/>
      <c r="HW235" s="8"/>
      <c r="HX235" s="8"/>
      <c r="HY235" s="8"/>
      <c r="HZ235" s="8"/>
      <c r="IA235" s="8"/>
      <c r="IB235" s="8"/>
      <c r="IC235" s="8"/>
      <c r="ID235" s="8"/>
      <c r="IE235" s="8"/>
      <c r="IF235" s="8"/>
      <c r="IG235" s="8"/>
      <c r="IH235" s="8"/>
      <c r="II235" s="8"/>
      <c r="IJ235" s="8"/>
      <c r="IK235" s="8"/>
      <c r="IL235" s="8"/>
      <c r="IM235" s="8"/>
      <c r="IN235" s="8"/>
      <c r="IO235" s="8"/>
      <c r="IP235" s="8"/>
      <c r="IQ235" s="8"/>
      <c r="IR235" s="8"/>
      <c r="IS235" s="8"/>
      <c r="IT235" s="8"/>
      <c r="IU235" s="8"/>
      <c r="IV235" s="8"/>
      <c r="IW235" s="8"/>
      <c r="IX235" s="8"/>
      <c r="JA235" s="123"/>
      <c r="JB235" s="123"/>
      <c r="JC235" s="123"/>
      <c r="JD235" s="70">
        <f>SUM((TEXT(JA235,"[M]")/60)*'Income Person-hours'!$D$3,(TEXT(JB235,"[M]")/60)*'Income Person-hours'!$D$4,(TEXT(JC235,"[M]")/60)*'Income Person-hours'!$D$5)</f>
        <v>0</v>
      </c>
    </row>
    <row r="236" spans="1:264" s="12" customFormat="1" ht="15.75" hidden="1" x14ac:dyDescent="0.45">
      <c r="A236" s="32">
        <v>10.18</v>
      </c>
      <c r="B236" s="126"/>
      <c r="C236" s="117"/>
      <c r="D236" s="13" t="str">
        <f>IF(OR(j_WEEKDAY(J_ADDDAY(VLOOKUP(I236,A:F,6,FALSE),H236,1),0)=6,SUMIFS(Holieday[ok],Holieday[date],J_ADDDAY(VLOOKUP(I236,A:F,6,FALSE),H236,1)))=FALSE(),J_ADDDAY(VLOOKUP(I236,A:F,6,FALSE),H236,1),IF(OR(j_WEEKDAY(J_ADDDAY(VLOOKUP(I236,A:F,6,FALSE),H236+1,1),0)=6,SUMIFS(Holieday[ok],Holieday[date],J_ADDDAY(VLOOKUP(I236,A:F,6,FALSE),H236+1,1)))=FALSE(),J_ADDDAY(VLOOKUP(I236,A:F,6,FALSE),H236+1,1),IF(OR(j_WEEKDAY(J_ADDDAY(VLOOKUP(I236,A:F,6,FALSE),H236+2,1),0)=6,SUMIFS(Holieday[ok],Holieday[date],J_ADDDAY(VLOOKUP(I236,A:F,6,FALSE),H236+2,1)))=FALSE(),J_ADDDAY(VLOOKUP(I236,A:F,6,FALSE),H236+2,1),IF(OR(j_WEEKDAY(J_ADDDAY(VLOOKUP(I236,A:F,6,FALSE),H236+3,1),0)=6,SUMIFS(Holieday[ok],Holieday[date],J_ADDDAY(VLOOKUP(I236,A:F,6,FALSE),H236+3,1)))=FALSE(),J_ADDDAY(VLOOKUP(I236,A:F,6,FALSE),H236+3,1),IF(OR(j_WEEKDAY(J_ADDDAY(VLOOKUP(I236,A:F,6,FALSE),H236+4,1),0)=6,SUMIFS(Holieday[ok],Holieday[date],J_ADDDAY(VLOOKUP(I236,A:F,6,FALSE),H236+4,1)))=FALSE(),J_ADDDAY(VLOOKUP(I236,A:F,6,FALSE),H236+4,1),J_ADDDAY(VLOOKUP(I236,A:F,6,FALSE),H236+5,1))))))</f>
        <v>1398/06/30</v>
      </c>
      <c r="E236" s="2">
        <f t="shared" si="69"/>
        <v>13980630</v>
      </c>
      <c r="F236" s="13" t="str">
        <f>IF(N236=0,J_SUBDAY(D236,1,1),IF((N236-NETWORKDAYS.INTL(J_GregorianDate(D236,1),J_GregorianDate(J_SUBDAY(J_ADDDAY(D236,N236,1),1,1),1),16,1)-SUMIFS(Holieday[ok],Holieday[date],CONCATENATE("&gt;","=",D236),Holieday[date],CONCATENATE("&lt;","=",J_SUBDAY(J_ADDDAY(D236,N236,1),1,1)))+SUMIFS(Holieday[Friday],Holieday[date],CONCATENATE("&gt;","=",D236),Holieday[date],CONCATENATE("&lt;","=",J_SUBDAY(J_ADDDAY(D236,N236,1),1,1))))=0,J_SUBDAY(J_ADDDAY(D236,N236,1),1,1),IF((N236-NETWORKDAYS.INTL(J_GregorianDate(D236,1),J_GregorianDate(J_SUBDAY(J_ADDDAY(D236,N236,1),1,1),1),16,1)-SUMIFS(Holieday[ok],Holieday[date],CONCATENATE("&gt;","=",D236),Holieday[date],CONCATENATE("&lt;","=",J_SUBDAY(J_ADDDAY(D236,N236,1),1,1)))+SUMIFS(Holieday[Friday],Holieday[date],CONCATENATE("&gt;","=",D236),Holieday[date],CONCATENATE("&lt;","=",J_SUBDAY(J_ADDDAY(D236,N236,1),1,1))))=1,J_SUBDAY(J_ADDDAY(D236,N236+1,1),1,1),IF((N236-NETWORKDAYS.INTL(J_GregorianDate(D236,1),J_GregorianDate(J_SUBDAY(J_ADDDAY(D236,N236,1),1,1),1),16,1)-SUMIFS(Holieday[ok],Holieday[date],CONCATENATE("&gt;","=",D236),Holieday[date],CONCATENATE("&lt;","=",J_SUBDAY(J_ADDDAY(D236,N236,1),1,1)))+SUMIFS(Holieday[Friday],Holieday[date],CONCATENATE("&gt;","=",D236),Holieday[date],CONCATENATE("&lt;","=",J_SUBDAY(J_ADDDAY(D236,N236,1),1,1))))=2,J_SUBDAY(J_ADDDAY(D236,N236+2,1),1,1),J_SUBDAY(J_ADDDAY(D236,N236+3,1),1,1)))))</f>
        <v>1398/06/29</v>
      </c>
      <c r="G236" s="3">
        <f t="shared" si="70"/>
        <v>13980629</v>
      </c>
      <c r="H236" s="119"/>
      <c r="I236" s="120">
        <v>10.1</v>
      </c>
      <c r="J236" s="10">
        <f>j_WEEKDAY(D236,2)</f>
        <v>0</v>
      </c>
      <c r="K236" s="22">
        <f t="shared" si="68"/>
        <v>0</v>
      </c>
      <c r="L236" s="9">
        <f t="shared" si="73"/>
        <v>0</v>
      </c>
      <c r="M236" s="121">
        <v>0</v>
      </c>
      <c r="N236" s="118">
        <v>0</v>
      </c>
      <c r="O236" s="11">
        <f t="shared" si="74"/>
        <v>0</v>
      </c>
      <c r="P236" s="11">
        <f>VALUE(J_normdate(J_ADDDAY($D236,$O236,1)))</f>
        <v>13980630</v>
      </c>
      <c r="Q236" s="10">
        <f t="shared" si="75"/>
        <v>0</v>
      </c>
      <c r="R236" s="8"/>
      <c r="S236" s="8"/>
      <c r="T236" s="8"/>
      <c r="U236" s="8"/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/>
      <c r="AH236" s="8"/>
      <c r="AI236" s="8"/>
      <c r="AJ236" s="8"/>
      <c r="AK236" s="8"/>
      <c r="AL236" s="8"/>
      <c r="AM236" s="8"/>
      <c r="AN236" s="8"/>
      <c r="AO236" s="8"/>
      <c r="AP236" s="8"/>
      <c r="AQ236" s="8"/>
      <c r="AR236" s="8"/>
      <c r="AS236" s="8"/>
      <c r="AT236" s="8"/>
      <c r="AU236" s="8"/>
      <c r="AV236" s="8"/>
      <c r="AW236" s="8"/>
      <c r="AX236" s="8"/>
      <c r="AY236" s="8"/>
      <c r="AZ236" s="8"/>
      <c r="BA236" s="8"/>
      <c r="BB236" s="8"/>
      <c r="BC236" s="8"/>
      <c r="BD236" s="8"/>
      <c r="BE236" s="8"/>
      <c r="BF236" s="8"/>
      <c r="BG236" s="8"/>
      <c r="BH236" s="8"/>
      <c r="BI236" s="8"/>
      <c r="BJ236" s="8"/>
      <c r="BK236" s="8"/>
      <c r="BL236" s="8"/>
      <c r="BM236" s="8"/>
      <c r="BN236" s="8"/>
      <c r="BO236" s="8"/>
      <c r="BP236" s="8"/>
      <c r="BQ236" s="8"/>
      <c r="BR236" s="8"/>
      <c r="BS236" s="8"/>
      <c r="BT236" s="8"/>
      <c r="BU236" s="8"/>
      <c r="BV236" s="8"/>
      <c r="BW236" s="8"/>
      <c r="BX236" s="8"/>
      <c r="BY236" s="8"/>
      <c r="BZ236" s="8"/>
      <c r="CA236" s="8"/>
      <c r="CB236" s="8"/>
      <c r="CC236" s="8"/>
      <c r="CD236" s="8"/>
      <c r="CE236" s="8"/>
      <c r="CF236" s="8"/>
      <c r="CG236" s="8"/>
      <c r="CH236" s="8"/>
      <c r="CI236" s="8"/>
      <c r="CJ236" s="8"/>
      <c r="CK236" s="8"/>
      <c r="CL236" s="8"/>
      <c r="CM236" s="8"/>
      <c r="CN236" s="8"/>
      <c r="CO236" s="8"/>
      <c r="CP236" s="8"/>
      <c r="CQ236" s="8"/>
      <c r="CR236" s="8"/>
      <c r="CS236" s="8"/>
      <c r="CT236" s="8"/>
      <c r="CU236" s="8"/>
      <c r="CV236" s="8"/>
      <c r="CW236" s="8"/>
      <c r="CX236" s="8"/>
      <c r="CY236" s="8"/>
      <c r="CZ236" s="8"/>
      <c r="DA236" s="8"/>
      <c r="DB236" s="8"/>
      <c r="DC236" s="8"/>
      <c r="DD236" s="8"/>
      <c r="DE236" s="8"/>
      <c r="DF236" s="8"/>
      <c r="DG236" s="8"/>
      <c r="DH236" s="8"/>
      <c r="DI236" s="8"/>
      <c r="DJ236" s="8"/>
      <c r="DK236" s="8"/>
      <c r="DL236" s="8"/>
      <c r="DM236" s="8"/>
      <c r="DN236" s="8"/>
      <c r="DO236" s="8"/>
      <c r="DP236" s="8"/>
      <c r="DQ236" s="8"/>
      <c r="DR236" s="8"/>
      <c r="DS236" s="8"/>
      <c r="DT236" s="8"/>
      <c r="DU236" s="8"/>
      <c r="DV236" s="8"/>
      <c r="DW236" s="8"/>
      <c r="DX236" s="8"/>
      <c r="DY236" s="8"/>
      <c r="DZ236" s="8"/>
      <c r="EA236" s="8"/>
      <c r="EB236" s="8"/>
      <c r="EC236" s="8"/>
      <c r="ED236" s="8"/>
      <c r="EE236" s="8"/>
      <c r="EF236" s="8"/>
      <c r="EG236" s="8"/>
      <c r="EH236" s="8"/>
      <c r="EI236" s="8"/>
      <c r="EJ236" s="8"/>
      <c r="EK236" s="8"/>
      <c r="EL236" s="8"/>
      <c r="EM236" s="8"/>
      <c r="EN236" s="8"/>
      <c r="EO236" s="8"/>
      <c r="EP236" s="8"/>
      <c r="EQ236" s="8"/>
      <c r="ER236" s="8"/>
      <c r="ES236" s="8"/>
      <c r="ET236" s="8"/>
      <c r="EU236" s="8"/>
      <c r="EV236" s="8"/>
      <c r="EW236" s="8"/>
      <c r="EX236" s="8"/>
      <c r="EY236" s="8"/>
      <c r="EZ236" s="8"/>
      <c r="FA236" s="8"/>
      <c r="FB236" s="8"/>
      <c r="FC236" s="8"/>
      <c r="FD236" s="8"/>
      <c r="FE236" s="8"/>
      <c r="FF236" s="8"/>
      <c r="FG236" s="8"/>
      <c r="FH236" s="8"/>
      <c r="FI236" s="8"/>
      <c r="FJ236" s="8"/>
      <c r="FK236" s="8"/>
      <c r="FL236" s="8"/>
      <c r="FM236" s="8"/>
      <c r="FN236" s="8"/>
      <c r="FO236" s="8"/>
      <c r="FP236" s="8"/>
      <c r="FQ236" s="8"/>
      <c r="FR236" s="8"/>
      <c r="FS236" s="8"/>
      <c r="FT236" s="8"/>
      <c r="FU236" s="8"/>
      <c r="FV236" s="8"/>
      <c r="FW236" s="8"/>
      <c r="FX236" s="8"/>
      <c r="FY236" s="8"/>
      <c r="FZ236" s="8"/>
      <c r="GA236" s="8"/>
      <c r="GB236" s="8"/>
      <c r="GC236" s="8"/>
      <c r="GD236" s="8"/>
      <c r="GE236" s="8"/>
      <c r="GF236" s="8"/>
      <c r="GG236" s="8"/>
      <c r="GH236" s="8"/>
      <c r="GI236" s="8"/>
      <c r="GJ236" s="8"/>
      <c r="GK236" s="8"/>
      <c r="GL236" s="8"/>
      <c r="GM236" s="8"/>
      <c r="GN236" s="8"/>
      <c r="GO236" s="8"/>
      <c r="GP236" s="8"/>
      <c r="GQ236" s="8"/>
      <c r="GR236" s="8"/>
      <c r="GS236" s="8"/>
      <c r="GT236" s="8"/>
      <c r="GU236" s="8"/>
      <c r="GV236" s="8"/>
      <c r="GW236" s="8"/>
      <c r="GX236" s="8"/>
      <c r="GY236" s="8"/>
      <c r="GZ236" s="8"/>
      <c r="HA236" s="8"/>
      <c r="HB236" s="8"/>
      <c r="HC236" s="8"/>
      <c r="HD236" s="8"/>
      <c r="HE236" s="8"/>
      <c r="HF236" s="8"/>
      <c r="HG236" s="8"/>
      <c r="HH236" s="8"/>
      <c r="HI236" s="8"/>
      <c r="HJ236" s="8"/>
      <c r="HK236" s="8"/>
      <c r="HL236" s="8"/>
      <c r="HM236" s="8"/>
      <c r="HN236" s="8"/>
      <c r="HO236" s="8"/>
      <c r="HP236" s="8"/>
      <c r="HQ236" s="8"/>
      <c r="HR236" s="8"/>
      <c r="HS236" s="8"/>
      <c r="HT236" s="8"/>
      <c r="HU236" s="8"/>
      <c r="HV236" s="8"/>
      <c r="HW236" s="8"/>
      <c r="HX236" s="8"/>
      <c r="HY236" s="8"/>
      <c r="HZ236" s="8"/>
      <c r="IA236" s="8"/>
      <c r="IB236" s="8"/>
      <c r="IC236" s="8"/>
      <c r="ID236" s="8"/>
      <c r="IE236" s="8"/>
      <c r="IF236" s="8"/>
      <c r="IG236" s="8"/>
      <c r="IH236" s="8"/>
      <c r="II236" s="8"/>
      <c r="IJ236" s="8"/>
      <c r="IK236" s="8"/>
      <c r="IL236" s="8"/>
      <c r="IM236" s="8"/>
      <c r="IN236" s="8"/>
      <c r="IO236" s="8"/>
      <c r="IP236" s="8"/>
      <c r="IQ236" s="8"/>
      <c r="IR236" s="8"/>
      <c r="IS236" s="8"/>
      <c r="IT236" s="8"/>
      <c r="IU236" s="8"/>
      <c r="IV236" s="8"/>
      <c r="IW236" s="8"/>
      <c r="IX236" s="8"/>
      <c r="JA236" s="123"/>
      <c r="JB236" s="123"/>
      <c r="JC236" s="123"/>
      <c r="JD236" s="70">
        <f>SUM((TEXT(JA236,"[M]")/60)*'Income Person-hours'!$D$3,(TEXT(JB236,"[M]")/60)*'Income Person-hours'!$D$4,(TEXT(JC236,"[M]")/60)*'Income Person-hours'!$D$5)</f>
        <v>0</v>
      </c>
    </row>
    <row r="237" spans="1:264" s="12" customFormat="1" ht="15.75" hidden="1" x14ac:dyDescent="0.45">
      <c r="A237" s="32">
        <v>10.19</v>
      </c>
      <c r="B237" s="126"/>
      <c r="C237" s="117"/>
      <c r="D237" s="13" t="str">
        <f>IF(OR(j_WEEKDAY(J_ADDDAY(VLOOKUP(I237,A:F,6,FALSE),H237,1),0)=6,SUMIFS(Holieday[ok],Holieday[date],J_ADDDAY(VLOOKUP(I237,A:F,6,FALSE),H237,1)))=FALSE(),J_ADDDAY(VLOOKUP(I237,A:F,6,FALSE),H237,1),IF(OR(j_WEEKDAY(J_ADDDAY(VLOOKUP(I237,A:F,6,FALSE),H237+1,1),0)=6,SUMIFS(Holieday[ok],Holieday[date],J_ADDDAY(VLOOKUP(I237,A:F,6,FALSE),H237+1,1)))=FALSE(),J_ADDDAY(VLOOKUP(I237,A:F,6,FALSE),H237+1,1),IF(OR(j_WEEKDAY(J_ADDDAY(VLOOKUP(I237,A:F,6,FALSE),H237+2,1),0)=6,SUMIFS(Holieday[ok],Holieday[date],J_ADDDAY(VLOOKUP(I237,A:F,6,FALSE),H237+2,1)))=FALSE(),J_ADDDAY(VLOOKUP(I237,A:F,6,FALSE),H237+2,1),IF(OR(j_WEEKDAY(J_ADDDAY(VLOOKUP(I237,A:F,6,FALSE),H237+3,1),0)=6,SUMIFS(Holieday[ok],Holieday[date],J_ADDDAY(VLOOKUP(I237,A:F,6,FALSE),H237+3,1)))=FALSE(),J_ADDDAY(VLOOKUP(I237,A:F,6,FALSE),H237+3,1),IF(OR(j_WEEKDAY(J_ADDDAY(VLOOKUP(I237,A:F,6,FALSE),H237+4,1),0)=6,SUMIFS(Holieday[ok],Holieday[date],J_ADDDAY(VLOOKUP(I237,A:F,6,FALSE),H237+4,1)))=FALSE(),J_ADDDAY(VLOOKUP(I237,A:F,6,FALSE),H237+4,1),J_ADDDAY(VLOOKUP(I237,A:F,6,FALSE),H237+5,1))))))</f>
        <v>1398/06/30</v>
      </c>
      <c r="E237" s="2">
        <f t="shared" si="69"/>
        <v>13980630</v>
      </c>
      <c r="F237" s="13" t="str">
        <f>IF(N237=0,J_SUBDAY(D237,1,1),IF((N237-NETWORKDAYS.INTL(J_GregorianDate(D237,1),J_GregorianDate(J_SUBDAY(J_ADDDAY(D237,N237,1),1,1),1),16,1)-SUMIFS(Holieday[ok],Holieday[date],CONCATENATE("&gt;","=",D237),Holieday[date],CONCATENATE("&lt;","=",J_SUBDAY(J_ADDDAY(D237,N237,1),1,1)))+SUMIFS(Holieday[Friday],Holieday[date],CONCATENATE("&gt;","=",D237),Holieday[date],CONCATENATE("&lt;","=",J_SUBDAY(J_ADDDAY(D237,N237,1),1,1))))=0,J_SUBDAY(J_ADDDAY(D237,N237,1),1,1),IF((N237-NETWORKDAYS.INTL(J_GregorianDate(D237,1),J_GregorianDate(J_SUBDAY(J_ADDDAY(D237,N237,1),1,1),1),16,1)-SUMIFS(Holieday[ok],Holieday[date],CONCATENATE("&gt;","=",D237),Holieday[date],CONCATENATE("&lt;","=",J_SUBDAY(J_ADDDAY(D237,N237,1),1,1)))+SUMIFS(Holieday[Friday],Holieday[date],CONCATENATE("&gt;","=",D237),Holieday[date],CONCATENATE("&lt;","=",J_SUBDAY(J_ADDDAY(D237,N237,1),1,1))))=1,J_SUBDAY(J_ADDDAY(D237,N237+1,1),1,1),IF((N237-NETWORKDAYS.INTL(J_GregorianDate(D237,1),J_GregorianDate(J_SUBDAY(J_ADDDAY(D237,N237,1),1,1),1),16,1)-SUMIFS(Holieday[ok],Holieday[date],CONCATENATE("&gt;","=",D237),Holieday[date],CONCATENATE("&lt;","=",J_SUBDAY(J_ADDDAY(D237,N237,1),1,1)))+SUMIFS(Holieday[Friday],Holieday[date],CONCATENATE("&gt;","=",D237),Holieday[date],CONCATENATE("&lt;","=",J_SUBDAY(J_ADDDAY(D237,N237,1),1,1))))=2,J_SUBDAY(J_ADDDAY(D237,N237+2,1),1,1),J_SUBDAY(J_ADDDAY(D237,N237+3,1),1,1)))))</f>
        <v>1398/06/29</v>
      </c>
      <c r="G237" s="3">
        <f t="shared" si="70"/>
        <v>13980629</v>
      </c>
      <c r="H237" s="119"/>
      <c r="I237" s="120">
        <v>10.1</v>
      </c>
      <c r="J237" s="10">
        <f>j_WEEKDAY(D237,2)</f>
        <v>0</v>
      </c>
      <c r="K237" s="22">
        <f t="shared" si="68"/>
        <v>0</v>
      </c>
      <c r="L237" s="9">
        <f t="shared" si="73"/>
        <v>0</v>
      </c>
      <c r="M237" s="121">
        <v>0</v>
      </c>
      <c r="N237" s="118">
        <v>0</v>
      </c>
      <c r="O237" s="11">
        <f t="shared" si="74"/>
        <v>0</v>
      </c>
      <c r="P237" s="11">
        <f>VALUE(J_normdate(J_ADDDAY($D237,$O237,1)))</f>
        <v>13980630</v>
      </c>
      <c r="Q237" s="10">
        <f t="shared" si="75"/>
        <v>0</v>
      </c>
      <c r="R237" s="8"/>
      <c r="S237" s="8"/>
      <c r="T237" s="8"/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/>
      <c r="AH237" s="8"/>
      <c r="AI237" s="8"/>
      <c r="AJ237" s="8"/>
      <c r="AK237" s="8"/>
      <c r="AL237" s="8"/>
      <c r="AM237" s="8"/>
      <c r="AN237" s="8"/>
      <c r="AO237" s="8"/>
      <c r="AP237" s="8"/>
      <c r="AQ237" s="8"/>
      <c r="AR237" s="8"/>
      <c r="AS237" s="8"/>
      <c r="AT237" s="8"/>
      <c r="AU237" s="8"/>
      <c r="AV237" s="8"/>
      <c r="AW237" s="8"/>
      <c r="AX237" s="8"/>
      <c r="AY237" s="8"/>
      <c r="AZ237" s="8"/>
      <c r="BA237" s="8"/>
      <c r="BB237" s="8"/>
      <c r="BC237" s="8"/>
      <c r="BD237" s="8"/>
      <c r="BE237" s="8"/>
      <c r="BF237" s="8"/>
      <c r="BG237" s="8"/>
      <c r="BH237" s="8"/>
      <c r="BI237" s="8"/>
      <c r="BJ237" s="8"/>
      <c r="BK237" s="8"/>
      <c r="BL237" s="8"/>
      <c r="BM237" s="8"/>
      <c r="BN237" s="8"/>
      <c r="BO237" s="8"/>
      <c r="BP237" s="8"/>
      <c r="BQ237" s="8"/>
      <c r="BR237" s="8"/>
      <c r="BS237" s="8"/>
      <c r="BT237" s="8"/>
      <c r="BU237" s="8"/>
      <c r="BV237" s="8"/>
      <c r="BW237" s="8"/>
      <c r="BX237" s="8"/>
      <c r="BY237" s="8"/>
      <c r="BZ237" s="8"/>
      <c r="CA237" s="8"/>
      <c r="CB237" s="8"/>
      <c r="CC237" s="8"/>
      <c r="CD237" s="8"/>
      <c r="CE237" s="8"/>
      <c r="CF237" s="8"/>
      <c r="CG237" s="8"/>
      <c r="CH237" s="8"/>
      <c r="CI237" s="8"/>
      <c r="CJ237" s="8"/>
      <c r="CK237" s="8"/>
      <c r="CL237" s="8"/>
      <c r="CM237" s="8"/>
      <c r="CN237" s="8"/>
      <c r="CO237" s="8"/>
      <c r="CP237" s="8"/>
      <c r="CQ237" s="8"/>
      <c r="CR237" s="8"/>
      <c r="CS237" s="8"/>
      <c r="CT237" s="8"/>
      <c r="CU237" s="8"/>
      <c r="CV237" s="8"/>
      <c r="CW237" s="8"/>
      <c r="CX237" s="8"/>
      <c r="CY237" s="8"/>
      <c r="CZ237" s="8"/>
      <c r="DA237" s="8"/>
      <c r="DB237" s="8"/>
      <c r="DC237" s="8"/>
      <c r="DD237" s="8"/>
      <c r="DE237" s="8"/>
      <c r="DF237" s="8"/>
      <c r="DG237" s="8"/>
      <c r="DH237" s="8"/>
      <c r="DI237" s="8"/>
      <c r="DJ237" s="8"/>
      <c r="DK237" s="8"/>
      <c r="DL237" s="8"/>
      <c r="DM237" s="8"/>
      <c r="DN237" s="8"/>
      <c r="DO237" s="8"/>
      <c r="DP237" s="8"/>
      <c r="DQ237" s="8"/>
      <c r="DR237" s="8"/>
      <c r="DS237" s="8"/>
      <c r="DT237" s="8"/>
      <c r="DU237" s="8"/>
      <c r="DV237" s="8"/>
      <c r="DW237" s="8"/>
      <c r="DX237" s="8"/>
      <c r="DY237" s="8"/>
      <c r="DZ237" s="8"/>
      <c r="EA237" s="8"/>
      <c r="EB237" s="8"/>
      <c r="EC237" s="8"/>
      <c r="ED237" s="8"/>
      <c r="EE237" s="8"/>
      <c r="EF237" s="8"/>
      <c r="EG237" s="8"/>
      <c r="EH237" s="8"/>
      <c r="EI237" s="8"/>
      <c r="EJ237" s="8"/>
      <c r="EK237" s="8"/>
      <c r="EL237" s="8"/>
      <c r="EM237" s="8"/>
      <c r="EN237" s="8"/>
      <c r="EO237" s="8"/>
      <c r="EP237" s="8"/>
      <c r="EQ237" s="8"/>
      <c r="ER237" s="8"/>
      <c r="ES237" s="8"/>
      <c r="ET237" s="8"/>
      <c r="EU237" s="8"/>
      <c r="EV237" s="8"/>
      <c r="EW237" s="8"/>
      <c r="EX237" s="8"/>
      <c r="EY237" s="8"/>
      <c r="EZ237" s="8"/>
      <c r="FA237" s="8"/>
      <c r="FB237" s="8"/>
      <c r="FC237" s="8"/>
      <c r="FD237" s="8"/>
      <c r="FE237" s="8"/>
      <c r="FF237" s="8"/>
      <c r="FG237" s="8"/>
      <c r="FH237" s="8"/>
      <c r="FI237" s="8"/>
      <c r="FJ237" s="8"/>
      <c r="FK237" s="8"/>
      <c r="FL237" s="8"/>
      <c r="FM237" s="8"/>
      <c r="FN237" s="8"/>
      <c r="FO237" s="8"/>
      <c r="FP237" s="8"/>
      <c r="FQ237" s="8"/>
      <c r="FR237" s="8"/>
      <c r="FS237" s="8"/>
      <c r="FT237" s="8"/>
      <c r="FU237" s="8"/>
      <c r="FV237" s="8"/>
      <c r="FW237" s="8"/>
      <c r="FX237" s="8"/>
      <c r="FY237" s="8"/>
      <c r="FZ237" s="8"/>
      <c r="GA237" s="8"/>
      <c r="GB237" s="8"/>
      <c r="GC237" s="8"/>
      <c r="GD237" s="8"/>
      <c r="GE237" s="8"/>
      <c r="GF237" s="8"/>
      <c r="GG237" s="8"/>
      <c r="GH237" s="8"/>
      <c r="GI237" s="8"/>
      <c r="GJ237" s="8"/>
      <c r="GK237" s="8"/>
      <c r="GL237" s="8"/>
      <c r="GM237" s="8"/>
      <c r="GN237" s="8"/>
      <c r="GO237" s="8"/>
      <c r="GP237" s="8"/>
      <c r="GQ237" s="8"/>
      <c r="GR237" s="8"/>
      <c r="GS237" s="8"/>
      <c r="GT237" s="8"/>
      <c r="GU237" s="8"/>
      <c r="GV237" s="8"/>
      <c r="GW237" s="8"/>
      <c r="GX237" s="8"/>
      <c r="GY237" s="8"/>
      <c r="GZ237" s="8"/>
      <c r="HA237" s="8"/>
      <c r="HB237" s="8"/>
      <c r="HC237" s="8"/>
      <c r="HD237" s="8"/>
      <c r="HE237" s="8"/>
      <c r="HF237" s="8"/>
      <c r="HG237" s="8"/>
      <c r="HH237" s="8"/>
      <c r="HI237" s="8"/>
      <c r="HJ237" s="8"/>
      <c r="HK237" s="8"/>
      <c r="HL237" s="8"/>
      <c r="HM237" s="8"/>
      <c r="HN237" s="8"/>
      <c r="HO237" s="8"/>
      <c r="HP237" s="8"/>
      <c r="HQ237" s="8"/>
      <c r="HR237" s="8"/>
      <c r="HS237" s="8"/>
      <c r="HT237" s="8"/>
      <c r="HU237" s="8"/>
      <c r="HV237" s="8"/>
      <c r="HW237" s="8"/>
      <c r="HX237" s="8"/>
      <c r="HY237" s="8"/>
      <c r="HZ237" s="8"/>
      <c r="IA237" s="8"/>
      <c r="IB237" s="8"/>
      <c r="IC237" s="8"/>
      <c r="ID237" s="8"/>
      <c r="IE237" s="8"/>
      <c r="IF237" s="8"/>
      <c r="IG237" s="8"/>
      <c r="IH237" s="8"/>
      <c r="II237" s="8"/>
      <c r="IJ237" s="8"/>
      <c r="IK237" s="8"/>
      <c r="IL237" s="8"/>
      <c r="IM237" s="8"/>
      <c r="IN237" s="8"/>
      <c r="IO237" s="8"/>
      <c r="IP237" s="8"/>
      <c r="IQ237" s="8"/>
      <c r="IR237" s="8"/>
      <c r="IS237" s="8"/>
      <c r="IT237" s="8"/>
      <c r="IU237" s="8"/>
      <c r="IV237" s="8"/>
      <c r="IW237" s="8"/>
      <c r="IX237" s="8"/>
      <c r="JA237" s="123"/>
      <c r="JB237" s="123"/>
      <c r="JC237" s="123"/>
      <c r="JD237" s="70">
        <f>SUM((TEXT(JA237,"[M]")/60)*'Income Person-hours'!$D$3,(TEXT(JB237,"[M]")/60)*'Income Person-hours'!$D$4,(TEXT(JC237,"[M]")/60)*'Income Person-hours'!$D$5)</f>
        <v>0</v>
      </c>
    </row>
    <row r="238" spans="1:264" s="12" customFormat="1" ht="15.75" hidden="1" x14ac:dyDescent="0.45">
      <c r="A238" s="32">
        <v>1.0209999999999999</v>
      </c>
      <c r="B238" s="126"/>
      <c r="C238" s="117"/>
      <c r="D238" s="13" t="str">
        <f>IF(OR(j_WEEKDAY(J_ADDDAY(VLOOKUP(I238,A:F,6,FALSE),H238,1),0)=6,SUMIFS(Holieday[ok],Holieday[date],J_ADDDAY(VLOOKUP(I238,A:F,6,FALSE),H238,1)))=FALSE(),J_ADDDAY(VLOOKUP(I238,A:F,6,FALSE),H238,1),IF(OR(j_WEEKDAY(J_ADDDAY(VLOOKUP(I238,A:F,6,FALSE),H238+1,1),0)=6,SUMIFS(Holieday[ok],Holieday[date],J_ADDDAY(VLOOKUP(I238,A:F,6,FALSE),H238+1,1)))=FALSE(),J_ADDDAY(VLOOKUP(I238,A:F,6,FALSE),H238+1,1),IF(OR(j_WEEKDAY(J_ADDDAY(VLOOKUP(I238,A:F,6,FALSE),H238+2,1),0)=6,SUMIFS(Holieday[ok],Holieday[date],J_ADDDAY(VLOOKUP(I238,A:F,6,FALSE),H238+2,1)))=FALSE(),J_ADDDAY(VLOOKUP(I238,A:F,6,FALSE),H238+2,1),IF(OR(j_WEEKDAY(J_ADDDAY(VLOOKUP(I238,A:F,6,FALSE),H238+3,1),0)=6,SUMIFS(Holieday[ok],Holieday[date],J_ADDDAY(VLOOKUP(I238,A:F,6,FALSE),H238+3,1)))=FALSE(),J_ADDDAY(VLOOKUP(I238,A:F,6,FALSE),H238+3,1),IF(OR(j_WEEKDAY(J_ADDDAY(VLOOKUP(I238,A:F,6,FALSE),H238+4,1),0)=6,SUMIFS(Holieday[ok],Holieday[date],J_ADDDAY(VLOOKUP(I238,A:F,6,FALSE),H238+4,1)))=FALSE(),J_ADDDAY(VLOOKUP(I238,A:F,6,FALSE),H238+4,1),J_ADDDAY(VLOOKUP(I238,A:F,6,FALSE),H238+5,1))))))</f>
        <v>1398/06/30</v>
      </c>
      <c r="E238" s="2">
        <f t="shared" si="69"/>
        <v>13980630</v>
      </c>
      <c r="F238" s="13" t="str">
        <f>IF(N238=0,J_SUBDAY(D238,1,1),IF((N238-NETWORKDAYS.INTL(J_GregorianDate(D238,1),J_GregorianDate(J_SUBDAY(J_ADDDAY(D238,N238,1),1,1),1),16,1)-SUMIFS(Holieday[ok],Holieday[date],CONCATENATE("&gt;","=",D238),Holieday[date],CONCATENATE("&lt;","=",J_SUBDAY(J_ADDDAY(D238,N238,1),1,1)))+SUMIFS(Holieday[Friday],Holieday[date],CONCATENATE("&gt;","=",D238),Holieday[date],CONCATENATE("&lt;","=",J_SUBDAY(J_ADDDAY(D238,N238,1),1,1))))=0,J_SUBDAY(J_ADDDAY(D238,N238,1),1,1),IF((N238-NETWORKDAYS.INTL(J_GregorianDate(D238,1),J_GregorianDate(J_SUBDAY(J_ADDDAY(D238,N238,1),1,1),1),16,1)-SUMIFS(Holieday[ok],Holieday[date],CONCATENATE("&gt;","=",D238),Holieday[date],CONCATENATE("&lt;","=",J_SUBDAY(J_ADDDAY(D238,N238,1),1,1)))+SUMIFS(Holieday[Friday],Holieday[date],CONCATENATE("&gt;","=",D238),Holieday[date],CONCATENATE("&lt;","=",J_SUBDAY(J_ADDDAY(D238,N238,1),1,1))))=1,J_SUBDAY(J_ADDDAY(D238,N238+1,1),1,1),IF((N238-NETWORKDAYS.INTL(J_GregorianDate(D238,1),J_GregorianDate(J_SUBDAY(J_ADDDAY(D238,N238,1),1,1),1),16,1)-SUMIFS(Holieday[ok],Holieday[date],CONCATENATE("&gt;","=",D238),Holieday[date],CONCATENATE("&lt;","=",J_SUBDAY(J_ADDDAY(D238,N238,1),1,1)))+SUMIFS(Holieday[Friday],Holieday[date],CONCATENATE("&gt;","=",D238),Holieday[date],CONCATENATE("&lt;","=",J_SUBDAY(J_ADDDAY(D238,N238,1),1,1))))=2,J_SUBDAY(J_ADDDAY(D238,N238+2,1),1,1),J_SUBDAY(J_ADDDAY(D238,N238+3,1),1,1)))))</f>
        <v>1398/06/29</v>
      </c>
      <c r="G238" s="3">
        <f t="shared" si="70"/>
        <v>13980629</v>
      </c>
      <c r="H238" s="119"/>
      <c r="I238" s="120">
        <v>10.1</v>
      </c>
      <c r="J238" s="10">
        <f>j_WEEKDAY(D238,2)</f>
        <v>0</v>
      </c>
      <c r="K238" s="22">
        <f t="shared" si="68"/>
        <v>0</v>
      </c>
      <c r="L238" s="9">
        <f t="shared" si="73"/>
        <v>0</v>
      </c>
      <c r="M238" s="121">
        <v>0</v>
      </c>
      <c r="N238" s="118">
        <v>0</v>
      </c>
      <c r="O238" s="11">
        <f t="shared" si="74"/>
        <v>0</v>
      </c>
      <c r="P238" s="11">
        <f>VALUE(J_normdate(J_ADDDAY($D238,$O238,1)))</f>
        <v>13980630</v>
      </c>
      <c r="Q238" s="10">
        <f t="shared" si="75"/>
        <v>0</v>
      </c>
      <c r="R238" s="8"/>
      <c r="S238" s="8"/>
      <c r="T238" s="8"/>
      <c r="U238" s="8"/>
      <c r="V238" s="8"/>
      <c r="W238" s="8"/>
      <c r="X238" s="8"/>
      <c r="Y238" s="8"/>
      <c r="Z238" s="8"/>
      <c r="AA238" s="8"/>
      <c r="AB238" s="8"/>
      <c r="AC238" s="8"/>
      <c r="AD238" s="8"/>
      <c r="AE238" s="8"/>
      <c r="AF238" s="8"/>
      <c r="AG238" s="8"/>
      <c r="AH238" s="8"/>
      <c r="AI238" s="8"/>
      <c r="AJ238" s="8"/>
      <c r="AK238" s="8"/>
      <c r="AL238" s="8"/>
      <c r="AM238" s="8"/>
      <c r="AN238" s="8"/>
      <c r="AO238" s="8"/>
      <c r="AP238" s="8"/>
      <c r="AQ238" s="8"/>
      <c r="AR238" s="8"/>
      <c r="AS238" s="8"/>
      <c r="AT238" s="8"/>
      <c r="AU238" s="8"/>
      <c r="AV238" s="8"/>
      <c r="AW238" s="8"/>
      <c r="AX238" s="8"/>
      <c r="AY238" s="8"/>
      <c r="AZ238" s="8"/>
      <c r="BA238" s="8"/>
      <c r="BB238" s="8"/>
      <c r="BC238" s="8"/>
      <c r="BD238" s="8"/>
      <c r="BE238" s="8"/>
      <c r="BF238" s="8"/>
      <c r="BG238" s="8"/>
      <c r="BH238" s="8"/>
      <c r="BI238" s="8"/>
      <c r="BJ238" s="8"/>
      <c r="BK238" s="8"/>
      <c r="BL238" s="8"/>
      <c r="BM238" s="8"/>
      <c r="BN238" s="8"/>
      <c r="BO238" s="8"/>
      <c r="BP238" s="8"/>
      <c r="BQ238" s="8"/>
      <c r="BR238" s="8"/>
      <c r="BS238" s="8"/>
      <c r="BT238" s="8"/>
      <c r="BU238" s="8"/>
      <c r="BV238" s="8"/>
      <c r="BW238" s="8"/>
      <c r="BX238" s="8"/>
      <c r="BY238" s="8"/>
      <c r="BZ238" s="8"/>
      <c r="CA238" s="8"/>
      <c r="CB238" s="8"/>
      <c r="CC238" s="8"/>
      <c r="CD238" s="8"/>
      <c r="CE238" s="8"/>
      <c r="CF238" s="8"/>
      <c r="CG238" s="8"/>
      <c r="CH238" s="8"/>
      <c r="CI238" s="8"/>
      <c r="CJ238" s="8"/>
      <c r="CK238" s="8"/>
      <c r="CL238" s="8"/>
      <c r="CM238" s="8"/>
      <c r="CN238" s="8"/>
      <c r="CO238" s="8"/>
      <c r="CP238" s="8"/>
      <c r="CQ238" s="8"/>
      <c r="CR238" s="8"/>
      <c r="CS238" s="8"/>
      <c r="CT238" s="8"/>
      <c r="CU238" s="8"/>
      <c r="CV238" s="8"/>
      <c r="CW238" s="8"/>
      <c r="CX238" s="8"/>
      <c r="CY238" s="8"/>
      <c r="CZ238" s="8"/>
      <c r="DA238" s="8"/>
      <c r="DB238" s="8"/>
      <c r="DC238" s="8"/>
      <c r="DD238" s="8"/>
      <c r="DE238" s="8"/>
      <c r="DF238" s="8"/>
      <c r="DG238" s="8"/>
      <c r="DH238" s="8"/>
      <c r="DI238" s="8"/>
      <c r="DJ238" s="8"/>
      <c r="DK238" s="8"/>
      <c r="DL238" s="8"/>
      <c r="DM238" s="8"/>
      <c r="DN238" s="8"/>
      <c r="DO238" s="8"/>
      <c r="DP238" s="8"/>
      <c r="DQ238" s="8"/>
      <c r="DR238" s="8"/>
      <c r="DS238" s="8"/>
      <c r="DT238" s="8"/>
      <c r="DU238" s="8"/>
      <c r="DV238" s="8"/>
      <c r="DW238" s="8"/>
      <c r="DX238" s="8"/>
      <c r="DY238" s="8"/>
      <c r="DZ238" s="8"/>
      <c r="EA238" s="8"/>
      <c r="EB238" s="8"/>
      <c r="EC238" s="8"/>
      <c r="ED238" s="8"/>
      <c r="EE238" s="8"/>
      <c r="EF238" s="8"/>
      <c r="EG238" s="8"/>
      <c r="EH238" s="8"/>
      <c r="EI238" s="8"/>
      <c r="EJ238" s="8"/>
      <c r="EK238" s="8"/>
      <c r="EL238" s="8"/>
      <c r="EM238" s="8"/>
      <c r="EN238" s="8"/>
      <c r="EO238" s="8"/>
      <c r="EP238" s="8"/>
      <c r="EQ238" s="8"/>
      <c r="ER238" s="8"/>
      <c r="ES238" s="8"/>
      <c r="ET238" s="8"/>
      <c r="EU238" s="8"/>
      <c r="EV238" s="8"/>
      <c r="EW238" s="8"/>
      <c r="EX238" s="8"/>
      <c r="EY238" s="8"/>
      <c r="EZ238" s="8"/>
      <c r="FA238" s="8"/>
      <c r="FB238" s="8"/>
      <c r="FC238" s="8"/>
      <c r="FD238" s="8"/>
      <c r="FE238" s="8"/>
      <c r="FF238" s="8"/>
      <c r="FG238" s="8"/>
      <c r="FH238" s="8"/>
      <c r="FI238" s="8"/>
      <c r="FJ238" s="8"/>
      <c r="FK238" s="8"/>
      <c r="FL238" s="8"/>
      <c r="FM238" s="8"/>
      <c r="FN238" s="8"/>
      <c r="FO238" s="8"/>
      <c r="FP238" s="8"/>
      <c r="FQ238" s="8"/>
      <c r="FR238" s="8"/>
      <c r="FS238" s="8"/>
      <c r="FT238" s="8"/>
      <c r="FU238" s="8"/>
      <c r="FV238" s="8"/>
      <c r="FW238" s="8"/>
      <c r="FX238" s="8"/>
      <c r="FY238" s="8"/>
      <c r="FZ238" s="8"/>
      <c r="GA238" s="8"/>
      <c r="GB238" s="8"/>
      <c r="GC238" s="8"/>
      <c r="GD238" s="8"/>
      <c r="GE238" s="8"/>
      <c r="GF238" s="8"/>
      <c r="GG238" s="8"/>
      <c r="GH238" s="8"/>
      <c r="GI238" s="8"/>
      <c r="GJ238" s="8"/>
      <c r="GK238" s="8"/>
      <c r="GL238" s="8"/>
      <c r="GM238" s="8"/>
      <c r="GN238" s="8"/>
      <c r="GO238" s="8"/>
      <c r="GP238" s="8"/>
      <c r="GQ238" s="8"/>
      <c r="GR238" s="8"/>
      <c r="GS238" s="8"/>
      <c r="GT238" s="8"/>
      <c r="GU238" s="8"/>
      <c r="GV238" s="8"/>
      <c r="GW238" s="8"/>
      <c r="GX238" s="8"/>
      <c r="GY238" s="8"/>
      <c r="GZ238" s="8"/>
      <c r="HA238" s="8"/>
      <c r="HB238" s="8"/>
      <c r="HC238" s="8"/>
      <c r="HD238" s="8"/>
      <c r="HE238" s="8"/>
      <c r="HF238" s="8"/>
      <c r="HG238" s="8"/>
      <c r="HH238" s="8"/>
      <c r="HI238" s="8"/>
      <c r="HJ238" s="8"/>
      <c r="HK238" s="8"/>
      <c r="HL238" s="8"/>
      <c r="HM238" s="8"/>
      <c r="HN238" s="8"/>
      <c r="HO238" s="8"/>
      <c r="HP238" s="8"/>
      <c r="HQ238" s="8"/>
      <c r="HR238" s="8"/>
      <c r="HS238" s="8"/>
      <c r="HT238" s="8"/>
      <c r="HU238" s="8"/>
      <c r="HV238" s="8"/>
      <c r="HW238" s="8"/>
      <c r="HX238" s="8"/>
      <c r="HY238" s="8"/>
      <c r="HZ238" s="8"/>
      <c r="IA238" s="8"/>
      <c r="IB238" s="8"/>
      <c r="IC238" s="8"/>
      <c r="ID238" s="8"/>
      <c r="IE238" s="8"/>
      <c r="IF238" s="8"/>
      <c r="IG238" s="8"/>
      <c r="IH238" s="8"/>
      <c r="II238" s="8"/>
      <c r="IJ238" s="8"/>
      <c r="IK238" s="8"/>
      <c r="IL238" s="8"/>
      <c r="IM238" s="8"/>
      <c r="IN238" s="8"/>
      <c r="IO238" s="8"/>
      <c r="IP238" s="8"/>
      <c r="IQ238" s="8"/>
      <c r="IR238" s="8"/>
      <c r="IS238" s="8"/>
      <c r="IT238" s="8"/>
      <c r="IU238" s="8"/>
      <c r="IV238" s="8"/>
      <c r="IW238" s="8"/>
      <c r="IX238" s="8"/>
      <c r="JA238" s="123"/>
      <c r="JB238" s="123"/>
      <c r="JC238" s="123"/>
      <c r="JD238" s="70">
        <f>SUM((TEXT(JA238,"[M]")/60)*'Income Person-hours'!$D$3,(TEXT(JB238,"[M]")/60)*'Income Person-hours'!$D$4,(TEXT(JC238,"[M]")/60)*'Income Person-hours'!$D$5)</f>
        <v>0</v>
      </c>
    </row>
    <row r="239" spans="1:264" s="12" customFormat="1" ht="15.75" hidden="1" x14ac:dyDescent="0.45">
      <c r="A239" s="32">
        <v>10.220000000000001</v>
      </c>
      <c r="B239" s="126"/>
      <c r="C239" s="117"/>
      <c r="D239" s="13" t="str">
        <f>IF(OR(j_WEEKDAY(J_ADDDAY(VLOOKUP(I239,A:F,6,FALSE),H239,1),0)=6,SUMIFS(Holieday[ok],Holieday[date],J_ADDDAY(VLOOKUP(I239,A:F,6,FALSE),H239,1)))=FALSE(),J_ADDDAY(VLOOKUP(I239,A:F,6,FALSE),H239,1),IF(OR(j_WEEKDAY(J_ADDDAY(VLOOKUP(I239,A:F,6,FALSE),H239+1,1),0)=6,SUMIFS(Holieday[ok],Holieday[date],J_ADDDAY(VLOOKUP(I239,A:F,6,FALSE),H239+1,1)))=FALSE(),J_ADDDAY(VLOOKUP(I239,A:F,6,FALSE),H239+1,1),IF(OR(j_WEEKDAY(J_ADDDAY(VLOOKUP(I239,A:F,6,FALSE),H239+2,1),0)=6,SUMIFS(Holieday[ok],Holieday[date],J_ADDDAY(VLOOKUP(I239,A:F,6,FALSE),H239+2,1)))=FALSE(),J_ADDDAY(VLOOKUP(I239,A:F,6,FALSE),H239+2,1),IF(OR(j_WEEKDAY(J_ADDDAY(VLOOKUP(I239,A:F,6,FALSE),H239+3,1),0)=6,SUMIFS(Holieday[ok],Holieday[date],J_ADDDAY(VLOOKUP(I239,A:F,6,FALSE),H239+3,1)))=FALSE(),J_ADDDAY(VLOOKUP(I239,A:F,6,FALSE),H239+3,1),IF(OR(j_WEEKDAY(J_ADDDAY(VLOOKUP(I239,A:F,6,FALSE),H239+4,1),0)=6,SUMIFS(Holieday[ok],Holieday[date],J_ADDDAY(VLOOKUP(I239,A:F,6,FALSE),H239+4,1)))=FALSE(),J_ADDDAY(VLOOKUP(I239,A:F,6,FALSE),H239+4,1),J_ADDDAY(VLOOKUP(I239,A:F,6,FALSE),H239+5,1))))))</f>
        <v>1398/06/30</v>
      </c>
      <c r="E239" s="2">
        <f t="shared" si="69"/>
        <v>13980630</v>
      </c>
      <c r="F239" s="13" t="str">
        <f>IF(N239=0,J_SUBDAY(D239,1,1),IF((N239-NETWORKDAYS.INTL(J_GregorianDate(D239,1),J_GregorianDate(J_SUBDAY(J_ADDDAY(D239,N239,1),1,1),1),16,1)-SUMIFS(Holieday[ok],Holieday[date],CONCATENATE("&gt;","=",D239),Holieday[date],CONCATENATE("&lt;","=",J_SUBDAY(J_ADDDAY(D239,N239,1),1,1)))+SUMIFS(Holieday[Friday],Holieday[date],CONCATENATE("&gt;","=",D239),Holieday[date],CONCATENATE("&lt;","=",J_SUBDAY(J_ADDDAY(D239,N239,1),1,1))))=0,J_SUBDAY(J_ADDDAY(D239,N239,1),1,1),IF((N239-NETWORKDAYS.INTL(J_GregorianDate(D239,1),J_GregorianDate(J_SUBDAY(J_ADDDAY(D239,N239,1),1,1),1),16,1)-SUMIFS(Holieday[ok],Holieday[date],CONCATENATE("&gt;","=",D239),Holieday[date],CONCATENATE("&lt;","=",J_SUBDAY(J_ADDDAY(D239,N239,1),1,1)))+SUMIFS(Holieday[Friday],Holieday[date],CONCATENATE("&gt;","=",D239),Holieday[date],CONCATENATE("&lt;","=",J_SUBDAY(J_ADDDAY(D239,N239,1),1,1))))=1,J_SUBDAY(J_ADDDAY(D239,N239+1,1),1,1),IF((N239-NETWORKDAYS.INTL(J_GregorianDate(D239,1),J_GregorianDate(J_SUBDAY(J_ADDDAY(D239,N239,1),1,1),1),16,1)-SUMIFS(Holieday[ok],Holieday[date],CONCATENATE("&gt;","=",D239),Holieday[date],CONCATENATE("&lt;","=",J_SUBDAY(J_ADDDAY(D239,N239,1),1,1)))+SUMIFS(Holieday[Friday],Holieday[date],CONCATENATE("&gt;","=",D239),Holieday[date],CONCATENATE("&lt;","=",J_SUBDAY(J_ADDDAY(D239,N239,1),1,1))))=2,J_SUBDAY(J_ADDDAY(D239,N239+2,1),1,1),J_SUBDAY(J_ADDDAY(D239,N239+3,1),1,1)))))</f>
        <v>1398/06/29</v>
      </c>
      <c r="G239" s="3">
        <f t="shared" si="70"/>
        <v>13980629</v>
      </c>
      <c r="H239" s="119"/>
      <c r="I239" s="120">
        <v>10.1</v>
      </c>
      <c r="J239" s="10">
        <f>j_WEEKDAY(D239,2)</f>
        <v>0</v>
      </c>
      <c r="K239" s="22">
        <f t="shared" si="68"/>
        <v>0</v>
      </c>
      <c r="L239" s="9">
        <f t="shared" si="73"/>
        <v>0</v>
      </c>
      <c r="M239" s="121">
        <v>0</v>
      </c>
      <c r="N239" s="118">
        <v>0</v>
      </c>
      <c r="O239" s="11">
        <f t="shared" si="74"/>
        <v>0</v>
      </c>
      <c r="P239" s="11">
        <f>VALUE(J_normdate(J_ADDDAY($D239,$O239,1)))</f>
        <v>13980630</v>
      </c>
      <c r="Q239" s="10">
        <f t="shared" si="75"/>
        <v>0</v>
      </c>
      <c r="R239" s="8"/>
      <c r="S239" s="8"/>
      <c r="T239" s="8"/>
      <c r="U239" s="8"/>
      <c r="V239" s="8"/>
      <c r="W239" s="8"/>
      <c r="X239" s="8"/>
      <c r="Y239" s="8"/>
      <c r="Z239" s="8"/>
      <c r="AA239" s="8"/>
      <c r="AB239" s="8"/>
      <c r="AC239" s="8"/>
      <c r="AD239" s="8"/>
      <c r="AE239" s="8"/>
      <c r="AF239" s="8"/>
      <c r="AG239" s="8"/>
      <c r="AH239" s="8"/>
      <c r="AI239" s="8"/>
      <c r="AJ239" s="8"/>
      <c r="AK239" s="8"/>
      <c r="AL239" s="8"/>
      <c r="AM239" s="8"/>
      <c r="AN239" s="8"/>
      <c r="AO239" s="8"/>
      <c r="AP239" s="8"/>
      <c r="AQ239" s="8"/>
      <c r="AR239" s="8"/>
      <c r="AS239" s="8"/>
      <c r="AT239" s="8"/>
      <c r="AU239" s="8"/>
      <c r="AV239" s="8"/>
      <c r="AW239" s="8"/>
      <c r="AX239" s="8"/>
      <c r="AY239" s="8"/>
      <c r="AZ239" s="8"/>
      <c r="BA239" s="8"/>
      <c r="BB239" s="8"/>
      <c r="BC239" s="8"/>
      <c r="BD239" s="8"/>
      <c r="BE239" s="8"/>
      <c r="BF239" s="8"/>
      <c r="BG239" s="8"/>
      <c r="BH239" s="8"/>
      <c r="BI239" s="8"/>
      <c r="BJ239" s="8"/>
      <c r="BK239" s="8"/>
      <c r="BL239" s="8"/>
      <c r="BM239" s="8"/>
      <c r="BN239" s="8"/>
      <c r="BO239" s="8"/>
      <c r="BP239" s="8"/>
      <c r="BQ239" s="8"/>
      <c r="BR239" s="8"/>
      <c r="BS239" s="8"/>
      <c r="BT239" s="8"/>
      <c r="BU239" s="8"/>
      <c r="BV239" s="8"/>
      <c r="BW239" s="8"/>
      <c r="BX239" s="8"/>
      <c r="BY239" s="8"/>
      <c r="BZ239" s="8"/>
      <c r="CA239" s="8"/>
      <c r="CB239" s="8"/>
      <c r="CC239" s="8"/>
      <c r="CD239" s="8"/>
      <c r="CE239" s="8"/>
      <c r="CF239" s="8"/>
      <c r="CG239" s="8"/>
      <c r="CH239" s="8"/>
      <c r="CI239" s="8"/>
      <c r="CJ239" s="8"/>
      <c r="CK239" s="8"/>
      <c r="CL239" s="8"/>
      <c r="CM239" s="8"/>
      <c r="CN239" s="8"/>
      <c r="CO239" s="8"/>
      <c r="CP239" s="8"/>
      <c r="CQ239" s="8"/>
      <c r="CR239" s="8"/>
      <c r="CS239" s="8"/>
      <c r="CT239" s="8"/>
      <c r="CU239" s="8"/>
      <c r="CV239" s="8"/>
      <c r="CW239" s="8"/>
      <c r="CX239" s="8"/>
      <c r="CY239" s="8"/>
      <c r="CZ239" s="8"/>
      <c r="DA239" s="8"/>
      <c r="DB239" s="8"/>
      <c r="DC239" s="8"/>
      <c r="DD239" s="8"/>
      <c r="DE239" s="8"/>
      <c r="DF239" s="8"/>
      <c r="DG239" s="8"/>
      <c r="DH239" s="8"/>
      <c r="DI239" s="8"/>
      <c r="DJ239" s="8"/>
      <c r="DK239" s="8"/>
      <c r="DL239" s="8"/>
      <c r="DM239" s="8"/>
      <c r="DN239" s="8"/>
      <c r="DO239" s="8"/>
      <c r="DP239" s="8"/>
      <c r="DQ239" s="8"/>
      <c r="DR239" s="8"/>
      <c r="DS239" s="8"/>
      <c r="DT239" s="8"/>
      <c r="DU239" s="8"/>
      <c r="DV239" s="8"/>
      <c r="DW239" s="8"/>
      <c r="DX239" s="8"/>
      <c r="DY239" s="8"/>
      <c r="DZ239" s="8"/>
      <c r="EA239" s="8"/>
      <c r="EB239" s="8"/>
      <c r="EC239" s="8"/>
      <c r="ED239" s="8"/>
      <c r="EE239" s="8"/>
      <c r="EF239" s="8"/>
      <c r="EG239" s="8"/>
      <c r="EH239" s="8"/>
      <c r="EI239" s="8"/>
      <c r="EJ239" s="8"/>
      <c r="EK239" s="8"/>
      <c r="EL239" s="8"/>
      <c r="EM239" s="8"/>
      <c r="EN239" s="8"/>
      <c r="EO239" s="8"/>
      <c r="EP239" s="8"/>
      <c r="EQ239" s="8"/>
      <c r="ER239" s="8"/>
      <c r="ES239" s="8"/>
      <c r="ET239" s="8"/>
      <c r="EU239" s="8"/>
      <c r="EV239" s="8"/>
      <c r="EW239" s="8"/>
      <c r="EX239" s="8"/>
      <c r="EY239" s="8"/>
      <c r="EZ239" s="8"/>
      <c r="FA239" s="8"/>
      <c r="FB239" s="8"/>
      <c r="FC239" s="8"/>
      <c r="FD239" s="8"/>
      <c r="FE239" s="8"/>
      <c r="FF239" s="8"/>
      <c r="FG239" s="8"/>
      <c r="FH239" s="8"/>
      <c r="FI239" s="8"/>
      <c r="FJ239" s="8"/>
      <c r="FK239" s="8"/>
      <c r="FL239" s="8"/>
      <c r="FM239" s="8"/>
      <c r="FN239" s="8"/>
      <c r="FO239" s="8"/>
      <c r="FP239" s="8"/>
      <c r="FQ239" s="8"/>
      <c r="FR239" s="8"/>
      <c r="FS239" s="8"/>
      <c r="FT239" s="8"/>
      <c r="FU239" s="8"/>
      <c r="FV239" s="8"/>
      <c r="FW239" s="8"/>
      <c r="FX239" s="8"/>
      <c r="FY239" s="8"/>
      <c r="FZ239" s="8"/>
      <c r="GA239" s="8"/>
      <c r="GB239" s="8"/>
      <c r="GC239" s="8"/>
      <c r="GD239" s="8"/>
      <c r="GE239" s="8"/>
      <c r="GF239" s="8"/>
      <c r="GG239" s="8"/>
      <c r="GH239" s="8"/>
      <c r="GI239" s="8"/>
      <c r="GJ239" s="8"/>
      <c r="GK239" s="8"/>
      <c r="GL239" s="8"/>
      <c r="GM239" s="8"/>
      <c r="GN239" s="8"/>
      <c r="GO239" s="8"/>
      <c r="GP239" s="8"/>
      <c r="GQ239" s="8"/>
      <c r="GR239" s="8"/>
      <c r="GS239" s="8"/>
      <c r="GT239" s="8"/>
      <c r="GU239" s="8"/>
      <c r="GV239" s="8"/>
      <c r="GW239" s="8"/>
      <c r="GX239" s="8"/>
      <c r="GY239" s="8"/>
      <c r="GZ239" s="8"/>
      <c r="HA239" s="8"/>
      <c r="HB239" s="8"/>
      <c r="HC239" s="8"/>
      <c r="HD239" s="8"/>
      <c r="HE239" s="8"/>
      <c r="HF239" s="8"/>
      <c r="HG239" s="8"/>
      <c r="HH239" s="8"/>
      <c r="HI239" s="8"/>
      <c r="HJ239" s="8"/>
      <c r="HK239" s="8"/>
      <c r="HL239" s="8"/>
      <c r="HM239" s="8"/>
      <c r="HN239" s="8"/>
      <c r="HO239" s="8"/>
      <c r="HP239" s="8"/>
      <c r="HQ239" s="8"/>
      <c r="HR239" s="8"/>
      <c r="HS239" s="8"/>
      <c r="HT239" s="8"/>
      <c r="HU239" s="8"/>
      <c r="HV239" s="8"/>
      <c r="HW239" s="8"/>
      <c r="HX239" s="8"/>
      <c r="HY239" s="8"/>
      <c r="HZ239" s="8"/>
      <c r="IA239" s="8"/>
      <c r="IB239" s="8"/>
      <c r="IC239" s="8"/>
      <c r="ID239" s="8"/>
      <c r="IE239" s="8"/>
      <c r="IF239" s="8"/>
      <c r="IG239" s="8"/>
      <c r="IH239" s="8"/>
      <c r="II239" s="8"/>
      <c r="IJ239" s="8"/>
      <c r="IK239" s="8"/>
      <c r="IL239" s="8"/>
      <c r="IM239" s="8"/>
      <c r="IN239" s="8"/>
      <c r="IO239" s="8"/>
      <c r="IP239" s="8"/>
      <c r="IQ239" s="8"/>
      <c r="IR239" s="8"/>
      <c r="IS239" s="8"/>
      <c r="IT239" s="8"/>
      <c r="IU239" s="8"/>
      <c r="IV239" s="8"/>
      <c r="IW239" s="8"/>
      <c r="IX239" s="8"/>
      <c r="JA239" s="123"/>
      <c r="JB239" s="123"/>
      <c r="JC239" s="123"/>
      <c r="JD239" s="70">
        <f>SUM((TEXT(JA239,"[M]")/60)*'Income Person-hours'!$D$3,(TEXT(JB239,"[M]")/60)*'Income Person-hours'!$D$4,(TEXT(JC239,"[M]")/60)*'Income Person-hours'!$D$5)</f>
        <v>0</v>
      </c>
    </row>
    <row r="240" spans="1:264" s="12" customFormat="1" ht="15.75" hidden="1" x14ac:dyDescent="0.45">
      <c r="A240" s="32">
        <v>10.23</v>
      </c>
      <c r="B240" s="126"/>
      <c r="C240" s="117"/>
      <c r="D240" s="13" t="str">
        <f>IF(OR(j_WEEKDAY(J_ADDDAY(VLOOKUP(I240,A:F,6,FALSE),H240,1),0)=6,SUMIFS(Holieday[ok],Holieday[date],J_ADDDAY(VLOOKUP(I240,A:F,6,FALSE),H240,1)))=FALSE(),J_ADDDAY(VLOOKUP(I240,A:F,6,FALSE),H240,1),IF(OR(j_WEEKDAY(J_ADDDAY(VLOOKUP(I240,A:F,6,FALSE),H240+1,1),0)=6,SUMIFS(Holieday[ok],Holieday[date],J_ADDDAY(VLOOKUP(I240,A:F,6,FALSE),H240+1,1)))=FALSE(),J_ADDDAY(VLOOKUP(I240,A:F,6,FALSE),H240+1,1),IF(OR(j_WEEKDAY(J_ADDDAY(VLOOKUP(I240,A:F,6,FALSE),H240+2,1),0)=6,SUMIFS(Holieday[ok],Holieday[date],J_ADDDAY(VLOOKUP(I240,A:F,6,FALSE),H240+2,1)))=FALSE(),J_ADDDAY(VLOOKUP(I240,A:F,6,FALSE),H240+2,1),IF(OR(j_WEEKDAY(J_ADDDAY(VLOOKUP(I240,A:F,6,FALSE),H240+3,1),0)=6,SUMIFS(Holieday[ok],Holieday[date],J_ADDDAY(VLOOKUP(I240,A:F,6,FALSE),H240+3,1)))=FALSE(),J_ADDDAY(VLOOKUP(I240,A:F,6,FALSE),H240+3,1),IF(OR(j_WEEKDAY(J_ADDDAY(VLOOKUP(I240,A:F,6,FALSE),H240+4,1),0)=6,SUMIFS(Holieday[ok],Holieday[date],J_ADDDAY(VLOOKUP(I240,A:F,6,FALSE),H240+4,1)))=FALSE(),J_ADDDAY(VLOOKUP(I240,A:F,6,FALSE),H240+4,1),J_ADDDAY(VLOOKUP(I240,A:F,6,FALSE),H240+5,1))))))</f>
        <v>1398/06/30</v>
      </c>
      <c r="E240" s="2">
        <f t="shared" si="69"/>
        <v>13980630</v>
      </c>
      <c r="F240" s="13" t="str">
        <f>IF(N240=0,J_SUBDAY(D240,1,1),IF((N240-NETWORKDAYS.INTL(J_GregorianDate(D240,1),J_GregorianDate(J_SUBDAY(J_ADDDAY(D240,N240,1),1,1),1),16,1)-SUMIFS(Holieday[ok],Holieday[date],CONCATENATE("&gt;","=",D240),Holieday[date],CONCATENATE("&lt;","=",J_SUBDAY(J_ADDDAY(D240,N240,1),1,1)))+SUMIFS(Holieday[Friday],Holieday[date],CONCATENATE("&gt;","=",D240),Holieday[date],CONCATENATE("&lt;","=",J_SUBDAY(J_ADDDAY(D240,N240,1),1,1))))=0,J_SUBDAY(J_ADDDAY(D240,N240,1),1,1),IF((N240-NETWORKDAYS.INTL(J_GregorianDate(D240,1),J_GregorianDate(J_SUBDAY(J_ADDDAY(D240,N240,1),1,1),1),16,1)-SUMIFS(Holieday[ok],Holieday[date],CONCATENATE("&gt;","=",D240),Holieday[date],CONCATENATE("&lt;","=",J_SUBDAY(J_ADDDAY(D240,N240,1),1,1)))+SUMIFS(Holieday[Friday],Holieday[date],CONCATENATE("&gt;","=",D240),Holieday[date],CONCATENATE("&lt;","=",J_SUBDAY(J_ADDDAY(D240,N240,1),1,1))))=1,J_SUBDAY(J_ADDDAY(D240,N240+1,1),1,1),IF((N240-NETWORKDAYS.INTL(J_GregorianDate(D240,1),J_GregorianDate(J_SUBDAY(J_ADDDAY(D240,N240,1),1,1),1),16,1)-SUMIFS(Holieday[ok],Holieday[date],CONCATENATE("&gt;","=",D240),Holieday[date],CONCATENATE("&lt;","=",J_SUBDAY(J_ADDDAY(D240,N240,1),1,1)))+SUMIFS(Holieday[Friday],Holieday[date],CONCATENATE("&gt;","=",D240),Holieday[date],CONCATENATE("&lt;","=",J_SUBDAY(J_ADDDAY(D240,N240,1),1,1))))=2,J_SUBDAY(J_ADDDAY(D240,N240+2,1),1,1),J_SUBDAY(J_ADDDAY(D240,N240+3,1),1,1)))))</f>
        <v>1398/06/29</v>
      </c>
      <c r="G240" s="3">
        <f t="shared" si="70"/>
        <v>13980629</v>
      </c>
      <c r="H240" s="119"/>
      <c r="I240" s="120">
        <v>10.1</v>
      </c>
      <c r="J240" s="10">
        <f>j_WEEKDAY(D240,2)</f>
        <v>0</v>
      </c>
      <c r="K240" s="22">
        <f t="shared" si="68"/>
        <v>0</v>
      </c>
      <c r="L240" s="9">
        <f t="shared" si="73"/>
        <v>0</v>
      </c>
      <c r="M240" s="121">
        <v>0</v>
      </c>
      <c r="N240" s="118">
        <v>0</v>
      </c>
      <c r="O240" s="11">
        <f t="shared" si="74"/>
        <v>0</v>
      </c>
      <c r="P240" s="11">
        <f>VALUE(J_normdate(J_ADDDAY($D240,$O240,1)))</f>
        <v>13980630</v>
      </c>
      <c r="Q240" s="10">
        <f t="shared" si="75"/>
        <v>0</v>
      </c>
      <c r="R240" s="8"/>
      <c r="S240" s="8"/>
      <c r="T240" s="8"/>
      <c r="U240" s="8"/>
      <c r="V240" s="8"/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/>
      <c r="AH240" s="8"/>
      <c r="AI240" s="8"/>
      <c r="AJ240" s="8"/>
      <c r="AK240" s="8"/>
      <c r="AL240" s="8"/>
      <c r="AM240" s="8"/>
      <c r="AN240" s="8"/>
      <c r="AO240" s="8"/>
      <c r="AP240" s="8"/>
      <c r="AQ240" s="8"/>
      <c r="AR240" s="8"/>
      <c r="AS240" s="8"/>
      <c r="AT240" s="8"/>
      <c r="AU240" s="8"/>
      <c r="AV240" s="8"/>
      <c r="AW240" s="8"/>
      <c r="AX240" s="8"/>
      <c r="AY240" s="8"/>
      <c r="AZ240" s="8"/>
      <c r="BA240" s="8"/>
      <c r="BB240" s="8"/>
      <c r="BC240" s="8"/>
      <c r="BD240" s="8"/>
      <c r="BE240" s="8"/>
      <c r="BF240" s="8"/>
      <c r="BG240" s="8"/>
      <c r="BH240" s="8"/>
      <c r="BI240" s="8"/>
      <c r="BJ240" s="8"/>
      <c r="BK240" s="8"/>
      <c r="BL240" s="8"/>
      <c r="BM240" s="8"/>
      <c r="BN240" s="8"/>
      <c r="BO240" s="8"/>
      <c r="BP240" s="8"/>
      <c r="BQ240" s="8"/>
      <c r="BR240" s="8"/>
      <c r="BS240" s="8"/>
      <c r="BT240" s="8"/>
      <c r="BU240" s="8"/>
      <c r="BV240" s="8"/>
      <c r="BW240" s="8"/>
      <c r="BX240" s="8"/>
      <c r="BY240" s="8"/>
      <c r="BZ240" s="8"/>
      <c r="CA240" s="8"/>
      <c r="CB240" s="8"/>
      <c r="CC240" s="8"/>
      <c r="CD240" s="8"/>
      <c r="CE240" s="8"/>
      <c r="CF240" s="8"/>
      <c r="CG240" s="8"/>
      <c r="CH240" s="8"/>
      <c r="CI240" s="8"/>
      <c r="CJ240" s="8"/>
      <c r="CK240" s="8"/>
      <c r="CL240" s="8"/>
      <c r="CM240" s="8"/>
      <c r="CN240" s="8"/>
      <c r="CO240" s="8"/>
      <c r="CP240" s="8"/>
      <c r="CQ240" s="8"/>
      <c r="CR240" s="8"/>
      <c r="CS240" s="8"/>
      <c r="CT240" s="8"/>
      <c r="CU240" s="8"/>
      <c r="CV240" s="8"/>
      <c r="CW240" s="8"/>
      <c r="CX240" s="8"/>
      <c r="CY240" s="8"/>
      <c r="CZ240" s="8"/>
      <c r="DA240" s="8"/>
      <c r="DB240" s="8"/>
      <c r="DC240" s="8"/>
      <c r="DD240" s="8"/>
      <c r="DE240" s="8"/>
      <c r="DF240" s="8"/>
      <c r="DG240" s="8"/>
      <c r="DH240" s="8"/>
      <c r="DI240" s="8"/>
      <c r="DJ240" s="8"/>
      <c r="DK240" s="8"/>
      <c r="DL240" s="8"/>
      <c r="DM240" s="8"/>
      <c r="DN240" s="8"/>
      <c r="DO240" s="8"/>
      <c r="DP240" s="8"/>
      <c r="DQ240" s="8"/>
      <c r="DR240" s="8"/>
      <c r="DS240" s="8"/>
      <c r="DT240" s="8"/>
      <c r="DU240" s="8"/>
      <c r="DV240" s="8"/>
      <c r="DW240" s="8"/>
      <c r="DX240" s="8"/>
      <c r="DY240" s="8"/>
      <c r="DZ240" s="8"/>
      <c r="EA240" s="8"/>
      <c r="EB240" s="8"/>
      <c r="EC240" s="8"/>
      <c r="ED240" s="8"/>
      <c r="EE240" s="8"/>
      <c r="EF240" s="8"/>
      <c r="EG240" s="8"/>
      <c r="EH240" s="8"/>
      <c r="EI240" s="8"/>
      <c r="EJ240" s="8"/>
      <c r="EK240" s="8"/>
      <c r="EL240" s="8"/>
      <c r="EM240" s="8"/>
      <c r="EN240" s="8"/>
      <c r="EO240" s="8"/>
      <c r="EP240" s="8"/>
      <c r="EQ240" s="8"/>
      <c r="ER240" s="8"/>
      <c r="ES240" s="8"/>
      <c r="ET240" s="8"/>
      <c r="EU240" s="8"/>
      <c r="EV240" s="8"/>
      <c r="EW240" s="8"/>
      <c r="EX240" s="8"/>
      <c r="EY240" s="8"/>
      <c r="EZ240" s="8"/>
      <c r="FA240" s="8"/>
      <c r="FB240" s="8"/>
      <c r="FC240" s="8"/>
      <c r="FD240" s="8"/>
      <c r="FE240" s="8"/>
      <c r="FF240" s="8"/>
      <c r="FG240" s="8"/>
      <c r="FH240" s="8"/>
      <c r="FI240" s="8"/>
      <c r="FJ240" s="8"/>
      <c r="FK240" s="8"/>
      <c r="FL240" s="8"/>
      <c r="FM240" s="8"/>
      <c r="FN240" s="8"/>
      <c r="FO240" s="8"/>
      <c r="FP240" s="8"/>
      <c r="FQ240" s="8"/>
      <c r="FR240" s="8"/>
      <c r="FS240" s="8"/>
      <c r="FT240" s="8"/>
      <c r="FU240" s="8"/>
      <c r="FV240" s="8"/>
      <c r="FW240" s="8"/>
      <c r="FX240" s="8"/>
      <c r="FY240" s="8"/>
      <c r="FZ240" s="8"/>
      <c r="GA240" s="8"/>
      <c r="GB240" s="8"/>
      <c r="GC240" s="8"/>
      <c r="GD240" s="8"/>
      <c r="GE240" s="8"/>
      <c r="GF240" s="8"/>
      <c r="GG240" s="8"/>
      <c r="GH240" s="8"/>
      <c r="GI240" s="8"/>
      <c r="GJ240" s="8"/>
      <c r="GK240" s="8"/>
      <c r="GL240" s="8"/>
      <c r="GM240" s="8"/>
      <c r="GN240" s="8"/>
      <c r="GO240" s="8"/>
      <c r="GP240" s="8"/>
      <c r="GQ240" s="8"/>
      <c r="GR240" s="8"/>
      <c r="GS240" s="8"/>
      <c r="GT240" s="8"/>
      <c r="GU240" s="8"/>
      <c r="GV240" s="8"/>
      <c r="GW240" s="8"/>
      <c r="GX240" s="8"/>
      <c r="GY240" s="8"/>
      <c r="GZ240" s="8"/>
      <c r="HA240" s="8"/>
      <c r="HB240" s="8"/>
      <c r="HC240" s="8"/>
      <c r="HD240" s="8"/>
      <c r="HE240" s="8"/>
      <c r="HF240" s="8"/>
      <c r="HG240" s="8"/>
      <c r="HH240" s="8"/>
      <c r="HI240" s="8"/>
      <c r="HJ240" s="8"/>
      <c r="HK240" s="8"/>
      <c r="HL240" s="8"/>
      <c r="HM240" s="8"/>
      <c r="HN240" s="8"/>
      <c r="HO240" s="8"/>
      <c r="HP240" s="8"/>
      <c r="HQ240" s="8"/>
      <c r="HR240" s="8"/>
      <c r="HS240" s="8"/>
      <c r="HT240" s="8"/>
      <c r="HU240" s="8"/>
      <c r="HV240" s="8"/>
      <c r="HW240" s="8"/>
      <c r="HX240" s="8"/>
      <c r="HY240" s="8"/>
      <c r="HZ240" s="8"/>
      <c r="IA240" s="8"/>
      <c r="IB240" s="8"/>
      <c r="IC240" s="8"/>
      <c r="ID240" s="8"/>
      <c r="IE240" s="8"/>
      <c r="IF240" s="8"/>
      <c r="IG240" s="8"/>
      <c r="IH240" s="8"/>
      <c r="II240" s="8"/>
      <c r="IJ240" s="8"/>
      <c r="IK240" s="8"/>
      <c r="IL240" s="8"/>
      <c r="IM240" s="8"/>
      <c r="IN240" s="8"/>
      <c r="IO240" s="8"/>
      <c r="IP240" s="8"/>
      <c r="IQ240" s="8"/>
      <c r="IR240" s="8"/>
      <c r="IS240" s="8"/>
      <c r="IT240" s="8"/>
      <c r="IU240" s="8"/>
      <c r="IV240" s="8"/>
      <c r="IW240" s="8"/>
      <c r="IX240" s="8"/>
      <c r="JA240" s="123"/>
      <c r="JB240" s="123"/>
      <c r="JC240" s="123"/>
      <c r="JD240" s="70">
        <f>SUM((TEXT(JA240,"[M]")/60)*'Income Person-hours'!$D$3,(TEXT(JB240,"[M]")/60)*'Income Person-hours'!$D$4,(TEXT(JC240,"[M]")/60)*'Income Person-hours'!$D$5)</f>
        <v>0</v>
      </c>
    </row>
    <row r="243" spans="2:2" ht="159.75" x14ac:dyDescent="0.6">
      <c r="B243" s="244" t="s">
        <v>116</v>
      </c>
    </row>
  </sheetData>
  <sheetProtection selectLockedCells="1"/>
  <autoFilter ref="A8:Q240">
    <filterColumn colId="13">
      <filters>
        <filter val="1"/>
        <filter val="10"/>
        <filter val="121"/>
        <filter val="13"/>
        <filter val="15"/>
        <filter val="2"/>
        <filter val="20"/>
        <filter val="24"/>
        <filter val="3"/>
        <filter val="30"/>
        <filter val="4"/>
        <filter val="42"/>
        <filter val="5"/>
        <filter val="54"/>
        <filter val="64"/>
        <filter val="66"/>
        <filter val="7"/>
        <filter val="8"/>
      </filters>
    </filterColumn>
  </autoFilter>
  <mergeCells count="50">
    <mergeCell ref="C5:H5"/>
    <mergeCell ref="C2:F2"/>
    <mergeCell ref="IE6:II6"/>
    <mergeCell ref="IJ6:IN6"/>
    <mergeCell ref="IO6:IS6"/>
    <mergeCell ref="CK6:CO6"/>
    <mergeCell ref="CP6:CT6"/>
    <mergeCell ref="CU6:CY6"/>
    <mergeCell ref="FH6:FL6"/>
    <mergeCell ref="DE6:DI6"/>
    <mergeCell ref="DJ6:DN6"/>
    <mergeCell ref="DO6:DS6"/>
    <mergeCell ref="DT6:DX6"/>
    <mergeCell ref="DY6:EC6"/>
    <mergeCell ref="ED6:EH6"/>
    <mergeCell ref="EI6:EM6"/>
    <mergeCell ref="IT6:IX6"/>
    <mergeCell ref="S6:W6"/>
    <mergeCell ref="X6:AB6"/>
    <mergeCell ref="AC6:AG6"/>
    <mergeCell ref="AH6:AL6"/>
    <mergeCell ref="AM6:AQ6"/>
    <mergeCell ref="AR6:AV6"/>
    <mergeCell ref="CZ6:DD6"/>
    <mergeCell ref="AW6:BA6"/>
    <mergeCell ref="BB6:BF6"/>
    <mergeCell ref="BG6:BK6"/>
    <mergeCell ref="BL6:BP6"/>
    <mergeCell ref="BQ6:BU6"/>
    <mergeCell ref="BV6:BZ6"/>
    <mergeCell ref="CA6:CE6"/>
    <mergeCell ref="CF6:CJ6"/>
    <mergeCell ref="EN6:ER6"/>
    <mergeCell ref="ES6:EW6"/>
    <mergeCell ref="EX6:FB6"/>
    <mergeCell ref="FC6:FG6"/>
    <mergeCell ref="HU6:HY6"/>
    <mergeCell ref="FM6:FQ6"/>
    <mergeCell ref="FR6:FV6"/>
    <mergeCell ref="FW6:GA6"/>
    <mergeCell ref="GB6:GF6"/>
    <mergeCell ref="GG6:GK6"/>
    <mergeCell ref="GL6:GP6"/>
    <mergeCell ref="HZ6:ID6"/>
    <mergeCell ref="GQ6:GU6"/>
    <mergeCell ref="GV6:GZ6"/>
    <mergeCell ref="HA6:HE6"/>
    <mergeCell ref="HF6:HJ6"/>
    <mergeCell ref="HK6:HO6"/>
    <mergeCell ref="HP6:HT6"/>
  </mergeCells>
  <phoneticPr fontId="2" type="noConversion"/>
  <conditionalFormatting sqref="S10:IX30 S32:IX86 P131:IX131 P153:IX153 S88:IX152 S154:IX174 P175:IX175 S176:IX196 P197:IX197 S198:IX218 P219:IX219 S220:IX240">
    <cfRule type="expression" dxfId="22" priority="184" stopIfTrue="1">
      <formula>P$4=$D$3</formula>
    </cfRule>
    <cfRule type="expression" dxfId="21" priority="185" stopIfTrue="1">
      <formula>AND(P$4&gt;=$E10,P$4&lt;$P10)</formula>
    </cfRule>
    <cfRule type="expression" dxfId="20" priority="186" stopIfTrue="1">
      <formula>AND(P$4&gt;=$E10,P$4&lt;=$G10)</formula>
    </cfRule>
  </conditionalFormatting>
  <conditionalFormatting sqref="S9:IX9 S31:IX31 R53:IW53 S87:IX87 S109:IX109 P131:IX131 P153:IX153 P175:IX175 P197:IX197 P219:IX219">
    <cfRule type="expression" dxfId="19" priority="202" stopIfTrue="1">
      <formula>P$4=$D$3</formula>
    </cfRule>
    <cfRule type="expression" dxfId="18" priority="203" stopIfTrue="1">
      <formula>AND(P$4&gt;=$E9,P$4&lt;$P9)</formula>
    </cfRule>
    <cfRule type="expression" dxfId="17" priority="204" stopIfTrue="1">
      <formula>AND(P$4&gt;=$E9,P$4&lt;=$G9)</formula>
    </cfRule>
  </conditionalFormatting>
  <conditionalFormatting sqref="S8:IX8">
    <cfRule type="expression" dxfId="16" priority="247">
      <formula>S$4=$D$3</formula>
    </cfRule>
    <cfRule type="expression" dxfId="15" priority="248">
      <formula>AND(S$4&gt;=$E8,S$4&lt;$P8)</formula>
    </cfRule>
    <cfRule type="expression" dxfId="14" priority="249">
      <formula>AND(S$4&gt;=$E8,S$4&lt;=$G8)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scale="78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Scroll Bar 1">
              <controlPr defaultSize="0" print="0" autoPict="0">
                <anchor moveWithCells="1">
                  <from>
                    <xdr:col>17</xdr:col>
                    <xdr:colOff>171450</xdr:colOff>
                    <xdr:row>3</xdr:row>
                    <xdr:rowOff>209550</xdr:rowOff>
                  </from>
                  <to>
                    <xdr:col>132</xdr:col>
                    <xdr:colOff>0</xdr:colOff>
                    <xdr:row>5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ه2"/>
  <dimension ref="A1:N17"/>
  <sheetViews>
    <sheetView rightToLeft="1" workbookViewId="0">
      <selection activeCell="F5" sqref="F5"/>
    </sheetView>
  </sheetViews>
  <sheetFormatPr defaultColWidth="9.140625" defaultRowHeight="17.25" x14ac:dyDescent="0.4"/>
  <cols>
    <col min="1" max="1" width="8" style="33" bestFit="1" customWidth="1"/>
    <col min="2" max="2" width="18.5703125" style="33" bestFit="1" customWidth="1"/>
    <col min="3" max="3" width="12.140625" style="34" bestFit="1" customWidth="1"/>
    <col min="4" max="4" width="17.5703125" style="46" bestFit="1" customWidth="1"/>
    <col min="5" max="5" width="5.42578125" style="33" bestFit="1" customWidth="1"/>
    <col min="6" max="6" width="17.5703125" style="33" bestFit="1" customWidth="1"/>
    <col min="7" max="7" width="21.140625" style="72" bestFit="1" customWidth="1"/>
    <col min="8" max="8" width="9.140625" style="60"/>
    <col min="9" max="9" width="14.85546875" style="60" bestFit="1" customWidth="1"/>
    <col min="10" max="16384" width="9.140625" style="33"/>
  </cols>
  <sheetData>
    <row r="1" spans="1:14" x14ac:dyDescent="0.4">
      <c r="A1" s="291" t="str">
        <f>CONCATENATE("جدول تعرفه هزینه های کارشناسی مطابق قرارداد ",GanttChart!B8)</f>
        <v>جدول تعرفه هزینه های کارشناسی مطابق قرارداد طراحی و پیاده سازی پورتال اینترنتی و زیر پورتال های بیمه سامان</v>
      </c>
      <c r="B1" s="291"/>
      <c r="C1" s="291"/>
      <c r="D1" s="291"/>
      <c r="E1" s="291"/>
      <c r="F1" s="291"/>
      <c r="G1" s="291"/>
    </row>
    <row r="2" spans="1:14" x14ac:dyDescent="0.4">
      <c r="A2" s="56" t="s">
        <v>46</v>
      </c>
      <c r="B2" s="299" t="s">
        <v>45</v>
      </c>
      <c r="C2" s="300"/>
      <c r="D2" s="301" t="s">
        <v>47</v>
      </c>
      <c r="E2" s="302"/>
      <c r="F2" s="58" t="s">
        <v>71</v>
      </c>
      <c r="G2" s="56" t="s">
        <v>62</v>
      </c>
    </row>
    <row r="3" spans="1:14" x14ac:dyDescent="0.4">
      <c r="A3" s="56">
        <v>1</v>
      </c>
      <c r="B3" s="299" t="s">
        <v>48</v>
      </c>
      <c r="C3" s="300"/>
      <c r="D3" s="303">
        <v>1200000</v>
      </c>
      <c r="E3" s="304"/>
      <c r="F3" s="237">
        <v>137600000</v>
      </c>
      <c r="G3" s="76">
        <f>D3*128</f>
        <v>153600000</v>
      </c>
    </row>
    <row r="4" spans="1:14" x14ac:dyDescent="0.4">
      <c r="A4" s="56">
        <v>2</v>
      </c>
      <c r="B4" s="299" t="s">
        <v>49</v>
      </c>
      <c r="C4" s="300"/>
      <c r="D4" s="303">
        <v>916000</v>
      </c>
      <c r="E4" s="304"/>
      <c r="F4" s="237">
        <v>115200000</v>
      </c>
      <c r="G4" s="76">
        <f>D4*128</f>
        <v>117248000</v>
      </c>
    </row>
    <row r="5" spans="1:14" x14ac:dyDescent="0.4">
      <c r="A5" s="56">
        <v>3</v>
      </c>
      <c r="B5" s="299" t="s">
        <v>50</v>
      </c>
      <c r="C5" s="300"/>
      <c r="D5" s="303">
        <v>555000</v>
      </c>
      <c r="E5" s="304"/>
      <c r="F5" s="237">
        <v>87900000</v>
      </c>
      <c r="G5" s="76">
        <f>D5*128</f>
        <v>71040000</v>
      </c>
    </row>
    <row r="7" spans="1:14" x14ac:dyDescent="0.4">
      <c r="A7" s="292" t="str">
        <f>CONCATENATE("گزارش مدیریتی ",GanttChart!B8)</f>
        <v>گزارش مدیریتی طراحی و پیاده سازی پورتال اینترنتی و زیر پورتال های بیمه سامان</v>
      </c>
      <c r="B7" s="292"/>
      <c r="C7" s="292"/>
      <c r="D7" s="292"/>
      <c r="E7" s="292"/>
      <c r="F7" s="292"/>
      <c r="G7" s="292"/>
    </row>
    <row r="8" spans="1:14" ht="21" x14ac:dyDescent="0.6">
      <c r="A8" s="293" t="s">
        <v>52</v>
      </c>
      <c r="B8" s="294"/>
      <c r="C8" s="53" t="s">
        <v>53</v>
      </c>
      <c r="D8" s="99" t="str">
        <f>D2</f>
        <v>هزینه نفر ساعت</v>
      </c>
      <c r="E8" s="49" t="s">
        <v>54</v>
      </c>
      <c r="F8" s="100" t="str">
        <f>F2</f>
        <v>هزینه نفر ماه (قرارداد)</v>
      </c>
      <c r="G8" s="77" t="str">
        <f>G2</f>
        <v>هزینه نفر ماه (ماه * 128)</v>
      </c>
      <c r="H8" s="59"/>
      <c r="I8" s="59"/>
      <c r="J8" s="23"/>
      <c r="M8" s="47"/>
      <c r="N8" s="14"/>
    </row>
    <row r="9" spans="1:14" ht="21" x14ac:dyDescent="0.6">
      <c r="A9" s="52">
        <v>1</v>
      </c>
      <c r="B9" s="53" t="str">
        <f>VLOOKUP(A9,A2:D5,2,FALSE)</f>
        <v>مدیریت پروژه</v>
      </c>
      <c r="C9" s="50">
        <f>SUM(GanttChart!JA:JA)</f>
        <v>0</v>
      </c>
      <c r="D9" s="54">
        <f>(TEXT(C9,"[M]")/60)*VLOOKUP(A9,'Income Person-hours'!$A$2:$G$5,4,FALSE)</f>
        <v>0</v>
      </c>
      <c r="E9" s="51">
        <f>ROUNDUP((TEXT(C9,"[m]")/60)/160,1)</f>
        <v>0</v>
      </c>
      <c r="F9" s="55">
        <f>VLOOKUP(A9,'Income Person-hours'!$A$2:$G$5,6,FALSE)*E9</f>
        <v>0</v>
      </c>
      <c r="G9" s="74">
        <f>VLOOKUP(A9,'Income Person-hours'!$A$2:$G$5,7,FALSE)*E9</f>
        <v>0</v>
      </c>
      <c r="H9" s="59"/>
      <c r="I9" s="59"/>
      <c r="J9" s="23"/>
      <c r="M9" s="48"/>
      <c r="N9" s="48"/>
    </row>
    <row r="10" spans="1:14" ht="21" x14ac:dyDescent="0.6">
      <c r="A10" s="52">
        <v>2</v>
      </c>
      <c r="B10" s="53" t="str">
        <f>VLOOKUP(A10,A3:D6,2,FALSE)</f>
        <v>کارشناس ارشد تحلیل</v>
      </c>
      <c r="C10" s="50">
        <f>SUM(GanttChart!JB:JB)</f>
        <v>0</v>
      </c>
      <c r="D10" s="54">
        <f>(TEXT(C10,"[M]")/60)*VLOOKUP(A10,'Income Person-hours'!$A$2:$G$5,4,FALSE)</f>
        <v>0</v>
      </c>
      <c r="E10" s="51">
        <f>ROUNDUP((TEXT(C10,"[m]")/60)/160,1)</f>
        <v>0</v>
      </c>
      <c r="F10" s="55">
        <f>VLOOKUP(A10,'Income Person-hours'!$A$2:$G$5,6,FALSE)*E10</f>
        <v>0</v>
      </c>
      <c r="G10" s="74">
        <f>VLOOKUP(A10,'Income Person-hours'!$A$2:$G$5,7,FALSE)*E10</f>
        <v>0</v>
      </c>
      <c r="H10" s="59"/>
      <c r="I10" s="101"/>
      <c r="J10" s="23"/>
      <c r="M10" s="48"/>
      <c r="N10" s="48"/>
    </row>
    <row r="11" spans="1:14" ht="21" x14ac:dyDescent="0.6">
      <c r="A11" s="52">
        <v>3</v>
      </c>
      <c r="B11" s="53" t="str">
        <f>VLOOKUP(A11,A4:D8,2,FALSE)</f>
        <v>کارشناس توسعه و پیاده سازی</v>
      </c>
      <c r="C11" s="50">
        <f>SUM(GanttChart!JC:JC)</f>
        <v>0</v>
      </c>
      <c r="D11" s="54">
        <f>(TEXT(C11,"[M]")/60)*VLOOKUP(A11,'Income Person-hours'!$A$2:$G$5,4,FALSE)</f>
        <v>0</v>
      </c>
      <c r="E11" s="51">
        <f>ROUNDUP((TEXT(C11,"[m]")/60)/160,1)</f>
        <v>0</v>
      </c>
      <c r="F11" s="55">
        <f>VLOOKUP(A11,'Income Person-hours'!$A$2:$G$5,6,FALSE)*E11</f>
        <v>0</v>
      </c>
      <c r="G11" s="74">
        <f>VLOOKUP(A11,'Income Person-hours'!$A$2:$G$5,7,FALSE)*E11</f>
        <v>0</v>
      </c>
      <c r="H11" s="61"/>
      <c r="I11" s="59"/>
      <c r="J11" s="23"/>
      <c r="M11" s="48"/>
      <c r="N11" s="48"/>
    </row>
    <row r="12" spans="1:14" ht="21" x14ac:dyDescent="0.6">
      <c r="A12" s="295" t="s">
        <v>51</v>
      </c>
      <c r="B12" s="296"/>
      <c r="C12" s="64">
        <f>SUM(C9:C11)</f>
        <v>0</v>
      </c>
      <c r="D12" s="65">
        <f>SUM(D9:D11)</f>
        <v>0</v>
      </c>
      <c r="E12" s="66">
        <f>SUM(E9:E11)</f>
        <v>0</v>
      </c>
      <c r="F12" s="65">
        <f>SUM(F9:F11)</f>
        <v>0</v>
      </c>
      <c r="G12" s="75">
        <f>SUM(G9:G11)</f>
        <v>0</v>
      </c>
      <c r="H12" s="59"/>
      <c r="I12" s="59"/>
      <c r="J12" s="23"/>
      <c r="M12" s="47"/>
      <c r="N12" s="47"/>
    </row>
    <row r="13" spans="1:14" ht="18" x14ac:dyDescent="0.4">
      <c r="A13" s="297" t="s">
        <v>57</v>
      </c>
      <c r="B13" s="297"/>
      <c r="C13" s="67" t="str">
        <f>GanttChart!D8</f>
        <v>1398/06/31</v>
      </c>
      <c r="D13" s="298" t="s">
        <v>58</v>
      </c>
      <c r="E13" s="298"/>
      <c r="F13" s="68" t="str">
        <f>GanttChart!F8</f>
        <v>1398/10/04</v>
      </c>
      <c r="G13" s="73" t="s">
        <v>63</v>
      </c>
    </row>
    <row r="14" spans="1:14" ht="18" x14ac:dyDescent="0.45">
      <c r="A14" s="56" t="s">
        <v>59</v>
      </c>
      <c r="B14" s="69" t="str">
        <f>CONCATENATE(GanttChart!L8," روز ")</f>
        <v xml:space="preserve">95 روز </v>
      </c>
      <c r="C14" s="57" t="s">
        <v>60</v>
      </c>
      <c r="D14" s="69" t="str">
        <f>CONCATENATE(GanttChart!N8," روز کاری")</f>
        <v>78 روز کاری</v>
      </c>
      <c r="E14" s="56" t="s">
        <v>61</v>
      </c>
      <c r="F14" s="69" t="str">
        <f>CONCATENATE(ROUND(GanttChart!L8/7,0)," هفته")</f>
        <v>14 هفته</v>
      </c>
      <c r="G14" s="69" t="str">
        <f>CONCATENATE(ROUNDUP((TEXT(C12,"[M]")/60)/6,0)," نفر روز")</f>
        <v>0 نفر روز</v>
      </c>
    </row>
    <row r="15" spans="1:14" x14ac:dyDescent="0.4">
      <c r="C15" s="102"/>
    </row>
    <row r="17" spans="2:2" ht="18" x14ac:dyDescent="0.45">
      <c r="B17" s="71"/>
    </row>
  </sheetData>
  <sheetProtection algorithmName="SHA-512" hashValue="xC+XAc0KzQX2S6qxX0/uFizPeqlilPsr/7UJy/IsLlouBKUJxU+7ZdKksEJeQObbS0B9joNmXzNKWhdF9gDx+Q==" saltValue="j1ElNeDbcqLU4scxnpKBiA==" spinCount="100000" sheet="1" objects="1" scenarios="1" selectLockedCells="1"/>
  <mergeCells count="14">
    <mergeCell ref="A1:G1"/>
    <mergeCell ref="A7:G7"/>
    <mergeCell ref="A8:B8"/>
    <mergeCell ref="A12:B12"/>
    <mergeCell ref="A13:B13"/>
    <mergeCell ref="D13:E13"/>
    <mergeCell ref="B2:C2"/>
    <mergeCell ref="B3:C3"/>
    <mergeCell ref="B4:C4"/>
    <mergeCell ref="B5:C5"/>
    <mergeCell ref="D2:E2"/>
    <mergeCell ref="D3:E3"/>
    <mergeCell ref="D4:E4"/>
    <mergeCell ref="D5:E5"/>
  </mergeCells>
  <printOptions horizontalCentered="1"/>
  <pageMargins left="0.70866141732283472" right="0.70866141732283472" top="0.74803149606299213" bottom="0.74803149606299213" header="0.31496062992125984" footer="0.31496062992125984"/>
  <pageSetup paperSize="9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ه3" filterMode="1"/>
  <dimension ref="A1:O180"/>
  <sheetViews>
    <sheetView rightToLeft="1" zoomScaleNormal="100" workbookViewId="0">
      <selection activeCell="H6" sqref="H6"/>
    </sheetView>
  </sheetViews>
  <sheetFormatPr defaultRowHeight="12.75" x14ac:dyDescent="0.2"/>
  <cols>
    <col min="2" max="2" width="1.42578125" customWidth="1"/>
    <col min="3" max="3" width="41.7109375" style="79" customWidth="1"/>
    <col min="4" max="4" width="6.42578125" style="80" customWidth="1"/>
    <col min="5" max="5" width="7" style="80" customWidth="1"/>
    <col min="6" max="6" width="6.85546875" style="80" customWidth="1"/>
    <col min="7" max="7" width="19.28515625" style="81" customWidth="1"/>
    <col min="8" max="8" width="6" style="82" customWidth="1"/>
    <col min="9" max="9" width="19.28515625" customWidth="1"/>
    <col min="12" max="12" width="15.140625" bestFit="1" customWidth="1"/>
  </cols>
  <sheetData>
    <row r="1" spans="1:15" ht="18" x14ac:dyDescent="0.2">
      <c r="B1" s="305" t="str">
        <f>CONCATENATE("آنالیز و برآورد زمان نفر / ساعت خدمات کارشناسی توسعه و سفارشی سازی ",GanttChart!B8)</f>
        <v>آنالیز و برآورد زمان نفر / ساعت خدمات کارشناسی توسعه و سفارشی سازی طراحی و پیاده سازی پورتال اینترنتی و زیر پورتال های بیمه سامان</v>
      </c>
      <c r="C1" s="305"/>
      <c r="D1" s="306"/>
      <c r="E1" s="306"/>
      <c r="F1" s="306"/>
      <c r="G1" s="305"/>
      <c r="H1" s="305"/>
      <c r="I1" s="305"/>
    </row>
    <row r="2" spans="1:15" ht="16.5" x14ac:dyDescent="0.45">
      <c r="A2" s="307" t="s">
        <v>0</v>
      </c>
      <c r="B2" s="308"/>
      <c r="C2" s="310" t="s">
        <v>64</v>
      </c>
      <c r="D2" s="312" t="s">
        <v>65</v>
      </c>
      <c r="E2" s="312"/>
      <c r="F2" s="312"/>
      <c r="G2" s="313" t="s">
        <v>66</v>
      </c>
      <c r="H2" s="315" t="s">
        <v>70</v>
      </c>
      <c r="I2" s="317" t="s">
        <v>67</v>
      </c>
      <c r="J2" s="7"/>
      <c r="K2" s="7"/>
      <c r="L2" s="7"/>
      <c r="M2" s="7"/>
      <c r="N2" s="7"/>
      <c r="O2" s="7"/>
    </row>
    <row r="3" spans="1:15" ht="63.75" x14ac:dyDescent="0.45">
      <c r="A3" s="307"/>
      <c r="B3" s="309"/>
      <c r="C3" s="311"/>
      <c r="D3" s="87" t="s">
        <v>7</v>
      </c>
      <c r="E3" s="87" t="s">
        <v>55</v>
      </c>
      <c r="F3" s="87" t="s">
        <v>56</v>
      </c>
      <c r="G3" s="314"/>
      <c r="H3" s="316"/>
      <c r="I3" s="318"/>
      <c r="J3" s="7"/>
      <c r="K3" s="7"/>
      <c r="L3" s="7"/>
      <c r="M3" s="7"/>
      <c r="N3" s="7"/>
      <c r="O3" s="7"/>
    </row>
    <row r="4" spans="1:15" ht="18.75" hidden="1" x14ac:dyDescent="0.45">
      <c r="A4" s="78">
        <v>1</v>
      </c>
      <c r="B4" s="78"/>
      <c r="C4" s="83" t="str">
        <f>IFERROR(VLOOKUP($A4,GanttChart!$A:$JD,2,FALSE),"خطا")</f>
        <v>مدیریت، برنامه ریزی مالی و کنترل پیشرفت پروژه</v>
      </c>
      <c r="D4" s="84">
        <f>IFERROR(VLOOKUP($A4,GanttChart!$A:$JD,261,FALSE),0)</f>
        <v>0</v>
      </c>
      <c r="E4" s="84">
        <f>IFERROR(VLOOKUP($A4,GanttChart!$A:$JD,262,FALSE),0)</f>
        <v>0</v>
      </c>
      <c r="F4" s="84">
        <f>IFERROR(VLOOKUP($A4,GanttChart!$A:$JD,263,FALSE),0)</f>
        <v>0</v>
      </c>
      <c r="G4" s="85">
        <f>IFERROR(VLOOKUP($A4,GanttChart!$A:$JD,264,FALSE),0)</f>
        <v>0</v>
      </c>
      <c r="H4" s="238"/>
      <c r="I4" s="85">
        <f>G4-(H4*G4)</f>
        <v>0</v>
      </c>
      <c r="J4" s="7"/>
      <c r="K4" s="7"/>
      <c r="L4" s="7"/>
      <c r="M4" s="7"/>
      <c r="N4" s="7"/>
      <c r="O4" s="7"/>
    </row>
    <row r="5" spans="1:15" ht="18.75" x14ac:dyDescent="0.45">
      <c r="A5" s="78">
        <v>1.1000000000000001</v>
      </c>
      <c r="B5" s="78"/>
      <c r="C5" s="83" t="str">
        <f>IFERROR(VLOOKUP($A5,GanttChart!$A:$JD,2,FALSE),"خطا")</f>
        <v>تهيه برنامه زمانبندي msp  و گانت چارت اجرايي پروژه</v>
      </c>
      <c r="D5" s="84">
        <f>IFERROR(VLOOKUP($A5,GanttChart!$A:$JD,261,FALSE),0)</f>
        <v>0</v>
      </c>
      <c r="E5" s="84">
        <f>IFERROR(VLOOKUP($A5,GanttChart!$A:$JD,262,FALSE),0)</f>
        <v>0</v>
      </c>
      <c r="F5" s="84">
        <f>IFERROR(VLOOKUP($A5,GanttChart!$A:$JD,263,FALSE),0)</f>
        <v>0</v>
      </c>
      <c r="G5" s="85">
        <f>IFERROR(VLOOKUP($A5,GanttChart!$A:$JD,264,FALSE),0)</f>
        <v>0</v>
      </c>
      <c r="H5" s="238"/>
      <c r="I5" s="85">
        <f t="shared" ref="I5:I160" si="0">G5-(H5*G5)</f>
        <v>0</v>
      </c>
      <c r="J5" s="7"/>
      <c r="K5" s="7"/>
      <c r="L5" s="7"/>
      <c r="M5" s="7"/>
      <c r="N5" s="7"/>
      <c r="O5" s="7"/>
    </row>
    <row r="6" spans="1:15" ht="18.75" x14ac:dyDescent="0.45">
      <c r="A6" s="78">
        <v>1.2</v>
      </c>
      <c r="B6" s="78"/>
      <c r="C6" s="83" t="str">
        <f>IFERROR(VLOOKUP($A6,GanttChart!$A:$JD,2,FALSE),"خطا")</f>
        <v>معرفی مدیر پروژه پیمانکار به کارفرما پس از ابلاغ قرارداد</v>
      </c>
      <c r="D6" s="84">
        <f>IFERROR(VLOOKUP($A6,GanttChart!$A:$JD,261,FALSE),0)</f>
        <v>0</v>
      </c>
      <c r="E6" s="84">
        <f>IFERROR(VLOOKUP($A6,GanttChart!$A:$JD,262,FALSE),0)</f>
        <v>0</v>
      </c>
      <c r="F6" s="84">
        <f>IFERROR(VLOOKUP($A6,GanttChart!$A:$JD,263,FALSE),0)</f>
        <v>0</v>
      </c>
      <c r="G6" s="85">
        <f>IFERROR(VLOOKUP($A6,GanttChart!$A:$JD,264,FALSE),0)</f>
        <v>0</v>
      </c>
      <c r="H6" s="238"/>
      <c r="I6" s="85">
        <f t="shared" si="0"/>
        <v>0</v>
      </c>
      <c r="J6" s="7"/>
      <c r="K6" s="7"/>
      <c r="L6" s="7"/>
      <c r="M6" s="7"/>
      <c r="N6" s="7"/>
      <c r="O6" s="7"/>
    </row>
    <row r="7" spans="1:15" ht="18.75" x14ac:dyDescent="0.45">
      <c r="A7" s="78">
        <v>1.3</v>
      </c>
      <c r="B7" s="78"/>
      <c r="C7" s="83" t="str">
        <f>IFERROR(VLOOKUP($A7,GanttChart!$A:$JD,2,FALSE),"خطا")</f>
        <v>معرفی مدیر پروژه کارفرما به پیمانکار</v>
      </c>
      <c r="D7" s="84">
        <f>IFERROR(VLOOKUP($A7,GanttChart!$A:$JD,261,FALSE),0)</f>
        <v>0</v>
      </c>
      <c r="E7" s="84">
        <f>IFERROR(VLOOKUP($A7,GanttChart!$A:$JD,262,FALSE),0)</f>
        <v>0</v>
      </c>
      <c r="F7" s="84">
        <f>IFERROR(VLOOKUP($A7,GanttChart!$A:$JD,263,FALSE),0)</f>
        <v>0</v>
      </c>
      <c r="G7" s="85">
        <f>IFERROR(VLOOKUP($A7,GanttChart!$A:$JD,264,FALSE),0)</f>
        <v>0</v>
      </c>
      <c r="H7" s="238"/>
      <c r="I7" s="85">
        <f t="shared" si="0"/>
        <v>0</v>
      </c>
      <c r="J7" s="7"/>
      <c r="K7" s="7"/>
      <c r="L7" s="7"/>
      <c r="M7" s="7"/>
      <c r="N7" s="7"/>
      <c r="O7" s="7"/>
    </row>
    <row r="8" spans="1:15" ht="18.75" x14ac:dyDescent="0.45">
      <c r="A8" s="78">
        <v>1.4</v>
      </c>
      <c r="B8" s="78"/>
      <c r="C8" s="83" t="str">
        <f>IFERROR(VLOOKUP($A8,GanttChart!$A:$JD,2,FALSE),"خطا")</f>
        <v>جلسه اول پروژه (معارفه و تحویل زیر ساخت نرم افزاری)</v>
      </c>
      <c r="D8" s="84">
        <f>IFERROR(VLOOKUP($A8,GanttChart!$A:$JD,261,FALSE),0)</f>
        <v>0</v>
      </c>
      <c r="E8" s="84">
        <f>IFERROR(VLOOKUP($A8,GanttChart!$A:$JD,262,FALSE),0)</f>
        <v>0</v>
      </c>
      <c r="F8" s="84">
        <f>IFERROR(VLOOKUP($A8,GanttChart!$A:$JD,263,FALSE),0)</f>
        <v>0</v>
      </c>
      <c r="G8" s="85">
        <f>IFERROR(VLOOKUP($A8,GanttChart!$A:$JD,264,FALSE),0)</f>
        <v>0</v>
      </c>
      <c r="H8" s="238"/>
      <c r="I8" s="85">
        <f t="shared" si="0"/>
        <v>0</v>
      </c>
      <c r="J8" s="7"/>
      <c r="K8" s="7"/>
      <c r="L8" s="7"/>
      <c r="M8" s="7"/>
      <c r="N8" s="7"/>
      <c r="O8" s="7"/>
    </row>
    <row r="9" spans="1:15" ht="18.75" x14ac:dyDescent="0.45">
      <c r="A9" s="78">
        <v>1.5</v>
      </c>
      <c r="B9" s="78"/>
      <c r="C9" s="83" t="str">
        <f>IFERROR(VLOOKUP($A9,GanttChart!$A:$JD,2,FALSE),"خطا")</f>
        <v>پرداخت پیش پرداخت قرارداد</v>
      </c>
      <c r="D9" s="84">
        <f>IFERROR(VLOOKUP($A9,GanttChart!$A:$JD,261,FALSE),0)</f>
        <v>0</v>
      </c>
      <c r="E9" s="84">
        <f>IFERROR(VLOOKUP($A9,GanttChart!$A:$JD,262,FALSE),0)</f>
        <v>0</v>
      </c>
      <c r="F9" s="84">
        <f>IFERROR(VLOOKUP($A9,GanttChart!$A:$JD,263,FALSE),0)</f>
        <v>0</v>
      </c>
      <c r="G9" s="85">
        <f>IFERROR(VLOOKUP($A9,GanttChart!$A:$JD,264,FALSE),0)</f>
        <v>0</v>
      </c>
      <c r="H9" s="238"/>
      <c r="I9" s="85">
        <f t="shared" si="0"/>
        <v>0</v>
      </c>
      <c r="J9" s="7"/>
      <c r="K9" s="7"/>
      <c r="L9" s="7"/>
      <c r="M9" s="7"/>
      <c r="N9" s="7"/>
      <c r="O9" s="7"/>
    </row>
    <row r="10" spans="1:15" ht="18.75" x14ac:dyDescent="0.45">
      <c r="A10" s="78">
        <v>1.6</v>
      </c>
      <c r="B10" s="78"/>
      <c r="C10" s="83">
        <f>IFERROR(VLOOKUP($A10,GanttChart!$A:$JD,2,FALSE),"خطا")</f>
        <v>0</v>
      </c>
      <c r="D10" s="84">
        <f>IFERROR(VLOOKUP($A10,GanttChart!$A:$JD,261,FALSE),0)</f>
        <v>0</v>
      </c>
      <c r="E10" s="84">
        <f>IFERROR(VLOOKUP($A10,GanttChart!$A:$JD,262,FALSE),0)</f>
        <v>0</v>
      </c>
      <c r="F10" s="84">
        <f>IFERROR(VLOOKUP($A10,GanttChart!$A:$JD,263,FALSE),0)</f>
        <v>0</v>
      </c>
      <c r="G10" s="85">
        <f>IFERROR(VLOOKUP($A10,GanttChart!$A:$JD,264,FALSE),0)</f>
        <v>0</v>
      </c>
      <c r="H10" s="238"/>
      <c r="I10" s="85">
        <f t="shared" si="0"/>
        <v>0</v>
      </c>
      <c r="J10" s="7"/>
      <c r="K10" s="7"/>
      <c r="L10" s="7"/>
      <c r="M10" s="7"/>
      <c r="N10" s="7"/>
      <c r="O10" s="7"/>
    </row>
    <row r="11" spans="1:15" ht="18.75" x14ac:dyDescent="0.45">
      <c r="A11" s="78">
        <v>1.7</v>
      </c>
      <c r="B11" s="78"/>
      <c r="C11" s="83">
        <f>IFERROR(VLOOKUP($A11,GanttChart!$A:$JD,2,FALSE),"خطا")</f>
        <v>0</v>
      </c>
      <c r="D11" s="84">
        <f>IFERROR(VLOOKUP($A11,GanttChart!$A:$JD,261,FALSE),0)</f>
        <v>0</v>
      </c>
      <c r="E11" s="84">
        <f>IFERROR(VLOOKUP($A11,GanttChart!$A:$JD,262,FALSE),0)</f>
        <v>0</v>
      </c>
      <c r="F11" s="84">
        <f>IFERROR(VLOOKUP($A11,GanttChart!$A:$JD,263,FALSE),0)</f>
        <v>0</v>
      </c>
      <c r="G11" s="85">
        <f>IFERROR(VLOOKUP($A11,GanttChart!$A:$JD,264,FALSE),0)</f>
        <v>0</v>
      </c>
      <c r="H11" s="238"/>
      <c r="I11" s="85">
        <f t="shared" si="0"/>
        <v>0</v>
      </c>
      <c r="J11" s="7"/>
      <c r="K11" s="7"/>
      <c r="L11" s="7"/>
      <c r="M11" s="7"/>
      <c r="N11" s="7"/>
      <c r="O11" s="7"/>
    </row>
    <row r="12" spans="1:15" ht="18.75" x14ac:dyDescent="0.45">
      <c r="A12" s="78">
        <v>1.8</v>
      </c>
      <c r="B12" s="78"/>
      <c r="C12" s="83">
        <f>IFERROR(VLOOKUP($A12,GanttChart!$A:$JD,2,FALSE),"خطا")</f>
        <v>0</v>
      </c>
      <c r="D12" s="84">
        <f>IFERROR(VLOOKUP($A12,GanttChart!$A:$JD,261,FALSE),0)</f>
        <v>0</v>
      </c>
      <c r="E12" s="84">
        <f>IFERROR(VLOOKUP($A12,GanttChart!$A:$JD,262,FALSE),0)</f>
        <v>0</v>
      </c>
      <c r="F12" s="84">
        <f>IFERROR(VLOOKUP($A12,GanttChart!$A:$JD,263,FALSE),0)</f>
        <v>0</v>
      </c>
      <c r="G12" s="85">
        <f>IFERROR(VLOOKUP($A12,GanttChart!$A:$JD,264,FALSE),0)</f>
        <v>0</v>
      </c>
      <c r="H12" s="238"/>
      <c r="I12" s="85">
        <f t="shared" si="0"/>
        <v>0</v>
      </c>
      <c r="J12" s="7"/>
      <c r="K12" s="7"/>
      <c r="L12" s="7"/>
      <c r="M12" s="7"/>
      <c r="N12" s="7"/>
      <c r="O12" s="7"/>
    </row>
    <row r="13" spans="1:15" ht="18.75" hidden="1" x14ac:dyDescent="0.45">
      <c r="A13" s="78">
        <v>1.9</v>
      </c>
      <c r="B13" s="78"/>
      <c r="C13" s="83">
        <f>IFERROR(VLOOKUP($A13,GanttChart!$A:$JD,2,FALSE),"خطا")</f>
        <v>0</v>
      </c>
      <c r="D13" s="84">
        <f>IFERROR(VLOOKUP($A13,GanttChart!$A:$JD,261,FALSE),0)</f>
        <v>0</v>
      </c>
      <c r="E13" s="84">
        <f>IFERROR(VLOOKUP($A13,GanttChart!$A:$JD,262,FALSE),0)</f>
        <v>0</v>
      </c>
      <c r="F13" s="84">
        <f>IFERROR(VLOOKUP($A13,GanttChart!$A:$JD,263,FALSE),0)</f>
        <v>0</v>
      </c>
      <c r="G13" s="85">
        <f>IFERROR(VLOOKUP($A13,GanttChart!$A:$JD,264,FALSE),0)</f>
        <v>0</v>
      </c>
      <c r="H13" s="238"/>
      <c r="I13" s="85">
        <f t="shared" si="0"/>
        <v>0</v>
      </c>
      <c r="J13" s="7"/>
      <c r="K13" s="7"/>
      <c r="L13" s="7"/>
      <c r="M13" s="7"/>
      <c r="N13" s="7"/>
      <c r="O13" s="7"/>
    </row>
    <row r="14" spans="1:15" ht="18.75" hidden="1" x14ac:dyDescent="0.45">
      <c r="A14" s="78">
        <v>1.1100000000000001</v>
      </c>
      <c r="B14" s="78"/>
      <c r="C14" s="83">
        <f>IFERROR(VLOOKUP($A14,GanttChart!$A:$JD,2,FALSE),"خطا")</f>
        <v>0</v>
      </c>
      <c r="D14" s="84">
        <f>IFERROR(VLOOKUP($A14,GanttChart!$A:$JD,261,FALSE),0)</f>
        <v>0</v>
      </c>
      <c r="E14" s="84">
        <f>IFERROR(VLOOKUP($A14,GanttChart!$A:$JD,262,FALSE),0)</f>
        <v>0</v>
      </c>
      <c r="F14" s="84">
        <f>IFERROR(VLOOKUP($A14,GanttChart!$A:$JD,263,FALSE),0)</f>
        <v>0</v>
      </c>
      <c r="G14" s="85">
        <f>IFERROR(VLOOKUP($A14,GanttChart!$A:$JD,264,FALSE),0)</f>
        <v>0</v>
      </c>
      <c r="H14" s="238"/>
      <c r="I14" s="85">
        <f t="shared" si="0"/>
        <v>0</v>
      </c>
      <c r="J14" s="7"/>
      <c r="K14" s="7"/>
      <c r="L14" s="7"/>
      <c r="M14" s="7"/>
      <c r="N14" s="7"/>
      <c r="O14" s="7"/>
    </row>
    <row r="15" spans="1:15" ht="18.75" hidden="1" x14ac:dyDescent="0.45">
      <c r="A15" s="78">
        <v>1.1200000000000001</v>
      </c>
      <c r="B15" s="78"/>
      <c r="C15" s="83">
        <f>IFERROR(VLOOKUP($A15,GanttChart!$A:$JD,2,FALSE),"خطا")</f>
        <v>0</v>
      </c>
      <c r="D15" s="84">
        <f>IFERROR(VLOOKUP($A15,GanttChart!$A:$JD,261,FALSE),0)</f>
        <v>0</v>
      </c>
      <c r="E15" s="84">
        <f>IFERROR(VLOOKUP($A15,GanttChart!$A:$JD,262,FALSE),0)</f>
        <v>0</v>
      </c>
      <c r="F15" s="84">
        <f>IFERROR(VLOOKUP($A15,GanttChart!$A:$JD,263,FALSE),0)</f>
        <v>0</v>
      </c>
      <c r="G15" s="85">
        <f>IFERROR(VLOOKUP($A15,GanttChart!$A:$JD,264,FALSE),0)</f>
        <v>0</v>
      </c>
      <c r="H15" s="238"/>
      <c r="I15" s="85">
        <f t="shared" si="0"/>
        <v>0</v>
      </c>
      <c r="J15" s="7"/>
      <c r="K15" s="7"/>
      <c r="L15" s="7"/>
      <c r="M15" s="7"/>
      <c r="N15" s="7"/>
      <c r="O15" s="7"/>
    </row>
    <row r="16" spans="1:15" ht="18.75" hidden="1" x14ac:dyDescent="0.45">
      <c r="A16" s="78">
        <v>1.1299999999999999</v>
      </c>
      <c r="B16" s="78"/>
      <c r="C16" s="83">
        <f>IFERROR(VLOOKUP($A16,GanttChart!$A:$JD,2,FALSE),"خطا")</f>
        <v>0</v>
      </c>
      <c r="D16" s="84">
        <f>IFERROR(VLOOKUP($A16,GanttChart!$A:$JD,261,FALSE),0)</f>
        <v>0</v>
      </c>
      <c r="E16" s="84">
        <f>IFERROR(VLOOKUP($A16,GanttChart!$A:$JD,262,FALSE),0)</f>
        <v>0</v>
      </c>
      <c r="F16" s="84">
        <f>IFERROR(VLOOKUP($A16,GanttChart!$A:$JD,263,FALSE),0)</f>
        <v>0</v>
      </c>
      <c r="G16" s="85">
        <f>IFERROR(VLOOKUP($A16,GanttChart!$A:$JD,264,FALSE),0)</f>
        <v>0</v>
      </c>
      <c r="H16" s="238"/>
      <c r="I16" s="85">
        <f t="shared" si="0"/>
        <v>0</v>
      </c>
      <c r="J16" s="7"/>
      <c r="K16" s="7"/>
      <c r="L16" s="7"/>
      <c r="M16" s="7"/>
      <c r="N16" s="7"/>
      <c r="O16" s="7"/>
    </row>
    <row r="17" spans="1:15" ht="18.75" hidden="1" x14ac:dyDescent="0.45">
      <c r="A17" s="78">
        <v>1.1399999999999999</v>
      </c>
      <c r="B17" s="78"/>
      <c r="C17" s="83">
        <f>IFERROR(VLOOKUP($A17,GanttChart!$A:$JD,2,FALSE),"خطا")</f>
        <v>0</v>
      </c>
      <c r="D17" s="84">
        <f>IFERROR(VLOOKUP($A17,GanttChart!$A:$JD,261,FALSE),0)</f>
        <v>0</v>
      </c>
      <c r="E17" s="84">
        <f>IFERROR(VLOOKUP($A17,GanttChart!$A:$JD,262,FALSE),0)</f>
        <v>0</v>
      </c>
      <c r="F17" s="84">
        <f>IFERROR(VLOOKUP($A17,GanttChart!$A:$JD,263,FALSE),0)</f>
        <v>0</v>
      </c>
      <c r="G17" s="85">
        <f>IFERROR(VLOOKUP($A17,GanttChart!$A:$JD,264,FALSE),0)</f>
        <v>0</v>
      </c>
      <c r="H17" s="238"/>
      <c r="I17" s="85">
        <f t="shared" si="0"/>
        <v>0</v>
      </c>
      <c r="J17" s="7"/>
      <c r="K17" s="7"/>
      <c r="L17" s="7"/>
      <c r="M17" s="7"/>
      <c r="N17" s="7"/>
      <c r="O17" s="7"/>
    </row>
    <row r="18" spans="1:15" ht="18.75" hidden="1" x14ac:dyDescent="0.45">
      <c r="A18" s="78">
        <v>1.1499999999999999</v>
      </c>
      <c r="B18" s="78"/>
      <c r="C18" s="83">
        <f>IFERROR(VLOOKUP($A18,GanttChart!$A:$JD,2,FALSE),"خطا")</f>
        <v>0</v>
      </c>
      <c r="D18" s="84">
        <f>IFERROR(VLOOKUP($A18,GanttChart!$A:$JD,261,FALSE),0)</f>
        <v>0</v>
      </c>
      <c r="E18" s="84">
        <f>IFERROR(VLOOKUP($A18,GanttChart!$A:$JD,262,FALSE),0)</f>
        <v>0</v>
      </c>
      <c r="F18" s="84">
        <f>IFERROR(VLOOKUP($A18,GanttChart!$A:$JD,263,FALSE),0)</f>
        <v>0</v>
      </c>
      <c r="G18" s="85">
        <f>IFERROR(VLOOKUP($A18,GanttChart!$A:$JD,264,FALSE),0)</f>
        <v>0</v>
      </c>
      <c r="H18" s="238"/>
      <c r="I18" s="85">
        <f t="shared" si="0"/>
        <v>0</v>
      </c>
      <c r="J18" s="7"/>
      <c r="K18" s="7"/>
      <c r="L18" s="7"/>
      <c r="M18" s="7"/>
      <c r="N18" s="7"/>
      <c r="O18" s="7"/>
    </row>
    <row r="19" spans="1:15" ht="18.75" hidden="1" x14ac:dyDescent="0.45">
      <c r="A19" s="78">
        <v>1.1599999999999999</v>
      </c>
      <c r="B19" s="78"/>
      <c r="C19" s="83">
        <f>IFERROR(VLOOKUP($A19,GanttChart!$A:$JD,2,FALSE),"خطا")</f>
        <v>0</v>
      </c>
      <c r="D19" s="84">
        <f>IFERROR(VLOOKUP($A19,GanttChart!$A:$JD,261,FALSE),0)</f>
        <v>0</v>
      </c>
      <c r="E19" s="84">
        <f>IFERROR(VLOOKUP($A19,GanttChart!$A:$JD,262,FALSE),0)</f>
        <v>0</v>
      </c>
      <c r="F19" s="84">
        <f>IFERROR(VLOOKUP($A19,GanttChart!$A:$JD,263,FALSE),0)</f>
        <v>0</v>
      </c>
      <c r="G19" s="85">
        <f>IFERROR(VLOOKUP($A19,GanttChart!$A:$JD,264,FALSE),0)</f>
        <v>0</v>
      </c>
      <c r="H19" s="238"/>
      <c r="I19" s="85">
        <f t="shared" si="0"/>
        <v>0</v>
      </c>
      <c r="J19" s="7"/>
      <c r="K19" s="7"/>
      <c r="L19" s="7"/>
      <c r="M19" s="7"/>
      <c r="N19" s="7"/>
      <c r="O19" s="7"/>
    </row>
    <row r="20" spans="1:15" ht="18.75" hidden="1" x14ac:dyDescent="0.45">
      <c r="A20" s="78">
        <v>1.17</v>
      </c>
      <c r="B20" s="78"/>
      <c r="C20" s="83">
        <f>IFERROR(VLOOKUP($A20,GanttChart!$A:$JD,2,FALSE),"خطا")</f>
        <v>0</v>
      </c>
      <c r="D20" s="84">
        <f>IFERROR(VLOOKUP($A20,GanttChart!$A:$JD,261,FALSE),0)</f>
        <v>0</v>
      </c>
      <c r="E20" s="84">
        <f>IFERROR(VLOOKUP($A20,GanttChart!$A:$JD,262,FALSE),0)</f>
        <v>0</v>
      </c>
      <c r="F20" s="84">
        <f>IFERROR(VLOOKUP($A20,GanttChart!$A:$JD,263,FALSE),0)</f>
        <v>0</v>
      </c>
      <c r="G20" s="85">
        <f>IFERROR(VLOOKUP($A20,GanttChart!$A:$JD,264,FALSE),0)</f>
        <v>0</v>
      </c>
      <c r="H20" s="238"/>
      <c r="I20" s="85">
        <f t="shared" si="0"/>
        <v>0</v>
      </c>
      <c r="J20" s="7"/>
      <c r="K20" s="7"/>
      <c r="L20" s="7"/>
      <c r="M20" s="7"/>
      <c r="N20" s="7"/>
      <c r="O20" s="7"/>
    </row>
    <row r="21" spans="1:15" ht="18.75" hidden="1" x14ac:dyDescent="0.45">
      <c r="A21" s="78">
        <v>1.18</v>
      </c>
      <c r="B21" s="78"/>
      <c r="C21" s="83">
        <f>IFERROR(VLOOKUP($A21,GanttChart!$A:$JD,2,FALSE),"خطا")</f>
        <v>0</v>
      </c>
      <c r="D21" s="84">
        <f>IFERROR(VLOOKUP($A21,GanttChart!$A:$JD,261,FALSE),0)</f>
        <v>0</v>
      </c>
      <c r="E21" s="84">
        <f>IFERROR(VLOOKUP($A21,GanttChart!$A:$JD,262,FALSE),0)</f>
        <v>0</v>
      </c>
      <c r="F21" s="84">
        <f>IFERROR(VLOOKUP($A21,GanttChart!$A:$JD,263,FALSE),0)</f>
        <v>0</v>
      </c>
      <c r="G21" s="85">
        <f>IFERROR(VLOOKUP($A21,GanttChart!$A:$JD,264,FALSE),0)</f>
        <v>0</v>
      </c>
      <c r="H21" s="238"/>
      <c r="I21" s="85">
        <f t="shared" si="0"/>
        <v>0</v>
      </c>
      <c r="J21" s="7"/>
      <c r="K21" s="7"/>
      <c r="L21" s="7"/>
      <c r="M21" s="7"/>
      <c r="N21" s="7"/>
      <c r="O21" s="7"/>
    </row>
    <row r="22" spans="1:15" ht="18.75" hidden="1" x14ac:dyDescent="0.45">
      <c r="A22" s="78">
        <v>1.19</v>
      </c>
      <c r="B22" s="78"/>
      <c r="C22" s="83">
        <f>IFERROR(VLOOKUP($A22,GanttChart!$A:$JD,2,FALSE),"خطا")</f>
        <v>0</v>
      </c>
      <c r="D22" s="84">
        <f>IFERROR(VLOOKUP($A22,GanttChart!$A:$JD,261,FALSE),0)</f>
        <v>0</v>
      </c>
      <c r="E22" s="84">
        <f>IFERROR(VLOOKUP($A22,GanttChart!$A:$JD,262,FALSE),0)</f>
        <v>0</v>
      </c>
      <c r="F22" s="84">
        <f>IFERROR(VLOOKUP($A22,GanttChart!$A:$JD,263,FALSE),0)</f>
        <v>0</v>
      </c>
      <c r="G22" s="85">
        <f>IFERROR(VLOOKUP($A22,GanttChart!$A:$JD,264,FALSE),0)</f>
        <v>0</v>
      </c>
      <c r="H22" s="238"/>
      <c r="I22" s="85">
        <f t="shared" si="0"/>
        <v>0</v>
      </c>
      <c r="J22" s="7"/>
      <c r="K22" s="7"/>
      <c r="L22" s="7"/>
      <c r="M22" s="7"/>
      <c r="N22" s="7"/>
      <c r="O22" s="7"/>
    </row>
    <row r="23" spans="1:15" ht="18.75" hidden="1" x14ac:dyDescent="0.45">
      <c r="A23" s="78">
        <v>1.21</v>
      </c>
      <c r="B23" s="78"/>
      <c r="C23" s="83">
        <f>IFERROR(VLOOKUP($A23,GanttChart!$A:$JD,2,FALSE),"خطا")</f>
        <v>0</v>
      </c>
      <c r="D23" s="84">
        <f>IFERROR(VLOOKUP($A23,GanttChart!$A:$JD,261,FALSE),0)</f>
        <v>0</v>
      </c>
      <c r="E23" s="84">
        <f>IFERROR(VLOOKUP($A23,GanttChart!$A:$JD,262,FALSE),0)</f>
        <v>0</v>
      </c>
      <c r="F23" s="84">
        <f>IFERROR(VLOOKUP($A23,GanttChart!$A:$JD,263,FALSE),0)</f>
        <v>0</v>
      </c>
      <c r="G23" s="85">
        <f>IFERROR(VLOOKUP($A23,GanttChart!$A:$JD,264,FALSE),0)</f>
        <v>0</v>
      </c>
      <c r="H23" s="238"/>
      <c r="I23" s="85">
        <f t="shared" si="0"/>
        <v>0</v>
      </c>
      <c r="J23" s="7"/>
      <c r="K23" s="7"/>
      <c r="L23" s="7"/>
      <c r="M23" s="7"/>
      <c r="N23" s="7"/>
      <c r="O23" s="7"/>
    </row>
    <row r="24" spans="1:15" ht="18.75" hidden="1" x14ac:dyDescent="0.45">
      <c r="A24" s="78">
        <v>1.22</v>
      </c>
      <c r="B24" s="78"/>
      <c r="C24" s="83">
        <f>IFERROR(VLOOKUP($A24,GanttChart!$A:$JD,2,FALSE),"خطا")</f>
        <v>0</v>
      </c>
      <c r="D24" s="84">
        <f>IFERROR(VLOOKUP($A24,GanttChart!$A:$JD,261,FALSE),0)</f>
        <v>0</v>
      </c>
      <c r="E24" s="84">
        <f>IFERROR(VLOOKUP($A24,GanttChart!$A:$JD,262,FALSE),0)</f>
        <v>0</v>
      </c>
      <c r="F24" s="84">
        <f>IFERROR(VLOOKUP($A24,GanttChart!$A:$JD,263,FALSE),0)</f>
        <v>0</v>
      </c>
      <c r="G24" s="85">
        <f>IFERROR(VLOOKUP($A24,GanttChart!$A:$JD,264,FALSE),0)</f>
        <v>0</v>
      </c>
      <c r="H24" s="238"/>
      <c r="I24" s="85">
        <f t="shared" si="0"/>
        <v>0</v>
      </c>
      <c r="J24" s="7"/>
      <c r="K24" s="7"/>
      <c r="L24" s="7"/>
      <c r="M24" s="7"/>
      <c r="N24" s="7"/>
      <c r="O24" s="7"/>
    </row>
    <row r="25" spans="1:15" ht="18.75" hidden="1" x14ac:dyDescent="0.45">
      <c r="A25" s="78">
        <v>1.23</v>
      </c>
      <c r="B25" s="78"/>
      <c r="C25" s="83">
        <f>IFERROR(VLOOKUP($A25,GanttChart!$A:$JD,2,FALSE),"خطا")</f>
        <v>0</v>
      </c>
      <c r="D25" s="84">
        <f>IFERROR(VLOOKUP($A25,GanttChart!$A:$JD,261,FALSE),0)</f>
        <v>0</v>
      </c>
      <c r="E25" s="84">
        <f>IFERROR(VLOOKUP($A25,GanttChart!$A:$JD,262,FALSE),0)</f>
        <v>0</v>
      </c>
      <c r="F25" s="84">
        <f>IFERROR(VLOOKUP($A25,GanttChart!$A:$JD,263,FALSE),0)</f>
        <v>0</v>
      </c>
      <c r="G25" s="85">
        <f>IFERROR(VLOOKUP($A25,GanttChart!$A:$JD,264,FALSE),0)</f>
        <v>0</v>
      </c>
      <c r="H25" s="238"/>
      <c r="I25" s="85">
        <f t="shared" si="0"/>
        <v>0</v>
      </c>
      <c r="J25" s="7"/>
      <c r="K25" s="7"/>
      <c r="L25" s="7"/>
      <c r="M25" s="7"/>
      <c r="N25" s="7"/>
      <c r="O25" s="7"/>
    </row>
    <row r="26" spans="1:15" ht="18.75" hidden="1" x14ac:dyDescent="0.45">
      <c r="A26" s="78">
        <v>2</v>
      </c>
      <c r="B26" s="78"/>
      <c r="C26" s="83" t="str">
        <f>IFERROR(VLOOKUP($A26,GanttChart!$A:$JD,2,FALSE),"خطا")</f>
        <v>استقرار زيرساخت  وآماده سازی  زیر ساخت نرم افزاری سامان سوئیت</v>
      </c>
      <c r="D26" s="84">
        <f>IFERROR(VLOOKUP($A26,GanttChart!$A:$JD,261,FALSE),0)</f>
        <v>0</v>
      </c>
      <c r="E26" s="84">
        <f>IFERROR(VLOOKUP($A26,GanttChart!$A:$JD,262,FALSE),0)</f>
        <v>0</v>
      </c>
      <c r="F26" s="84">
        <f>IFERROR(VLOOKUP($A26,GanttChart!$A:$JD,263,FALSE),0)</f>
        <v>0</v>
      </c>
      <c r="G26" s="85">
        <f>IFERROR(VLOOKUP($A26,GanttChart!$A:$JD,264,FALSE),0)</f>
        <v>0</v>
      </c>
      <c r="H26" s="238"/>
      <c r="I26" s="85">
        <f t="shared" si="0"/>
        <v>0</v>
      </c>
      <c r="J26" s="7"/>
      <c r="K26" s="7"/>
      <c r="L26" s="7"/>
      <c r="M26" s="7"/>
      <c r="N26" s="7"/>
      <c r="O26" s="7"/>
    </row>
    <row r="27" spans="1:15" ht="31.5" x14ac:dyDescent="0.45">
      <c r="A27" s="78">
        <v>2.1</v>
      </c>
      <c r="B27" s="78"/>
      <c r="C27" s="83" t="str">
        <f>IFERROR(VLOOKUP($A27,GanttChart!$A:$JD,2,FALSE),"خطا")</f>
        <v xml:space="preserve">ارائه سند نيازمنديهاي شبکه و سخت افزار سرور و نرم افزار های مورد نیاز به کارفرما </v>
      </c>
      <c r="D27" s="84">
        <f>IFERROR(VLOOKUP($A27,GanttChart!$A:$JD,261,FALSE),0)</f>
        <v>0</v>
      </c>
      <c r="E27" s="84">
        <f>IFERROR(VLOOKUP($A27,GanttChart!$A:$JD,262,FALSE),0)</f>
        <v>0</v>
      </c>
      <c r="F27" s="84">
        <f>IFERROR(VLOOKUP($A27,GanttChart!$A:$JD,263,FALSE),0)</f>
        <v>0</v>
      </c>
      <c r="G27" s="85">
        <f>IFERROR(VLOOKUP($A27,GanttChart!$A:$JD,264,FALSE),0)</f>
        <v>0</v>
      </c>
      <c r="H27" s="238"/>
      <c r="I27" s="85">
        <f t="shared" si="0"/>
        <v>0</v>
      </c>
      <c r="J27" s="7"/>
      <c r="K27" s="7"/>
      <c r="L27" s="7"/>
      <c r="M27" s="7"/>
      <c r="N27" s="7"/>
      <c r="O27" s="7"/>
    </row>
    <row r="28" spans="1:15" ht="31.5" x14ac:dyDescent="0.45">
      <c r="A28" s="78">
        <v>2.2000000000000002</v>
      </c>
      <c r="B28" s="78"/>
      <c r="C28" s="83" t="str">
        <f>IFERROR(VLOOKUP($A28,GanttChart!$A:$JD,2,FALSE),"خطا")</f>
        <v xml:space="preserve">تامين و آماده سازي شبکه و زيرساخت سخت افزاری و نرم افزاری مورد نياز (سرور  اصلی و میرور) توسط کارفرما </v>
      </c>
      <c r="D28" s="84">
        <f>IFERROR(VLOOKUP($A28,GanttChart!$A:$JD,261,FALSE),0)</f>
        <v>0</v>
      </c>
      <c r="E28" s="84">
        <f>IFERROR(VLOOKUP($A28,GanttChart!$A:$JD,262,FALSE),0)</f>
        <v>0</v>
      </c>
      <c r="F28" s="84">
        <f>IFERROR(VLOOKUP($A28,GanttChart!$A:$JD,263,FALSE),0)</f>
        <v>0</v>
      </c>
      <c r="G28" s="85">
        <f>IFERROR(VLOOKUP($A28,GanttChart!$A:$JD,264,FALSE),0)</f>
        <v>0</v>
      </c>
      <c r="H28" s="238"/>
      <c r="I28" s="85">
        <f t="shared" si="0"/>
        <v>0</v>
      </c>
      <c r="J28" s="7"/>
      <c r="K28" s="7"/>
      <c r="L28" s="7"/>
      <c r="M28" s="7"/>
      <c r="N28" s="7"/>
      <c r="O28" s="7"/>
    </row>
    <row r="29" spans="1:15" ht="18.75" x14ac:dyDescent="0.45">
      <c r="A29" s="78">
        <v>2.2999999999999998</v>
      </c>
      <c r="B29" s="78"/>
      <c r="C29" s="83" t="str">
        <f>IFERROR(VLOOKUP($A29,GanttChart!$A:$JD,2,FALSE),"خطا")</f>
        <v>ارائه دسترسی راه دور به سرور از طریق (ssh) با حق دسترسی مدیریت</v>
      </c>
      <c r="D29" s="84">
        <f>IFERROR(VLOOKUP($A29,GanttChart!$A:$JD,261,FALSE),0)</f>
        <v>0</v>
      </c>
      <c r="E29" s="84">
        <f>IFERROR(VLOOKUP($A29,GanttChart!$A:$JD,262,FALSE),0)</f>
        <v>0</v>
      </c>
      <c r="F29" s="84">
        <f>IFERROR(VLOOKUP($A29,GanttChart!$A:$JD,263,FALSE),0)</f>
        <v>0</v>
      </c>
      <c r="G29" s="85">
        <f>IFERROR(VLOOKUP($A29,GanttChart!$A:$JD,264,FALSE),0)</f>
        <v>0</v>
      </c>
      <c r="H29" s="238"/>
      <c r="I29" s="85">
        <f t="shared" si="0"/>
        <v>0</v>
      </c>
      <c r="J29" s="7"/>
      <c r="K29" s="7"/>
      <c r="L29" s="7"/>
      <c r="M29" s="7"/>
      <c r="N29" s="7"/>
      <c r="O29" s="7"/>
    </row>
    <row r="30" spans="1:15" ht="18.75" x14ac:dyDescent="0.45">
      <c r="A30" s="78">
        <v>2.4</v>
      </c>
      <c r="B30" s="78"/>
      <c r="C30" s="83" t="str">
        <f>IFERROR(VLOOKUP($A30,GanttChart!$A:$JD,2,FALSE),"خطا")</f>
        <v>نصب و پیکربندی سرور پورتال و زیر ساخت نرم افزاری پایه آن</v>
      </c>
      <c r="D30" s="84">
        <f>IFERROR(VLOOKUP($A30,GanttChart!$A:$JD,261,FALSE),0)</f>
        <v>0</v>
      </c>
      <c r="E30" s="84">
        <f>IFERROR(VLOOKUP($A30,GanttChart!$A:$JD,262,FALSE),0)</f>
        <v>0</v>
      </c>
      <c r="F30" s="84">
        <f>IFERROR(VLOOKUP($A30,GanttChart!$A:$JD,263,FALSE),0)</f>
        <v>0</v>
      </c>
      <c r="G30" s="85">
        <f>IFERROR(VLOOKUP($A30,GanttChart!$A:$JD,264,FALSE),0)</f>
        <v>0</v>
      </c>
      <c r="H30" s="238"/>
      <c r="I30" s="85">
        <f t="shared" si="0"/>
        <v>0</v>
      </c>
      <c r="J30" s="7"/>
      <c r="K30" s="7"/>
      <c r="L30" s="7"/>
      <c r="M30" s="7"/>
      <c r="N30" s="7"/>
      <c r="O30" s="7"/>
    </row>
    <row r="31" spans="1:15" ht="31.5" hidden="1" x14ac:dyDescent="0.45">
      <c r="A31" s="78">
        <v>2.5</v>
      </c>
      <c r="B31" s="78"/>
      <c r="C31" s="83" t="str">
        <f>IFERROR(VLOOKUP($A31,GanttChart!$A:$JD,2,FALSE),"خطا")</f>
        <v>نصب و پیکربندی نرم افزار سامان سوئیت و سایر نرم افزاری های موضوع قرارداد بر روی سرور</v>
      </c>
      <c r="D31" s="84">
        <f>IFERROR(VLOOKUP($A31,GanttChart!$A:$JD,261,FALSE),0)</f>
        <v>0</v>
      </c>
      <c r="E31" s="84">
        <f>IFERROR(VLOOKUP($A31,GanttChart!$A:$JD,262,FALSE),0)</f>
        <v>0</v>
      </c>
      <c r="F31" s="84">
        <f>IFERROR(VLOOKUP($A31,GanttChart!$A:$JD,263,FALSE),0)</f>
        <v>0</v>
      </c>
      <c r="G31" s="85">
        <f>IFERROR(VLOOKUP($A31,GanttChart!$A:$JD,264,FALSE),0)</f>
        <v>0</v>
      </c>
      <c r="H31" s="238"/>
      <c r="I31" s="85">
        <f t="shared" si="0"/>
        <v>0</v>
      </c>
      <c r="J31" s="7"/>
      <c r="K31" s="7"/>
      <c r="L31" s="7"/>
      <c r="M31" s="7"/>
      <c r="N31" s="7"/>
      <c r="O31" s="7"/>
    </row>
    <row r="32" spans="1:15" ht="18.75" x14ac:dyDescent="0.45">
      <c r="A32" s="78">
        <v>2.6</v>
      </c>
      <c r="B32" s="78"/>
      <c r="C32" s="83" t="str">
        <f>IFERROR(VLOOKUP($A32,GanttChart!$A:$JD,2,FALSE),"خطا")</f>
        <v>تنظیم روال های تهیه نسخه پشتیبان دوره ای از نرم افزار سامان سوئیت</v>
      </c>
      <c r="D32" s="84">
        <f>IFERROR(VLOOKUP($A32,GanttChart!$A:$JD,261,FALSE),0)</f>
        <v>0</v>
      </c>
      <c r="E32" s="84">
        <f>IFERROR(VLOOKUP($A32,GanttChart!$A:$JD,262,FALSE),0)</f>
        <v>0</v>
      </c>
      <c r="F32" s="84">
        <f>IFERROR(VLOOKUP($A32,GanttChart!$A:$JD,263,FALSE),0)</f>
        <v>0</v>
      </c>
      <c r="G32" s="85">
        <f>IFERROR(VLOOKUP($A32,GanttChart!$A:$JD,264,FALSE),0)</f>
        <v>0</v>
      </c>
      <c r="H32" s="238"/>
      <c r="I32" s="85">
        <f t="shared" si="0"/>
        <v>0</v>
      </c>
      <c r="J32" s="7"/>
      <c r="K32" s="7"/>
      <c r="L32" s="7"/>
      <c r="M32" s="7"/>
      <c r="N32" s="7"/>
      <c r="O32" s="7"/>
    </row>
    <row r="33" spans="1:15" ht="31.5" hidden="1" x14ac:dyDescent="0.45">
      <c r="A33" s="78">
        <v>2.7</v>
      </c>
      <c r="B33" s="78"/>
      <c r="C33" s="83" t="str">
        <f>IFERROR(VLOOKUP($A33,GanttChart!$A:$JD,2,FALSE),"خطا")</f>
        <v>تحویل نرم افزار نصب شده مطابق با مجوزهای جدول الف و ب پیوست 8 قرارداد بر روی سرور کارفرما به کارفرما</v>
      </c>
      <c r="D33" s="84">
        <f>IFERROR(VLOOKUP($A33,GanttChart!$A:$JD,261,FALSE),0)</f>
        <v>0</v>
      </c>
      <c r="E33" s="84">
        <f>IFERROR(VLOOKUP($A33,GanttChart!$A:$JD,262,FALSE),0)</f>
        <v>0</v>
      </c>
      <c r="F33" s="84">
        <f>IFERROR(VLOOKUP($A33,GanttChart!$A:$JD,263,FALSE),0)</f>
        <v>0</v>
      </c>
      <c r="G33" s="85">
        <f>IFERROR(VLOOKUP($A33,GanttChart!$A:$JD,264,FALSE),0)</f>
        <v>0</v>
      </c>
      <c r="H33" s="238"/>
      <c r="I33" s="85">
        <f t="shared" si="0"/>
        <v>0</v>
      </c>
      <c r="J33" s="7"/>
      <c r="K33" s="7"/>
      <c r="L33" s="7"/>
      <c r="M33" s="7"/>
      <c r="N33" s="7"/>
      <c r="O33" s="7"/>
    </row>
    <row r="34" spans="1:15" ht="18.75" hidden="1" x14ac:dyDescent="0.45">
      <c r="A34" s="78">
        <v>2.8</v>
      </c>
      <c r="B34" s="78"/>
      <c r="C34" s="83" t="str">
        <f>IFERROR(VLOOKUP($A34,GanttChart!$A:$JD,2,FALSE),"خطا")</f>
        <v>تهیه و نگهداری نسخه های پشتیبان نرم افزار سامان سوئیت</v>
      </c>
      <c r="D34" s="84">
        <f>IFERROR(VLOOKUP($A34,GanttChart!$A:$JD,261,FALSE),0)</f>
        <v>0</v>
      </c>
      <c r="E34" s="84">
        <f>IFERROR(VLOOKUP($A34,GanttChart!$A:$JD,262,FALSE),0)</f>
        <v>0</v>
      </c>
      <c r="F34" s="84">
        <f>IFERROR(VLOOKUP($A34,GanttChart!$A:$JD,263,FALSE),0)</f>
        <v>0</v>
      </c>
      <c r="G34" s="85">
        <f>IFERROR(VLOOKUP($A34,GanttChart!$A:$JD,264,FALSE),0)</f>
        <v>0</v>
      </c>
      <c r="H34" s="238"/>
      <c r="I34" s="85">
        <f t="shared" si="0"/>
        <v>0</v>
      </c>
      <c r="J34" s="7"/>
      <c r="K34" s="7"/>
      <c r="L34" s="7"/>
      <c r="M34" s="7"/>
      <c r="N34" s="7"/>
      <c r="O34" s="7"/>
    </row>
    <row r="35" spans="1:15" ht="18.75" hidden="1" x14ac:dyDescent="0.45">
      <c r="A35" s="78">
        <v>2.9</v>
      </c>
      <c r="B35" s="78"/>
      <c r="C35" s="83" t="str">
        <f>IFERROR(VLOOKUP($A35,GanttChart!$A:$JD,2,FALSE),"خطا")</f>
        <v>تحویل سرور اصلی و میرور به کارفرما</v>
      </c>
      <c r="D35" s="84">
        <f>IFERROR(VLOOKUP($A35,GanttChart!$A:$JD,261,FALSE),0)</f>
        <v>0</v>
      </c>
      <c r="E35" s="84">
        <f>IFERROR(VLOOKUP($A35,GanttChart!$A:$JD,262,FALSE),0)</f>
        <v>0</v>
      </c>
      <c r="F35" s="84">
        <f>IFERROR(VLOOKUP($A35,GanttChart!$A:$JD,263,FALSE),0)</f>
        <v>0</v>
      </c>
      <c r="G35" s="85">
        <f>IFERROR(VLOOKUP($A35,GanttChart!$A:$JD,264,FALSE),0)</f>
        <v>0</v>
      </c>
      <c r="H35" s="238"/>
      <c r="I35" s="85">
        <f t="shared" si="0"/>
        <v>0</v>
      </c>
      <c r="J35" s="7"/>
      <c r="K35" s="7"/>
      <c r="L35" s="7"/>
      <c r="M35" s="7"/>
      <c r="N35" s="7"/>
      <c r="O35" s="7"/>
    </row>
    <row r="36" spans="1:15" ht="18.75" hidden="1" x14ac:dyDescent="0.45">
      <c r="A36" s="78">
        <v>2.11</v>
      </c>
      <c r="B36" s="78"/>
      <c r="C36" s="83">
        <f>IFERROR(VLOOKUP($A36,GanttChart!$A:$JD,2,FALSE),"خطا")</f>
        <v>0</v>
      </c>
      <c r="D36" s="84">
        <f>IFERROR(VLOOKUP($A36,GanttChart!$A:$JD,261,FALSE),0)</f>
        <v>0</v>
      </c>
      <c r="E36" s="84">
        <f>IFERROR(VLOOKUP($A36,GanttChart!$A:$JD,262,FALSE),0)</f>
        <v>0</v>
      </c>
      <c r="F36" s="84">
        <f>IFERROR(VLOOKUP($A36,GanttChart!$A:$JD,263,FALSE),0)</f>
        <v>0</v>
      </c>
      <c r="G36" s="85">
        <f>IFERROR(VLOOKUP($A36,GanttChart!$A:$JD,264,FALSE),0)</f>
        <v>0</v>
      </c>
      <c r="H36" s="238"/>
      <c r="I36" s="85">
        <f t="shared" si="0"/>
        <v>0</v>
      </c>
      <c r="J36" s="7"/>
      <c r="K36" s="7"/>
      <c r="L36" s="7"/>
      <c r="M36" s="7"/>
      <c r="N36" s="7"/>
      <c r="O36" s="7"/>
    </row>
    <row r="37" spans="1:15" ht="18.75" hidden="1" x14ac:dyDescent="0.45">
      <c r="A37" s="78">
        <v>2.12</v>
      </c>
      <c r="B37" s="78"/>
      <c r="C37" s="83">
        <f>IFERROR(VLOOKUP($A37,GanttChart!$A:$JD,2,FALSE),"خطا")</f>
        <v>0</v>
      </c>
      <c r="D37" s="84">
        <f>IFERROR(VLOOKUP($A37,GanttChart!$A:$JD,261,FALSE),0)</f>
        <v>0</v>
      </c>
      <c r="E37" s="84">
        <f>IFERROR(VLOOKUP($A37,GanttChart!$A:$JD,262,FALSE),0)</f>
        <v>0</v>
      </c>
      <c r="F37" s="84">
        <f>IFERROR(VLOOKUP($A37,GanttChart!$A:$JD,263,FALSE),0)</f>
        <v>0</v>
      </c>
      <c r="G37" s="85">
        <f>IFERROR(VLOOKUP($A37,GanttChart!$A:$JD,264,FALSE),0)</f>
        <v>0</v>
      </c>
      <c r="H37" s="238"/>
      <c r="I37" s="85">
        <f t="shared" si="0"/>
        <v>0</v>
      </c>
      <c r="J37" s="7"/>
      <c r="K37" s="7"/>
      <c r="L37" s="7"/>
      <c r="M37" s="7"/>
      <c r="N37" s="7"/>
      <c r="O37" s="7"/>
    </row>
    <row r="38" spans="1:15" ht="18.75" hidden="1" x14ac:dyDescent="0.45">
      <c r="A38" s="78">
        <v>2.13</v>
      </c>
      <c r="B38" s="78"/>
      <c r="C38" s="83">
        <f>IFERROR(VLOOKUP($A38,GanttChart!$A:$JD,2,FALSE),"خطا")</f>
        <v>0</v>
      </c>
      <c r="D38" s="84">
        <f>IFERROR(VLOOKUP($A38,GanttChart!$A:$JD,261,FALSE),0)</f>
        <v>0</v>
      </c>
      <c r="E38" s="84">
        <f>IFERROR(VLOOKUP($A38,GanttChart!$A:$JD,262,FALSE),0)</f>
        <v>0</v>
      </c>
      <c r="F38" s="84">
        <f>IFERROR(VLOOKUP($A38,GanttChart!$A:$JD,263,FALSE),0)</f>
        <v>0</v>
      </c>
      <c r="G38" s="85">
        <f>IFERROR(VLOOKUP($A38,GanttChart!$A:$JD,264,FALSE),0)</f>
        <v>0</v>
      </c>
      <c r="H38" s="238"/>
      <c r="I38" s="85">
        <f t="shared" si="0"/>
        <v>0</v>
      </c>
      <c r="J38" s="7"/>
      <c r="K38" s="7"/>
      <c r="L38" s="7"/>
      <c r="M38" s="7"/>
      <c r="N38" s="7"/>
      <c r="O38" s="7"/>
    </row>
    <row r="39" spans="1:15" ht="18.75" hidden="1" x14ac:dyDescent="0.45">
      <c r="A39" s="78">
        <v>2.14</v>
      </c>
      <c r="B39" s="78"/>
      <c r="C39" s="83">
        <f>IFERROR(VLOOKUP($A39,GanttChart!$A:$JD,2,FALSE),"خطا")</f>
        <v>0</v>
      </c>
      <c r="D39" s="84">
        <f>IFERROR(VLOOKUP($A39,GanttChart!$A:$JD,261,FALSE),0)</f>
        <v>0</v>
      </c>
      <c r="E39" s="84">
        <f>IFERROR(VLOOKUP($A39,GanttChart!$A:$JD,262,FALSE),0)</f>
        <v>0</v>
      </c>
      <c r="F39" s="84">
        <f>IFERROR(VLOOKUP($A39,GanttChart!$A:$JD,263,FALSE),0)</f>
        <v>0</v>
      </c>
      <c r="G39" s="85">
        <f>IFERROR(VLOOKUP($A39,GanttChart!$A:$JD,264,FALSE),0)</f>
        <v>0</v>
      </c>
      <c r="H39" s="238"/>
      <c r="I39" s="85">
        <f t="shared" si="0"/>
        <v>0</v>
      </c>
      <c r="J39" s="7"/>
      <c r="K39" s="7"/>
      <c r="L39" s="7"/>
      <c r="M39" s="7"/>
      <c r="N39" s="7"/>
      <c r="O39" s="7"/>
    </row>
    <row r="40" spans="1:15" ht="18.75" hidden="1" x14ac:dyDescent="0.45">
      <c r="A40" s="78">
        <v>2.15</v>
      </c>
      <c r="B40" s="78"/>
      <c r="C40" s="83">
        <f>IFERROR(VLOOKUP($A40,GanttChart!$A:$JD,2,FALSE),"خطا")</f>
        <v>0</v>
      </c>
      <c r="D40" s="84">
        <f>IFERROR(VLOOKUP($A40,GanttChart!$A:$JD,261,FALSE),0)</f>
        <v>0</v>
      </c>
      <c r="E40" s="84">
        <f>IFERROR(VLOOKUP($A40,GanttChart!$A:$JD,262,FALSE),0)</f>
        <v>0</v>
      </c>
      <c r="F40" s="84">
        <f>IFERROR(VLOOKUP($A40,GanttChart!$A:$JD,263,FALSE),0)</f>
        <v>0</v>
      </c>
      <c r="G40" s="85">
        <f>IFERROR(VLOOKUP($A40,GanttChart!$A:$JD,264,FALSE),0)</f>
        <v>0</v>
      </c>
      <c r="H40" s="238"/>
      <c r="I40" s="85">
        <f t="shared" si="0"/>
        <v>0</v>
      </c>
      <c r="J40" s="7"/>
      <c r="K40" s="7"/>
      <c r="L40" s="7"/>
      <c r="M40" s="7"/>
      <c r="N40" s="7"/>
      <c r="O40" s="7"/>
    </row>
    <row r="41" spans="1:15" ht="18.75" hidden="1" x14ac:dyDescent="0.45">
      <c r="A41" s="78">
        <v>2.16</v>
      </c>
      <c r="B41" s="78"/>
      <c r="C41" s="83">
        <f>IFERROR(VLOOKUP($A41,GanttChart!$A:$JD,2,FALSE),"خطا")</f>
        <v>0</v>
      </c>
      <c r="D41" s="84">
        <f>IFERROR(VLOOKUP($A41,GanttChart!$A:$JD,261,FALSE),0)</f>
        <v>0</v>
      </c>
      <c r="E41" s="84">
        <f>IFERROR(VLOOKUP($A41,GanttChart!$A:$JD,262,FALSE),0)</f>
        <v>0</v>
      </c>
      <c r="F41" s="84">
        <f>IFERROR(VLOOKUP($A41,GanttChart!$A:$JD,263,FALSE),0)</f>
        <v>0</v>
      </c>
      <c r="G41" s="85">
        <f>IFERROR(VLOOKUP($A41,GanttChart!$A:$JD,264,FALSE),0)</f>
        <v>0</v>
      </c>
      <c r="H41" s="238"/>
      <c r="I41" s="85">
        <f t="shared" si="0"/>
        <v>0</v>
      </c>
      <c r="J41" s="7"/>
      <c r="K41" s="7"/>
      <c r="L41" s="7"/>
      <c r="M41" s="7"/>
      <c r="N41" s="7"/>
      <c r="O41" s="7"/>
    </row>
    <row r="42" spans="1:15" ht="18.75" hidden="1" x14ac:dyDescent="0.45">
      <c r="A42" s="78">
        <v>2.17</v>
      </c>
      <c r="B42" s="78"/>
      <c r="C42" s="83">
        <f>IFERROR(VLOOKUP($A42,GanttChart!$A:$JD,2,FALSE),"خطا")</f>
        <v>0</v>
      </c>
      <c r="D42" s="84">
        <f>IFERROR(VLOOKUP($A42,GanttChart!$A:$JD,261,FALSE),0)</f>
        <v>0</v>
      </c>
      <c r="E42" s="84">
        <f>IFERROR(VLOOKUP($A42,GanttChart!$A:$JD,262,FALSE),0)</f>
        <v>0</v>
      </c>
      <c r="F42" s="84">
        <f>IFERROR(VLOOKUP($A42,GanttChart!$A:$JD,263,FALSE),0)</f>
        <v>0</v>
      </c>
      <c r="G42" s="85">
        <f>IFERROR(VLOOKUP($A42,GanttChart!$A:$JD,264,FALSE),0)</f>
        <v>0</v>
      </c>
      <c r="H42" s="238"/>
      <c r="I42" s="85">
        <f t="shared" si="0"/>
        <v>0</v>
      </c>
      <c r="J42" s="7"/>
      <c r="K42" s="7"/>
      <c r="L42" s="7"/>
      <c r="M42" s="7"/>
      <c r="N42" s="7"/>
      <c r="O42" s="7"/>
    </row>
    <row r="43" spans="1:15" ht="18.75" hidden="1" x14ac:dyDescent="0.45">
      <c r="A43" s="78">
        <v>2.1800000000000002</v>
      </c>
      <c r="B43" s="78"/>
      <c r="C43" s="83">
        <f>IFERROR(VLOOKUP($A43,GanttChart!$A:$JD,2,FALSE),"خطا")</f>
        <v>0</v>
      </c>
      <c r="D43" s="84">
        <f>IFERROR(VLOOKUP($A43,GanttChart!$A:$JD,261,FALSE),0)</f>
        <v>0</v>
      </c>
      <c r="E43" s="84">
        <f>IFERROR(VLOOKUP($A43,GanttChart!$A:$JD,262,FALSE),0)</f>
        <v>0</v>
      </c>
      <c r="F43" s="84">
        <f>IFERROR(VLOOKUP($A43,GanttChart!$A:$JD,263,FALSE),0)</f>
        <v>0</v>
      </c>
      <c r="G43" s="85">
        <f>IFERROR(VLOOKUP($A43,GanttChart!$A:$JD,264,FALSE),0)</f>
        <v>0</v>
      </c>
      <c r="H43" s="238"/>
      <c r="I43" s="85">
        <f t="shared" si="0"/>
        <v>0</v>
      </c>
      <c r="J43" s="7"/>
      <c r="K43" s="7"/>
      <c r="L43" s="7"/>
      <c r="M43" s="7"/>
      <c r="N43" s="7"/>
      <c r="O43" s="7"/>
    </row>
    <row r="44" spans="1:15" ht="18.75" hidden="1" x14ac:dyDescent="0.45">
      <c r="A44" s="78">
        <v>2.19</v>
      </c>
      <c r="B44" s="78"/>
      <c r="C44" s="83">
        <f>IFERROR(VLOOKUP($A44,GanttChart!$A:$JD,2,FALSE),"خطا")</f>
        <v>0</v>
      </c>
      <c r="D44" s="84">
        <f>IFERROR(VLOOKUP($A44,GanttChart!$A:$JD,261,FALSE),0)</f>
        <v>0</v>
      </c>
      <c r="E44" s="84">
        <f>IFERROR(VLOOKUP($A44,GanttChart!$A:$JD,262,FALSE),0)</f>
        <v>0</v>
      </c>
      <c r="F44" s="84">
        <f>IFERROR(VLOOKUP($A44,GanttChart!$A:$JD,263,FALSE),0)</f>
        <v>0</v>
      </c>
      <c r="G44" s="85">
        <f>IFERROR(VLOOKUP($A44,GanttChart!$A:$JD,264,FALSE),0)</f>
        <v>0</v>
      </c>
      <c r="H44" s="238"/>
      <c r="I44" s="85">
        <f t="shared" si="0"/>
        <v>0</v>
      </c>
      <c r="J44" s="7"/>
      <c r="K44" s="7"/>
      <c r="L44" s="7"/>
      <c r="M44" s="7"/>
      <c r="N44" s="7"/>
      <c r="O44" s="7"/>
    </row>
    <row r="45" spans="1:15" ht="18.75" hidden="1" x14ac:dyDescent="0.45">
      <c r="A45" s="78">
        <v>2.21</v>
      </c>
      <c r="B45" s="78"/>
      <c r="C45" s="83" t="str">
        <f>IFERROR(VLOOKUP($A45,GanttChart!$A:$JD,2,FALSE),"خطا")</f>
        <v>خطا</v>
      </c>
      <c r="D45" s="84">
        <f>IFERROR(VLOOKUP($A45,GanttChart!$A:$JD,261,FALSE),0)</f>
        <v>0</v>
      </c>
      <c r="E45" s="84">
        <f>IFERROR(VLOOKUP($A45,GanttChart!$A:$JD,262,FALSE),0)</f>
        <v>0</v>
      </c>
      <c r="F45" s="84">
        <f>IFERROR(VLOOKUP($A45,GanttChart!$A:$JD,263,FALSE),0)</f>
        <v>0</v>
      </c>
      <c r="G45" s="85">
        <f>IFERROR(VLOOKUP($A45,GanttChart!$A:$JD,264,FALSE),0)</f>
        <v>0</v>
      </c>
      <c r="H45" s="238"/>
      <c r="I45" s="85">
        <f t="shared" si="0"/>
        <v>0</v>
      </c>
      <c r="J45" s="7"/>
      <c r="K45" s="7"/>
      <c r="L45" s="7"/>
      <c r="M45" s="7"/>
      <c r="N45" s="7"/>
      <c r="O45" s="7"/>
    </row>
    <row r="46" spans="1:15" ht="18.75" hidden="1" x14ac:dyDescent="0.45">
      <c r="A46" s="78">
        <v>2.2200000000000002</v>
      </c>
      <c r="B46" s="78"/>
      <c r="C46" s="83" t="str">
        <f>IFERROR(VLOOKUP($A46,GanttChart!$A:$JD,2,FALSE),"خطا")</f>
        <v>خطا</v>
      </c>
      <c r="D46" s="84">
        <f>IFERROR(VLOOKUP($A46,GanttChart!$A:$JD,261,FALSE),0)</f>
        <v>0</v>
      </c>
      <c r="E46" s="84">
        <f>IFERROR(VLOOKUP($A46,GanttChart!$A:$JD,262,FALSE),0)</f>
        <v>0</v>
      </c>
      <c r="F46" s="84">
        <f>IFERROR(VLOOKUP($A46,GanttChart!$A:$JD,263,FALSE),0)</f>
        <v>0</v>
      </c>
      <c r="G46" s="85">
        <f>IFERROR(VLOOKUP($A46,GanttChart!$A:$JD,264,FALSE),0)</f>
        <v>0</v>
      </c>
      <c r="H46" s="238"/>
      <c r="I46" s="85">
        <f t="shared" si="0"/>
        <v>0</v>
      </c>
      <c r="J46" s="7"/>
      <c r="K46" s="7"/>
      <c r="L46" s="7"/>
      <c r="M46" s="7"/>
      <c r="N46" s="7"/>
      <c r="O46" s="7"/>
    </row>
    <row r="47" spans="1:15" ht="18.75" hidden="1" x14ac:dyDescent="0.45">
      <c r="A47" s="78">
        <v>2.23</v>
      </c>
      <c r="B47" s="78"/>
      <c r="C47" s="83" t="str">
        <f>IFERROR(VLOOKUP($A47,GanttChart!$A:$JD,2,FALSE),"خطا")</f>
        <v>خطا</v>
      </c>
      <c r="D47" s="84">
        <f>IFERROR(VLOOKUP($A47,GanttChart!$A:$JD,261,FALSE),0)</f>
        <v>0</v>
      </c>
      <c r="E47" s="84">
        <f>IFERROR(VLOOKUP($A47,GanttChart!$A:$JD,262,FALSE),0)</f>
        <v>0</v>
      </c>
      <c r="F47" s="84">
        <f>IFERROR(VLOOKUP($A47,GanttChart!$A:$JD,263,FALSE),0)</f>
        <v>0</v>
      </c>
      <c r="G47" s="85">
        <f>IFERROR(VLOOKUP($A47,GanttChart!$A:$JD,264,FALSE),0)</f>
        <v>0</v>
      </c>
      <c r="H47" s="238"/>
      <c r="I47" s="85">
        <f t="shared" si="0"/>
        <v>0</v>
      </c>
      <c r="J47" s="7"/>
      <c r="K47" s="7"/>
      <c r="L47" s="7"/>
      <c r="M47" s="7"/>
      <c r="N47" s="7"/>
      <c r="O47" s="7"/>
    </row>
    <row r="48" spans="1:15" ht="18.75" hidden="1" x14ac:dyDescent="0.45">
      <c r="A48" s="78">
        <v>3</v>
      </c>
      <c r="B48" s="78"/>
      <c r="C48" s="83" t="str">
        <f>IFERROR(VLOOKUP($A48,GanttChart!$A:$JD,2,FALSE),"خطا")</f>
        <v>ارائه خدمات اجرایی موضوع قرارداد</v>
      </c>
      <c r="D48" s="84">
        <f>IFERROR(VLOOKUP($A48,GanttChart!$A:$JD,261,FALSE),0)</f>
        <v>0</v>
      </c>
      <c r="E48" s="84">
        <f>IFERROR(VLOOKUP($A48,GanttChart!$A:$JD,262,FALSE),0)</f>
        <v>0</v>
      </c>
      <c r="F48" s="84">
        <f>IFERROR(VLOOKUP($A48,GanttChart!$A:$JD,263,FALSE),0)</f>
        <v>0</v>
      </c>
      <c r="G48" s="85">
        <f>IFERROR(VLOOKUP($A48,GanttChart!$A:$JD,264,FALSE),0)</f>
        <v>0</v>
      </c>
      <c r="H48" s="238"/>
      <c r="I48" s="85">
        <f t="shared" si="0"/>
        <v>0</v>
      </c>
      <c r="J48" s="7"/>
      <c r="K48" s="7"/>
      <c r="L48" s="7"/>
      <c r="M48" s="7"/>
      <c r="N48" s="7"/>
      <c r="O48" s="7"/>
    </row>
    <row r="49" spans="1:15" ht="18.75" x14ac:dyDescent="0.45">
      <c r="A49" s="78">
        <v>3.1</v>
      </c>
      <c r="B49" s="78"/>
      <c r="C49" s="83" t="str">
        <f>IFERROR(VLOOKUP($A49,GanttChart!$A:$JD,2,FALSE),"خطا")</f>
        <v>ارائه پرسش نامه های نیازسنجی محتوایی و گرافیکی</v>
      </c>
      <c r="D49" s="84">
        <f>IFERROR(VLOOKUP($A49,GanttChart!$A:$JD,261,FALSE),0)</f>
        <v>0</v>
      </c>
      <c r="E49" s="84">
        <f>IFERROR(VLOOKUP($A49,GanttChart!$A:$JD,262,FALSE),0)</f>
        <v>0</v>
      </c>
      <c r="F49" s="84">
        <f>IFERROR(VLOOKUP($A49,GanttChart!$A:$JD,263,FALSE),0)</f>
        <v>0</v>
      </c>
      <c r="G49" s="85">
        <f>IFERROR(VLOOKUP($A49,GanttChart!$A:$JD,264,FALSE),0)</f>
        <v>0</v>
      </c>
      <c r="H49" s="238"/>
      <c r="I49" s="85">
        <f t="shared" si="0"/>
        <v>0</v>
      </c>
      <c r="J49" s="7"/>
      <c r="K49" s="7"/>
      <c r="L49" s="7"/>
      <c r="M49" s="7"/>
      <c r="N49" s="7"/>
      <c r="O49" s="7"/>
    </row>
    <row r="50" spans="1:15" ht="31.5" hidden="1" x14ac:dyDescent="0.45">
      <c r="A50" s="78">
        <v>3.2</v>
      </c>
      <c r="B50" s="78"/>
      <c r="C50" s="83" t="str">
        <f>IFERROR(VLOOKUP($A50,GanttChart!$A:$JD,2,FALSE),"خطا")</f>
        <v>تکمیل پرسش نامه های نیاز سنجی محتوایی و گرافیکی به تفکیک پورتال اصلی (فارسی و انگلیسی)، زیر پورتال ها و درگاه های اختصاصی</v>
      </c>
      <c r="D50" s="84">
        <f>IFERROR(VLOOKUP($A50,GanttChart!$A:$JD,261,FALSE),0)</f>
        <v>0</v>
      </c>
      <c r="E50" s="84">
        <f>IFERROR(VLOOKUP($A50,GanttChart!$A:$JD,262,FALSE),0)</f>
        <v>0</v>
      </c>
      <c r="F50" s="84">
        <f>IFERROR(VLOOKUP($A50,GanttChart!$A:$JD,263,FALSE),0)</f>
        <v>0</v>
      </c>
      <c r="G50" s="85">
        <f>IFERROR(VLOOKUP($A50,GanttChart!$A:$JD,264,FALSE),0)</f>
        <v>0</v>
      </c>
      <c r="H50" s="238"/>
      <c r="I50" s="85">
        <f t="shared" si="0"/>
        <v>0</v>
      </c>
    </row>
    <row r="51" spans="1:15" ht="18.75" x14ac:dyDescent="0.45">
      <c r="A51" s="78">
        <v>3.3</v>
      </c>
      <c r="B51" s="78"/>
      <c r="C51" s="83" t="str">
        <f>IFERROR(VLOOKUP($A51,GanttChart!$A:$JD,2,FALSE),"خطا")</f>
        <v>تدوین سند شناخت وضع جاری</v>
      </c>
      <c r="D51" s="84">
        <f>IFERROR(VLOOKUP($A51,GanttChart!$A:$JD,261,FALSE),0)</f>
        <v>0</v>
      </c>
      <c r="E51" s="84">
        <f>IFERROR(VLOOKUP($A51,GanttChart!$A:$JD,262,FALSE),0)</f>
        <v>0</v>
      </c>
      <c r="F51" s="84">
        <f>IFERROR(VLOOKUP($A51,GanttChart!$A:$JD,263,FALSE),0)</f>
        <v>0</v>
      </c>
      <c r="G51" s="85">
        <f>IFERROR(VLOOKUP($A51,GanttChart!$A:$JD,264,FALSE),0)</f>
        <v>0</v>
      </c>
      <c r="H51" s="238"/>
      <c r="I51" s="85">
        <f t="shared" si="0"/>
        <v>0</v>
      </c>
    </row>
    <row r="52" spans="1:15" ht="18.75" hidden="1" x14ac:dyDescent="0.45">
      <c r="A52" s="78">
        <v>3.4</v>
      </c>
      <c r="B52" s="78"/>
      <c r="C52" s="83" t="str">
        <f>IFERROR(VLOOKUP($A52,GanttChart!$A:$JD,2,FALSE),"خطا")</f>
        <v>جمع بندی نيازمنديهای فرايند شناخت و تدوین سند معماری محتوا (تدریجی)</v>
      </c>
      <c r="D52" s="84">
        <f>IFERROR(VLOOKUP($A52,GanttChart!$A:$JD,261,FALSE),0)</f>
        <v>0</v>
      </c>
      <c r="E52" s="84">
        <f>IFERROR(VLOOKUP($A52,GanttChart!$A:$JD,262,FALSE),0)</f>
        <v>0</v>
      </c>
      <c r="F52" s="84">
        <f>IFERROR(VLOOKUP($A52,GanttChart!$A:$JD,263,FALSE),0)</f>
        <v>0</v>
      </c>
      <c r="G52" s="85">
        <f>IFERROR(VLOOKUP($A52,GanttChart!$A:$JD,264,FALSE),0)</f>
        <v>0</v>
      </c>
      <c r="H52" s="238"/>
      <c r="I52" s="85">
        <f t="shared" si="0"/>
        <v>0</v>
      </c>
    </row>
    <row r="53" spans="1:15" ht="18.75" x14ac:dyDescent="0.45">
      <c r="A53" s="78">
        <v>3.5</v>
      </c>
      <c r="B53" s="78"/>
      <c r="C53" s="83" t="str">
        <f>IFERROR(VLOOKUP($A53,GanttChart!$A:$JD,2,FALSE),"خطا")</f>
        <v>بررسی و تایید مستند معماری محتوا توسط کارفرما (تدریجی)</v>
      </c>
      <c r="D53" s="84">
        <f>IFERROR(VLOOKUP($A53,GanttChart!$A:$JD,261,FALSE),0)</f>
        <v>0</v>
      </c>
      <c r="E53" s="84">
        <f>IFERROR(VLOOKUP($A53,GanttChart!$A:$JD,262,FALSE),0)</f>
        <v>0</v>
      </c>
      <c r="F53" s="84">
        <f>IFERROR(VLOOKUP($A53,GanttChart!$A:$JD,263,FALSE),0)</f>
        <v>0</v>
      </c>
      <c r="G53" s="85">
        <f>IFERROR(VLOOKUP($A53,GanttChart!$A:$JD,264,FALSE),0)</f>
        <v>0</v>
      </c>
      <c r="H53" s="238"/>
      <c r="I53" s="85">
        <f t="shared" si="0"/>
        <v>0</v>
      </c>
    </row>
    <row r="54" spans="1:15" ht="18.75" x14ac:dyDescent="0.45">
      <c r="A54" s="78">
        <v>3.6</v>
      </c>
      <c r="B54" s="78"/>
      <c r="C54" s="83" t="str">
        <f>IFERROR(VLOOKUP($A54,GanttChart!$A:$JD,2,FALSE),"خطا")</f>
        <v>ارائه یک قالب گرافیکی همسان فارسی و انگلیسی برای زیر پورتال اینترنتی</v>
      </c>
      <c r="D54" s="84">
        <f>IFERROR(VLOOKUP($A54,GanttChart!$A:$JD,261,FALSE),0)</f>
        <v>0</v>
      </c>
      <c r="E54" s="84">
        <f>IFERROR(VLOOKUP($A54,GanttChart!$A:$JD,262,FALSE),0)</f>
        <v>0</v>
      </c>
      <c r="F54" s="84">
        <f>IFERROR(VLOOKUP($A54,GanttChart!$A:$JD,263,FALSE),0)</f>
        <v>0</v>
      </c>
      <c r="G54" s="85">
        <f>IFERROR(VLOOKUP($A54,GanttChart!$A:$JD,264,FALSE),0)</f>
        <v>0</v>
      </c>
      <c r="H54" s="238"/>
      <c r="I54" s="85">
        <f t="shared" si="0"/>
        <v>0</v>
      </c>
    </row>
    <row r="55" spans="1:15" ht="31.5" hidden="1" x14ac:dyDescent="0.45">
      <c r="A55" s="78">
        <v>3.7</v>
      </c>
      <c r="B55" s="78"/>
      <c r="C55" s="83" t="str">
        <f>IFERROR(VLOOKUP($A55,GanttChart!$A:$JD,2,FALSE),"خطا")</f>
        <v>نهایی سازی قالب گرافیکی همسان برای پورتال اینترنتی مطابق نظر کارفرما (اعلام نظر کارفرما: 1 روز کاری، نهایی سازی: 2 روزکاری)</v>
      </c>
      <c r="D55" s="84">
        <f>IFERROR(VLOOKUP($A55,GanttChart!$A:$JD,261,FALSE),0)</f>
        <v>0</v>
      </c>
      <c r="E55" s="84">
        <f>IFERROR(VLOOKUP($A55,GanttChart!$A:$JD,262,FALSE),0)</f>
        <v>0</v>
      </c>
      <c r="F55" s="84">
        <f>IFERROR(VLOOKUP($A55,GanttChart!$A:$JD,263,FALSE),0)</f>
        <v>0</v>
      </c>
      <c r="G55" s="85">
        <f>IFERROR(VLOOKUP($A55,GanttChart!$A:$JD,264,FALSE),0)</f>
        <v>0</v>
      </c>
      <c r="H55" s="238"/>
      <c r="I55" s="85">
        <f t="shared" si="0"/>
        <v>0</v>
      </c>
    </row>
    <row r="56" spans="1:15" ht="18.75" hidden="1" x14ac:dyDescent="0.45">
      <c r="A56" s="78">
        <v>3.8</v>
      </c>
      <c r="B56" s="78"/>
      <c r="C56" s="83" t="str">
        <f>IFERROR(VLOOKUP($A56,GanttChart!$A:$JD,2,FALSE),"خطا")</f>
        <v>ارائه سر صفحه اختصاصی زیر پورتال بیمه مسافرتی</v>
      </c>
      <c r="D56" s="84">
        <f>IFERROR(VLOOKUP($A56,GanttChart!$A:$JD,261,FALSE),0)</f>
        <v>0</v>
      </c>
      <c r="E56" s="84">
        <f>IFERROR(VLOOKUP($A56,GanttChart!$A:$JD,262,FALSE),0)</f>
        <v>0</v>
      </c>
      <c r="F56" s="84">
        <f>IFERROR(VLOOKUP($A56,GanttChart!$A:$JD,263,FALSE),0)</f>
        <v>0</v>
      </c>
      <c r="G56" s="85">
        <f>IFERROR(VLOOKUP($A56,GanttChart!$A:$JD,264,FALSE),0)</f>
        <v>0</v>
      </c>
      <c r="H56" s="238"/>
      <c r="I56" s="85">
        <f t="shared" si="0"/>
        <v>0</v>
      </c>
    </row>
    <row r="57" spans="1:15" ht="31.5" hidden="1" x14ac:dyDescent="0.45">
      <c r="A57" s="78">
        <v>3.9</v>
      </c>
      <c r="B57" s="78"/>
      <c r="C57" s="83" t="str">
        <f>IFERROR(VLOOKUP($A57,GanttChart!$A:$JD,2,FALSE),"خطا")</f>
        <v>نهایی سازی سر صفحه اختصاصی زیر پورتال مسافرتی مطابق نظر کارفرما (اعلام نظر کارفرما و نهایی سازی: 2 روزکاری)</v>
      </c>
      <c r="D57" s="84">
        <f>IFERROR(VLOOKUP($A57,GanttChart!$A:$JD,261,FALSE),0)</f>
        <v>0</v>
      </c>
      <c r="E57" s="84">
        <f>IFERROR(VLOOKUP($A57,GanttChart!$A:$JD,262,FALSE),0)</f>
        <v>0</v>
      </c>
      <c r="F57" s="84">
        <f>IFERROR(VLOOKUP($A57,GanttChart!$A:$JD,263,FALSE),0)</f>
        <v>0</v>
      </c>
      <c r="G57" s="85">
        <f>IFERROR(VLOOKUP($A57,GanttChart!$A:$JD,264,FALSE),0)</f>
        <v>0</v>
      </c>
      <c r="H57" s="238"/>
      <c r="I57" s="85">
        <f t="shared" si="0"/>
        <v>0</v>
      </c>
    </row>
    <row r="58" spans="1:15" ht="18.75" hidden="1" x14ac:dyDescent="0.45">
      <c r="A58" s="78">
        <v>3.11</v>
      </c>
      <c r="B58" s="78"/>
      <c r="C58" s="83" t="str">
        <f>IFERROR(VLOOKUP($A58,GanttChart!$A:$JD,2,FALSE),"خطا")</f>
        <v>ارائه سر صفحه اختصاصی زیر پورتال بیمه عمر</v>
      </c>
      <c r="D58" s="84">
        <f>IFERROR(VLOOKUP($A58,GanttChart!$A:$JD,261,FALSE),0)</f>
        <v>0</v>
      </c>
      <c r="E58" s="84">
        <f>IFERROR(VLOOKUP($A58,GanttChart!$A:$JD,262,FALSE),0)</f>
        <v>0</v>
      </c>
      <c r="F58" s="84">
        <f>IFERROR(VLOOKUP($A58,GanttChart!$A:$JD,263,FALSE),0)</f>
        <v>0</v>
      </c>
      <c r="G58" s="85">
        <f>IFERROR(VLOOKUP($A58,GanttChart!$A:$JD,264,FALSE),0)</f>
        <v>0</v>
      </c>
      <c r="H58" s="238"/>
      <c r="I58" s="85">
        <f t="shared" si="0"/>
        <v>0</v>
      </c>
    </row>
    <row r="59" spans="1:15" ht="31.5" hidden="1" x14ac:dyDescent="0.45">
      <c r="A59" s="78">
        <v>3.12</v>
      </c>
      <c r="B59" s="78"/>
      <c r="C59" s="83" t="str">
        <f>IFERROR(VLOOKUP($A59,GanttChart!$A:$JD,2,FALSE),"خطا")</f>
        <v>نهایی سازی  سر صفحه اختصاصی زیر پورتال عمر مطابق نظر کارفرما (اعلام نظر کارفرما و نهایی سازی: 2 روزکاری)</v>
      </c>
      <c r="D59" s="84">
        <f>IFERROR(VLOOKUP($A59,GanttChart!$A:$JD,261,FALSE),0)</f>
        <v>0</v>
      </c>
      <c r="E59" s="84">
        <f>IFERROR(VLOOKUP($A59,GanttChart!$A:$JD,262,FALSE),0)</f>
        <v>0</v>
      </c>
      <c r="F59" s="84">
        <f>IFERROR(VLOOKUP($A59,GanttChart!$A:$JD,263,FALSE),0)</f>
        <v>0</v>
      </c>
      <c r="G59" s="85">
        <f>IFERROR(VLOOKUP($A59,GanttChart!$A:$JD,264,FALSE),0)</f>
        <v>0</v>
      </c>
      <c r="H59" s="238"/>
      <c r="I59" s="85">
        <f t="shared" si="0"/>
        <v>0</v>
      </c>
    </row>
    <row r="60" spans="1:15" ht="18.75" hidden="1" x14ac:dyDescent="0.45">
      <c r="A60" s="78">
        <v>3.13</v>
      </c>
      <c r="B60" s="78"/>
      <c r="C60" s="83" t="str">
        <f>IFERROR(VLOOKUP($A60,GanttChart!$A:$JD,2,FALSE),"خطا")</f>
        <v xml:space="preserve">ارائه سر صفحه اختصاصی برای زیر پورتال سهامداران </v>
      </c>
      <c r="D60" s="84">
        <f>IFERROR(VLOOKUP($A60,GanttChart!$A:$JD,261,FALSE),0)</f>
        <v>0</v>
      </c>
      <c r="E60" s="84">
        <f>IFERROR(VLOOKUP($A60,GanttChart!$A:$JD,262,FALSE),0)</f>
        <v>0</v>
      </c>
      <c r="F60" s="84">
        <f>IFERROR(VLOOKUP($A60,GanttChart!$A:$JD,263,FALSE),0)</f>
        <v>0</v>
      </c>
      <c r="G60" s="85">
        <f>IFERROR(VLOOKUP($A60,GanttChart!$A:$JD,264,FALSE),0)</f>
        <v>0</v>
      </c>
      <c r="H60" s="238"/>
      <c r="I60" s="85">
        <f t="shared" si="0"/>
        <v>0</v>
      </c>
    </row>
    <row r="61" spans="1:15" ht="31.5" hidden="1" x14ac:dyDescent="0.45">
      <c r="A61" s="78">
        <v>3.14</v>
      </c>
      <c r="B61" s="78"/>
      <c r="C61" s="83" t="str">
        <f>IFERROR(VLOOKUP($A61,GanttChart!$A:$JD,2,FALSE),"خطا")</f>
        <v>نهایی سازی سر صفحه اختصاصی فارسی برای زیر پورتال سهامداران مطابق نظر کارفرما (اعلام نظر کارفرما و نهایی سازی: 2 روزکاری)</v>
      </c>
      <c r="D61" s="84">
        <f>IFERROR(VLOOKUP($A61,GanttChart!$A:$JD,261,FALSE),0)</f>
        <v>0</v>
      </c>
      <c r="E61" s="84">
        <f>IFERROR(VLOOKUP($A61,GanttChart!$A:$JD,262,FALSE),0)</f>
        <v>0</v>
      </c>
      <c r="F61" s="84">
        <f>IFERROR(VLOOKUP($A61,GanttChart!$A:$JD,263,FALSE),0)</f>
        <v>0</v>
      </c>
      <c r="G61" s="85">
        <f>IFERROR(VLOOKUP($A61,GanttChart!$A:$JD,264,FALSE),0)</f>
        <v>0</v>
      </c>
      <c r="H61" s="238"/>
      <c r="I61" s="85">
        <f t="shared" si="0"/>
        <v>0</v>
      </c>
    </row>
    <row r="62" spans="1:15" ht="18.75" hidden="1" x14ac:dyDescent="0.45">
      <c r="A62" s="78">
        <v>3.15</v>
      </c>
      <c r="B62" s="78"/>
      <c r="C62" s="83" t="str">
        <f>IFERROR(VLOOKUP($A62,GanttChart!$A:$JD,2,FALSE),"خطا")</f>
        <v>راه اندازی کامل زیرپورتال اینترنتی (نسخه فارسی)</v>
      </c>
      <c r="D62" s="84">
        <f>IFERROR(VLOOKUP($A62,GanttChart!$A:$JD,261,FALSE),0)</f>
        <v>0</v>
      </c>
      <c r="E62" s="84">
        <f>IFERROR(VLOOKUP($A62,GanttChart!$A:$JD,262,FALSE),0)</f>
        <v>0</v>
      </c>
      <c r="F62" s="84">
        <f>IFERROR(VLOOKUP($A62,GanttChart!$A:$JD,263,FALSE),0)</f>
        <v>0</v>
      </c>
      <c r="G62" s="85">
        <f>IFERROR(VLOOKUP($A62,GanttChart!$A:$JD,264,FALSE),0)</f>
        <v>0</v>
      </c>
      <c r="H62" s="238"/>
      <c r="I62" s="85">
        <f t="shared" si="0"/>
        <v>0</v>
      </c>
    </row>
    <row r="63" spans="1:15" ht="31.5" hidden="1" x14ac:dyDescent="0.45">
      <c r="A63" s="78">
        <v>3.16</v>
      </c>
      <c r="B63" s="78"/>
      <c r="C63" s="83" t="str">
        <f>IFERROR(VLOOKUP($A63,GanttChart!$A:$JD,2,FALSE),"خطا")</f>
        <v>تحویل راه اندازی کامل زیر پورتال اینترنتی (نسخه فارسی)  (1 روز تست پیمانکار ، 2 روز تست  کارفرما)</v>
      </c>
      <c r="D63" s="84">
        <f>IFERROR(VLOOKUP($A63,GanttChart!$A:$JD,261,FALSE),0)</f>
        <v>0</v>
      </c>
      <c r="E63" s="84">
        <f>IFERROR(VLOOKUP($A63,GanttChart!$A:$JD,262,FALSE),0)</f>
        <v>0</v>
      </c>
      <c r="F63" s="84">
        <f>IFERROR(VLOOKUP($A63,GanttChart!$A:$JD,263,FALSE),0)</f>
        <v>0</v>
      </c>
      <c r="G63" s="85">
        <f>IFERROR(VLOOKUP($A63,GanttChart!$A:$JD,264,FALSE),0)</f>
        <v>0</v>
      </c>
      <c r="H63" s="238"/>
      <c r="I63" s="85">
        <f t="shared" si="0"/>
        <v>0</v>
      </c>
    </row>
    <row r="64" spans="1:15" ht="18.75" hidden="1" x14ac:dyDescent="0.45">
      <c r="A64" s="78">
        <v>3.17</v>
      </c>
      <c r="B64" s="78"/>
      <c r="C64" s="83" t="str">
        <f>IFERROR(VLOOKUP($A64,GanttChart!$A:$JD,2,FALSE),"خطا")</f>
        <v>راه اندازی کامل زیرپورتال سهامدارن</v>
      </c>
      <c r="D64" s="84">
        <f>IFERROR(VLOOKUP($A64,GanttChart!$A:$JD,261,FALSE),0)</f>
        <v>0</v>
      </c>
      <c r="E64" s="84">
        <f>IFERROR(VLOOKUP($A64,GanttChart!$A:$JD,262,FALSE),0)</f>
        <v>0</v>
      </c>
      <c r="F64" s="84">
        <f>IFERROR(VLOOKUP($A64,GanttChart!$A:$JD,263,FALSE),0)</f>
        <v>0</v>
      </c>
      <c r="G64" s="85">
        <f>IFERROR(VLOOKUP($A64,GanttChart!$A:$JD,264,FALSE),0)</f>
        <v>0</v>
      </c>
      <c r="H64" s="238"/>
      <c r="I64" s="85">
        <f t="shared" si="0"/>
        <v>0</v>
      </c>
    </row>
    <row r="65" spans="1:9" ht="31.5" hidden="1" x14ac:dyDescent="0.45">
      <c r="A65" s="78">
        <v>3.18</v>
      </c>
      <c r="B65" s="78"/>
      <c r="C65" s="83" t="str">
        <f>IFERROR(VLOOKUP($A65,GanttChart!$A:$JD,2,FALSE),"خطا")</f>
        <v>تحویل راه اندازی کامل زیر پورتال سهامداران   (1 روز تست پیمانکار ، 2 روز تست  کارفرما)</v>
      </c>
      <c r="D65" s="84">
        <f>IFERROR(VLOOKUP($A65,GanttChart!$A:$JD,261,FALSE),0)</f>
        <v>0</v>
      </c>
      <c r="E65" s="84">
        <f>IFERROR(VLOOKUP($A65,GanttChart!$A:$JD,262,FALSE),0)</f>
        <v>0</v>
      </c>
      <c r="F65" s="84">
        <f>IFERROR(VLOOKUP($A65,GanttChart!$A:$JD,263,FALSE),0)</f>
        <v>0</v>
      </c>
      <c r="G65" s="85">
        <f>IFERROR(VLOOKUP($A65,GanttChart!$A:$JD,264,FALSE),0)</f>
        <v>0</v>
      </c>
      <c r="H65" s="238"/>
      <c r="I65" s="85">
        <f t="shared" si="0"/>
        <v>0</v>
      </c>
    </row>
    <row r="66" spans="1:9" ht="18.75" hidden="1" x14ac:dyDescent="0.45">
      <c r="A66" s="78">
        <v>3.19</v>
      </c>
      <c r="B66" s="78"/>
      <c r="C66" s="83" t="str">
        <f>IFERROR(VLOOKUP($A66,GanttChart!$A:$JD,2,FALSE),"خطا")</f>
        <v>راه اندازی اولیه زیرپورتال بیمه مسافرتی</v>
      </c>
      <c r="D66" s="84">
        <f>IFERROR(VLOOKUP($A66,GanttChart!$A:$JD,261,FALSE),0)</f>
        <v>0</v>
      </c>
      <c r="E66" s="84">
        <f>IFERROR(VLOOKUP($A66,GanttChart!$A:$JD,262,FALSE),0)</f>
        <v>0</v>
      </c>
      <c r="F66" s="84">
        <f>IFERROR(VLOOKUP($A66,GanttChart!$A:$JD,263,FALSE),0)</f>
        <v>0</v>
      </c>
      <c r="G66" s="85">
        <f>IFERROR(VLOOKUP($A66,GanttChart!$A:$JD,264,FALSE),0)</f>
        <v>0</v>
      </c>
      <c r="H66" s="238"/>
      <c r="I66" s="85">
        <f t="shared" si="0"/>
        <v>0</v>
      </c>
    </row>
    <row r="67" spans="1:9" ht="31.5" hidden="1" x14ac:dyDescent="0.45">
      <c r="A67" s="78">
        <v>3.21</v>
      </c>
      <c r="B67" s="78"/>
      <c r="C67" s="83" t="str">
        <f>IFERROR(VLOOKUP($A67,GanttChart!$A:$JD,2,FALSE),"خطا")</f>
        <v>تحویل راه اندازی اولیه زیر پورتال مسافرتی (1 روز تست پیمانکار ، 2 روز تست  کارفرما)</v>
      </c>
      <c r="D67" s="84">
        <f>IFERROR(VLOOKUP($A67,GanttChart!$A:$JD,261,FALSE),0)</f>
        <v>0</v>
      </c>
      <c r="E67" s="84">
        <f>IFERROR(VLOOKUP($A67,GanttChart!$A:$JD,262,FALSE),0)</f>
        <v>0</v>
      </c>
      <c r="F67" s="84">
        <f>IFERROR(VLOOKUP($A67,GanttChart!$A:$JD,263,FALSE),0)</f>
        <v>0</v>
      </c>
      <c r="G67" s="85">
        <f>IFERROR(VLOOKUP($A67,GanttChart!$A:$JD,264,FALSE),0)</f>
        <v>0</v>
      </c>
      <c r="H67" s="238"/>
      <c r="I67" s="85">
        <f t="shared" si="0"/>
        <v>0</v>
      </c>
    </row>
    <row r="68" spans="1:9" ht="18.75" hidden="1" x14ac:dyDescent="0.45">
      <c r="A68" s="78">
        <v>3.22</v>
      </c>
      <c r="B68" s="78"/>
      <c r="C68" s="83" t="str">
        <f>IFERROR(VLOOKUP($A68,GanttChart!$A:$JD,2,FALSE),"خطا")</f>
        <v>راه اندازی کامل زیر پورتال مسافرتی</v>
      </c>
      <c r="D68" s="84">
        <f>IFERROR(VLOOKUP($A68,GanttChart!$A:$JD,261,FALSE),0)</f>
        <v>0</v>
      </c>
      <c r="E68" s="84">
        <f>IFERROR(VLOOKUP($A68,GanttChart!$A:$JD,262,FALSE),0)</f>
        <v>0</v>
      </c>
      <c r="F68" s="84">
        <f>IFERROR(VLOOKUP($A68,GanttChart!$A:$JD,263,FALSE),0)</f>
        <v>0</v>
      </c>
      <c r="G68" s="85">
        <f>IFERROR(VLOOKUP($A68,GanttChart!$A:$JD,264,FALSE),0)</f>
        <v>0</v>
      </c>
      <c r="H68" s="238"/>
      <c r="I68" s="85">
        <f t="shared" si="0"/>
        <v>0</v>
      </c>
    </row>
    <row r="69" spans="1:9" ht="18.75" hidden="1" x14ac:dyDescent="0.45">
      <c r="A69" s="78">
        <v>3.23</v>
      </c>
      <c r="B69" s="78"/>
      <c r="C69" s="83" t="str">
        <f>IFERROR(VLOOKUP($A69,GanttChart!$A:$JD,2,FALSE),"خطا")</f>
        <v>راه اندازی اولیه زیرپورتال بیمه عمر</v>
      </c>
      <c r="D69" s="84">
        <f>IFERROR(VLOOKUP($A69,GanttChart!$A:$JD,261,FALSE),0)</f>
        <v>0</v>
      </c>
      <c r="E69" s="84">
        <f>IFERROR(VLOOKUP($A69,GanttChart!$A:$JD,262,FALSE),0)</f>
        <v>0</v>
      </c>
      <c r="F69" s="84">
        <f>IFERROR(VLOOKUP($A69,GanttChart!$A:$JD,263,FALSE),0)</f>
        <v>0</v>
      </c>
      <c r="G69" s="85">
        <f>IFERROR(VLOOKUP($A69,GanttChart!$A:$JD,264,FALSE),0)</f>
        <v>0</v>
      </c>
      <c r="H69" s="238"/>
      <c r="I69" s="85">
        <f t="shared" si="0"/>
        <v>0</v>
      </c>
    </row>
    <row r="70" spans="1:9" ht="18.75" hidden="1" x14ac:dyDescent="0.45">
      <c r="A70" s="78">
        <v>4</v>
      </c>
      <c r="B70" s="78"/>
      <c r="C70" s="83" t="str">
        <f>IFERROR(VLOOKUP($A70,GanttChart!$A:$JD,2,FALSE),"خطا")</f>
        <v>ارائه خدمات آموزش</v>
      </c>
      <c r="D70" s="84">
        <f>IFERROR(VLOOKUP($A70,GanttChart!$A:$JD,261,FALSE),0)</f>
        <v>0</v>
      </c>
      <c r="E70" s="84">
        <f>IFERROR(VLOOKUP($A70,GanttChart!$A:$JD,262,FALSE),0)</f>
        <v>0</v>
      </c>
      <c r="F70" s="84">
        <f>IFERROR(VLOOKUP($A70,GanttChart!$A:$JD,263,FALSE),0)</f>
        <v>0</v>
      </c>
      <c r="G70" s="85">
        <f>IFERROR(VLOOKUP($A70,GanttChart!$A:$JD,264,FALSE),0)</f>
        <v>0</v>
      </c>
      <c r="H70" s="238"/>
      <c r="I70" s="85">
        <f t="shared" si="0"/>
        <v>0</v>
      </c>
    </row>
    <row r="71" spans="1:9" ht="18.75" x14ac:dyDescent="0.45">
      <c r="A71" s="78">
        <v>4.0999999999999996</v>
      </c>
      <c r="B71" s="78"/>
      <c r="C71" s="83" t="str">
        <f>IFERROR(VLOOKUP($A71,GanttChart!$A:$JD,2,FALSE),"خطا")</f>
        <v>ارائه طرح آموزش و برنامه زمانبندی و مکانی برگزاری جلسات آموزشی</v>
      </c>
      <c r="D71" s="84">
        <f>IFERROR(VLOOKUP($A71,GanttChart!$A:$JD,261,FALSE),0)</f>
        <v>0</v>
      </c>
      <c r="E71" s="84">
        <f>IFERROR(VLOOKUP($A71,GanttChart!$A:$JD,262,FALSE),0)</f>
        <v>0</v>
      </c>
      <c r="F71" s="84">
        <f>IFERROR(VLOOKUP($A71,GanttChart!$A:$JD,263,FALSE),0)</f>
        <v>0</v>
      </c>
      <c r="G71" s="85">
        <f>IFERROR(VLOOKUP($A71,GanttChart!$A:$JD,264,FALSE),0)</f>
        <v>0</v>
      </c>
      <c r="H71" s="238"/>
      <c r="I71" s="85">
        <f t="shared" si="0"/>
        <v>0</v>
      </c>
    </row>
    <row r="72" spans="1:9" ht="31.5" hidden="1" x14ac:dyDescent="0.45">
      <c r="A72" s="78">
        <v>4.2</v>
      </c>
      <c r="B72" s="78"/>
      <c r="C72" s="83" t="str">
        <f>IFERROR(VLOOKUP($A72,GanttChart!$A:$JD,2,FALSE),"خطا")</f>
        <v>معرفی نمایندگان کارفرما به تفکیک سطوح کاربری دارای دانش و مهارت های پیش نیاز آموزش نرم افزار</v>
      </c>
      <c r="D72" s="84">
        <f>IFERROR(VLOOKUP($A72,GanttChart!$A:$JD,261,FALSE),0)</f>
        <v>0</v>
      </c>
      <c r="E72" s="84">
        <f>IFERROR(VLOOKUP($A72,GanttChart!$A:$JD,262,FALSE),0)</f>
        <v>0</v>
      </c>
      <c r="F72" s="84">
        <f>IFERROR(VLOOKUP($A72,GanttChart!$A:$JD,263,FALSE),0)</f>
        <v>0</v>
      </c>
      <c r="G72" s="85">
        <f>IFERROR(VLOOKUP($A72,GanttChart!$A:$JD,264,FALSE),0)</f>
        <v>0</v>
      </c>
      <c r="H72" s="238"/>
      <c r="I72" s="85">
        <f t="shared" si="0"/>
        <v>0</v>
      </c>
    </row>
    <row r="73" spans="1:9" ht="18.75" x14ac:dyDescent="0.45">
      <c r="A73" s="78">
        <v>4.3</v>
      </c>
      <c r="B73" s="78"/>
      <c r="C73" s="83" t="str">
        <f>IFERROR(VLOOKUP($A73,GanttChart!$A:$JD,2,FALSE),"خطا")</f>
        <v>برگزاری جلسات آموزش کاربری(9 ساعت)</v>
      </c>
      <c r="D73" s="84">
        <f>IFERROR(VLOOKUP($A73,GanttChart!$A:$JD,261,FALSE),0)</f>
        <v>0</v>
      </c>
      <c r="E73" s="84">
        <f>IFERROR(VLOOKUP($A73,GanttChart!$A:$JD,262,FALSE),0)</f>
        <v>0</v>
      </c>
      <c r="F73" s="84">
        <f>IFERROR(VLOOKUP($A73,GanttChart!$A:$JD,263,FALSE),0)</f>
        <v>0</v>
      </c>
      <c r="G73" s="85">
        <f>IFERROR(VLOOKUP($A73,GanttChart!$A:$JD,264,FALSE),0)</f>
        <v>0</v>
      </c>
      <c r="H73" s="238"/>
      <c r="I73" s="85">
        <f t="shared" si="0"/>
        <v>0</v>
      </c>
    </row>
    <row r="74" spans="1:9" ht="18.75" x14ac:dyDescent="0.45">
      <c r="A74" s="78">
        <v>4.4000000000000004</v>
      </c>
      <c r="B74" s="78"/>
      <c r="C74" s="83" t="str">
        <f>IFERROR(VLOOKUP($A74,GanttChart!$A:$JD,2,FALSE),"خطا")</f>
        <v>برگزاری جلسات آموزش  راهبری و مدیریتی  (9 ساعت)</v>
      </c>
      <c r="D74" s="84">
        <f>IFERROR(VLOOKUP($A74,GanttChart!$A:$JD,261,FALSE),0)</f>
        <v>0</v>
      </c>
      <c r="E74" s="84">
        <f>IFERROR(VLOOKUP($A74,GanttChart!$A:$JD,262,FALSE),0)</f>
        <v>0</v>
      </c>
      <c r="F74" s="84">
        <f>IFERROR(VLOOKUP($A74,GanttChart!$A:$JD,263,FALSE),0)</f>
        <v>0</v>
      </c>
      <c r="G74" s="85">
        <f>IFERROR(VLOOKUP($A74,GanttChart!$A:$JD,264,FALSE),0)</f>
        <v>0</v>
      </c>
      <c r="H74" s="238"/>
      <c r="I74" s="85">
        <f t="shared" si="0"/>
        <v>0</v>
      </c>
    </row>
    <row r="75" spans="1:9" ht="18.75" hidden="1" x14ac:dyDescent="0.45">
      <c r="A75" s="78">
        <v>4.5</v>
      </c>
      <c r="B75" s="78"/>
      <c r="C75" s="83" t="str">
        <f>IFERROR(VLOOKUP($A75,GanttChart!$A:$JD,2,FALSE),"خطا")</f>
        <v>برگزاری جلسات آموزش راهبر زیر پورتال (4 ساعت)</v>
      </c>
      <c r="D75" s="84">
        <f>IFERROR(VLOOKUP($A75,GanttChart!$A:$JD,261,FALSE),0)</f>
        <v>0</v>
      </c>
      <c r="E75" s="84">
        <f>IFERROR(VLOOKUP($A75,GanttChart!$A:$JD,262,FALSE),0)</f>
        <v>0</v>
      </c>
      <c r="F75" s="84">
        <f>IFERROR(VLOOKUP($A75,GanttChart!$A:$JD,263,FALSE),0)</f>
        <v>0</v>
      </c>
      <c r="G75" s="85">
        <f>IFERROR(VLOOKUP($A75,GanttChart!$A:$JD,264,FALSE),0)</f>
        <v>0</v>
      </c>
      <c r="H75" s="238"/>
      <c r="I75" s="85">
        <f t="shared" si="0"/>
        <v>0</v>
      </c>
    </row>
    <row r="76" spans="1:9" ht="18.75" hidden="1" x14ac:dyDescent="0.45">
      <c r="A76" s="78">
        <v>4.5999999999999996</v>
      </c>
      <c r="B76" s="78"/>
      <c r="C76" s="83" t="str">
        <f>IFERROR(VLOOKUP($A76,GanttChart!$A:$JD,2,FALSE),"خطا")</f>
        <v>برگزاری جلسات آموزش زیر ساخت توسعه پذیری نرم افزار (6 ساعت)</v>
      </c>
      <c r="D76" s="84">
        <f>IFERROR(VLOOKUP($A76,GanttChart!$A:$JD,261,FALSE),0)</f>
        <v>0</v>
      </c>
      <c r="E76" s="84">
        <f>IFERROR(VLOOKUP($A76,GanttChart!$A:$JD,262,FALSE),0)</f>
        <v>0</v>
      </c>
      <c r="F76" s="84">
        <f>IFERROR(VLOOKUP($A76,GanttChart!$A:$JD,263,FALSE),0)</f>
        <v>0</v>
      </c>
      <c r="G76" s="85">
        <f>IFERROR(VLOOKUP($A76,GanttChart!$A:$JD,264,FALSE),0)</f>
        <v>0</v>
      </c>
      <c r="H76" s="238"/>
      <c r="I76" s="85">
        <f t="shared" si="0"/>
        <v>0</v>
      </c>
    </row>
    <row r="77" spans="1:9" ht="18.75" hidden="1" x14ac:dyDescent="0.45">
      <c r="A77" s="78">
        <v>4.7</v>
      </c>
      <c r="B77" s="78"/>
      <c r="C77" s="83">
        <f>IFERROR(VLOOKUP($A77,GanttChart!$A:$JD,2,FALSE),"خطا")</f>
        <v>0</v>
      </c>
      <c r="D77" s="84">
        <f>IFERROR(VLOOKUP($A77,GanttChart!$A:$JD,261,FALSE),0)</f>
        <v>0</v>
      </c>
      <c r="E77" s="84">
        <f>IFERROR(VLOOKUP($A77,GanttChart!$A:$JD,262,FALSE),0)</f>
        <v>0</v>
      </c>
      <c r="F77" s="84">
        <f>IFERROR(VLOOKUP($A77,GanttChart!$A:$JD,263,FALSE),0)</f>
        <v>0</v>
      </c>
      <c r="G77" s="85">
        <f>IFERROR(VLOOKUP($A77,GanttChart!$A:$JD,264,FALSE),0)</f>
        <v>0</v>
      </c>
      <c r="H77" s="238"/>
      <c r="I77" s="85">
        <f t="shared" si="0"/>
        <v>0</v>
      </c>
    </row>
    <row r="78" spans="1:9" ht="18.75" hidden="1" x14ac:dyDescent="0.45">
      <c r="A78" s="78">
        <v>4.8</v>
      </c>
      <c r="B78" s="78"/>
      <c r="C78" s="83">
        <f>IFERROR(VLOOKUP($A78,GanttChart!$A:$JD,2,FALSE),"خطا")</f>
        <v>0</v>
      </c>
      <c r="D78" s="84">
        <f>IFERROR(VLOOKUP($A78,GanttChart!$A:$JD,261,FALSE),0)</f>
        <v>0</v>
      </c>
      <c r="E78" s="84">
        <f>IFERROR(VLOOKUP($A78,GanttChart!$A:$JD,262,FALSE),0)</f>
        <v>0</v>
      </c>
      <c r="F78" s="84">
        <f>IFERROR(VLOOKUP($A78,GanttChart!$A:$JD,263,FALSE),0)</f>
        <v>0</v>
      </c>
      <c r="G78" s="85">
        <f>IFERROR(VLOOKUP($A78,GanttChart!$A:$JD,264,FALSE),0)</f>
        <v>0</v>
      </c>
      <c r="H78" s="238"/>
      <c r="I78" s="85">
        <f t="shared" si="0"/>
        <v>0</v>
      </c>
    </row>
    <row r="79" spans="1:9" ht="18.75" hidden="1" x14ac:dyDescent="0.45">
      <c r="A79" s="78">
        <v>4.9000000000000004</v>
      </c>
      <c r="B79" s="78"/>
      <c r="C79" s="83">
        <f>IFERROR(VLOOKUP($A79,GanttChart!$A:$JD,2,FALSE),"خطا")</f>
        <v>0</v>
      </c>
      <c r="D79" s="84">
        <f>IFERROR(VLOOKUP($A79,GanttChart!$A:$JD,261,FALSE),0)</f>
        <v>0</v>
      </c>
      <c r="E79" s="84">
        <f>IFERROR(VLOOKUP($A79,GanttChart!$A:$JD,262,FALSE),0)</f>
        <v>0</v>
      </c>
      <c r="F79" s="84">
        <f>IFERROR(VLOOKUP($A79,GanttChart!$A:$JD,263,FALSE),0)</f>
        <v>0</v>
      </c>
      <c r="G79" s="85">
        <f>IFERROR(VLOOKUP($A79,GanttChart!$A:$JD,264,FALSE),0)</f>
        <v>0</v>
      </c>
      <c r="H79" s="238"/>
      <c r="I79" s="85">
        <f t="shared" si="0"/>
        <v>0</v>
      </c>
    </row>
    <row r="80" spans="1:9" ht="18.75" hidden="1" x14ac:dyDescent="0.45">
      <c r="A80" s="78">
        <v>4.1100000000000003</v>
      </c>
      <c r="B80" s="78"/>
      <c r="C80" s="83">
        <f>IFERROR(VLOOKUP($A80,GanttChart!$A:$JD,2,FALSE),"خطا")</f>
        <v>0</v>
      </c>
      <c r="D80" s="84">
        <f>IFERROR(VLOOKUP($A80,GanttChart!$A:$JD,261,FALSE),0)</f>
        <v>0</v>
      </c>
      <c r="E80" s="84">
        <f>IFERROR(VLOOKUP($A80,GanttChart!$A:$JD,262,FALSE),0)</f>
        <v>0</v>
      </c>
      <c r="F80" s="84">
        <f>IFERROR(VLOOKUP($A80,GanttChart!$A:$JD,263,FALSE),0)</f>
        <v>0</v>
      </c>
      <c r="G80" s="85">
        <f>IFERROR(VLOOKUP($A80,GanttChart!$A:$JD,264,FALSE),0)</f>
        <v>0</v>
      </c>
      <c r="H80" s="238"/>
      <c r="I80" s="85">
        <f t="shared" si="0"/>
        <v>0</v>
      </c>
    </row>
    <row r="81" spans="1:12" ht="18.75" hidden="1" x14ac:dyDescent="0.45">
      <c r="A81" s="78">
        <v>4.12</v>
      </c>
      <c r="B81" s="78"/>
      <c r="C81" s="83">
        <f>IFERROR(VLOOKUP($A81,GanttChart!$A:$JD,2,FALSE),"خطا")</f>
        <v>0</v>
      </c>
      <c r="D81" s="84">
        <f>IFERROR(VLOOKUP($A81,GanttChart!$A:$JD,261,FALSE),0)</f>
        <v>0</v>
      </c>
      <c r="E81" s="84">
        <f>IFERROR(VLOOKUP($A81,GanttChart!$A:$JD,262,FALSE),0)</f>
        <v>0</v>
      </c>
      <c r="F81" s="84">
        <f>IFERROR(VLOOKUP($A81,GanttChart!$A:$JD,263,FALSE),0)</f>
        <v>0</v>
      </c>
      <c r="G81" s="85">
        <f>IFERROR(VLOOKUP($A81,GanttChart!$A:$JD,264,FALSE),0)</f>
        <v>0</v>
      </c>
      <c r="H81" s="238"/>
      <c r="I81" s="85">
        <f t="shared" si="0"/>
        <v>0</v>
      </c>
    </row>
    <row r="82" spans="1:12" ht="18.75" hidden="1" x14ac:dyDescent="0.45">
      <c r="A82" s="78">
        <v>4.13</v>
      </c>
      <c r="B82" s="78"/>
      <c r="C82" s="83">
        <f>IFERROR(VLOOKUP($A82,GanttChart!$A:$JD,2,FALSE),"خطا")</f>
        <v>0</v>
      </c>
      <c r="D82" s="84">
        <f>IFERROR(VLOOKUP($A82,GanttChart!$A:$JD,261,FALSE),0)</f>
        <v>0</v>
      </c>
      <c r="E82" s="84">
        <f>IFERROR(VLOOKUP($A82,GanttChart!$A:$JD,262,FALSE),0)</f>
        <v>0</v>
      </c>
      <c r="F82" s="84">
        <f>IFERROR(VLOOKUP($A82,GanttChart!$A:$JD,263,FALSE),0)</f>
        <v>0</v>
      </c>
      <c r="G82" s="85">
        <f>IFERROR(VLOOKUP($A82,GanttChart!$A:$JD,264,FALSE),0)</f>
        <v>0</v>
      </c>
      <c r="H82" s="238"/>
      <c r="I82" s="85">
        <f t="shared" si="0"/>
        <v>0</v>
      </c>
    </row>
    <row r="83" spans="1:12" ht="18.75" hidden="1" x14ac:dyDescent="0.45">
      <c r="A83" s="78">
        <v>4.1399999999999997</v>
      </c>
      <c r="B83" s="78"/>
      <c r="C83" s="83">
        <f>IFERROR(VLOOKUP($A83,GanttChart!$A:$JD,2,FALSE),"خطا")</f>
        <v>0</v>
      </c>
      <c r="D83" s="84">
        <f>IFERROR(VLOOKUP($A83,GanttChart!$A:$JD,261,FALSE),0)</f>
        <v>0</v>
      </c>
      <c r="E83" s="84">
        <f>IFERROR(VLOOKUP($A83,GanttChart!$A:$JD,262,FALSE),0)</f>
        <v>0</v>
      </c>
      <c r="F83" s="84">
        <f>IFERROR(VLOOKUP($A83,GanttChart!$A:$JD,263,FALSE),0)</f>
        <v>0</v>
      </c>
      <c r="G83" s="85">
        <f>IFERROR(VLOOKUP($A83,GanttChart!$A:$JD,264,FALSE),0)</f>
        <v>0</v>
      </c>
      <c r="H83" s="238"/>
      <c r="I83" s="85">
        <f t="shared" si="0"/>
        <v>0</v>
      </c>
    </row>
    <row r="84" spans="1:12" ht="18.75" hidden="1" x14ac:dyDescent="0.45">
      <c r="A84" s="78">
        <v>4.1500000000000004</v>
      </c>
      <c r="B84" s="78"/>
      <c r="C84" s="83">
        <f>IFERROR(VLOOKUP($A84,GanttChart!$A:$JD,2,FALSE),"خطا")</f>
        <v>0</v>
      </c>
      <c r="D84" s="84">
        <f>IFERROR(VLOOKUP($A84,GanttChart!$A:$JD,261,FALSE),0)</f>
        <v>0</v>
      </c>
      <c r="E84" s="84">
        <f>IFERROR(VLOOKUP($A84,GanttChart!$A:$JD,262,FALSE),0)</f>
        <v>0</v>
      </c>
      <c r="F84" s="84">
        <f>IFERROR(VLOOKUP($A84,GanttChart!$A:$JD,263,FALSE),0)</f>
        <v>0</v>
      </c>
      <c r="G84" s="85">
        <f>IFERROR(VLOOKUP($A84,GanttChart!$A:$JD,264,FALSE),0)</f>
        <v>0</v>
      </c>
      <c r="H84" s="238"/>
      <c r="I84" s="85">
        <f t="shared" si="0"/>
        <v>0</v>
      </c>
    </row>
    <row r="85" spans="1:12" ht="18.75" hidden="1" x14ac:dyDescent="0.45">
      <c r="A85" s="78">
        <v>4.16</v>
      </c>
      <c r="B85" s="78"/>
      <c r="C85" s="83">
        <f>IFERROR(VLOOKUP($A85,GanttChart!$A:$JD,2,FALSE),"خطا")</f>
        <v>0</v>
      </c>
      <c r="D85" s="84">
        <f>IFERROR(VLOOKUP($A85,GanttChart!$A:$JD,261,FALSE),0)</f>
        <v>0</v>
      </c>
      <c r="E85" s="84">
        <f>IFERROR(VLOOKUP($A85,GanttChart!$A:$JD,262,FALSE),0)</f>
        <v>0</v>
      </c>
      <c r="F85" s="84">
        <f>IFERROR(VLOOKUP($A85,GanttChart!$A:$JD,263,FALSE),0)</f>
        <v>0</v>
      </c>
      <c r="G85" s="85">
        <f>IFERROR(VLOOKUP($A85,GanttChart!$A:$JD,264,FALSE),0)</f>
        <v>0</v>
      </c>
      <c r="H85" s="238"/>
      <c r="I85" s="85">
        <f t="shared" si="0"/>
        <v>0</v>
      </c>
    </row>
    <row r="86" spans="1:12" ht="18.75" hidden="1" x14ac:dyDescent="0.45">
      <c r="A86" s="78">
        <v>4.17</v>
      </c>
      <c r="B86" s="78"/>
      <c r="C86" s="83">
        <f>IFERROR(VLOOKUP($A86,GanttChart!$A:$JD,2,FALSE),"خطا")</f>
        <v>0</v>
      </c>
      <c r="D86" s="84">
        <f>IFERROR(VLOOKUP($A86,GanttChart!$A:$JD,261,FALSE),0)</f>
        <v>0</v>
      </c>
      <c r="E86" s="84">
        <f>IFERROR(VLOOKUP($A86,GanttChart!$A:$JD,262,FALSE),0)</f>
        <v>0</v>
      </c>
      <c r="F86" s="84">
        <f>IFERROR(VLOOKUP($A86,GanttChart!$A:$JD,263,FALSE),0)</f>
        <v>0</v>
      </c>
      <c r="G86" s="85">
        <f>IFERROR(VLOOKUP($A86,GanttChart!$A:$JD,264,FALSE),0)</f>
        <v>0</v>
      </c>
      <c r="H86" s="238"/>
      <c r="I86" s="85">
        <f t="shared" si="0"/>
        <v>0</v>
      </c>
    </row>
    <row r="87" spans="1:12" ht="18.75" hidden="1" x14ac:dyDescent="0.45">
      <c r="A87" s="78">
        <v>4.18</v>
      </c>
      <c r="B87" s="78"/>
      <c r="C87" s="83">
        <f>IFERROR(VLOOKUP($A87,GanttChart!$A:$JD,2,FALSE),"خطا")</f>
        <v>0</v>
      </c>
      <c r="D87" s="84">
        <f>IFERROR(VLOOKUP($A87,GanttChart!$A:$JD,261,FALSE),0)</f>
        <v>0</v>
      </c>
      <c r="E87" s="84">
        <f>IFERROR(VLOOKUP($A87,GanttChart!$A:$JD,262,FALSE),0)</f>
        <v>0</v>
      </c>
      <c r="F87" s="84">
        <f>IFERROR(VLOOKUP($A87,GanttChart!$A:$JD,263,FALSE),0)</f>
        <v>0</v>
      </c>
      <c r="G87" s="85">
        <f>IFERROR(VLOOKUP($A87,GanttChart!$A:$JD,264,FALSE),0)</f>
        <v>0</v>
      </c>
      <c r="H87" s="238"/>
      <c r="I87" s="85">
        <f t="shared" si="0"/>
        <v>0</v>
      </c>
    </row>
    <row r="88" spans="1:12" ht="18.75" hidden="1" x14ac:dyDescent="0.45">
      <c r="A88" s="78">
        <v>4.1900000000000004</v>
      </c>
      <c r="B88" s="78"/>
      <c r="C88" s="83">
        <f>IFERROR(VLOOKUP($A88,GanttChart!$A:$JD,2,FALSE),"خطا")</f>
        <v>0</v>
      </c>
      <c r="D88" s="84">
        <f>IFERROR(VLOOKUP($A88,GanttChart!$A:$JD,261,FALSE),0)</f>
        <v>0</v>
      </c>
      <c r="E88" s="84">
        <f>IFERROR(VLOOKUP($A88,GanttChart!$A:$JD,262,FALSE),0)</f>
        <v>0</v>
      </c>
      <c r="F88" s="84">
        <f>IFERROR(VLOOKUP($A88,GanttChart!$A:$JD,263,FALSE),0)</f>
        <v>0</v>
      </c>
      <c r="G88" s="85">
        <f>IFERROR(VLOOKUP($A88,GanttChart!$A:$JD,264,FALSE),0)</f>
        <v>0</v>
      </c>
      <c r="H88" s="238"/>
      <c r="I88" s="85">
        <f t="shared" si="0"/>
        <v>0</v>
      </c>
    </row>
    <row r="89" spans="1:12" ht="18.75" hidden="1" x14ac:dyDescent="0.45">
      <c r="A89" s="78">
        <v>4.21</v>
      </c>
      <c r="B89" s="78"/>
      <c r="C89" s="83">
        <f>IFERROR(VLOOKUP($A89,GanttChart!$A:$JD,2,FALSE),"خطا")</f>
        <v>0</v>
      </c>
      <c r="D89" s="84">
        <f>IFERROR(VLOOKUP($A89,GanttChart!$A:$JD,261,FALSE),0)</f>
        <v>0</v>
      </c>
      <c r="E89" s="84">
        <f>IFERROR(VLOOKUP($A89,GanttChart!$A:$JD,262,FALSE),0)</f>
        <v>0</v>
      </c>
      <c r="F89" s="84">
        <f>IFERROR(VLOOKUP($A89,GanttChart!$A:$JD,263,FALSE),0)</f>
        <v>0</v>
      </c>
      <c r="G89" s="85">
        <f>IFERROR(VLOOKUP($A89,GanttChart!$A:$JD,264,FALSE),0)</f>
        <v>0</v>
      </c>
      <c r="H89" s="238"/>
      <c r="I89" s="85">
        <f t="shared" si="0"/>
        <v>0</v>
      </c>
    </row>
    <row r="90" spans="1:12" ht="18.75" hidden="1" x14ac:dyDescent="0.45">
      <c r="A90" s="78">
        <v>4.22</v>
      </c>
      <c r="B90" s="78"/>
      <c r="C90" s="83">
        <f>IFERROR(VLOOKUP($A90,GanttChart!$A:$JD,2,FALSE),"خطا")</f>
        <v>0</v>
      </c>
      <c r="D90" s="84">
        <f>IFERROR(VLOOKUP($A90,GanttChart!$A:$JD,261,FALSE),0)</f>
        <v>0</v>
      </c>
      <c r="E90" s="84">
        <f>IFERROR(VLOOKUP($A90,GanttChart!$A:$JD,262,FALSE),0)</f>
        <v>0</v>
      </c>
      <c r="F90" s="84">
        <f>IFERROR(VLOOKUP($A90,GanttChart!$A:$JD,263,FALSE),0)</f>
        <v>0</v>
      </c>
      <c r="G90" s="85">
        <f>IFERROR(VLOOKUP($A90,GanttChart!$A:$JD,264,FALSE),0)</f>
        <v>0</v>
      </c>
      <c r="H90" s="238"/>
      <c r="I90" s="85">
        <f t="shared" si="0"/>
        <v>0</v>
      </c>
    </row>
    <row r="91" spans="1:12" ht="18.75" hidden="1" x14ac:dyDescent="0.45">
      <c r="A91" s="78">
        <v>4.2300000000000004</v>
      </c>
      <c r="B91" s="78"/>
      <c r="C91" s="83">
        <f>IFERROR(VLOOKUP($A91,GanttChart!$A:$JD,2,FALSE),"خطا")</f>
        <v>0</v>
      </c>
      <c r="D91" s="84">
        <f>IFERROR(VLOOKUP($A91,GanttChart!$A:$JD,261,FALSE),0)</f>
        <v>0</v>
      </c>
      <c r="E91" s="84">
        <f>IFERROR(VLOOKUP($A91,GanttChart!$A:$JD,262,FALSE),0)</f>
        <v>0</v>
      </c>
      <c r="F91" s="84">
        <f>IFERROR(VLOOKUP($A91,GanttChart!$A:$JD,263,FALSE),0)</f>
        <v>0</v>
      </c>
      <c r="G91" s="85">
        <f>IFERROR(VLOOKUP($A91,GanttChart!$A:$JD,264,FALSE),0)</f>
        <v>0</v>
      </c>
      <c r="H91" s="238"/>
      <c r="I91" s="85">
        <f t="shared" si="0"/>
        <v>0</v>
      </c>
    </row>
    <row r="92" spans="1:12" ht="18.75" hidden="1" x14ac:dyDescent="0.45">
      <c r="A92" s="78">
        <v>5</v>
      </c>
      <c r="B92" s="78"/>
      <c r="C92" s="83" t="str">
        <f>IFERROR(VLOOKUP($A92,GanttChart!$A:$JD,2,FALSE),"خطا")</f>
        <v>کانورت مکانیزه اطلاعات</v>
      </c>
      <c r="D92" s="84">
        <f>IFERROR(VLOOKUP($A92,GanttChart!$A:$JD,261,FALSE),0)</f>
        <v>0</v>
      </c>
      <c r="E92" s="84">
        <f>IFERROR(VLOOKUP($A92,GanttChart!$A:$JD,262,FALSE),0)</f>
        <v>0</v>
      </c>
      <c r="F92" s="84">
        <f>IFERROR(VLOOKUP($A92,GanttChart!$A:$JD,263,FALSE),0)</f>
        <v>0</v>
      </c>
      <c r="G92" s="85">
        <f>IFERROR(VLOOKUP($A92,GanttChart!$A:$JD,264,FALSE),0)</f>
        <v>0</v>
      </c>
      <c r="H92" s="238"/>
      <c r="I92" s="85">
        <f t="shared" si="0"/>
        <v>0</v>
      </c>
    </row>
    <row r="93" spans="1:12" ht="18.75" x14ac:dyDescent="0.45">
      <c r="A93" s="78">
        <v>5.0999999999999996</v>
      </c>
      <c r="C93" s="83" t="str">
        <f>IFERROR(VLOOKUP($A93,GanttChart!$A:$JD,2,FALSE),"خطا")</f>
        <v>اعلام ماژول های محتوایی کارفرما</v>
      </c>
      <c r="D93" s="84">
        <f>IFERROR(VLOOKUP($A93,GanttChart!$A:$JD,261,FALSE),0)</f>
        <v>0</v>
      </c>
      <c r="E93" s="84">
        <f>IFERROR(VLOOKUP($A93,GanttChart!$A:$JD,262,FALSE),0)</f>
        <v>0</v>
      </c>
      <c r="F93" s="84">
        <f>IFERROR(VLOOKUP($A93,GanttChart!$A:$JD,263,FALSE),0)</f>
        <v>0</v>
      </c>
      <c r="G93" s="85">
        <f>IFERROR(VLOOKUP($A93,GanttChart!$A:$JD,264,FALSE),0)</f>
        <v>0</v>
      </c>
      <c r="H93" s="238"/>
      <c r="I93" s="85">
        <f t="shared" si="0"/>
        <v>0</v>
      </c>
      <c r="K93" s="82"/>
      <c r="L93" s="88"/>
    </row>
    <row r="94" spans="1:12" ht="18.75" x14ac:dyDescent="0.45">
      <c r="A94" s="78">
        <v>5.2</v>
      </c>
      <c r="C94" s="83" t="str">
        <f>IFERROR(VLOOKUP($A94,GanttChart!$A:$JD,2,FALSE),"خطا")</f>
        <v>ارایه فایل های اکسل ماژول های محتوایی اعلام شده از طرف کارفرما</v>
      </c>
      <c r="D94" s="84">
        <f>IFERROR(VLOOKUP($A94,GanttChart!$A:$JD,261,FALSE),0)</f>
        <v>0</v>
      </c>
      <c r="E94" s="84">
        <f>IFERROR(VLOOKUP($A94,GanttChart!$A:$JD,262,FALSE),0)</f>
        <v>0</v>
      </c>
      <c r="F94" s="84">
        <f>IFERROR(VLOOKUP($A94,GanttChart!$A:$JD,263,FALSE),0)</f>
        <v>0</v>
      </c>
      <c r="G94" s="85">
        <f>IFERROR(VLOOKUP($A94,GanttChart!$A:$JD,264,FALSE),0)</f>
        <v>0</v>
      </c>
      <c r="H94" s="238"/>
      <c r="I94" s="85">
        <f t="shared" si="0"/>
        <v>0</v>
      </c>
    </row>
    <row r="95" spans="1:12" ht="18.75" x14ac:dyDescent="0.45">
      <c r="A95" s="78">
        <v>5.3</v>
      </c>
      <c r="C95" s="83" t="str">
        <f>IFERROR(VLOOKUP($A95,GanttChart!$A:$JD,2,FALSE),"خطا")</f>
        <v>تکمیل و ارسال اطلاعات</v>
      </c>
      <c r="D95" s="84">
        <f>IFERROR(VLOOKUP($A95,GanttChart!$A:$JD,261,FALSE),0)</f>
        <v>0</v>
      </c>
      <c r="E95" s="84">
        <f>IFERROR(VLOOKUP($A95,GanttChart!$A:$JD,262,FALSE),0)</f>
        <v>0</v>
      </c>
      <c r="F95" s="84">
        <f>IFERROR(VLOOKUP($A95,GanttChart!$A:$JD,263,FALSE),0)</f>
        <v>0</v>
      </c>
      <c r="G95" s="85">
        <f>IFERROR(VLOOKUP($A95,GanttChart!$A:$JD,264,FALSE),0)</f>
        <v>0</v>
      </c>
      <c r="H95" s="238"/>
      <c r="I95" s="85">
        <f t="shared" si="0"/>
        <v>0</v>
      </c>
    </row>
    <row r="96" spans="1:12" ht="18.75" hidden="1" x14ac:dyDescent="0.45">
      <c r="A96" s="78">
        <v>5.4</v>
      </c>
      <c r="C96" s="83" t="str">
        <f>IFERROR(VLOOKUP($A96,GanttChart!$A:$JD,2,FALSE),"خطا")</f>
        <v>کانورت مکانیزه اطلاعات</v>
      </c>
      <c r="D96" s="84">
        <f>IFERROR(VLOOKUP($A96,GanttChart!$A:$JD,261,FALSE),0)</f>
        <v>0</v>
      </c>
      <c r="E96" s="84">
        <f>IFERROR(VLOOKUP($A96,GanttChart!$A:$JD,262,FALSE),0)</f>
        <v>0</v>
      </c>
      <c r="F96" s="84">
        <f>IFERROR(VLOOKUP($A96,GanttChart!$A:$JD,263,FALSE),0)</f>
        <v>0</v>
      </c>
      <c r="G96" s="85">
        <f>IFERROR(VLOOKUP($A96,GanttChart!$A:$JD,264,FALSE),0)</f>
        <v>0</v>
      </c>
      <c r="H96" s="238"/>
      <c r="I96" s="85">
        <f t="shared" si="0"/>
        <v>0</v>
      </c>
    </row>
    <row r="97" spans="1:9" ht="18.75" hidden="1" x14ac:dyDescent="0.45">
      <c r="A97" s="78">
        <v>5.5</v>
      </c>
      <c r="C97" s="83" t="str">
        <f>IFERROR(VLOOKUP($A97,GanttChart!$A:$JD,2,FALSE),"خطا")</f>
        <v>تصحیح محتوای درج شده به صورت مکانیزه در زیر ساخت جدید</v>
      </c>
      <c r="D97" s="84">
        <f>IFERROR(VLOOKUP($A97,GanttChart!$A:$JD,261,FALSE),0)</f>
        <v>0</v>
      </c>
      <c r="E97" s="84">
        <f>IFERROR(VLOOKUP($A97,GanttChart!$A:$JD,262,FALSE),0)</f>
        <v>0</v>
      </c>
      <c r="F97" s="84">
        <f>IFERROR(VLOOKUP($A97,GanttChart!$A:$JD,263,FALSE),0)</f>
        <v>0</v>
      </c>
      <c r="G97" s="85">
        <f>IFERROR(VLOOKUP($A97,GanttChart!$A:$JD,264,FALSE),0)</f>
        <v>0</v>
      </c>
      <c r="H97" s="238"/>
      <c r="I97" s="85">
        <f t="shared" si="0"/>
        <v>0</v>
      </c>
    </row>
    <row r="98" spans="1:9" ht="31.5" hidden="1" x14ac:dyDescent="0.45">
      <c r="A98" s="78">
        <v>5.6</v>
      </c>
      <c r="C98" s="83" t="str">
        <f>IFERROR(VLOOKUP($A98,GanttChart!$A:$JD,2,FALSE),"خطا")</f>
        <v>تکمیل محتوای درج شده در وب سایت قبلی حد فاصل زمان انتقال اطلاعات در پورتال جدید</v>
      </c>
      <c r="D98" s="84">
        <f>IFERROR(VLOOKUP($A98,GanttChart!$A:$JD,261,FALSE),0)</f>
        <v>0</v>
      </c>
      <c r="E98" s="84">
        <f>IFERROR(VLOOKUP($A98,GanttChart!$A:$JD,262,FALSE),0)</f>
        <v>0</v>
      </c>
      <c r="F98" s="84">
        <f>IFERROR(VLOOKUP($A98,GanttChart!$A:$JD,263,FALSE),0)</f>
        <v>0</v>
      </c>
      <c r="G98" s="85">
        <f>IFERROR(VLOOKUP($A98,GanttChart!$A:$JD,264,FALSE),0)</f>
        <v>0</v>
      </c>
      <c r="H98" s="238"/>
      <c r="I98" s="85">
        <f t="shared" si="0"/>
        <v>0</v>
      </c>
    </row>
    <row r="99" spans="1:9" ht="18.75" hidden="1" x14ac:dyDescent="0.45">
      <c r="A99" s="78">
        <v>5.7</v>
      </c>
      <c r="C99" s="83">
        <f>IFERROR(VLOOKUP($A99,GanttChart!$A:$JD,2,FALSE),"خطا")</f>
        <v>0</v>
      </c>
      <c r="D99" s="84">
        <f>IFERROR(VLOOKUP($A99,GanttChart!$A:$JD,261,FALSE),0)</f>
        <v>0</v>
      </c>
      <c r="E99" s="84">
        <f>IFERROR(VLOOKUP($A99,GanttChart!$A:$JD,262,FALSE),0)</f>
        <v>0</v>
      </c>
      <c r="F99" s="84">
        <f>IFERROR(VLOOKUP($A99,GanttChart!$A:$JD,263,FALSE),0)</f>
        <v>0</v>
      </c>
      <c r="G99" s="85">
        <f>IFERROR(VLOOKUP($A99,GanttChart!$A:$JD,264,FALSE),0)</f>
        <v>0</v>
      </c>
      <c r="H99" s="238"/>
      <c r="I99" s="85">
        <f t="shared" si="0"/>
        <v>0</v>
      </c>
    </row>
    <row r="100" spans="1:9" ht="18.75" hidden="1" x14ac:dyDescent="0.45">
      <c r="A100" s="78">
        <v>5.8</v>
      </c>
      <c r="C100" s="83">
        <f>IFERROR(VLOOKUP($A100,GanttChart!$A:$JD,2,FALSE),"خطا")</f>
        <v>0</v>
      </c>
      <c r="D100" s="84">
        <f>IFERROR(VLOOKUP($A100,GanttChart!$A:$JD,261,FALSE),0)</f>
        <v>0</v>
      </c>
      <c r="E100" s="84">
        <f>IFERROR(VLOOKUP($A100,GanttChart!$A:$JD,262,FALSE),0)</f>
        <v>0</v>
      </c>
      <c r="F100" s="84">
        <f>IFERROR(VLOOKUP($A100,GanttChart!$A:$JD,263,FALSE),0)</f>
        <v>0</v>
      </c>
      <c r="G100" s="85">
        <f>IFERROR(VLOOKUP($A100,GanttChart!$A:$JD,264,FALSE),0)</f>
        <v>0</v>
      </c>
      <c r="H100" s="238"/>
      <c r="I100" s="85">
        <f t="shared" si="0"/>
        <v>0</v>
      </c>
    </row>
    <row r="101" spans="1:9" ht="18.75" hidden="1" x14ac:dyDescent="0.45">
      <c r="A101" s="78">
        <v>5.9</v>
      </c>
      <c r="C101" s="83">
        <f>IFERROR(VLOOKUP($A101,GanttChart!$A:$JD,2,FALSE),"خطا")</f>
        <v>0</v>
      </c>
      <c r="D101" s="84">
        <f>IFERROR(VLOOKUP($A101,GanttChart!$A:$JD,261,FALSE),0)</f>
        <v>0</v>
      </c>
      <c r="E101" s="84">
        <f>IFERROR(VLOOKUP($A101,GanttChart!$A:$JD,262,FALSE),0)</f>
        <v>0</v>
      </c>
      <c r="F101" s="84">
        <f>IFERROR(VLOOKUP($A101,GanttChart!$A:$JD,263,FALSE),0)</f>
        <v>0</v>
      </c>
      <c r="G101" s="85">
        <f>IFERROR(VLOOKUP($A101,GanttChart!$A:$JD,264,FALSE),0)</f>
        <v>0</v>
      </c>
      <c r="H101" s="238"/>
      <c r="I101" s="85">
        <f t="shared" si="0"/>
        <v>0</v>
      </c>
    </row>
    <row r="102" spans="1:9" ht="18.75" hidden="1" x14ac:dyDescent="0.45">
      <c r="A102" s="78">
        <v>5.1100000000000003</v>
      </c>
      <c r="C102" s="83">
        <f>IFERROR(VLOOKUP($A102,GanttChart!$A:$JD,2,FALSE),"خطا")</f>
        <v>0</v>
      </c>
      <c r="D102" s="84">
        <f>IFERROR(VLOOKUP($A102,GanttChart!$A:$JD,261,FALSE),0)</f>
        <v>0</v>
      </c>
      <c r="E102" s="84">
        <f>IFERROR(VLOOKUP($A102,GanttChart!$A:$JD,262,FALSE),0)</f>
        <v>0</v>
      </c>
      <c r="F102" s="84">
        <f>IFERROR(VLOOKUP($A102,GanttChart!$A:$JD,263,FALSE),0)</f>
        <v>0</v>
      </c>
      <c r="G102" s="85">
        <f>IFERROR(VLOOKUP($A102,GanttChart!$A:$JD,264,FALSE),0)</f>
        <v>0</v>
      </c>
      <c r="H102" s="238"/>
      <c r="I102" s="85">
        <f t="shared" si="0"/>
        <v>0</v>
      </c>
    </row>
    <row r="103" spans="1:9" ht="18.75" hidden="1" x14ac:dyDescent="0.45">
      <c r="A103" s="78">
        <v>5.12</v>
      </c>
      <c r="C103" s="83">
        <f>IFERROR(VLOOKUP($A103,GanttChart!$A:$JD,2,FALSE),"خطا")</f>
        <v>0</v>
      </c>
      <c r="D103" s="84">
        <f>IFERROR(VLOOKUP($A103,GanttChart!$A:$JD,261,FALSE),0)</f>
        <v>0</v>
      </c>
      <c r="E103" s="84">
        <f>IFERROR(VLOOKUP($A103,GanttChart!$A:$JD,262,FALSE),0)</f>
        <v>0</v>
      </c>
      <c r="F103" s="84">
        <f>IFERROR(VLOOKUP($A103,GanttChart!$A:$JD,263,FALSE),0)</f>
        <v>0</v>
      </c>
      <c r="G103" s="85">
        <f>IFERROR(VLOOKUP($A103,GanttChart!$A:$JD,264,FALSE),0)</f>
        <v>0</v>
      </c>
      <c r="H103" s="238"/>
      <c r="I103" s="85">
        <f t="shared" si="0"/>
        <v>0</v>
      </c>
    </row>
    <row r="104" spans="1:9" ht="18.75" hidden="1" x14ac:dyDescent="0.45">
      <c r="A104" s="78">
        <v>5.13</v>
      </c>
      <c r="C104" s="83">
        <f>IFERROR(VLOOKUP($A104,GanttChart!$A:$JD,2,FALSE),"خطا")</f>
        <v>0</v>
      </c>
      <c r="D104" s="84">
        <f>IFERROR(VLOOKUP($A104,GanttChart!$A:$JD,261,FALSE),0)</f>
        <v>0</v>
      </c>
      <c r="E104" s="84">
        <f>IFERROR(VLOOKUP($A104,GanttChart!$A:$JD,262,FALSE),0)</f>
        <v>0</v>
      </c>
      <c r="F104" s="84">
        <f>IFERROR(VLOOKUP($A104,GanttChart!$A:$JD,263,FALSE),0)</f>
        <v>0</v>
      </c>
      <c r="G104" s="85">
        <f>IFERROR(VLOOKUP($A104,GanttChart!$A:$JD,264,FALSE),0)</f>
        <v>0</v>
      </c>
      <c r="H104" s="238"/>
      <c r="I104" s="85">
        <f t="shared" si="0"/>
        <v>0</v>
      </c>
    </row>
    <row r="105" spans="1:9" ht="18.75" hidden="1" x14ac:dyDescent="0.45">
      <c r="A105" s="78">
        <v>5.14</v>
      </c>
      <c r="C105" s="83">
        <f>IFERROR(VLOOKUP($A105,GanttChart!$A:$JD,2,FALSE),"خطا")</f>
        <v>0</v>
      </c>
      <c r="D105" s="84">
        <f>IFERROR(VLOOKUP($A105,GanttChart!$A:$JD,261,FALSE),0)</f>
        <v>0</v>
      </c>
      <c r="E105" s="84">
        <f>IFERROR(VLOOKUP($A105,GanttChart!$A:$JD,262,FALSE),0)</f>
        <v>0</v>
      </c>
      <c r="F105" s="84">
        <f>IFERROR(VLOOKUP($A105,GanttChart!$A:$JD,263,FALSE),0)</f>
        <v>0</v>
      </c>
      <c r="G105" s="85">
        <f>IFERROR(VLOOKUP($A105,GanttChart!$A:$JD,264,FALSE),0)</f>
        <v>0</v>
      </c>
      <c r="H105" s="238"/>
      <c r="I105" s="85">
        <f t="shared" si="0"/>
        <v>0</v>
      </c>
    </row>
    <row r="106" spans="1:9" ht="18.75" hidden="1" x14ac:dyDescent="0.45">
      <c r="A106" s="78">
        <v>5.15</v>
      </c>
      <c r="C106" s="83">
        <f>IFERROR(VLOOKUP($A106,GanttChart!$A:$JD,2,FALSE),"خطا")</f>
        <v>0</v>
      </c>
      <c r="D106" s="84">
        <f>IFERROR(VLOOKUP($A106,GanttChart!$A:$JD,261,FALSE),0)</f>
        <v>0</v>
      </c>
      <c r="E106" s="84">
        <f>IFERROR(VLOOKUP($A106,GanttChart!$A:$JD,262,FALSE),0)</f>
        <v>0</v>
      </c>
      <c r="F106" s="84">
        <f>IFERROR(VLOOKUP($A106,GanttChart!$A:$JD,263,FALSE),0)</f>
        <v>0</v>
      </c>
      <c r="G106" s="85">
        <f>IFERROR(VLOOKUP($A106,GanttChart!$A:$JD,264,FALSE),0)</f>
        <v>0</v>
      </c>
      <c r="H106" s="238"/>
      <c r="I106" s="85">
        <f t="shared" si="0"/>
        <v>0</v>
      </c>
    </row>
    <row r="107" spans="1:9" ht="18.75" hidden="1" x14ac:dyDescent="0.45">
      <c r="A107" s="78">
        <v>5.16</v>
      </c>
      <c r="C107" s="83">
        <f>IFERROR(VLOOKUP($A107,GanttChart!$A:$JD,2,FALSE),"خطا")</f>
        <v>0</v>
      </c>
      <c r="D107" s="84">
        <f>IFERROR(VLOOKUP($A107,GanttChart!$A:$JD,261,FALSE),0)</f>
        <v>0</v>
      </c>
      <c r="E107" s="84">
        <f>IFERROR(VLOOKUP($A107,GanttChart!$A:$JD,262,FALSE),0)</f>
        <v>0</v>
      </c>
      <c r="F107" s="84">
        <f>IFERROR(VLOOKUP($A107,GanttChart!$A:$JD,263,FALSE),0)</f>
        <v>0</v>
      </c>
      <c r="G107" s="85">
        <f>IFERROR(VLOOKUP($A107,GanttChart!$A:$JD,264,FALSE),0)</f>
        <v>0</v>
      </c>
      <c r="H107" s="238"/>
      <c r="I107" s="85">
        <f t="shared" si="0"/>
        <v>0</v>
      </c>
    </row>
    <row r="108" spans="1:9" ht="18.75" hidden="1" x14ac:dyDescent="0.45">
      <c r="A108" s="78">
        <v>5.17</v>
      </c>
      <c r="C108" s="83">
        <f>IFERROR(VLOOKUP($A108,GanttChart!$A:$JD,2,FALSE),"خطا")</f>
        <v>0</v>
      </c>
      <c r="D108" s="84">
        <f>IFERROR(VLOOKUP($A108,GanttChart!$A:$JD,261,FALSE),0)</f>
        <v>0</v>
      </c>
      <c r="E108" s="84">
        <f>IFERROR(VLOOKUP($A108,GanttChart!$A:$JD,262,FALSE),0)</f>
        <v>0</v>
      </c>
      <c r="F108" s="84">
        <f>IFERROR(VLOOKUP($A108,GanttChart!$A:$JD,263,FALSE),0)</f>
        <v>0</v>
      </c>
      <c r="G108" s="85">
        <f>IFERROR(VLOOKUP($A108,GanttChart!$A:$JD,264,FALSE),0)</f>
        <v>0</v>
      </c>
      <c r="H108" s="238"/>
      <c r="I108" s="85">
        <f t="shared" si="0"/>
        <v>0</v>
      </c>
    </row>
    <row r="109" spans="1:9" ht="18.75" hidden="1" x14ac:dyDescent="0.45">
      <c r="A109" s="78">
        <v>5.18</v>
      </c>
      <c r="C109" s="83">
        <f>IFERROR(VLOOKUP($A109,GanttChart!$A:$JD,2,FALSE),"خطا")</f>
        <v>0</v>
      </c>
      <c r="D109" s="84">
        <f>IFERROR(VLOOKUP($A109,GanttChart!$A:$JD,261,FALSE),0)</f>
        <v>0</v>
      </c>
      <c r="E109" s="84">
        <f>IFERROR(VLOOKUP($A109,GanttChart!$A:$JD,262,FALSE),0)</f>
        <v>0</v>
      </c>
      <c r="F109" s="84">
        <f>IFERROR(VLOOKUP($A109,GanttChart!$A:$JD,263,FALSE),0)</f>
        <v>0</v>
      </c>
      <c r="G109" s="85">
        <f>IFERROR(VLOOKUP($A109,GanttChart!$A:$JD,264,FALSE),0)</f>
        <v>0</v>
      </c>
      <c r="H109" s="238"/>
      <c r="I109" s="85">
        <f t="shared" si="0"/>
        <v>0</v>
      </c>
    </row>
    <row r="110" spans="1:9" ht="18.75" hidden="1" x14ac:dyDescent="0.45">
      <c r="A110" s="78">
        <v>5.19</v>
      </c>
      <c r="C110" s="83">
        <f>IFERROR(VLOOKUP($A110,GanttChart!$A:$JD,2,FALSE),"خطا")</f>
        <v>0</v>
      </c>
      <c r="D110" s="84">
        <f>IFERROR(VLOOKUP($A110,GanttChart!$A:$JD,261,FALSE),0)</f>
        <v>0</v>
      </c>
      <c r="E110" s="84">
        <f>IFERROR(VLOOKUP($A110,GanttChart!$A:$JD,262,FALSE),0)</f>
        <v>0</v>
      </c>
      <c r="F110" s="84">
        <f>IFERROR(VLOOKUP($A110,GanttChart!$A:$JD,263,FALSE),0)</f>
        <v>0</v>
      </c>
      <c r="G110" s="85">
        <f>IFERROR(VLOOKUP($A110,GanttChart!$A:$JD,264,FALSE),0)</f>
        <v>0</v>
      </c>
      <c r="H110" s="238"/>
      <c r="I110" s="85">
        <f t="shared" si="0"/>
        <v>0</v>
      </c>
    </row>
    <row r="111" spans="1:9" ht="18.75" hidden="1" x14ac:dyDescent="0.45">
      <c r="A111" s="78">
        <v>5.21</v>
      </c>
      <c r="C111" s="83">
        <f>IFERROR(VLOOKUP($A111,GanttChart!$A:$JD,2,FALSE),"خطا")</f>
        <v>0</v>
      </c>
      <c r="D111" s="84">
        <f>IFERROR(VLOOKUP($A111,GanttChart!$A:$JD,261,FALSE),0)</f>
        <v>0</v>
      </c>
      <c r="E111" s="84">
        <f>IFERROR(VLOOKUP($A111,GanttChart!$A:$JD,262,FALSE),0)</f>
        <v>0</v>
      </c>
      <c r="F111" s="84">
        <f>IFERROR(VLOOKUP($A111,GanttChart!$A:$JD,263,FALSE),0)</f>
        <v>0</v>
      </c>
      <c r="G111" s="85">
        <f>IFERROR(VLOOKUP($A111,GanttChart!$A:$JD,264,FALSE),0)</f>
        <v>0</v>
      </c>
      <c r="H111" s="238"/>
      <c r="I111" s="85">
        <f t="shared" si="0"/>
        <v>0</v>
      </c>
    </row>
    <row r="112" spans="1:9" ht="18.75" hidden="1" x14ac:dyDescent="0.45">
      <c r="A112" s="78">
        <v>5.22</v>
      </c>
      <c r="C112" s="83">
        <f>IFERROR(VLOOKUP($A112,GanttChart!$A:$JD,2,FALSE),"خطا")</f>
        <v>0</v>
      </c>
      <c r="D112" s="84">
        <f>IFERROR(VLOOKUP($A112,GanttChart!$A:$JD,261,FALSE),0)</f>
        <v>0</v>
      </c>
      <c r="E112" s="84">
        <f>IFERROR(VLOOKUP($A112,GanttChart!$A:$JD,262,FALSE),0)</f>
        <v>0</v>
      </c>
      <c r="F112" s="84">
        <f>IFERROR(VLOOKUP($A112,GanttChart!$A:$JD,263,FALSE),0)</f>
        <v>0</v>
      </c>
      <c r="G112" s="85">
        <f>IFERROR(VLOOKUP($A112,GanttChart!$A:$JD,264,FALSE),0)</f>
        <v>0</v>
      </c>
      <c r="H112" s="238"/>
      <c r="I112" s="85">
        <f t="shared" si="0"/>
        <v>0</v>
      </c>
    </row>
    <row r="113" spans="1:9" ht="18.75" hidden="1" x14ac:dyDescent="0.45">
      <c r="A113" s="78">
        <v>5.23</v>
      </c>
      <c r="C113" s="83">
        <f>IFERROR(VLOOKUP($A113,GanttChart!$A:$JD,2,FALSE),"خطا")</f>
        <v>0</v>
      </c>
      <c r="D113" s="84">
        <f>IFERROR(VLOOKUP($A113,GanttChart!$A:$JD,261,FALSE),0)</f>
        <v>0</v>
      </c>
      <c r="E113" s="84">
        <f>IFERROR(VLOOKUP($A113,GanttChart!$A:$JD,262,FALSE),0)</f>
        <v>0</v>
      </c>
      <c r="F113" s="84">
        <f>IFERROR(VLOOKUP($A113,GanttChart!$A:$JD,263,FALSE),0)</f>
        <v>0</v>
      </c>
      <c r="G113" s="85">
        <f>IFERROR(VLOOKUP($A113,GanttChart!$A:$JD,264,FALSE),0)</f>
        <v>0</v>
      </c>
      <c r="H113" s="238"/>
      <c r="I113" s="85">
        <f t="shared" si="0"/>
        <v>0</v>
      </c>
    </row>
    <row r="114" spans="1:9" ht="18.75" hidden="1" x14ac:dyDescent="0.45">
      <c r="A114" s="78">
        <v>6</v>
      </c>
      <c r="C114" s="83" t="str">
        <f>IFERROR(VLOOKUP($A114,GanttChart!$A:$JD,2,FALSE),"خطا")</f>
        <v>اقدامات اجرایی پیکربندی، مدیریت و کاربرد نرم افزار</v>
      </c>
      <c r="D114" s="84">
        <f>IFERROR(VLOOKUP($A114,GanttChart!$A:$JD,261,FALSE),0)</f>
        <v>0</v>
      </c>
      <c r="E114" s="84">
        <f>IFERROR(VLOOKUP($A114,GanttChart!$A:$JD,262,FALSE),0)</f>
        <v>0</v>
      </c>
      <c r="F114" s="84">
        <f>IFERROR(VLOOKUP($A114,GanttChart!$A:$JD,263,FALSE),0)</f>
        <v>0</v>
      </c>
      <c r="G114" s="85">
        <f>IFERROR(VLOOKUP($A114,GanttChart!$A:$JD,264,FALSE),0)</f>
        <v>0</v>
      </c>
      <c r="H114" s="238"/>
      <c r="I114" s="85">
        <f t="shared" si="0"/>
        <v>0</v>
      </c>
    </row>
    <row r="115" spans="1:9" ht="31.5" x14ac:dyDescent="0.45">
      <c r="A115" s="78">
        <v>6.1</v>
      </c>
      <c r="C115" s="83" t="str">
        <f>IFERROR(VLOOKUP($A115,GanttChart!$A:$JD,2,FALSE),"خطا")</f>
        <v>اعلام نام های کاربری و حقوق دسترسی مورد نیاز هر یک از کاربران و اطلاعات مورد نیاز جهت تنظیم</v>
      </c>
      <c r="D115" s="84">
        <f>IFERROR(VLOOKUP($A115,GanttChart!$A:$JD,261,FALSE),0)</f>
        <v>0</v>
      </c>
      <c r="E115" s="84">
        <f>IFERROR(VLOOKUP($A115,GanttChart!$A:$JD,262,FALSE),0)</f>
        <v>0</v>
      </c>
      <c r="F115" s="84">
        <f>IFERROR(VLOOKUP($A115,GanttChart!$A:$JD,263,FALSE),0)</f>
        <v>0</v>
      </c>
      <c r="G115" s="85">
        <f>IFERROR(VLOOKUP($A115,GanttChart!$A:$JD,264,FALSE),0)</f>
        <v>0</v>
      </c>
      <c r="H115" s="238"/>
      <c r="I115" s="85">
        <f t="shared" si="0"/>
        <v>0</v>
      </c>
    </row>
    <row r="116" spans="1:9" ht="18.75" x14ac:dyDescent="0.45">
      <c r="A116" s="78">
        <v>6.2</v>
      </c>
      <c r="C116" s="83" t="str">
        <f>IFERROR(VLOOKUP($A116,GanttChart!$A:$JD,2,FALSE),"خطا")</f>
        <v>تعریف و اعطای حق دسترسی به کاربران و گروه های کاربری اعلام شده</v>
      </c>
      <c r="D116" s="84">
        <f>IFERROR(VLOOKUP($A116,GanttChart!$A:$JD,261,FALSE),0)</f>
        <v>0</v>
      </c>
      <c r="E116" s="84">
        <f>IFERROR(VLOOKUP($A116,GanttChart!$A:$JD,262,FALSE),0)</f>
        <v>0</v>
      </c>
      <c r="F116" s="84">
        <f>IFERROR(VLOOKUP($A116,GanttChart!$A:$JD,263,FALSE),0)</f>
        <v>0</v>
      </c>
      <c r="G116" s="85">
        <f>IFERROR(VLOOKUP($A116,GanttChart!$A:$JD,264,FALSE),0)</f>
        <v>0</v>
      </c>
      <c r="H116" s="238"/>
      <c r="I116" s="85">
        <f t="shared" si="0"/>
        <v>0</v>
      </c>
    </row>
    <row r="117" spans="1:9" ht="31.5" hidden="1" x14ac:dyDescent="0.45">
      <c r="A117" s="78">
        <v>6.3</v>
      </c>
      <c r="C117" s="83" t="str">
        <f>IFERROR(VLOOKUP($A117,GanttChart!$A:$JD,2,FALSE),"خطا")</f>
        <v>پیکربندی ماژول های پست الکترونیک و پیام کوتاه  بر روی سرویس دهنده های پست الکترونیک و پیام کوتاه کارفرما</v>
      </c>
      <c r="D117" s="84">
        <f>IFERROR(VLOOKUP($A117,GanttChart!$A:$JD,261,FALSE),0)</f>
        <v>0</v>
      </c>
      <c r="E117" s="84">
        <f>IFERROR(VLOOKUP($A117,GanttChart!$A:$JD,262,FALSE),0)</f>
        <v>0</v>
      </c>
      <c r="F117" s="84">
        <f>IFERROR(VLOOKUP($A117,GanttChart!$A:$JD,263,FALSE),0)</f>
        <v>0</v>
      </c>
      <c r="G117" s="85">
        <f>IFERROR(VLOOKUP($A117,GanttChart!$A:$JD,264,FALSE),0)</f>
        <v>0</v>
      </c>
      <c r="H117" s="238"/>
      <c r="I117" s="85">
        <f t="shared" si="0"/>
        <v>0</v>
      </c>
    </row>
    <row r="118" spans="1:9" ht="18.75" x14ac:dyDescent="0.45">
      <c r="A118" s="78">
        <v>6.4</v>
      </c>
      <c r="C118" s="83">
        <f>IFERROR(VLOOKUP($A118,GanttChart!$A:$JD,2,FALSE),"خطا")</f>
        <v>0</v>
      </c>
      <c r="D118" s="84">
        <f>IFERROR(VLOOKUP($A118,GanttChart!$A:$JD,261,FALSE),0)</f>
        <v>0</v>
      </c>
      <c r="E118" s="84">
        <f>IFERROR(VLOOKUP($A118,GanttChart!$A:$JD,262,FALSE),0)</f>
        <v>0</v>
      </c>
      <c r="F118" s="84">
        <f>IFERROR(VLOOKUP($A118,GanttChart!$A:$JD,263,FALSE),0)</f>
        <v>0</v>
      </c>
      <c r="G118" s="85">
        <f>IFERROR(VLOOKUP($A118,GanttChart!$A:$JD,264,FALSE),0)</f>
        <v>0</v>
      </c>
      <c r="H118" s="238"/>
      <c r="I118" s="85">
        <f t="shared" si="0"/>
        <v>0</v>
      </c>
    </row>
    <row r="119" spans="1:9" ht="18.75" x14ac:dyDescent="0.45">
      <c r="A119" s="78">
        <v>6.5</v>
      </c>
      <c r="C119" s="83">
        <f>IFERROR(VLOOKUP($A119,GanttChart!$A:$JD,2,FALSE),"خطا")</f>
        <v>0</v>
      </c>
      <c r="D119" s="84">
        <f>IFERROR(VLOOKUP($A119,GanttChart!$A:$JD,261,FALSE),0)</f>
        <v>0</v>
      </c>
      <c r="E119" s="84">
        <f>IFERROR(VLOOKUP($A119,GanttChart!$A:$JD,262,FALSE),0)</f>
        <v>0</v>
      </c>
      <c r="F119" s="84">
        <f>IFERROR(VLOOKUP($A119,GanttChart!$A:$JD,263,FALSE),0)</f>
        <v>0</v>
      </c>
      <c r="G119" s="85">
        <f>IFERROR(VLOOKUP($A119,GanttChart!$A:$JD,264,FALSE),0)</f>
        <v>0</v>
      </c>
      <c r="H119" s="238"/>
      <c r="I119" s="85">
        <f t="shared" si="0"/>
        <v>0</v>
      </c>
    </row>
    <row r="120" spans="1:9" ht="18.75" hidden="1" x14ac:dyDescent="0.45">
      <c r="A120" s="78">
        <v>6.6</v>
      </c>
      <c r="C120" s="83">
        <f>IFERROR(VLOOKUP($A120,GanttChart!$A:$JD,2,FALSE),"خطا")</f>
        <v>0</v>
      </c>
      <c r="D120" s="84">
        <f>IFERROR(VLOOKUP($A120,GanttChart!$A:$JD,261,FALSE),0)</f>
        <v>0</v>
      </c>
      <c r="E120" s="84">
        <f>IFERROR(VLOOKUP($A120,GanttChart!$A:$JD,262,FALSE),0)</f>
        <v>0</v>
      </c>
      <c r="F120" s="84">
        <f>IFERROR(VLOOKUP($A120,GanttChart!$A:$JD,263,FALSE),0)</f>
        <v>0</v>
      </c>
      <c r="G120" s="85">
        <f>IFERROR(VLOOKUP($A120,GanttChart!$A:$JD,264,FALSE),0)</f>
        <v>0</v>
      </c>
      <c r="H120" s="238"/>
      <c r="I120" s="85">
        <f t="shared" si="0"/>
        <v>0</v>
      </c>
    </row>
    <row r="121" spans="1:9" ht="18.75" hidden="1" x14ac:dyDescent="0.45">
      <c r="A121" s="78">
        <v>6.7</v>
      </c>
      <c r="C121" s="83">
        <f>IFERROR(VLOOKUP($A121,GanttChart!$A:$JD,2,FALSE),"خطا")</f>
        <v>0</v>
      </c>
      <c r="D121" s="84">
        <f>IFERROR(VLOOKUP($A121,GanttChart!$A:$JD,261,FALSE),0)</f>
        <v>0</v>
      </c>
      <c r="E121" s="84">
        <f>IFERROR(VLOOKUP($A121,GanttChart!$A:$JD,262,FALSE),0)</f>
        <v>0</v>
      </c>
      <c r="F121" s="84">
        <f>IFERROR(VLOOKUP($A121,GanttChart!$A:$JD,263,FALSE),0)</f>
        <v>0</v>
      </c>
      <c r="G121" s="85">
        <f>IFERROR(VLOOKUP($A121,GanttChart!$A:$JD,264,FALSE),0)</f>
        <v>0</v>
      </c>
      <c r="H121" s="238"/>
      <c r="I121" s="85">
        <f t="shared" si="0"/>
        <v>0</v>
      </c>
    </row>
    <row r="122" spans="1:9" ht="18.75" hidden="1" x14ac:dyDescent="0.45">
      <c r="A122" s="78">
        <v>6.8</v>
      </c>
      <c r="C122" s="83">
        <f>IFERROR(VLOOKUP($A122,GanttChart!$A:$JD,2,FALSE),"خطا")</f>
        <v>0</v>
      </c>
      <c r="D122" s="84">
        <f>IFERROR(VLOOKUP($A122,GanttChart!$A:$JD,261,FALSE),0)</f>
        <v>0</v>
      </c>
      <c r="E122" s="84">
        <f>IFERROR(VLOOKUP($A122,GanttChart!$A:$JD,262,FALSE),0)</f>
        <v>0</v>
      </c>
      <c r="F122" s="84">
        <f>IFERROR(VLOOKUP($A122,GanttChart!$A:$JD,263,FALSE),0)</f>
        <v>0</v>
      </c>
      <c r="G122" s="85">
        <f>IFERROR(VLOOKUP($A122,GanttChart!$A:$JD,264,FALSE),0)</f>
        <v>0</v>
      </c>
      <c r="H122" s="238"/>
      <c r="I122" s="85">
        <f t="shared" si="0"/>
        <v>0</v>
      </c>
    </row>
    <row r="123" spans="1:9" ht="18.75" hidden="1" x14ac:dyDescent="0.45">
      <c r="A123" s="78">
        <v>6.9</v>
      </c>
      <c r="C123" s="83">
        <f>IFERROR(VLOOKUP($A123,GanttChart!$A:$JD,2,FALSE),"خطا")</f>
        <v>0</v>
      </c>
      <c r="D123" s="84">
        <f>IFERROR(VLOOKUP($A123,GanttChart!$A:$JD,261,FALSE),0)</f>
        <v>0</v>
      </c>
      <c r="E123" s="84">
        <f>IFERROR(VLOOKUP($A123,GanttChart!$A:$JD,262,FALSE),0)</f>
        <v>0</v>
      </c>
      <c r="F123" s="84">
        <f>IFERROR(VLOOKUP($A123,GanttChart!$A:$JD,263,FALSE),0)</f>
        <v>0</v>
      </c>
      <c r="G123" s="85">
        <f>IFERROR(VLOOKUP($A123,GanttChart!$A:$JD,264,FALSE),0)</f>
        <v>0</v>
      </c>
      <c r="H123" s="238"/>
      <c r="I123" s="85">
        <f t="shared" si="0"/>
        <v>0</v>
      </c>
    </row>
    <row r="124" spans="1:9" ht="18.75" hidden="1" x14ac:dyDescent="0.45">
      <c r="A124" s="78">
        <v>6.11</v>
      </c>
      <c r="C124" s="83">
        <f>IFERROR(VLOOKUP($A124,GanttChart!$A:$JD,2,FALSE),"خطا")</f>
        <v>0</v>
      </c>
      <c r="D124" s="84">
        <f>IFERROR(VLOOKUP($A124,GanttChart!$A:$JD,261,FALSE),0)</f>
        <v>0</v>
      </c>
      <c r="E124" s="84">
        <f>IFERROR(VLOOKUP($A124,GanttChart!$A:$JD,262,FALSE),0)</f>
        <v>0</v>
      </c>
      <c r="F124" s="84">
        <f>IFERROR(VLOOKUP($A124,GanttChart!$A:$JD,263,FALSE),0)</f>
        <v>0</v>
      </c>
      <c r="G124" s="85">
        <f>IFERROR(VLOOKUP($A124,GanttChart!$A:$JD,264,FALSE),0)</f>
        <v>0</v>
      </c>
      <c r="H124" s="238"/>
      <c r="I124" s="85">
        <f t="shared" si="0"/>
        <v>0</v>
      </c>
    </row>
    <row r="125" spans="1:9" ht="18.75" hidden="1" x14ac:dyDescent="0.45">
      <c r="A125" s="78">
        <v>6.12</v>
      </c>
      <c r="C125" s="83">
        <f>IFERROR(VLOOKUP($A125,GanttChart!$A:$JD,2,FALSE),"خطا")</f>
        <v>0</v>
      </c>
      <c r="D125" s="84">
        <f>IFERROR(VLOOKUP($A125,GanttChart!$A:$JD,261,FALSE),0)</f>
        <v>0</v>
      </c>
      <c r="E125" s="84">
        <f>IFERROR(VLOOKUP($A125,GanttChart!$A:$JD,262,FALSE),0)</f>
        <v>0</v>
      </c>
      <c r="F125" s="84">
        <f>IFERROR(VLOOKUP($A125,GanttChart!$A:$JD,263,FALSE),0)</f>
        <v>0</v>
      </c>
      <c r="G125" s="85">
        <f>IFERROR(VLOOKUP($A125,GanttChart!$A:$JD,264,FALSE),0)</f>
        <v>0</v>
      </c>
      <c r="H125" s="238"/>
      <c r="I125" s="85">
        <f t="shared" si="0"/>
        <v>0</v>
      </c>
    </row>
    <row r="126" spans="1:9" ht="18.75" hidden="1" x14ac:dyDescent="0.45">
      <c r="A126" s="78">
        <v>6.13</v>
      </c>
      <c r="C126" s="83">
        <f>IFERROR(VLOOKUP($A126,GanttChart!$A:$JD,2,FALSE),"خطا")</f>
        <v>0</v>
      </c>
      <c r="D126" s="84">
        <f>IFERROR(VLOOKUP($A126,GanttChart!$A:$JD,261,FALSE),0)</f>
        <v>0</v>
      </c>
      <c r="E126" s="84">
        <f>IFERROR(VLOOKUP($A126,GanttChart!$A:$JD,262,FALSE),0)</f>
        <v>0</v>
      </c>
      <c r="F126" s="84">
        <f>IFERROR(VLOOKUP($A126,GanttChart!$A:$JD,263,FALSE),0)</f>
        <v>0</v>
      </c>
      <c r="G126" s="85">
        <f>IFERROR(VLOOKUP($A126,GanttChart!$A:$JD,264,FALSE),0)</f>
        <v>0</v>
      </c>
      <c r="H126" s="238"/>
      <c r="I126" s="85">
        <f t="shared" si="0"/>
        <v>0</v>
      </c>
    </row>
    <row r="127" spans="1:9" ht="18.75" hidden="1" x14ac:dyDescent="0.45">
      <c r="A127" s="78">
        <v>6.14</v>
      </c>
      <c r="C127" s="83">
        <f>IFERROR(VLOOKUP($A127,GanttChart!$A:$JD,2,FALSE),"خطا")</f>
        <v>0</v>
      </c>
      <c r="D127" s="84">
        <f>IFERROR(VLOOKUP($A127,GanttChart!$A:$JD,261,FALSE),0)</f>
        <v>0</v>
      </c>
      <c r="E127" s="84">
        <f>IFERROR(VLOOKUP($A127,GanttChart!$A:$JD,262,FALSE),0)</f>
        <v>0</v>
      </c>
      <c r="F127" s="84">
        <f>IFERROR(VLOOKUP($A127,GanttChart!$A:$JD,263,FALSE),0)</f>
        <v>0</v>
      </c>
      <c r="G127" s="85">
        <f>IFERROR(VLOOKUP($A127,GanttChart!$A:$JD,264,FALSE),0)</f>
        <v>0</v>
      </c>
      <c r="H127" s="238"/>
      <c r="I127" s="85">
        <f t="shared" si="0"/>
        <v>0</v>
      </c>
    </row>
    <row r="128" spans="1:9" ht="18.75" hidden="1" x14ac:dyDescent="0.45">
      <c r="A128" s="78">
        <v>6.15</v>
      </c>
      <c r="C128" s="83">
        <f>IFERROR(VLOOKUP($A128,GanttChart!$A:$JD,2,FALSE),"خطا")</f>
        <v>0</v>
      </c>
      <c r="D128" s="84">
        <f>IFERROR(VLOOKUP($A128,GanttChart!$A:$JD,261,FALSE),0)</f>
        <v>0</v>
      </c>
      <c r="E128" s="84">
        <f>IFERROR(VLOOKUP($A128,GanttChart!$A:$JD,262,FALSE),0)</f>
        <v>0</v>
      </c>
      <c r="F128" s="84">
        <f>IFERROR(VLOOKUP($A128,GanttChart!$A:$JD,263,FALSE),0)</f>
        <v>0</v>
      </c>
      <c r="G128" s="85">
        <f>IFERROR(VLOOKUP($A128,GanttChart!$A:$JD,264,FALSE),0)</f>
        <v>0</v>
      </c>
      <c r="H128" s="238"/>
      <c r="I128" s="85">
        <f t="shared" si="0"/>
        <v>0</v>
      </c>
    </row>
    <row r="129" spans="1:9" ht="18.75" hidden="1" x14ac:dyDescent="0.45">
      <c r="A129" s="78">
        <v>6.16</v>
      </c>
      <c r="C129" s="83">
        <f>IFERROR(VLOOKUP($A129,GanttChart!$A:$JD,2,FALSE),"خطا")</f>
        <v>0</v>
      </c>
      <c r="D129" s="84">
        <f>IFERROR(VLOOKUP($A129,GanttChart!$A:$JD,261,FALSE),0)</f>
        <v>0</v>
      </c>
      <c r="E129" s="84">
        <f>IFERROR(VLOOKUP($A129,GanttChart!$A:$JD,262,FALSE),0)</f>
        <v>0</v>
      </c>
      <c r="F129" s="84">
        <f>IFERROR(VLOOKUP($A129,GanttChart!$A:$JD,263,FALSE),0)</f>
        <v>0</v>
      </c>
      <c r="G129" s="85">
        <f>IFERROR(VLOOKUP($A129,GanttChart!$A:$JD,264,FALSE),0)</f>
        <v>0</v>
      </c>
      <c r="H129" s="238"/>
      <c r="I129" s="85">
        <f t="shared" si="0"/>
        <v>0</v>
      </c>
    </row>
    <row r="130" spans="1:9" ht="18.75" hidden="1" x14ac:dyDescent="0.45">
      <c r="A130" s="78">
        <v>6.17</v>
      </c>
      <c r="C130" s="83">
        <f>IFERROR(VLOOKUP($A130,GanttChart!$A:$JD,2,FALSE),"خطا")</f>
        <v>0</v>
      </c>
      <c r="D130" s="84">
        <f>IFERROR(VLOOKUP($A130,GanttChart!$A:$JD,261,FALSE),0)</f>
        <v>0</v>
      </c>
      <c r="E130" s="84">
        <f>IFERROR(VLOOKUP($A130,GanttChart!$A:$JD,262,FALSE),0)</f>
        <v>0</v>
      </c>
      <c r="F130" s="84">
        <f>IFERROR(VLOOKUP($A130,GanttChart!$A:$JD,263,FALSE),0)</f>
        <v>0</v>
      </c>
      <c r="G130" s="85">
        <f>IFERROR(VLOOKUP($A130,GanttChart!$A:$JD,264,FALSE),0)</f>
        <v>0</v>
      </c>
      <c r="H130" s="238"/>
      <c r="I130" s="85">
        <f t="shared" si="0"/>
        <v>0</v>
      </c>
    </row>
    <row r="131" spans="1:9" ht="18.75" hidden="1" x14ac:dyDescent="0.45">
      <c r="A131" s="78">
        <v>6.18</v>
      </c>
      <c r="C131" s="83">
        <f>IFERROR(VLOOKUP($A131,GanttChart!$A:$JD,2,FALSE),"خطا")</f>
        <v>0</v>
      </c>
      <c r="D131" s="84">
        <f>IFERROR(VLOOKUP($A131,GanttChart!$A:$JD,261,FALSE),0)</f>
        <v>0</v>
      </c>
      <c r="E131" s="84">
        <f>IFERROR(VLOOKUP($A131,GanttChart!$A:$JD,262,FALSE),0)</f>
        <v>0</v>
      </c>
      <c r="F131" s="84">
        <f>IFERROR(VLOOKUP($A131,GanttChart!$A:$JD,263,FALSE),0)</f>
        <v>0</v>
      </c>
      <c r="G131" s="85">
        <f>IFERROR(VLOOKUP($A131,GanttChart!$A:$JD,264,FALSE),0)</f>
        <v>0</v>
      </c>
      <c r="H131" s="238"/>
      <c r="I131" s="85">
        <f t="shared" si="0"/>
        <v>0</v>
      </c>
    </row>
    <row r="132" spans="1:9" ht="18.75" hidden="1" x14ac:dyDescent="0.45">
      <c r="A132" s="78">
        <v>6.19</v>
      </c>
      <c r="C132" s="83">
        <f>IFERROR(VLOOKUP($A132,GanttChart!$A:$JD,2,FALSE),"خطا")</f>
        <v>0</v>
      </c>
      <c r="D132" s="84">
        <f>IFERROR(VLOOKUP($A132,GanttChart!$A:$JD,261,FALSE),0)</f>
        <v>0</v>
      </c>
      <c r="E132" s="84">
        <f>IFERROR(VLOOKUP($A132,GanttChart!$A:$JD,262,FALSE),0)</f>
        <v>0</v>
      </c>
      <c r="F132" s="84">
        <f>IFERROR(VLOOKUP($A132,GanttChart!$A:$JD,263,FALSE),0)</f>
        <v>0</v>
      </c>
      <c r="G132" s="85">
        <f>IFERROR(VLOOKUP($A132,GanttChart!$A:$JD,264,FALSE),0)</f>
        <v>0</v>
      </c>
      <c r="H132" s="238"/>
      <c r="I132" s="85">
        <f t="shared" si="0"/>
        <v>0</v>
      </c>
    </row>
    <row r="133" spans="1:9" ht="18.75" hidden="1" x14ac:dyDescent="0.45">
      <c r="A133" s="78">
        <v>6.21</v>
      </c>
      <c r="C133" s="83">
        <f>IFERROR(VLOOKUP($A133,GanttChart!$A:$JD,2,FALSE),"خطا")</f>
        <v>0</v>
      </c>
      <c r="D133" s="84">
        <f>IFERROR(VLOOKUP($A133,GanttChart!$A:$JD,261,FALSE),0)</f>
        <v>0</v>
      </c>
      <c r="E133" s="84">
        <f>IFERROR(VLOOKUP($A133,GanttChart!$A:$JD,262,FALSE),0)</f>
        <v>0</v>
      </c>
      <c r="F133" s="84">
        <f>IFERROR(VLOOKUP($A133,GanttChart!$A:$JD,263,FALSE),0)</f>
        <v>0</v>
      </c>
      <c r="G133" s="85">
        <f>IFERROR(VLOOKUP($A133,GanttChart!$A:$JD,264,FALSE),0)</f>
        <v>0</v>
      </c>
      <c r="H133" s="238"/>
      <c r="I133" s="85">
        <f t="shared" si="0"/>
        <v>0</v>
      </c>
    </row>
    <row r="134" spans="1:9" ht="18.75" hidden="1" x14ac:dyDescent="0.45">
      <c r="A134" s="78">
        <v>6.22</v>
      </c>
      <c r="C134" s="83">
        <f>IFERROR(VLOOKUP($A134,GanttChart!$A:$JD,2,FALSE),"خطا")</f>
        <v>0</v>
      </c>
      <c r="D134" s="84">
        <f>IFERROR(VLOOKUP($A134,GanttChart!$A:$JD,261,FALSE),0)</f>
        <v>0</v>
      </c>
      <c r="E134" s="84">
        <f>IFERROR(VLOOKUP($A134,GanttChart!$A:$JD,262,FALSE),0)</f>
        <v>0</v>
      </c>
      <c r="F134" s="84">
        <f>IFERROR(VLOOKUP($A134,GanttChart!$A:$JD,263,FALSE),0)</f>
        <v>0</v>
      </c>
      <c r="G134" s="85">
        <f>IFERROR(VLOOKUP($A134,GanttChart!$A:$JD,264,FALSE),0)</f>
        <v>0</v>
      </c>
      <c r="H134" s="238"/>
      <c r="I134" s="85">
        <f t="shared" si="0"/>
        <v>0</v>
      </c>
    </row>
    <row r="135" spans="1:9" ht="18.75" hidden="1" x14ac:dyDescent="0.45">
      <c r="A135" s="78">
        <v>6.23</v>
      </c>
      <c r="C135" s="83">
        <f>IFERROR(VLOOKUP($A135,GanttChart!$A:$JD,2,FALSE),"خطا")</f>
        <v>0</v>
      </c>
      <c r="D135" s="84">
        <f>IFERROR(VLOOKUP($A135,GanttChart!$A:$JD,261,FALSE),0)</f>
        <v>0</v>
      </c>
      <c r="E135" s="84">
        <f>IFERROR(VLOOKUP($A135,GanttChart!$A:$JD,262,FALSE),0)</f>
        <v>0</v>
      </c>
      <c r="F135" s="84">
        <f>IFERROR(VLOOKUP($A135,GanttChart!$A:$JD,263,FALSE),0)</f>
        <v>0</v>
      </c>
      <c r="G135" s="85">
        <f>IFERROR(VLOOKUP($A135,GanttChart!$A:$JD,264,FALSE),0)</f>
        <v>0</v>
      </c>
      <c r="H135" s="238"/>
      <c r="I135" s="85">
        <f t="shared" si="0"/>
        <v>0</v>
      </c>
    </row>
    <row r="136" spans="1:9" ht="18.75" hidden="1" x14ac:dyDescent="0.45">
      <c r="A136" s="78">
        <v>7</v>
      </c>
      <c r="C136" s="83" t="str">
        <f>IFERROR(VLOOKUP($A136,GanttChart!$A:$JD,2,FALSE),"خطا")</f>
        <v>تحویل نهايي دستاوردهای پروژه</v>
      </c>
      <c r="D136" s="84">
        <f>IFERROR(VLOOKUP($A136,GanttChart!$A:$JD,261,FALSE),0)</f>
        <v>0</v>
      </c>
      <c r="E136" s="84">
        <f>IFERROR(VLOOKUP($A136,GanttChart!$A:$JD,262,FALSE),0)</f>
        <v>0</v>
      </c>
      <c r="F136" s="84">
        <f>IFERROR(VLOOKUP($A136,GanttChart!$A:$JD,263,FALSE),0)</f>
        <v>0</v>
      </c>
      <c r="G136" s="85">
        <f>IFERROR(VLOOKUP($A136,GanttChart!$A:$JD,264,FALSE),0)</f>
        <v>0</v>
      </c>
      <c r="H136" s="238"/>
      <c r="I136" s="85">
        <f t="shared" si="0"/>
        <v>0</v>
      </c>
    </row>
    <row r="137" spans="1:9" ht="18.75" x14ac:dyDescent="0.45">
      <c r="A137" s="78">
        <v>7.1</v>
      </c>
      <c r="C137" s="83" t="str">
        <f>IFERROR(VLOOKUP($A137,GanttChart!$A:$JD,2,FALSE),"خطا")</f>
        <v>تنظیم و امضاء صورت جلسه تحویل پروژه</v>
      </c>
      <c r="D137" s="84">
        <f>IFERROR(VLOOKUP($A137,GanttChart!$A:$JD,261,FALSE),0)</f>
        <v>0</v>
      </c>
      <c r="E137" s="84">
        <f>IFERROR(VLOOKUP($A137,GanttChart!$A:$JD,262,FALSE),0)</f>
        <v>0</v>
      </c>
      <c r="F137" s="84">
        <f>IFERROR(VLOOKUP($A137,GanttChart!$A:$JD,263,FALSE),0)</f>
        <v>0</v>
      </c>
      <c r="G137" s="85">
        <f>IFERROR(VLOOKUP($A137,GanttChart!$A:$JD,264,FALSE),0)</f>
        <v>0</v>
      </c>
      <c r="H137" s="238"/>
      <c r="I137" s="85">
        <f t="shared" si="0"/>
        <v>0</v>
      </c>
    </row>
    <row r="138" spans="1:9" ht="18.75" x14ac:dyDescent="0.45">
      <c r="A138" s="78">
        <v>7.2</v>
      </c>
      <c r="C138" s="83" t="str">
        <f>IFERROR(VLOOKUP($A138,GanttChart!$A:$JD,2,FALSE),"خطا")</f>
        <v>انتقال پورتال به دامنه اصلی کارفرما</v>
      </c>
      <c r="D138" s="84">
        <f>IFERROR(VLOOKUP($A138,GanttChart!$A:$JD,261,FALSE),0)</f>
        <v>0</v>
      </c>
      <c r="E138" s="84">
        <f>IFERROR(VLOOKUP($A138,GanttChart!$A:$JD,262,FALSE),0)</f>
        <v>0</v>
      </c>
      <c r="F138" s="84">
        <f>IFERROR(VLOOKUP($A138,GanttChart!$A:$JD,263,FALSE),0)</f>
        <v>0</v>
      </c>
      <c r="G138" s="85">
        <f>IFERROR(VLOOKUP($A138,GanttChart!$A:$JD,264,FALSE),0)</f>
        <v>0</v>
      </c>
      <c r="H138" s="238"/>
      <c r="I138" s="85">
        <f t="shared" si="0"/>
        <v>0</v>
      </c>
    </row>
    <row r="139" spans="1:9" ht="18.75" x14ac:dyDescent="0.45">
      <c r="A139" s="78">
        <v>7.3</v>
      </c>
      <c r="C139" s="83">
        <f>IFERROR(VLOOKUP($A139,GanttChart!$A:$JD,2,FALSE),"خطا")</f>
        <v>0</v>
      </c>
      <c r="D139" s="84">
        <f>IFERROR(VLOOKUP($A139,GanttChart!$A:$JD,261,FALSE),0)</f>
        <v>0</v>
      </c>
      <c r="E139" s="84">
        <f>IFERROR(VLOOKUP($A139,GanttChart!$A:$JD,262,FALSE),0)</f>
        <v>0</v>
      </c>
      <c r="F139" s="84">
        <f>IFERROR(VLOOKUP($A139,GanttChart!$A:$JD,263,FALSE),0)</f>
        <v>0</v>
      </c>
      <c r="G139" s="85">
        <f>IFERROR(VLOOKUP($A139,GanttChart!$A:$JD,264,FALSE),0)</f>
        <v>0</v>
      </c>
      <c r="H139" s="238"/>
      <c r="I139" s="85">
        <f t="shared" si="0"/>
        <v>0</v>
      </c>
    </row>
    <row r="140" spans="1:9" ht="18.75" hidden="1" x14ac:dyDescent="0.45">
      <c r="A140" s="78">
        <v>7.4</v>
      </c>
      <c r="C140" s="83">
        <f>IFERROR(VLOOKUP($A140,GanttChart!$A:$JD,2,FALSE),"خطا")</f>
        <v>0</v>
      </c>
      <c r="D140" s="84">
        <f>IFERROR(VLOOKUP($A140,GanttChart!$A:$JD,261,FALSE),0)</f>
        <v>0</v>
      </c>
      <c r="E140" s="84">
        <f>IFERROR(VLOOKUP($A140,GanttChart!$A:$JD,262,FALSE),0)</f>
        <v>0</v>
      </c>
      <c r="F140" s="84">
        <f>IFERROR(VLOOKUP($A140,GanttChart!$A:$JD,263,FALSE),0)</f>
        <v>0</v>
      </c>
      <c r="G140" s="85">
        <f>IFERROR(VLOOKUP($A140,GanttChart!$A:$JD,264,FALSE),0)</f>
        <v>0</v>
      </c>
      <c r="H140" s="238"/>
      <c r="I140" s="85">
        <f t="shared" si="0"/>
        <v>0</v>
      </c>
    </row>
    <row r="141" spans="1:9" ht="18.75" hidden="1" x14ac:dyDescent="0.45">
      <c r="A141" s="78">
        <v>7.5</v>
      </c>
      <c r="C141" s="83">
        <f>IFERROR(VLOOKUP($A141,GanttChart!$A:$JD,2,FALSE),"خطا")</f>
        <v>0</v>
      </c>
      <c r="D141" s="84">
        <f>IFERROR(VLOOKUP($A141,GanttChart!$A:$JD,261,FALSE),0)</f>
        <v>0</v>
      </c>
      <c r="E141" s="84">
        <f>IFERROR(VLOOKUP($A141,GanttChart!$A:$JD,262,FALSE),0)</f>
        <v>0</v>
      </c>
      <c r="F141" s="84">
        <f>IFERROR(VLOOKUP($A141,GanttChart!$A:$JD,263,FALSE),0)</f>
        <v>0</v>
      </c>
      <c r="G141" s="85">
        <f>IFERROR(VLOOKUP($A141,GanttChart!$A:$JD,264,FALSE),0)</f>
        <v>0</v>
      </c>
      <c r="H141" s="238"/>
      <c r="I141" s="85">
        <f t="shared" si="0"/>
        <v>0</v>
      </c>
    </row>
    <row r="142" spans="1:9" ht="18.75" hidden="1" x14ac:dyDescent="0.45">
      <c r="A142" s="78">
        <v>7.6</v>
      </c>
      <c r="C142" s="83">
        <f>IFERROR(VLOOKUP($A142,GanttChart!$A:$JD,2,FALSE),"خطا")</f>
        <v>0</v>
      </c>
      <c r="D142" s="84">
        <f>IFERROR(VLOOKUP($A142,GanttChart!$A:$JD,261,FALSE),0)</f>
        <v>0</v>
      </c>
      <c r="E142" s="84">
        <f>IFERROR(VLOOKUP($A142,GanttChart!$A:$JD,262,FALSE),0)</f>
        <v>0</v>
      </c>
      <c r="F142" s="84">
        <f>IFERROR(VLOOKUP($A142,GanttChart!$A:$JD,263,FALSE),0)</f>
        <v>0</v>
      </c>
      <c r="G142" s="85">
        <f>IFERROR(VLOOKUP($A142,GanttChart!$A:$JD,264,FALSE),0)</f>
        <v>0</v>
      </c>
      <c r="H142" s="238"/>
      <c r="I142" s="85">
        <f t="shared" si="0"/>
        <v>0</v>
      </c>
    </row>
    <row r="143" spans="1:9" ht="18.75" hidden="1" x14ac:dyDescent="0.45">
      <c r="A143" s="78">
        <v>7.7</v>
      </c>
      <c r="C143" s="83">
        <f>IFERROR(VLOOKUP($A143,GanttChart!$A:$JD,2,FALSE),"خطا")</f>
        <v>0</v>
      </c>
      <c r="D143" s="84">
        <f>IFERROR(VLOOKUP($A143,GanttChart!$A:$JD,261,FALSE),0)</f>
        <v>0</v>
      </c>
      <c r="E143" s="84">
        <f>IFERROR(VLOOKUP($A143,GanttChart!$A:$JD,262,FALSE),0)</f>
        <v>0</v>
      </c>
      <c r="F143" s="84">
        <f>IFERROR(VLOOKUP($A143,GanttChart!$A:$JD,263,FALSE),0)</f>
        <v>0</v>
      </c>
      <c r="G143" s="85">
        <f>IFERROR(VLOOKUP($A143,GanttChart!$A:$JD,264,FALSE),0)</f>
        <v>0</v>
      </c>
      <c r="H143" s="238"/>
      <c r="I143" s="85">
        <f t="shared" si="0"/>
        <v>0</v>
      </c>
    </row>
    <row r="144" spans="1:9" ht="18.75" hidden="1" x14ac:dyDescent="0.45">
      <c r="A144" s="78">
        <v>7.8</v>
      </c>
      <c r="C144" s="83">
        <f>IFERROR(VLOOKUP($A144,GanttChart!$A:$JD,2,FALSE),"خطا")</f>
        <v>0</v>
      </c>
      <c r="D144" s="84">
        <f>IFERROR(VLOOKUP($A144,GanttChart!$A:$JD,261,FALSE),0)</f>
        <v>0</v>
      </c>
      <c r="E144" s="84">
        <f>IFERROR(VLOOKUP($A144,GanttChart!$A:$JD,262,FALSE),0)</f>
        <v>0</v>
      </c>
      <c r="F144" s="84">
        <f>IFERROR(VLOOKUP($A144,GanttChart!$A:$JD,263,FALSE),0)</f>
        <v>0</v>
      </c>
      <c r="G144" s="85">
        <f>IFERROR(VLOOKUP($A144,GanttChart!$A:$JD,264,FALSE),0)</f>
        <v>0</v>
      </c>
      <c r="H144" s="238"/>
      <c r="I144" s="85">
        <f t="shared" si="0"/>
        <v>0</v>
      </c>
    </row>
    <row r="145" spans="1:9" ht="18.75" hidden="1" x14ac:dyDescent="0.45">
      <c r="A145" s="78">
        <v>7.9</v>
      </c>
      <c r="C145" s="83">
        <f>IFERROR(VLOOKUP($A145,GanttChart!$A:$JD,2,FALSE),"خطا")</f>
        <v>0</v>
      </c>
      <c r="D145" s="84">
        <f>IFERROR(VLOOKUP($A145,GanttChart!$A:$JD,261,FALSE),0)</f>
        <v>0</v>
      </c>
      <c r="E145" s="84">
        <f>IFERROR(VLOOKUP($A145,GanttChart!$A:$JD,262,FALSE),0)</f>
        <v>0</v>
      </c>
      <c r="F145" s="84">
        <f>IFERROR(VLOOKUP($A145,GanttChart!$A:$JD,263,FALSE),0)</f>
        <v>0</v>
      </c>
      <c r="G145" s="85">
        <f>IFERROR(VLOOKUP($A145,GanttChart!$A:$JD,264,FALSE),0)</f>
        <v>0</v>
      </c>
      <c r="H145" s="238"/>
      <c r="I145" s="85">
        <f t="shared" si="0"/>
        <v>0</v>
      </c>
    </row>
    <row r="146" spans="1:9" ht="18.75" hidden="1" x14ac:dyDescent="0.45">
      <c r="A146" s="78">
        <v>7.11</v>
      </c>
      <c r="C146" s="83">
        <f>IFERROR(VLOOKUP($A146,GanttChart!$A:$JD,2,FALSE),"خطا")</f>
        <v>0</v>
      </c>
      <c r="D146" s="84">
        <f>IFERROR(VLOOKUP($A146,GanttChart!$A:$JD,261,FALSE),0)</f>
        <v>0</v>
      </c>
      <c r="E146" s="84">
        <f>IFERROR(VLOOKUP($A146,GanttChart!$A:$JD,262,FALSE),0)</f>
        <v>0</v>
      </c>
      <c r="F146" s="84">
        <f>IFERROR(VLOOKUP($A146,GanttChart!$A:$JD,263,FALSE),0)</f>
        <v>0</v>
      </c>
      <c r="G146" s="85">
        <f>IFERROR(VLOOKUP($A146,GanttChart!$A:$JD,264,FALSE),0)</f>
        <v>0</v>
      </c>
      <c r="H146" s="238"/>
      <c r="I146" s="85">
        <f t="shared" si="0"/>
        <v>0</v>
      </c>
    </row>
    <row r="147" spans="1:9" ht="18.75" hidden="1" x14ac:dyDescent="0.45">
      <c r="A147" s="78">
        <v>7.12</v>
      </c>
      <c r="C147" s="83">
        <f>IFERROR(VLOOKUP($A147,GanttChart!$A:$JD,2,FALSE),"خطا")</f>
        <v>0</v>
      </c>
      <c r="D147" s="84">
        <f>IFERROR(VLOOKUP($A147,GanttChart!$A:$JD,261,FALSE),0)</f>
        <v>0</v>
      </c>
      <c r="E147" s="84">
        <f>IFERROR(VLOOKUP($A147,GanttChart!$A:$JD,262,FALSE),0)</f>
        <v>0</v>
      </c>
      <c r="F147" s="84">
        <f>IFERROR(VLOOKUP($A147,GanttChart!$A:$JD,263,FALSE),0)</f>
        <v>0</v>
      </c>
      <c r="G147" s="85">
        <f>IFERROR(VLOOKUP($A147,GanttChart!$A:$JD,264,FALSE),0)</f>
        <v>0</v>
      </c>
      <c r="H147" s="238"/>
      <c r="I147" s="85">
        <f t="shared" si="0"/>
        <v>0</v>
      </c>
    </row>
    <row r="148" spans="1:9" ht="18.75" hidden="1" x14ac:dyDescent="0.45">
      <c r="A148" s="78">
        <v>7.13</v>
      </c>
      <c r="C148" s="83">
        <f>IFERROR(VLOOKUP($A148,GanttChart!$A:$JD,2,FALSE),"خطا")</f>
        <v>0</v>
      </c>
      <c r="D148" s="84">
        <f>IFERROR(VLOOKUP($A148,GanttChart!$A:$JD,261,FALSE),0)</f>
        <v>0</v>
      </c>
      <c r="E148" s="84">
        <f>IFERROR(VLOOKUP($A148,GanttChart!$A:$JD,262,FALSE),0)</f>
        <v>0</v>
      </c>
      <c r="F148" s="84">
        <f>IFERROR(VLOOKUP($A148,GanttChart!$A:$JD,263,FALSE),0)</f>
        <v>0</v>
      </c>
      <c r="G148" s="85">
        <f>IFERROR(VLOOKUP($A148,GanttChart!$A:$JD,264,FALSE),0)</f>
        <v>0</v>
      </c>
      <c r="H148" s="238"/>
      <c r="I148" s="85">
        <f t="shared" si="0"/>
        <v>0</v>
      </c>
    </row>
    <row r="149" spans="1:9" ht="18.75" hidden="1" x14ac:dyDescent="0.45">
      <c r="A149" s="78">
        <v>7.14</v>
      </c>
      <c r="C149" s="83">
        <f>IFERROR(VLOOKUP($A149,GanttChart!$A:$JD,2,FALSE),"خطا")</f>
        <v>0</v>
      </c>
      <c r="D149" s="84">
        <f>IFERROR(VLOOKUP($A149,GanttChart!$A:$JD,261,FALSE),0)</f>
        <v>0</v>
      </c>
      <c r="E149" s="84">
        <f>IFERROR(VLOOKUP($A149,GanttChart!$A:$JD,262,FALSE),0)</f>
        <v>0</v>
      </c>
      <c r="F149" s="84">
        <f>IFERROR(VLOOKUP($A149,GanttChart!$A:$JD,263,FALSE),0)</f>
        <v>0</v>
      </c>
      <c r="G149" s="85">
        <f>IFERROR(VLOOKUP($A149,GanttChart!$A:$JD,264,FALSE),0)</f>
        <v>0</v>
      </c>
      <c r="H149" s="238"/>
      <c r="I149" s="85">
        <f t="shared" si="0"/>
        <v>0</v>
      </c>
    </row>
    <row r="150" spans="1:9" ht="18.75" hidden="1" x14ac:dyDescent="0.45">
      <c r="A150" s="78">
        <v>7.15</v>
      </c>
      <c r="C150" s="83">
        <f>IFERROR(VLOOKUP($A150,GanttChart!$A:$JD,2,FALSE),"خطا")</f>
        <v>0</v>
      </c>
      <c r="D150" s="84">
        <f>IFERROR(VLOOKUP($A150,GanttChart!$A:$JD,261,FALSE),0)</f>
        <v>0</v>
      </c>
      <c r="E150" s="84">
        <f>IFERROR(VLOOKUP($A150,GanttChart!$A:$JD,262,FALSE),0)</f>
        <v>0</v>
      </c>
      <c r="F150" s="84">
        <f>IFERROR(VLOOKUP($A150,GanttChart!$A:$JD,263,FALSE),0)</f>
        <v>0</v>
      </c>
      <c r="G150" s="85">
        <f>IFERROR(VLOOKUP($A150,GanttChart!$A:$JD,264,FALSE),0)</f>
        <v>0</v>
      </c>
      <c r="H150" s="238"/>
      <c r="I150" s="85">
        <f t="shared" si="0"/>
        <v>0</v>
      </c>
    </row>
    <row r="151" spans="1:9" ht="18.75" hidden="1" x14ac:dyDescent="0.45">
      <c r="A151" s="78">
        <v>7.16</v>
      </c>
      <c r="C151" s="83">
        <f>IFERROR(VLOOKUP($A151,GanttChart!$A:$JD,2,FALSE),"خطا")</f>
        <v>0</v>
      </c>
      <c r="D151" s="84">
        <f>IFERROR(VLOOKUP($A151,GanttChart!$A:$JD,261,FALSE),0)</f>
        <v>0</v>
      </c>
      <c r="E151" s="84">
        <f>IFERROR(VLOOKUP($A151,GanttChart!$A:$JD,262,FALSE),0)</f>
        <v>0</v>
      </c>
      <c r="F151" s="84">
        <f>IFERROR(VLOOKUP($A151,GanttChart!$A:$JD,263,FALSE),0)</f>
        <v>0</v>
      </c>
      <c r="G151" s="85">
        <f>IFERROR(VLOOKUP($A151,GanttChart!$A:$JD,264,FALSE),0)</f>
        <v>0</v>
      </c>
      <c r="H151" s="238"/>
      <c r="I151" s="85">
        <f t="shared" si="0"/>
        <v>0</v>
      </c>
    </row>
    <row r="152" spans="1:9" ht="18.75" hidden="1" x14ac:dyDescent="0.45">
      <c r="A152" s="78">
        <v>7.17</v>
      </c>
      <c r="C152" s="83">
        <f>IFERROR(VLOOKUP($A152,GanttChart!$A:$JD,2,FALSE),"خطا")</f>
        <v>0</v>
      </c>
      <c r="D152" s="84">
        <f>IFERROR(VLOOKUP($A152,GanttChart!$A:$JD,261,FALSE),0)</f>
        <v>0</v>
      </c>
      <c r="E152" s="84">
        <f>IFERROR(VLOOKUP($A152,GanttChart!$A:$JD,262,FALSE),0)</f>
        <v>0</v>
      </c>
      <c r="F152" s="84">
        <f>IFERROR(VLOOKUP($A152,GanttChart!$A:$JD,263,FALSE),0)</f>
        <v>0</v>
      </c>
      <c r="G152" s="85">
        <f>IFERROR(VLOOKUP($A152,GanttChart!$A:$JD,264,FALSE),0)</f>
        <v>0</v>
      </c>
      <c r="H152" s="238"/>
      <c r="I152" s="85">
        <f t="shared" si="0"/>
        <v>0</v>
      </c>
    </row>
    <row r="153" spans="1:9" ht="18.75" hidden="1" x14ac:dyDescent="0.45">
      <c r="A153" s="78">
        <v>7.18</v>
      </c>
      <c r="C153" s="83">
        <f>IFERROR(VLOOKUP($A153,GanttChart!$A:$JD,2,FALSE),"خطا")</f>
        <v>0</v>
      </c>
      <c r="D153" s="84">
        <f>IFERROR(VLOOKUP($A153,GanttChart!$A:$JD,261,FALSE),0)</f>
        <v>0</v>
      </c>
      <c r="E153" s="84">
        <f>IFERROR(VLOOKUP($A153,GanttChart!$A:$JD,262,FALSE),0)</f>
        <v>0</v>
      </c>
      <c r="F153" s="84">
        <f>IFERROR(VLOOKUP($A153,GanttChart!$A:$JD,263,FALSE),0)</f>
        <v>0</v>
      </c>
      <c r="G153" s="85">
        <f>IFERROR(VLOOKUP($A153,GanttChart!$A:$JD,264,FALSE),0)</f>
        <v>0</v>
      </c>
      <c r="H153" s="238"/>
      <c r="I153" s="85">
        <f t="shared" si="0"/>
        <v>0</v>
      </c>
    </row>
    <row r="154" spans="1:9" ht="18.75" hidden="1" x14ac:dyDescent="0.45">
      <c r="A154" s="78">
        <v>7.19</v>
      </c>
      <c r="C154" s="83">
        <f>IFERROR(VLOOKUP($A154,GanttChart!$A:$JD,2,FALSE),"خطا")</f>
        <v>0</v>
      </c>
      <c r="D154" s="84">
        <f>IFERROR(VLOOKUP($A154,GanttChart!$A:$JD,261,FALSE),0)</f>
        <v>0</v>
      </c>
      <c r="E154" s="84">
        <f>IFERROR(VLOOKUP($A154,GanttChart!$A:$JD,262,FALSE),0)</f>
        <v>0</v>
      </c>
      <c r="F154" s="84">
        <f>IFERROR(VLOOKUP($A154,GanttChart!$A:$JD,263,FALSE),0)</f>
        <v>0</v>
      </c>
      <c r="G154" s="85">
        <f>IFERROR(VLOOKUP($A154,GanttChart!$A:$JD,264,FALSE),0)</f>
        <v>0</v>
      </c>
      <c r="H154" s="238"/>
      <c r="I154" s="85">
        <f t="shared" si="0"/>
        <v>0</v>
      </c>
    </row>
    <row r="155" spans="1:9" ht="18.75" hidden="1" x14ac:dyDescent="0.45">
      <c r="A155" s="78">
        <v>7.21</v>
      </c>
      <c r="C155" s="83">
        <f>IFERROR(VLOOKUP($A155,GanttChart!$A:$JD,2,FALSE),"خطا")</f>
        <v>0</v>
      </c>
      <c r="D155" s="84">
        <f>IFERROR(VLOOKUP($A155,GanttChart!$A:$JD,261,FALSE),0)</f>
        <v>0</v>
      </c>
      <c r="E155" s="84">
        <f>IFERROR(VLOOKUP($A155,GanttChart!$A:$JD,262,FALSE),0)</f>
        <v>0</v>
      </c>
      <c r="F155" s="84">
        <f>IFERROR(VLOOKUP($A155,GanttChart!$A:$JD,263,FALSE),0)</f>
        <v>0</v>
      </c>
      <c r="G155" s="85">
        <f>IFERROR(VLOOKUP($A155,GanttChart!$A:$JD,264,FALSE),0)</f>
        <v>0</v>
      </c>
      <c r="H155" s="238"/>
      <c r="I155" s="85">
        <f t="shared" si="0"/>
        <v>0</v>
      </c>
    </row>
    <row r="156" spans="1:9" ht="18.75" hidden="1" x14ac:dyDescent="0.45">
      <c r="A156" s="78">
        <v>7.22</v>
      </c>
      <c r="C156" s="83">
        <f>IFERROR(VLOOKUP($A156,GanttChart!$A:$JD,2,FALSE),"خطا")</f>
        <v>0</v>
      </c>
      <c r="D156" s="84">
        <f>IFERROR(VLOOKUP($A156,GanttChart!$A:$JD,261,FALSE),0)</f>
        <v>0</v>
      </c>
      <c r="E156" s="84">
        <f>IFERROR(VLOOKUP($A156,GanttChart!$A:$JD,262,FALSE),0)</f>
        <v>0</v>
      </c>
      <c r="F156" s="84">
        <f>IFERROR(VLOOKUP($A156,GanttChart!$A:$JD,263,FALSE),0)</f>
        <v>0</v>
      </c>
      <c r="G156" s="85">
        <f>IFERROR(VLOOKUP($A156,GanttChart!$A:$JD,264,FALSE),0)</f>
        <v>0</v>
      </c>
      <c r="H156" s="238"/>
      <c r="I156" s="85">
        <f t="shared" si="0"/>
        <v>0</v>
      </c>
    </row>
    <row r="157" spans="1:9" ht="18.75" hidden="1" x14ac:dyDescent="0.45">
      <c r="A157" s="78">
        <v>7.23</v>
      </c>
      <c r="C157" s="83">
        <f>IFERROR(VLOOKUP($A157,GanttChart!$A:$JD,2,FALSE),"خطا")</f>
        <v>0</v>
      </c>
      <c r="D157" s="84">
        <f>IFERROR(VLOOKUP($A157,GanttChart!$A:$JD,261,FALSE),0)</f>
        <v>0</v>
      </c>
      <c r="E157" s="84">
        <f>IFERROR(VLOOKUP($A157,GanttChart!$A:$JD,262,FALSE),0)</f>
        <v>0</v>
      </c>
      <c r="F157" s="84">
        <f>IFERROR(VLOOKUP($A157,GanttChart!$A:$JD,263,FALSE),0)</f>
        <v>0</v>
      </c>
      <c r="G157" s="85">
        <f>IFERROR(VLOOKUP($A157,GanttChart!$A:$JD,264,FALSE),0)</f>
        <v>0</v>
      </c>
      <c r="H157" s="238"/>
      <c r="I157" s="85">
        <f t="shared" si="0"/>
        <v>0</v>
      </c>
    </row>
    <row r="158" spans="1:9" ht="18.75" hidden="1" x14ac:dyDescent="0.45">
      <c r="A158" s="78">
        <v>8</v>
      </c>
      <c r="C158" s="83">
        <f>IFERROR(VLOOKUP($A158,GanttChart!$A:$JD,2,FALSE),"خطا")</f>
        <v>0</v>
      </c>
      <c r="D158" s="84">
        <f>IFERROR(VLOOKUP($A158,GanttChart!$A:$JD,261,FALSE),0)</f>
        <v>0</v>
      </c>
      <c r="E158" s="84">
        <f>IFERROR(VLOOKUP($A158,GanttChart!$A:$JD,262,FALSE),0)</f>
        <v>0</v>
      </c>
      <c r="F158" s="84">
        <f>IFERROR(VLOOKUP($A158,GanttChart!$A:$JD,263,FALSE),0)</f>
        <v>0</v>
      </c>
      <c r="G158" s="85">
        <f>IFERROR(VLOOKUP($A158,GanttChart!$A:$JD,264,FALSE),0)</f>
        <v>0</v>
      </c>
      <c r="H158" s="238"/>
      <c r="I158" s="85">
        <f t="shared" si="0"/>
        <v>0</v>
      </c>
    </row>
    <row r="159" spans="1:9" ht="18.75" x14ac:dyDescent="0.45">
      <c r="A159" s="78">
        <v>8.1</v>
      </c>
      <c r="C159" s="83">
        <f>IFERROR(VLOOKUP($A159,GanttChart!$A:$JD,2,FALSE),"خطا")</f>
        <v>0</v>
      </c>
      <c r="D159" s="84">
        <f>IFERROR(VLOOKUP($A159,GanttChart!$A:$JD,261,FALSE),0)</f>
        <v>0</v>
      </c>
      <c r="E159" s="84">
        <f>IFERROR(VLOOKUP($A159,GanttChart!$A:$JD,262,FALSE),0)</f>
        <v>0</v>
      </c>
      <c r="F159" s="84">
        <f>IFERROR(VLOOKUP($A159,GanttChart!$A:$JD,263,FALSE),0)</f>
        <v>0</v>
      </c>
      <c r="G159" s="85">
        <f>IFERROR(VLOOKUP($A159,GanttChart!$A:$JD,264,FALSE),0)</f>
        <v>0</v>
      </c>
      <c r="H159" s="238"/>
      <c r="I159" s="85">
        <f t="shared" si="0"/>
        <v>0</v>
      </c>
    </row>
    <row r="160" spans="1:9" ht="18.75" hidden="1" x14ac:dyDescent="0.45">
      <c r="A160" s="78">
        <v>8.1999999999999993</v>
      </c>
      <c r="C160" s="83">
        <f>IFERROR(VLOOKUP($A160,GanttChart!$A:$JD,2,FALSE),"خطا")</f>
        <v>0</v>
      </c>
      <c r="D160" s="84">
        <f>IFERROR(VLOOKUP($A160,GanttChart!$A:$JD,261,FALSE),0)</f>
        <v>0</v>
      </c>
      <c r="E160" s="84">
        <f>IFERROR(VLOOKUP($A160,GanttChart!$A:$JD,262,FALSE),0)</f>
        <v>0</v>
      </c>
      <c r="F160" s="84">
        <f>IFERROR(VLOOKUP($A160,GanttChart!$A:$JD,263,FALSE),0)</f>
        <v>0</v>
      </c>
      <c r="G160" s="85">
        <f>IFERROR(VLOOKUP($A160,GanttChart!$A:$JD,264,FALSE),0)</f>
        <v>0</v>
      </c>
      <c r="H160" s="238"/>
      <c r="I160" s="85">
        <f t="shared" si="0"/>
        <v>0</v>
      </c>
    </row>
    <row r="161" spans="1:9" ht="18.75" hidden="1" x14ac:dyDescent="0.45">
      <c r="A161" s="89">
        <v>8.3000000000000007</v>
      </c>
      <c r="C161" s="83">
        <f>IFERROR(VLOOKUP($A161,GanttChart!$A:$JD,2,FALSE),"خطا")</f>
        <v>0</v>
      </c>
      <c r="D161" s="84">
        <f>IFERROR(VLOOKUP($A161,GanttChart!$A:$JD,261,FALSE),0)</f>
        <v>0</v>
      </c>
      <c r="E161" s="84">
        <f>IFERROR(VLOOKUP($A161,GanttChart!$A:$JD,262,FALSE),0)</f>
        <v>0</v>
      </c>
      <c r="F161" s="84">
        <f>IFERROR(VLOOKUP($A161,GanttChart!$A:$JD,263,FALSE),0)</f>
        <v>0</v>
      </c>
      <c r="G161" s="85">
        <f>IFERROR(VLOOKUP($A161,GanttChart!$A:$JD,264,FALSE),0)</f>
        <v>0</v>
      </c>
      <c r="H161" s="238"/>
      <c r="I161" s="85">
        <f t="shared" ref="I161:I179" si="1">G161-(H161*G161)</f>
        <v>0</v>
      </c>
    </row>
    <row r="162" spans="1:9" ht="18.75" x14ac:dyDescent="0.45">
      <c r="A162" s="89">
        <v>8.4</v>
      </c>
      <c r="C162" s="83">
        <f>IFERROR(VLOOKUP($A162,GanttChart!$A:$JD,2,FALSE),"خطا")</f>
        <v>0</v>
      </c>
      <c r="D162" s="84">
        <f>IFERROR(VLOOKUP($A162,GanttChart!$A:$JD,261,FALSE),0)</f>
        <v>0</v>
      </c>
      <c r="E162" s="84">
        <f>IFERROR(VLOOKUP($A162,GanttChart!$A:$JD,262,FALSE),0)</f>
        <v>0</v>
      </c>
      <c r="F162" s="84">
        <f>IFERROR(VLOOKUP($A162,GanttChart!$A:$JD,263,FALSE),0)</f>
        <v>0</v>
      </c>
      <c r="G162" s="85">
        <f>IFERROR(VLOOKUP($A162,GanttChart!$A:$JD,264,FALSE),0)</f>
        <v>0</v>
      </c>
      <c r="H162" s="238"/>
      <c r="I162" s="85">
        <f t="shared" si="1"/>
        <v>0</v>
      </c>
    </row>
    <row r="163" spans="1:9" ht="18.75" hidden="1" x14ac:dyDescent="0.45">
      <c r="A163" s="78">
        <v>8.5</v>
      </c>
      <c r="C163" s="83">
        <f>IFERROR(VLOOKUP($A163,GanttChart!$A:$JD,2,FALSE),"خطا")</f>
        <v>0</v>
      </c>
      <c r="D163" s="84">
        <f>IFERROR(VLOOKUP($A163,GanttChart!$A:$JD,261,FALSE),0)</f>
        <v>0</v>
      </c>
      <c r="E163" s="84">
        <f>IFERROR(VLOOKUP($A163,GanttChart!$A:$JD,262,FALSE),0)</f>
        <v>0</v>
      </c>
      <c r="F163" s="84">
        <f>IFERROR(VLOOKUP($A163,GanttChart!$A:$JD,263,FALSE),0)</f>
        <v>0</v>
      </c>
      <c r="G163" s="85">
        <f>IFERROR(VLOOKUP($A163,GanttChart!$A:$JD,264,FALSE),0)</f>
        <v>0</v>
      </c>
      <c r="H163" s="238"/>
      <c r="I163" s="85">
        <f t="shared" si="1"/>
        <v>0</v>
      </c>
    </row>
    <row r="164" spans="1:9" ht="18.75" hidden="1" x14ac:dyDescent="0.45">
      <c r="A164" s="89">
        <v>8.6</v>
      </c>
      <c r="C164" s="83">
        <f>IFERROR(VLOOKUP($A164,GanttChart!$A:$JD,2,FALSE),"خطا")</f>
        <v>0</v>
      </c>
      <c r="D164" s="84">
        <f>IFERROR(VLOOKUP($A164,GanttChart!$A:$JD,261,FALSE),0)</f>
        <v>0</v>
      </c>
      <c r="E164" s="84">
        <f>IFERROR(VLOOKUP($A164,GanttChart!$A:$JD,262,FALSE),0)</f>
        <v>0</v>
      </c>
      <c r="F164" s="84">
        <f>IFERROR(VLOOKUP($A164,GanttChart!$A:$JD,263,FALSE),0)</f>
        <v>0</v>
      </c>
      <c r="G164" s="85">
        <f>IFERROR(VLOOKUP($A164,GanttChart!$A:$JD,264,FALSE),0)</f>
        <v>0</v>
      </c>
      <c r="H164" s="238"/>
      <c r="I164" s="85">
        <f t="shared" si="1"/>
        <v>0</v>
      </c>
    </row>
    <row r="165" spans="1:9" ht="18.75" hidden="1" x14ac:dyDescent="0.45">
      <c r="A165" s="89">
        <v>8.7000000000000099</v>
      </c>
      <c r="C165" s="83" t="str">
        <f>IFERROR(VLOOKUP($A165,GanttChart!$A:$JD,2,FALSE),"خطا")</f>
        <v>خطا</v>
      </c>
      <c r="D165" s="84">
        <f>IFERROR(VLOOKUP($A165,GanttChart!$A:$JD,261,FALSE),0)</f>
        <v>0</v>
      </c>
      <c r="E165" s="84">
        <f>IFERROR(VLOOKUP($A165,GanttChart!$A:$JD,262,FALSE),0)</f>
        <v>0</v>
      </c>
      <c r="F165" s="84">
        <f>IFERROR(VLOOKUP($A165,GanttChart!$A:$JD,263,FALSE),0)</f>
        <v>0</v>
      </c>
      <c r="G165" s="85">
        <f>IFERROR(VLOOKUP($A165,GanttChart!$A:$JD,264,FALSE),0)</f>
        <v>0</v>
      </c>
      <c r="H165" s="238"/>
      <c r="I165" s="85">
        <f t="shared" si="1"/>
        <v>0</v>
      </c>
    </row>
    <row r="166" spans="1:9" ht="18.75" hidden="1" x14ac:dyDescent="0.45">
      <c r="A166" s="78">
        <v>8.8000000000000096</v>
      </c>
      <c r="C166" s="83" t="str">
        <f>IFERROR(VLOOKUP($A166,GanttChart!$A:$JD,2,FALSE),"خطا")</f>
        <v>خطا</v>
      </c>
      <c r="D166" s="84">
        <f>IFERROR(VLOOKUP($A166,GanttChart!$A:$JD,261,FALSE),0)</f>
        <v>0</v>
      </c>
      <c r="E166" s="84">
        <f>IFERROR(VLOOKUP($A166,GanttChart!$A:$JD,262,FALSE),0)</f>
        <v>0</v>
      </c>
      <c r="F166" s="84">
        <f>IFERROR(VLOOKUP($A166,GanttChart!$A:$JD,263,FALSE),0)</f>
        <v>0</v>
      </c>
      <c r="G166" s="85">
        <f>IFERROR(VLOOKUP($A166,GanttChart!$A:$JD,264,FALSE),0)</f>
        <v>0</v>
      </c>
      <c r="H166" s="238"/>
      <c r="I166" s="85">
        <f t="shared" si="1"/>
        <v>0</v>
      </c>
    </row>
    <row r="167" spans="1:9" ht="18.75" hidden="1" x14ac:dyDescent="0.45">
      <c r="A167" s="89">
        <v>8.9000000000000092</v>
      </c>
      <c r="C167" s="83" t="str">
        <f>IFERROR(VLOOKUP($A167,GanttChart!$A:$JD,2,FALSE),"خطا")</f>
        <v>خطا</v>
      </c>
      <c r="D167" s="84">
        <f>IFERROR(VLOOKUP($A167,GanttChart!$A:$JD,261,FALSE),0)</f>
        <v>0</v>
      </c>
      <c r="E167" s="84">
        <f>IFERROR(VLOOKUP($A167,GanttChart!$A:$JD,262,FALSE),0)</f>
        <v>0</v>
      </c>
      <c r="F167" s="84">
        <f>IFERROR(VLOOKUP($A167,GanttChart!$A:$JD,263,FALSE),0)</f>
        <v>0</v>
      </c>
      <c r="G167" s="85">
        <f>IFERROR(VLOOKUP($A167,GanttChart!$A:$JD,264,FALSE),0)</f>
        <v>0</v>
      </c>
      <c r="H167" s="238"/>
      <c r="I167" s="85">
        <f t="shared" si="1"/>
        <v>0</v>
      </c>
    </row>
    <row r="168" spans="1:9" ht="18.75" hidden="1" x14ac:dyDescent="0.45">
      <c r="A168" s="89">
        <v>8.11</v>
      </c>
      <c r="C168" s="83">
        <f>IFERROR(VLOOKUP($A168,GanttChart!$A:$JD,2,FALSE),"خطا")</f>
        <v>0</v>
      </c>
      <c r="D168" s="84">
        <f>IFERROR(VLOOKUP($A168,GanttChart!$A:$JD,261,FALSE),0)</f>
        <v>0</v>
      </c>
      <c r="E168" s="84">
        <f>IFERROR(VLOOKUP($A168,GanttChart!$A:$JD,262,FALSE),0)</f>
        <v>0</v>
      </c>
      <c r="F168" s="84">
        <f>IFERROR(VLOOKUP($A168,GanttChart!$A:$JD,263,FALSE),0)</f>
        <v>0</v>
      </c>
      <c r="G168" s="85">
        <f>IFERROR(VLOOKUP($A168,GanttChart!$A:$JD,264,FALSE),0)</f>
        <v>0</v>
      </c>
      <c r="H168" s="238"/>
      <c r="I168" s="85">
        <f t="shared" si="1"/>
        <v>0</v>
      </c>
    </row>
    <row r="169" spans="1:9" ht="18.75" hidden="1" x14ac:dyDescent="0.45">
      <c r="A169" s="89">
        <v>8.1199999999999992</v>
      </c>
      <c r="C169" s="83">
        <f>IFERROR(VLOOKUP($A169,GanttChart!$A:$JD,2,FALSE),"خطا")</f>
        <v>0</v>
      </c>
      <c r="D169" s="84">
        <f>IFERROR(VLOOKUP($A169,GanttChart!$A:$JD,261,FALSE),0)</f>
        <v>0</v>
      </c>
      <c r="E169" s="84">
        <f>IFERROR(VLOOKUP($A169,GanttChart!$A:$JD,262,FALSE),0)</f>
        <v>0</v>
      </c>
      <c r="F169" s="84">
        <f>IFERROR(VLOOKUP($A169,GanttChart!$A:$JD,263,FALSE),0)</f>
        <v>0</v>
      </c>
      <c r="G169" s="85">
        <f>IFERROR(VLOOKUP($A169,GanttChart!$A:$JD,264,FALSE),0)</f>
        <v>0</v>
      </c>
      <c r="H169" s="238"/>
      <c r="I169" s="85">
        <f t="shared" si="1"/>
        <v>0</v>
      </c>
    </row>
    <row r="170" spans="1:9" ht="18.75" hidden="1" x14ac:dyDescent="0.45">
      <c r="A170" s="89">
        <v>8.1300000000000008</v>
      </c>
      <c r="C170" s="83">
        <f>IFERROR(VLOOKUP($A170,GanttChart!$A:$JD,2,FALSE),"خطا")</f>
        <v>0</v>
      </c>
      <c r="D170" s="84">
        <f>IFERROR(VLOOKUP($A170,GanttChart!$A:$JD,261,FALSE),0)</f>
        <v>0</v>
      </c>
      <c r="E170" s="84">
        <f>IFERROR(VLOOKUP($A170,GanttChart!$A:$JD,262,FALSE),0)</f>
        <v>0</v>
      </c>
      <c r="F170" s="84">
        <f>IFERROR(VLOOKUP($A170,GanttChart!$A:$JD,263,FALSE),0)</f>
        <v>0</v>
      </c>
      <c r="G170" s="85">
        <f>IFERROR(VLOOKUP($A170,GanttChart!$A:$JD,264,FALSE),0)</f>
        <v>0</v>
      </c>
      <c r="H170" s="238"/>
      <c r="I170" s="85">
        <f t="shared" si="1"/>
        <v>0</v>
      </c>
    </row>
    <row r="171" spans="1:9" ht="18.75" hidden="1" x14ac:dyDescent="0.45">
      <c r="A171" s="89">
        <v>8.14</v>
      </c>
      <c r="C171" s="83">
        <f>IFERROR(VLOOKUP($A171,GanttChart!$A:$JD,2,FALSE),"خطا")</f>
        <v>0</v>
      </c>
      <c r="D171" s="84">
        <f>IFERROR(VLOOKUP($A171,GanttChart!$A:$JD,261,FALSE),0)</f>
        <v>0</v>
      </c>
      <c r="E171" s="84">
        <f>IFERROR(VLOOKUP($A171,GanttChart!$A:$JD,262,FALSE),0)</f>
        <v>0</v>
      </c>
      <c r="F171" s="84">
        <f>IFERROR(VLOOKUP($A171,GanttChart!$A:$JD,263,FALSE),0)</f>
        <v>0</v>
      </c>
      <c r="G171" s="85">
        <f>IFERROR(VLOOKUP($A171,GanttChart!$A:$JD,264,FALSE),0)</f>
        <v>0</v>
      </c>
      <c r="H171" s="238"/>
      <c r="I171" s="85">
        <f t="shared" si="1"/>
        <v>0</v>
      </c>
    </row>
    <row r="172" spans="1:9" ht="18.75" hidden="1" x14ac:dyDescent="0.45">
      <c r="A172" s="89">
        <v>8.15</v>
      </c>
      <c r="C172" s="83">
        <f>IFERROR(VLOOKUP($A172,GanttChart!$A:$JD,2,FALSE),"خطا")</f>
        <v>0</v>
      </c>
      <c r="D172" s="84">
        <f>IFERROR(VLOOKUP($A172,GanttChart!$A:$JD,261,FALSE),0)</f>
        <v>0</v>
      </c>
      <c r="E172" s="84">
        <f>IFERROR(VLOOKUP($A172,GanttChart!$A:$JD,262,FALSE),0)</f>
        <v>0</v>
      </c>
      <c r="F172" s="84">
        <f>IFERROR(VLOOKUP($A172,GanttChart!$A:$JD,263,FALSE),0)</f>
        <v>0</v>
      </c>
      <c r="G172" s="85">
        <f>IFERROR(VLOOKUP($A172,GanttChart!$A:$JD,264,FALSE),0)</f>
        <v>0</v>
      </c>
      <c r="H172" s="238"/>
      <c r="I172" s="85">
        <f t="shared" si="1"/>
        <v>0</v>
      </c>
    </row>
    <row r="173" spans="1:9" ht="18.75" hidden="1" x14ac:dyDescent="0.45">
      <c r="A173" s="89">
        <v>8.16</v>
      </c>
      <c r="C173" s="83">
        <f>IFERROR(VLOOKUP($A173,GanttChart!$A:$JD,2,FALSE),"خطا")</f>
        <v>0</v>
      </c>
      <c r="D173" s="84">
        <f>IFERROR(VLOOKUP($A173,GanttChart!$A:$JD,261,FALSE),0)</f>
        <v>0</v>
      </c>
      <c r="E173" s="84">
        <f>IFERROR(VLOOKUP($A173,GanttChart!$A:$JD,262,FALSE),0)</f>
        <v>0</v>
      </c>
      <c r="F173" s="84">
        <f>IFERROR(VLOOKUP($A173,GanttChart!$A:$JD,263,FALSE),0)</f>
        <v>0</v>
      </c>
      <c r="G173" s="85">
        <f>IFERROR(VLOOKUP($A173,GanttChart!$A:$JD,264,FALSE),0)</f>
        <v>0</v>
      </c>
      <c r="H173" s="238"/>
      <c r="I173" s="85">
        <f t="shared" si="1"/>
        <v>0</v>
      </c>
    </row>
    <row r="174" spans="1:9" ht="18.75" hidden="1" x14ac:dyDescent="0.45">
      <c r="A174" s="89">
        <v>8.17</v>
      </c>
      <c r="C174" s="83">
        <f>IFERROR(VLOOKUP($A174,GanttChart!$A:$JD,2,FALSE),"خطا")</f>
        <v>0</v>
      </c>
      <c r="D174" s="84">
        <f>IFERROR(VLOOKUP($A174,GanttChart!$A:$JD,261,FALSE),0)</f>
        <v>0</v>
      </c>
      <c r="E174" s="84">
        <f>IFERROR(VLOOKUP($A174,GanttChart!$A:$JD,262,FALSE),0)</f>
        <v>0</v>
      </c>
      <c r="F174" s="84">
        <f>IFERROR(VLOOKUP($A174,GanttChart!$A:$JD,263,FALSE),0)</f>
        <v>0</v>
      </c>
      <c r="G174" s="85">
        <f>IFERROR(VLOOKUP($A174,GanttChart!$A:$JD,264,FALSE),0)</f>
        <v>0</v>
      </c>
      <c r="H174" s="238"/>
      <c r="I174" s="85">
        <f t="shared" si="1"/>
        <v>0</v>
      </c>
    </row>
    <row r="175" spans="1:9" ht="18.75" hidden="1" x14ac:dyDescent="0.45">
      <c r="A175" s="89">
        <v>8.18</v>
      </c>
      <c r="C175" s="83">
        <f>IFERROR(VLOOKUP($A175,GanttChart!$A:$JD,2,FALSE),"خطا")</f>
        <v>0</v>
      </c>
      <c r="D175" s="84">
        <f>IFERROR(VLOOKUP($A175,GanttChart!$A:$JD,261,FALSE),0)</f>
        <v>0</v>
      </c>
      <c r="E175" s="84">
        <f>IFERROR(VLOOKUP($A175,GanttChart!$A:$JD,262,FALSE),0)</f>
        <v>0</v>
      </c>
      <c r="F175" s="84">
        <f>IFERROR(VLOOKUP($A175,GanttChart!$A:$JD,263,FALSE),0)</f>
        <v>0</v>
      </c>
      <c r="G175" s="85">
        <f>IFERROR(VLOOKUP($A175,GanttChart!$A:$JD,264,FALSE),0)</f>
        <v>0</v>
      </c>
      <c r="H175" s="238"/>
      <c r="I175" s="85">
        <f t="shared" si="1"/>
        <v>0</v>
      </c>
    </row>
    <row r="176" spans="1:9" ht="18.75" hidden="1" x14ac:dyDescent="0.45">
      <c r="A176" s="89">
        <v>8.19</v>
      </c>
      <c r="C176" s="83">
        <f>IFERROR(VLOOKUP($A176,GanttChart!$A:$JD,2,FALSE),"خطا")</f>
        <v>0</v>
      </c>
      <c r="D176" s="84">
        <f>IFERROR(VLOOKUP($A176,GanttChart!$A:$JD,261,FALSE),0)</f>
        <v>0</v>
      </c>
      <c r="E176" s="84">
        <f>IFERROR(VLOOKUP($A176,GanttChart!$A:$JD,262,FALSE),0)</f>
        <v>0</v>
      </c>
      <c r="F176" s="84">
        <f>IFERROR(VLOOKUP($A176,GanttChart!$A:$JD,263,FALSE),0)</f>
        <v>0</v>
      </c>
      <c r="G176" s="85">
        <f>IFERROR(VLOOKUP($A176,GanttChart!$A:$JD,264,FALSE),0)</f>
        <v>0</v>
      </c>
      <c r="H176" s="238"/>
      <c r="I176" s="85">
        <f t="shared" si="1"/>
        <v>0</v>
      </c>
    </row>
    <row r="177" spans="1:9" ht="18.75" hidden="1" x14ac:dyDescent="0.45">
      <c r="A177" s="89">
        <v>8.2100000000000009</v>
      </c>
      <c r="C177" s="83">
        <f>IFERROR(VLOOKUP($A177,GanttChart!$A:$JD,2,FALSE),"خطا")</f>
        <v>0</v>
      </c>
      <c r="D177" s="84">
        <f>IFERROR(VLOOKUP($A177,GanttChart!$A:$JD,261,FALSE),0)</f>
        <v>0</v>
      </c>
      <c r="E177" s="84">
        <f>IFERROR(VLOOKUP($A177,GanttChart!$A:$JD,262,FALSE),0)</f>
        <v>0</v>
      </c>
      <c r="F177" s="84">
        <f>IFERROR(VLOOKUP($A177,GanttChart!$A:$JD,263,FALSE),0)</f>
        <v>0</v>
      </c>
      <c r="G177" s="85">
        <f>IFERROR(VLOOKUP($A177,GanttChart!$A:$JD,264,FALSE),0)</f>
        <v>0</v>
      </c>
      <c r="H177" s="238"/>
      <c r="I177" s="85">
        <f t="shared" si="1"/>
        <v>0</v>
      </c>
    </row>
    <row r="178" spans="1:9" ht="18.75" hidden="1" x14ac:dyDescent="0.45">
      <c r="A178" s="89">
        <v>8.2200000000000006</v>
      </c>
      <c r="C178" s="83">
        <f>IFERROR(VLOOKUP($A178,GanttChart!$A:$JD,2,FALSE),"خطا")</f>
        <v>0</v>
      </c>
      <c r="D178" s="84">
        <f>IFERROR(VLOOKUP($A178,GanttChart!$A:$JD,261,FALSE),0)</f>
        <v>0</v>
      </c>
      <c r="E178" s="84">
        <f>IFERROR(VLOOKUP($A178,GanttChart!$A:$JD,262,FALSE),0)</f>
        <v>0</v>
      </c>
      <c r="F178" s="84">
        <f>IFERROR(VLOOKUP($A178,GanttChart!$A:$JD,263,FALSE),0)</f>
        <v>0</v>
      </c>
      <c r="G178" s="85">
        <f>IFERROR(VLOOKUP($A178,GanttChart!$A:$JD,264,FALSE),0)</f>
        <v>0</v>
      </c>
      <c r="H178" s="238"/>
      <c r="I178" s="85">
        <f t="shared" si="1"/>
        <v>0</v>
      </c>
    </row>
    <row r="179" spans="1:9" ht="18.75" hidden="1" x14ac:dyDescent="0.45">
      <c r="A179" s="89">
        <v>8.23</v>
      </c>
      <c r="C179" s="83">
        <f>IFERROR(VLOOKUP($A179,GanttChart!$A:$JD,2,FALSE),"خطا")</f>
        <v>0</v>
      </c>
      <c r="D179" s="84">
        <f>IFERROR(VLOOKUP($A179,GanttChart!$A:$JD,261,FALSE),0)</f>
        <v>0</v>
      </c>
      <c r="E179" s="84">
        <f>IFERROR(VLOOKUP($A179,GanttChart!$A:$JD,262,FALSE),0)</f>
        <v>0</v>
      </c>
      <c r="F179" s="84">
        <f>IFERROR(VLOOKUP($A179,GanttChart!$A:$JD,263,FALSE),0)</f>
        <v>0</v>
      </c>
      <c r="G179" s="85">
        <f>IFERROR(VLOOKUP($A179,GanttChart!$A:$JD,264,FALSE),0)</f>
        <v>0</v>
      </c>
      <c r="H179" s="238"/>
      <c r="I179" s="91">
        <f t="shared" si="1"/>
        <v>0</v>
      </c>
    </row>
    <row r="180" spans="1:9" ht="21" x14ac:dyDescent="0.6">
      <c r="A180" s="98">
        <v>10</v>
      </c>
      <c r="C180" s="95" t="s">
        <v>51</v>
      </c>
      <c r="D180" s="96">
        <f>SUM(D4:D179)</f>
        <v>0</v>
      </c>
      <c r="E180" s="96">
        <f t="shared" ref="E180:I180" si="2">SUM(E4:E179)</f>
        <v>0</v>
      </c>
      <c r="F180" s="96">
        <f t="shared" si="2"/>
        <v>0</v>
      </c>
      <c r="G180" s="92">
        <f t="shared" si="2"/>
        <v>0</v>
      </c>
      <c r="H180" s="97"/>
      <c r="I180" s="92">
        <f t="shared" si="2"/>
        <v>0</v>
      </c>
    </row>
  </sheetData>
  <sheetProtection algorithmName="SHA-512" hashValue="UfI5pE8Tb814Dmk7lTvcdUC3Lpdjp8VsOI4shtFRRbx4iXEqFf+OCqem3tuXIlbN2O7MK2myf78pxzUeTgUcBw==" saltValue="WtI7XEzCkNNrWq2t5bNQgQ==" spinCount="100000" sheet="1" objects="1" scenarios="1" selectLockedCells="1"/>
  <autoFilter ref="A2:I180">
    <filterColumn colId="3" showButton="0"/>
    <filterColumn colId="4" showButton="0"/>
    <filterColumn colId="6">
      <filters blank="1">
        <filter val="ريال1,832,000"/>
        <filter val="ريال10,712,000"/>
        <filter val="ريال10,864,000"/>
        <filter val="ريال11,100,000"/>
        <filter val="ريال12,544,000"/>
        <filter val="ريال12,724,000"/>
        <filter val="ريال14,944,000"/>
        <filter val="ريال188,224,000"/>
        <filter val="ريال2,220,000"/>
        <filter val="ريال2,775,000"/>
        <filter val="ريال2,942,000"/>
        <filter val="ريال3,664,000"/>
        <filter val="ريال4,052,000"/>
        <filter val="ريال4,800,000"/>
        <filter val="ريال5,550,000"/>
        <filter val="ريال5,884,000"/>
        <filter val="ريال555,000"/>
        <filter val="ريال6,272,000"/>
        <filter val="ريال7,328,000"/>
        <filter val="ريال8,284,000"/>
        <filter val="ريال8,880,000"/>
        <filter val="ريال9,600,000"/>
      </filters>
    </filterColumn>
  </autoFilter>
  <mergeCells count="8">
    <mergeCell ref="B1:I1"/>
    <mergeCell ref="A2:A3"/>
    <mergeCell ref="B2:B3"/>
    <mergeCell ref="C2:C3"/>
    <mergeCell ref="D2:F2"/>
    <mergeCell ref="G2:G3"/>
    <mergeCell ref="H2:H3"/>
    <mergeCell ref="I2:I3"/>
  </mergeCells>
  <pageMargins left="0.27559055118110237" right="0.27559055118110237" top="0.74803149606299213" bottom="0.74803149606299213" header="0.31496062992125984" footer="0.31496062992125984"/>
  <pageSetup paperSize="9" scale="85" orientation="portrait" horizontalDpi="0" verticalDpi="0" r:id="rId1"/>
  <headerFooter>
    <oddHeader>&amp;C&amp;"B Mitra,پررنگ"&amp;12پیوست شماره 1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ه4" filterMode="1"/>
  <dimension ref="A1:O180"/>
  <sheetViews>
    <sheetView rightToLeft="1" zoomScaleNormal="100" workbookViewId="0">
      <selection activeCell="H158" activeCellId="7" sqref="H4 H26 H48 H70 H92 H114 H136 H158"/>
    </sheetView>
  </sheetViews>
  <sheetFormatPr defaultRowHeight="12.75" x14ac:dyDescent="0.2"/>
  <cols>
    <col min="2" max="2" width="1.42578125" customWidth="1"/>
    <col min="3" max="3" width="41.7109375" style="79" customWidth="1"/>
    <col min="4" max="4" width="6.42578125" style="80" customWidth="1"/>
    <col min="5" max="5" width="7" style="80" customWidth="1"/>
    <col min="6" max="6" width="6.85546875" style="80" customWidth="1"/>
    <col min="7" max="7" width="19.28515625" style="81" customWidth="1"/>
    <col min="8" max="8" width="6" style="82" customWidth="1"/>
    <col min="9" max="9" width="19.28515625" customWidth="1"/>
    <col min="12" max="12" width="15.140625" bestFit="1" customWidth="1"/>
  </cols>
  <sheetData>
    <row r="1" spans="1:15" ht="18" x14ac:dyDescent="0.2">
      <c r="B1" s="305" t="str">
        <f>CONCATENATE("آنالیز و برآورد زمان نفر / ساعت خدمات کارشناسی توسعه و سفارشی سازی ",GanttChart!B8)</f>
        <v>آنالیز و برآورد زمان نفر / ساعت خدمات کارشناسی توسعه و سفارشی سازی طراحی و پیاده سازی پورتال اینترنتی و زیر پورتال های بیمه سامان</v>
      </c>
      <c r="C1" s="305"/>
      <c r="D1" s="306"/>
      <c r="E1" s="306"/>
      <c r="F1" s="306"/>
      <c r="G1" s="305"/>
      <c r="H1" s="305"/>
      <c r="I1" s="305"/>
    </row>
    <row r="2" spans="1:15" ht="16.5" x14ac:dyDescent="0.45">
      <c r="A2" s="307" t="s">
        <v>0</v>
      </c>
      <c r="B2" s="308"/>
      <c r="C2" s="310" t="s">
        <v>64</v>
      </c>
      <c r="D2" s="312" t="s">
        <v>65</v>
      </c>
      <c r="E2" s="312"/>
      <c r="F2" s="312"/>
      <c r="G2" s="319" t="s">
        <v>66</v>
      </c>
      <c r="H2" s="315" t="s">
        <v>70</v>
      </c>
      <c r="I2" s="317" t="s">
        <v>67</v>
      </c>
      <c r="J2" s="7"/>
      <c r="K2" s="7"/>
      <c r="L2" s="7"/>
      <c r="M2" s="7"/>
      <c r="N2" s="7"/>
      <c r="O2" s="7"/>
    </row>
    <row r="3" spans="1:15" ht="63.75" x14ac:dyDescent="0.45">
      <c r="A3" s="307"/>
      <c r="B3" s="309"/>
      <c r="C3" s="311"/>
      <c r="D3" s="87" t="s">
        <v>7</v>
      </c>
      <c r="E3" s="87" t="s">
        <v>55</v>
      </c>
      <c r="F3" s="87" t="s">
        <v>56</v>
      </c>
      <c r="G3" s="320"/>
      <c r="H3" s="316"/>
      <c r="I3" s="318"/>
      <c r="J3" s="7"/>
      <c r="K3" s="7"/>
      <c r="L3" s="7"/>
      <c r="M3" s="7"/>
      <c r="N3" s="7"/>
      <c r="O3" s="7"/>
    </row>
    <row r="4" spans="1:15" ht="18.75" x14ac:dyDescent="0.45">
      <c r="A4" s="78">
        <v>1</v>
      </c>
      <c r="B4" s="78"/>
      <c r="C4" s="83" t="str">
        <f>IFERROR(VLOOKUP($A4,GanttChart!$A:$JD,2,FALSE),"خطا")</f>
        <v>مدیریت، برنامه ریزی مالی و کنترل پیشرفت پروژه</v>
      </c>
      <c r="D4" s="84">
        <f>SUM(D5:D25)</f>
        <v>0</v>
      </c>
      <c r="E4" s="84">
        <f>SUM(E5:E25)</f>
        <v>0</v>
      </c>
      <c r="F4" s="84">
        <f>SUM(F5:F25)</f>
        <v>0</v>
      </c>
      <c r="G4" s="85">
        <f>SUM(G5:G25)</f>
        <v>0</v>
      </c>
      <c r="H4" s="238">
        <v>1</v>
      </c>
      <c r="I4" s="85">
        <f>G4-(H4*G4)</f>
        <v>0</v>
      </c>
      <c r="J4" s="7"/>
      <c r="K4" s="7"/>
      <c r="L4" s="7"/>
      <c r="M4" s="7"/>
      <c r="N4" s="7"/>
      <c r="O4" s="7"/>
    </row>
    <row r="5" spans="1:15" ht="18.75" hidden="1" x14ac:dyDescent="0.45">
      <c r="A5" s="78">
        <v>1.1000000000000001</v>
      </c>
      <c r="B5" s="78"/>
      <c r="C5" s="83" t="str">
        <f>IFERROR(VLOOKUP($A5,GanttChart!$A:$JD,2,FALSE),"خطا")</f>
        <v>تهيه برنامه زمانبندي msp  و گانت چارت اجرايي پروژه</v>
      </c>
      <c r="D5" s="84">
        <f>IFERROR(VLOOKUP($A5,GanttChart!$A:$JD,261,FALSE),0)</f>
        <v>0</v>
      </c>
      <c r="E5" s="84">
        <f>IFERROR(VLOOKUP($A5,GanttChart!$A:$JD,262,FALSE),0)</f>
        <v>0</v>
      </c>
      <c r="F5" s="84">
        <f>IFERROR(VLOOKUP($A5,GanttChart!$A:$JD,263,FALSE),0)</f>
        <v>0</v>
      </c>
      <c r="G5" s="85">
        <f>IFERROR(VLOOKUP($A5,GanttChart!$A:$JD,264,FALSE),0)</f>
        <v>0</v>
      </c>
      <c r="H5" s="86"/>
      <c r="I5" s="85">
        <f t="shared" ref="I5:I160" si="0">G5-(H5*G5)</f>
        <v>0</v>
      </c>
      <c r="J5" s="7"/>
      <c r="K5" s="7"/>
      <c r="L5" s="7"/>
      <c r="M5" s="7"/>
      <c r="N5" s="7"/>
      <c r="O5" s="7"/>
    </row>
    <row r="6" spans="1:15" ht="18.75" hidden="1" x14ac:dyDescent="0.45">
      <c r="A6" s="78">
        <v>1.2</v>
      </c>
      <c r="B6" s="78"/>
      <c r="C6" s="83" t="str">
        <f>IFERROR(VLOOKUP($A6,GanttChart!$A:$JD,2,FALSE),"خطا")</f>
        <v>معرفی مدیر پروژه پیمانکار به کارفرما پس از ابلاغ قرارداد</v>
      </c>
      <c r="D6" s="84">
        <f>IFERROR(VLOOKUP($A6,GanttChart!$A:$JD,261,FALSE),0)</f>
        <v>0</v>
      </c>
      <c r="E6" s="84">
        <f>IFERROR(VLOOKUP($A6,GanttChart!$A:$JD,262,FALSE),0)</f>
        <v>0</v>
      </c>
      <c r="F6" s="84">
        <f>IFERROR(VLOOKUP($A6,GanttChart!$A:$JD,263,FALSE),0)</f>
        <v>0</v>
      </c>
      <c r="G6" s="85">
        <f>IFERROR(VLOOKUP($A6,GanttChart!$A:$JD,264,FALSE),0)</f>
        <v>0</v>
      </c>
      <c r="H6" s="86"/>
      <c r="I6" s="85">
        <f t="shared" si="0"/>
        <v>0</v>
      </c>
      <c r="J6" s="7"/>
      <c r="K6" s="7"/>
      <c r="L6" s="7"/>
      <c r="M6" s="7"/>
      <c r="N6" s="7"/>
      <c r="O6" s="7"/>
    </row>
    <row r="7" spans="1:15" ht="18.75" hidden="1" x14ac:dyDescent="0.45">
      <c r="A7" s="78">
        <v>1.3</v>
      </c>
      <c r="B7" s="78"/>
      <c r="C7" s="83" t="str">
        <f>IFERROR(VLOOKUP($A7,GanttChart!$A:$JD,2,FALSE),"خطا")</f>
        <v>معرفی مدیر پروژه کارفرما به پیمانکار</v>
      </c>
      <c r="D7" s="84">
        <f>IFERROR(VLOOKUP($A7,GanttChart!$A:$JD,261,FALSE),0)</f>
        <v>0</v>
      </c>
      <c r="E7" s="84">
        <f>IFERROR(VLOOKUP($A7,GanttChart!$A:$JD,262,FALSE),0)</f>
        <v>0</v>
      </c>
      <c r="F7" s="84">
        <f>IFERROR(VLOOKUP($A7,GanttChart!$A:$JD,263,FALSE),0)</f>
        <v>0</v>
      </c>
      <c r="G7" s="85">
        <f>IFERROR(VLOOKUP($A7,GanttChart!$A:$JD,264,FALSE),0)</f>
        <v>0</v>
      </c>
      <c r="H7" s="86"/>
      <c r="I7" s="85">
        <f t="shared" si="0"/>
        <v>0</v>
      </c>
      <c r="J7" s="7"/>
      <c r="K7" s="7"/>
      <c r="L7" s="7"/>
      <c r="M7" s="7"/>
      <c r="N7" s="7"/>
      <c r="O7" s="7"/>
    </row>
    <row r="8" spans="1:15" ht="18.75" hidden="1" x14ac:dyDescent="0.45">
      <c r="A8" s="78">
        <v>1.4</v>
      </c>
      <c r="B8" s="78"/>
      <c r="C8" s="83" t="str">
        <f>IFERROR(VLOOKUP($A8,GanttChart!$A:$JD,2,FALSE),"خطا")</f>
        <v>جلسه اول پروژه (معارفه و تحویل زیر ساخت نرم افزاری)</v>
      </c>
      <c r="D8" s="84">
        <f>IFERROR(VLOOKUP($A8,GanttChart!$A:$JD,261,FALSE),0)</f>
        <v>0</v>
      </c>
      <c r="E8" s="84">
        <f>IFERROR(VLOOKUP($A8,GanttChart!$A:$JD,262,FALSE),0)</f>
        <v>0</v>
      </c>
      <c r="F8" s="84">
        <f>IFERROR(VLOOKUP($A8,GanttChart!$A:$JD,263,FALSE),0)</f>
        <v>0</v>
      </c>
      <c r="G8" s="85">
        <f>IFERROR(VLOOKUP($A8,GanttChart!$A:$JD,264,FALSE),0)</f>
        <v>0</v>
      </c>
      <c r="H8" s="86"/>
      <c r="I8" s="85">
        <f t="shared" si="0"/>
        <v>0</v>
      </c>
      <c r="J8" s="7"/>
      <c r="K8" s="7"/>
      <c r="L8" s="7"/>
      <c r="M8" s="7"/>
      <c r="N8" s="7"/>
      <c r="O8" s="7"/>
    </row>
    <row r="9" spans="1:15" ht="18.75" hidden="1" x14ac:dyDescent="0.45">
      <c r="A9" s="78">
        <v>1.5</v>
      </c>
      <c r="B9" s="78"/>
      <c r="C9" s="83" t="str">
        <f>IFERROR(VLOOKUP($A9,GanttChart!$A:$JD,2,FALSE),"خطا")</f>
        <v>پرداخت پیش پرداخت قرارداد</v>
      </c>
      <c r="D9" s="84">
        <f>IFERROR(VLOOKUP($A9,GanttChart!$A:$JD,261,FALSE),0)</f>
        <v>0</v>
      </c>
      <c r="E9" s="84">
        <f>IFERROR(VLOOKUP($A9,GanttChart!$A:$JD,262,FALSE),0)</f>
        <v>0</v>
      </c>
      <c r="F9" s="84">
        <f>IFERROR(VLOOKUP($A9,GanttChart!$A:$JD,263,FALSE),0)</f>
        <v>0</v>
      </c>
      <c r="G9" s="85">
        <f>IFERROR(VLOOKUP($A9,GanttChart!$A:$JD,264,FALSE),0)</f>
        <v>0</v>
      </c>
      <c r="H9" s="86"/>
      <c r="I9" s="85">
        <f t="shared" si="0"/>
        <v>0</v>
      </c>
      <c r="J9" s="7"/>
      <c r="K9" s="7"/>
      <c r="L9" s="7"/>
      <c r="M9" s="7"/>
      <c r="N9" s="7"/>
      <c r="O9" s="7"/>
    </row>
    <row r="10" spans="1:15" ht="18.75" hidden="1" x14ac:dyDescent="0.45">
      <c r="A10" s="78">
        <v>1.6</v>
      </c>
      <c r="B10" s="78"/>
      <c r="C10" s="83">
        <f>IFERROR(VLOOKUP($A10,GanttChart!$A:$JD,2,FALSE),"خطا")</f>
        <v>0</v>
      </c>
      <c r="D10" s="84">
        <f>IFERROR(VLOOKUP($A10,GanttChart!$A:$JD,261,FALSE),0)</f>
        <v>0</v>
      </c>
      <c r="E10" s="84">
        <f>IFERROR(VLOOKUP($A10,GanttChart!$A:$JD,262,FALSE),0)</f>
        <v>0</v>
      </c>
      <c r="F10" s="84">
        <f>IFERROR(VLOOKUP($A10,GanttChart!$A:$JD,263,FALSE),0)</f>
        <v>0</v>
      </c>
      <c r="G10" s="85">
        <f>IFERROR(VLOOKUP($A10,GanttChart!$A:$JD,264,FALSE),0)</f>
        <v>0</v>
      </c>
      <c r="H10" s="86"/>
      <c r="I10" s="85">
        <f t="shared" si="0"/>
        <v>0</v>
      </c>
      <c r="J10" s="7"/>
      <c r="K10" s="7"/>
      <c r="L10" s="7"/>
      <c r="M10" s="7"/>
      <c r="N10" s="7"/>
      <c r="O10" s="7"/>
    </row>
    <row r="11" spans="1:15" ht="18.75" hidden="1" x14ac:dyDescent="0.45">
      <c r="A11" s="78">
        <v>1.7</v>
      </c>
      <c r="B11" s="78"/>
      <c r="C11" s="83">
        <f>IFERROR(VLOOKUP($A11,GanttChart!$A:$JD,2,FALSE),"خطا")</f>
        <v>0</v>
      </c>
      <c r="D11" s="84">
        <f>IFERROR(VLOOKUP($A11,GanttChart!$A:$JD,261,FALSE),0)</f>
        <v>0</v>
      </c>
      <c r="E11" s="84">
        <f>IFERROR(VLOOKUP($A11,GanttChart!$A:$JD,262,FALSE),0)</f>
        <v>0</v>
      </c>
      <c r="F11" s="84">
        <f>IFERROR(VLOOKUP($A11,GanttChart!$A:$JD,263,FALSE),0)</f>
        <v>0</v>
      </c>
      <c r="G11" s="85">
        <f>IFERROR(VLOOKUP($A11,GanttChart!$A:$JD,264,FALSE),0)</f>
        <v>0</v>
      </c>
      <c r="H11" s="86"/>
      <c r="I11" s="85">
        <f t="shared" si="0"/>
        <v>0</v>
      </c>
      <c r="J11" s="7"/>
      <c r="K11" s="7"/>
      <c r="L11" s="7"/>
      <c r="M11" s="7"/>
      <c r="N11" s="7"/>
      <c r="O11" s="7"/>
    </row>
    <row r="12" spans="1:15" ht="18.75" hidden="1" x14ac:dyDescent="0.45">
      <c r="A12" s="78">
        <v>1.8</v>
      </c>
      <c r="B12" s="78"/>
      <c r="C12" s="83">
        <f>IFERROR(VLOOKUP($A12,GanttChart!$A:$JD,2,FALSE),"خطا")</f>
        <v>0</v>
      </c>
      <c r="D12" s="84">
        <f>IFERROR(VLOOKUP($A12,GanttChart!$A:$JD,261,FALSE),0)</f>
        <v>0</v>
      </c>
      <c r="E12" s="84">
        <f>IFERROR(VLOOKUP($A12,GanttChart!$A:$JD,262,FALSE),0)</f>
        <v>0</v>
      </c>
      <c r="F12" s="84">
        <f>IFERROR(VLOOKUP($A12,GanttChart!$A:$JD,263,FALSE),0)</f>
        <v>0</v>
      </c>
      <c r="G12" s="85">
        <f>IFERROR(VLOOKUP($A12,GanttChart!$A:$JD,264,FALSE),0)</f>
        <v>0</v>
      </c>
      <c r="H12" s="86"/>
      <c r="I12" s="85">
        <f t="shared" si="0"/>
        <v>0</v>
      </c>
      <c r="J12" s="7"/>
      <c r="K12" s="7"/>
      <c r="L12" s="7"/>
      <c r="M12" s="7"/>
      <c r="N12" s="7"/>
      <c r="O12" s="7"/>
    </row>
    <row r="13" spans="1:15" ht="18.75" hidden="1" x14ac:dyDescent="0.45">
      <c r="A13" s="78">
        <v>1.9</v>
      </c>
      <c r="B13" s="78"/>
      <c r="C13" s="83">
        <f>IFERROR(VLOOKUP($A13,GanttChart!$A:$JD,2,FALSE),"خطا")</f>
        <v>0</v>
      </c>
      <c r="D13" s="84">
        <f>IFERROR(VLOOKUP($A13,GanttChart!$A:$JD,261,FALSE),0)</f>
        <v>0</v>
      </c>
      <c r="E13" s="84">
        <f>IFERROR(VLOOKUP($A13,GanttChart!$A:$JD,262,FALSE),0)</f>
        <v>0</v>
      </c>
      <c r="F13" s="84">
        <f>IFERROR(VLOOKUP($A13,GanttChart!$A:$JD,263,FALSE),0)</f>
        <v>0</v>
      </c>
      <c r="G13" s="85">
        <f>IFERROR(VLOOKUP($A13,GanttChart!$A:$JD,264,FALSE),0)</f>
        <v>0</v>
      </c>
      <c r="H13" s="86"/>
      <c r="I13" s="85">
        <f t="shared" si="0"/>
        <v>0</v>
      </c>
      <c r="J13" s="7"/>
      <c r="K13" s="7"/>
      <c r="L13" s="7"/>
      <c r="M13" s="7"/>
      <c r="N13" s="7"/>
      <c r="O13" s="7"/>
    </row>
    <row r="14" spans="1:15" ht="18.75" hidden="1" x14ac:dyDescent="0.45">
      <c r="A14" s="78">
        <v>1.1100000000000001</v>
      </c>
      <c r="B14" s="78"/>
      <c r="C14" s="83">
        <f>IFERROR(VLOOKUP($A14,GanttChart!$A:$JD,2,FALSE),"خطا")</f>
        <v>0</v>
      </c>
      <c r="D14" s="84">
        <f>IFERROR(VLOOKUP($A14,GanttChart!$A:$JD,261,FALSE),0)</f>
        <v>0</v>
      </c>
      <c r="E14" s="84">
        <f>IFERROR(VLOOKUP($A14,GanttChart!$A:$JD,262,FALSE),0)</f>
        <v>0</v>
      </c>
      <c r="F14" s="84">
        <f>IFERROR(VLOOKUP($A14,GanttChart!$A:$JD,263,FALSE),0)</f>
        <v>0</v>
      </c>
      <c r="G14" s="85">
        <f>IFERROR(VLOOKUP($A14,GanttChart!$A:$JD,264,FALSE),0)</f>
        <v>0</v>
      </c>
      <c r="H14" s="86"/>
      <c r="I14" s="85">
        <f t="shared" si="0"/>
        <v>0</v>
      </c>
      <c r="J14" s="7"/>
      <c r="K14" s="7"/>
      <c r="L14" s="7"/>
      <c r="M14" s="7"/>
      <c r="N14" s="7"/>
      <c r="O14" s="7"/>
    </row>
    <row r="15" spans="1:15" ht="18.75" hidden="1" x14ac:dyDescent="0.45">
      <c r="A15" s="78">
        <v>1.1200000000000001</v>
      </c>
      <c r="B15" s="78"/>
      <c r="C15" s="83">
        <f>IFERROR(VLOOKUP($A15,GanttChart!$A:$JD,2,FALSE),"خطا")</f>
        <v>0</v>
      </c>
      <c r="D15" s="84">
        <f>IFERROR(VLOOKUP($A15,GanttChart!$A:$JD,261,FALSE),0)</f>
        <v>0</v>
      </c>
      <c r="E15" s="84">
        <f>IFERROR(VLOOKUP($A15,GanttChart!$A:$JD,262,FALSE),0)</f>
        <v>0</v>
      </c>
      <c r="F15" s="84">
        <f>IFERROR(VLOOKUP($A15,GanttChart!$A:$JD,263,FALSE),0)</f>
        <v>0</v>
      </c>
      <c r="G15" s="85">
        <f>IFERROR(VLOOKUP($A15,GanttChart!$A:$JD,264,FALSE),0)</f>
        <v>0</v>
      </c>
      <c r="H15" s="86"/>
      <c r="I15" s="85">
        <f t="shared" si="0"/>
        <v>0</v>
      </c>
      <c r="J15" s="7"/>
      <c r="K15" s="7"/>
      <c r="L15" s="7"/>
      <c r="M15" s="7"/>
      <c r="N15" s="7"/>
      <c r="O15" s="7"/>
    </row>
    <row r="16" spans="1:15" ht="18.75" hidden="1" x14ac:dyDescent="0.45">
      <c r="A16" s="78">
        <v>1.1299999999999999</v>
      </c>
      <c r="B16" s="78"/>
      <c r="C16" s="83">
        <f>IFERROR(VLOOKUP($A16,GanttChart!$A:$JD,2,FALSE),"خطا")</f>
        <v>0</v>
      </c>
      <c r="D16" s="84">
        <f>IFERROR(VLOOKUP($A16,GanttChart!$A:$JD,261,FALSE),0)</f>
        <v>0</v>
      </c>
      <c r="E16" s="84">
        <f>IFERROR(VLOOKUP($A16,GanttChart!$A:$JD,262,FALSE),0)</f>
        <v>0</v>
      </c>
      <c r="F16" s="84">
        <f>IFERROR(VLOOKUP($A16,GanttChart!$A:$JD,263,FALSE),0)</f>
        <v>0</v>
      </c>
      <c r="G16" s="85">
        <f>IFERROR(VLOOKUP($A16,GanttChart!$A:$JD,264,FALSE),0)</f>
        <v>0</v>
      </c>
      <c r="H16" s="86"/>
      <c r="I16" s="85">
        <f t="shared" si="0"/>
        <v>0</v>
      </c>
      <c r="J16" s="7"/>
      <c r="K16" s="7"/>
      <c r="L16" s="7"/>
      <c r="M16" s="7"/>
      <c r="N16" s="7"/>
      <c r="O16" s="7"/>
    </row>
    <row r="17" spans="1:15" ht="18.75" hidden="1" x14ac:dyDescent="0.45">
      <c r="A17" s="78">
        <v>1.1399999999999999</v>
      </c>
      <c r="B17" s="78"/>
      <c r="C17" s="83">
        <f>IFERROR(VLOOKUP($A17,GanttChart!$A:$JD,2,FALSE),"خطا")</f>
        <v>0</v>
      </c>
      <c r="D17" s="84">
        <f>IFERROR(VLOOKUP($A17,GanttChart!$A:$JD,261,FALSE),0)</f>
        <v>0</v>
      </c>
      <c r="E17" s="84">
        <f>IFERROR(VLOOKUP($A17,GanttChart!$A:$JD,262,FALSE),0)</f>
        <v>0</v>
      </c>
      <c r="F17" s="84">
        <f>IFERROR(VLOOKUP($A17,GanttChart!$A:$JD,263,FALSE),0)</f>
        <v>0</v>
      </c>
      <c r="G17" s="85">
        <f>IFERROR(VLOOKUP($A17,GanttChart!$A:$JD,264,FALSE),0)</f>
        <v>0</v>
      </c>
      <c r="H17" s="86"/>
      <c r="I17" s="85">
        <f t="shared" si="0"/>
        <v>0</v>
      </c>
      <c r="J17" s="7"/>
      <c r="K17" s="7"/>
      <c r="L17" s="7"/>
      <c r="M17" s="7"/>
      <c r="N17" s="7"/>
      <c r="O17" s="7"/>
    </row>
    <row r="18" spans="1:15" ht="18.75" hidden="1" x14ac:dyDescent="0.45">
      <c r="A18" s="78">
        <v>1.1499999999999999</v>
      </c>
      <c r="B18" s="78"/>
      <c r="C18" s="83">
        <f>IFERROR(VLOOKUP($A18,GanttChart!$A:$JD,2,FALSE),"خطا")</f>
        <v>0</v>
      </c>
      <c r="D18" s="84">
        <f>IFERROR(VLOOKUP($A18,GanttChart!$A:$JD,261,FALSE),0)</f>
        <v>0</v>
      </c>
      <c r="E18" s="84">
        <f>IFERROR(VLOOKUP($A18,GanttChart!$A:$JD,262,FALSE),0)</f>
        <v>0</v>
      </c>
      <c r="F18" s="84">
        <f>IFERROR(VLOOKUP($A18,GanttChart!$A:$JD,263,FALSE),0)</f>
        <v>0</v>
      </c>
      <c r="G18" s="85">
        <f>IFERROR(VLOOKUP($A18,GanttChart!$A:$JD,264,FALSE),0)</f>
        <v>0</v>
      </c>
      <c r="H18" s="86"/>
      <c r="I18" s="85">
        <f t="shared" si="0"/>
        <v>0</v>
      </c>
      <c r="J18" s="7"/>
      <c r="K18" s="7"/>
      <c r="L18" s="7"/>
      <c r="M18" s="7"/>
      <c r="N18" s="7"/>
      <c r="O18" s="7"/>
    </row>
    <row r="19" spans="1:15" ht="18.75" hidden="1" x14ac:dyDescent="0.45">
      <c r="A19" s="78">
        <v>1.1599999999999999</v>
      </c>
      <c r="B19" s="78"/>
      <c r="C19" s="83">
        <f>IFERROR(VLOOKUP($A19,GanttChart!$A:$JD,2,FALSE),"خطا")</f>
        <v>0</v>
      </c>
      <c r="D19" s="84">
        <f>IFERROR(VLOOKUP($A19,GanttChart!$A:$JD,261,FALSE),0)</f>
        <v>0</v>
      </c>
      <c r="E19" s="84">
        <f>IFERROR(VLOOKUP($A19,GanttChart!$A:$JD,262,FALSE),0)</f>
        <v>0</v>
      </c>
      <c r="F19" s="84">
        <f>IFERROR(VLOOKUP($A19,GanttChart!$A:$JD,263,FALSE),0)</f>
        <v>0</v>
      </c>
      <c r="G19" s="85">
        <f>IFERROR(VLOOKUP($A19,GanttChart!$A:$JD,264,FALSE),0)</f>
        <v>0</v>
      </c>
      <c r="H19" s="86"/>
      <c r="I19" s="85">
        <f t="shared" si="0"/>
        <v>0</v>
      </c>
      <c r="J19" s="7"/>
      <c r="K19" s="7"/>
      <c r="L19" s="7"/>
      <c r="M19" s="7"/>
      <c r="N19" s="7"/>
      <c r="O19" s="7"/>
    </row>
    <row r="20" spans="1:15" ht="18.75" hidden="1" x14ac:dyDescent="0.45">
      <c r="A20" s="78">
        <v>1.17</v>
      </c>
      <c r="B20" s="78"/>
      <c r="C20" s="83">
        <f>IFERROR(VLOOKUP($A20,GanttChart!$A:$JD,2,FALSE),"خطا")</f>
        <v>0</v>
      </c>
      <c r="D20" s="84">
        <f>IFERROR(VLOOKUP($A20,GanttChart!$A:$JD,261,FALSE),0)</f>
        <v>0</v>
      </c>
      <c r="E20" s="84">
        <f>IFERROR(VLOOKUP($A20,GanttChart!$A:$JD,262,FALSE),0)</f>
        <v>0</v>
      </c>
      <c r="F20" s="84">
        <f>IFERROR(VLOOKUP($A20,GanttChart!$A:$JD,263,FALSE),0)</f>
        <v>0</v>
      </c>
      <c r="G20" s="85">
        <f>IFERROR(VLOOKUP($A20,GanttChart!$A:$JD,264,FALSE),0)</f>
        <v>0</v>
      </c>
      <c r="H20" s="86"/>
      <c r="I20" s="85">
        <f t="shared" si="0"/>
        <v>0</v>
      </c>
      <c r="J20" s="7"/>
      <c r="K20" s="7"/>
      <c r="L20" s="7"/>
      <c r="M20" s="7"/>
      <c r="N20" s="7"/>
      <c r="O20" s="7"/>
    </row>
    <row r="21" spans="1:15" ht="18.75" hidden="1" x14ac:dyDescent="0.45">
      <c r="A21" s="78">
        <v>1.18</v>
      </c>
      <c r="B21" s="78"/>
      <c r="C21" s="83">
        <f>IFERROR(VLOOKUP($A21,GanttChart!$A:$JD,2,FALSE),"خطا")</f>
        <v>0</v>
      </c>
      <c r="D21" s="84">
        <f>IFERROR(VLOOKUP($A21,GanttChart!$A:$JD,261,FALSE),0)</f>
        <v>0</v>
      </c>
      <c r="E21" s="84">
        <f>IFERROR(VLOOKUP($A21,GanttChart!$A:$JD,262,FALSE),0)</f>
        <v>0</v>
      </c>
      <c r="F21" s="84">
        <f>IFERROR(VLOOKUP($A21,GanttChart!$A:$JD,263,FALSE),0)</f>
        <v>0</v>
      </c>
      <c r="G21" s="85">
        <f>IFERROR(VLOOKUP($A21,GanttChart!$A:$JD,264,FALSE),0)</f>
        <v>0</v>
      </c>
      <c r="H21" s="86"/>
      <c r="I21" s="85">
        <f t="shared" si="0"/>
        <v>0</v>
      </c>
      <c r="J21" s="7"/>
      <c r="K21" s="7"/>
      <c r="L21" s="7"/>
      <c r="M21" s="7"/>
      <c r="N21" s="7"/>
      <c r="O21" s="7"/>
    </row>
    <row r="22" spans="1:15" ht="18.75" hidden="1" x14ac:dyDescent="0.45">
      <c r="A22" s="78">
        <v>1.19</v>
      </c>
      <c r="B22" s="78"/>
      <c r="C22" s="83">
        <f>IFERROR(VLOOKUP($A22,GanttChart!$A:$JD,2,FALSE),"خطا")</f>
        <v>0</v>
      </c>
      <c r="D22" s="84">
        <f>IFERROR(VLOOKUP($A22,GanttChart!$A:$JD,261,FALSE),0)</f>
        <v>0</v>
      </c>
      <c r="E22" s="84">
        <f>IFERROR(VLOOKUP($A22,GanttChart!$A:$JD,262,FALSE),0)</f>
        <v>0</v>
      </c>
      <c r="F22" s="84">
        <f>IFERROR(VLOOKUP($A22,GanttChart!$A:$JD,263,FALSE),0)</f>
        <v>0</v>
      </c>
      <c r="G22" s="85">
        <f>IFERROR(VLOOKUP($A22,GanttChart!$A:$JD,264,FALSE),0)</f>
        <v>0</v>
      </c>
      <c r="H22" s="86"/>
      <c r="I22" s="85">
        <f t="shared" si="0"/>
        <v>0</v>
      </c>
      <c r="J22" s="7"/>
      <c r="K22" s="7"/>
      <c r="L22" s="7"/>
      <c r="M22" s="7"/>
      <c r="N22" s="7"/>
      <c r="O22" s="7"/>
    </row>
    <row r="23" spans="1:15" ht="18.75" hidden="1" x14ac:dyDescent="0.45">
      <c r="A23" s="78">
        <v>1.21</v>
      </c>
      <c r="B23" s="78"/>
      <c r="C23" s="83">
        <f>IFERROR(VLOOKUP($A23,GanttChart!$A:$JD,2,FALSE),"خطا")</f>
        <v>0</v>
      </c>
      <c r="D23" s="84">
        <f>IFERROR(VLOOKUP($A23,GanttChart!$A:$JD,261,FALSE),0)</f>
        <v>0</v>
      </c>
      <c r="E23" s="84">
        <f>IFERROR(VLOOKUP($A23,GanttChart!$A:$JD,262,FALSE),0)</f>
        <v>0</v>
      </c>
      <c r="F23" s="84">
        <f>IFERROR(VLOOKUP($A23,GanttChart!$A:$JD,263,FALSE),0)</f>
        <v>0</v>
      </c>
      <c r="G23" s="85">
        <f>IFERROR(VLOOKUP($A23,GanttChart!$A:$JD,264,FALSE),0)</f>
        <v>0</v>
      </c>
      <c r="H23" s="86"/>
      <c r="I23" s="85">
        <f t="shared" si="0"/>
        <v>0</v>
      </c>
      <c r="J23" s="7"/>
      <c r="K23" s="7"/>
      <c r="L23" s="7"/>
      <c r="M23" s="7"/>
      <c r="N23" s="7"/>
      <c r="O23" s="7"/>
    </row>
    <row r="24" spans="1:15" ht="18.75" hidden="1" x14ac:dyDescent="0.45">
      <c r="A24" s="78">
        <v>1.22</v>
      </c>
      <c r="B24" s="78"/>
      <c r="C24" s="83">
        <f>IFERROR(VLOOKUP($A24,GanttChart!$A:$JD,2,FALSE),"خطا")</f>
        <v>0</v>
      </c>
      <c r="D24" s="84">
        <f>IFERROR(VLOOKUP($A24,GanttChart!$A:$JD,261,FALSE),0)</f>
        <v>0</v>
      </c>
      <c r="E24" s="84">
        <f>IFERROR(VLOOKUP($A24,GanttChart!$A:$JD,262,FALSE),0)</f>
        <v>0</v>
      </c>
      <c r="F24" s="84">
        <f>IFERROR(VLOOKUP($A24,GanttChart!$A:$JD,263,FALSE),0)</f>
        <v>0</v>
      </c>
      <c r="G24" s="85">
        <f>IFERROR(VLOOKUP($A24,GanttChart!$A:$JD,264,FALSE),0)</f>
        <v>0</v>
      </c>
      <c r="H24" s="86"/>
      <c r="I24" s="85">
        <f t="shared" si="0"/>
        <v>0</v>
      </c>
      <c r="J24" s="7"/>
      <c r="K24" s="7"/>
      <c r="L24" s="7"/>
      <c r="M24" s="7"/>
      <c r="N24" s="7"/>
      <c r="O24" s="7"/>
    </row>
    <row r="25" spans="1:15" ht="18.75" hidden="1" x14ac:dyDescent="0.45">
      <c r="A25" s="78">
        <v>1.23</v>
      </c>
      <c r="B25" s="78"/>
      <c r="C25" s="83">
        <f>IFERROR(VLOOKUP($A25,GanttChart!$A:$JD,2,FALSE),"خطا")</f>
        <v>0</v>
      </c>
      <c r="D25" s="84">
        <f>IFERROR(VLOOKUP($A25,GanttChart!$A:$JD,261,FALSE),0)</f>
        <v>0</v>
      </c>
      <c r="E25" s="84">
        <f>IFERROR(VLOOKUP($A25,GanttChart!$A:$JD,262,FALSE),0)</f>
        <v>0</v>
      </c>
      <c r="F25" s="84">
        <f>IFERROR(VLOOKUP($A25,GanttChart!$A:$JD,263,FALSE),0)</f>
        <v>0</v>
      </c>
      <c r="G25" s="85">
        <f>IFERROR(VLOOKUP($A25,GanttChart!$A:$JD,264,FALSE),0)</f>
        <v>0</v>
      </c>
      <c r="H25" s="86"/>
      <c r="I25" s="85">
        <f t="shared" si="0"/>
        <v>0</v>
      </c>
      <c r="J25" s="7"/>
      <c r="K25" s="7"/>
      <c r="L25" s="7"/>
      <c r="M25" s="7"/>
      <c r="N25" s="7"/>
      <c r="O25" s="7"/>
    </row>
    <row r="26" spans="1:15" ht="18.75" x14ac:dyDescent="0.45">
      <c r="A26" s="78">
        <v>2</v>
      </c>
      <c r="B26" s="78"/>
      <c r="C26" s="83" t="str">
        <f>IFERROR(VLOOKUP($A26,GanttChart!$A:$JD,2,FALSE),"خطا")</f>
        <v>استقرار زيرساخت  وآماده سازی  زیر ساخت نرم افزاری سامان سوئیت</v>
      </c>
      <c r="D26" s="84">
        <f>SUM(D27:D47)</f>
        <v>0</v>
      </c>
      <c r="E26" s="84">
        <f>SUM(E27:E47)</f>
        <v>0</v>
      </c>
      <c r="F26" s="84">
        <f>SUM(F27:F47)</f>
        <v>0</v>
      </c>
      <c r="G26" s="85">
        <f>SUM(G27:G47)</f>
        <v>0</v>
      </c>
      <c r="H26" s="238" t="e">
        <f>1-J26/G26</f>
        <v>#DIV/0!</v>
      </c>
      <c r="I26" s="85" t="e">
        <f t="shared" si="0"/>
        <v>#DIV/0!</v>
      </c>
      <c r="J26" s="105">
        <v>12000000</v>
      </c>
      <c r="K26" s="103"/>
      <c r="L26" s="104"/>
      <c r="M26" s="7"/>
      <c r="N26" s="7"/>
      <c r="O26" s="7"/>
    </row>
    <row r="27" spans="1:15" ht="31.5" hidden="1" x14ac:dyDescent="0.45">
      <c r="A27" s="78">
        <v>2.1</v>
      </c>
      <c r="B27" s="78"/>
      <c r="C27" s="83" t="str">
        <f>IFERROR(VLOOKUP($A27,GanttChart!$A:$JD,2,FALSE),"خطا")</f>
        <v xml:space="preserve">ارائه سند نيازمنديهاي شبکه و سخت افزار سرور و نرم افزار های مورد نیاز به کارفرما </v>
      </c>
      <c r="D27" s="84">
        <f>IFERROR(VLOOKUP($A27,GanttChart!$A:$JD,261,FALSE),0)</f>
        <v>0</v>
      </c>
      <c r="E27" s="84">
        <f>IFERROR(VLOOKUP($A27,GanttChart!$A:$JD,262,FALSE),0)</f>
        <v>0</v>
      </c>
      <c r="F27" s="84">
        <f>IFERROR(VLOOKUP($A27,GanttChart!$A:$JD,263,FALSE),0)</f>
        <v>0</v>
      </c>
      <c r="G27" s="85">
        <f>IFERROR(VLOOKUP($A27,GanttChart!$A:$JD,264,FALSE),0)</f>
        <v>0</v>
      </c>
      <c r="H27" s="86"/>
      <c r="I27" s="85">
        <f t="shared" si="0"/>
        <v>0</v>
      </c>
      <c r="J27" s="7"/>
      <c r="K27" s="7"/>
      <c r="L27" s="7"/>
      <c r="M27" s="7"/>
      <c r="N27" s="7"/>
      <c r="O27" s="7"/>
    </row>
    <row r="28" spans="1:15" ht="31.5" hidden="1" x14ac:dyDescent="0.45">
      <c r="A28" s="78">
        <v>2.2000000000000002</v>
      </c>
      <c r="B28" s="78"/>
      <c r="C28" s="83" t="str">
        <f>IFERROR(VLOOKUP($A28,GanttChart!$A:$JD,2,FALSE),"خطا")</f>
        <v xml:space="preserve">تامين و آماده سازي شبکه و زيرساخت سخت افزاری و نرم افزاری مورد نياز (سرور  اصلی و میرور) توسط کارفرما </v>
      </c>
      <c r="D28" s="84">
        <f>IFERROR(VLOOKUP($A28,GanttChart!$A:$JD,261,FALSE),0)</f>
        <v>0</v>
      </c>
      <c r="E28" s="84">
        <f>IFERROR(VLOOKUP($A28,GanttChart!$A:$JD,262,FALSE),0)</f>
        <v>0</v>
      </c>
      <c r="F28" s="84">
        <f>IFERROR(VLOOKUP($A28,GanttChart!$A:$JD,263,FALSE),0)</f>
        <v>0</v>
      </c>
      <c r="G28" s="85">
        <f>IFERROR(VLOOKUP($A28,GanttChart!$A:$JD,264,FALSE),0)</f>
        <v>0</v>
      </c>
      <c r="H28" s="86"/>
      <c r="I28" s="85">
        <f t="shared" si="0"/>
        <v>0</v>
      </c>
      <c r="J28" s="7"/>
      <c r="K28" s="7"/>
      <c r="L28" s="7"/>
      <c r="M28" s="7"/>
      <c r="N28" s="7"/>
      <c r="O28" s="7"/>
    </row>
    <row r="29" spans="1:15" ht="18.75" hidden="1" x14ac:dyDescent="0.45">
      <c r="A29" s="78">
        <v>2.2999999999999998</v>
      </c>
      <c r="B29" s="78"/>
      <c r="C29" s="83" t="str">
        <f>IFERROR(VLOOKUP($A29,GanttChart!$A:$JD,2,FALSE),"خطا")</f>
        <v>ارائه دسترسی راه دور به سرور از طریق (ssh) با حق دسترسی مدیریت</v>
      </c>
      <c r="D29" s="84">
        <f>IFERROR(VLOOKUP($A29,GanttChart!$A:$JD,261,FALSE),0)</f>
        <v>0</v>
      </c>
      <c r="E29" s="84">
        <f>IFERROR(VLOOKUP($A29,GanttChart!$A:$JD,262,FALSE),0)</f>
        <v>0</v>
      </c>
      <c r="F29" s="84">
        <f>IFERROR(VLOOKUP($A29,GanttChart!$A:$JD,263,FALSE),0)</f>
        <v>0</v>
      </c>
      <c r="G29" s="85">
        <f>IFERROR(VLOOKUP($A29,GanttChart!$A:$JD,264,FALSE),0)</f>
        <v>0</v>
      </c>
      <c r="H29" s="86"/>
      <c r="I29" s="85">
        <f t="shared" si="0"/>
        <v>0</v>
      </c>
      <c r="J29" s="7"/>
      <c r="K29" s="7"/>
      <c r="L29" s="7"/>
      <c r="M29" s="7"/>
      <c r="N29" s="7"/>
      <c r="O29" s="7"/>
    </row>
    <row r="30" spans="1:15" ht="18.75" hidden="1" x14ac:dyDescent="0.45">
      <c r="A30" s="78">
        <v>2.4</v>
      </c>
      <c r="B30" s="78"/>
      <c r="C30" s="83" t="str">
        <f>IFERROR(VLOOKUP($A30,GanttChart!$A:$JD,2,FALSE),"خطا")</f>
        <v>نصب و پیکربندی سرور پورتال و زیر ساخت نرم افزاری پایه آن</v>
      </c>
      <c r="D30" s="84">
        <f>IFERROR(VLOOKUP($A30,GanttChart!$A:$JD,261,FALSE),0)</f>
        <v>0</v>
      </c>
      <c r="E30" s="84">
        <f>IFERROR(VLOOKUP($A30,GanttChart!$A:$JD,262,FALSE),0)</f>
        <v>0</v>
      </c>
      <c r="F30" s="84">
        <f>IFERROR(VLOOKUP($A30,GanttChart!$A:$JD,263,FALSE),0)</f>
        <v>0</v>
      </c>
      <c r="G30" s="85">
        <f>IFERROR(VLOOKUP($A30,GanttChart!$A:$JD,264,FALSE),0)</f>
        <v>0</v>
      </c>
      <c r="H30" s="86"/>
      <c r="I30" s="85">
        <f t="shared" si="0"/>
        <v>0</v>
      </c>
      <c r="J30" s="7"/>
      <c r="K30" s="7"/>
      <c r="L30" s="7"/>
      <c r="M30" s="7"/>
      <c r="N30" s="7"/>
      <c r="O30" s="7"/>
    </row>
    <row r="31" spans="1:15" ht="31.5" hidden="1" x14ac:dyDescent="0.45">
      <c r="A31" s="78">
        <v>2.5</v>
      </c>
      <c r="B31" s="78"/>
      <c r="C31" s="83" t="str">
        <f>IFERROR(VLOOKUP($A31,GanttChart!$A:$JD,2,FALSE),"خطا")</f>
        <v>نصب و پیکربندی نرم افزار سامان سوئیت و سایر نرم افزاری های موضوع قرارداد بر روی سرور</v>
      </c>
      <c r="D31" s="84">
        <f>IFERROR(VLOOKUP($A31,GanttChart!$A:$JD,261,FALSE),0)</f>
        <v>0</v>
      </c>
      <c r="E31" s="84">
        <f>IFERROR(VLOOKUP($A31,GanttChart!$A:$JD,262,FALSE),0)</f>
        <v>0</v>
      </c>
      <c r="F31" s="84">
        <f>IFERROR(VLOOKUP($A31,GanttChart!$A:$JD,263,FALSE),0)</f>
        <v>0</v>
      </c>
      <c r="G31" s="85">
        <f>IFERROR(VLOOKUP($A31,GanttChart!$A:$JD,264,FALSE),0)</f>
        <v>0</v>
      </c>
      <c r="H31" s="86"/>
      <c r="I31" s="85">
        <f t="shared" si="0"/>
        <v>0</v>
      </c>
      <c r="J31" s="7"/>
      <c r="K31" s="7"/>
      <c r="L31" s="7"/>
      <c r="M31" s="7"/>
      <c r="N31" s="7"/>
      <c r="O31" s="7"/>
    </row>
    <row r="32" spans="1:15" ht="18.75" hidden="1" x14ac:dyDescent="0.45">
      <c r="A32" s="78">
        <v>2.6</v>
      </c>
      <c r="B32" s="78"/>
      <c r="C32" s="83" t="str">
        <f>IFERROR(VLOOKUP($A32,GanttChart!$A:$JD,2,FALSE),"خطا")</f>
        <v>تنظیم روال های تهیه نسخه پشتیبان دوره ای از نرم افزار سامان سوئیت</v>
      </c>
      <c r="D32" s="84">
        <f>IFERROR(VLOOKUP($A32,GanttChart!$A:$JD,261,FALSE),0)</f>
        <v>0</v>
      </c>
      <c r="E32" s="84">
        <f>IFERROR(VLOOKUP($A32,GanttChart!$A:$JD,262,FALSE),0)</f>
        <v>0</v>
      </c>
      <c r="F32" s="84">
        <f>IFERROR(VLOOKUP($A32,GanttChart!$A:$JD,263,FALSE),0)</f>
        <v>0</v>
      </c>
      <c r="G32" s="85">
        <f>IFERROR(VLOOKUP($A32,GanttChart!$A:$JD,264,FALSE),0)</f>
        <v>0</v>
      </c>
      <c r="H32" s="86"/>
      <c r="I32" s="85">
        <f t="shared" si="0"/>
        <v>0</v>
      </c>
      <c r="J32" s="7"/>
      <c r="K32" s="7"/>
      <c r="L32" s="7"/>
      <c r="M32" s="7"/>
      <c r="N32" s="7"/>
      <c r="O32" s="7"/>
    </row>
    <row r="33" spans="1:15" ht="31.5" hidden="1" x14ac:dyDescent="0.45">
      <c r="A33" s="78">
        <v>2.7</v>
      </c>
      <c r="B33" s="78"/>
      <c r="C33" s="83" t="str">
        <f>IFERROR(VLOOKUP($A33,GanttChart!$A:$JD,2,FALSE),"خطا")</f>
        <v>تحویل نرم افزار نصب شده مطابق با مجوزهای جدول الف و ب پیوست 8 قرارداد بر روی سرور کارفرما به کارفرما</v>
      </c>
      <c r="D33" s="84">
        <f>IFERROR(VLOOKUP($A33,GanttChart!$A:$JD,261,FALSE),0)</f>
        <v>0</v>
      </c>
      <c r="E33" s="84">
        <f>IFERROR(VLOOKUP($A33,GanttChart!$A:$JD,262,FALSE),0)</f>
        <v>0</v>
      </c>
      <c r="F33" s="84">
        <f>IFERROR(VLOOKUP($A33,GanttChart!$A:$JD,263,FALSE),0)</f>
        <v>0</v>
      </c>
      <c r="G33" s="85">
        <f>IFERROR(VLOOKUP($A33,GanttChart!$A:$JD,264,FALSE),0)</f>
        <v>0</v>
      </c>
      <c r="H33" s="86"/>
      <c r="I33" s="85">
        <f t="shared" si="0"/>
        <v>0</v>
      </c>
      <c r="J33" s="7"/>
      <c r="K33" s="7"/>
      <c r="L33" s="7"/>
      <c r="M33" s="7"/>
      <c r="N33" s="7"/>
      <c r="O33" s="7"/>
    </row>
    <row r="34" spans="1:15" ht="18.75" hidden="1" x14ac:dyDescent="0.45">
      <c r="A34" s="78">
        <v>2.8</v>
      </c>
      <c r="B34" s="78"/>
      <c r="C34" s="83" t="str">
        <f>IFERROR(VLOOKUP($A34,GanttChart!$A:$JD,2,FALSE),"خطا")</f>
        <v>تهیه و نگهداری نسخه های پشتیبان نرم افزار سامان سوئیت</v>
      </c>
      <c r="D34" s="84">
        <f>IFERROR(VLOOKUP($A34,GanttChart!$A:$JD,261,FALSE),0)</f>
        <v>0</v>
      </c>
      <c r="E34" s="84">
        <f>IFERROR(VLOOKUP($A34,GanttChart!$A:$JD,262,FALSE),0)</f>
        <v>0</v>
      </c>
      <c r="F34" s="84">
        <f>IFERROR(VLOOKUP($A34,GanttChart!$A:$JD,263,FALSE),0)</f>
        <v>0</v>
      </c>
      <c r="G34" s="85">
        <f>IFERROR(VLOOKUP($A34,GanttChart!$A:$JD,264,FALSE),0)</f>
        <v>0</v>
      </c>
      <c r="H34" s="86"/>
      <c r="I34" s="85">
        <f t="shared" si="0"/>
        <v>0</v>
      </c>
      <c r="J34" s="7"/>
      <c r="K34" s="7"/>
      <c r="L34" s="7"/>
      <c r="M34" s="7"/>
      <c r="N34" s="7"/>
      <c r="O34" s="7"/>
    </row>
    <row r="35" spans="1:15" ht="18.75" hidden="1" x14ac:dyDescent="0.45">
      <c r="A35" s="78">
        <v>2.9</v>
      </c>
      <c r="B35" s="78"/>
      <c r="C35" s="83" t="str">
        <f>IFERROR(VLOOKUP($A35,GanttChart!$A:$JD,2,FALSE),"خطا")</f>
        <v>تحویل سرور اصلی و میرور به کارفرما</v>
      </c>
      <c r="D35" s="84">
        <f>IFERROR(VLOOKUP($A35,GanttChart!$A:$JD,261,FALSE),0)</f>
        <v>0</v>
      </c>
      <c r="E35" s="84">
        <f>IFERROR(VLOOKUP($A35,GanttChart!$A:$JD,262,FALSE),0)</f>
        <v>0</v>
      </c>
      <c r="F35" s="84">
        <f>IFERROR(VLOOKUP($A35,GanttChart!$A:$JD,263,FALSE),0)</f>
        <v>0</v>
      </c>
      <c r="G35" s="85">
        <f>IFERROR(VLOOKUP($A35,GanttChart!$A:$JD,264,FALSE),0)</f>
        <v>0</v>
      </c>
      <c r="H35" s="86"/>
      <c r="I35" s="85">
        <f t="shared" si="0"/>
        <v>0</v>
      </c>
      <c r="J35" s="7"/>
      <c r="K35" s="7"/>
      <c r="L35" s="7"/>
      <c r="M35" s="7"/>
      <c r="N35" s="7"/>
      <c r="O35" s="7"/>
    </row>
    <row r="36" spans="1:15" ht="18.75" hidden="1" x14ac:dyDescent="0.45">
      <c r="A36" s="78">
        <v>2.11</v>
      </c>
      <c r="B36" s="78"/>
      <c r="C36" s="83">
        <f>IFERROR(VLOOKUP($A36,GanttChart!$A:$JD,2,FALSE),"خطا")</f>
        <v>0</v>
      </c>
      <c r="D36" s="84">
        <f>IFERROR(VLOOKUP($A36,GanttChart!$A:$JD,261,FALSE),0)</f>
        <v>0</v>
      </c>
      <c r="E36" s="84">
        <f>IFERROR(VLOOKUP($A36,GanttChart!$A:$JD,262,FALSE),0)</f>
        <v>0</v>
      </c>
      <c r="F36" s="84">
        <f>IFERROR(VLOOKUP($A36,GanttChart!$A:$JD,263,FALSE),0)</f>
        <v>0</v>
      </c>
      <c r="G36" s="85">
        <f>IFERROR(VLOOKUP($A36,GanttChart!$A:$JD,264,FALSE),0)</f>
        <v>0</v>
      </c>
      <c r="H36" s="86"/>
      <c r="I36" s="85">
        <f t="shared" si="0"/>
        <v>0</v>
      </c>
      <c r="J36" s="7"/>
      <c r="K36" s="7"/>
      <c r="L36" s="7"/>
      <c r="M36" s="7"/>
      <c r="N36" s="7"/>
      <c r="O36" s="7"/>
    </row>
    <row r="37" spans="1:15" ht="18.75" hidden="1" x14ac:dyDescent="0.45">
      <c r="A37" s="78">
        <v>2.12</v>
      </c>
      <c r="B37" s="78"/>
      <c r="C37" s="83">
        <f>IFERROR(VLOOKUP($A37,GanttChart!$A:$JD,2,FALSE),"خطا")</f>
        <v>0</v>
      </c>
      <c r="D37" s="84">
        <f>IFERROR(VLOOKUP($A37,GanttChart!$A:$JD,261,FALSE),0)</f>
        <v>0</v>
      </c>
      <c r="E37" s="84">
        <f>IFERROR(VLOOKUP($A37,GanttChart!$A:$JD,262,FALSE),0)</f>
        <v>0</v>
      </c>
      <c r="F37" s="84">
        <f>IFERROR(VLOOKUP($A37,GanttChart!$A:$JD,263,FALSE),0)</f>
        <v>0</v>
      </c>
      <c r="G37" s="85">
        <f>IFERROR(VLOOKUP($A37,GanttChart!$A:$JD,264,FALSE),0)</f>
        <v>0</v>
      </c>
      <c r="H37" s="86"/>
      <c r="I37" s="85">
        <f t="shared" si="0"/>
        <v>0</v>
      </c>
      <c r="J37" s="7"/>
      <c r="K37" s="7"/>
      <c r="L37" s="7"/>
      <c r="M37" s="7"/>
      <c r="N37" s="7"/>
      <c r="O37" s="7"/>
    </row>
    <row r="38" spans="1:15" ht="18.75" hidden="1" x14ac:dyDescent="0.45">
      <c r="A38" s="78">
        <v>2.13</v>
      </c>
      <c r="B38" s="78"/>
      <c r="C38" s="83">
        <f>IFERROR(VLOOKUP($A38,GanttChart!$A:$JD,2,FALSE),"خطا")</f>
        <v>0</v>
      </c>
      <c r="D38" s="84">
        <f>IFERROR(VLOOKUP($A38,GanttChart!$A:$JD,261,FALSE),0)</f>
        <v>0</v>
      </c>
      <c r="E38" s="84">
        <f>IFERROR(VLOOKUP($A38,GanttChart!$A:$JD,262,FALSE),0)</f>
        <v>0</v>
      </c>
      <c r="F38" s="84">
        <f>IFERROR(VLOOKUP($A38,GanttChart!$A:$JD,263,FALSE),0)</f>
        <v>0</v>
      </c>
      <c r="G38" s="85">
        <f>IFERROR(VLOOKUP($A38,GanttChart!$A:$JD,264,FALSE),0)</f>
        <v>0</v>
      </c>
      <c r="H38" s="86"/>
      <c r="I38" s="85">
        <f t="shared" si="0"/>
        <v>0</v>
      </c>
      <c r="J38" s="7"/>
      <c r="K38" s="7"/>
      <c r="L38" s="7"/>
      <c r="M38" s="7"/>
      <c r="N38" s="7"/>
      <c r="O38" s="7"/>
    </row>
    <row r="39" spans="1:15" ht="18.75" hidden="1" x14ac:dyDescent="0.45">
      <c r="A39" s="78">
        <v>2.14</v>
      </c>
      <c r="B39" s="78"/>
      <c r="C39" s="83">
        <f>IFERROR(VLOOKUP($A39,GanttChart!$A:$JD,2,FALSE),"خطا")</f>
        <v>0</v>
      </c>
      <c r="D39" s="84">
        <f>IFERROR(VLOOKUP($A39,GanttChart!$A:$JD,261,FALSE),0)</f>
        <v>0</v>
      </c>
      <c r="E39" s="84">
        <f>IFERROR(VLOOKUP($A39,GanttChart!$A:$JD,262,FALSE),0)</f>
        <v>0</v>
      </c>
      <c r="F39" s="84">
        <f>IFERROR(VLOOKUP($A39,GanttChart!$A:$JD,263,FALSE),0)</f>
        <v>0</v>
      </c>
      <c r="G39" s="85">
        <f>IFERROR(VLOOKUP($A39,GanttChart!$A:$JD,264,FALSE),0)</f>
        <v>0</v>
      </c>
      <c r="H39" s="86"/>
      <c r="I39" s="85">
        <f t="shared" si="0"/>
        <v>0</v>
      </c>
      <c r="J39" s="7"/>
      <c r="K39" s="7"/>
      <c r="L39" s="7"/>
      <c r="M39" s="7"/>
      <c r="N39" s="7"/>
      <c r="O39" s="7"/>
    </row>
    <row r="40" spans="1:15" ht="18.75" hidden="1" x14ac:dyDescent="0.45">
      <c r="A40" s="78">
        <v>2.15</v>
      </c>
      <c r="B40" s="78"/>
      <c r="C40" s="83">
        <f>IFERROR(VLOOKUP($A40,GanttChart!$A:$JD,2,FALSE),"خطا")</f>
        <v>0</v>
      </c>
      <c r="D40" s="84">
        <f>IFERROR(VLOOKUP($A40,GanttChart!$A:$JD,261,FALSE),0)</f>
        <v>0</v>
      </c>
      <c r="E40" s="84">
        <f>IFERROR(VLOOKUP($A40,GanttChart!$A:$JD,262,FALSE),0)</f>
        <v>0</v>
      </c>
      <c r="F40" s="84">
        <f>IFERROR(VLOOKUP($A40,GanttChart!$A:$JD,263,FALSE),0)</f>
        <v>0</v>
      </c>
      <c r="G40" s="85">
        <f>IFERROR(VLOOKUP($A40,GanttChart!$A:$JD,264,FALSE),0)</f>
        <v>0</v>
      </c>
      <c r="H40" s="86"/>
      <c r="I40" s="85">
        <f t="shared" si="0"/>
        <v>0</v>
      </c>
      <c r="J40" s="7"/>
      <c r="K40" s="7"/>
      <c r="L40" s="7"/>
      <c r="M40" s="7"/>
      <c r="N40" s="7"/>
      <c r="O40" s="7"/>
    </row>
    <row r="41" spans="1:15" ht="18.75" hidden="1" x14ac:dyDescent="0.45">
      <c r="A41" s="78">
        <v>2.16</v>
      </c>
      <c r="B41" s="78"/>
      <c r="C41" s="83">
        <f>IFERROR(VLOOKUP($A41,GanttChart!$A:$JD,2,FALSE),"خطا")</f>
        <v>0</v>
      </c>
      <c r="D41" s="84">
        <f>IFERROR(VLOOKUP($A41,GanttChart!$A:$JD,261,FALSE),0)</f>
        <v>0</v>
      </c>
      <c r="E41" s="84">
        <f>IFERROR(VLOOKUP($A41,GanttChart!$A:$JD,262,FALSE),0)</f>
        <v>0</v>
      </c>
      <c r="F41" s="84">
        <f>IFERROR(VLOOKUP($A41,GanttChart!$A:$JD,263,FALSE),0)</f>
        <v>0</v>
      </c>
      <c r="G41" s="85">
        <f>IFERROR(VLOOKUP($A41,GanttChart!$A:$JD,264,FALSE),0)</f>
        <v>0</v>
      </c>
      <c r="H41" s="86"/>
      <c r="I41" s="85">
        <f t="shared" si="0"/>
        <v>0</v>
      </c>
      <c r="J41" s="7"/>
      <c r="K41" s="7"/>
      <c r="L41" s="7"/>
      <c r="M41" s="7"/>
      <c r="N41" s="7"/>
      <c r="O41" s="7"/>
    </row>
    <row r="42" spans="1:15" ht="18.75" hidden="1" x14ac:dyDescent="0.45">
      <c r="A42" s="78">
        <v>2.17</v>
      </c>
      <c r="B42" s="78"/>
      <c r="C42" s="83">
        <f>IFERROR(VLOOKUP($A42,GanttChart!$A:$JD,2,FALSE),"خطا")</f>
        <v>0</v>
      </c>
      <c r="D42" s="84">
        <f>IFERROR(VLOOKUP($A42,GanttChart!$A:$JD,261,FALSE),0)</f>
        <v>0</v>
      </c>
      <c r="E42" s="84">
        <f>IFERROR(VLOOKUP($A42,GanttChart!$A:$JD,262,FALSE),0)</f>
        <v>0</v>
      </c>
      <c r="F42" s="84">
        <f>IFERROR(VLOOKUP($A42,GanttChart!$A:$JD,263,FALSE),0)</f>
        <v>0</v>
      </c>
      <c r="G42" s="85">
        <f>IFERROR(VLOOKUP($A42,GanttChart!$A:$JD,264,FALSE),0)</f>
        <v>0</v>
      </c>
      <c r="H42" s="86"/>
      <c r="I42" s="85">
        <f t="shared" si="0"/>
        <v>0</v>
      </c>
      <c r="J42" s="7"/>
      <c r="K42" s="7"/>
      <c r="L42" s="7"/>
      <c r="M42" s="7"/>
      <c r="N42" s="7"/>
      <c r="O42" s="7"/>
    </row>
    <row r="43" spans="1:15" ht="18.75" hidden="1" x14ac:dyDescent="0.45">
      <c r="A43" s="78">
        <v>2.1800000000000002</v>
      </c>
      <c r="B43" s="78"/>
      <c r="C43" s="83">
        <f>IFERROR(VLOOKUP($A43,GanttChart!$A:$JD,2,FALSE),"خطا")</f>
        <v>0</v>
      </c>
      <c r="D43" s="84">
        <f>IFERROR(VLOOKUP($A43,GanttChart!$A:$JD,261,FALSE),0)</f>
        <v>0</v>
      </c>
      <c r="E43" s="84">
        <f>IFERROR(VLOOKUP($A43,GanttChart!$A:$JD,262,FALSE),0)</f>
        <v>0</v>
      </c>
      <c r="F43" s="84">
        <f>IFERROR(VLOOKUP($A43,GanttChart!$A:$JD,263,FALSE),0)</f>
        <v>0</v>
      </c>
      <c r="G43" s="85">
        <f>IFERROR(VLOOKUP($A43,GanttChart!$A:$JD,264,FALSE),0)</f>
        <v>0</v>
      </c>
      <c r="H43" s="86"/>
      <c r="I43" s="85">
        <f t="shared" si="0"/>
        <v>0</v>
      </c>
      <c r="J43" s="7"/>
      <c r="K43" s="7"/>
      <c r="L43" s="7"/>
      <c r="M43" s="7"/>
      <c r="N43" s="7"/>
      <c r="O43" s="7"/>
    </row>
    <row r="44" spans="1:15" ht="18.75" hidden="1" x14ac:dyDescent="0.45">
      <c r="A44" s="78">
        <v>2.19</v>
      </c>
      <c r="B44" s="78"/>
      <c r="C44" s="83">
        <f>IFERROR(VLOOKUP($A44,GanttChart!$A:$JD,2,FALSE),"خطا")</f>
        <v>0</v>
      </c>
      <c r="D44" s="84">
        <f>IFERROR(VLOOKUP($A44,GanttChart!$A:$JD,261,FALSE),0)</f>
        <v>0</v>
      </c>
      <c r="E44" s="84">
        <f>IFERROR(VLOOKUP($A44,GanttChart!$A:$JD,262,FALSE),0)</f>
        <v>0</v>
      </c>
      <c r="F44" s="84">
        <f>IFERROR(VLOOKUP($A44,GanttChart!$A:$JD,263,FALSE),0)</f>
        <v>0</v>
      </c>
      <c r="G44" s="85">
        <f>IFERROR(VLOOKUP($A44,GanttChart!$A:$JD,264,FALSE),0)</f>
        <v>0</v>
      </c>
      <c r="H44" s="86"/>
      <c r="I44" s="85">
        <f t="shared" si="0"/>
        <v>0</v>
      </c>
      <c r="J44" s="7"/>
      <c r="K44" s="7"/>
      <c r="L44" s="7"/>
      <c r="M44" s="7"/>
      <c r="N44" s="7"/>
      <c r="O44" s="7"/>
    </row>
    <row r="45" spans="1:15" ht="18.75" hidden="1" x14ac:dyDescent="0.45">
      <c r="A45" s="78">
        <v>2.21</v>
      </c>
      <c r="B45" s="78"/>
      <c r="C45" s="83" t="str">
        <f>IFERROR(VLOOKUP($A45,GanttChart!$A:$JD,2,FALSE),"خطا")</f>
        <v>خطا</v>
      </c>
      <c r="D45" s="84">
        <f>IFERROR(VLOOKUP($A45,GanttChart!$A:$JD,261,FALSE),0)</f>
        <v>0</v>
      </c>
      <c r="E45" s="84">
        <f>IFERROR(VLOOKUP($A45,GanttChart!$A:$JD,262,FALSE),0)</f>
        <v>0</v>
      </c>
      <c r="F45" s="84">
        <f>IFERROR(VLOOKUP($A45,GanttChart!$A:$JD,263,FALSE),0)</f>
        <v>0</v>
      </c>
      <c r="G45" s="85">
        <f>IFERROR(VLOOKUP($A45,GanttChart!$A:$JD,264,FALSE),0)</f>
        <v>0</v>
      </c>
      <c r="H45" s="86"/>
      <c r="I45" s="85">
        <f t="shared" si="0"/>
        <v>0</v>
      </c>
      <c r="J45" s="7"/>
      <c r="K45" s="7"/>
      <c r="L45" s="7"/>
      <c r="M45" s="7"/>
      <c r="N45" s="7"/>
      <c r="O45" s="7"/>
    </row>
    <row r="46" spans="1:15" ht="18.75" hidden="1" x14ac:dyDescent="0.45">
      <c r="A46" s="78">
        <v>2.2200000000000002</v>
      </c>
      <c r="B46" s="78"/>
      <c r="C46" s="83" t="str">
        <f>IFERROR(VLOOKUP($A46,GanttChart!$A:$JD,2,FALSE),"خطا")</f>
        <v>خطا</v>
      </c>
      <c r="D46" s="84">
        <f>IFERROR(VLOOKUP($A46,GanttChart!$A:$JD,261,FALSE),0)</f>
        <v>0</v>
      </c>
      <c r="E46" s="84">
        <f>IFERROR(VLOOKUP($A46,GanttChart!$A:$JD,262,FALSE),0)</f>
        <v>0</v>
      </c>
      <c r="F46" s="84">
        <f>IFERROR(VLOOKUP($A46,GanttChart!$A:$JD,263,FALSE),0)</f>
        <v>0</v>
      </c>
      <c r="G46" s="85">
        <f>IFERROR(VLOOKUP($A46,GanttChart!$A:$JD,264,FALSE),0)</f>
        <v>0</v>
      </c>
      <c r="H46" s="86"/>
      <c r="I46" s="85">
        <f t="shared" si="0"/>
        <v>0</v>
      </c>
      <c r="J46" s="7"/>
      <c r="K46" s="7"/>
      <c r="L46" s="7"/>
      <c r="M46" s="7"/>
      <c r="N46" s="7"/>
      <c r="O46" s="7"/>
    </row>
    <row r="47" spans="1:15" ht="18.75" hidden="1" x14ac:dyDescent="0.45">
      <c r="A47" s="78">
        <v>2.23</v>
      </c>
      <c r="B47" s="78"/>
      <c r="C47" s="83" t="str">
        <f>IFERROR(VLOOKUP($A47,GanttChart!$A:$JD,2,FALSE),"خطا")</f>
        <v>خطا</v>
      </c>
      <c r="D47" s="84">
        <f>IFERROR(VLOOKUP($A47,GanttChart!$A:$JD,261,FALSE),0)</f>
        <v>0</v>
      </c>
      <c r="E47" s="84">
        <f>IFERROR(VLOOKUP($A47,GanttChart!$A:$JD,262,FALSE),0)</f>
        <v>0</v>
      </c>
      <c r="F47" s="84">
        <f>IFERROR(VLOOKUP($A47,GanttChart!$A:$JD,263,FALSE),0)</f>
        <v>0</v>
      </c>
      <c r="G47" s="85">
        <f>IFERROR(VLOOKUP($A47,GanttChart!$A:$JD,264,FALSE),0)</f>
        <v>0</v>
      </c>
      <c r="H47" s="86"/>
      <c r="I47" s="85">
        <f t="shared" si="0"/>
        <v>0</v>
      </c>
      <c r="J47" s="7"/>
      <c r="K47" s="7"/>
      <c r="L47" s="7"/>
      <c r="M47" s="7"/>
      <c r="N47" s="7"/>
      <c r="O47" s="7"/>
    </row>
    <row r="48" spans="1:15" ht="18.75" x14ac:dyDescent="0.45">
      <c r="A48" s="78">
        <v>3</v>
      </c>
      <c r="B48" s="78"/>
      <c r="C48" s="83" t="str">
        <f>IFERROR(VLOOKUP($A48,GanttChart!$A:$JD,2,FALSE),"خطا")</f>
        <v>ارائه خدمات اجرایی موضوع قرارداد</v>
      </c>
      <c r="D48" s="84">
        <f>SUM(D49:D69)</f>
        <v>0</v>
      </c>
      <c r="E48" s="84">
        <f>SUM(E49:E69)</f>
        <v>0</v>
      </c>
      <c r="F48" s="84">
        <f>SUM(F49:F69)</f>
        <v>0</v>
      </c>
      <c r="G48" s="85">
        <f>SUM(G49:G69)</f>
        <v>0</v>
      </c>
      <c r="H48" s="238" t="e">
        <f>1-J48/G48</f>
        <v>#DIV/0!</v>
      </c>
      <c r="I48" s="85" t="e">
        <f t="shared" si="0"/>
        <v>#DIV/0!</v>
      </c>
      <c r="J48" s="105">
        <v>16000000</v>
      </c>
      <c r="K48" s="7"/>
      <c r="L48" s="7"/>
      <c r="M48" s="7"/>
      <c r="N48" s="7"/>
      <c r="O48" s="7"/>
    </row>
    <row r="49" spans="1:15" ht="18.75" hidden="1" x14ac:dyDescent="0.45">
      <c r="A49" s="78">
        <v>3.1</v>
      </c>
      <c r="B49" s="78"/>
      <c r="C49" s="83" t="str">
        <f>IFERROR(VLOOKUP($A49,GanttChart!$A:$JD,2,FALSE),"خطا")</f>
        <v>ارائه پرسش نامه های نیازسنجی محتوایی و گرافیکی</v>
      </c>
      <c r="D49" s="84">
        <f>IFERROR(VLOOKUP($A49,GanttChart!$A:$JD,261,FALSE),0)</f>
        <v>0</v>
      </c>
      <c r="E49" s="84">
        <f>IFERROR(VLOOKUP($A49,GanttChart!$A:$JD,262,FALSE),0)</f>
        <v>0</v>
      </c>
      <c r="F49" s="84">
        <f>IFERROR(VLOOKUP($A49,GanttChart!$A:$JD,263,FALSE),0)</f>
        <v>0</v>
      </c>
      <c r="G49" s="85">
        <f>IFERROR(VLOOKUP($A49,GanttChart!$A:$JD,264,FALSE),0)</f>
        <v>0</v>
      </c>
      <c r="H49" s="86"/>
      <c r="I49" s="85">
        <f t="shared" si="0"/>
        <v>0</v>
      </c>
      <c r="J49" s="7"/>
      <c r="K49" s="7"/>
      <c r="L49" s="7"/>
      <c r="M49" s="7"/>
      <c r="N49" s="7"/>
      <c r="O49" s="7"/>
    </row>
    <row r="50" spans="1:15" ht="31.5" hidden="1" x14ac:dyDescent="0.45">
      <c r="A50" s="78">
        <v>3.2</v>
      </c>
      <c r="B50" s="78"/>
      <c r="C50" s="83" t="str">
        <f>IFERROR(VLOOKUP($A50,GanttChart!$A:$JD,2,FALSE),"خطا")</f>
        <v>تکمیل پرسش نامه های نیاز سنجی محتوایی و گرافیکی به تفکیک پورتال اصلی (فارسی و انگلیسی)، زیر پورتال ها و درگاه های اختصاصی</v>
      </c>
      <c r="D50" s="84">
        <f>IFERROR(VLOOKUP($A50,GanttChart!$A:$JD,261,FALSE),0)</f>
        <v>0</v>
      </c>
      <c r="E50" s="84">
        <f>IFERROR(VLOOKUP($A50,GanttChart!$A:$JD,262,FALSE),0)</f>
        <v>0</v>
      </c>
      <c r="F50" s="84">
        <f>IFERROR(VLOOKUP($A50,GanttChart!$A:$JD,263,FALSE),0)</f>
        <v>0</v>
      </c>
      <c r="G50" s="85">
        <f>IFERROR(VLOOKUP($A50,GanttChart!$A:$JD,264,FALSE),0)</f>
        <v>0</v>
      </c>
      <c r="H50" s="86"/>
      <c r="I50" s="85">
        <f t="shared" si="0"/>
        <v>0</v>
      </c>
    </row>
    <row r="51" spans="1:15" ht="18.75" hidden="1" x14ac:dyDescent="0.45">
      <c r="A51" s="78">
        <v>3.3</v>
      </c>
      <c r="B51" s="78"/>
      <c r="C51" s="83" t="str">
        <f>IFERROR(VLOOKUP($A51,GanttChart!$A:$JD,2,FALSE),"خطا")</f>
        <v>تدوین سند شناخت وضع جاری</v>
      </c>
      <c r="D51" s="84">
        <f>IFERROR(VLOOKUP($A51,GanttChart!$A:$JD,261,FALSE),0)</f>
        <v>0</v>
      </c>
      <c r="E51" s="84">
        <f>IFERROR(VLOOKUP($A51,GanttChart!$A:$JD,262,FALSE),0)</f>
        <v>0</v>
      </c>
      <c r="F51" s="84">
        <f>IFERROR(VLOOKUP($A51,GanttChart!$A:$JD,263,FALSE),0)</f>
        <v>0</v>
      </c>
      <c r="G51" s="85">
        <f>IFERROR(VLOOKUP($A51,GanttChart!$A:$JD,264,FALSE),0)</f>
        <v>0</v>
      </c>
      <c r="H51" s="86"/>
      <c r="I51" s="85">
        <f t="shared" si="0"/>
        <v>0</v>
      </c>
    </row>
    <row r="52" spans="1:15" ht="18.75" hidden="1" x14ac:dyDescent="0.45">
      <c r="A52" s="78">
        <v>3.4</v>
      </c>
      <c r="B52" s="78"/>
      <c r="C52" s="83" t="str">
        <f>IFERROR(VLOOKUP($A52,GanttChart!$A:$JD,2,FALSE),"خطا")</f>
        <v>جمع بندی نيازمنديهای فرايند شناخت و تدوین سند معماری محتوا (تدریجی)</v>
      </c>
      <c r="D52" s="84">
        <f>IFERROR(VLOOKUP($A52,GanttChart!$A:$JD,261,FALSE),0)</f>
        <v>0</v>
      </c>
      <c r="E52" s="84">
        <f>IFERROR(VLOOKUP($A52,GanttChart!$A:$JD,262,FALSE),0)</f>
        <v>0</v>
      </c>
      <c r="F52" s="84">
        <f>IFERROR(VLOOKUP($A52,GanttChart!$A:$JD,263,FALSE),0)</f>
        <v>0</v>
      </c>
      <c r="G52" s="85">
        <f>IFERROR(VLOOKUP($A52,GanttChart!$A:$JD,264,FALSE),0)</f>
        <v>0</v>
      </c>
      <c r="H52" s="86"/>
      <c r="I52" s="85">
        <f t="shared" si="0"/>
        <v>0</v>
      </c>
    </row>
    <row r="53" spans="1:15" ht="18.75" hidden="1" x14ac:dyDescent="0.45">
      <c r="A53" s="78">
        <v>3.5</v>
      </c>
      <c r="B53" s="78"/>
      <c r="C53" s="83" t="str">
        <f>IFERROR(VLOOKUP($A53,GanttChart!$A:$JD,2,FALSE),"خطا")</f>
        <v>بررسی و تایید مستند معماری محتوا توسط کارفرما (تدریجی)</v>
      </c>
      <c r="D53" s="84">
        <f>IFERROR(VLOOKUP($A53,GanttChart!$A:$JD,261,FALSE),0)</f>
        <v>0</v>
      </c>
      <c r="E53" s="84">
        <f>IFERROR(VLOOKUP($A53,GanttChart!$A:$JD,262,FALSE),0)</f>
        <v>0</v>
      </c>
      <c r="F53" s="84">
        <f>IFERROR(VLOOKUP($A53,GanttChart!$A:$JD,263,FALSE),0)</f>
        <v>0</v>
      </c>
      <c r="G53" s="85">
        <f>IFERROR(VLOOKUP($A53,GanttChart!$A:$JD,264,FALSE),0)</f>
        <v>0</v>
      </c>
      <c r="H53" s="86"/>
      <c r="I53" s="85">
        <f t="shared" si="0"/>
        <v>0</v>
      </c>
    </row>
    <row r="54" spans="1:15" ht="18.75" hidden="1" x14ac:dyDescent="0.45">
      <c r="A54" s="78">
        <v>3.6</v>
      </c>
      <c r="B54" s="78"/>
      <c r="C54" s="83" t="str">
        <f>IFERROR(VLOOKUP($A54,GanttChart!$A:$JD,2,FALSE),"خطا")</f>
        <v>ارائه یک قالب گرافیکی همسان فارسی و انگلیسی برای زیر پورتال اینترنتی</v>
      </c>
      <c r="D54" s="84">
        <f>IFERROR(VLOOKUP($A54,GanttChart!$A:$JD,261,FALSE),0)</f>
        <v>0</v>
      </c>
      <c r="E54" s="84">
        <f>IFERROR(VLOOKUP($A54,GanttChart!$A:$JD,262,FALSE),0)</f>
        <v>0</v>
      </c>
      <c r="F54" s="84">
        <f>IFERROR(VLOOKUP($A54,GanttChart!$A:$JD,263,FALSE),0)</f>
        <v>0</v>
      </c>
      <c r="G54" s="85">
        <f>IFERROR(VLOOKUP($A54,GanttChart!$A:$JD,264,FALSE),0)</f>
        <v>0</v>
      </c>
      <c r="H54" s="86"/>
      <c r="I54" s="85">
        <f t="shared" si="0"/>
        <v>0</v>
      </c>
    </row>
    <row r="55" spans="1:15" ht="31.5" hidden="1" x14ac:dyDescent="0.45">
      <c r="A55" s="78">
        <v>3.7</v>
      </c>
      <c r="B55" s="78"/>
      <c r="C55" s="83" t="str">
        <f>IFERROR(VLOOKUP($A55,GanttChart!$A:$JD,2,FALSE),"خطا")</f>
        <v>نهایی سازی قالب گرافیکی همسان برای پورتال اینترنتی مطابق نظر کارفرما (اعلام نظر کارفرما: 1 روز کاری، نهایی سازی: 2 روزکاری)</v>
      </c>
      <c r="D55" s="84">
        <f>IFERROR(VLOOKUP($A55,GanttChart!$A:$JD,261,FALSE),0)</f>
        <v>0</v>
      </c>
      <c r="E55" s="84">
        <f>IFERROR(VLOOKUP($A55,GanttChart!$A:$JD,262,FALSE),0)</f>
        <v>0</v>
      </c>
      <c r="F55" s="84">
        <f>IFERROR(VLOOKUP($A55,GanttChart!$A:$JD,263,FALSE),0)</f>
        <v>0</v>
      </c>
      <c r="G55" s="85">
        <f>IFERROR(VLOOKUP($A55,GanttChart!$A:$JD,264,FALSE),0)</f>
        <v>0</v>
      </c>
      <c r="H55" s="86"/>
      <c r="I55" s="85">
        <f t="shared" si="0"/>
        <v>0</v>
      </c>
    </row>
    <row r="56" spans="1:15" ht="18.75" hidden="1" x14ac:dyDescent="0.45">
      <c r="A56" s="78">
        <v>3.8</v>
      </c>
      <c r="B56" s="78"/>
      <c r="C56" s="83" t="str">
        <f>IFERROR(VLOOKUP($A56,GanttChart!$A:$JD,2,FALSE),"خطا")</f>
        <v>ارائه سر صفحه اختصاصی زیر پورتال بیمه مسافرتی</v>
      </c>
      <c r="D56" s="84">
        <f>IFERROR(VLOOKUP($A56,GanttChart!$A:$JD,261,FALSE),0)</f>
        <v>0</v>
      </c>
      <c r="E56" s="84">
        <f>IFERROR(VLOOKUP($A56,GanttChart!$A:$JD,262,FALSE),0)</f>
        <v>0</v>
      </c>
      <c r="F56" s="84">
        <f>IFERROR(VLOOKUP($A56,GanttChart!$A:$JD,263,FALSE),0)</f>
        <v>0</v>
      </c>
      <c r="G56" s="85">
        <f>IFERROR(VLOOKUP($A56,GanttChart!$A:$JD,264,FALSE),0)</f>
        <v>0</v>
      </c>
      <c r="H56" s="86"/>
      <c r="I56" s="85">
        <f t="shared" si="0"/>
        <v>0</v>
      </c>
    </row>
    <row r="57" spans="1:15" ht="31.5" hidden="1" x14ac:dyDescent="0.45">
      <c r="A57" s="78">
        <v>3.9</v>
      </c>
      <c r="B57" s="78"/>
      <c r="C57" s="83" t="str">
        <f>IFERROR(VLOOKUP($A57,GanttChart!$A:$JD,2,FALSE),"خطا")</f>
        <v>نهایی سازی سر صفحه اختصاصی زیر پورتال مسافرتی مطابق نظر کارفرما (اعلام نظر کارفرما و نهایی سازی: 2 روزکاری)</v>
      </c>
      <c r="D57" s="84">
        <f>IFERROR(VLOOKUP($A57,GanttChart!$A:$JD,261,FALSE),0)</f>
        <v>0</v>
      </c>
      <c r="E57" s="84">
        <f>IFERROR(VLOOKUP($A57,GanttChart!$A:$JD,262,FALSE),0)</f>
        <v>0</v>
      </c>
      <c r="F57" s="84">
        <f>IFERROR(VLOOKUP($A57,GanttChart!$A:$JD,263,FALSE),0)</f>
        <v>0</v>
      </c>
      <c r="G57" s="85">
        <f>IFERROR(VLOOKUP($A57,GanttChart!$A:$JD,264,FALSE),0)</f>
        <v>0</v>
      </c>
      <c r="H57" s="86"/>
      <c r="I57" s="85">
        <f t="shared" si="0"/>
        <v>0</v>
      </c>
    </row>
    <row r="58" spans="1:15" ht="18.75" hidden="1" x14ac:dyDescent="0.45">
      <c r="A58" s="78">
        <v>3.11</v>
      </c>
      <c r="B58" s="78"/>
      <c r="C58" s="83" t="str">
        <f>IFERROR(VLOOKUP($A58,GanttChart!$A:$JD,2,FALSE),"خطا")</f>
        <v>ارائه سر صفحه اختصاصی زیر پورتال بیمه عمر</v>
      </c>
      <c r="D58" s="84">
        <f>IFERROR(VLOOKUP($A58,GanttChart!$A:$JD,261,FALSE),0)</f>
        <v>0</v>
      </c>
      <c r="E58" s="84">
        <f>IFERROR(VLOOKUP($A58,GanttChart!$A:$JD,262,FALSE),0)</f>
        <v>0</v>
      </c>
      <c r="F58" s="84">
        <f>IFERROR(VLOOKUP($A58,GanttChart!$A:$JD,263,FALSE),0)</f>
        <v>0</v>
      </c>
      <c r="G58" s="85">
        <f>IFERROR(VLOOKUP($A58,GanttChart!$A:$JD,264,FALSE),0)</f>
        <v>0</v>
      </c>
      <c r="H58" s="86"/>
      <c r="I58" s="85">
        <f t="shared" si="0"/>
        <v>0</v>
      </c>
    </row>
    <row r="59" spans="1:15" ht="31.5" hidden="1" x14ac:dyDescent="0.45">
      <c r="A59" s="78">
        <v>3.12</v>
      </c>
      <c r="B59" s="78"/>
      <c r="C59" s="83" t="str">
        <f>IFERROR(VLOOKUP($A59,GanttChart!$A:$JD,2,FALSE),"خطا")</f>
        <v>نهایی سازی  سر صفحه اختصاصی زیر پورتال عمر مطابق نظر کارفرما (اعلام نظر کارفرما و نهایی سازی: 2 روزکاری)</v>
      </c>
      <c r="D59" s="84">
        <f>IFERROR(VLOOKUP($A59,GanttChart!$A:$JD,261,FALSE),0)</f>
        <v>0</v>
      </c>
      <c r="E59" s="84">
        <f>IFERROR(VLOOKUP($A59,GanttChart!$A:$JD,262,FALSE),0)</f>
        <v>0</v>
      </c>
      <c r="F59" s="84">
        <f>IFERROR(VLOOKUP($A59,GanttChart!$A:$JD,263,FALSE),0)</f>
        <v>0</v>
      </c>
      <c r="G59" s="85">
        <f>IFERROR(VLOOKUP($A59,GanttChart!$A:$JD,264,FALSE),0)</f>
        <v>0</v>
      </c>
      <c r="H59" s="86"/>
      <c r="I59" s="85">
        <f t="shared" si="0"/>
        <v>0</v>
      </c>
    </row>
    <row r="60" spans="1:15" ht="18.75" hidden="1" x14ac:dyDescent="0.45">
      <c r="A60" s="78">
        <v>3.13</v>
      </c>
      <c r="B60" s="78"/>
      <c r="C60" s="83" t="str">
        <f>IFERROR(VLOOKUP($A60,GanttChart!$A:$JD,2,FALSE),"خطا")</f>
        <v xml:space="preserve">ارائه سر صفحه اختصاصی برای زیر پورتال سهامداران </v>
      </c>
      <c r="D60" s="84">
        <f>IFERROR(VLOOKUP($A60,GanttChart!$A:$JD,261,FALSE),0)</f>
        <v>0</v>
      </c>
      <c r="E60" s="84">
        <f>IFERROR(VLOOKUP($A60,GanttChart!$A:$JD,262,FALSE),0)</f>
        <v>0</v>
      </c>
      <c r="F60" s="84">
        <f>IFERROR(VLOOKUP($A60,GanttChart!$A:$JD,263,FALSE),0)</f>
        <v>0</v>
      </c>
      <c r="G60" s="85">
        <f>IFERROR(VLOOKUP($A60,GanttChart!$A:$JD,264,FALSE),0)</f>
        <v>0</v>
      </c>
      <c r="H60" s="86"/>
      <c r="I60" s="85">
        <f t="shared" si="0"/>
        <v>0</v>
      </c>
    </row>
    <row r="61" spans="1:15" ht="31.5" hidden="1" x14ac:dyDescent="0.45">
      <c r="A61" s="78">
        <v>3.14</v>
      </c>
      <c r="B61" s="78"/>
      <c r="C61" s="83" t="str">
        <f>IFERROR(VLOOKUP($A61,GanttChart!$A:$JD,2,FALSE),"خطا")</f>
        <v>نهایی سازی سر صفحه اختصاصی فارسی برای زیر پورتال سهامداران مطابق نظر کارفرما (اعلام نظر کارفرما و نهایی سازی: 2 روزکاری)</v>
      </c>
      <c r="D61" s="84">
        <f>IFERROR(VLOOKUP($A61,GanttChart!$A:$JD,261,FALSE),0)</f>
        <v>0</v>
      </c>
      <c r="E61" s="84">
        <f>IFERROR(VLOOKUP($A61,GanttChart!$A:$JD,262,FALSE),0)</f>
        <v>0</v>
      </c>
      <c r="F61" s="84">
        <f>IFERROR(VLOOKUP($A61,GanttChart!$A:$JD,263,FALSE),0)</f>
        <v>0</v>
      </c>
      <c r="G61" s="85">
        <f>IFERROR(VLOOKUP($A61,GanttChart!$A:$JD,264,FALSE),0)</f>
        <v>0</v>
      </c>
      <c r="H61" s="86"/>
      <c r="I61" s="85">
        <f t="shared" si="0"/>
        <v>0</v>
      </c>
    </row>
    <row r="62" spans="1:15" ht="18.75" hidden="1" x14ac:dyDescent="0.45">
      <c r="A62" s="78">
        <v>3.15</v>
      </c>
      <c r="B62" s="78"/>
      <c r="C62" s="83" t="str">
        <f>IFERROR(VLOOKUP($A62,GanttChart!$A:$JD,2,FALSE),"خطا")</f>
        <v>راه اندازی کامل زیرپورتال اینترنتی (نسخه فارسی)</v>
      </c>
      <c r="D62" s="84">
        <f>IFERROR(VLOOKUP($A62,GanttChart!$A:$JD,261,FALSE),0)</f>
        <v>0</v>
      </c>
      <c r="E62" s="84">
        <f>IFERROR(VLOOKUP($A62,GanttChart!$A:$JD,262,FALSE),0)</f>
        <v>0</v>
      </c>
      <c r="F62" s="84">
        <f>IFERROR(VLOOKUP($A62,GanttChart!$A:$JD,263,FALSE),0)</f>
        <v>0</v>
      </c>
      <c r="G62" s="85">
        <f>IFERROR(VLOOKUP($A62,GanttChart!$A:$JD,264,FALSE),0)</f>
        <v>0</v>
      </c>
      <c r="H62" s="86"/>
      <c r="I62" s="85">
        <f t="shared" si="0"/>
        <v>0</v>
      </c>
    </row>
    <row r="63" spans="1:15" ht="31.5" hidden="1" x14ac:dyDescent="0.45">
      <c r="A63" s="78">
        <v>3.16</v>
      </c>
      <c r="B63" s="78"/>
      <c r="C63" s="83" t="str">
        <f>IFERROR(VLOOKUP($A63,GanttChart!$A:$JD,2,FALSE),"خطا")</f>
        <v>تحویل راه اندازی کامل زیر پورتال اینترنتی (نسخه فارسی)  (1 روز تست پیمانکار ، 2 روز تست  کارفرما)</v>
      </c>
      <c r="D63" s="84">
        <f>IFERROR(VLOOKUP($A63,GanttChart!$A:$JD,261,FALSE),0)</f>
        <v>0</v>
      </c>
      <c r="E63" s="84">
        <f>IFERROR(VLOOKUP($A63,GanttChart!$A:$JD,262,FALSE),0)</f>
        <v>0</v>
      </c>
      <c r="F63" s="84">
        <f>IFERROR(VLOOKUP($A63,GanttChart!$A:$JD,263,FALSE),0)</f>
        <v>0</v>
      </c>
      <c r="G63" s="85">
        <f>IFERROR(VLOOKUP($A63,GanttChart!$A:$JD,264,FALSE),0)</f>
        <v>0</v>
      </c>
      <c r="H63" s="86"/>
      <c r="I63" s="85">
        <f t="shared" si="0"/>
        <v>0</v>
      </c>
    </row>
    <row r="64" spans="1:15" ht="18.75" hidden="1" x14ac:dyDescent="0.45">
      <c r="A64" s="78">
        <v>3.17</v>
      </c>
      <c r="B64" s="78"/>
      <c r="C64" s="83" t="str">
        <f>IFERROR(VLOOKUP($A64,GanttChart!$A:$JD,2,FALSE),"خطا")</f>
        <v>راه اندازی کامل زیرپورتال سهامدارن</v>
      </c>
      <c r="D64" s="84">
        <f>IFERROR(VLOOKUP($A64,GanttChart!$A:$JD,261,FALSE),0)</f>
        <v>0</v>
      </c>
      <c r="E64" s="84">
        <f>IFERROR(VLOOKUP($A64,GanttChart!$A:$JD,262,FALSE),0)</f>
        <v>0</v>
      </c>
      <c r="F64" s="84">
        <f>IFERROR(VLOOKUP($A64,GanttChart!$A:$JD,263,FALSE),0)</f>
        <v>0</v>
      </c>
      <c r="G64" s="85">
        <f>IFERROR(VLOOKUP($A64,GanttChart!$A:$JD,264,FALSE),0)</f>
        <v>0</v>
      </c>
      <c r="H64" s="86"/>
      <c r="I64" s="85">
        <f t="shared" si="0"/>
        <v>0</v>
      </c>
    </row>
    <row r="65" spans="1:9" ht="31.5" hidden="1" x14ac:dyDescent="0.45">
      <c r="A65" s="78">
        <v>3.18</v>
      </c>
      <c r="B65" s="78"/>
      <c r="C65" s="83" t="str">
        <f>IFERROR(VLOOKUP($A65,GanttChart!$A:$JD,2,FALSE),"خطا")</f>
        <v>تحویل راه اندازی کامل زیر پورتال سهامداران   (1 روز تست پیمانکار ، 2 روز تست  کارفرما)</v>
      </c>
      <c r="D65" s="84">
        <f>IFERROR(VLOOKUP($A65,GanttChart!$A:$JD,261,FALSE),0)</f>
        <v>0</v>
      </c>
      <c r="E65" s="84">
        <f>IFERROR(VLOOKUP($A65,GanttChart!$A:$JD,262,FALSE),0)</f>
        <v>0</v>
      </c>
      <c r="F65" s="84">
        <f>IFERROR(VLOOKUP($A65,GanttChart!$A:$JD,263,FALSE),0)</f>
        <v>0</v>
      </c>
      <c r="G65" s="85">
        <f>IFERROR(VLOOKUP($A65,GanttChart!$A:$JD,264,FALSE),0)</f>
        <v>0</v>
      </c>
      <c r="H65" s="86"/>
      <c r="I65" s="85">
        <f t="shared" si="0"/>
        <v>0</v>
      </c>
    </row>
    <row r="66" spans="1:9" ht="18.75" hidden="1" x14ac:dyDescent="0.45">
      <c r="A66" s="78">
        <v>3.19</v>
      </c>
      <c r="B66" s="78"/>
      <c r="C66" s="83" t="str">
        <f>IFERROR(VLOOKUP($A66,GanttChart!$A:$JD,2,FALSE),"خطا")</f>
        <v>راه اندازی اولیه زیرپورتال بیمه مسافرتی</v>
      </c>
      <c r="D66" s="84">
        <f>IFERROR(VLOOKUP($A66,GanttChart!$A:$JD,261,FALSE),0)</f>
        <v>0</v>
      </c>
      <c r="E66" s="84">
        <f>IFERROR(VLOOKUP($A66,GanttChart!$A:$JD,262,FALSE),0)</f>
        <v>0</v>
      </c>
      <c r="F66" s="84">
        <f>IFERROR(VLOOKUP($A66,GanttChart!$A:$JD,263,FALSE),0)</f>
        <v>0</v>
      </c>
      <c r="G66" s="85">
        <f>IFERROR(VLOOKUP($A66,GanttChart!$A:$JD,264,FALSE),0)</f>
        <v>0</v>
      </c>
      <c r="H66" s="86"/>
      <c r="I66" s="85">
        <f t="shared" si="0"/>
        <v>0</v>
      </c>
    </row>
    <row r="67" spans="1:9" ht="31.5" hidden="1" x14ac:dyDescent="0.45">
      <c r="A67" s="78">
        <v>3.21</v>
      </c>
      <c r="B67" s="78"/>
      <c r="C67" s="83" t="str">
        <f>IFERROR(VLOOKUP($A67,GanttChart!$A:$JD,2,FALSE),"خطا")</f>
        <v>تحویل راه اندازی اولیه زیر پورتال مسافرتی (1 روز تست پیمانکار ، 2 روز تست  کارفرما)</v>
      </c>
      <c r="D67" s="84">
        <f>IFERROR(VLOOKUP($A67,GanttChart!$A:$JD,261,FALSE),0)</f>
        <v>0</v>
      </c>
      <c r="E67" s="84">
        <f>IFERROR(VLOOKUP($A67,GanttChart!$A:$JD,262,FALSE),0)</f>
        <v>0</v>
      </c>
      <c r="F67" s="84">
        <f>IFERROR(VLOOKUP($A67,GanttChart!$A:$JD,263,FALSE),0)</f>
        <v>0</v>
      </c>
      <c r="G67" s="85">
        <f>IFERROR(VLOOKUP($A67,GanttChart!$A:$JD,264,FALSE),0)</f>
        <v>0</v>
      </c>
      <c r="H67" s="86"/>
      <c r="I67" s="85">
        <f t="shared" si="0"/>
        <v>0</v>
      </c>
    </row>
    <row r="68" spans="1:9" ht="18.75" hidden="1" x14ac:dyDescent="0.45">
      <c r="A68" s="78">
        <v>3.22</v>
      </c>
      <c r="B68" s="78"/>
      <c r="C68" s="83" t="str">
        <f>IFERROR(VLOOKUP($A68,GanttChart!$A:$JD,2,FALSE),"خطا")</f>
        <v>راه اندازی کامل زیر پورتال مسافرتی</v>
      </c>
      <c r="D68" s="84">
        <f>IFERROR(VLOOKUP($A68,GanttChart!$A:$JD,261,FALSE),0)</f>
        <v>0</v>
      </c>
      <c r="E68" s="84">
        <f>IFERROR(VLOOKUP($A68,GanttChart!$A:$JD,262,FALSE),0)</f>
        <v>0</v>
      </c>
      <c r="F68" s="84">
        <f>IFERROR(VLOOKUP($A68,GanttChart!$A:$JD,263,FALSE),0)</f>
        <v>0</v>
      </c>
      <c r="G68" s="85">
        <f>IFERROR(VLOOKUP($A68,GanttChart!$A:$JD,264,FALSE),0)</f>
        <v>0</v>
      </c>
      <c r="H68" s="86"/>
      <c r="I68" s="85">
        <f t="shared" si="0"/>
        <v>0</v>
      </c>
    </row>
    <row r="69" spans="1:9" ht="18.75" hidden="1" x14ac:dyDescent="0.45">
      <c r="A69" s="78">
        <v>3.23</v>
      </c>
      <c r="B69" s="78"/>
      <c r="C69" s="83" t="str">
        <f>IFERROR(VLOOKUP($A69,GanttChart!$A:$JD,2,FALSE),"خطا")</f>
        <v>راه اندازی اولیه زیرپورتال بیمه عمر</v>
      </c>
      <c r="D69" s="84">
        <f>IFERROR(VLOOKUP($A69,GanttChart!$A:$JD,261,FALSE),0)</f>
        <v>0</v>
      </c>
      <c r="E69" s="84">
        <f>IFERROR(VLOOKUP($A69,GanttChart!$A:$JD,262,FALSE),0)</f>
        <v>0</v>
      </c>
      <c r="F69" s="84">
        <f>IFERROR(VLOOKUP($A69,GanttChart!$A:$JD,263,FALSE),0)</f>
        <v>0</v>
      </c>
      <c r="G69" s="85">
        <f>IFERROR(VLOOKUP($A69,GanttChart!$A:$JD,264,FALSE),0)</f>
        <v>0</v>
      </c>
      <c r="H69" s="86"/>
      <c r="I69" s="85">
        <f t="shared" si="0"/>
        <v>0</v>
      </c>
    </row>
    <row r="70" spans="1:9" ht="18.75" x14ac:dyDescent="0.45">
      <c r="A70" s="78">
        <v>4</v>
      </c>
      <c r="B70" s="78"/>
      <c r="C70" s="83" t="str">
        <f>IFERROR(VLOOKUP($A70,GanttChart!$A:$JD,2,FALSE),"خطا")</f>
        <v>ارائه خدمات آموزش</v>
      </c>
      <c r="D70" s="84">
        <f>SUM(D71:D91)</f>
        <v>0</v>
      </c>
      <c r="E70" s="84">
        <f>SUM(E71:E91)</f>
        <v>0</v>
      </c>
      <c r="F70" s="84">
        <f>SUM(F71:F91)</f>
        <v>0</v>
      </c>
      <c r="G70" s="85">
        <f>SUM(G71:G91)</f>
        <v>0</v>
      </c>
      <c r="H70" s="238"/>
      <c r="I70" s="85">
        <f t="shared" si="0"/>
        <v>0</v>
      </c>
    </row>
    <row r="71" spans="1:9" ht="18.75" hidden="1" x14ac:dyDescent="0.45">
      <c r="A71" s="78">
        <v>4.0999999999999996</v>
      </c>
      <c r="B71" s="78"/>
      <c r="C71" s="83" t="str">
        <f>IFERROR(VLOOKUP($A71,GanttChart!$A:$JD,2,FALSE),"خطا")</f>
        <v>ارائه طرح آموزش و برنامه زمانبندی و مکانی برگزاری جلسات آموزشی</v>
      </c>
      <c r="D71" s="84">
        <f>IFERROR(VLOOKUP($A71,GanttChart!$A:$JD,261,FALSE),0)</f>
        <v>0</v>
      </c>
      <c r="E71" s="84">
        <f>IFERROR(VLOOKUP($A71,GanttChart!$A:$JD,262,FALSE),0)</f>
        <v>0</v>
      </c>
      <c r="F71" s="84">
        <f>IFERROR(VLOOKUP($A71,GanttChart!$A:$JD,263,FALSE),0)</f>
        <v>0</v>
      </c>
      <c r="G71" s="85">
        <f>IFERROR(VLOOKUP($A71,GanttChart!$A:$JD,264,FALSE),0)</f>
        <v>0</v>
      </c>
      <c r="H71" s="86"/>
      <c r="I71" s="85">
        <f t="shared" si="0"/>
        <v>0</v>
      </c>
    </row>
    <row r="72" spans="1:9" ht="31.5" hidden="1" x14ac:dyDescent="0.45">
      <c r="A72" s="78">
        <v>4.2</v>
      </c>
      <c r="B72" s="78"/>
      <c r="C72" s="83" t="str">
        <f>IFERROR(VLOOKUP($A72,GanttChart!$A:$JD,2,FALSE),"خطا")</f>
        <v>معرفی نمایندگان کارفرما به تفکیک سطوح کاربری دارای دانش و مهارت های پیش نیاز آموزش نرم افزار</v>
      </c>
      <c r="D72" s="84">
        <f>IFERROR(VLOOKUP($A72,GanttChart!$A:$JD,261,FALSE),0)</f>
        <v>0</v>
      </c>
      <c r="E72" s="84">
        <f>IFERROR(VLOOKUP($A72,GanttChart!$A:$JD,262,FALSE),0)</f>
        <v>0</v>
      </c>
      <c r="F72" s="84">
        <f>IFERROR(VLOOKUP($A72,GanttChart!$A:$JD,263,FALSE),0)</f>
        <v>0</v>
      </c>
      <c r="G72" s="85">
        <f>IFERROR(VLOOKUP($A72,GanttChart!$A:$JD,264,FALSE),0)</f>
        <v>0</v>
      </c>
      <c r="H72" s="86"/>
      <c r="I72" s="85">
        <f t="shared" si="0"/>
        <v>0</v>
      </c>
    </row>
    <row r="73" spans="1:9" ht="18.75" hidden="1" x14ac:dyDescent="0.45">
      <c r="A73" s="78">
        <v>4.3</v>
      </c>
      <c r="B73" s="78"/>
      <c r="C73" s="83" t="str">
        <f>IFERROR(VLOOKUP($A73,GanttChart!$A:$JD,2,FALSE),"خطا")</f>
        <v>برگزاری جلسات آموزش کاربری(9 ساعت)</v>
      </c>
      <c r="D73" s="84">
        <f>IFERROR(VLOOKUP($A73,GanttChart!$A:$JD,261,FALSE),0)</f>
        <v>0</v>
      </c>
      <c r="E73" s="84">
        <f>IFERROR(VLOOKUP($A73,GanttChart!$A:$JD,262,FALSE),0)</f>
        <v>0</v>
      </c>
      <c r="F73" s="84">
        <f>IFERROR(VLOOKUP($A73,GanttChart!$A:$JD,263,FALSE),0)</f>
        <v>0</v>
      </c>
      <c r="G73" s="85">
        <f>IFERROR(VLOOKUP($A73,GanttChart!$A:$JD,264,FALSE),0)</f>
        <v>0</v>
      </c>
      <c r="H73" s="86"/>
      <c r="I73" s="85">
        <f t="shared" si="0"/>
        <v>0</v>
      </c>
    </row>
    <row r="74" spans="1:9" ht="18.75" hidden="1" x14ac:dyDescent="0.45">
      <c r="A74" s="78">
        <v>4.4000000000000004</v>
      </c>
      <c r="B74" s="78"/>
      <c r="C74" s="83" t="str">
        <f>IFERROR(VLOOKUP($A74,GanttChart!$A:$JD,2,FALSE),"خطا")</f>
        <v>برگزاری جلسات آموزش  راهبری و مدیریتی  (9 ساعت)</v>
      </c>
      <c r="D74" s="84">
        <f>IFERROR(VLOOKUP($A74,GanttChart!$A:$JD,261,FALSE),0)</f>
        <v>0</v>
      </c>
      <c r="E74" s="84">
        <f>IFERROR(VLOOKUP($A74,GanttChart!$A:$JD,262,FALSE),0)</f>
        <v>0</v>
      </c>
      <c r="F74" s="84">
        <f>IFERROR(VLOOKUP($A74,GanttChart!$A:$JD,263,FALSE),0)</f>
        <v>0</v>
      </c>
      <c r="G74" s="85">
        <f>IFERROR(VLOOKUP($A74,GanttChart!$A:$JD,264,FALSE),0)</f>
        <v>0</v>
      </c>
      <c r="H74" s="86"/>
      <c r="I74" s="85">
        <f t="shared" si="0"/>
        <v>0</v>
      </c>
    </row>
    <row r="75" spans="1:9" ht="18.75" hidden="1" x14ac:dyDescent="0.45">
      <c r="A75" s="78">
        <v>4.5</v>
      </c>
      <c r="B75" s="78"/>
      <c r="C75" s="83" t="str">
        <f>IFERROR(VLOOKUP($A75,GanttChart!$A:$JD,2,FALSE),"خطا")</f>
        <v>برگزاری جلسات آموزش راهبر زیر پورتال (4 ساعت)</v>
      </c>
      <c r="D75" s="84">
        <f>IFERROR(VLOOKUP($A75,GanttChart!$A:$JD,261,FALSE),0)</f>
        <v>0</v>
      </c>
      <c r="E75" s="84">
        <f>IFERROR(VLOOKUP($A75,GanttChart!$A:$JD,262,FALSE),0)</f>
        <v>0</v>
      </c>
      <c r="F75" s="84">
        <f>IFERROR(VLOOKUP($A75,GanttChart!$A:$JD,263,FALSE),0)</f>
        <v>0</v>
      </c>
      <c r="G75" s="85">
        <f>IFERROR(VLOOKUP($A75,GanttChart!$A:$JD,264,FALSE),0)</f>
        <v>0</v>
      </c>
      <c r="H75" s="86"/>
      <c r="I75" s="85">
        <f t="shared" si="0"/>
        <v>0</v>
      </c>
    </row>
    <row r="76" spans="1:9" ht="18.75" hidden="1" x14ac:dyDescent="0.45">
      <c r="A76" s="78">
        <v>4.5999999999999996</v>
      </c>
      <c r="B76" s="78"/>
      <c r="C76" s="83" t="str">
        <f>IFERROR(VLOOKUP($A76,GanttChart!$A:$JD,2,FALSE),"خطا")</f>
        <v>برگزاری جلسات آموزش زیر ساخت توسعه پذیری نرم افزار (6 ساعت)</v>
      </c>
      <c r="D76" s="84">
        <f>IFERROR(VLOOKUP($A76,GanttChart!$A:$JD,261,FALSE),0)</f>
        <v>0</v>
      </c>
      <c r="E76" s="84">
        <f>IFERROR(VLOOKUP($A76,GanttChart!$A:$JD,262,FALSE),0)</f>
        <v>0</v>
      </c>
      <c r="F76" s="84">
        <f>IFERROR(VLOOKUP($A76,GanttChart!$A:$JD,263,FALSE),0)</f>
        <v>0</v>
      </c>
      <c r="G76" s="85">
        <f>IFERROR(VLOOKUP($A76,GanttChart!$A:$JD,264,FALSE),0)</f>
        <v>0</v>
      </c>
      <c r="H76" s="86"/>
      <c r="I76" s="85">
        <f t="shared" si="0"/>
        <v>0</v>
      </c>
    </row>
    <row r="77" spans="1:9" ht="18.75" hidden="1" x14ac:dyDescent="0.45">
      <c r="A77" s="78">
        <v>4.7</v>
      </c>
      <c r="B77" s="78"/>
      <c r="C77" s="83">
        <f>IFERROR(VLOOKUP($A77,GanttChart!$A:$JD,2,FALSE),"خطا")</f>
        <v>0</v>
      </c>
      <c r="D77" s="84">
        <f>IFERROR(VLOOKUP($A77,GanttChart!$A:$JD,261,FALSE),0)</f>
        <v>0</v>
      </c>
      <c r="E77" s="84">
        <f>IFERROR(VLOOKUP($A77,GanttChart!$A:$JD,262,FALSE),0)</f>
        <v>0</v>
      </c>
      <c r="F77" s="84">
        <f>IFERROR(VLOOKUP($A77,GanttChart!$A:$JD,263,FALSE),0)</f>
        <v>0</v>
      </c>
      <c r="G77" s="85">
        <f>IFERROR(VLOOKUP($A77,GanttChart!$A:$JD,264,FALSE),0)</f>
        <v>0</v>
      </c>
      <c r="H77" s="86"/>
      <c r="I77" s="85">
        <f t="shared" si="0"/>
        <v>0</v>
      </c>
    </row>
    <row r="78" spans="1:9" ht="18.75" hidden="1" x14ac:dyDescent="0.45">
      <c r="A78" s="78">
        <v>4.8</v>
      </c>
      <c r="B78" s="78"/>
      <c r="C78" s="83">
        <f>IFERROR(VLOOKUP($A78,GanttChart!$A:$JD,2,FALSE),"خطا")</f>
        <v>0</v>
      </c>
      <c r="D78" s="84">
        <f>IFERROR(VLOOKUP($A78,GanttChart!$A:$JD,261,FALSE),0)</f>
        <v>0</v>
      </c>
      <c r="E78" s="84">
        <f>IFERROR(VLOOKUP($A78,GanttChart!$A:$JD,262,FALSE),0)</f>
        <v>0</v>
      </c>
      <c r="F78" s="84">
        <f>IFERROR(VLOOKUP($A78,GanttChart!$A:$JD,263,FALSE),0)</f>
        <v>0</v>
      </c>
      <c r="G78" s="85">
        <f>IFERROR(VLOOKUP($A78,GanttChart!$A:$JD,264,FALSE),0)</f>
        <v>0</v>
      </c>
      <c r="H78" s="86"/>
      <c r="I78" s="85">
        <f t="shared" si="0"/>
        <v>0</v>
      </c>
    </row>
    <row r="79" spans="1:9" ht="18.75" hidden="1" x14ac:dyDescent="0.45">
      <c r="A79" s="78">
        <v>4.9000000000000004</v>
      </c>
      <c r="B79" s="78"/>
      <c r="C79" s="83">
        <f>IFERROR(VLOOKUP($A79,GanttChart!$A:$JD,2,FALSE),"خطا")</f>
        <v>0</v>
      </c>
      <c r="D79" s="84">
        <f>IFERROR(VLOOKUP($A79,GanttChart!$A:$JD,261,FALSE),0)</f>
        <v>0</v>
      </c>
      <c r="E79" s="84">
        <f>IFERROR(VLOOKUP($A79,GanttChart!$A:$JD,262,FALSE),0)</f>
        <v>0</v>
      </c>
      <c r="F79" s="84">
        <f>IFERROR(VLOOKUP($A79,GanttChart!$A:$JD,263,FALSE),0)</f>
        <v>0</v>
      </c>
      <c r="G79" s="85">
        <f>IFERROR(VLOOKUP($A79,GanttChart!$A:$JD,264,FALSE),0)</f>
        <v>0</v>
      </c>
      <c r="H79" s="86"/>
      <c r="I79" s="85">
        <f t="shared" si="0"/>
        <v>0</v>
      </c>
    </row>
    <row r="80" spans="1:9" ht="18.75" hidden="1" x14ac:dyDescent="0.45">
      <c r="A80" s="78">
        <v>4.1100000000000003</v>
      </c>
      <c r="B80" s="78"/>
      <c r="C80" s="83">
        <f>IFERROR(VLOOKUP($A80,GanttChart!$A:$JD,2,FALSE),"خطا")</f>
        <v>0</v>
      </c>
      <c r="D80" s="84">
        <f>IFERROR(VLOOKUP($A80,GanttChart!$A:$JD,261,FALSE),0)</f>
        <v>0</v>
      </c>
      <c r="E80" s="84">
        <f>IFERROR(VLOOKUP($A80,GanttChart!$A:$JD,262,FALSE),0)</f>
        <v>0</v>
      </c>
      <c r="F80" s="84">
        <f>IFERROR(VLOOKUP($A80,GanttChart!$A:$JD,263,FALSE),0)</f>
        <v>0</v>
      </c>
      <c r="G80" s="85">
        <f>IFERROR(VLOOKUP($A80,GanttChart!$A:$JD,264,FALSE),0)</f>
        <v>0</v>
      </c>
      <c r="H80" s="86"/>
      <c r="I80" s="85">
        <f t="shared" si="0"/>
        <v>0</v>
      </c>
    </row>
    <row r="81" spans="1:12" ht="18.75" hidden="1" x14ac:dyDescent="0.45">
      <c r="A81" s="78">
        <v>4.12</v>
      </c>
      <c r="B81" s="78"/>
      <c r="C81" s="83">
        <f>IFERROR(VLOOKUP($A81,GanttChart!$A:$JD,2,FALSE),"خطا")</f>
        <v>0</v>
      </c>
      <c r="D81" s="84">
        <f>IFERROR(VLOOKUP($A81,GanttChart!$A:$JD,261,FALSE),0)</f>
        <v>0</v>
      </c>
      <c r="E81" s="84">
        <f>IFERROR(VLOOKUP($A81,GanttChart!$A:$JD,262,FALSE),0)</f>
        <v>0</v>
      </c>
      <c r="F81" s="84">
        <f>IFERROR(VLOOKUP($A81,GanttChart!$A:$JD,263,FALSE),0)</f>
        <v>0</v>
      </c>
      <c r="G81" s="85">
        <f>IFERROR(VLOOKUP($A81,GanttChart!$A:$JD,264,FALSE),0)</f>
        <v>0</v>
      </c>
      <c r="H81" s="86"/>
      <c r="I81" s="85">
        <f t="shared" si="0"/>
        <v>0</v>
      </c>
    </row>
    <row r="82" spans="1:12" ht="18.75" hidden="1" x14ac:dyDescent="0.45">
      <c r="A82" s="78">
        <v>4.13</v>
      </c>
      <c r="B82" s="78"/>
      <c r="C82" s="83">
        <f>IFERROR(VLOOKUP($A82,GanttChart!$A:$JD,2,FALSE),"خطا")</f>
        <v>0</v>
      </c>
      <c r="D82" s="84">
        <f>IFERROR(VLOOKUP($A82,GanttChart!$A:$JD,261,FALSE),0)</f>
        <v>0</v>
      </c>
      <c r="E82" s="84">
        <f>IFERROR(VLOOKUP($A82,GanttChart!$A:$JD,262,FALSE),0)</f>
        <v>0</v>
      </c>
      <c r="F82" s="84">
        <f>IFERROR(VLOOKUP($A82,GanttChart!$A:$JD,263,FALSE),0)</f>
        <v>0</v>
      </c>
      <c r="G82" s="85">
        <f>IFERROR(VLOOKUP($A82,GanttChart!$A:$JD,264,FALSE),0)</f>
        <v>0</v>
      </c>
      <c r="H82" s="86"/>
      <c r="I82" s="85">
        <f t="shared" si="0"/>
        <v>0</v>
      </c>
    </row>
    <row r="83" spans="1:12" ht="18.75" hidden="1" x14ac:dyDescent="0.45">
      <c r="A83" s="78">
        <v>4.1399999999999997</v>
      </c>
      <c r="B83" s="78"/>
      <c r="C83" s="83">
        <f>IFERROR(VLOOKUP($A83,GanttChart!$A:$JD,2,FALSE),"خطا")</f>
        <v>0</v>
      </c>
      <c r="D83" s="84">
        <f>IFERROR(VLOOKUP($A83,GanttChart!$A:$JD,261,FALSE),0)</f>
        <v>0</v>
      </c>
      <c r="E83" s="84">
        <f>IFERROR(VLOOKUP($A83,GanttChart!$A:$JD,262,FALSE),0)</f>
        <v>0</v>
      </c>
      <c r="F83" s="84">
        <f>IFERROR(VLOOKUP($A83,GanttChart!$A:$JD,263,FALSE),0)</f>
        <v>0</v>
      </c>
      <c r="G83" s="85">
        <f>IFERROR(VLOOKUP($A83,GanttChart!$A:$JD,264,FALSE),0)</f>
        <v>0</v>
      </c>
      <c r="H83" s="86"/>
      <c r="I83" s="85">
        <f t="shared" si="0"/>
        <v>0</v>
      </c>
    </row>
    <row r="84" spans="1:12" ht="18.75" hidden="1" x14ac:dyDescent="0.45">
      <c r="A84" s="78">
        <v>4.1500000000000004</v>
      </c>
      <c r="B84" s="78"/>
      <c r="C84" s="83">
        <f>IFERROR(VLOOKUP($A84,GanttChart!$A:$JD,2,FALSE),"خطا")</f>
        <v>0</v>
      </c>
      <c r="D84" s="84">
        <f>IFERROR(VLOOKUP($A84,GanttChart!$A:$JD,261,FALSE),0)</f>
        <v>0</v>
      </c>
      <c r="E84" s="84">
        <f>IFERROR(VLOOKUP($A84,GanttChart!$A:$JD,262,FALSE),0)</f>
        <v>0</v>
      </c>
      <c r="F84" s="84">
        <f>IFERROR(VLOOKUP($A84,GanttChart!$A:$JD,263,FALSE),0)</f>
        <v>0</v>
      </c>
      <c r="G84" s="85">
        <f>IFERROR(VLOOKUP($A84,GanttChart!$A:$JD,264,FALSE),0)</f>
        <v>0</v>
      </c>
      <c r="H84" s="86"/>
      <c r="I84" s="85">
        <f t="shared" si="0"/>
        <v>0</v>
      </c>
    </row>
    <row r="85" spans="1:12" ht="18.75" hidden="1" x14ac:dyDescent="0.45">
      <c r="A85" s="78">
        <v>4.16</v>
      </c>
      <c r="B85" s="78"/>
      <c r="C85" s="83">
        <f>IFERROR(VLOOKUP($A85,GanttChart!$A:$JD,2,FALSE),"خطا")</f>
        <v>0</v>
      </c>
      <c r="D85" s="84">
        <f>IFERROR(VLOOKUP($A85,GanttChart!$A:$JD,261,FALSE),0)</f>
        <v>0</v>
      </c>
      <c r="E85" s="84">
        <f>IFERROR(VLOOKUP($A85,GanttChart!$A:$JD,262,FALSE),0)</f>
        <v>0</v>
      </c>
      <c r="F85" s="84">
        <f>IFERROR(VLOOKUP($A85,GanttChart!$A:$JD,263,FALSE),0)</f>
        <v>0</v>
      </c>
      <c r="G85" s="85">
        <f>IFERROR(VLOOKUP($A85,GanttChart!$A:$JD,264,FALSE),0)</f>
        <v>0</v>
      </c>
      <c r="H85" s="86"/>
      <c r="I85" s="85">
        <f t="shared" si="0"/>
        <v>0</v>
      </c>
    </row>
    <row r="86" spans="1:12" ht="18.75" hidden="1" x14ac:dyDescent="0.45">
      <c r="A86" s="78">
        <v>4.17</v>
      </c>
      <c r="B86" s="78"/>
      <c r="C86" s="83">
        <f>IFERROR(VLOOKUP($A86,GanttChart!$A:$JD,2,FALSE),"خطا")</f>
        <v>0</v>
      </c>
      <c r="D86" s="84">
        <f>IFERROR(VLOOKUP($A86,GanttChart!$A:$JD,261,FALSE),0)</f>
        <v>0</v>
      </c>
      <c r="E86" s="84">
        <f>IFERROR(VLOOKUP($A86,GanttChart!$A:$JD,262,FALSE),0)</f>
        <v>0</v>
      </c>
      <c r="F86" s="84">
        <f>IFERROR(VLOOKUP($A86,GanttChart!$A:$JD,263,FALSE),0)</f>
        <v>0</v>
      </c>
      <c r="G86" s="85">
        <f>IFERROR(VLOOKUP($A86,GanttChart!$A:$JD,264,FALSE),0)</f>
        <v>0</v>
      </c>
      <c r="H86" s="86"/>
      <c r="I86" s="85">
        <f t="shared" si="0"/>
        <v>0</v>
      </c>
    </row>
    <row r="87" spans="1:12" ht="18.75" hidden="1" x14ac:dyDescent="0.45">
      <c r="A87" s="78">
        <v>4.18</v>
      </c>
      <c r="B87" s="78"/>
      <c r="C87" s="83">
        <f>IFERROR(VLOOKUP($A87,GanttChart!$A:$JD,2,FALSE),"خطا")</f>
        <v>0</v>
      </c>
      <c r="D87" s="84">
        <f>IFERROR(VLOOKUP($A87,GanttChart!$A:$JD,261,FALSE),0)</f>
        <v>0</v>
      </c>
      <c r="E87" s="84">
        <f>IFERROR(VLOOKUP($A87,GanttChart!$A:$JD,262,FALSE),0)</f>
        <v>0</v>
      </c>
      <c r="F87" s="84">
        <f>IFERROR(VLOOKUP($A87,GanttChart!$A:$JD,263,FALSE),0)</f>
        <v>0</v>
      </c>
      <c r="G87" s="85">
        <f>IFERROR(VLOOKUP($A87,GanttChart!$A:$JD,264,FALSE),0)</f>
        <v>0</v>
      </c>
      <c r="H87" s="86"/>
      <c r="I87" s="85">
        <f t="shared" si="0"/>
        <v>0</v>
      </c>
    </row>
    <row r="88" spans="1:12" ht="18.75" hidden="1" x14ac:dyDescent="0.45">
      <c r="A88" s="78">
        <v>4.1900000000000004</v>
      </c>
      <c r="B88" s="78"/>
      <c r="C88" s="83">
        <f>IFERROR(VLOOKUP($A88,GanttChart!$A:$JD,2,FALSE),"خطا")</f>
        <v>0</v>
      </c>
      <c r="D88" s="84">
        <f>IFERROR(VLOOKUP($A88,GanttChart!$A:$JD,261,FALSE),0)</f>
        <v>0</v>
      </c>
      <c r="E88" s="84">
        <f>IFERROR(VLOOKUP($A88,GanttChart!$A:$JD,262,FALSE),0)</f>
        <v>0</v>
      </c>
      <c r="F88" s="84">
        <f>IFERROR(VLOOKUP($A88,GanttChart!$A:$JD,263,FALSE),0)</f>
        <v>0</v>
      </c>
      <c r="G88" s="85">
        <f>IFERROR(VLOOKUP($A88,GanttChart!$A:$JD,264,FALSE),0)</f>
        <v>0</v>
      </c>
      <c r="H88" s="86"/>
      <c r="I88" s="85">
        <f t="shared" si="0"/>
        <v>0</v>
      </c>
    </row>
    <row r="89" spans="1:12" ht="18.75" hidden="1" x14ac:dyDescent="0.45">
      <c r="A89" s="78">
        <v>4.21</v>
      </c>
      <c r="B89" s="78"/>
      <c r="C89" s="83">
        <f>IFERROR(VLOOKUP($A89,GanttChart!$A:$JD,2,FALSE),"خطا")</f>
        <v>0</v>
      </c>
      <c r="D89" s="84">
        <f>IFERROR(VLOOKUP($A89,GanttChart!$A:$JD,261,FALSE),0)</f>
        <v>0</v>
      </c>
      <c r="E89" s="84">
        <f>IFERROR(VLOOKUP($A89,GanttChart!$A:$JD,262,FALSE),0)</f>
        <v>0</v>
      </c>
      <c r="F89" s="84">
        <f>IFERROR(VLOOKUP($A89,GanttChart!$A:$JD,263,FALSE),0)</f>
        <v>0</v>
      </c>
      <c r="G89" s="85">
        <f>IFERROR(VLOOKUP($A89,GanttChart!$A:$JD,264,FALSE),0)</f>
        <v>0</v>
      </c>
      <c r="H89" s="86"/>
      <c r="I89" s="85">
        <f t="shared" si="0"/>
        <v>0</v>
      </c>
    </row>
    <row r="90" spans="1:12" ht="18.75" hidden="1" x14ac:dyDescent="0.45">
      <c r="A90" s="78">
        <v>4.22</v>
      </c>
      <c r="B90" s="78"/>
      <c r="C90" s="83">
        <f>IFERROR(VLOOKUP($A90,GanttChart!$A:$JD,2,FALSE),"خطا")</f>
        <v>0</v>
      </c>
      <c r="D90" s="84">
        <f>IFERROR(VLOOKUP($A90,GanttChart!$A:$JD,261,FALSE),0)</f>
        <v>0</v>
      </c>
      <c r="E90" s="84">
        <f>IFERROR(VLOOKUP($A90,GanttChart!$A:$JD,262,FALSE),0)</f>
        <v>0</v>
      </c>
      <c r="F90" s="84">
        <f>IFERROR(VLOOKUP($A90,GanttChart!$A:$JD,263,FALSE),0)</f>
        <v>0</v>
      </c>
      <c r="G90" s="85">
        <f>IFERROR(VLOOKUP($A90,GanttChart!$A:$JD,264,FALSE),0)</f>
        <v>0</v>
      </c>
      <c r="H90" s="86"/>
      <c r="I90" s="85">
        <f t="shared" si="0"/>
        <v>0</v>
      </c>
    </row>
    <row r="91" spans="1:12" ht="18.75" hidden="1" x14ac:dyDescent="0.45">
      <c r="A91" s="78">
        <v>4.2300000000000004</v>
      </c>
      <c r="B91" s="78"/>
      <c r="C91" s="83">
        <f>IFERROR(VLOOKUP($A91,GanttChart!$A:$JD,2,FALSE),"خطا")</f>
        <v>0</v>
      </c>
      <c r="D91" s="84">
        <f>IFERROR(VLOOKUP($A91,GanttChart!$A:$JD,261,FALSE),0)</f>
        <v>0</v>
      </c>
      <c r="E91" s="84">
        <f>IFERROR(VLOOKUP($A91,GanttChart!$A:$JD,262,FALSE),0)</f>
        <v>0</v>
      </c>
      <c r="F91" s="84">
        <f>IFERROR(VLOOKUP($A91,GanttChart!$A:$JD,263,FALSE),0)</f>
        <v>0</v>
      </c>
      <c r="G91" s="85">
        <f>IFERROR(VLOOKUP($A91,GanttChart!$A:$JD,264,FALSE),0)</f>
        <v>0</v>
      </c>
      <c r="H91" s="86"/>
      <c r="I91" s="85">
        <f t="shared" si="0"/>
        <v>0</v>
      </c>
    </row>
    <row r="92" spans="1:12" ht="18.75" x14ac:dyDescent="0.45">
      <c r="A92" s="78">
        <v>5</v>
      </c>
      <c r="B92" s="78"/>
      <c r="C92" s="83" t="str">
        <f>IFERROR(VLOOKUP($A92,GanttChart!$A:$JD,2,FALSE),"خطا")</f>
        <v>کانورت مکانیزه اطلاعات</v>
      </c>
      <c r="D92" s="84">
        <f>SUM(D93:D113)</f>
        <v>0</v>
      </c>
      <c r="E92" s="84">
        <f>SUM(E93:E113)</f>
        <v>0</v>
      </c>
      <c r="F92" s="84">
        <f>SUM(F93:F113)</f>
        <v>0</v>
      </c>
      <c r="G92" s="85">
        <f>SUM(G93:G113)</f>
        <v>0</v>
      </c>
      <c r="H92" s="238"/>
      <c r="I92" s="85">
        <f t="shared" si="0"/>
        <v>0</v>
      </c>
    </row>
    <row r="93" spans="1:12" ht="18.75" hidden="1" x14ac:dyDescent="0.45">
      <c r="A93" s="78">
        <v>5.0999999999999996</v>
      </c>
      <c r="C93" s="83" t="str">
        <f>IFERROR(VLOOKUP($A93,GanttChart!$A:$JD,2,FALSE),"خطا")</f>
        <v>اعلام ماژول های محتوایی کارفرما</v>
      </c>
      <c r="D93" s="84">
        <f>IFERROR(VLOOKUP($A93,GanttChart!$A:$JD,261,FALSE),0)</f>
        <v>0</v>
      </c>
      <c r="E93" s="84">
        <f>IFERROR(VLOOKUP($A93,GanttChart!$A:$JD,262,FALSE),0)</f>
        <v>0</v>
      </c>
      <c r="F93" s="84">
        <f>IFERROR(VLOOKUP($A93,GanttChart!$A:$JD,263,FALSE),0)</f>
        <v>0</v>
      </c>
      <c r="G93" s="85">
        <f>IFERROR(VLOOKUP($A93,GanttChart!$A:$JD,264,FALSE),0)</f>
        <v>0</v>
      </c>
      <c r="H93" s="86"/>
      <c r="I93" s="85">
        <f t="shared" si="0"/>
        <v>0</v>
      </c>
      <c r="K93" s="82"/>
      <c r="L93" s="88"/>
    </row>
    <row r="94" spans="1:12" ht="18.75" hidden="1" x14ac:dyDescent="0.45">
      <c r="A94" s="78">
        <v>5.2</v>
      </c>
      <c r="C94" s="83" t="str">
        <f>IFERROR(VLOOKUP($A94,GanttChart!$A:$JD,2,FALSE),"خطا")</f>
        <v>ارایه فایل های اکسل ماژول های محتوایی اعلام شده از طرف کارفرما</v>
      </c>
      <c r="D94" s="84">
        <f>IFERROR(VLOOKUP($A94,GanttChart!$A:$JD,261,FALSE),0)</f>
        <v>0</v>
      </c>
      <c r="E94" s="84">
        <f>IFERROR(VLOOKUP($A94,GanttChart!$A:$JD,262,FALSE),0)</f>
        <v>0</v>
      </c>
      <c r="F94" s="84">
        <f>IFERROR(VLOOKUP($A94,GanttChart!$A:$JD,263,FALSE),0)</f>
        <v>0</v>
      </c>
      <c r="G94" s="85">
        <f>IFERROR(VLOOKUP($A94,GanttChart!$A:$JD,264,FALSE),0)</f>
        <v>0</v>
      </c>
      <c r="H94" s="86"/>
      <c r="I94" s="85">
        <f t="shared" si="0"/>
        <v>0</v>
      </c>
    </row>
    <row r="95" spans="1:12" ht="18.75" hidden="1" x14ac:dyDescent="0.45">
      <c r="A95" s="78">
        <v>5.3</v>
      </c>
      <c r="C95" s="83" t="str">
        <f>IFERROR(VLOOKUP($A95,GanttChart!$A:$JD,2,FALSE),"خطا")</f>
        <v>تکمیل و ارسال اطلاعات</v>
      </c>
      <c r="D95" s="84">
        <f>IFERROR(VLOOKUP($A95,GanttChart!$A:$JD,261,FALSE),0)</f>
        <v>0</v>
      </c>
      <c r="E95" s="84">
        <f>IFERROR(VLOOKUP($A95,GanttChart!$A:$JD,262,FALSE),0)</f>
        <v>0</v>
      </c>
      <c r="F95" s="84">
        <f>IFERROR(VLOOKUP($A95,GanttChart!$A:$JD,263,FALSE),0)</f>
        <v>0</v>
      </c>
      <c r="G95" s="85">
        <f>IFERROR(VLOOKUP($A95,GanttChart!$A:$JD,264,FALSE),0)</f>
        <v>0</v>
      </c>
      <c r="H95" s="86"/>
      <c r="I95" s="85">
        <f t="shared" si="0"/>
        <v>0</v>
      </c>
    </row>
    <row r="96" spans="1:12" ht="18.75" hidden="1" x14ac:dyDescent="0.45">
      <c r="A96" s="78">
        <v>5.4</v>
      </c>
      <c r="C96" s="83" t="str">
        <f>IFERROR(VLOOKUP($A96,GanttChart!$A:$JD,2,FALSE),"خطا")</f>
        <v>کانورت مکانیزه اطلاعات</v>
      </c>
      <c r="D96" s="84">
        <f>IFERROR(VLOOKUP($A96,GanttChart!$A:$JD,261,FALSE),0)</f>
        <v>0</v>
      </c>
      <c r="E96" s="84">
        <f>IFERROR(VLOOKUP($A96,GanttChart!$A:$JD,262,FALSE),0)</f>
        <v>0</v>
      </c>
      <c r="F96" s="84">
        <f>IFERROR(VLOOKUP($A96,GanttChart!$A:$JD,263,FALSE),0)</f>
        <v>0</v>
      </c>
      <c r="G96" s="85">
        <f>IFERROR(VLOOKUP($A96,GanttChart!$A:$JD,264,FALSE),0)</f>
        <v>0</v>
      </c>
      <c r="H96" s="86"/>
      <c r="I96" s="85">
        <f t="shared" si="0"/>
        <v>0</v>
      </c>
    </row>
    <row r="97" spans="1:9" ht="18.75" hidden="1" x14ac:dyDescent="0.45">
      <c r="A97" s="78">
        <v>5.5</v>
      </c>
      <c r="C97" s="83" t="str">
        <f>IFERROR(VLOOKUP($A97,GanttChart!$A:$JD,2,FALSE),"خطا")</f>
        <v>تصحیح محتوای درج شده به صورت مکانیزه در زیر ساخت جدید</v>
      </c>
      <c r="D97" s="84">
        <f>IFERROR(VLOOKUP($A97,GanttChart!$A:$JD,261,FALSE),0)</f>
        <v>0</v>
      </c>
      <c r="E97" s="84">
        <f>IFERROR(VLOOKUP($A97,GanttChart!$A:$JD,262,FALSE),0)</f>
        <v>0</v>
      </c>
      <c r="F97" s="84">
        <f>IFERROR(VLOOKUP($A97,GanttChart!$A:$JD,263,FALSE),0)</f>
        <v>0</v>
      </c>
      <c r="G97" s="85">
        <f>IFERROR(VLOOKUP($A97,GanttChart!$A:$JD,264,FALSE),0)</f>
        <v>0</v>
      </c>
      <c r="H97" s="86"/>
      <c r="I97" s="85">
        <f t="shared" si="0"/>
        <v>0</v>
      </c>
    </row>
    <row r="98" spans="1:9" ht="31.5" hidden="1" x14ac:dyDescent="0.45">
      <c r="A98" s="78">
        <v>5.6</v>
      </c>
      <c r="C98" s="83" t="str">
        <f>IFERROR(VLOOKUP($A98,GanttChart!$A:$JD,2,FALSE),"خطا")</f>
        <v>تکمیل محتوای درج شده در وب سایت قبلی حد فاصل زمان انتقال اطلاعات در پورتال جدید</v>
      </c>
      <c r="D98" s="84">
        <f>IFERROR(VLOOKUP($A98,GanttChart!$A:$JD,261,FALSE),0)</f>
        <v>0</v>
      </c>
      <c r="E98" s="84">
        <f>IFERROR(VLOOKUP($A98,GanttChart!$A:$JD,262,FALSE),0)</f>
        <v>0</v>
      </c>
      <c r="F98" s="84">
        <f>IFERROR(VLOOKUP($A98,GanttChart!$A:$JD,263,FALSE),0)</f>
        <v>0</v>
      </c>
      <c r="G98" s="85">
        <f>IFERROR(VLOOKUP($A98,GanttChart!$A:$JD,264,FALSE),0)</f>
        <v>0</v>
      </c>
      <c r="H98" s="86"/>
      <c r="I98" s="85">
        <f t="shared" si="0"/>
        <v>0</v>
      </c>
    </row>
    <row r="99" spans="1:9" ht="18.75" hidden="1" x14ac:dyDescent="0.45">
      <c r="A99" s="78">
        <v>5.7</v>
      </c>
      <c r="C99" s="83">
        <f>IFERROR(VLOOKUP($A99,GanttChart!$A:$JD,2,FALSE),"خطا")</f>
        <v>0</v>
      </c>
      <c r="D99" s="84">
        <f>IFERROR(VLOOKUP($A99,GanttChart!$A:$JD,261,FALSE),0)</f>
        <v>0</v>
      </c>
      <c r="E99" s="84">
        <f>IFERROR(VLOOKUP($A99,GanttChart!$A:$JD,262,FALSE),0)</f>
        <v>0</v>
      </c>
      <c r="F99" s="84">
        <f>IFERROR(VLOOKUP($A99,GanttChart!$A:$JD,263,FALSE),0)</f>
        <v>0</v>
      </c>
      <c r="G99" s="85">
        <f>IFERROR(VLOOKUP($A99,GanttChart!$A:$JD,264,FALSE),0)</f>
        <v>0</v>
      </c>
      <c r="H99" s="86"/>
      <c r="I99" s="85">
        <f t="shared" si="0"/>
        <v>0</v>
      </c>
    </row>
    <row r="100" spans="1:9" ht="18.75" hidden="1" x14ac:dyDescent="0.45">
      <c r="A100" s="78">
        <v>5.8</v>
      </c>
      <c r="C100" s="83">
        <f>IFERROR(VLOOKUP($A100,GanttChart!$A:$JD,2,FALSE),"خطا")</f>
        <v>0</v>
      </c>
      <c r="D100" s="84">
        <f>IFERROR(VLOOKUP($A100,GanttChart!$A:$JD,261,FALSE),0)</f>
        <v>0</v>
      </c>
      <c r="E100" s="84">
        <f>IFERROR(VLOOKUP($A100,GanttChart!$A:$JD,262,FALSE),0)</f>
        <v>0</v>
      </c>
      <c r="F100" s="84">
        <f>IFERROR(VLOOKUP($A100,GanttChart!$A:$JD,263,FALSE),0)</f>
        <v>0</v>
      </c>
      <c r="G100" s="85">
        <f>IFERROR(VLOOKUP($A100,GanttChart!$A:$JD,264,FALSE),0)</f>
        <v>0</v>
      </c>
      <c r="H100" s="86"/>
      <c r="I100" s="85">
        <f t="shared" si="0"/>
        <v>0</v>
      </c>
    </row>
    <row r="101" spans="1:9" ht="18.75" hidden="1" x14ac:dyDescent="0.45">
      <c r="A101" s="78">
        <v>5.9</v>
      </c>
      <c r="C101" s="83">
        <f>IFERROR(VLOOKUP($A101,GanttChart!$A:$JD,2,FALSE),"خطا")</f>
        <v>0</v>
      </c>
      <c r="D101" s="84">
        <f>IFERROR(VLOOKUP($A101,GanttChart!$A:$JD,261,FALSE),0)</f>
        <v>0</v>
      </c>
      <c r="E101" s="84">
        <f>IFERROR(VLOOKUP($A101,GanttChart!$A:$JD,262,FALSE),0)</f>
        <v>0</v>
      </c>
      <c r="F101" s="84">
        <f>IFERROR(VLOOKUP($A101,GanttChart!$A:$JD,263,FALSE),0)</f>
        <v>0</v>
      </c>
      <c r="G101" s="85">
        <f>IFERROR(VLOOKUP($A101,GanttChart!$A:$JD,264,FALSE),0)</f>
        <v>0</v>
      </c>
      <c r="H101" s="86"/>
      <c r="I101" s="85">
        <f t="shared" si="0"/>
        <v>0</v>
      </c>
    </row>
    <row r="102" spans="1:9" ht="18.75" hidden="1" x14ac:dyDescent="0.45">
      <c r="A102" s="78">
        <v>5.1100000000000003</v>
      </c>
      <c r="C102" s="83">
        <f>IFERROR(VLOOKUP($A102,GanttChart!$A:$JD,2,FALSE),"خطا")</f>
        <v>0</v>
      </c>
      <c r="D102" s="84">
        <f>IFERROR(VLOOKUP($A102,GanttChart!$A:$JD,261,FALSE),0)</f>
        <v>0</v>
      </c>
      <c r="E102" s="84">
        <f>IFERROR(VLOOKUP($A102,GanttChart!$A:$JD,262,FALSE),0)</f>
        <v>0</v>
      </c>
      <c r="F102" s="84">
        <f>IFERROR(VLOOKUP($A102,GanttChart!$A:$JD,263,FALSE),0)</f>
        <v>0</v>
      </c>
      <c r="G102" s="85">
        <f>IFERROR(VLOOKUP($A102,GanttChart!$A:$JD,264,FALSE),0)</f>
        <v>0</v>
      </c>
      <c r="H102" s="86"/>
      <c r="I102" s="85">
        <f t="shared" si="0"/>
        <v>0</v>
      </c>
    </row>
    <row r="103" spans="1:9" ht="18.75" hidden="1" x14ac:dyDescent="0.45">
      <c r="A103" s="78">
        <v>5.12</v>
      </c>
      <c r="C103" s="83">
        <f>IFERROR(VLOOKUP($A103,GanttChart!$A:$JD,2,FALSE),"خطا")</f>
        <v>0</v>
      </c>
      <c r="D103" s="84">
        <f>IFERROR(VLOOKUP($A103,GanttChart!$A:$JD,261,FALSE),0)</f>
        <v>0</v>
      </c>
      <c r="E103" s="84">
        <f>IFERROR(VLOOKUP($A103,GanttChart!$A:$JD,262,FALSE),0)</f>
        <v>0</v>
      </c>
      <c r="F103" s="84">
        <f>IFERROR(VLOOKUP($A103,GanttChart!$A:$JD,263,FALSE),0)</f>
        <v>0</v>
      </c>
      <c r="G103" s="85">
        <f>IFERROR(VLOOKUP($A103,GanttChart!$A:$JD,264,FALSE),0)</f>
        <v>0</v>
      </c>
      <c r="H103" s="86"/>
      <c r="I103" s="85">
        <f t="shared" si="0"/>
        <v>0</v>
      </c>
    </row>
    <row r="104" spans="1:9" ht="18.75" hidden="1" x14ac:dyDescent="0.45">
      <c r="A104" s="78">
        <v>5.13</v>
      </c>
      <c r="C104" s="83">
        <f>IFERROR(VLOOKUP($A104,GanttChart!$A:$JD,2,FALSE),"خطا")</f>
        <v>0</v>
      </c>
      <c r="D104" s="84">
        <f>IFERROR(VLOOKUP($A104,GanttChart!$A:$JD,261,FALSE),0)</f>
        <v>0</v>
      </c>
      <c r="E104" s="84">
        <f>IFERROR(VLOOKUP($A104,GanttChart!$A:$JD,262,FALSE),0)</f>
        <v>0</v>
      </c>
      <c r="F104" s="84">
        <f>IFERROR(VLOOKUP($A104,GanttChart!$A:$JD,263,FALSE),0)</f>
        <v>0</v>
      </c>
      <c r="G104" s="85">
        <f>IFERROR(VLOOKUP($A104,GanttChart!$A:$JD,264,FALSE),0)</f>
        <v>0</v>
      </c>
      <c r="H104" s="86"/>
      <c r="I104" s="85">
        <f t="shared" si="0"/>
        <v>0</v>
      </c>
    </row>
    <row r="105" spans="1:9" ht="18.75" hidden="1" x14ac:dyDescent="0.45">
      <c r="A105" s="78">
        <v>5.14</v>
      </c>
      <c r="C105" s="83">
        <f>IFERROR(VLOOKUP($A105,GanttChart!$A:$JD,2,FALSE),"خطا")</f>
        <v>0</v>
      </c>
      <c r="D105" s="84">
        <f>IFERROR(VLOOKUP($A105,GanttChart!$A:$JD,261,FALSE),0)</f>
        <v>0</v>
      </c>
      <c r="E105" s="84">
        <f>IFERROR(VLOOKUP($A105,GanttChart!$A:$JD,262,FALSE),0)</f>
        <v>0</v>
      </c>
      <c r="F105" s="84">
        <f>IFERROR(VLOOKUP($A105,GanttChart!$A:$JD,263,FALSE),0)</f>
        <v>0</v>
      </c>
      <c r="G105" s="85">
        <f>IFERROR(VLOOKUP($A105,GanttChart!$A:$JD,264,FALSE),0)</f>
        <v>0</v>
      </c>
      <c r="H105" s="86"/>
      <c r="I105" s="85">
        <f t="shared" si="0"/>
        <v>0</v>
      </c>
    </row>
    <row r="106" spans="1:9" ht="18.75" hidden="1" x14ac:dyDescent="0.45">
      <c r="A106" s="78">
        <v>5.15</v>
      </c>
      <c r="C106" s="83">
        <f>IFERROR(VLOOKUP($A106,GanttChart!$A:$JD,2,FALSE),"خطا")</f>
        <v>0</v>
      </c>
      <c r="D106" s="84">
        <f>IFERROR(VLOOKUP($A106,GanttChart!$A:$JD,261,FALSE),0)</f>
        <v>0</v>
      </c>
      <c r="E106" s="84">
        <f>IFERROR(VLOOKUP($A106,GanttChart!$A:$JD,262,FALSE),0)</f>
        <v>0</v>
      </c>
      <c r="F106" s="84">
        <f>IFERROR(VLOOKUP($A106,GanttChart!$A:$JD,263,FALSE),0)</f>
        <v>0</v>
      </c>
      <c r="G106" s="85">
        <f>IFERROR(VLOOKUP($A106,GanttChart!$A:$JD,264,FALSE),0)</f>
        <v>0</v>
      </c>
      <c r="H106" s="86"/>
      <c r="I106" s="85">
        <f t="shared" si="0"/>
        <v>0</v>
      </c>
    </row>
    <row r="107" spans="1:9" ht="18.75" hidden="1" x14ac:dyDescent="0.45">
      <c r="A107" s="78">
        <v>5.16</v>
      </c>
      <c r="C107" s="83">
        <f>IFERROR(VLOOKUP($A107,GanttChart!$A:$JD,2,FALSE),"خطا")</f>
        <v>0</v>
      </c>
      <c r="D107" s="84">
        <f>IFERROR(VLOOKUP($A107,GanttChart!$A:$JD,261,FALSE),0)</f>
        <v>0</v>
      </c>
      <c r="E107" s="84">
        <f>IFERROR(VLOOKUP($A107,GanttChart!$A:$JD,262,FALSE),0)</f>
        <v>0</v>
      </c>
      <c r="F107" s="84">
        <f>IFERROR(VLOOKUP($A107,GanttChart!$A:$JD,263,FALSE),0)</f>
        <v>0</v>
      </c>
      <c r="G107" s="85">
        <f>IFERROR(VLOOKUP($A107,GanttChart!$A:$JD,264,FALSE),0)</f>
        <v>0</v>
      </c>
      <c r="H107" s="86"/>
      <c r="I107" s="85">
        <f t="shared" si="0"/>
        <v>0</v>
      </c>
    </row>
    <row r="108" spans="1:9" ht="18.75" hidden="1" x14ac:dyDescent="0.45">
      <c r="A108" s="78">
        <v>5.17</v>
      </c>
      <c r="C108" s="83">
        <f>IFERROR(VLOOKUP($A108,GanttChart!$A:$JD,2,FALSE),"خطا")</f>
        <v>0</v>
      </c>
      <c r="D108" s="84">
        <f>IFERROR(VLOOKUP($A108,GanttChart!$A:$JD,261,FALSE),0)</f>
        <v>0</v>
      </c>
      <c r="E108" s="84">
        <f>IFERROR(VLOOKUP($A108,GanttChart!$A:$JD,262,FALSE),0)</f>
        <v>0</v>
      </c>
      <c r="F108" s="84">
        <f>IFERROR(VLOOKUP($A108,GanttChart!$A:$JD,263,FALSE),0)</f>
        <v>0</v>
      </c>
      <c r="G108" s="85">
        <f>IFERROR(VLOOKUP($A108,GanttChart!$A:$JD,264,FALSE),0)</f>
        <v>0</v>
      </c>
      <c r="H108" s="86"/>
      <c r="I108" s="85">
        <f t="shared" si="0"/>
        <v>0</v>
      </c>
    </row>
    <row r="109" spans="1:9" ht="18.75" hidden="1" x14ac:dyDescent="0.45">
      <c r="A109" s="78">
        <v>5.18</v>
      </c>
      <c r="C109" s="83">
        <f>IFERROR(VLOOKUP($A109,GanttChart!$A:$JD,2,FALSE),"خطا")</f>
        <v>0</v>
      </c>
      <c r="D109" s="84">
        <f>IFERROR(VLOOKUP($A109,GanttChart!$A:$JD,261,FALSE),0)</f>
        <v>0</v>
      </c>
      <c r="E109" s="84">
        <f>IFERROR(VLOOKUP($A109,GanttChart!$A:$JD,262,FALSE),0)</f>
        <v>0</v>
      </c>
      <c r="F109" s="84">
        <f>IFERROR(VLOOKUP($A109,GanttChart!$A:$JD,263,FALSE),0)</f>
        <v>0</v>
      </c>
      <c r="G109" s="85">
        <f>IFERROR(VLOOKUP($A109,GanttChart!$A:$JD,264,FALSE),0)</f>
        <v>0</v>
      </c>
      <c r="H109" s="86"/>
      <c r="I109" s="85">
        <f t="shared" si="0"/>
        <v>0</v>
      </c>
    </row>
    <row r="110" spans="1:9" ht="18.75" hidden="1" x14ac:dyDescent="0.45">
      <c r="A110" s="78">
        <v>5.19</v>
      </c>
      <c r="C110" s="83">
        <f>IFERROR(VLOOKUP($A110,GanttChart!$A:$JD,2,FALSE),"خطا")</f>
        <v>0</v>
      </c>
      <c r="D110" s="84">
        <f>IFERROR(VLOOKUP($A110,GanttChart!$A:$JD,261,FALSE),0)</f>
        <v>0</v>
      </c>
      <c r="E110" s="84">
        <f>IFERROR(VLOOKUP($A110,GanttChart!$A:$JD,262,FALSE),0)</f>
        <v>0</v>
      </c>
      <c r="F110" s="84">
        <f>IFERROR(VLOOKUP($A110,GanttChart!$A:$JD,263,FALSE),0)</f>
        <v>0</v>
      </c>
      <c r="G110" s="85">
        <f>IFERROR(VLOOKUP($A110,GanttChart!$A:$JD,264,FALSE),0)</f>
        <v>0</v>
      </c>
      <c r="H110" s="86"/>
      <c r="I110" s="85">
        <f t="shared" si="0"/>
        <v>0</v>
      </c>
    </row>
    <row r="111" spans="1:9" ht="18.75" hidden="1" x14ac:dyDescent="0.45">
      <c r="A111" s="78">
        <v>5.21</v>
      </c>
      <c r="C111" s="83">
        <f>IFERROR(VLOOKUP($A111,GanttChart!$A:$JD,2,FALSE),"خطا")</f>
        <v>0</v>
      </c>
      <c r="D111" s="84">
        <f>IFERROR(VLOOKUP($A111,GanttChart!$A:$JD,261,FALSE),0)</f>
        <v>0</v>
      </c>
      <c r="E111" s="84">
        <f>IFERROR(VLOOKUP($A111,GanttChart!$A:$JD,262,FALSE),0)</f>
        <v>0</v>
      </c>
      <c r="F111" s="84">
        <f>IFERROR(VLOOKUP($A111,GanttChart!$A:$JD,263,FALSE),0)</f>
        <v>0</v>
      </c>
      <c r="G111" s="85">
        <f>IFERROR(VLOOKUP($A111,GanttChart!$A:$JD,264,FALSE),0)</f>
        <v>0</v>
      </c>
      <c r="H111" s="86"/>
      <c r="I111" s="85">
        <f t="shared" si="0"/>
        <v>0</v>
      </c>
    </row>
    <row r="112" spans="1:9" ht="18.75" hidden="1" x14ac:dyDescent="0.45">
      <c r="A112" s="78">
        <v>5.22</v>
      </c>
      <c r="C112" s="83">
        <f>IFERROR(VLOOKUP($A112,GanttChart!$A:$JD,2,FALSE),"خطا")</f>
        <v>0</v>
      </c>
      <c r="D112" s="84">
        <f>IFERROR(VLOOKUP($A112,GanttChart!$A:$JD,261,FALSE),0)</f>
        <v>0</v>
      </c>
      <c r="E112" s="84">
        <f>IFERROR(VLOOKUP($A112,GanttChart!$A:$JD,262,FALSE),0)</f>
        <v>0</v>
      </c>
      <c r="F112" s="84">
        <f>IFERROR(VLOOKUP($A112,GanttChart!$A:$JD,263,FALSE),0)</f>
        <v>0</v>
      </c>
      <c r="G112" s="85">
        <f>IFERROR(VLOOKUP($A112,GanttChart!$A:$JD,264,FALSE),0)</f>
        <v>0</v>
      </c>
      <c r="H112" s="86"/>
      <c r="I112" s="85">
        <f t="shared" si="0"/>
        <v>0</v>
      </c>
    </row>
    <row r="113" spans="1:9" ht="18.75" hidden="1" x14ac:dyDescent="0.45">
      <c r="A113" s="78">
        <v>5.23</v>
      </c>
      <c r="C113" s="83">
        <f>IFERROR(VLOOKUP($A113,GanttChart!$A:$JD,2,FALSE),"خطا")</f>
        <v>0</v>
      </c>
      <c r="D113" s="84">
        <f>IFERROR(VLOOKUP($A113,GanttChart!$A:$JD,261,FALSE),0)</f>
        <v>0</v>
      </c>
      <c r="E113" s="84">
        <f>IFERROR(VLOOKUP($A113,GanttChart!$A:$JD,262,FALSE),0)</f>
        <v>0</v>
      </c>
      <c r="F113" s="84">
        <f>IFERROR(VLOOKUP($A113,GanttChart!$A:$JD,263,FALSE),0)</f>
        <v>0</v>
      </c>
      <c r="G113" s="85">
        <f>IFERROR(VLOOKUP($A113,GanttChart!$A:$JD,264,FALSE),0)</f>
        <v>0</v>
      </c>
      <c r="H113" s="86"/>
      <c r="I113" s="85">
        <f t="shared" si="0"/>
        <v>0</v>
      </c>
    </row>
    <row r="114" spans="1:9" ht="18.75" x14ac:dyDescent="0.45">
      <c r="A114" s="78">
        <v>6</v>
      </c>
      <c r="C114" s="83" t="str">
        <f>IFERROR(VLOOKUP($A114,GanttChart!$A:$JD,2,FALSE),"خطا")</f>
        <v>اقدامات اجرایی پیکربندی، مدیریت و کاربرد نرم افزار</v>
      </c>
      <c r="D114" s="84">
        <f>SUM(D115:D135)</f>
        <v>0</v>
      </c>
      <c r="E114" s="84">
        <f>SUM(E115:E135)</f>
        <v>0</v>
      </c>
      <c r="F114" s="84">
        <f>SUM(F115:F135)</f>
        <v>0</v>
      </c>
      <c r="G114" s="85">
        <f>SUM(G115:G135)</f>
        <v>0</v>
      </c>
      <c r="H114" s="238"/>
      <c r="I114" s="85">
        <f t="shared" si="0"/>
        <v>0</v>
      </c>
    </row>
    <row r="115" spans="1:9" ht="31.5" hidden="1" x14ac:dyDescent="0.45">
      <c r="A115" s="78">
        <v>6.1</v>
      </c>
      <c r="C115" s="83" t="str">
        <f>IFERROR(VLOOKUP($A115,GanttChart!$A:$JD,2,FALSE),"خطا")</f>
        <v>اعلام نام های کاربری و حقوق دسترسی مورد نیاز هر یک از کاربران و اطلاعات مورد نیاز جهت تنظیم</v>
      </c>
      <c r="D115" s="84">
        <f>IFERROR(VLOOKUP($A115,GanttChart!$A:$JD,261,FALSE),0)</f>
        <v>0</v>
      </c>
      <c r="E115" s="84">
        <f>IFERROR(VLOOKUP($A115,GanttChart!$A:$JD,262,FALSE),0)</f>
        <v>0</v>
      </c>
      <c r="F115" s="84">
        <f>IFERROR(VLOOKUP($A115,GanttChart!$A:$JD,263,FALSE),0)</f>
        <v>0</v>
      </c>
      <c r="G115" s="85">
        <f>IFERROR(VLOOKUP($A115,GanttChart!$A:$JD,264,FALSE),0)</f>
        <v>0</v>
      </c>
      <c r="H115" s="86"/>
      <c r="I115" s="85">
        <f t="shared" si="0"/>
        <v>0</v>
      </c>
    </row>
    <row r="116" spans="1:9" ht="18.75" hidden="1" x14ac:dyDescent="0.45">
      <c r="A116" s="78">
        <v>6.2</v>
      </c>
      <c r="C116" s="83" t="str">
        <f>IFERROR(VLOOKUP($A116,GanttChart!$A:$JD,2,FALSE),"خطا")</f>
        <v>تعریف و اعطای حق دسترسی به کاربران و گروه های کاربری اعلام شده</v>
      </c>
      <c r="D116" s="84">
        <f>IFERROR(VLOOKUP($A116,GanttChart!$A:$JD,261,FALSE),0)</f>
        <v>0</v>
      </c>
      <c r="E116" s="84">
        <f>IFERROR(VLOOKUP($A116,GanttChart!$A:$JD,262,FALSE),0)</f>
        <v>0</v>
      </c>
      <c r="F116" s="84">
        <f>IFERROR(VLOOKUP($A116,GanttChart!$A:$JD,263,FALSE),0)</f>
        <v>0</v>
      </c>
      <c r="G116" s="85">
        <f>IFERROR(VLOOKUP($A116,GanttChart!$A:$JD,264,FALSE),0)</f>
        <v>0</v>
      </c>
      <c r="H116" s="86"/>
      <c r="I116" s="85">
        <f t="shared" si="0"/>
        <v>0</v>
      </c>
    </row>
    <row r="117" spans="1:9" ht="31.5" hidden="1" x14ac:dyDescent="0.45">
      <c r="A117" s="78">
        <v>6.3</v>
      </c>
      <c r="C117" s="83" t="str">
        <f>IFERROR(VLOOKUP($A117,GanttChart!$A:$JD,2,FALSE),"خطا")</f>
        <v>پیکربندی ماژول های پست الکترونیک و پیام کوتاه  بر روی سرویس دهنده های پست الکترونیک و پیام کوتاه کارفرما</v>
      </c>
      <c r="D117" s="84">
        <f>IFERROR(VLOOKUP($A117,GanttChart!$A:$JD,261,FALSE),0)</f>
        <v>0</v>
      </c>
      <c r="E117" s="84">
        <f>IFERROR(VLOOKUP($A117,GanttChart!$A:$JD,262,FALSE),0)</f>
        <v>0</v>
      </c>
      <c r="F117" s="84">
        <f>IFERROR(VLOOKUP($A117,GanttChart!$A:$JD,263,FALSE),0)</f>
        <v>0</v>
      </c>
      <c r="G117" s="85">
        <f>IFERROR(VLOOKUP($A117,GanttChart!$A:$JD,264,FALSE),0)</f>
        <v>0</v>
      </c>
      <c r="H117" s="86"/>
      <c r="I117" s="85">
        <f t="shared" si="0"/>
        <v>0</v>
      </c>
    </row>
    <row r="118" spans="1:9" ht="18.75" hidden="1" x14ac:dyDescent="0.45">
      <c r="A118" s="78">
        <v>6.4</v>
      </c>
      <c r="C118" s="83">
        <f>IFERROR(VLOOKUP($A118,GanttChart!$A:$JD,2,FALSE),"خطا")</f>
        <v>0</v>
      </c>
      <c r="D118" s="84">
        <f>IFERROR(VLOOKUP($A118,GanttChart!$A:$JD,261,FALSE),0)</f>
        <v>0</v>
      </c>
      <c r="E118" s="84">
        <f>IFERROR(VLOOKUP($A118,GanttChart!$A:$JD,262,FALSE),0)</f>
        <v>0</v>
      </c>
      <c r="F118" s="84">
        <f>IFERROR(VLOOKUP($A118,GanttChart!$A:$JD,263,FALSE),0)</f>
        <v>0</v>
      </c>
      <c r="G118" s="85">
        <f>IFERROR(VLOOKUP($A118,GanttChart!$A:$JD,264,FALSE),0)</f>
        <v>0</v>
      </c>
      <c r="H118" s="86"/>
      <c r="I118" s="85">
        <f t="shared" si="0"/>
        <v>0</v>
      </c>
    </row>
    <row r="119" spans="1:9" ht="18.75" hidden="1" x14ac:dyDescent="0.45">
      <c r="A119" s="78">
        <v>6.5</v>
      </c>
      <c r="C119" s="83">
        <f>IFERROR(VLOOKUP($A119,GanttChart!$A:$JD,2,FALSE),"خطا")</f>
        <v>0</v>
      </c>
      <c r="D119" s="84">
        <f>IFERROR(VLOOKUP($A119,GanttChart!$A:$JD,261,FALSE),0)</f>
        <v>0</v>
      </c>
      <c r="E119" s="84">
        <f>IFERROR(VLOOKUP($A119,GanttChart!$A:$JD,262,FALSE),0)</f>
        <v>0</v>
      </c>
      <c r="F119" s="84">
        <f>IFERROR(VLOOKUP($A119,GanttChart!$A:$JD,263,FALSE),0)</f>
        <v>0</v>
      </c>
      <c r="G119" s="85">
        <f>IFERROR(VLOOKUP($A119,GanttChart!$A:$JD,264,FALSE),0)</f>
        <v>0</v>
      </c>
      <c r="H119" s="86"/>
      <c r="I119" s="85">
        <f t="shared" si="0"/>
        <v>0</v>
      </c>
    </row>
    <row r="120" spans="1:9" ht="18.75" hidden="1" x14ac:dyDescent="0.45">
      <c r="A120" s="78">
        <v>6.6</v>
      </c>
      <c r="C120" s="83">
        <f>IFERROR(VLOOKUP($A120,GanttChart!$A:$JD,2,FALSE),"خطا")</f>
        <v>0</v>
      </c>
      <c r="D120" s="84">
        <f>IFERROR(VLOOKUP($A120,GanttChart!$A:$JD,261,FALSE),0)</f>
        <v>0</v>
      </c>
      <c r="E120" s="84">
        <f>IFERROR(VLOOKUP($A120,GanttChart!$A:$JD,262,FALSE),0)</f>
        <v>0</v>
      </c>
      <c r="F120" s="84">
        <f>IFERROR(VLOOKUP($A120,GanttChart!$A:$JD,263,FALSE),0)</f>
        <v>0</v>
      </c>
      <c r="G120" s="85">
        <f>IFERROR(VLOOKUP($A120,GanttChart!$A:$JD,264,FALSE),0)</f>
        <v>0</v>
      </c>
      <c r="H120" s="86"/>
      <c r="I120" s="85">
        <f t="shared" si="0"/>
        <v>0</v>
      </c>
    </row>
    <row r="121" spans="1:9" ht="18.75" hidden="1" x14ac:dyDescent="0.45">
      <c r="A121" s="78">
        <v>6.7</v>
      </c>
      <c r="C121" s="83">
        <f>IFERROR(VLOOKUP($A121,GanttChart!$A:$JD,2,FALSE),"خطا")</f>
        <v>0</v>
      </c>
      <c r="D121" s="84">
        <f>IFERROR(VLOOKUP($A121,GanttChart!$A:$JD,261,FALSE),0)</f>
        <v>0</v>
      </c>
      <c r="E121" s="84">
        <f>IFERROR(VLOOKUP($A121,GanttChart!$A:$JD,262,FALSE),0)</f>
        <v>0</v>
      </c>
      <c r="F121" s="84">
        <f>IFERROR(VLOOKUP($A121,GanttChart!$A:$JD,263,FALSE),0)</f>
        <v>0</v>
      </c>
      <c r="G121" s="85">
        <f>IFERROR(VLOOKUP($A121,GanttChart!$A:$JD,264,FALSE),0)</f>
        <v>0</v>
      </c>
      <c r="H121" s="86"/>
      <c r="I121" s="85">
        <f t="shared" si="0"/>
        <v>0</v>
      </c>
    </row>
    <row r="122" spans="1:9" ht="18.75" hidden="1" x14ac:dyDescent="0.45">
      <c r="A122" s="78">
        <v>6.8</v>
      </c>
      <c r="C122" s="83">
        <f>IFERROR(VLOOKUP($A122,GanttChart!$A:$JD,2,FALSE),"خطا")</f>
        <v>0</v>
      </c>
      <c r="D122" s="84">
        <f>IFERROR(VLOOKUP($A122,GanttChart!$A:$JD,261,FALSE),0)</f>
        <v>0</v>
      </c>
      <c r="E122" s="84">
        <f>IFERROR(VLOOKUP($A122,GanttChart!$A:$JD,262,FALSE),0)</f>
        <v>0</v>
      </c>
      <c r="F122" s="84">
        <f>IFERROR(VLOOKUP($A122,GanttChart!$A:$JD,263,FALSE),0)</f>
        <v>0</v>
      </c>
      <c r="G122" s="85">
        <f>IFERROR(VLOOKUP($A122,GanttChart!$A:$JD,264,FALSE),0)</f>
        <v>0</v>
      </c>
      <c r="H122" s="86"/>
      <c r="I122" s="85">
        <f t="shared" si="0"/>
        <v>0</v>
      </c>
    </row>
    <row r="123" spans="1:9" ht="18.75" hidden="1" x14ac:dyDescent="0.45">
      <c r="A123" s="78">
        <v>6.9</v>
      </c>
      <c r="C123" s="83">
        <f>IFERROR(VLOOKUP($A123,GanttChart!$A:$JD,2,FALSE),"خطا")</f>
        <v>0</v>
      </c>
      <c r="D123" s="84">
        <f>IFERROR(VLOOKUP($A123,GanttChart!$A:$JD,261,FALSE),0)</f>
        <v>0</v>
      </c>
      <c r="E123" s="84">
        <f>IFERROR(VLOOKUP($A123,GanttChart!$A:$JD,262,FALSE),0)</f>
        <v>0</v>
      </c>
      <c r="F123" s="84">
        <f>IFERROR(VLOOKUP($A123,GanttChart!$A:$JD,263,FALSE),0)</f>
        <v>0</v>
      </c>
      <c r="G123" s="85">
        <f>IFERROR(VLOOKUP($A123,GanttChart!$A:$JD,264,FALSE),0)</f>
        <v>0</v>
      </c>
      <c r="H123" s="86"/>
      <c r="I123" s="85">
        <f t="shared" si="0"/>
        <v>0</v>
      </c>
    </row>
    <row r="124" spans="1:9" ht="18.75" hidden="1" x14ac:dyDescent="0.45">
      <c r="A124" s="78">
        <v>6.11</v>
      </c>
      <c r="C124" s="83">
        <f>IFERROR(VLOOKUP($A124,GanttChart!$A:$JD,2,FALSE),"خطا")</f>
        <v>0</v>
      </c>
      <c r="D124" s="84">
        <f>IFERROR(VLOOKUP($A124,GanttChart!$A:$JD,261,FALSE),0)</f>
        <v>0</v>
      </c>
      <c r="E124" s="84">
        <f>IFERROR(VLOOKUP($A124,GanttChart!$A:$JD,262,FALSE),0)</f>
        <v>0</v>
      </c>
      <c r="F124" s="84">
        <f>IFERROR(VLOOKUP($A124,GanttChart!$A:$JD,263,FALSE),0)</f>
        <v>0</v>
      </c>
      <c r="G124" s="85">
        <f>IFERROR(VLOOKUP($A124,GanttChart!$A:$JD,264,FALSE),0)</f>
        <v>0</v>
      </c>
      <c r="H124" s="86"/>
      <c r="I124" s="85">
        <f t="shared" si="0"/>
        <v>0</v>
      </c>
    </row>
    <row r="125" spans="1:9" ht="18.75" hidden="1" x14ac:dyDescent="0.45">
      <c r="A125" s="78">
        <v>6.12</v>
      </c>
      <c r="C125" s="83">
        <f>IFERROR(VLOOKUP($A125,GanttChart!$A:$JD,2,FALSE),"خطا")</f>
        <v>0</v>
      </c>
      <c r="D125" s="84">
        <f>IFERROR(VLOOKUP($A125,GanttChart!$A:$JD,261,FALSE),0)</f>
        <v>0</v>
      </c>
      <c r="E125" s="84">
        <f>IFERROR(VLOOKUP($A125,GanttChart!$A:$JD,262,FALSE),0)</f>
        <v>0</v>
      </c>
      <c r="F125" s="84">
        <f>IFERROR(VLOOKUP($A125,GanttChart!$A:$JD,263,FALSE),0)</f>
        <v>0</v>
      </c>
      <c r="G125" s="85">
        <f>IFERROR(VLOOKUP($A125,GanttChart!$A:$JD,264,FALSE),0)</f>
        <v>0</v>
      </c>
      <c r="H125" s="86"/>
      <c r="I125" s="85">
        <f t="shared" si="0"/>
        <v>0</v>
      </c>
    </row>
    <row r="126" spans="1:9" ht="18.75" hidden="1" x14ac:dyDescent="0.45">
      <c r="A126" s="78">
        <v>6.13</v>
      </c>
      <c r="C126" s="83">
        <f>IFERROR(VLOOKUP($A126,GanttChart!$A:$JD,2,FALSE),"خطا")</f>
        <v>0</v>
      </c>
      <c r="D126" s="84">
        <f>IFERROR(VLOOKUP($A126,GanttChart!$A:$JD,261,FALSE),0)</f>
        <v>0</v>
      </c>
      <c r="E126" s="84">
        <f>IFERROR(VLOOKUP($A126,GanttChart!$A:$JD,262,FALSE),0)</f>
        <v>0</v>
      </c>
      <c r="F126" s="84">
        <f>IFERROR(VLOOKUP($A126,GanttChart!$A:$JD,263,FALSE),0)</f>
        <v>0</v>
      </c>
      <c r="G126" s="85">
        <f>IFERROR(VLOOKUP($A126,GanttChart!$A:$JD,264,FALSE),0)</f>
        <v>0</v>
      </c>
      <c r="H126" s="86"/>
      <c r="I126" s="85">
        <f t="shared" si="0"/>
        <v>0</v>
      </c>
    </row>
    <row r="127" spans="1:9" ht="18.75" hidden="1" x14ac:dyDescent="0.45">
      <c r="A127" s="78">
        <v>6.14</v>
      </c>
      <c r="C127" s="83">
        <f>IFERROR(VLOOKUP($A127,GanttChart!$A:$JD,2,FALSE),"خطا")</f>
        <v>0</v>
      </c>
      <c r="D127" s="84">
        <f>IFERROR(VLOOKUP($A127,GanttChart!$A:$JD,261,FALSE),0)</f>
        <v>0</v>
      </c>
      <c r="E127" s="84">
        <f>IFERROR(VLOOKUP($A127,GanttChart!$A:$JD,262,FALSE),0)</f>
        <v>0</v>
      </c>
      <c r="F127" s="84">
        <f>IFERROR(VLOOKUP($A127,GanttChart!$A:$JD,263,FALSE),0)</f>
        <v>0</v>
      </c>
      <c r="G127" s="85">
        <f>IFERROR(VLOOKUP($A127,GanttChart!$A:$JD,264,FALSE),0)</f>
        <v>0</v>
      </c>
      <c r="H127" s="86"/>
      <c r="I127" s="85">
        <f t="shared" si="0"/>
        <v>0</v>
      </c>
    </row>
    <row r="128" spans="1:9" ht="18.75" hidden="1" x14ac:dyDescent="0.45">
      <c r="A128" s="78">
        <v>6.15</v>
      </c>
      <c r="C128" s="83">
        <f>IFERROR(VLOOKUP($A128,GanttChart!$A:$JD,2,FALSE),"خطا")</f>
        <v>0</v>
      </c>
      <c r="D128" s="84">
        <f>IFERROR(VLOOKUP($A128,GanttChart!$A:$JD,261,FALSE),0)</f>
        <v>0</v>
      </c>
      <c r="E128" s="84">
        <f>IFERROR(VLOOKUP($A128,GanttChart!$A:$JD,262,FALSE),0)</f>
        <v>0</v>
      </c>
      <c r="F128" s="84">
        <f>IFERROR(VLOOKUP($A128,GanttChart!$A:$JD,263,FALSE),0)</f>
        <v>0</v>
      </c>
      <c r="G128" s="85">
        <f>IFERROR(VLOOKUP($A128,GanttChart!$A:$JD,264,FALSE),0)</f>
        <v>0</v>
      </c>
      <c r="H128" s="86"/>
      <c r="I128" s="85">
        <f t="shared" si="0"/>
        <v>0</v>
      </c>
    </row>
    <row r="129" spans="1:9" ht="18.75" hidden="1" x14ac:dyDescent="0.45">
      <c r="A129" s="78">
        <v>6.16</v>
      </c>
      <c r="C129" s="83">
        <f>IFERROR(VLOOKUP($A129,GanttChart!$A:$JD,2,FALSE),"خطا")</f>
        <v>0</v>
      </c>
      <c r="D129" s="84">
        <f>IFERROR(VLOOKUP($A129,GanttChart!$A:$JD,261,FALSE),0)</f>
        <v>0</v>
      </c>
      <c r="E129" s="84">
        <f>IFERROR(VLOOKUP($A129,GanttChart!$A:$JD,262,FALSE),0)</f>
        <v>0</v>
      </c>
      <c r="F129" s="84">
        <f>IFERROR(VLOOKUP($A129,GanttChart!$A:$JD,263,FALSE),0)</f>
        <v>0</v>
      </c>
      <c r="G129" s="85">
        <f>IFERROR(VLOOKUP($A129,GanttChart!$A:$JD,264,FALSE),0)</f>
        <v>0</v>
      </c>
      <c r="H129" s="86"/>
      <c r="I129" s="85">
        <f t="shared" si="0"/>
        <v>0</v>
      </c>
    </row>
    <row r="130" spans="1:9" ht="18.75" hidden="1" x14ac:dyDescent="0.45">
      <c r="A130" s="78">
        <v>6.17</v>
      </c>
      <c r="C130" s="83">
        <f>IFERROR(VLOOKUP($A130,GanttChart!$A:$JD,2,FALSE),"خطا")</f>
        <v>0</v>
      </c>
      <c r="D130" s="84">
        <f>IFERROR(VLOOKUP($A130,GanttChart!$A:$JD,261,FALSE),0)</f>
        <v>0</v>
      </c>
      <c r="E130" s="84">
        <f>IFERROR(VLOOKUP($A130,GanttChart!$A:$JD,262,FALSE),0)</f>
        <v>0</v>
      </c>
      <c r="F130" s="84">
        <f>IFERROR(VLOOKUP($A130,GanttChart!$A:$JD,263,FALSE),0)</f>
        <v>0</v>
      </c>
      <c r="G130" s="85">
        <f>IFERROR(VLOOKUP($A130,GanttChart!$A:$JD,264,FALSE),0)</f>
        <v>0</v>
      </c>
      <c r="H130" s="86"/>
      <c r="I130" s="85">
        <f t="shared" si="0"/>
        <v>0</v>
      </c>
    </row>
    <row r="131" spans="1:9" ht="18.75" hidden="1" x14ac:dyDescent="0.45">
      <c r="A131" s="78">
        <v>6.18</v>
      </c>
      <c r="C131" s="83">
        <f>IFERROR(VLOOKUP($A131,GanttChart!$A:$JD,2,FALSE),"خطا")</f>
        <v>0</v>
      </c>
      <c r="D131" s="84">
        <f>IFERROR(VLOOKUP($A131,GanttChart!$A:$JD,261,FALSE),0)</f>
        <v>0</v>
      </c>
      <c r="E131" s="84">
        <f>IFERROR(VLOOKUP($A131,GanttChart!$A:$JD,262,FALSE),0)</f>
        <v>0</v>
      </c>
      <c r="F131" s="84">
        <f>IFERROR(VLOOKUP($A131,GanttChart!$A:$JD,263,FALSE),0)</f>
        <v>0</v>
      </c>
      <c r="G131" s="85">
        <f>IFERROR(VLOOKUP($A131,GanttChart!$A:$JD,264,FALSE),0)</f>
        <v>0</v>
      </c>
      <c r="H131" s="86"/>
      <c r="I131" s="85">
        <f t="shared" si="0"/>
        <v>0</v>
      </c>
    </row>
    <row r="132" spans="1:9" ht="18.75" hidden="1" x14ac:dyDescent="0.45">
      <c r="A132" s="78">
        <v>6.19</v>
      </c>
      <c r="C132" s="83">
        <f>IFERROR(VLOOKUP($A132,GanttChart!$A:$JD,2,FALSE),"خطا")</f>
        <v>0</v>
      </c>
      <c r="D132" s="84">
        <f>IFERROR(VLOOKUP($A132,GanttChart!$A:$JD,261,FALSE),0)</f>
        <v>0</v>
      </c>
      <c r="E132" s="84">
        <f>IFERROR(VLOOKUP($A132,GanttChart!$A:$JD,262,FALSE),0)</f>
        <v>0</v>
      </c>
      <c r="F132" s="84">
        <f>IFERROR(VLOOKUP($A132,GanttChart!$A:$JD,263,FALSE),0)</f>
        <v>0</v>
      </c>
      <c r="G132" s="85">
        <f>IFERROR(VLOOKUP($A132,GanttChart!$A:$JD,264,FALSE),0)</f>
        <v>0</v>
      </c>
      <c r="H132" s="86"/>
      <c r="I132" s="85">
        <f t="shared" si="0"/>
        <v>0</v>
      </c>
    </row>
    <row r="133" spans="1:9" ht="18.75" hidden="1" x14ac:dyDescent="0.45">
      <c r="A133" s="78">
        <v>6.21</v>
      </c>
      <c r="C133" s="83">
        <f>IFERROR(VLOOKUP($A133,GanttChart!$A:$JD,2,FALSE),"خطا")</f>
        <v>0</v>
      </c>
      <c r="D133" s="84">
        <f>IFERROR(VLOOKUP($A133,GanttChart!$A:$JD,261,FALSE),0)</f>
        <v>0</v>
      </c>
      <c r="E133" s="84">
        <f>IFERROR(VLOOKUP($A133,GanttChart!$A:$JD,262,FALSE),0)</f>
        <v>0</v>
      </c>
      <c r="F133" s="84">
        <f>IFERROR(VLOOKUP($A133,GanttChart!$A:$JD,263,FALSE),0)</f>
        <v>0</v>
      </c>
      <c r="G133" s="85">
        <f>IFERROR(VLOOKUP($A133,GanttChart!$A:$JD,264,FALSE),0)</f>
        <v>0</v>
      </c>
      <c r="H133" s="86"/>
      <c r="I133" s="85">
        <f t="shared" si="0"/>
        <v>0</v>
      </c>
    </row>
    <row r="134" spans="1:9" ht="18.75" hidden="1" x14ac:dyDescent="0.45">
      <c r="A134" s="78">
        <v>6.22</v>
      </c>
      <c r="C134" s="83">
        <f>IFERROR(VLOOKUP($A134,GanttChart!$A:$JD,2,FALSE),"خطا")</f>
        <v>0</v>
      </c>
      <c r="D134" s="84">
        <f>IFERROR(VLOOKUP($A134,GanttChart!$A:$JD,261,FALSE),0)</f>
        <v>0</v>
      </c>
      <c r="E134" s="84">
        <f>IFERROR(VLOOKUP($A134,GanttChart!$A:$JD,262,FALSE),0)</f>
        <v>0</v>
      </c>
      <c r="F134" s="84">
        <f>IFERROR(VLOOKUP($A134,GanttChart!$A:$JD,263,FALSE),0)</f>
        <v>0</v>
      </c>
      <c r="G134" s="85">
        <f>IFERROR(VLOOKUP($A134,GanttChart!$A:$JD,264,FALSE),0)</f>
        <v>0</v>
      </c>
      <c r="H134" s="86"/>
      <c r="I134" s="85">
        <f t="shared" si="0"/>
        <v>0</v>
      </c>
    </row>
    <row r="135" spans="1:9" ht="18.75" hidden="1" x14ac:dyDescent="0.45">
      <c r="A135" s="78">
        <v>6.23</v>
      </c>
      <c r="C135" s="83">
        <f>IFERROR(VLOOKUP($A135,GanttChart!$A:$JD,2,FALSE),"خطا")</f>
        <v>0</v>
      </c>
      <c r="D135" s="84">
        <f>IFERROR(VLOOKUP($A135,GanttChart!$A:$JD,261,FALSE),0)</f>
        <v>0</v>
      </c>
      <c r="E135" s="84">
        <f>IFERROR(VLOOKUP($A135,GanttChart!$A:$JD,262,FALSE),0)</f>
        <v>0</v>
      </c>
      <c r="F135" s="84">
        <f>IFERROR(VLOOKUP($A135,GanttChart!$A:$JD,263,FALSE),0)</f>
        <v>0</v>
      </c>
      <c r="G135" s="85">
        <f>IFERROR(VLOOKUP($A135,GanttChart!$A:$JD,264,FALSE),0)</f>
        <v>0</v>
      </c>
      <c r="H135" s="86"/>
      <c r="I135" s="85">
        <f t="shared" si="0"/>
        <v>0</v>
      </c>
    </row>
    <row r="136" spans="1:9" ht="18.75" x14ac:dyDescent="0.45">
      <c r="A136" s="78">
        <v>7</v>
      </c>
      <c r="C136" s="83" t="str">
        <f>IFERROR(VLOOKUP($A136,GanttChart!$A:$JD,2,FALSE),"خطا")</f>
        <v>تحویل نهايي دستاوردهای پروژه</v>
      </c>
      <c r="D136" s="84">
        <f>SUM(D137:D157)</f>
        <v>0</v>
      </c>
      <c r="E136" s="84">
        <f>SUM(E137:E157)</f>
        <v>0</v>
      </c>
      <c r="F136" s="84">
        <f>SUM(F137:F157)</f>
        <v>0</v>
      </c>
      <c r="G136" s="85">
        <f>SUM(G137:G157)</f>
        <v>0</v>
      </c>
      <c r="H136" s="238">
        <v>1</v>
      </c>
      <c r="I136" s="85">
        <f t="shared" si="0"/>
        <v>0</v>
      </c>
    </row>
    <row r="137" spans="1:9" ht="18.75" hidden="1" x14ac:dyDescent="0.45">
      <c r="A137" s="78">
        <v>7.1</v>
      </c>
      <c r="C137" s="83" t="str">
        <f>IFERROR(VLOOKUP($A137,GanttChart!$A:$JD,2,FALSE),"خطا")</f>
        <v>تنظیم و امضاء صورت جلسه تحویل پروژه</v>
      </c>
      <c r="D137" s="84">
        <f>IFERROR(VLOOKUP($A137,GanttChart!$A:$JD,261,FALSE),0)</f>
        <v>0</v>
      </c>
      <c r="E137" s="84">
        <f>IFERROR(VLOOKUP($A137,GanttChart!$A:$JD,262,FALSE),0)</f>
        <v>0</v>
      </c>
      <c r="F137" s="84">
        <f>IFERROR(VLOOKUP($A137,GanttChart!$A:$JD,263,FALSE),0)</f>
        <v>0</v>
      </c>
      <c r="G137" s="85">
        <f>IFERROR(VLOOKUP($A137,GanttChart!$A:$JD,264,FALSE),0)</f>
        <v>0</v>
      </c>
      <c r="H137" s="86"/>
      <c r="I137" s="85">
        <f t="shared" si="0"/>
        <v>0</v>
      </c>
    </row>
    <row r="138" spans="1:9" ht="18.75" hidden="1" x14ac:dyDescent="0.45">
      <c r="A138" s="78">
        <v>7.2</v>
      </c>
      <c r="C138" s="83" t="str">
        <f>IFERROR(VLOOKUP($A138,GanttChart!$A:$JD,2,FALSE),"خطا")</f>
        <v>انتقال پورتال به دامنه اصلی کارفرما</v>
      </c>
      <c r="D138" s="84">
        <f>IFERROR(VLOOKUP($A138,GanttChart!$A:$JD,261,FALSE),0)</f>
        <v>0</v>
      </c>
      <c r="E138" s="84">
        <f>IFERROR(VLOOKUP($A138,GanttChart!$A:$JD,262,FALSE),0)</f>
        <v>0</v>
      </c>
      <c r="F138" s="84">
        <f>IFERROR(VLOOKUP($A138,GanttChart!$A:$JD,263,FALSE),0)</f>
        <v>0</v>
      </c>
      <c r="G138" s="85">
        <f>IFERROR(VLOOKUP($A138,GanttChart!$A:$JD,264,FALSE),0)</f>
        <v>0</v>
      </c>
      <c r="H138" s="86"/>
      <c r="I138" s="85">
        <f t="shared" si="0"/>
        <v>0</v>
      </c>
    </row>
    <row r="139" spans="1:9" ht="18.75" hidden="1" x14ac:dyDescent="0.45">
      <c r="A139" s="78">
        <v>7.3</v>
      </c>
      <c r="C139" s="83">
        <f>IFERROR(VLOOKUP($A139,GanttChart!$A:$JD,2,FALSE),"خطا")</f>
        <v>0</v>
      </c>
      <c r="D139" s="84">
        <f>IFERROR(VLOOKUP($A139,GanttChart!$A:$JD,261,FALSE),0)</f>
        <v>0</v>
      </c>
      <c r="E139" s="84">
        <f>IFERROR(VLOOKUP($A139,GanttChart!$A:$JD,262,FALSE),0)</f>
        <v>0</v>
      </c>
      <c r="F139" s="84">
        <f>IFERROR(VLOOKUP($A139,GanttChart!$A:$JD,263,FALSE),0)</f>
        <v>0</v>
      </c>
      <c r="G139" s="85">
        <f>IFERROR(VLOOKUP($A139,GanttChart!$A:$JD,264,FALSE),0)</f>
        <v>0</v>
      </c>
      <c r="H139" s="86"/>
      <c r="I139" s="85">
        <f t="shared" si="0"/>
        <v>0</v>
      </c>
    </row>
    <row r="140" spans="1:9" ht="18.75" hidden="1" x14ac:dyDescent="0.45">
      <c r="A140" s="78">
        <v>7.4</v>
      </c>
      <c r="C140" s="83">
        <f>IFERROR(VLOOKUP($A140,GanttChart!$A:$JD,2,FALSE),"خطا")</f>
        <v>0</v>
      </c>
      <c r="D140" s="84">
        <f>IFERROR(VLOOKUP($A140,GanttChart!$A:$JD,261,FALSE),0)</f>
        <v>0</v>
      </c>
      <c r="E140" s="84">
        <f>IFERROR(VLOOKUP($A140,GanttChart!$A:$JD,262,FALSE),0)</f>
        <v>0</v>
      </c>
      <c r="F140" s="84">
        <f>IFERROR(VLOOKUP($A140,GanttChart!$A:$JD,263,FALSE),0)</f>
        <v>0</v>
      </c>
      <c r="G140" s="85">
        <f>IFERROR(VLOOKUP($A140,GanttChart!$A:$JD,264,FALSE),0)</f>
        <v>0</v>
      </c>
      <c r="H140" s="86"/>
      <c r="I140" s="85">
        <f t="shared" si="0"/>
        <v>0</v>
      </c>
    </row>
    <row r="141" spans="1:9" ht="18.75" hidden="1" x14ac:dyDescent="0.45">
      <c r="A141" s="78">
        <v>7.5</v>
      </c>
      <c r="C141" s="83">
        <f>IFERROR(VLOOKUP($A141,GanttChart!$A:$JD,2,FALSE),"خطا")</f>
        <v>0</v>
      </c>
      <c r="D141" s="84">
        <f>IFERROR(VLOOKUP($A141,GanttChart!$A:$JD,261,FALSE),0)</f>
        <v>0</v>
      </c>
      <c r="E141" s="84">
        <f>IFERROR(VLOOKUP($A141,GanttChart!$A:$JD,262,FALSE),0)</f>
        <v>0</v>
      </c>
      <c r="F141" s="84">
        <f>IFERROR(VLOOKUP($A141,GanttChart!$A:$JD,263,FALSE),0)</f>
        <v>0</v>
      </c>
      <c r="G141" s="85">
        <f>IFERROR(VLOOKUP($A141,GanttChart!$A:$JD,264,FALSE),0)</f>
        <v>0</v>
      </c>
      <c r="H141" s="86"/>
      <c r="I141" s="85">
        <f t="shared" si="0"/>
        <v>0</v>
      </c>
    </row>
    <row r="142" spans="1:9" ht="18.75" hidden="1" x14ac:dyDescent="0.45">
      <c r="A142" s="78">
        <v>7.6</v>
      </c>
      <c r="C142" s="83">
        <f>IFERROR(VLOOKUP($A142,GanttChart!$A:$JD,2,FALSE),"خطا")</f>
        <v>0</v>
      </c>
      <c r="D142" s="84">
        <f>IFERROR(VLOOKUP($A142,GanttChart!$A:$JD,261,FALSE),0)</f>
        <v>0</v>
      </c>
      <c r="E142" s="84">
        <f>IFERROR(VLOOKUP($A142,GanttChart!$A:$JD,262,FALSE),0)</f>
        <v>0</v>
      </c>
      <c r="F142" s="84">
        <f>IFERROR(VLOOKUP($A142,GanttChart!$A:$JD,263,FALSE),0)</f>
        <v>0</v>
      </c>
      <c r="G142" s="85">
        <f>IFERROR(VLOOKUP($A142,GanttChart!$A:$JD,264,FALSE),0)</f>
        <v>0</v>
      </c>
      <c r="H142" s="86"/>
      <c r="I142" s="85">
        <f t="shared" si="0"/>
        <v>0</v>
      </c>
    </row>
    <row r="143" spans="1:9" ht="18.75" hidden="1" x14ac:dyDescent="0.45">
      <c r="A143" s="78">
        <v>7.7</v>
      </c>
      <c r="C143" s="83">
        <f>IFERROR(VLOOKUP($A143,GanttChart!$A:$JD,2,FALSE),"خطا")</f>
        <v>0</v>
      </c>
      <c r="D143" s="84">
        <f>IFERROR(VLOOKUP($A143,GanttChart!$A:$JD,261,FALSE),0)</f>
        <v>0</v>
      </c>
      <c r="E143" s="84">
        <f>IFERROR(VLOOKUP($A143,GanttChart!$A:$JD,262,FALSE),0)</f>
        <v>0</v>
      </c>
      <c r="F143" s="84">
        <f>IFERROR(VLOOKUP($A143,GanttChart!$A:$JD,263,FALSE),0)</f>
        <v>0</v>
      </c>
      <c r="G143" s="85">
        <f>IFERROR(VLOOKUP($A143,GanttChart!$A:$JD,264,FALSE),0)</f>
        <v>0</v>
      </c>
      <c r="H143" s="86"/>
      <c r="I143" s="85">
        <f t="shared" si="0"/>
        <v>0</v>
      </c>
    </row>
    <row r="144" spans="1:9" ht="18.75" hidden="1" x14ac:dyDescent="0.45">
      <c r="A144" s="78">
        <v>7.8</v>
      </c>
      <c r="C144" s="83">
        <f>IFERROR(VLOOKUP($A144,GanttChart!$A:$JD,2,FALSE),"خطا")</f>
        <v>0</v>
      </c>
      <c r="D144" s="84">
        <f>IFERROR(VLOOKUP($A144,GanttChart!$A:$JD,261,FALSE),0)</f>
        <v>0</v>
      </c>
      <c r="E144" s="84">
        <f>IFERROR(VLOOKUP($A144,GanttChart!$A:$JD,262,FALSE),0)</f>
        <v>0</v>
      </c>
      <c r="F144" s="84">
        <f>IFERROR(VLOOKUP($A144,GanttChart!$A:$JD,263,FALSE),0)</f>
        <v>0</v>
      </c>
      <c r="G144" s="85">
        <f>IFERROR(VLOOKUP($A144,GanttChart!$A:$JD,264,FALSE),0)</f>
        <v>0</v>
      </c>
      <c r="H144" s="86"/>
      <c r="I144" s="85">
        <f t="shared" si="0"/>
        <v>0</v>
      </c>
    </row>
    <row r="145" spans="1:9" ht="18.75" hidden="1" x14ac:dyDescent="0.45">
      <c r="A145" s="78">
        <v>7.9</v>
      </c>
      <c r="C145" s="83">
        <f>IFERROR(VLOOKUP($A145,GanttChart!$A:$JD,2,FALSE),"خطا")</f>
        <v>0</v>
      </c>
      <c r="D145" s="84">
        <f>IFERROR(VLOOKUP($A145,GanttChart!$A:$JD,261,FALSE),0)</f>
        <v>0</v>
      </c>
      <c r="E145" s="84">
        <f>IFERROR(VLOOKUP($A145,GanttChart!$A:$JD,262,FALSE),0)</f>
        <v>0</v>
      </c>
      <c r="F145" s="84">
        <f>IFERROR(VLOOKUP($A145,GanttChart!$A:$JD,263,FALSE),0)</f>
        <v>0</v>
      </c>
      <c r="G145" s="85">
        <f>IFERROR(VLOOKUP($A145,GanttChart!$A:$JD,264,FALSE),0)</f>
        <v>0</v>
      </c>
      <c r="H145" s="86"/>
      <c r="I145" s="85">
        <f t="shared" si="0"/>
        <v>0</v>
      </c>
    </row>
    <row r="146" spans="1:9" ht="18.75" hidden="1" x14ac:dyDescent="0.45">
      <c r="A146" s="78">
        <v>7.11</v>
      </c>
      <c r="C146" s="83">
        <f>IFERROR(VLOOKUP($A146,GanttChart!$A:$JD,2,FALSE),"خطا")</f>
        <v>0</v>
      </c>
      <c r="D146" s="84">
        <f>IFERROR(VLOOKUP($A146,GanttChart!$A:$JD,261,FALSE),0)</f>
        <v>0</v>
      </c>
      <c r="E146" s="84">
        <f>IFERROR(VLOOKUP($A146,GanttChart!$A:$JD,262,FALSE),0)</f>
        <v>0</v>
      </c>
      <c r="F146" s="84">
        <f>IFERROR(VLOOKUP($A146,GanttChart!$A:$JD,263,FALSE),0)</f>
        <v>0</v>
      </c>
      <c r="G146" s="85">
        <f>IFERROR(VLOOKUP($A146,GanttChart!$A:$JD,264,FALSE),0)</f>
        <v>0</v>
      </c>
      <c r="H146" s="86"/>
      <c r="I146" s="85">
        <f t="shared" si="0"/>
        <v>0</v>
      </c>
    </row>
    <row r="147" spans="1:9" ht="18.75" hidden="1" x14ac:dyDescent="0.45">
      <c r="A147" s="78">
        <v>7.12</v>
      </c>
      <c r="C147" s="83">
        <f>IFERROR(VLOOKUP($A147,GanttChart!$A:$JD,2,FALSE),"خطا")</f>
        <v>0</v>
      </c>
      <c r="D147" s="84">
        <f>IFERROR(VLOOKUP($A147,GanttChart!$A:$JD,261,FALSE),0)</f>
        <v>0</v>
      </c>
      <c r="E147" s="84">
        <f>IFERROR(VLOOKUP($A147,GanttChart!$A:$JD,262,FALSE),0)</f>
        <v>0</v>
      </c>
      <c r="F147" s="84">
        <f>IFERROR(VLOOKUP($A147,GanttChart!$A:$JD,263,FALSE),0)</f>
        <v>0</v>
      </c>
      <c r="G147" s="85">
        <f>IFERROR(VLOOKUP($A147,GanttChart!$A:$JD,264,FALSE),0)</f>
        <v>0</v>
      </c>
      <c r="H147" s="86"/>
      <c r="I147" s="85">
        <f t="shared" si="0"/>
        <v>0</v>
      </c>
    </row>
    <row r="148" spans="1:9" ht="18.75" hidden="1" x14ac:dyDescent="0.45">
      <c r="A148" s="78">
        <v>7.13</v>
      </c>
      <c r="C148" s="83">
        <f>IFERROR(VLOOKUP($A148,GanttChart!$A:$JD,2,FALSE),"خطا")</f>
        <v>0</v>
      </c>
      <c r="D148" s="84">
        <f>IFERROR(VLOOKUP($A148,GanttChart!$A:$JD,261,FALSE),0)</f>
        <v>0</v>
      </c>
      <c r="E148" s="84">
        <f>IFERROR(VLOOKUP($A148,GanttChart!$A:$JD,262,FALSE),0)</f>
        <v>0</v>
      </c>
      <c r="F148" s="84">
        <f>IFERROR(VLOOKUP($A148,GanttChart!$A:$JD,263,FALSE),0)</f>
        <v>0</v>
      </c>
      <c r="G148" s="85">
        <f>IFERROR(VLOOKUP($A148,GanttChart!$A:$JD,264,FALSE),0)</f>
        <v>0</v>
      </c>
      <c r="H148" s="86"/>
      <c r="I148" s="85">
        <f t="shared" si="0"/>
        <v>0</v>
      </c>
    </row>
    <row r="149" spans="1:9" ht="18.75" hidden="1" x14ac:dyDescent="0.45">
      <c r="A149" s="78">
        <v>7.14</v>
      </c>
      <c r="C149" s="83">
        <f>IFERROR(VLOOKUP($A149,GanttChart!$A:$JD,2,FALSE),"خطا")</f>
        <v>0</v>
      </c>
      <c r="D149" s="84">
        <f>IFERROR(VLOOKUP($A149,GanttChart!$A:$JD,261,FALSE),0)</f>
        <v>0</v>
      </c>
      <c r="E149" s="84">
        <f>IFERROR(VLOOKUP($A149,GanttChart!$A:$JD,262,FALSE),0)</f>
        <v>0</v>
      </c>
      <c r="F149" s="84">
        <f>IFERROR(VLOOKUP($A149,GanttChart!$A:$JD,263,FALSE),0)</f>
        <v>0</v>
      </c>
      <c r="G149" s="85">
        <f>IFERROR(VLOOKUP($A149,GanttChart!$A:$JD,264,FALSE),0)</f>
        <v>0</v>
      </c>
      <c r="H149" s="86"/>
      <c r="I149" s="85">
        <f t="shared" si="0"/>
        <v>0</v>
      </c>
    </row>
    <row r="150" spans="1:9" ht="18.75" hidden="1" x14ac:dyDescent="0.45">
      <c r="A150" s="78">
        <v>7.15</v>
      </c>
      <c r="C150" s="83">
        <f>IFERROR(VLOOKUP($A150,GanttChart!$A:$JD,2,FALSE),"خطا")</f>
        <v>0</v>
      </c>
      <c r="D150" s="84">
        <f>IFERROR(VLOOKUP($A150,GanttChart!$A:$JD,261,FALSE),0)</f>
        <v>0</v>
      </c>
      <c r="E150" s="84">
        <f>IFERROR(VLOOKUP($A150,GanttChart!$A:$JD,262,FALSE),0)</f>
        <v>0</v>
      </c>
      <c r="F150" s="84">
        <f>IFERROR(VLOOKUP($A150,GanttChart!$A:$JD,263,FALSE),0)</f>
        <v>0</v>
      </c>
      <c r="G150" s="85">
        <f>IFERROR(VLOOKUP($A150,GanttChart!$A:$JD,264,FALSE),0)</f>
        <v>0</v>
      </c>
      <c r="H150" s="86"/>
      <c r="I150" s="85">
        <f t="shared" si="0"/>
        <v>0</v>
      </c>
    </row>
    <row r="151" spans="1:9" ht="18.75" hidden="1" x14ac:dyDescent="0.45">
      <c r="A151" s="78">
        <v>7.16</v>
      </c>
      <c r="C151" s="83">
        <f>IFERROR(VLOOKUP($A151,GanttChart!$A:$JD,2,FALSE),"خطا")</f>
        <v>0</v>
      </c>
      <c r="D151" s="84">
        <f>IFERROR(VLOOKUP($A151,GanttChart!$A:$JD,261,FALSE),0)</f>
        <v>0</v>
      </c>
      <c r="E151" s="84">
        <f>IFERROR(VLOOKUP($A151,GanttChart!$A:$JD,262,FALSE),0)</f>
        <v>0</v>
      </c>
      <c r="F151" s="84">
        <f>IFERROR(VLOOKUP($A151,GanttChart!$A:$JD,263,FALSE),0)</f>
        <v>0</v>
      </c>
      <c r="G151" s="85">
        <f>IFERROR(VLOOKUP($A151,GanttChart!$A:$JD,264,FALSE),0)</f>
        <v>0</v>
      </c>
      <c r="H151" s="86"/>
      <c r="I151" s="85">
        <f t="shared" si="0"/>
        <v>0</v>
      </c>
    </row>
    <row r="152" spans="1:9" ht="18.75" hidden="1" x14ac:dyDescent="0.45">
      <c r="A152" s="78">
        <v>7.17</v>
      </c>
      <c r="C152" s="83">
        <f>IFERROR(VLOOKUP($A152,GanttChart!$A:$JD,2,FALSE),"خطا")</f>
        <v>0</v>
      </c>
      <c r="D152" s="84">
        <f>IFERROR(VLOOKUP($A152,GanttChart!$A:$JD,261,FALSE),0)</f>
        <v>0</v>
      </c>
      <c r="E152" s="84">
        <f>IFERROR(VLOOKUP($A152,GanttChart!$A:$JD,262,FALSE),0)</f>
        <v>0</v>
      </c>
      <c r="F152" s="84">
        <f>IFERROR(VLOOKUP($A152,GanttChart!$A:$JD,263,FALSE),0)</f>
        <v>0</v>
      </c>
      <c r="G152" s="85">
        <f>IFERROR(VLOOKUP($A152,GanttChart!$A:$JD,264,FALSE),0)</f>
        <v>0</v>
      </c>
      <c r="H152" s="86"/>
      <c r="I152" s="85">
        <f t="shared" si="0"/>
        <v>0</v>
      </c>
    </row>
    <row r="153" spans="1:9" ht="18.75" hidden="1" x14ac:dyDescent="0.45">
      <c r="A153" s="78">
        <v>7.18</v>
      </c>
      <c r="C153" s="83">
        <f>IFERROR(VLOOKUP($A153,GanttChart!$A:$JD,2,FALSE),"خطا")</f>
        <v>0</v>
      </c>
      <c r="D153" s="84">
        <f>IFERROR(VLOOKUP($A153,GanttChart!$A:$JD,261,FALSE),0)</f>
        <v>0</v>
      </c>
      <c r="E153" s="84">
        <f>IFERROR(VLOOKUP($A153,GanttChart!$A:$JD,262,FALSE),0)</f>
        <v>0</v>
      </c>
      <c r="F153" s="84">
        <f>IFERROR(VLOOKUP($A153,GanttChart!$A:$JD,263,FALSE),0)</f>
        <v>0</v>
      </c>
      <c r="G153" s="85">
        <f>IFERROR(VLOOKUP($A153,GanttChart!$A:$JD,264,FALSE),0)</f>
        <v>0</v>
      </c>
      <c r="H153" s="86"/>
      <c r="I153" s="85">
        <f t="shared" si="0"/>
        <v>0</v>
      </c>
    </row>
    <row r="154" spans="1:9" ht="18.75" hidden="1" x14ac:dyDescent="0.45">
      <c r="A154" s="78">
        <v>7.19</v>
      </c>
      <c r="C154" s="83">
        <f>IFERROR(VLOOKUP($A154,GanttChart!$A:$JD,2,FALSE),"خطا")</f>
        <v>0</v>
      </c>
      <c r="D154" s="84">
        <f>IFERROR(VLOOKUP($A154,GanttChart!$A:$JD,261,FALSE),0)</f>
        <v>0</v>
      </c>
      <c r="E154" s="84">
        <f>IFERROR(VLOOKUP($A154,GanttChart!$A:$JD,262,FALSE),0)</f>
        <v>0</v>
      </c>
      <c r="F154" s="84">
        <f>IFERROR(VLOOKUP($A154,GanttChart!$A:$JD,263,FALSE),0)</f>
        <v>0</v>
      </c>
      <c r="G154" s="85">
        <f>IFERROR(VLOOKUP($A154,GanttChart!$A:$JD,264,FALSE),0)</f>
        <v>0</v>
      </c>
      <c r="H154" s="86"/>
      <c r="I154" s="85">
        <f t="shared" si="0"/>
        <v>0</v>
      </c>
    </row>
    <row r="155" spans="1:9" ht="18.75" hidden="1" x14ac:dyDescent="0.45">
      <c r="A155" s="78">
        <v>7.21</v>
      </c>
      <c r="C155" s="83">
        <f>IFERROR(VLOOKUP($A155,GanttChart!$A:$JD,2,FALSE),"خطا")</f>
        <v>0</v>
      </c>
      <c r="D155" s="84">
        <f>IFERROR(VLOOKUP($A155,GanttChart!$A:$JD,261,FALSE),0)</f>
        <v>0</v>
      </c>
      <c r="E155" s="84">
        <f>IFERROR(VLOOKUP($A155,GanttChart!$A:$JD,262,FALSE),0)</f>
        <v>0</v>
      </c>
      <c r="F155" s="84">
        <f>IFERROR(VLOOKUP($A155,GanttChart!$A:$JD,263,FALSE),0)</f>
        <v>0</v>
      </c>
      <c r="G155" s="85">
        <f>IFERROR(VLOOKUP($A155,GanttChart!$A:$JD,264,FALSE),0)</f>
        <v>0</v>
      </c>
      <c r="H155" s="86"/>
      <c r="I155" s="85">
        <f t="shared" si="0"/>
        <v>0</v>
      </c>
    </row>
    <row r="156" spans="1:9" ht="18.75" hidden="1" x14ac:dyDescent="0.45">
      <c r="A156" s="78">
        <v>7.22</v>
      </c>
      <c r="C156" s="83">
        <f>IFERROR(VLOOKUP($A156,GanttChart!$A:$JD,2,FALSE),"خطا")</f>
        <v>0</v>
      </c>
      <c r="D156" s="84">
        <f>IFERROR(VLOOKUP($A156,GanttChart!$A:$JD,261,FALSE),0)</f>
        <v>0</v>
      </c>
      <c r="E156" s="84">
        <f>IFERROR(VLOOKUP($A156,GanttChart!$A:$JD,262,FALSE),0)</f>
        <v>0</v>
      </c>
      <c r="F156" s="84">
        <f>IFERROR(VLOOKUP($A156,GanttChart!$A:$JD,263,FALSE),0)</f>
        <v>0</v>
      </c>
      <c r="G156" s="85">
        <f>IFERROR(VLOOKUP($A156,GanttChart!$A:$JD,264,FALSE),0)</f>
        <v>0</v>
      </c>
      <c r="H156" s="86"/>
      <c r="I156" s="85">
        <f t="shared" si="0"/>
        <v>0</v>
      </c>
    </row>
    <row r="157" spans="1:9" ht="18.75" hidden="1" x14ac:dyDescent="0.45">
      <c r="A157" s="78">
        <v>7.23</v>
      </c>
      <c r="C157" s="83">
        <f>IFERROR(VLOOKUP($A157,GanttChart!$A:$JD,2,FALSE),"خطا")</f>
        <v>0</v>
      </c>
      <c r="D157" s="84">
        <f>IFERROR(VLOOKUP($A157,GanttChart!$A:$JD,261,FALSE),0)</f>
        <v>0</v>
      </c>
      <c r="E157" s="84">
        <f>IFERROR(VLOOKUP($A157,GanttChart!$A:$JD,262,FALSE),0)</f>
        <v>0</v>
      </c>
      <c r="F157" s="84">
        <f>IFERROR(VLOOKUP($A157,GanttChart!$A:$JD,263,FALSE),0)</f>
        <v>0</v>
      </c>
      <c r="G157" s="85">
        <f>IFERROR(VLOOKUP($A157,GanttChart!$A:$JD,264,FALSE),0)</f>
        <v>0</v>
      </c>
      <c r="H157" s="86"/>
      <c r="I157" s="85">
        <f t="shared" si="0"/>
        <v>0</v>
      </c>
    </row>
    <row r="158" spans="1:9" ht="18.75" x14ac:dyDescent="0.45">
      <c r="A158" s="78">
        <v>8</v>
      </c>
      <c r="C158" s="83">
        <f>IFERROR(VLOOKUP($A158,GanttChart!$A:$JD,2,FALSE),"خطا")</f>
        <v>0</v>
      </c>
      <c r="D158" s="84">
        <f>SUM(D159:D179)</f>
        <v>0</v>
      </c>
      <c r="E158" s="84">
        <f>SUM(E159:E179)</f>
        <v>0</v>
      </c>
      <c r="F158" s="84">
        <f>SUM(F159:F179)</f>
        <v>0</v>
      </c>
      <c r="G158" s="85">
        <f>SUM(G159:G179)</f>
        <v>0</v>
      </c>
      <c r="H158" s="238">
        <v>1</v>
      </c>
      <c r="I158" s="85">
        <f t="shared" si="0"/>
        <v>0</v>
      </c>
    </row>
    <row r="159" spans="1:9" ht="18.75" hidden="1" x14ac:dyDescent="0.45">
      <c r="A159" s="78">
        <v>8.1</v>
      </c>
      <c r="C159" s="83">
        <f>IFERROR(VLOOKUP($A159,GanttChart!$A:$JD,2,FALSE),"خطا")</f>
        <v>0</v>
      </c>
      <c r="D159" s="84">
        <f>IFERROR(VLOOKUP($A159,GanttChart!$A:$JD,261,FALSE),0)</f>
        <v>0</v>
      </c>
      <c r="E159" s="84">
        <f>IFERROR(VLOOKUP($A159,GanttChart!$A:$JD,262,FALSE),0)</f>
        <v>0</v>
      </c>
      <c r="F159" s="84">
        <f>IFERROR(VLOOKUP($A159,GanttChart!$A:$JD,263,FALSE),0)</f>
        <v>0</v>
      </c>
      <c r="G159" s="85">
        <f>IFERROR(VLOOKUP($A159,GanttChart!$A:$JD,264,FALSE),0)</f>
        <v>0</v>
      </c>
      <c r="H159" s="86"/>
      <c r="I159" s="85">
        <f t="shared" si="0"/>
        <v>0</v>
      </c>
    </row>
    <row r="160" spans="1:9" ht="18.75" hidden="1" x14ac:dyDescent="0.45">
      <c r="A160" s="78">
        <v>8.1999999999999993</v>
      </c>
      <c r="C160" s="83">
        <f>IFERROR(VLOOKUP($A160,GanttChart!$A:$JD,2,FALSE),"خطا")</f>
        <v>0</v>
      </c>
      <c r="D160" s="84">
        <f>IFERROR(VLOOKUP($A160,GanttChart!$A:$JD,261,FALSE),0)</f>
        <v>0</v>
      </c>
      <c r="E160" s="84">
        <f>IFERROR(VLOOKUP($A160,GanttChart!$A:$JD,262,FALSE),0)</f>
        <v>0</v>
      </c>
      <c r="F160" s="84">
        <f>IFERROR(VLOOKUP($A160,GanttChart!$A:$JD,263,FALSE),0)</f>
        <v>0</v>
      </c>
      <c r="G160" s="85">
        <f>IFERROR(VLOOKUP($A160,GanttChart!$A:$JD,264,FALSE),0)</f>
        <v>0</v>
      </c>
      <c r="H160" s="86"/>
      <c r="I160" s="85">
        <f t="shared" si="0"/>
        <v>0</v>
      </c>
    </row>
    <row r="161" spans="1:9" ht="18.75" hidden="1" x14ac:dyDescent="0.45">
      <c r="A161" s="89">
        <v>8.3000000000000007</v>
      </c>
      <c r="C161" s="83">
        <f>IFERROR(VLOOKUP($A161,GanttChart!$A:$JD,2,FALSE),"خطا")</f>
        <v>0</v>
      </c>
      <c r="D161" s="84">
        <f>IFERROR(VLOOKUP($A161,GanttChart!$A:$JD,261,FALSE),0)</f>
        <v>0</v>
      </c>
      <c r="E161" s="84">
        <f>IFERROR(VLOOKUP($A161,GanttChart!$A:$JD,262,FALSE),0)</f>
        <v>0</v>
      </c>
      <c r="F161" s="84">
        <f>IFERROR(VLOOKUP($A161,GanttChart!$A:$JD,263,FALSE),0)</f>
        <v>0</v>
      </c>
      <c r="G161" s="85">
        <f>IFERROR(VLOOKUP($A161,GanttChart!$A:$JD,264,FALSE),0)</f>
        <v>0</v>
      </c>
      <c r="H161" s="90"/>
      <c r="I161" s="85">
        <f t="shared" ref="I161:I179" si="1">G161-(H161*G161)</f>
        <v>0</v>
      </c>
    </row>
    <row r="162" spans="1:9" ht="18.75" hidden="1" x14ac:dyDescent="0.45">
      <c r="A162" s="89">
        <v>8.4</v>
      </c>
      <c r="C162" s="83">
        <f>IFERROR(VLOOKUP($A162,GanttChart!$A:$JD,2,FALSE),"خطا")</f>
        <v>0</v>
      </c>
      <c r="D162" s="84">
        <f>IFERROR(VLOOKUP($A162,GanttChart!$A:$JD,261,FALSE),0)</f>
        <v>0</v>
      </c>
      <c r="E162" s="84">
        <f>IFERROR(VLOOKUP($A162,GanttChart!$A:$JD,262,FALSE),0)</f>
        <v>0</v>
      </c>
      <c r="F162" s="84">
        <f>IFERROR(VLOOKUP($A162,GanttChart!$A:$JD,263,FALSE),0)</f>
        <v>0</v>
      </c>
      <c r="G162" s="85">
        <f>IFERROR(VLOOKUP($A162,GanttChart!$A:$JD,264,FALSE),0)</f>
        <v>0</v>
      </c>
      <c r="H162" s="90"/>
      <c r="I162" s="85">
        <f t="shared" si="1"/>
        <v>0</v>
      </c>
    </row>
    <row r="163" spans="1:9" ht="18.75" hidden="1" x14ac:dyDescent="0.45">
      <c r="A163" s="78">
        <v>8.5</v>
      </c>
      <c r="C163" s="83">
        <f>IFERROR(VLOOKUP($A163,GanttChart!$A:$JD,2,FALSE),"خطا")</f>
        <v>0</v>
      </c>
      <c r="D163" s="84">
        <f>IFERROR(VLOOKUP($A163,GanttChart!$A:$JD,261,FALSE),0)</f>
        <v>0</v>
      </c>
      <c r="E163" s="84">
        <f>IFERROR(VLOOKUP($A163,GanttChart!$A:$JD,262,FALSE),0)</f>
        <v>0</v>
      </c>
      <c r="F163" s="84">
        <f>IFERROR(VLOOKUP($A163,GanttChart!$A:$JD,263,FALSE),0)</f>
        <v>0</v>
      </c>
      <c r="G163" s="85">
        <f>IFERROR(VLOOKUP($A163,GanttChart!$A:$JD,264,FALSE),0)</f>
        <v>0</v>
      </c>
      <c r="H163" s="90"/>
      <c r="I163" s="85">
        <f t="shared" si="1"/>
        <v>0</v>
      </c>
    </row>
    <row r="164" spans="1:9" ht="18.75" hidden="1" x14ac:dyDescent="0.45">
      <c r="A164" s="89">
        <v>8.6</v>
      </c>
      <c r="C164" s="83">
        <f>IFERROR(VLOOKUP($A164,GanttChart!$A:$JD,2,FALSE),"خطا")</f>
        <v>0</v>
      </c>
      <c r="D164" s="84">
        <f>IFERROR(VLOOKUP($A164,GanttChart!$A:$JD,261,FALSE),0)</f>
        <v>0</v>
      </c>
      <c r="E164" s="84">
        <f>IFERROR(VLOOKUP($A164,GanttChart!$A:$JD,262,FALSE),0)</f>
        <v>0</v>
      </c>
      <c r="F164" s="84">
        <f>IFERROR(VLOOKUP($A164,GanttChart!$A:$JD,263,FALSE),0)</f>
        <v>0</v>
      </c>
      <c r="G164" s="85">
        <f>IFERROR(VLOOKUP($A164,GanttChart!$A:$JD,264,FALSE),0)</f>
        <v>0</v>
      </c>
      <c r="H164" s="90"/>
      <c r="I164" s="85">
        <f t="shared" si="1"/>
        <v>0</v>
      </c>
    </row>
    <row r="165" spans="1:9" ht="18.75" hidden="1" x14ac:dyDescent="0.45">
      <c r="A165" s="89">
        <v>8.7000000000000099</v>
      </c>
      <c r="C165" s="83" t="str">
        <f>IFERROR(VLOOKUP($A165,GanttChart!$A:$JD,2,FALSE),"خطا")</f>
        <v>خطا</v>
      </c>
      <c r="D165" s="84">
        <f>IFERROR(VLOOKUP($A165,GanttChart!$A:$JD,261,FALSE),0)</f>
        <v>0</v>
      </c>
      <c r="E165" s="84">
        <f>IFERROR(VLOOKUP($A165,GanttChart!$A:$JD,262,FALSE),0)</f>
        <v>0</v>
      </c>
      <c r="F165" s="84">
        <f>IFERROR(VLOOKUP($A165,GanttChart!$A:$JD,263,FALSE),0)</f>
        <v>0</v>
      </c>
      <c r="G165" s="85">
        <f>IFERROR(VLOOKUP($A165,GanttChart!$A:$JD,264,FALSE),0)</f>
        <v>0</v>
      </c>
      <c r="H165" s="90"/>
      <c r="I165" s="85">
        <f t="shared" si="1"/>
        <v>0</v>
      </c>
    </row>
    <row r="166" spans="1:9" ht="18.75" hidden="1" x14ac:dyDescent="0.45">
      <c r="A166" s="78">
        <v>8.8000000000000096</v>
      </c>
      <c r="C166" s="83" t="str">
        <f>IFERROR(VLOOKUP($A166,GanttChart!$A:$JD,2,FALSE),"خطا")</f>
        <v>خطا</v>
      </c>
      <c r="D166" s="84">
        <f>IFERROR(VLOOKUP($A166,GanttChart!$A:$JD,261,FALSE),0)</f>
        <v>0</v>
      </c>
      <c r="E166" s="84">
        <f>IFERROR(VLOOKUP($A166,GanttChart!$A:$JD,262,FALSE),0)</f>
        <v>0</v>
      </c>
      <c r="F166" s="84">
        <f>IFERROR(VLOOKUP($A166,GanttChart!$A:$JD,263,FALSE),0)</f>
        <v>0</v>
      </c>
      <c r="G166" s="85">
        <f>IFERROR(VLOOKUP($A166,GanttChart!$A:$JD,264,FALSE),0)</f>
        <v>0</v>
      </c>
      <c r="H166" s="90"/>
      <c r="I166" s="85">
        <f t="shared" si="1"/>
        <v>0</v>
      </c>
    </row>
    <row r="167" spans="1:9" ht="18.75" hidden="1" x14ac:dyDescent="0.45">
      <c r="A167" s="89">
        <v>8.9000000000000092</v>
      </c>
      <c r="C167" s="83" t="str">
        <f>IFERROR(VLOOKUP($A167,GanttChart!$A:$JD,2,FALSE),"خطا")</f>
        <v>خطا</v>
      </c>
      <c r="D167" s="84">
        <f>IFERROR(VLOOKUP($A167,GanttChart!$A:$JD,261,FALSE),0)</f>
        <v>0</v>
      </c>
      <c r="E167" s="84">
        <f>IFERROR(VLOOKUP($A167,GanttChart!$A:$JD,262,FALSE),0)</f>
        <v>0</v>
      </c>
      <c r="F167" s="84">
        <f>IFERROR(VLOOKUP($A167,GanttChart!$A:$JD,263,FALSE),0)</f>
        <v>0</v>
      </c>
      <c r="G167" s="85">
        <f>IFERROR(VLOOKUP($A167,GanttChart!$A:$JD,264,FALSE),0)</f>
        <v>0</v>
      </c>
      <c r="H167" s="90"/>
      <c r="I167" s="85">
        <f t="shared" si="1"/>
        <v>0</v>
      </c>
    </row>
    <row r="168" spans="1:9" ht="18.75" hidden="1" x14ac:dyDescent="0.45">
      <c r="A168" s="89">
        <v>8.11</v>
      </c>
      <c r="C168" s="83">
        <f>IFERROR(VLOOKUP($A168,GanttChart!$A:$JD,2,FALSE),"خطا")</f>
        <v>0</v>
      </c>
      <c r="D168" s="84">
        <f>IFERROR(VLOOKUP($A168,GanttChart!$A:$JD,261,FALSE),0)</f>
        <v>0</v>
      </c>
      <c r="E168" s="84">
        <f>IFERROR(VLOOKUP($A168,GanttChart!$A:$JD,262,FALSE),0)</f>
        <v>0</v>
      </c>
      <c r="F168" s="84">
        <f>IFERROR(VLOOKUP($A168,GanttChart!$A:$JD,263,FALSE),0)</f>
        <v>0</v>
      </c>
      <c r="G168" s="85">
        <f>IFERROR(VLOOKUP($A168,GanttChart!$A:$JD,264,FALSE),0)</f>
        <v>0</v>
      </c>
      <c r="H168" s="90"/>
      <c r="I168" s="85">
        <f t="shared" si="1"/>
        <v>0</v>
      </c>
    </row>
    <row r="169" spans="1:9" ht="18.75" hidden="1" x14ac:dyDescent="0.45">
      <c r="A169" s="89">
        <v>8.1199999999999992</v>
      </c>
      <c r="C169" s="83">
        <f>IFERROR(VLOOKUP($A169,GanttChart!$A:$JD,2,FALSE),"خطا")</f>
        <v>0</v>
      </c>
      <c r="D169" s="84">
        <f>IFERROR(VLOOKUP($A169,GanttChart!$A:$JD,261,FALSE),0)</f>
        <v>0</v>
      </c>
      <c r="E169" s="84">
        <f>IFERROR(VLOOKUP($A169,GanttChart!$A:$JD,262,FALSE),0)</f>
        <v>0</v>
      </c>
      <c r="F169" s="84">
        <f>IFERROR(VLOOKUP($A169,GanttChart!$A:$JD,263,FALSE),0)</f>
        <v>0</v>
      </c>
      <c r="G169" s="85">
        <f>IFERROR(VLOOKUP($A169,GanttChart!$A:$JD,264,FALSE),0)</f>
        <v>0</v>
      </c>
      <c r="H169" s="90"/>
      <c r="I169" s="85">
        <f t="shared" si="1"/>
        <v>0</v>
      </c>
    </row>
    <row r="170" spans="1:9" ht="18.75" hidden="1" x14ac:dyDescent="0.45">
      <c r="A170" s="89">
        <v>8.1300000000000008</v>
      </c>
      <c r="C170" s="83">
        <f>IFERROR(VLOOKUP($A170,GanttChart!$A:$JD,2,FALSE),"خطا")</f>
        <v>0</v>
      </c>
      <c r="D170" s="84">
        <f>IFERROR(VLOOKUP($A170,GanttChart!$A:$JD,261,FALSE),0)</f>
        <v>0</v>
      </c>
      <c r="E170" s="84">
        <f>IFERROR(VLOOKUP($A170,GanttChart!$A:$JD,262,FALSE),0)</f>
        <v>0</v>
      </c>
      <c r="F170" s="84">
        <f>IFERROR(VLOOKUP($A170,GanttChart!$A:$JD,263,FALSE),0)</f>
        <v>0</v>
      </c>
      <c r="G170" s="85">
        <f>IFERROR(VLOOKUP($A170,GanttChart!$A:$JD,264,FALSE),0)</f>
        <v>0</v>
      </c>
      <c r="H170" s="90"/>
      <c r="I170" s="85">
        <f t="shared" si="1"/>
        <v>0</v>
      </c>
    </row>
    <row r="171" spans="1:9" ht="18.75" hidden="1" x14ac:dyDescent="0.45">
      <c r="A171" s="89">
        <v>8.14</v>
      </c>
      <c r="C171" s="83">
        <f>IFERROR(VLOOKUP($A171,GanttChart!$A:$JD,2,FALSE),"خطا")</f>
        <v>0</v>
      </c>
      <c r="D171" s="84">
        <f>IFERROR(VLOOKUP($A171,GanttChart!$A:$JD,261,FALSE),0)</f>
        <v>0</v>
      </c>
      <c r="E171" s="84">
        <f>IFERROR(VLOOKUP($A171,GanttChart!$A:$JD,262,FALSE),0)</f>
        <v>0</v>
      </c>
      <c r="F171" s="84">
        <f>IFERROR(VLOOKUP($A171,GanttChart!$A:$JD,263,FALSE),0)</f>
        <v>0</v>
      </c>
      <c r="G171" s="85">
        <f>IFERROR(VLOOKUP($A171,GanttChart!$A:$JD,264,FALSE),0)</f>
        <v>0</v>
      </c>
      <c r="H171" s="90"/>
      <c r="I171" s="85">
        <f t="shared" si="1"/>
        <v>0</v>
      </c>
    </row>
    <row r="172" spans="1:9" ht="18.75" hidden="1" x14ac:dyDescent="0.45">
      <c r="A172" s="89">
        <v>8.15</v>
      </c>
      <c r="C172" s="83">
        <f>IFERROR(VLOOKUP($A172,GanttChart!$A:$JD,2,FALSE),"خطا")</f>
        <v>0</v>
      </c>
      <c r="D172" s="84">
        <f>IFERROR(VLOOKUP($A172,GanttChart!$A:$JD,261,FALSE),0)</f>
        <v>0</v>
      </c>
      <c r="E172" s="84">
        <f>IFERROR(VLOOKUP($A172,GanttChart!$A:$JD,262,FALSE),0)</f>
        <v>0</v>
      </c>
      <c r="F172" s="84">
        <f>IFERROR(VLOOKUP($A172,GanttChart!$A:$JD,263,FALSE),0)</f>
        <v>0</v>
      </c>
      <c r="G172" s="85">
        <f>IFERROR(VLOOKUP($A172,GanttChart!$A:$JD,264,FALSE),0)</f>
        <v>0</v>
      </c>
      <c r="H172" s="90"/>
      <c r="I172" s="85">
        <f t="shared" si="1"/>
        <v>0</v>
      </c>
    </row>
    <row r="173" spans="1:9" ht="18.75" hidden="1" x14ac:dyDescent="0.45">
      <c r="A173" s="89">
        <v>8.16</v>
      </c>
      <c r="C173" s="83">
        <f>IFERROR(VLOOKUP($A173,GanttChart!$A:$JD,2,FALSE),"خطا")</f>
        <v>0</v>
      </c>
      <c r="D173" s="84">
        <f>IFERROR(VLOOKUP($A173,GanttChart!$A:$JD,261,FALSE),0)</f>
        <v>0</v>
      </c>
      <c r="E173" s="84">
        <f>IFERROR(VLOOKUP($A173,GanttChart!$A:$JD,262,FALSE),0)</f>
        <v>0</v>
      </c>
      <c r="F173" s="84">
        <f>IFERROR(VLOOKUP($A173,GanttChart!$A:$JD,263,FALSE),0)</f>
        <v>0</v>
      </c>
      <c r="G173" s="85">
        <f>IFERROR(VLOOKUP($A173,GanttChart!$A:$JD,264,FALSE),0)</f>
        <v>0</v>
      </c>
      <c r="H173" s="90"/>
      <c r="I173" s="85">
        <f t="shared" si="1"/>
        <v>0</v>
      </c>
    </row>
    <row r="174" spans="1:9" ht="18.75" hidden="1" x14ac:dyDescent="0.45">
      <c r="A174" s="89">
        <v>8.17</v>
      </c>
      <c r="C174" s="83">
        <f>IFERROR(VLOOKUP($A174,GanttChart!$A:$JD,2,FALSE),"خطا")</f>
        <v>0</v>
      </c>
      <c r="D174" s="84">
        <f>IFERROR(VLOOKUP($A174,GanttChart!$A:$JD,261,FALSE),0)</f>
        <v>0</v>
      </c>
      <c r="E174" s="84">
        <f>IFERROR(VLOOKUP($A174,GanttChart!$A:$JD,262,FALSE),0)</f>
        <v>0</v>
      </c>
      <c r="F174" s="84">
        <f>IFERROR(VLOOKUP($A174,GanttChart!$A:$JD,263,FALSE),0)</f>
        <v>0</v>
      </c>
      <c r="G174" s="85">
        <f>IFERROR(VLOOKUP($A174,GanttChart!$A:$JD,264,FALSE),0)</f>
        <v>0</v>
      </c>
      <c r="H174" s="90"/>
      <c r="I174" s="85">
        <f t="shared" si="1"/>
        <v>0</v>
      </c>
    </row>
    <row r="175" spans="1:9" ht="18.75" hidden="1" x14ac:dyDescent="0.45">
      <c r="A175" s="89">
        <v>8.18</v>
      </c>
      <c r="C175" s="83">
        <f>IFERROR(VLOOKUP($A175,GanttChart!$A:$JD,2,FALSE),"خطا")</f>
        <v>0</v>
      </c>
      <c r="D175" s="84">
        <f>IFERROR(VLOOKUP($A175,GanttChart!$A:$JD,261,FALSE),0)</f>
        <v>0</v>
      </c>
      <c r="E175" s="84">
        <f>IFERROR(VLOOKUP($A175,GanttChart!$A:$JD,262,FALSE),0)</f>
        <v>0</v>
      </c>
      <c r="F175" s="84">
        <f>IFERROR(VLOOKUP($A175,GanttChart!$A:$JD,263,FALSE),0)</f>
        <v>0</v>
      </c>
      <c r="G175" s="85">
        <f>IFERROR(VLOOKUP($A175,GanttChart!$A:$JD,264,FALSE),0)</f>
        <v>0</v>
      </c>
      <c r="H175" s="90"/>
      <c r="I175" s="85">
        <f t="shared" si="1"/>
        <v>0</v>
      </c>
    </row>
    <row r="176" spans="1:9" ht="18.75" hidden="1" x14ac:dyDescent="0.45">
      <c r="A176" s="89">
        <v>8.19</v>
      </c>
      <c r="C176" s="83">
        <f>IFERROR(VLOOKUP($A176,GanttChart!$A:$JD,2,FALSE),"خطا")</f>
        <v>0</v>
      </c>
      <c r="D176" s="84">
        <f>IFERROR(VLOOKUP($A176,GanttChart!$A:$JD,261,FALSE),0)</f>
        <v>0</v>
      </c>
      <c r="E176" s="84">
        <f>IFERROR(VLOOKUP($A176,GanttChart!$A:$JD,262,FALSE),0)</f>
        <v>0</v>
      </c>
      <c r="F176" s="84">
        <f>IFERROR(VLOOKUP($A176,GanttChart!$A:$JD,263,FALSE),0)</f>
        <v>0</v>
      </c>
      <c r="G176" s="85">
        <f>IFERROR(VLOOKUP($A176,GanttChart!$A:$JD,264,FALSE),0)</f>
        <v>0</v>
      </c>
      <c r="H176" s="90"/>
      <c r="I176" s="85">
        <f t="shared" si="1"/>
        <v>0</v>
      </c>
    </row>
    <row r="177" spans="1:9" ht="18.75" hidden="1" x14ac:dyDescent="0.45">
      <c r="A177" s="89">
        <v>8.2100000000000009</v>
      </c>
      <c r="C177" s="83">
        <f>IFERROR(VLOOKUP($A177,GanttChart!$A:$JD,2,FALSE),"خطا")</f>
        <v>0</v>
      </c>
      <c r="D177" s="84">
        <f>IFERROR(VLOOKUP($A177,GanttChart!$A:$JD,261,FALSE),0)</f>
        <v>0</v>
      </c>
      <c r="E177" s="84">
        <f>IFERROR(VLOOKUP($A177,GanttChart!$A:$JD,262,FALSE),0)</f>
        <v>0</v>
      </c>
      <c r="F177" s="84">
        <f>IFERROR(VLOOKUP($A177,GanttChart!$A:$JD,263,FALSE),0)</f>
        <v>0</v>
      </c>
      <c r="G177" s="85">
        <f>IFERROR(VLOOKUP($A177,GanttChart!$A:$JD,264,FALSE),0)</f>
        <v>0</v>
      </c>
      <c r="H177" s="90"/>
      <c r="I177" s="85">
        <f t="shared" si="1"/>
        <v>0</v>
      </c>
    </row>
    <row r="178" spans="1:9" ht="18.75" hidden="1" x14ac:dyDescent="0.45">
      <c r="A178" s="89">
        <v>8.2200000000000006</v>
      </c>
      <c r="C178" s="83">
        <f>IFERROR(VLOOKUP($A178,GanttChart!$A:$JD,2,FALSE),"خطا")</f>
        <v>0</v>
      </c>
      <c r="D178" s="84">
        <f>IFERROR(VLOOKUP($A178,GanttChart!$A:$JD,261,FALSE),0)</f>
        <v>0</v>
      </c>
      <c r="E178" s="84">
        <f>IFERROR(VLOOKUP($A178,GanttChart!$A:$JD,262,FALSE),0)</f>
        <v>0</v>
      </c>
      <c r="F178" s="84">
        <f>IFERROR(VLOOKUP($A178,GanttChart!$A:$JD,263,FALSE),0)</f>
        <v>0</v>
      </c>
      <c r="G178" s="85">
        <f>IFERROR(VLOOKUP($A178,GanttChart!$A:$JD,264,FALSE),0)</f>
        <v>0</v>
      </c>
      <c r="H178" s="90"/>
      <c r="I178" s="85">
        <f t="shared" si="1"/>
        <v>0</v>
      </c>
    </row>
    <row r="179" spans="1:9" ht="18.75" hidden="1" x14ac:dyDescent="0.45">
      <c r="A179" s="89">
        <v>8.23</v>
      </c>
      <c r="C179" s="93">
        <f>IFERROR(VLOOKUP($A179,GanttChart!$A:$JD,2,FALSE),"خطا")</f>
        <v>0</v>
      </c>
      <c r="D179" s="94">
        <f>IFERROR(VLOOKUP($A179,GanttChart!$A:$JD,261,FALSE),0)</f>
        <v>0</v>
      </c>
      <c r="E179" s="94">
        <f>IFERROR(VLOOKUP($A179,GanttChart!$A:$JD,262,FALSE),0)</f>
        <v>0</v>
      </c>
      <c r="F179" s="94">
        <f>IFERROR(VLOOKUP($A179,GanttChart!$A:$JD,263,FALSE),0)</f>
        <v>0</v>
      </c>
      <c r="G179" s="91">
        <f>IFERROR(VLOOKUP($A179,GanttChart!$A:$JD,264,FALSE),0)</f>
        <v>0</v>
      </c>
      <c r="H179" s="90"/>
      <c r="I179" s="91">
        <f t="shared" si="1"/>
        <v>0</v>
      </c>
    </row>
    <row r="180" spans="1:9" ht="21" x14ac:dyDescent="0.6">
      <c r="A180" s="98">
        <v>10</v>
      </c>
      <c r="C180" s="95" t="s">
        <v>51</v>
      </c>
      <c r="D180" s="96">
        <f>SUM(D4,D26,D48,D70,D92,D114,D136,D158)</f>
        <v>0</v>
      </c>
      <c r="E180" s="96">
        <f>SUM(E4,E26,E48,E70,E92,F114,F136,F158)</f>
        <v>0</v>
      </c>
      <c r="F180" s="96">
        <f>SUM(F4,F26,F48,F70,F92,F114,F136,F158)</f>
        <v>0</v>
      </c>
      <c r="G180" s="92">
        <f>SUM(G4,G26,G48,G70,G92,G114,G136,G158)</f>
        <v>0</v>
      </c>
      <c r="H180" s="97"/>
      <c r="I180" s="92" t="e">
        <f>SUM(I4,I26,I48,I70,I92,I114,I136,I158)</f>
        <v>#DIV/0!</v>
      </c>
    </row>
  </sheetData>
  <sheetProtection algorithmName="SHA-512" hashValue="sRy+B+P6ntOBVIXzsbqnWDFK+Zf68XZBt8Rgwb9VaLD6zHoCKNiyiWS5WK6EGg/DagW+5GqF6SUDyHCNLowfZg==" saltValue="V1kJdvDvREK39+q/ddYGmg==" spinCount="100000" sheet="1" objects="1" scenarios="1" selectLockedCells="1"/>
  <autoFilter ref="A1:I180">
    <filterColumn colId="0">
      <filters blank="1">
        <filter val="1"/>
        <filter val="10"/>
        <filter val="2"/>
        <filter val="3"/>
        <filter val="4"/>
        <filter val="5"/>
        <filter val="6"/>
        <filter val="7"/>
        <filter val="8"/>
        <filter val="WBS"/>
      </filters>
    </filterColumn>
    <filterColumn colId="1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</autoFilter>
  <mergeCells count="8">
    <mergeCell ref="B1:I1"/>
    <mergeCell ref="A2:A3"/>
    <mergeCell ref="B2:B3"/>
    <mergeCell ref="C2:C3"/>
    <mergeCell ref="D2:F2"/>
    <mergeCell ref="G2:G3"/>
    <mergeCell ref="H2:H3"/>
    <mergeCell ref="I2:I3"/>
  </mergeCells>
  <pageMargins left="0.27559055118110237" right="0.27559055118110237" top="0.74803149606299213" bottom="0.74803149606299213" header="0.31496062992125984" footer="0.31496062992125984"/>
  <pageSetup paperSize="9" scale="85" orientation="portrait" r:id="rId1"/>
  <headerFooter>
    <oddHeader>&amp;C&amp;"B Mitra,پررنگ"&amp;12پیوست شماره 1</oddHeader>
  </headerFooter>
  <ignoredErrors>
    <ignoredError sqref="D26:G158 E180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ه5"/>
  <dimension ref="A1:F54"/>
  <sheetViews>
    <sheetView rightToLeft="1" workbookViewId="0">
      <selection activeCell="A12" sqref="A12"/>
    </sheetView>
  </sheetViews>
  <sheetFormatPr defaultRowHeight="12.75" x14ac:dyDescent="0.2"/>
  <cols>
    <col min="2" max="2" width="19.5703125" bestFit="1" customWidth="1"/>
    <col min="3" max="3" width="19.5703125" customWidth="1"/>
    <col min="4" max="4" width="10.42578125" customWidth="1"/>
    <col min="5" max="5" width="15" customWidth="1"/>
    <col min="6" max="6" width="39.7109375" bestFit="1" customWidth="1"/>
  </cols>
  <sheetData>
    <row r="1" spans="1:6" ht="18" x14ac:dyDescent="0.2">
      <c r="A1" s="16" t="s">
        <v>34</v>
      </c>
      <c r="B1" s="16" t="s">
        <v>38</v>
      </c>
      <c r="C1" s="16" t="s">
        <v>37</v>
      </c>
      <c r="D1" s="16" t="s">
        <v>35</v>
      </c>
      <c r="E1" s="16" t="s">
        <v>36</v>
      </c>
      <c r="F1" s="16" t="s">
        <v>11</v>
      </c>
    </row>
    <row r="2" spans="1:6" ht="18" x14ac:dyDescent="0.2">
      <c r="A2" s="17" t="s">
        <v>82</v>
      </c>
      <c r="B2" s="17" t="str">
        <f t="shared" ref="B2:B27" si="0">LEFT(A2,4)</f>
        <v>1398</v>
      </c>
      <c r="C2" s="17" t="str">
        <f t="shared" ref="C2:C27" si="1">MID(A2,6,2)</f>
        <v>01</v>
      </c>
      <c r="D2" s="17">
        <v>1</v>
      </c>
      <c r="E2" s="16" t="str">
        <f>IF(j_WEEKDAY(A2)=6,1,"")</f>
        <v/>
      </c>
      <c r="F2" s="18" t="s">
        <v>12</v>
      </c>
    </row>
    <row r="3" spans="1:6" ht="18" x14ac:dyDescent="0.2">
      <c r="A3" s="17" t="s">
        <v>83</v>
      </c>
      <c r="B3" s="17" t="str">
        <f t="shared" si="0"/>
        <v>1398</v>
      </c>
      <c r="C3" s="17" t="str">
        <f t="shared" si="1"/>
        <v>01</v>
      </c>
      <c r="D3" s="17">
        <v>1</v>
      </c>
      <c r="E3" s="16">
        <f>IF(j_WEEKDAY(A3)=6,1,"")</f>
        <v>1</v>
      </c>
      <c r="F3" s="18" t="s">
        <v>12</v>
      </c>
    </row>
    <row r="4" spans="1:6" ht="18" x14ac:dyDescent="0.2">
      <c r="A4" s="17" t="s">
        <v>84</v>
      </c>
      <c r="B4" s="17" t="str">
        <f t="shared" si="0"/>
        <v>1398</v>
      </c>
      <c r="C4" s="17" t="str">
        <f t="shared" si="1"/>
        <v>01</v>
      </c>
      <c r="D4" s="17">
        <v>1</v>
      </c>
      <c r="E4" s="16" t="str">
        <f>IF(j_WEEKDAY(A4)=6,1,"")</f>
        <v/>
      </c>
      <c r="F4" s="18" t="s">
        <v>12</v>
      </c>
    </row>
    <row r="5" spans="1:6" ht="18" x14ac:dyDescent="0.2">
      <c r="A5" s="17" t="s">
        <v>85</v>
      </c>
      <c r="B5" s="17" t="str">
        <f t="shared" si="0"/>
        <v>1398</v>
      </c>
      <c r="C5" s="17" t="str">
        <f t="shared" si="1"/>
        <v>01</v>
      </c>
      <c r="D5" s="17">
        <v>1</v>
      </c>
      <c r="E5" s="16" t="str">
        <f>IF(j_WEEKDAY(A5)=6,1,"")</f>
        <v/>
      </c>
      <c r="F5" s="18" t="s">
        <v>12</v>
      </c>
    </row>
    <row r="6" spans="1:6" ht="18" x14ac:dyDescent="0.2">
      <c r="A6" s="17" t="s">
        <v>86</v>
      </c>
      <c r="B6" s="17" t="str">
        <f t="shared" si="0"/>
        <v>1398</v>
      </c>
      <c r="C6" s="17" t="str">
        <f t="shared" si="1"/>
        <v>01</v>
      </c>
      <c r="D6" s="17">
        <v>1</v>
      </c>
      <c r="E6" s="16" t="str">
        <f>IF(j_WEEKDAY(A6)=6,1,"")</f>
        <v/>
      </c>
      <c r="F6" s="18" t="s">
        <v>13</v>
      </c>
    </row>
    <row r="7" spans="1:6" ht="18" x14ac:dyDescent="0.2">
      <c r="A7" s="17" t="s">
        <v>87</v>
      </c>
      <c r="B7" s="17" t="str">
        <f t="shared" si="0"/>
        <v>1398</v>
      </c>
      <c r="C7" s="17" t="str">
        <f t="shared" si="1"/>
        <v>01</v>
      </c>
      <c r="D7" s="17">
        <v>1</v>
      </c>
      <c r="E7" s="16" t="str">
        <f>IF(j_WEEKDAY(A7)=6,1,"")</f>
        <v/>
      </c>
      <c r="F7" s="18" t="s">
        <v>14</v>
      </c>
    </row>
    <row r="8" spans="1:6" ht="18" x14ac:dyDescent="0.2">
      <c r="A8" s="17" t="s">
        <v>92</v>
      </c>
      <c r="B8" s="17" t="str">
        <f t="shared" si="0"/>
        <v>1398</v>
      </c>
      <c r="C8" s="17" t="str">
        <f t="shared" si="1"/>
        <v>01</v>
      </c>
      <c r="D8" s="17">
        <v>1</v>
      </c>
      <c r="E8" s="16" t="str">
        <f>IF(j_WEEKDAY(A8)=6,1,"")</f>
        <v/>
      </c>
      <c r="F8" s="18" t="s">
        <v>19</v>
      </c>
    </row>
    <row r="9" spans="1:6" ht="18" x14ac:dyDescent="0.2">
      <c r="A9" s="17" t="s">
        <v>93</v>
      </c>
      <c r="B9" s="17" t="str">
        <f t="shared" si="0"/>
        <v>1398</v>
      </c>
      <c r="C9" s="17" t="str">
        <f t="shared" si="1"/>
        <v>02</v>
      </c>
      <c r="D9" s="17">
        <v>1</v>
      </c>
      <c r="E9" s="16" t="str">
        <f>IF(j_WEEKDAY(A9)=6,1,"")</f>
        <v/>
      </c>
      <c r="F9" s="19" t="s">
        <v>20</v>
      </c>
    </row>
    <row r="10" spans="1:6" ht="18" x14ac:dyDescent="0.2">
      <c r="A10" s="17" t="s">
        <v>94</v>
      </c>
      <c r="B10" s="17" t="str">
        <f t="shared" si="0"/>
        <v>1398</v>
      </c>
      <c r="C10" s="17" t="str">
        <f t="shared" si="1"/>
        <v>03</v>
      </c>
      <c r="D10" s="17">
        <v>1</v>
      </c>
      <c r="E10" s="16" t="str">
        <f>IF(j_WEEKDAY(A10)=6,1,"")</f>
        <v/>
      </c>
      <c r="F10" s="18" t="s">
        <v>21</v>
      </c>
    </row>
    <row r="11" spans="1:6" ht="18" x14ac:dyDescent="0.2">
      <c r="A11" s="17" t="s">
        <v>88</v>
      </c>
      <c r="B11" s="17" t="str">
        <f t="shared" si="0"/>
        <v>1398</v>
      </c>
      <c r="C11" s="17" t="str">
        <f t="shared" si="1"/>
        <v>03</v>
      </c>
      <c r="D11" s="17">
        <v>1</v>
      </c>
      <c r="E11" s="16" t="str">
        <f>IF(j_WEEKDAY(A11)=6,1,"")</f>
        <v/>
      </c>
      <c r="F11" s="18" t="s">
        <v>17</v>
      </c>
    </row>
    <row r="12" spans="1:6" ht="18" x14ac:dyDescent="0.2">
      <c r="A12" s="17" t="s">
        <v>89</v>
      </c>
      <c r="B12" s="17" t="str">
        <f t="shared" si="0"/>
        <v>1398</v>
      </c>
      <c r="C12" s="17" t="str">
        <f t="shared" si="1"/>
        <v>03</v>
      </c>
      <c r="D12" s="17">
        <v>1</v>
      </c>
      <c r="E12" s="16" t="str">
        <f>IF(j_WEEKDAY(A12)=6,1,"")</f>
        <v/>
      </c>
      <c r="F12" s="18" t="s">
        <v>18</v>
      </c>
    </row>
    <row r="13" spans="1:6" ht="18" x14ac:dyDescent="0.2">
      <c r="A13" s="17" t="s">
        <v>95</v>
      </c>
      <c r="B13" s="17" t="str">
        <f t="shared" si="0"/>
        <v>1398</v>
      </c>
      <c r="C13" s="17" t="str">
        <f t="shared" si="1"/>
        <v>03</v>
      </c>
      <c r="D13" s="17">
        <v>1</v>
      </c>
      <c r="E13" s="16" t="str">
        <f>IF(j_WEEKDAY(A13)=6,1,"")</f>
        <v/>
      </c>
      <c r="F13" s="18" t="s">
        <v>22</v>
      </c>
    </row>
    <row r="14" spans="1:6" ht="18" x14ac:dyDescent="0.2">
      <c r="A14" s="17" t="s">
        <v>96</v>
      </c>
      <c r="B14" s="17" t="str">
        <f t="shared" si="0"/>
        <v>1398</v>
      </c>
      <c r="C14" s="17" t="str">
        <f t="shared" si="1"/>
        <v>04</v>
      </c>
      <c r="D14" s="17">
        <v>1</v>
      </c>
      <c r="E14" s="16" t="str">
        <f>IF(j_WEEKDAY(A14)=6,1,"")</f>
        <v/>
      </c>
      <c r="F14" s="18" t="s">
        <v>23</v>
      </c>
    </row>
    <row r="15" spans="1:6" ht="18" x14ac:dyDescent="0.2">
      <c r="A15" s="17" t="s">
        <v>97</v>
      </c>
      <c r="B15" s="17" t="str">
        <f t="shared" si="0"/>
        <v>1398</v>
      </c>
      <c r="C15" s="17" t="str">
        <f t="shared" si="1"/>
        <v>05</v>
      </c>
      <c r="D15" s="17">
        <v>1</v>
      </c>
      <c r="E15" s="16" t="str">
        <f>IF(j_WEEKDAY(A15)=6,1,"")</f>
        <v/>
      </c>
      <c r="F15" s="18" t="s">
        <v>24</v>
      </c>
    </row>
    <row r="16" spans="1:6" ht="18" x14ac:dyDescent="0.2">
      <c r="A16" s="17" t="s">
        <v>98</v>
      </c>
      <c r="B16" s="17" t="str">
        <f t="shared" si="0"/>
        <v>1398</v>
      </c>
      <c r="C16" s="17" t="str">
        <f t="shared" si="1"/>
        <v>05</v>
      </c>
      <c r="D16" s="17">
        <v>1</v>
      </c>
      <c r="E16" s="16" t="str">
        <f>IF(j_WEEKDAY(A16)=6,1,"")</f>
        <v/>
      </c>
      <c r="F16" s="18" t="s">
        <v>25</v>
      </c>
    </row>
    <row r="17" spans="1:6" ht="18" x14ac:dyDescent="0.2">
      <c r="A17" s="17" t="s">
        <v>99</v>
      </c>
      <c r="B17" s="17" t="str">
        <f t="shared" si="0"/>
        <v>1398</v>
      </c>
      <c r="C17" s="17" t="str">
        <f t="shared" si="1"/>
        <v>06</v>
      </c>
      <c r="D17" s="17">
        <v>1</v>
      </c>
      <c r="E17" s="16" t="str">
        <f>IF(j_WEEKDAY(A17)=6,1,"")</f>
        <v/>
      </c>
      <c r="F17" s="18" t="s">
        <v>26</v>
      </c>
    </row>
    <row r="18" spans="1:6" ht="18" x14ac:dyDescent="0.2">
      <c r="A18" s="17" t="s">
        <v>100</v>
      </c>
      <c r="B18" s="17" t="str">
        <f t="shared" si="0"/>
        <v>1398</v>
      </c>
      <c r="C18" s="17" t="str">
        <f t="shared" si="1"/>
        <v>06</v>
      </c>
      <c r="D18" s="17">
        <v>1</v>
      </c>
      <c r="E18" s="16" t="str">
        <f>IF(j_WEEKDAY(A18)=6,1,"")</f>
        <v/>
      </c>
      <c r="F18" s="18" t="s">
        <v>27</v>
      </c>
    </row>
    <row r="19" spans="1:6" ht="18" x14ac:dyDescent="0.2">
      <c r="A19" s="17" t="s">
        <v>101</v>
      </c>
      <c r="B19" s="17" t="str">
        <f t="shared" si="0"/>
        <v>1398</v>
      </c>
      <c r="C19" s="17" t="str">
        <f t="shared" si="1"/>
        <v>07</v>
      </c>
      <c r="D19" s="17">
        <v>1</v>
      </c>
      <c r="E19" s="16" t="str">
        <f>IF(j_WEEKDAY(A19)=6,1,"")</f>
        <v/>
      </c>
      <c r="F19" s="18" t="s">
        <v>28</v>
      </c>
    </row>
    <row r="20" spans="1:6" ht="18" x14ac:dyDescent="0.2">
      <c r="A20" s="17" t="s">
        <v>102</v>
      </c>
      <c r="B20" s="17" t="str">
        <f t="shared" si="0"/>
        <v>1398</v>
      </c>
      <c r="C20" s="17" t="str">
        <f t="shared" si="1"/>
        <v>08</v>
      </c>
      <c r="D20" s="17">
        <v>1</v>
      </c>
      <c r="E20" s="16" t="str">
        <f>IF(j_WEEKDAY(A20)=6,1,"")</f>
        <v/>
      </c>
      <c r="F20" s="18" t="s">
        <v>29</v>
      </c>
    </row>
    <row r="21" spans="1:6" ht="18" x14ac:dyDescent="0.2">
      <c r="A21" s="17" t="s">
        <v>103</v>
      </c>
      <c r="B21" s="17" t="str">
        <f t="shared" si="0"/>
        <v>1398</v>
      </c>
      <c r="C21" s="17" t="str">
        <f t="shared" si="1"/>
        <v>08</v>
      </c>
      <c r="D21" s="17">
        <v>1</v>
      </c>
      <c r="E21" s="16" t="str">
        <f>IF(j_WEEKDAY(A21)=6,1,"")</f>
        <v/>
      </c>
      <c r="F21" s="18" t="s">
        <v>30</v>
      </c>
    </row>
    <row r="22" spans="1:6" ht="18" x14ac:dyDescent="0.2">
      <c r="A22" s="17" t="s">
        <v>104</v>
      </c>
      <c r="B22" s="17" t="str">
        <f t="shared" si="0"/>
        <v>1398</v>
      </c>
      <c r="C22" s="17" t="str">
        <f t="shared" si="1"/>
        <v>08</v>
      </c>
      <c r="D22" s="17">
        <v>1</v>
      </c>
      <c r="E22" s="16" t="str">
        <f>IF(j_WEEKDAY(A22)=6,1,"")</f>
        <v/>
      </c>
      <c r="F22" s="18" t="s">
        <v>105</v>
      </c>
    </row>
    <row r="23" spans="1:6" ht="18" x14ac:dyDescent="0.2">
      <c r="A23" s="17" t="s">
        <v>106</v>
      </c>
      <c r="B23" s="17" t="str">
        <f t="shared" si="0"/>
        <v>1398</v>
      </c>
      <c r="C23" s="17" t="str">
        <f t="shared" si="1"/>
        <v>08</v>
      </c>
      <c r="D23" s="17">
        <v>1</v>
      </c>
      <c r="E23" s="16">
        <f>IF(j_WEEKDAY(A23)=6,1,"")</f>
        <v>1</v>
      </c>
      <c r="F23" s="18" t="s">
        <v>31</v>
      </c>
    </row>
    <row r="24" spans="1:6" ht="18" x14ac:dyDescent="0.2">
      <c r="A24" s="17" t="s">
        <v>107</v>
      </c>
      <c r="B24" s="17" t="str">
        <f t="shared" si="0"/>
        <v>1398</v>
      </c>
      <c r="C24" s="17" t="str">
        <f t="shared" si="1"/>
        <v>11</v>
      </c>
      <c r="D24" s="17">
        <v>1</v>
      </c>
      <c r="E24" s="16" t="str">
        <f>IF(j_WEEKDAY(A24)=6,1,"")</f>
        <v/>
      </c>
      <c r="F24" s="18" t="s">
        <v>15</v>
      </c>
    </row>
    <row r="25" spans="1:6" ht="18" x14ac:dyDescent="0.2">
      <c r="A25" s="17" t="s">
        <v>90</v>
      </c>
      <c r="B25" s="17" t="str">
        <f t="shared" si="0"/>
        <v>1398</v>
      </c>
      <c r="C25" s="17" t="str">
        <f t="shared" si="1"/>
        <v>11</v>
      </c>
      <c r="D25" s="17">
        <v>1</v>
      </c>
      <c r="E25" s="16" t="str">
        <f>IF(j_WEEKDAY(A25)=6,1,"")</f>
        <v/>
      </c>
      <c r="F25" s="18" t="s">
        <v>32</v>
      </c>
    </row>
    <row r="26" spans="1:6" ht="18" x14ac:dyDescent="0.2">
      <c r="A26" s="17" t="s">
        <v>108</v>
      </c>
      <c r="B26" s="17" t="str">
        <f t="shared" si="0"/>
        <v>1398</v>
      </c>
      <c r="C26" s="17" t="str">
        <f t="shared" si="1"/>
        <v>12</v>
      </c>
      <c r="D26" s="17">
        <v>1</v>
      </c>
      <c r="E26" s="16" t="str">
        <f>IF(j_WEEKDAY(A26)=6,1,"")</f>
        <v/>
      </c>
      <c r="F26" s="18" t="s">
        <v>16</v>
      </c>
    </row>
    <row r="27" spans="1:6" ht="18" x14ac:dyDescent="0.2">
      <c r="A27" s="17" t="s">
        <v>91</v>
      </c>
      <c r="B27" s="17" t="str">
        <f t="shared" si="0"/>
        <v>1398</v>
      </c>
      <c r="C27" s="17" t="str">
        <f t="shared" si="1"/>
        <v>12</v>
      </c>
      <c r="D27" s="17">
        <v>1</v>
      </c>
      <c r="E27" s="16" t="str">
        <f>IF(j_WEEKDAY(A27)=6,1,"")</f>
        <v/>
      </c>
      <c r="F27" s="18" t="s">
        <v>33</v>
      </c>
    </row>
    <row r="28" spans="1:6" ht="18" x14ac:dyDescent="0.2">
      <c r="A28" s="240" t="s">
        <v>51</v>
      </c>
      <c r="B28" s="240"/>
      <c r="C28" s="240"/>
      <c r="D28" s="240">
        <f>SUBTOTAL(109,Holieday[ok])</f>
        <v>26</v>
      </c>
      <c r="E28" s="240">
        <f>SUBTOTAL(109,Holieday[Friday])</f>
        <v>2</v>
      </c>
      <c r="F28" s="241"/>
    </row>
    <row r="29" spans="1:6" ht="18" x14ac:dyDescent="0.2">
      <c r="A29" s="17"/>
      <c r="B29" s="17" t="str">
        <f t="shared" ref="B29:B54" si="2">LEFT(A29,4)</f>
        <v/>
      </c>
      <c r="C29" s="17" t="str">
        <f t="shared" ref="C29:C54" si="3">MID(A29,6,2)</f>
        <v/>
      </c>
      <c r="D29" s="17"/>
      <c r="E29" s="16"/>
      <c r="F29" s="18"/>
    </row>
    <row r="30" spans="1:6" ht="18" x14ac:dyDescent="0.2">
      <c r="A30" s="17"/>
      <c r="B30" s="17" t="str">
        <f t="shared" si="2"/>
        <v/>
      </c>
      <c r="C30" s="17" t="str">
        <f t="shared" si="3"/>
        <v/>
      </c>
      <c r="D30" s="17"/>
      <c r="E30" s="16"/>
      <c r="F30" s="18"/>
    </row>
    <row r="31" spans="1:6" ht="18" x14ac:dyDescent="0.2">
      <c r="A31" s="17"/>
      <c r="B31" s="17" t="str">
        <f t="shared" si="2"/>
        <v/>
      </c>
      <c r="C31" s="17" t="str">
        <f t="shared" si="3"/>
        <v/>
      </c>
      <c r="D31" s="17"/>
      <c r="E31" s="16"/>
      <c r="F31" s="18"/>
    </row>
    <row r="32" spans="1:6" ht="18" x14ac:dyDescent="0.2">
      <c r="A32" s="17"/>
      <c r="B32" s="17" t="str">
        <f t="shared" si="2"/>
        <v/>
      </c>
      <c r="C32" s="17" t="str">
        <f t="shared" si="3"/>
        <v/>
      </c>
      <c r="D32" s="17"/>
      <c r="E32" s="16"/>
      <c r="F32" s="18"/>
    </row>
    <row r="33" spans="1:6" ht="18" x14ac:dyDescent="0.2">
      <c r="A33" s="17"/>
      <c r="B33" s="17" t="str">
        <f t="shared" si="2"/>
        <v/>
      </c>
      <c r="C33" s="17" t="str">
        <f t="shared" si="3"/>
        <v/>
      </c>
      <c r="D33" s="17"/>
      <c r="E33" s="16"/>
      <c r="F33" s="18"/>
    </row>
    <row r="34" spans="1:6" ht="18" x14ac:dyDescent="0.2">
      <c r="A34" s="17"/>
      <c r="B34" s="17" t="str">
        <f t="shared" si="2"/>
        <v/>
      </c>
      <c r="C34" s="17" t="str">
        <f t="shared" si="3"/>
        <v/>
      </c>
      <c r="D34" s="17"/>
      <c r="E34" s="16"/>
      <c r="F34" s="18"/>
    </row>
    <row r="35" spans="1:6" ht="18" x14ac:dyDescent="0.2">
      <c r="A35" s="17"/>
      <c r="B35" s="17" t="str">
        <f t="shared" si="2"/>
        <v/>
      </c>
      <c r="C35" s="17" t="str">
        <f t="shared" si="3"/>
        <v/>
      </c>
      <c r="D35" s="17"/>
      <c r="E35" s="16"/>
      <c r="F35" s="18"/>
    </row>
    <row r="36" spans="1:6" ht="18" x14ac:dyDescent="0.2">
      <c r="A36" s="17"/>
      <c r="B36" s="17" t="str">
        <f t="shared" si="2"/>
        <v/>
      </c>
      <c r="C36" s="17" t="str">
        <f t="shared" si="3"/>
        <v/>
      </c>
      <c r="D36" s="17"/>
      <c r="E36" s="16"/>
      <c r="F36" s="18"/>
    </row>
    <row r="37" spans="1:6" ht="18" x14ac:dyDescent="0.2">
      <c r="A37" s="17"/>
      <c r="B37" s="17" t="str">
        <f t="shared" si="2"/>
        <v/>
      </c>
      <c r="C37" s="17" t="str">
        <f t="shared" si="3"/>
        <v/>
      </c>
      <c r="D37" s="17"/>
      <c r="E37" s="16"/>
      <c r="F37" s="18"/>
    </row>
    <row r="38" spans="1:6" ht="18" x14ac:dyDescent="0.2">
      <c r="A38" s="17"/>
      <c r="B38" s="17" t="str">
        <f t="shared" si="2"/>
        <v/>
      </c>
      <c r="C38" s="17" t="str">
        <f t="shared" si="3"/>
        <v/>
      </c>
      <c r="D38" s="17"/>
      <c r="E38" s="16"/>
      <c r="F38" s="18"/>
    </row>
    <row r="39" spans="1:6" ht="18" x14ac:dyDescent="0.2">
      <c r="A39" s="17"/>
      <c r="B39" s="17" t="str">
        <f t="shared" si="2"/>
        <v/>
      </c>
      <c r="C39" s="17" t="str">
        <f t="shared" si="3"/>
        <v/>
      </c>
      <c r="D39" s="17"/>
      <c r="E39" s="16"/>
      <c r="F39" s="18"/>
    </row>
    <row r="40" spans="1:6" ht="18" x14ac:dyDescent="0.2">
      <c r="A40" s="17"/>
      <c r="B40" s="17" t="str">
        <f t="shared" si="2"/>
        <v/>
      </c>
      <c r="C40" s="17" t="str">
        <f t="shared" si="3"/>
        <v/>
      </c>
      <c r="D40" s="17"/>
      <c r="E40" s="16"/>
      <c r="F40" s="18"/>
    </row>
    <row r="41" spans="1:6" ht="18" x14ac:dyDescent="0.2">
      <c r="A41" s="17"/>
      <c r="B41" s="17" t="str">
        <f t="shared" si="2"/>
        <v/>
      </c>
      <c r="C41" s="17" t="str">
        <f t="shared" si="3"/>
        <v/>
      </c>
      <c r="D41" s="17"/>
      <c r="E41" s="16"/>
      <c r="F41" s="18"/>
    </row>
    <row r="42" spans="1:6" ht="18" x14ac:dyDescent="0.2">
      <c r="A42" s="17"/>
      <c r="B42" s="17" t="str">
        <f t="shared" si="2"/>
        <v/>
      </c>
      <c r="C42" s="17" t="str">
        <f t="shared" si="3"/>
        <v/>
      </c>
      <c r="D42" s="17"/>
      <c r="E42" s="16"/>
      <c r="F42" s="18"/>
    </row>
    <row r="43" spans="1:6" ht="18" x14ac:dyDescent="0.2">
      <c r="A43" s="17"/>
      <c r="B43" s="17" t="str">
        <f t="shared" si="2"/>
        <v/>
      </c>
      <c r="C43" s="17" t="str">
        <f t="shared" si="3"/>
        <v/>
      </c>
      <c r="D43" s="17"/>
      <c r="E43" s="16"/>
      <c r="F43" s="18"/>
    </row>
    <row r="44" spans="1:6" ht="18" x14ac:dyDescent="0.2">
      <c r="A44" s="17"/>
      <c r="B44" s="17" t="str">
        <f t="shared" si="2"/>
        <v/>
      </c>
      <c r="C44" s="17" t="str">
        <f t="shared" si="3"/>
        <v/>
      </c>
      <c r="D44" s="17"/>
      <c r="E44" s="16"/>
      <c r="F44" s="18"/>
    </row>
    <row r="45" spans="1:6" ht="18" x14ac:dyDescent="0.2">
      <c r="A45" s="17"/>
      <c r="B45" s="17" t="str">
        <f t="shared" si="2"/>
        <v/>
      </c>
      <c r="C45" s="17" t="str">
        <f t="shared" si="3"/>
        <v/>
      </c>
      <c r="D45" s="17"/>
      <c r="E45" s="16"/>
      <c r="F45" s="18"/>
    </row>
    <row r="46" spans="1:6" ht="18" x14ac:dyDescent="0.2">
      <c r="A46" s="17"/>
      <c r="B46" s="17" t="str">
        <f t="shared" si="2"/>
        <v/>
      </c>
      <c r="C46" s="17" t="str">
        <f t="shared" si="3"/>
        <v/>
      </c>
      <c r="D46" s="17"/>
      <c r="E46" s="16"/>
      <c r="F46" s="18"/>
    </row>
    <row r="47" spans="1:6" ht="18" x14ac:dyDescent="0.2">
      <c r="A47" s="17"/>
      <c r="B47" s="17" t="str">
        <f t="shared" si="2"/>
        <v/>
      </c>
      <c r="C47" s="17" t="str">
        <f t="shared" si="3"/>
        <v/>
      </c>
      <c r="D47" s="17"/>
      <c r="E47" s="16"/>
      <c r="F47" s="18"/>
    </row>
    <row r="48" spans="1:6" ht="18" x14ac:dyDescent="0.2">
      <c r="A48" s="17"/>
      <c r="B48" s="17" t="str">
        <f t="shared" si="2"/>
        <v/>
      </c>
      <c r="C48" s="17" t="str">
        <f t="shared" si="3"/>
        <v/>
      </c>
      <c r="D48" s="17"/>
      <c r="E48" s="16"/>
      <c r="F48" s="18"/>
    </row>
    <row r="49" spans="1:6" ht="18" x14ac:dyDescent="0.2">
      <c r="A49" s="17"/>
      <c r="B49" s="17" t="str">
        <f t="shared" si="2"/>
        <v/>
      </c>
      <c r="C49" s="17" t="str">
        <f t="shared" si="3"/>
        <v/>
      </c>
      <c r="D49" s="17"/>
      <c r="E49" s="16"/>
      <c r="F49" s="18"/>
    </row>
    <row r="50" spans="1:6" ht="18" x14ac:dyDescent="0.2">
      <c r="A50" s="17"/>
      <c r="B50" s="17" t="str">
        <f t="shared" si="2"/>
        <v/>
      </c>
      <c r="C50" s="17" t="str">
        <f t="shared" si="3"/>
        <v/>
      </c>
      <c r="D50" s="17"/>
      <c r="E50" s="16"/>
      <c r="F50" s="18"/>
    </row>
    <row r="51" spans="1:6" ht="18" x14ac:dyDescent="0.2">
      <c r="A51" s="17"/>
      <c r="B51" s="17" t="str">
        <f t="shared" si="2"/>
        <v/>
      </c>
      <c r="C51" s="17" t="str">
        <f t="shared" si="3"/>
        <v/>
      </c>
      <c r="D51" s="17"/>
      <c r="E51" s="16"/>
      <c r="F51" s="18"/>
    </row>
    <row r="52" spans="1:6" ht="18" x14ac:dyDescent="0.2">
      <c r="A52" s="17"/>
      <c r="B52" s="17" t="str">
        <f t="shared" si="2"/>
        <v/>
      </c>
      <c r="C52" s="17" t="str">
        <f t="shared" si="3"/>
        <v/>
      </c>
      <c r="D52" s="17"/>
      <c r="E52" s="16"/>
      <c r="F52" s="18"/>
    </row>
    <row r="53" spans="1:6" ht="18" x14ac:dyDescent="0.2">
      <c r="A53" s="17"/>
      <c r="B53" s="17" t="str">
        <f t="shared" si="2"/>
        <v/>
      </c>
      <c r="C53" s="17" t="str">
        <f t="shared" si="3"/>
        <v/>
      </c>
      <c r="D53" s="17"/>
      <c r="E53" s="16"/>
      <c r="F53" s="18"/>
    </row>
    <row r="54" spans="1:6" ht="18" x14ac:dyDescent="0.2">
      <c r="A54" s="17"/>
      <c r="B54" s="17" t="str">
        <f t="shared" si="2"/>
        <v/>
      </c>
      <c r="C54" s="17" t="str">
        <f t="shared" si="3"/>
        <v/>
      </c>
      <c r="D54" s="17"/>
      <c r="E54" s="16"/>
      <c r="F54" s="18"/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GanttChart</vt:lpstr>
      <vt:lpstr>Income Person-hours</vt:lpstr>
      <vt:lpstr>Report 1</vt:lpstr>
      <vt:lpstr>Report 2</vt:lpstr>
      <vt:lpstr>Holidays</vt:lpstr>
      <vt:lpstr>GanttChart!a</vt:lpstr>
      <vt:lpstr>GanttChart!Print_Area</vt:lpstr>
      <vt:lpstr>'Report 1'!Print_Area</vt:lpstr>
      <vt:lpstr>'Report 2'!Print_Area</vt:lpstr>
    </vt:vector>
  </TitlesOfParts>
  <Manager>گروه اکسل ایران</Manager>
  <Company>www.exceliran.com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نمونه فایل زمانبندی پروژه</dc:title>
  <dc:subject>نمونه گانت چارت</dc:subject>
  <dc:creator>سعید علی محمدی-09155016029</dc:creator>
  <dc:description>این فایل نمونه جهت کاربران که در مدیریت پروژه ها کار میکنندتهیه گردیده است- www.exceliran.com</dc:description>
  <cp:lastModifiedBy>امید لک</cp:lastModifiedBy>
  <cp:lastPrinted>2019-09-24T16:20:13Z</cp:lastPrinted>
  <dcterms:created xsi:type="dcterms:W3CDTF">2006-11-11T15:27:14Z</dcterms:created>
  <dcterms:modified xsi:type="dcterms:W3CDTF">2019-09-30T13:26:00Z</dcterms:modified>
  <cp:category>gant</cp:category>
</cp:coreProperties>
</file>