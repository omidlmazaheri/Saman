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3.3\WS-Share\Lak\بیمه سامان\زمانبندی بیمه سامان\"/>
    </mc:Choice>
  </mc:AlternateContent>
  <bookViews>
    <workbookView showSheetTabs="0" xWindow="0" yWindow="0" windowWidth="15270" windowHeight="4635"/>
  </bookViews>
  <sheets>
    <sheet name="GanttChart" sheetId="8" r:id="rId1"/>
    <sheet name="Income Person-hours" sheetId="10" r:id="rId2"/>
    <sheet name="Report 1" sheetId="14" r:id="rId3"/>
    <sheet name="Report 2" sheetId="13" r:id="rId4"/>
    <sheet name="Holidays" sheetId="9" r:id="rId5"/>
  </sheets>
  <functionGroups builtInGroupCount="18"/>
  <definedNames>
    <definedName name="_xlnm._FilterDatabase" localSheetId="0" hidden="1">GanttChart!$A$8:$Q$244</definedName>
    <definedName name="_xlnm._FilterDatabase" localSheetId="2" hidden="1">'Report 1'!$A$2:$I$180</definedName>
    <definedName name="_xlnm._FilterDatabase" localSheetId="3" hidden="1">'Report 2'!$A$1:$I$180</definedName>
    <definedName name="a" localSheetId="0">GanttChart!$B$1:$GA$181</definedName>
    <definedName name="_xlnm.Print_Area" localSheetId="0">GanttChart!$A$1:$DI$159</definedName>
    <definedName name="_xlnm.Print_Area" localSheetId="2">'Report 1'!$B$1:$I$180</definedName>
    <definedName name="_xlnm.Print_Area" localSheetId="3">'Report 2'!$B$1:$I$180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80" i="8" l="1"/>
  <c r="K81" i="8"/>
  <c r="K82" i="8"/>
  <c r="K83" i="8"/>
  <c r="K84" i="8"/>
  <c r="K85" i="8"/>
  <c r="K86" i="8"/>
  <c r="K87" i="8"/>
  <c r="K88" i="8"/>
  <c r="K89" i="8"/>
  <c r="K90" i="8"/>
  <c r="C3" i="8"/>
  <c r="B1" i="8" l="1"/>
  <c r="E3" i="9"/>
  <c r="E8" i="8"/>
  <c r="E18" i="9"/>
  <c r="E15" i="9"/>
  <c r="E9" i="9"/>
  <c r="E2" i="9"/>
  <c r="E24" i="9"/>
  <c r="E25" i="9"/>
  <c r="E5" i="9"/>
  <c r="E12" i="9"/>
  <c r="E22" i="9"/>
  <c r="E20" i="9"/>
  <c r="E27" i="9"/>
  <c r="E10" i="9"/>
  <c r="E6" i="9"/>
  <c r="E8" i="9"/>
  <c r="E21" i="9"/>
  <c r="E26" i="9"/>
  <c r="E11" i="9"/>
  <c r="E14" i="9"/>
  <c r="E16" i="9"/>
  <c r="E23" i="9"/>
  <c r="E4" i="9"/>
  <c r="E13" i="9"/>
  <c r="E17" i="9"/>
  <c r="E7" i="9"/>
  <c r="E19" i="9"/>
  <c r="JD181" i="8" l="1"/>
  <c r="JD182" i="8"/>
  <c r="JD183" i="8"/>
  <c r="JD184" i="8"/>
  <c r="K33" i="8"/>
  <c r="K32" i="8"/>
  <c r="K10" i="8"/>
  <c r="D3" i="8"/>
  <c r="D28" i="9" l="1"/>
  <c r="C5" i="14" l="1"/>
  <c r="C6" i="14"/>
  <c r="C7" i="14"/>
  <c r="C8" i="14"/>
  <c r="C9" i="14"/>
  <c r="C10" i="14"/>
  <c r="C11" i="14"/>
  <c r="C12" i="14"/>
  <c r="C27" i="14"/>
  <c r="C28" i="14"/>
  <c r="C29" i="14"/>
  <c r="C30" i="14"/>
  <c r="C32" i="14"/>
  <c r="C49" i="14"/>
  <c r="C51" i="14"/>
  <c r="C53" i="14"/>
  <c r="C54" i="14"/>
  <c r="C71" i="14"/>
  <c r="C73" i="14"/>
  <c r="C74" i="14"/>
  <c r="C93" i="14"/>
  <c r="C94" i="14"/>
  <c r="C95" i="14"/>
  <c r="C115" i="14"/>
  <c r="C116" i="14"/>
  <c r="C118" i="14"/>
  <c r="C119" i="14"/>
  <c r="C137" i="14"/>
  <c r="C138" i="14"/>
  <c r="C139" i="14"/>
  <c r="C159" i="14"/>
  <c r="C16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31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50" i="14"/>
  <c r="C52" i="14"/>
  <c r="C55" i="14"/>
  <c r="C56" i="14"/>
  <c r="C57" i="14"/>
  <c r="C58" i="14"/>
  <c r="C59" i="14"/>
  <c r="C60" i="14"/>
  <c r="C61" i="14"/>
  <c r="C62" i="14"/>
  <c r="C63" i="14"/>
  <c r="C64" i="14"/>
  <c r="C65" i="14"/>
  <c r="C66" i="14"/>
  <c r="C67" i="14"/>
  <c r="C68" i="14"/>
  <c r="C69" i="14"/>
  <c r="C70" i="14"/>
  <c r="C72" i="14"/>
  <c r="C75" i="14"/>
  <c r="C76" i="14"/>
  <c r="C77" i="14"/>
  <c r="C78" i="14"/>
  <c r="C79" i="14"/>
  <c r="C80" i="14"/>
  <c r="C81" i="14"/>
  <c r="C82" i="14"/>
  <c r="C83" i="14"/>
  <c r="C84" i="14"/>
  <c r="C85" i="14"/>
  <c r="C86" i="14"/>
  <c r="C87" i="14"/>
  <c r="C88" i="14"/>
  <c r="C89" i="14"/>
  <c r="C90" i="14"/>
  <c r="C91" i="14"/>
  <c r="C92" i="14"/>
  <c r="C96" i="14"/>
  <c r="C97" i="14"/>
  <c r="C98" i="14"/>
  <c r="C99" i="14"/>
  <c r="C100" i="14"/>
  <c r="C101" i="14"/>
  <c r="C102" i="14"/>
  <c r="C103" i="14"/>
  <c r="C104" i="14"/>
  <c r="C105" i="14"/>
  <c r="C106" i="14"/>
  <c r="C107" i="14"/>
  <c r="C108" i="14"/>
  <c r="C109" i="14"/>
  <c r="C110" i="14"/>
  <c r="C111" i="14"/>
  <c r="C112" i="14"/>
  <c r="C113" i="14"/>
  <c r="C114" i="14"/>
  <c r="C117" i="14"/>
  <c r="C120" i="14"/>
  <c r="C121" i="14"/>
  <c r="C122" i="14"/>
  <c r="C123" i="14"/>
  <c r="C124" i="14"/>
  <c r="C125" i="14"/>
  <c r="C126" i="14"/>
  <c r="C127" i="14"/>
  <c r="C128" i="14"/>
  <c r="C129" i="14"/>
  <c r="C130" i="14"/>
  <c r="C131" i="14"/>
  <c r="C132" i="14"/>
  <c r="C133" i="14"/>
  <c r="C134" i="14"/>
  <c r="C135" i="14"/>
  <c r="C136" i="14"/>
  <c r="C140" i="14"/>
  <c r="C141" i="14"/>
  <c r="C142" i="14"/>
  <c r="C143" i="14"/>
  <c r="C144" i="14"/>
  <c r="C145" i="14"/>
  <c r="C146" i="14"/>
  <c r="C147" i="14"/>
  <c r="C148" i="14"/>
  <c r="C149" i="14"/>
  <c r="C150" i="14"/>
  <c r="C151" i="14"/>
  <c r="C152" i="14"/>
  <c r="C153" i="14"/>
  <c r="C154" i="14"/>
  <c r="C155" i="14"/>
  <c r="C156" i="14"/>
  <c r="C157" i="14"/>
  <c r="C158" i="14"/>
  <c r="C160" i="14"/>
  <c r="C161" i="14"/>
  <c r="C163" i="14"/>
  <c r="C164" i="14"/>
  <c r="C165" i="14"/>
  <c r="C166" i="14"/>
  <c r="C167" i="14"/>
  <c r="C168" i="14"/>
  <c r="C169" i="14"/>
  <c r="C170" i="14"/>
  <c r="C171" i="14"/>
  <c r="C172" i="14"/>
  <c r="C173" i="14"/>
  <c r="C174" i="14"/>
  <c r="C175" i="14"/>
  <c r="C176" i="14"/>
  <c r="C177" i="14"/>
  <c r="C178" i="14"/>
  <c r="C179" i="14"/>
  <c r="A7" i="10" l="1"/>
  <c r="A1" i="10"/>
  <c r="G8" i="10"/>
  <c r="F8" i="10"/>
  <c r="D8" i="10"/>
  <c r="D5" i="14"/>
  <c r="E5" i="14"/>
  <c r="F5" i="14"/>
  <c r="D6" i="14"/>
  <c r="E6" i="14"/>
  <c r="F6" i="14"/>
  <c r="D7" i="14"/>
  <c r="E7" i="14"/>
  <c r="F7" i="14"/>
  <c r="D8" i="14"/>
  <c r="E8" i="14"/>
  <c r="F8" i="14"/>
  <c r="D9" i="14"/>
  <c r="E9" i="14"/>
  <c r="F9" i="14"/>
  <c r="D10" i="14"/>
  <c r="E10" i="14"/>
  <c r="F10" i="14"/>
  <c r="D11" i="14"/>
  <c r="E11" i="14"/>
  <c r="F11" i="14"/>
  <c r="D12" i="14"/>
  <c r="E12" i="14"/>
  <c r="F12" i="14"/>
  <c r="D13" i="14"/>
  <c r="E13" i="14"/>
  <c r="F13" i="14"/>
  <c r="D14" i="14"/>
  <c r="E14" i="14"/>
  <c r="F14" i="14"/>
  <c r="D15" i="14"/>
  <c r="E15" i="14"/>
  <c r="F15" i="14"/>
  <c r="D16" i="14"/>
  <c r="E16" i="14"/>
  <c r="F16" i="14"/>
  <c r="D17" i="14"/>
  <c r="E17" i="14"/>
  <c r="F17" i="14"/>
  <c r="D18" i="14"/>
  <c r="E18" i="14"/>
  <c r="F18" i="14"/>
  <c r="D19" i="14"/>
  <c r="E19" i="14"/>
  <c r="F19" i="14"/>
  <c r="D20" i="14"/>
  <c r="E20" i="14"/>
  <c r="F20" i="14"/>
  <c r="D21" i="14"/>
  <c r="E21" i="14"/>
  <c r="F21" i="14"/>
  <c r="D22" i="14"/>
  <c r="E22" i="14"/>
  <c r="F22" i="14"/>
  <c r="D23" i="14"/>
  <c r="E23" i="14"/>
  <c r="F23" i="14"/>
  <c r="D24" i="14"/>
  <c r="E24" i="14"/>
  <c r="F24" i="14"/>
  <c r="D25" i="14"/>
  <c r="E25" i="14"/>
  <c r="F25" i="14"/>
  <c r="D26" i="14"/>
  <c r="E26" i="14"/>
  <c r="F26" i="14"/>
  <c r="G26" i="14"/>
  <c r="I26" i="14" s="1"/>
  <c r="D27" i="14"/>
  <c r="E27" i="14"/>
  <c r="F27" i="14"/>
  <c r="D28" i="14"/>
  <c r="E28" i="14"/>
  <c r="F28" i="14"/>
  <c r="D29" i="14"/>
  <c r="E29" i="14"/>
  <c r="F29" i="14"/>
  <c r="D30" i="14"/>
  <c r="E30" i="14"/>
  <c r="F30" i="14"/>
  <c r="D31" i="14"/>
  <c r="E31" i="14"/>
  <c r="F31" i="14"/>
  <c r="D32" i="14"/>
  <c r="E32" i="14"/>
  <c r="F32" i="14"/>
  <c r="D33" i="14"/>
  <c r="E33" i="14"/>
  <c r="F33" i="14"/>
  <c r="D34" i="14"/>
  <c r="E34" i="14"/>
  <c r="F34" i="14"/>
  <c r="D35" i="14"/>
  <c r="E35" i="14"/>
  <c r="F35" i="14"/>
  <c r="D36" i="14"/>
  <c r="E36" i="14"/>
  <c r="F36" i="14"/>
  <c r="D37" i="14"/>
  <c r="E37" i="14"/>
  <c r="F37" i="14"/>
  <c r="D38" i="14"/>
  <c r="E38" i="14"/>
  <c r="F38" i="14"/>
  <c r="D39" i="14"/>
  <c r="E39" i="14"/>
  <c r="F39" i="14"/>
  <c r="D40" i="14"/>
  <c r="E40" i="14"/>
  <c r="F40" i="14"/>
  <c r="D41" i="14"/>
  <c r="E41" i="14"/>
  <c r="F41" i="14"/>
  <c r="D42" i="14"/>
  <c r="E42" i="14"/>
  <c r="F42" i="14"/>
  <c r="D43" i="14"/>
  <c r="E43" i="14"/>
  <c r="F43" i="14"/>
  <c r="D44" i="14"/>
  <c r="E44" i="14"/>
  <c r="F44" i="14"/>
  <c r="D45" i="14"/>
  <c r="E45" i="14"/>
  <c r="F45" i="14"/>
  <c r="G45" i="14"/>
  <c r="I45" i="14" s="1"/>
  <c r="D46" i="14"/>
  <c r="E46" i="14"/>
  <c r="F46" i="14"/>
  <c r="G46" i="14"/>
  <c r="I46" i="14" s="1"/>
  <c r="D47" i="14"/>
  <c r="E47" i="14"/>
  <c r="F47" i="14"/>
  <c r="G47" i="14"/>
  <c r="I47" i="14" s="1"/>
  <c r="D48" i="14"/>
  <c r="E48" i="14"/>
  <c r="F48" i="14"/>
  <c r="G48" i="14"/>
  <c r="I48" i="14" s="1"/>
  <c r="D49" i="14"/>
  <c r="E49" i="14"/>
  <c r="F49" i="14"/>
  <c r="D50" i="14"/>
  <c r="E50" i="14"/>
  <c r="F50" i="14"/>
  <c r="D51" i="14"/>
  <c r="E51" i="14"/>
  <c r="F51" i="14"/>
  <c r="D52" i="14"/>
  <c r="E52" i="14"/>
  <c r="F52" i="14"/>
  <c r="D53" i="14"/>
  <c r="E53" i="14"/>
  <c r="F53" i="14"/>
  <c r="D54" i="14"/>
  <c r="E54" i="14"/>
  <c r="F54" i="14"/>
  <c r="D55" i="14"/>
  <c r="E55" i="14"/>
  <c r="F55" i="14"/>
  <c r="D56" i="14"/>
  <c r="E56" i="14"/>
  <c r="F56" i="14"/>
  <c r="D57" i="14"/>
  <c r="E57" i="14"/>
  <c r="F57" i="14"/>
  <c r="D58" i="14"/>
  <c r="E58" i="14"/>
  <c r="F58" i="14"/>
  <c r="D59" i="14"/>
  <c r="E59" i="14"/>
  <c r="F59" i="14"/>
  <c r="D60" i="14"/>
  <c r="E60" i="14"/>
  <c r="F60" i="14"/>
  <c r="D61" i="14"/>
  <c r="E61" i="14"/>
  <c r="F61" i="14"/>
  <c r="D62" i="14"/>
  <c r="E62" i="14"/>
  <c r="F62" i="14"/>
  <c r="D63" i="14"/>
  <c r="E63" i="14"/>
  <c r="F63" i="14"/>
  <c r="D64" i="14"/>
  <c r="E64" i="14"/>
  <c r="F64" i="14"/>
  <c r="D65" i="14"/>
  <c r="E65" i="14"/>
  <c r="F65" i="14"/>
  <c r="D66" i="14"/>
  <c r="E66" i="14"/>
  <c r="F66" i="14"/>
  <c r="D67" i="14"/>
  <c r="E67" i="14"/>
  <c r="F67" i="14"/>
  <c r="D68" i="14"/>
  <c r="E68" i="14"/>
  <c r="F68" i="14"/>
  <c r="D69" i="14"/>
  <c r="E69" i="14"/>
  <c r="F69" i="14"/>
  <c r="D70" i="14"/>
  <c r="E70" i="14"/>
  <c r="F70" i="14"/>
  <c r="G70" i="14"/>
  <c r="I70" i="14" s="1"/>
  <c r="D71" i="14"/>
  <c r="E71" i="14"/>
  <c r="F71" i="14"/>
  <c r="D72" i="14"/>
  <c r="E72" i="14"/>
  <c r="F72" i="14"/>
  <c r="D73" i="14"/>
  <c r="E73" i="14"/>
  <c r="F73" i="14"/>
  <c r="D74" i="14"/>
  <c r="E74" i="14"/>
  <c r="F74" i="14"/>
  <c r="D75" i="14"/>
  <c r="E75" i="14"/>
  <c r="F75" i="14"/>
  <c r="D76" i="14"/>
  <c r="E76" i="14"/>
  <c r="F76" i="14"/>
  <c r="D77" i="14"/>
  <c r="E77" i="14"/>
  <c r="F77" i="14"/>
  <c r="D78" i="14"/>
  <c r="E78" i="14"/>
  <c r="F78" i="14"/>
  <c r="D79" i="14"/>
  <c r="E79" i="14"/>
  <c r="F79" i="14"/>
  <c r="D80" i="14"/>
  <c r="E80" i="14"/>
  <c r="F80" i="14"/>
  <c r="D81" i="14"/>
  <c r="E81" i="14"/>
  <c r="F81" i="14"/>
  <c r="D82" i="14"/>
  <c r="E82" i="14"/>
  <c r="F82" i="14"/>
  <c r="D83" i="14"/>
  <c r="E83" i="14"/>
  <c r="F83" i="14"/>
  <c r="D84" i="14"/>
  <c r="E84" i="14"/>
  <c r="F84" i="14"/>
  <c r="D85" i="14"/>
  <c r="E85" i="14"/>
  <c r="F85" i="14"/>
  <c r="D86" i="14"/>
  <c r="E86" i="14"/>
  <c r="F86" i="14"/>
  <c r="D87" i="14"/>
  <c r="E87" i="14"/>
  <c r="F87" i="14"/>
  <c r="D88" i="14"/>
  <c r="E88" i="14"/>
  <c r="F88" i="14"/>
  <c r="D89" i="14"/>
  <c r="E89" i="14"/>
  <c r="F89" i="14"/>
  <c r="D90" i="14"/>
  <c r="E90" i="14"/>
  <c r="F90" i="14"/>
  <c r="D91" i="14"/>
  <c r="E91" i="14"/>
  <c r="F91" i="14"/>
  <c r="D92" i="14"/>
  <c r="E92" i="14"/>
  <c r="F92" i="14"/>
  <c r="G92" i="14"/>
  <c r="I92" i="14" s="1"/>
  <c r="D93" i="14"/>
  <c r="E93" i="14"/>
  <c r="F93" i="14"/>
  <c r="D94" i="14"/>
  <c r="E94" i="14"/>
  <c r="F94" i="14"/>
  <c r="D95" i="14"/>
  <c r="E95" i="14"/>
  <c r="F95" i="14"/>
  <c r="D96" i="14"/>
  <c r="E96" i="14"/>
  <c r="F96" i="14"/>
  <c r="D97" i="14"/>
  <c r="E97" i="14"/>
  <c r="F97" i="14"/>
  <c r="D98" i="14"/>
  <c r="E98" i="14"/>
  <c r="F98" i="14"/>
  <c r="D99" i="14"/>
  <c r="E99" i="14"/>
  <c r="F99" i="14"/>
  <c r="D100" i="14"/>
  <c r="E100" i="14"/>
  <c r="F100" i="14"/>
  <c r="D101" i="14"/>
  <c r="E101" i="14"/>
  <c r="F101" i="14"/>
  <c r="D102" i="14"/>
  <c r="E102" i="14"/>
  <c r="F102" i="14"/>
  <c r="D103" i="14"/>
  <c r="E103" i="14"/>
  <c r="F103" i="14"/>
  <c r="D104" i="14"/>
  <c r="E104" i="14"/>
  <c r="F104" i="14"/>
  <c r="D105" i="14"/>
  <c r="E105" i="14"/>
  <c r="F105" i="14"/>
  <c r="D106" i="14"/>
  <c r="E106" i="14"/>
  <c r="F106" i="14"/>
  <c r="D107" i="14"/>
  <c r="E107" i="14"/>
  <c r="F107" i="14"/>
  <c r="D108" i="14"/>
  <c r="E108" i="14"/>
  <c r="F108" i="14"/>
  <c r="D109" i="14"/>
  <c r="E109" i="14"/>
  <c r="F109" i="14"/>
  <c r="D110" i="14"/>
  <c r="E110" i="14"/>
  <c r="F110" i="14"/>
  <c r="D111" i="14"/>
  <c r="E111" i="14"/>
  <c r="F111" i="14"/>
  <c r="D112" i="14"/>
  <c r="E112" i="14"/>
  <c r="F112" i="14"/>
  <c r="D113" i="14"/>
  <c r="E113" i="14"/>
  <c r="F113" i="14"/>
  <c r="D114" i="14"/>
  <c r="E114" i="14"/>
  <c r="F114" i="14"/>
  <c r="G114" i="14"/>
  <c r="I114" i="14" s="1"/>
  <c r="D115" i="14"/>
  <c r="E115" i="14"/>
  <c r="F115" i="14"/>
  <c r="D116" i="14"/>
  <c r="E116" i="14"/>
  <c r="F116" i="14"/>
  <c r="D117" i="14"/>
  <c r="E117" i="14"/>
  <c r="F117" i="14"/>
  <c r="D118" i="14"/>
  <c r="E118" i="14"/>
  <c r="F118" i="14"/>
  <c r="D119" i="14"/>
  <c r="E119" i="14"/>
  <c r="F119" i="14"/>
  <c r="D120" i="14"/>
  <c r="E120" i="14"/>
  <c r="F120" i="14"/>
  <c r="D121" i="14"/>
  <c r="E121" i="14"/>
  <c r="F121" i="14"/>
  <c r="D122" i="14"/>
  <c r="E122" i="14"/>
  <c r="F122" i="14"/>
  <c r="D123" i="14"/>
  <c r="E123" i="14"/>
  <c r="F123" i="14"/>
  <c r="D124" i="14"/>
  <c r="E124" i="14"/>
  <c r="F124" i="14"/>
  <c r="D125" i="14"/>
  <c r="E125" i="14"/>
  <c r="F125" i="14"/>
  <c r="D126" i="14"/>
  <c r="E126" i="14"/>
  <c r="F126" i="14"/>
  <c r="D127" i="14"/>
  <c r="E127" i="14"/>
  <c r="F127" i="14"/>
  <c r="D128" i="14"/>
  <c r="E128" i="14"/>
  <c r="F128" i="14"/>
  <c r="D129" i="14"/>
  <c r="E129" i="14"/>
  <c r="F129" i="14"/>
  <c r="D130" i="14"/>
  <c r="E130" i="14"/>
  <c r="F130" i="14"/>
  <c r="D131" i="14"/>
  <c r="E131" i="14"/>
  <c r="F131" i="14"/>
  <c r="D132" i="14"/>
  <c r="E132" i="14"/>
  <c r="F132" i="14"/>
  <c r="D133" i="14"/>
  <c r="E133" i="14"/>
  <c r="F133" i="14"/>
  <c r="D134" i="14"/>
  <c r="E134" i="14"/>
  <c r="F134" i="14"/>
  <c r="D135" i="14"/>
  <c r="E135" i="14"/>
  <c r="F135" i="14"/>
  <c r="D136" i="14"/>
  <c r="E136" i="14"/>
  <c r="F136" i="14"/>
  <c r="G136" i="14"/>
  <c r="I136" i="14" s="1"/>
  <c r="D137" i="14"/>
  <c r="E137" i="14"/>
  <c r="F137" i="14"/>
  <c r="D138" i="14"/>
  <c r="E138" i="14"/>
  <c r="F138" i="14"/>
  <c r="D139" i="14"/>
  <c r="E139" i="14"/>
  <c r="F139" i="14"/>
  <c r="D140" i="14"/>
  <c r="E140" i="14"/>
  <c r="F140" i="14"/>
  <c r="D141" i="14"/>
  <c r="E141" i="14"/>
  <c r="F141" i="14"/>
  <c r="D142" i="14"/>
  <c r="E142" i="14"/>
  <c r="F142" i="14"/>
  <c r="D143" i="14"/>
  <c r="E143" i="14"/>
  <c r="F143" i="14"/>
  <c r="D144" i="14"/>
  <c r="E144" i="14"/>
  <c r="F144" i="14"/>
  <c r="D145" i="14"/>
  <c r="E145" i="14"/>
  <c r="F145" i="14"/>
  <c r="D146" i="14"/>
  <c r="E146" i="14"/>
  <c r="F146" i="14"/>
  <c r="D147" i="14"/>
  <c r="E147" i="14"/>
  <c r="F147" i="14"/>
  <c r="D148" i="14"/>
  <c r="E148" i="14"/>
  <c r="F148" i="14"/>
  <c r="D149" i="14"/>
  <c r="E149" i="14"/>
  <c r="F149" i="14"/>
  <c r="D150" i="14"/>
  <c r="E150" i="14"/>
  <c r="F150" i="14"/>
  <c r="D151" i="14"/>
  <c r="E151" i="14"/>
  <c r="F151" i="14"/>
  <c r="D152" i="14"/>
  <c r="E152" i="14"/>
  <c r="F152" i="14"/>
  <c r="D153" i="14"/>
  <c r="E153" i="14"/>
  <c r="F153" i="14"/>
  <c r="D154" i="14"/>
  <c r="E154" i="14"/>
  <c r="F154" i="14"/>
  <c r="D155" i="14"/>
  <c r="E155" i="14"/>
  <c r="F155" i="14"/>
  <c r="D156" i="14"/>
  <c r="E156" i="14"/>
  <c r="F156" i="14"/>
  <c r="D157" i="14"/>
  <c r="E157" i="14"/>
  <c r="F157" i="14"/>
  <c r="D158" i="14"/>
  <c r="E158" i="14"/>
  <c r="F158" i="14"/>
  <c r="G158" i="14"/>
  <c r="I158" i="14" s="1"/>
  <c r="D159" i="14"/>
  <c r="E159" i="14"/>
  <c r="F159" i="14"/>
  <c r="D160" i="14"/>
  <c r="E160" i="14"/>
  <c r="F160" i="14"/>
  <c r="D161" i="14"/>
  <c r="E161" i="14"/>
  <c r="F161" i="14"/>
  <c r="D162" i="14"/>
  <c r="E162" i="14"/>
  <c r="F162" i="14"/>
  <c r="D163" i="14"/>
  <c r="E163" i="14"/>
  <c r="F163" i="14"/>
  <c r="D164" i="14"/>
  <c r="E164" i="14"/>
  <c r="F164" i="14"/>
  <c r="D165" i="14"/>
  <c r="E165" i="14"/>
  <c r="F165" i="14"/>
  <c r="G165" i="14"/>
  <c r="I165" i="14" s="1"/>
  <c r="D166" i="14"/>
  <c r="E166" i="14"/>
  <c r="F166" i="14"/>
  <c r="G166" i="14"/>
  <c r="I166" i="14" s="1"/>
  <c r="D167" i="14"/>
  <c r="E167" i="14"/>
  <c r="F167" i="14"/>
  <c r="G167" i="14"/>
  <c r="I167" i="14" s="1"/>
  <c r="D168" i="14"/>
  <c r="E168" i="14"/>
  <c r="F168" i="14"/>
  <c r="D169" i="14"/>
  <c r="E169" i="14"/>
  <c r="F169" i="14"/>
  <c r="D170" i="14"/>
  <c r="E170" i="14"/>
  <c r="F170" i="14"/>
  <c r="D171" i="14"/>
  <c r="E171" i="14"/>
  <c r="F171" i="14"/>
  <c r="D172" i="14"/>
  <c r="E172" i="14"/>
  <c r="F172" i="14"/>
  <c r="D173" i="14"/>
  <c r="E173" i="14"/>
  <c r="F173" i="14"/>
  <c r="D174" i="14"/>
  <c r="E174" i="14"/>
  <c r="F174" i="14"/>
  <c r="D175" i="14"/>
  <c r="E175" i="14"/>
  <c r="F175" i="14"/>
  <c r="D176" i="14"/>
  <c r="E176" i="14"/>
  <c r="F176" i="14"/>
  <c r="D177" i="14"/>
  <c r="E177" i="14"/>
  <c r="F177" i="14"/>
  <c r="D178" i="14"/>
  <c r="E178" i="14"/>
  <c r="F178" i="14"/>
  <c r="D179" i="14"/>
  <c r="E179" i="14"/>
  <c r="F179" i="14"/>
  <c r="D4" i="14"/>
  <c r="E4" i="14"/>
  <c r="F4" i="14"/>
  <c r="G4" i="14"/>
  <c r="C4" i="14"/>
  <c r="B1" i="14"/>
  <c r="D27" i="13"/>
  <c r="E27" i="13"/>
  <c r="F27" i="13"/>
  <c r="D28" i="13"/>
  <c r="E28" i="13"/>
  <c r="F28" i="13"/>
  <c r="D29" i="13"/>
  <c r="E29" i="13"/>
  <c r="F29" i="13"/>
  <c r="D30" i="13"/>
  <c r="E30" i="13"/>
  <c r="F30" i="13"/>
  <c r="D31" i="13"/>
  <c r="E31" i="13"/>
  <c r="F31" i="13"/>
  <c r="D32" i="13"/>
  <c r="E32" i="13"/>
  <c r="F32" i="13"/>
  <c r="D33" i="13"/>
  <c r="E33" i="13"/>
  <c r="F33" i="13"/>
  <c r="D34" i="13"/>
  <c r="E34" i="13"/>
  <c r="F34" i="13"/>
  <c r="D35" i="13"/>
  <c r="E35" i="13"/>
  <c r="F35" i="13"/>
  <c r="D36" i="13"/>
  <c r="E36" i="13"/>
  <c r="F36" i="13"/>
  <c r="D37" i="13"/>
  <c r="E37" i="13"/>
  <c r="F37" i="13"/>
  <c r="D38" i="13"/>
  <c r="E38" i="13"/>
  <c r="F38" i="13"/>
  <c r="D39" i="13"/>
  <c r="E39" i="13"/>
  <c r="F39" i="13"/>
  <c r="D40" i="13"/>
  <c r="E40" i="13"/>
  <c r="F40" i="13"/>
  <c r="D41" i="13"/>
  <c r="E41" i="13"/>
  <c r="F41" i="13"/>
  <c r="D42" i="13"/>
  <c r="E42" i="13"/>
  <c r="F42" i="13"/>
  <c r="D43" i="13"/>
  <c r="E43" i="13"/>
  <c r="F43" i="13"/>
  <c r="D44" i="13"/>
  <c r="E44" i="13"/>
  <c r="F44" i="13"/>
  <c r="D45" i="13"/>
  <c r="E45" i="13"/>
  <c r="F45" i="13"/>
  <c r="G45" i="13"/>
  <c r="I45" i="13" s="1"/>
  <c r="D46" i="13"/>
  <c r="E46" i="13"/>
  <c r="F46" i="13"/>
  <c r="G46" i="13"/>
  <c r="I46" i="13" s="1"/>
  <c r="D47" i="13"/>
  <c r="E47" i="13"/>
  <c r="F47" i="13"/>
  <c r="G47" i="13"/>
  <c r="I47" i="13" s="1"/>
  <c r="D49" i="13"/>
  <c r="E49" i="13"/>
  <c r="F49" i="13"/>
  <c r="D50" i="13"/>
  <c r="E50" i="13"/>
  <c r="F50" i="13"/>
  <c r="D51" i="13"/>
  <c r="E51" i="13"/>
  <c r="F51" i="13"/>
  <c r="D52" i="13"/>
  <c r="E52" i="13"/>
  <c r="F52" i="13"/>
  <c r="D53" i="13"/>
  <c r="E53" i="13"/>
  <c r="F53" i="13"/>
  <c r="D54" i="13"/>
  <c r="E54" i="13"/>
  <c r="F54" i="13"/>
  <c r="D55" i="13"/>
  <c r="E55" i="13"/>
  <c r="F55" i="13"/>
  <c r="D56" i="13"/>
  <c r="E56" i="13"/>
  <c r="F56" i="13"/>
  <c r="D57" i="13"/>
  <c r="E57" i="13"/>
  <c r="F57" i="13"/>
  <c r="D58" i="13"/>
  <c r="E58" i="13"/>
  <c r="F58" i="13"/>
  <c r="D59" i="13"/>
  <c r="E59" i="13"/>
  <c r="F59" i="13"/>
  <c r="D60" i="13"/>
  <c r="E60" i="13"/>
  <c r="F60" i="13"/>
  <c r="D61" i="13"/>
  <c r="E61" i="13"/>
  <c r="F61" i="13"/>
  <c r="D62" i="13"/>
  <c r="E62" i="13"/>
  <c r="F62" i="13"/>
  <c r="D63" i="13"/>
  <c r="E63" i="13"/>
  <c r="F63" i="13"/>
  <c r="D64" i="13"/>
  <c r="E64" i="13"/>
  <c r="F64" i="13"/>
  <c r="D65" i="13"/>
  <c r="E65" i="13"/>
  <c r="F65" i="13"/>
  <c r="D66" i="13"/>
  <c r="E66" i="13"/>
  <c r="F66" i="13"/>
  <c r="D67" i="13"/>
  <c r="E67" i="13"/>
  <c r="F67" i="13"/>
  <c r="D68" i="13"/>
  <c r="E68" i="13"/>
  <c r="F68" i="13"/>
  <c r="D69" i="13"/>
  <c r="E69" i="13"/>
  <c r="F69" i="13"/>
  <c r="D71" i="13"/>
  <c r="E71" i="13"/>
  <c r="F71" i="13"/>
  <c r="D72" i="13"/>
  <c r="E72" i="13"/>
  <c r="F72" i="13"/>
  <c r="D73" i="13"/>
  <c r="E73" i="13"/>
  <c r="F73" i="13"/>
  <c r="D74" i="13"/>
  <c r="E74" i="13"/>
  <c r="F74" i="13"/>
  <c r="D75" i="13"/>
  <c r="E75" i="13"/>
  <c r="F75" i="13"/>
  <c r="D76" i="13"/>
  <c r="E76" i="13"/>
  <c r="F76" i="13"/>
  <c r="D77" i="13"/>
  <c r="E77" i="13"/>
  <c r="F77" i="13"/>
  <c r="D78" i="13"/>
  <c r="E78" i="13"/>
  <c r="F78" i="13"/>
  <c r="D79" i="13"/>
  <c r="E79" i="13"/>
  <c r="F79" i="13"/>
  <c r="D80" i="13"/>
  <c r="E80" i="13"/>
  <c r="F80" i="13"/>
  <c r="D81" i="13"/>
  <c r="E81" i="13"/>
  <c r="F81" i="13"/>
  <c r="D82" i="13"/>
  <c r="E82" i="13"/>
  <c r="F82" i="13"/>
  <c r="D83" i="13"/>
  <c r="E83" i="13"/>
  <c r="F83" i="13"/>
  <c r="D84" i="13"/>
  <c r="E84" i="13"/>
  <c r="F84" i="13"/>
  <c r="D85" i="13"/>
  <c r="E85" i="13"/>
  <c r="F85" i="13"/>
  <c r="D86" i="13"/>
  <c r="E86" i="13"/>
  <c r="F86" i="13"/>
  <c r="D87" i="13"/>
  <c r="E87" i="13"/>
  <c r="F87" i="13"/>
  <c r="D88" i="13"/>
  <c r="E88" i="13"/>
  <c r="F88" i="13"/>
  <c r="D89" i="13"/>
  <c r="E89" i="13"/>
  <c r="F89" i="13"/>
  <c r="D90" i="13"/>
  <c r="E90" i="13"/>
  <c r="F90" i="13"/>
  <c r="D91" i="13"/>
  <c r="E91" i="13"/>
  <c r="F91" i="13"/>
  <c r="D93" i="13"/>
  <c r="E93" i="13"/>
  <c r="F93" i="13"/>
  <c r="D94" i="13"/>
  <c r="E94" i="13"/>
  <c r="F94" i="13"/>
  <c r="D95" i="13"/>
  <c r="E95" i="13"/>
  <c r="F95" i="13"/>
  <c r="D96" i="13"/>
  <c r="E96" i="13"/>
  <c r="F96" i="13"/>
  <c r="D97" i="13"/>
  <c r="E97" i="13"/>
  <c r="F97" i="13"/>
  <c r="D98" i="13"/>
  <c r="E98" i="13"/>
  <c r="F98" i="13"/>
  <c r="D99" i="13"/>
  <c r="E99" i="13"/>
  <c r="F99" i="13"/>
  <c r="D100" i="13"/>
  <c r="E100" i="13"/>
  <c r="F100" i="13"/>
  <c r="D101" i="13"/>
  <c r="E101" i="13"/>
  <c r="F101" i="13"/>
  <c r="D102" i="13"/>
  <c r="E102" i="13"/>
  <c r="F102" i="13"/>
  <c r="D103" i="13"/>
  <c r="E103" i="13"/>
  <c r="F103" i="13"/>
  <c r="D104" i="13"/>
  <c r="E104" i="13"/>
  <c r="F104" i="13"/>
  <c r="D105" i="13"/>
  <c r="E105" i="13"/>
  <c r="F105" i="13"/>
  <c r="D106" i="13"/>
  <c r="E106" i="13"/>
  <c r="F106" i="13"/>
  <c r="D107" i="13"/>
  <c r="E107" i="13"/>
  <c r="F107" i="13"/>
  <c r="D108" i="13"/>
  <c r="E108" i="13"/>
  <c r="F108" i="13"/>
  <c r="D109" i="13"/>
  <c r="E109" i="13"/>
  <c r="F109" i="13"/>
  <c r="D110" i="13"/>
  <c r="E110" i="13"/>
  <c r="F110" i="13"/>
  <c r="D111" i="13"/>
  <c r="E111" i="13"/>
  <c r="F111" i="13"/>
  <c r="D112" i="13"/>
  <c r="E112" i="13"/>
  <c r="F112" i="13"/>
  <c r="D113" i="13"/>
  <c r="E113" i="13"/>
  <c r="F113" i="13"/>
  <c r="D115" i="13"/>
  <c r="E115" i="13"/>
  <c r="F115" i="13"/>
  <c r="D116" i="13"/>
  <c r="E116" i="13"/>
  <c r="F116" i="13"/>
  <c r="D117" i="13"/>
  <c r="E117" i="13"/>
  <c r="F117" i="13"/>
  <c r="D118" i="13"/>
  <c r="E118" i="13"/>
  <c r="F118" i="13"/>
  <c r="D119" i="13"/>
  <c r="E119" i="13"/>
  <c r="F119" i="13"/>
  <c r="D120" i="13"/>
  <c r="E120" i="13"/>
  <c r="F120" i="13"/>
  <c r="D121" i="13"/>
  <c r="E121" i="13"/>
  <c r="F121" i="13"/>
  <c r="D122" i="13"/>
  <c r="E122" i="13"/>
  <c r="F122" i="13"/>
  <c r="D123" i="13"/>
  <c r="E123" i="13"/>
  <c r="F123" i="13"/>
  <c r="D124" i="13"/>
  <c r="E124" i="13"/>
  <c r="F124" i="13"/>
  <c r="D125" i="13"/>
  <c r="E125" i="13"/>
  <c r="F125" i="13"/>
  <c r="D126" i="13"/>
  <c r="E126" i="13"/>
  <c r="F126" i="13"/>
  <c r="D127" i="13"/>
  <c r="E127" i="13"/>
  <c r="F127" i="13"/>
  <c r="D128" i="13"/>
  <c r="E128" i="13"/>
  <c r="F128" i="13"/>
  <c r="D129" i="13"/>
  <c r="E129" i="13"/>
  <c r="F129" i="13"/>
  <c r="D130" i="13"/>
  <c r="E130" i="13"/>
  <c r="F130" i="13"/>
  <c r="D131" i="13"/>
  <c r="E131" i="13"/>
  <c r="F131" i="13"/>
  <c r="D132" i="13"/>
  <c r="E132" i="13"/>
  <c r="F132" i="13"/>
  <c r="D133" i="13"/>
  <c r="E133" i="13"/>
  <c r="F133" i="13"/>
  <c r="D134" i="13"/>
  <c r="E134" i="13"/>
  <c r="F134" i="13"/>
  <c r="D135" i="13"/>
  <c r="E135" i="13"/>
  <c r="F135" i="13"/>
  <c r="D137" i="13"/>
  <c r="E137" i="13"/>
  <c r="F137" i="13"/>
  <c r="D138" i="13"/>
  <c r="E138" i="13"/>
  <c r="F138" i="13"/>
  <c r="D139" i="13"/>
  <c r="E139" i="13"/>
  <c r="F139" i="13"/>
  <c r="D140" i="13"/>
  <c r="E140" i="13"/>
  <c r="F140" i="13"/>
  <c r="D141" i="13"/>
  <c r="E141" i="13"/>
  <c r="F141" i="13"/>
  <c r="D142" i="13"/>
  <c r="E142" i="13"/>
  <c r="F142" i="13"/>
  <c r="D143" i="13"/>
  <c r="E143" i="13"/>
  <c r="F143" i="13"/>
  <c r="D144" i="13"/>
  <c r="E144" i="13"/>
  <c r="F144" i="13"/>
  <c r="D145" i="13"/>
  <c r="E145" i="13"/>
  <c r="F145" i="13"/>
  <c r="D146" i="13"/>
  <c r="E146" i="13"/>
  <c r="F146" i="13"/>
  <c r="D147" i="13"/>
  <c r="E147" i="13"/>
  <c r="F147" i="13"/>
  <c r="D148" i="13"/>
  <c r="E148" i="13"/>
  <c r="F148" i="13"/>
  <c r="D149" i="13"/>
  <c r="E149" i="13"/>
  <c r="F149" i="13"/>
  <c r="D150" i="13"/>
  <c r="E150" i="13"/>
  <c r="F150" i="13"/>
  <c r="D151" i="13"/>
  <c r="E151" i="13"/>
  <c r="F151" i="13"/>
  <c r="D152" i="13"/>
  <c r="E152" i="13"/>
  <c r="F152" i="13"/>
  <c r="D153" i="13"/>
  <c r="E153" i="13"/>
  <c r="F153" i="13"/>
  <c r="D154" i="13"/>
  <c r="E154" i="13"/>
  <c r="F154" i="13"/>
  <c r="D155" i="13"/>
  <c r="E155" i="13"/>
  <c r="F155" i="13"/>
  <c r="D156" i="13"/>
  <c r="E156" i="13"/>
  <c r="F156" i="13"/>
  <c r="D157" i="13"/>
  <c r="E157" i="13"/>
  <c r="F157" i="13"/>
  <c r="D159" i="13"/>
  <c r="E159" i="13"/>
  <c r="F159" i="13"/>
  <c r="D160" i="13"/>
  <c r="E160" i="13"/>
  <c r="F160" i="13"/>
  <c r="D161" i="13"/>
  <c r="E161" i="13"/>
  <c r="F161" i="13"/>
  <c r="D162" i="13"/>
  <c r="E162" i="13"/>
  <c r="F162" i="13"/>
  <c r="D163" i="13"/>
  <c r="E163" i="13"/>
  <c r="F163" i="13"/>
  <c r="D164" i="13"/>
  <c r="E164" i="13"/>
  <c r="F164" i="13"/>
  <c r="D165" i="13"/>
  <c r="E165" i="13"/>
  <c r="F165" i="13"/>
  <c r="G165" i="13"/>
  <c r="I165" i="13" s="1"/>
  <c r="D166" i="13"/>
  <c r="E166" i="13"/>
  <c r="F166" i="13"/>
  <c r="G166" i="13"/>
  <c r="I166" i="13" s="1"/>
  <c r="D167" i="13"/>
  <c r="E167" i="13"/>
  <c r="F167" i="13"/>
  <c r="G167" i="13"/>
  <c r="I167" i="13" s="1"/>
  <c r="D168" i="13"/>
  <c r="E168" i="13"/>
  <c r="F168" i="13"/>
  <c r="D169" i="13"/>
  <c r="E169" i="13"/>
  <c r="F169" i="13"/>
  <c r="D170" i="13"/>
  <c r="E170" i="13"/>
  <c r="F170" i="13"/>
  <c r="D171" i="13"/>
  <c r="E171" i="13"/>
  <c r="F171" i="13"/>
  <c r="D172" i="13"/>
  <c r="E172" i="13"/>
  <c r="F172" i="13"/>
  <c r="D173" i="13"/>
  <c r="E173" i="13"/>
  <c r="F173" i="13"/>
  <c r="D174" i="13"/>
  <c r="E174" i="13"/>
  <c r="F174" i="13"/>
  <c r="D175" i="13"/>
  <c r="E175" i="13"/>
  <c r="F175" i="13"/>
  <c r="D176" i="13"/>
  <c r="E176" i="13"/>
  <c r="F176" i="13"/>
  <c r="D177" i="13"/>
  <c r="E177" i="13"/>
  <c r="F177" i="13"/>
  <c r="D178" i="13"/>
  <c r="E178" i="13"/>
  <c r="F178" i="13"/>
  <c r="D179" i="13"/>
  <c r="E179" i="13"/>
  <c r="F179" i="13"/>
  <c r="D6" i="13"/>
  <c r="E6" i="13"/>
  <c r="F6" i="13"/>
  <c r="D7" i="13"/>
  <c r="E7" i="13"/>
  <c r="F7" i="13"/>
  <c r="D8" i="13"/>
  <c r="E8" i="13"/>
  <c r="F8" i="13"/>
  <c r="D9" i="13"/>
  <c r="E9" i="13"/>
  <c r="F9" i="13"/>
  <c r="D10" i="13"/>
  <c r="E10" i="13"/>
  <c r="F10" i="13"/>
  <c r="D11" i="13"/>
  <c r="E11" i="13"/>
  <c r="F11" i="13"/>
  <c r="D12" i="13"/>
  <c r="E12" i="13"/>
  <c r="F12" i="13"/>
  <c r="D13" i="13"/>
  <c r="E13" i="13"/>
  <c r="F13" i="13"/>
  <c r="D14" i="13"/>
  <c r="E14" i="13"/>
  <c r="F14" i="13"/>
  <c r="D15" i="13"/>
  <c r="E15" i="13"/>
  <c r="F15" i="13"/>
  <c r="D16" i="13"/>
  <c r="E16" i="13"/>
  <c r="F16" i="13"/>
  <c r="D17" i="13"/>
  <c r="E17" i="13"/>
  <c r="F17" i="13"/>
  <c r="D18" i="13"/>
  <c r="E18" i="13"/>
  <c r="F18" i="13"/>
  <c r="D19" i="13"/>
  <c r="E19" i="13"/>
  <c r="F19" i="13"/>
  <c r="D20" i="13"/>
  <c r="E20" i="13"/>
  <c r="F20" i="13"/>
  <c r="D21" i="13"/>
  <c r="E21" i="13"/>
  <c r="F21" i="13"/>
  <c r="D22" i="13"/>
  <c r="E22" i="13"/>
  <c r="F22" i="13"/>
  <c r="D23" i="13"/>
  <c r="E23" i="13"/>
  <c r="F23" i="13"/>
  <c r="D24" i="13"/>
  <c r="E24" i="13"/>
  <c r="F24" i="13"/>
  <c r="D25" i="13"/>
  <c r="E25" i="13"/>
  <c r="F25" i="13"/>
  <c r="F5" i="13"/>
  <c r="E5" i="13"/>
  <c r="D5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4" i="13"/>
  <c r="B1" i="13"/>
  <c r="E180" i="14" l="1"/>
  <c r="I4" i="14"/>
  <c r="F180" i="14"/>
  <c r="D180" i="14"/>
  <c r="D136" i="13"/>
  <c r="D92" i="13"/>
  <c r="D48" i="13"/>
  <c r="F136" i="13"/>
  <c r="F92" i="13"/>
  <c r="F48" i="13"/>
  <c r="F4" i="13"/>
  <c r="E158" i="13"/>
  <c r="E136" i="13"/>
  <c r="E114" i="13"/>
  <c r="E92" i="13"/>
  <c r="E70" i="13"/>
  <c r="E48" i="13"/>
  <c r="E26" i="13"/>
  <c r="F158" i="13"/>
  <c r="D158" i="13"/>
  <c r="F114" i="13"/>
  <c r="D114" i="13"/>
  <c r="F70" i="13"/>
  <c r="D70" i="13"/>
  <c r="F26" i="13"/>
  <c r="D26" i="13"/>
  <c r="D4" i="13"/>
  <c r="E4" i="13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D180" i="13" l="1"/>
  <c r="E180" i="13"/>
  <c r="F180" i="13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60" i="8"/>
  <c r="K62" i="8"/>
  <c r="K66" i="8"/>
  <c r="K68" i="8"/>
  <c r="K71" i="8"/>
  <c r="K72" i="8"/>
  <c r="K73" i="8"/>
  <c r="K74" i="8"/>
  <c r="K75" i="8"/>
  <c r="K76" i="8"/>
  <c r="K77" i="8"/>
  <c r="K78" i="8"/>
  <c r="K79" i="8"/>
  <c r="K96" i="8"/>
  <c r="K97" i="8"/>
  <c r="K98" i="8"/>
  <c r="K99" i="8"/>
  <c r="K100" i="8"/>
  <c r="K101" i="8"/>
  <c r="K102" i="8"/>
  <c r="K103" i="8"/>
  <c r="K104" i="8"/>
  <c r="K105" i="8"/>
  <c r="K106" i="8"/>
  <c r="K107" i="8"/>
  <c r="K108" i="8"/>
  <c r="K109" i="8"/>
  <c r="K110" i="8"/>
  <c r="K111" i="8"/>
  <c r="K112" i="8"/>
  <c r="K118" i="8"/>
  <c r="K119" i="8"/>
  <c r="K120" i="8"/>
  <c r="K121" i="8"/>
  <c r="K122" i="8"/>
  <c r="K123" i="8"/>
  <c r="K124" i="8"/>
  <c r="K125" i="8"/>
  <c r="K126" i="8"/>
  <c r="K127" i="8"/>
  <c r="K128" i="8"/>
  <c r="K129" i="8"/>
  <c r="K130" i="8"/>
  <c r="K131" i="8"/>
  <c r="K132" i="8"/>
  <c r="K133" i="8"/>
  <c r="K134" i="8"/>
  <c r="K225" i="8"/>
  <c r="K226" i="8"/>
  <c r="K227" i="8"/>
  <c r="K228" i="8"/>
  <c r="K229" i="8"/>
  <c r="K230" i="8"/>
  <c r="K231" i="8"/>
  <c r="K232" i="8"/>
  <c r="K233" i="8"/>
  <c r="K234" i="8"/>
  <c r="K235" i="8"/>
  <c r="K236" i="8"/>
  <c r="K237" i="8"/>
  <c r="K238" i="8"/>
  <c r="K239" i="8"/>
  <c r="K240" i="8"/>
  <c r="K241" i="8"/>
  <c r="K242" i="8"/>
  <c r="K243" i="8"/>
  <c r="K244" i="8"/>
  <c r="K224" i="8"/>
  <c r="K203" i="8"/>
  <c r="K204" i="8"/>
  <c r="K205" i="8"/>
  <c r="K206" i="8"/>
  <c r="K207" i="8"/>
  <c r="K208" i="8"/>
  <c r="K209" i="8"/>
  <c r="K210" i="8"/>
  <c r="K211" i="8"/>
  <c r="K212" i="8"/>
  <c r="K213" i="8"/>
  <c r="K214" i="8"/>
  <c r="K215" i="8"/>
  <c r="K216" i="8"/>
  <c r="K217" i="8"/>
  <c r="K218" i="8"/>
  <c r="K219" i="8"/>
  <c r="K220" i="8"/>
  <c r="K221" i="8"/>
  <c r="K222" i="8"/>
  <c r="K184" i="8"/>
  <c r="K185" i="8"/>
  <c r="K186" i="8"/>
  <c r="K187" i="8"/>
  <c r="K188" i="8"/>
  <c r="K189" i="8"/>
  <c r="K190" i="8"/>
  <c r="K191" i="8"/>
  <c r="K192" i="8"/>
  <c r="K193" i="8"/>
  <c r="K194" i="8"/>
  <c r="K195" i="8"/>
  <c r="K196" i="8"/>
  <c r="K197" i="8"/>
  <c r="K198" i="8"/>
  <c r="K199" i="8"/>
  <c r="K200" i="8"/>
  <c r="K161" i="8"/>
  <c r="K162" i="8"/>
  <c r="K163" i="8"/>
  <c r="K164" i="8"/>
  <c r="K165" i="8"/>
  <c r="K166" i="8"/>
  <c r="K167" i="8"/>
  <c r="K168" i="8"/>
  <c r="K169" i="8"/>
  <c r="K170" i="8"/>
  <c r="K171" i="8"/>
  <c r="K172" i="8"/>
  <c r="K173" i="8"/>
  <c r="K174" i="8"/>
  <c r="K175" i="8"/>
  <c r="K176" i="8"/>
  <c r="K177" i="8"/>
  <c r="K178" i="8"/>
  <c r="K141" i="8"/>
  <c r="K142" i="8"/>
  <c r="K143" i="8"/>
  <c r="K144" i="8"/>
  <c r="K145" i="8"/>
  <c r="K146" i="8"/>
  <c r="K147" i="8"/>
  <c r="K148" i="8"/>
  <c r="K149" i="8"/>
  <c r="K150" i="8"/>
  <c r="K151" i="8"/>
  <c r="K152" i="8"/>
  <c r="K153" i="8"/>
  <c r="K154" i="8"/>
  <c r="K155" i="8"/>
  <c r="K156" i="8"/>
  <c r="JD225" i="8"/>
  <c r="JD226" i="8"/>
  <c r="JD227" i="8"/>
  <c r="JD228" i="8"/>
  <c r="JD229" i="8"/>
  <c r="JD230" i="8"/>
  <c r="JD231" i="8"/>
  <c r="JD232" i="8"/>
  <c r="JD233" i="8"/>
  <c r="JD234" i="8"/>
  <c r="JD235" i="8"/>
  <c r="JD236" i="8"/>
  <c r="JD237" i="8"/>
  <c r="JD238" i="8"/>
  <c r="JD239" i="8"/>
  <c r="JD240" i="8"/>
  <c r="JD241" i="8"/>
  <c r="JD242" i="8"/>
  <c r="JD243" i="8"/>
  <c r="JD244" i="8"/>
  <c r="JD224" i="8"/>
  <c r="JD203" i="8"/>
  <c r="JD204" i="8"/>
  <c r="JD205" i="8"/>
  <c r="JD206" i="8"/>
  <c r="JD207" i="8"/>
  <c r="JD208" i="8"/>
  <c r="JD209" i="8"/>
  <c r="JD210" i="8"/>
  <c r="JD211" i="8"/>
  <c r="JD212" i="8"/>
  <c r="JD213" i="8"/>
  <c r="JD214" i="8"/>
  <c r="JD215" i="8"/>
  <c r="JD216" i="8"/>
  <c r="JD217" i="8"/>
  <c r="JD218" i="8"/>
  <c r="JD219" i="8"/>
  <c r="JD220" i="8"/>
  <c r="JD221" i="8"/>
  <c r="JD222" i="8"/>
  <c r="JD202" i="8"/>
  <c r="JD185" i="8"/>
  <c r="JD186" i="8"/>
  <c r="JD187" i="8"/>
  <c r="JD188" i="8"/>
  <c r="JD189" i="8"/>
  <c r="JD190" i="8"/>
  <c r="JD191" i="8"/>
  <c r="JD192" i="8"/>
  <c r="JD193" i="8"/>
  <c r="JD194" i="8"/>
  <c r="JD195" i="8"/>
  <c r="JD196" i="8"/>
  <c r="JD197" i="8"/>
  <c r="JD198" i="8"/>
  <c r="JD199" i="8"/>
  <c r="JD200" i="8"/>
  <c r="JD180" i="8"/>
  <c r="JD159" i="8"/>
  <c r="JD160" i="8"/>
  <c r="JD161" i="8"/>
  <c r="JD162" i="8"/>
  <c r="JD163" i="8"/>
  <c r="JD164" i="8"/>
  <c r="JD165" i="8"/>
  <c r="JD166" i="8"/>
  <c r="JD167" i="8"/>
  <c r="JD168" i="8"/>
  <c r="JD169" i="8"/>
  <c r="JD170" i="8"/>
  <c r="JD171" i="8"/>
  <c r="JD172" i="8"/>
  <c r="JD173" i="8"/>
  <c r="JD174" i="8"/>
  <c r="JD175" i="8"/>
  <c r="JD176" i="8"/>
  <c r="JD177" i="8"/>
  <c r="JD178" i="8"/>
  <c r="JD158" i="8"/>
  <c r="JD137" i="8"/>
  <c r="JD138" i="8"/>
  <c r="JD139" i="8"/>
  <c r="JD140" i="8"/>
  <c r="JD141" i="8"/>
  <c r="JD142" i="8"/>
  <c r="JD143" i="8"/>
  <c r="JD144" i="8"/>
  <c r="JD145" i="8"/>
  <c r="JD146" i="8"/>
  <c r="JD147" i="8"/>
  <c r="JD148" i="8"/>
  <c r="JD149" i="8"/>
  <c r="JD150" i="8"/>
  <c r="JD151" i="8"/>
  <c r="JD152" i="8"/>
  <c r="JD153" i="8"/>
  <c r="JD154" i="8"/>
  <c r="JD155" i="8"/>
  <c r="JD156" i="8"/>
  <c r="JD136" i="8"/>
  <c r="JD117" i="8"/>
  <c r="JD118" i="8"/>
  <c r="JD119" i="8"/>
  <c r="JD120" i="8"/>
  <c r="JD121" i="8"/>
  <c r="JD122" i="8"/>
  <c r="JD123" i="8"/>
  <c r="JD124" i="8"/>
  <c r="JD125" i="8"/>
  <c r="JD126" i="8"/>
  <c r="JD127" i="8"/>
  <c r="JD128" i="8"/>
  <c r="JD129" i="8"/>
  <c r="JD130" i="8"/>
  <c r="JD131" i="8"/>
  <c r="JD132" i="8"/>
  <c r="JD133" i="8"/>
  <c r="JD134" i="8"/>
  <c r="JD93" i="8"/>
  <c r="JD94" i="8"/>
  <c r="JD95" i="8"/>
  <c r="JD96" i="8"/>
  <c r="JD97" i="8"/>
  <c r="JD98" i="8"/>
  <c r="JD99" i="8"/>
  <c r="JD100" i="8"/>
  <c r="JD101" i="8"/>
  <c r="JD102" i="8"/>
  <c r="JD103" i="8"/>
  <c r="JD104" i="8"/>
  <c r="JD105" i="8"/>
  <c r="JD106" i="8"/>
  <c r="JD107" i="8"/>
  <c r="JD108" i="8"/>
  <c r="JD109" i="8"/>
  <c r="JD110" i="8"/>
  <c r="JD111" i="8"/>
  <c r="JD112" i="8"/>
  <c r="JD92" i="8"/>
  <c r="JD59" i="8"/>
  <c r="JD60" i="8"/>
  <c r="JD62" i="8"/>
  <c r="JD66" i="8"/>
  <c r="JD68" i="8"/>
  <c r="JD71" i="8"/>
  <c r="JD72" i="8"/>
  <c r="JD73" i="8"/>
  <c r="JD74" i="8"/>
  <c r="JD75" i="8"/>
  <c r="JD76" i="8"/>
  <c r="JD77" i="8"/>
  <c r="JD78" i="8"/>
  <c r="JD79" i="8"/>
  <c r="JD45" i="8"/>
  <c r="JD46" i="8"/>
  <c r="JD47" i="8"/>
  <c r="JD48" i="8"/>
  <c r="JD49" i="8"/>
  <c r="JD50" i="8"/>
  <c r="JD51" i="8"/>
  <c r="JD52" i="8"/>
  <c r="JD42" i="8"/>
  <c r="JD43" i="8"/>
  <c r="JD18" i="8"/>
  <c r="JD19" i="8"/>
  <c r="JD20" i="8"/>
  <c r="JD21" i="8"/>
  <c r="JD22" i="8"/>
  <c r="JD23" i="8"/>
  <c r="JD24" i="8"/>
  <c r="JD25" i="8"/>
  <c r="JD26" i="8"/>
  <c r="JD27" i="8"/>
  <c r="JD28" i="8"/>
  <c r="JD29" i="8"/>
  <c r="JD30" i="8"/>
  <c r="K223" i="8" l="1"/>
  <c r="G24" i="14"/>
  <c r="I24" i="14" s="1"/>
  <c r="G24" i="13"/>
  <c r="I24" i="13" s="1"/>
  <c r="G20" i="14"/>
  <c r="I20" i="14" s="1"/>
  <c r="G20" i="13"/>
  <c r="I20" i="13" s="1"/>
  <c r="G16" i="14"/>
  <c r="I16" i="14" s="1"/>
  <c r="G16" i="13"/>
  <c r="I16" i="13" s="1"/>
  <c r="G38" i="14"/>
  <c r="I38" i="14" s="1"/>
  <c r="G38" i="13"/>
  <c r="I38" i="13" s="1"/>
  <c r="G43" i="14"/>
  <c r="I43" i="14" s="1"/>
  <c r="G43" i="13"/>
  <c r="I43" i="13" s="1"/>
  <c r="G66" i="14"/>
  <c r="I66" i="14" s="1"/>
  <c r="G66" i="13"/>
  <c r="I66" i="13" s="1"/>
  <c r="G62" i="14"/>
  <c r="I62" i="14" s="1"/>
  <c r="G62" i="13"/>
  <c r="I62" i="13" s="1"/>
  <c r="G58" i="14"/>
  <c r="I58" i="14" s="1"/>
  <c r="G58" i="13"/>
  <c r="I58" i="13" s="1"/>
  <c r="G91" i="14"/>
  <c r="I91" i="14" s="1"/>
  <c r="G91" i="13"/>
  <c r="I91" i="13" s="1"/>
  <c r="G89" i="14"/>
  <c r="I89" i="14" s="1"/>
  <c r="G89" i="13"/>
  <c r="I89" i="13" s="1"/>
  <c r="G87" i="14"/>
  <c r="I87" i="14" s="1"/>
  <c r="G87" i="13"/>
  <c r="I87" i="13" s="1"/>
  <c r="G85" i="14"/>
  <c r="I85" i="14" s="1"/>
  <c r="G85" i="13"/>
  <c r="I85" i="13" s="1"/>
  <c r="G83" i="14"/>
  <c r="I83" i="14" s="1"/>
  <c r="G83" i="13"/>
  <c r="I83" i="13" s="1"/>
  <c r="G81" i="14"/>
  <c r="I81" i="14" s="1"/>
  <c r="G81" i="13"/>
  <c r="I81" i="13" s="1"/>
  <c r="G79" i="14"/>
  <c r="I79" i="14" s="1"/>
  <c r="G79" i="13"/>
  <c r="I79" i="13" s="1"/>
  <c r="G77" i="14"/>
  <c r="I77" i="14" s="1"/>
  <c r="G77" i="13"/>
  <c r="I77" i="13" s="1"/>
  <c r="G75" i="14"/>
  <c r="I75" i="14" s="1"/>
  <c r="G75" i="13"/>
  <c r="I75" i="13" s="1"/>
  <c r="G112" i="14"/>
  <c r="I112" i="14" s="1"/>
  <c r="G112" i="13"/>
  <c r="I112" i="13" s="1"/>
  <c r="G110" i="14"/>
  <c r="I110" i="14" s="1"/>
  <c r="G110" i="13"/>
  <c r="I110" i="13" s="1"/>
  <c r="G108" i="14"/>
  <c r="I108" i="14" s="1"/>
  <c r="G108" i="13"/>
  <c r="I108" i="13" s="1"/>
  <c r="G106" i="14"/>
  <c r="I106" i="14" s="1"/>
  <c r="G106" i="13"/>
  <c r="I106" i="13" s="1"/>
  <c r="G104" i="14"/>
  <c r="I104" i="14" s="1"/>
  <c r="G104" i="13"/>
  <c r="I104" i="13" s="1"/>
  <c r="G102" i="14"/>
  <c r="I102" i="14" s="1"/>
  <c r="G102" i="13"/>
  <c r="I102" i="13" s="1"/>
  <c r="G100" i="14"/>
  <c r="I100" i="14" s="1"/>
  <c r="G100" i="13"/>
  <c r="I100" i="13" s="1"/>
  <c r="G98" i="14"/>
  <c r="I98" i="14" s="1"/>
  <c r="G98" i="13"/>
  <c r="I98" i="13" s="1"/>
  <c r="G96" i="14"/>
  <c r="I96" i="14" s="1"/>
  <c r="G96" i="13"/>
  <c r="I96" i="13" s="1"/>
  <c r="G135" i="14"/>
  <c r="I135" i="14" s="1"/>
  <c r="G135" i="13"/>
  <c r="I135" i="13" s="1"/>
  <c r="G133" i="14"/>
  <c r="I133" i="14" s="1"/>
  <c r="G133" i="13"/>
  <c r="I133" i="13" s="1"/>
  <c r="G131" i="14"/>
  <c r="I131" i="14" s="1"/>
  <c r="G131" i="13"/>
  <c r="I131" i="13" s="1"/>
  <c r="G129" i="14"/>
  <c r="I129" i="14" s="1"/>
  <c r="G129" i="13"/>
  <c r="I129" i="13" s="1"/>
  <c r="G127" i="14"/>
  <c r="I127" i="14" s="1"/>
  <c r="G127" i="13"/>
  <c r="I127" i="13" s="1"/>
  <c r="G125" i="14"/>
  <c r="I125" i="14" s="1"/>
  <c r="G125" i="13"/>
  <c r="I125" i="13" s="1"/>
  <c r="G123" i="14"/>
  <c r="I123" i="14" s="1"/>
  <c r="G123" i="13"/>
  <c r="I123" i="13" s="1"/>
  <c r="G121" i="14"/>
  <c r="I121" i="14" s="1"/>
  <c r="G121" i="13"/>
  <c r="I121" i="13" s="1"/>
  <c r="G157" i="14"/>
  <c r="I157" i="14" s="1"/>
  <c r="G157" i="13"/>
  <c r="I157" i="13" s="1"/>
  <c r="G155" i="14"/>
  <c r="I155" i="14" s="1"/>
  <c r="G155" i="13"/>
  <c r="I155" i="13" s="1"/>
  <c r="G153" i="14"/>
  <c r="I153" i="14" s="1"/>
  <c r="G153" i="13"/>
  <c r="I153" i="13" s="1"/>
  <c r="G151" i="14"/>
  <c r="I151" i="14" s="1"/>
  <c r="G151" i="13"/>
  <c r="I151" i="13" s="1"/>
  <c r="G149" i="14"/>
  <c r="I149" i="14" s="1"/>
  <c r="G149" i="13"/>
  <c r="I149" i="13" s="1"/>
  <c r="G147" i="14"/>
  <c r="I147" i="14" s="1"/>
  <c r="G147" i="13"/>
  <c r="I147" i="13" s="1"/>
  <c r="G145" i="14"/>
  <c r="I145" i="14" s="1"/>
  <c r="G145" i="13"/>
  <c r="I145" i="13" s="1"/>
  <c r="G143" i="14"/>
  <c r="I143" i="14" s="1"/>
  <c r="G143" i="13"/>
  <c r="I143" i="13" s="1"/>
  <c r="G141" i="14"/>
  <c r="I141" i="14" s="1"/>
  <c r="G141" i="13"/>
  <c r="I141" i="13" s="1"/>
  <c r="G179" i="14"/>
  <c r="I179" i="14" s="1"/>
  <c r="G179" i="13"/>
  <c r="I179" i="13" s="1"/>
  <c r="G177" i="14"/>
  <c r="I177" i="14" s="1"/>
  <c r="G177" i="13"/>
  <c r="I177" i="13" s="1"/>
  <c r="G175" i="14"/>
  <c r="I175" i="14" s="1"/>
  <c r="G175" i="13"/>
  <c r="I175" i="13" s="1"/>
  <c r="G173" i="14"/>
  <c r="I173" i="14" s="1"/>
  <c r="G173" i="13"/>
  <c r="I173" i="13" s="1"/>
  <c r="G171" i="14"/>
  <c r="I171" i="14" s="1"/>
  <c r="G171" i="13"/>
  <c r="I171" i="13" s="1"/>
  <c r="G169" i="14"/>
  <c r="I169" i="14" s="1"/>
  <c r="G169" i="13"/>
  <c r="I169" i="13" s="1"/>
  <c r="G163" i="14"/>
  <c r="I163" i="14" s="1"/>
  <c r="G163" i="13"/>
  <c r="I163" i="13" s="1"/>
  <c r="G161" i="14"/>
  <c r="I161" i="14" s="1"/>
  <c r="G161" i="13"/>
  <c r="I161" i="13" s="1"/>
  <c r="G22" i="14"/>
  <c r="I22" i="14" s="1"/>
  <c r="G22" i="13"/>
  <c r="I22" i="13" s="1"/>
  <c r="G18" i="14"/>
  <c r="I18" i="14" s="1"/>
  <c r="G18" i="13"/>
  <c r="I18" i="13" s="1"/>
  <c r="G14" i="14"/>
  <c r="I14" i="14" s="1"/>
  <c r="G14" i="13"/>
  <c r="I14" i="13" s="1"/>
  <c r="G41" i="14"/>
  <c r="I41" i="14" s="1"/>
  <c r="G41" i="13"/>
  <c r="I41" i="13" s="1"/>
  <c r="G68" i="14"/>
  <c r="I68" i="14" s="1"/>
  <c r="G68" i="13"/>
  <c r="I68" i="13" s="1"/>
  <c r="G64" i="14"/>
  <c r="I64" i="14" s="1"/>
  <c r="G64" i="13"/>
  <c r="I64" i="13" s="1"/>
  <c r="G60" i="14"/>
  <c r="I60" i="14" s="1"/>
  <c r="G60" i="13"/>
  <c r="I60" i="13" s="1"/>
  <c r="G56" i="14"/>
  <c r="I56" i="14" s="1"/>
  <c r="G56" i="13"/>
  <c r="I56" i="13" s="1"/>
  <c r="G25" i="14"/>
  <c r="I25" i="14" s="1"/>
  <c r="G25" i="13"/>
  <c r="I25" i="13" s="1"/>
  <c r="G23" i="14"/>
  <c r="I23" i="14" s="1"/>
  <c r="G23" i="13"/>
  <c r="I23" i="13" s="1"/>
  <c r="G21" i="14"/>
  <c r="I21" i="14" s="1"/>
  <c r="G21" i="13"/>
  <c r="I21" i="13" s="1"/>
  <c r="G19" i="14"/>
  <c r="I19" i="14" s="1"/>
  <c r="G19" i="13"/>
  <c r="I19" i="13" s="1"/>
  <c r="G17" i="14"/>
  <c r="I17" i="14" s="1"/>
  <c r="G17" i="13"/>
  <c r="I17" i="13" s="1"/>
  <c r="G15" i="14"/>
  <c r="I15" i="14" s="1"/>
  <c r="G15" i="13"/>
  <c r="I15" i="13" s="1"/>
  <c r="G13" i="14"/>
  <c r="I13" i="14" s="1"/>
  <c r="G13" i="13"/>
  <c r="I13" i="13" s="1"/>
  <c r="G37" i="14"/>
  <c r="I37" i="14" s="1"/>
  <c r="G37" i="13"/>
  <c r="I37" i="13" s="1"/>
  <c r="G44" i="14"/>
  <c r="I44" i="14" s="1"/>
  <c r="G44" i="13"/>
  <c r="I44" i="13" s="1"/>
  <c r="G42" i="14"/>
  <c r="I42" i="14" s="1"/>
  <c r="G42" i="13"/>
  <c r="I42" i="13" s="1"/>
  <c r="G40" i="14"/>
  <c r="I40" i="14" s="1"/>
  <c r="G40" i="13"/>
  <c r="I40" i="13" s="1"/>
  <c r="G69" i="14"/>
  <c r="I69" i="14" s="1"/>
  <c r="G69" i="13"/>
  <c r="I69" i="13" s="1"/>
  <c r="G67" i="14"/>
  <c r="I67" i="14" s="1"/>
  <c r="G67" i="13"/>
  <c r="I67" i="13" s="1"/>
  <c r="G65" i="14"/>
  <c r="I65" i="14" s="1"/>
  <c r="G65" i="13"/>
  <c r="I65" i="13" s="1"/>
  <c r="G63" i="14"/>
  <c r="I63" i="14" s="1"/>
  <c r="G63" i="13"/>
  <c r="I63" i="13" s="1"/>
  <c r="G61" i="14"/>
  <c r="I61" i="14" s="1"/>
  <c r="G61" i="13"/>
  <c r="I61" i="13" s="1"/>
  <c r="G59" i="14"/>
  <c r="I59" i="14" s="1"/>
  <c r="G59" i="13"/>
  <c r="I59" i="13" s="1"/>
  <c r="G57" i="14"/>
  <c r="I57" i="14" s="1"/>
  <c r="G57" i="13"/>
  <c r="I57" i="13" s="1"/>
  <c r="G55" i="14"/>
  <c r="I55" i="14" s="1"/>
  <c r="G55" i="13"/>
  <c r="I55" i="13" s="1"/>
  <c r="G90" i="14"/>
  <c r="I90" i="14" s="1"/>
  <c r="G90" i="13"/>
  <c r="I90" i="13" s="1"/>
  <c r="G88" i="14"/>
  <c r="I88" i="14" s="1"/>
  <c r="G88" i="13"/>
  <c r="I88" i="13" s="1"/>
  <c r="G86" i="14"/>
  <c r="I86" i="14" s="1"/>
  <c r="G86" i="13"/>
  <c r="I86" i="13" s="1"/>
  <c r="G84" i="14"/>
  <c r="I84" i="14" s="1"/>
  <c r="G84" i="13"/>
  <c r="I84" i="13" s="1"/>
  <c r="G82" i="14"/>
  <c r="I82" i="14" s="1"/>
  <c r="G82" i="13"/>
  <c r="I82" i="13" s="1"/>
  <c r="G80" i="14"/>
  <c r="I80" i="14" s="1"/>
  <c r="G80" i="13"/>
  <c r="I80" i="13" s="1"/>
  <c r="G78" i="14"/>
  <c r="I78" i="14" s="1"/>
  <c r="G78" i="13"/>
  <c r="I78" i="13" s="1"/>
  <c r="G76" i="14"/>
  <c r="I76" i="14" s="1"/>
  <c r="G76" i="13"/>
  <c r="I76" i="13" s="1"/>
  <c r="G113" i="14"/>
  <c r="I113" i="14" s="1"/>
  <c r="G113" i="13"/>
  <c r="I113" i="13" s="1"/>
  <c r="G111" i="14"/>
  <c r="I111" i="14" s="1"/>
  <c r="G111" i="13"/>
  <c r="I111" i="13" s="1"/>
  <c r="G109" i="14"/>
  <c r="I109" i="14" s="1"/>
  <c r="G109" i="13"/>
  <c r="I109" i="13" s="1"/>
  <c r="G107" i="14"/>
  <c r="I107" i="14" s="1"/>
  <c r="G107" i="13"/>
  <c r="I107" i="13" s="1"/>
  <c r="G105" i="14"/>
  <c r="I105" i="14" s="1"/>
  <c r="G105" i="13"/>
  <c r="I105" i="13" s="1"/>
  <c r="G103" i="14"/>
  <c r="I103" i="14" s="1"/>
  <c r="G103" i="13"/>
  <c r="I103" i="13" s="1"/>
  <c r="G101" i="14"/>
  <c r="I101" i="14" s="1"/>
  <c r="G101" i="13"/>
  <c r="I101" i="13" s="1"/>
  <c r="G99" i="14"/>
  <c r="I99" i="14" s="1"/>
  <c r="G99" i="13"/>
  <c r="I99" i="13" s="1"/>
  <c r="G97" i="14"/>
  <c r="I97" i="14" s="1"/>
  <c r="G97" i="13"/>
  <c r="I97" i="13" s="1"/>
  <c r="G134" i="14"/>
  <c r="I134" i="14" s="1"/>
  <c r="G134" i="13"/>
  <c r="I134" i="13" s="1"/>
  <c r="G132" i="14"/>
  <c r="I132" i="14" s="1"/>
  <c r="G132" i="13"/>
  <c r="I132" i="13" s="1"/>
  <c r="G130" i="14"/>
  <c r="I130" i="14" s="1"/>
  <c r="G130" i="13"/>
  <c r="I130" i="13" s="1"/>
  <c r="G128" i="14"/>
  <c r="I128" i="14" s="1"/>
  <c r="G128" i="13"/>
  <c r="I128" i="13" s="1"/>
  <c r="G126" i="14"/>
  <c r="I126" i="14" s="1"/>
  <c r="G126" i="13"/>
  <c r="I126" i="13" s="1"/>
  <c r="G124" i="14"/>
  <c r="I124" i="14" s="1"/>
  <c r="G124" i="13"/>
  <c r="I124" i="13" s="1"/>
  <c r="G122" i="14"/>
  <c r="I122" i="14" s="1"/>
  <c r="G122" i="13"/>
  <c r="I122" i="13" s="1"/>
  <c r="G120" i="14"/>
  <c r="I120" i="14" s="1"/>
  <c r="G120" i="13"/>
  <c r="I120" i="13" s="1"/>
  <c r="G156" i="14"/>
  <c r="I156" i="14" s="1"/>
  <c r="G156" i="13"/>
  <c r="I156" i="13" s="1"/>
  <c r="G154" i="14"/>
  <c r="I154" i="14" s="1"/>
  <c r="G154" i="13"/>
  <c r="I154" i="13" s="1"/>
  <c r="G152" i="14"/>
  <c r="I152" i="14" s="1"/>
  <c r="G152" i="13"/>
  <c r="I152" i="13" s="1"/>
  <c r="G150" i="14"/>
  <c r="I150" i="14" s="1"/>
  <c r="G150" i="13"/>
  <c r="I150" i="13" s="1"/>
  <c r="G148" i="14"/>
  <c r="I148" i="14" s="1"/>
  <c r="G148" i="13"/>
  <c r="I148" i="13" s="1"/>
  <c r="G146" i="14"/>
  <c r="I146" i="14" s="1"/>
  <c r="G146" i="13"/>
  <c r="I146" i="13" s="1"/>
  <c r="G144" i="14"/>
  <c r="I144" i="14" s="1"/>
  <c r="G144" i="13"/>
  <c r="I144" i="13" s="1"/>
  <c r="G142" i="14"/>
  <c r="I142" i="14" s="1"/>
  <c r="G142" i="13"/>
  <c r="I142" i="13" s="1"/>
  <c r="G140" i="14"/>
  <c r="I140" i="14" s="1"/>
  <c r="G140" i="13"/>
  <c r="I140" i="13" s="1"/>
  <c r="G178" i="14"/>
  <c r="I178" i="14" s="1"/>
  <c r="G178" i="13"/>
  <c r="I178" i="13" s="1"/>
  <c r="G176" i="14"/>
  <c r="I176" i="14" s="1"/>
  <c r="G176" i="13"/>
  <c r="I176" i="13" s="1"/>
  <c r="G174" i="14"/>
  <c r="I174" i="14" s="1"/>
  <c r="G174" i="13"/>
  <c r="I174" i="13" s="1"/>
  <c r="G172" i="14"/>
  <c r="I172" i="14" s="1"/>
  <c r="G172" i="13"/>
  <c r="I172" i="13" s="1"/>
  <c r="G170" i="14"/>
  <c r="I170" i="14" s="1"/>
  <c r="G170" i="13"/>
  <c r="I170" i="13" s="1"/>
  <c r="G168" i="14"/>
  <c r="I168" i="14" s="1"/>
  <c r="G168" i="13"/>
  <c r="I168" i="13" s="1"/>
  <c r="G164" i="14"/>
  <c r="I164" i="14" s="1"/>
  <c r="G164" i="13"/>
  <c r="I164" i="13" s="1"/>
  <c r="G160" i="14"/>
  <c r="I160" i="14" s="1"/>
  <c r="G160" i="13"/>
  <c r="I160" i="13" s="1"/>
  <c r="G138" i="14"/>
  <c r="I138" i="14" s="1"/>
  <c r="G138" i="13"/>
  <c r="I138" i="13" s="1"/>
  <c r="G71" i="13"/>
  <c r="G71" i="14"/>
  <c r="I71" i="14" s="1"/>
  <c r="G74" i="14"/>
  <c r="I74" i="14" s="1"/>
  <c r="G74" i="13"/>
  <c r="I74" i="13" s="1"/>
  <c r="G72" i="14"/>
  <c r="I72" i="14" s="1"/>
  <c r="G72" i="13"/>
  <c r="I72" i="13" s="1"/>
  <c r="G115" i="13"/>
  <c r="G115" i="14"/>
  <c r="I115" i="14" s="1"/>
  <c r="G118" i="14"/>
  <c r="I118" i="14" s="1"/>
  <c r="G118" i="13"/>
  <c r="I118" i="13" s="1"/>
  <c r="G116" i="14"/>
  <c r="I116" i="14" s="1"/>
  <c r="G116" i="13"/>
  <c r="I116" i="13" s="1"/>
  <c r="G162" i="14"/>
  <c r="I162" i="14" s="1"/>
  <c r="G162" i="13"/>
  <c r="I162" i="13" s="1"/>
  <c r="G54" i="14"/>
  <c r="I54" i="14" s="1"/>
  <c r="G54" i="13"/>
  <c r="I54" i="13" s="1"/>
  <c r="G73" i="13"/>
  <c r="I73" i="13" s="1"/>
  <c r="G73" i="14"/>
  <c r="I73" i="14" s="1"/>
  <c r="G119" i="13"/>
  <c r="I119" i="13" s="1"/>
  <c r="G119" i="14"/>
  <c r="I119" i="14" s="1"/>
  <c r="G117" i="13"/>
  <c r="I117" i="13" s="1"/>
  <c r="G117" i="14"/>
  <c r="I117" i="14" s="1"/>
  <c r="G137" i="13"/>
  <c r="G137" i="14"/>
  <c r="I137" i="14" s="1"/>
  <c r="G139" i="13"/>
  <c r="I139" i="13" s="1"/>
  <c r="G139" i="14"/>
  <c r="I139" i="14" s="1"/>
  <c r="G159" i="13"/>
  <c r="G159" i="14"/>
  <c r="I159" i="14" s="1"/>
  <c r="K202" i="8"/>
  <c r="K201" i="8" s="1"/>
  <c r="K183" i="8"/>
  <c r="K182" i="8"/>
  <c r="K181" i="8"/>
  <c r="K180" i="8"/>
  <c r="K160" i="8"/>
  <c r="K159" i="8"/>
  <c r="K158" i="8"/>
  <c r="K140" i="8"/>
  <c r="K139" i="8"/>
  <c r="K138" i="8"/>
  <c r="K137" i="8"/>
  <c r="K136" i="8"/>
  <c r="K17" i="8"/>
  <c r="K16" i="8"/>
  <c r="K15" i="8"/>
  <c r="K14" i="8"/>
  <c r="K13" i="8"/>
  <c r="K12" i="8"/>
  <c r="K11" i="8"/>
  <c r="K38" i="8"/>
  <c r="K37" i="8"/>
  <c r="K36" i="8"/>
  <c r="K35" i="8"/>
  <c r="K34" i="8"/>
  <c r="K59" i="8"/>
  <c r="K58" i="8"/>
  <c r="K57" i="8"/>
  <c r="K56" i="8"/>
  <c r="K55" i="8"/>
  <c r="K54" i="8"/>
  <c r="K95" i="8"/>
  <c r="K94" i="8"/>
  <c r="K93" i="8"/>
  <c r="K92" i="8"/>
  <c r="K157" i="8" l="1"/>
  <c r="K179" i="8"/>
  <c r="I159" i="13"/>
  <c r="G158" i="13"/>
  <c r="I158" i="13" s="1"/>
  <c r="I137" i="13"/>
  <c r="G136" i="13"/>
  <c r="I136" i="13" s="1"/>
  <c r="I115" i="13"/>
  <c r="G114" i="13"/>
  <c r="I114" i="13" s="1"/>
  <c r="I71" i="13"/>
  <c r="G70" i="13"/>
  <c r="I70" i="13" s="1"/>
  <c r="JD13" i="8"/>
  <c r="JD14" i="8"/>
  <c r="JD15" i="8"/>
  <c r="JD16" i="8"/>
  <c r="G10" i="14" l="1"/>
  <c r="I10" i="14" s="1"/>
  <c r="G10" i="13"/>
  <c r="I10" i="13" s="1"/>
  <c r="G8" i="14"/>
  <c r="I8" i="14" s="1"/>
  <c r="G8" i="13"/>
  <c r="I8" i="13" s="1"/>
  <c r="G11" i="13"/>
  <c r="I11" i="13" s="1"/>
  <c r="G11" i="14"/>
  <c r="I11" i="14" s="1"/>
  <c r="G9" i="13"/>
  <c r="I9" i="13" s="1"/>
  <c r="G9" i="14"/>
  <c r="I9" i="14" s="1"/>
  <c r="JD116" i="8"/>
  <c r="JD115" i="8"/>
  <c r="JD114" i="8"/>
  <c r="JD58" i="8"/>
  <c r="JD57" i="8"/>
  <c r="JD56" i="8"/>
  <c r="JD55" i="8"/>
  <c r="JD54" i="8"/>
  <c r="JD44" i="8"/>
  <c r="JD41" i="8"/>
  <c r="JD40" i="8"/>
  <c r="JD39" i="8"/>
  <c r="JD38" i="8"/>
  <c r="JD37" i="8"/>
  <c r="JD36" i="8"/>
  <c r="JD35" i="8"/>
  <c r="JD34" i="8"/>
  <c r="JD33" i="8"/>
  <c r="JD32" i="8"/>
  <c r="JD17" i="8"/>
  <c r="JD12" i="8"/>
  <c r="JD11" i="8"/>
  <c r="JD10" i="8"/>
  <c r="G34" i="14" l="1"/>
  <c r="I34" i="14" s="1"/>
  <c r="G34" i="13"/>
  <c r="I34" i="13" s="1"/>
  <c r="G36" i="14"/>
  <c r="I36" i="14" s="1"/>
  <c r="G36" i="13"/>
  <c r="I36" i="13" s="1"/>
  <c r="G33" i="14"/>
  <c r="I33" i="14" s="1"/>
  <c r="G33" i="13"/>
  <c r="I33" i="13" s="1"/>
  <c r="G35" i="14"/>
  <c r="I35" i="14" s="1"/>
  <c r="G35" i="13"/>
  <c r="I35" i="13" s="1"/>
  <c r="G39" i="14"/>
  <c r="I39" i="14" s="1"/>
  <c r="G39" i="13"/>
  <c r="I39" i="13" s="1"/>
  <c r="G6" i="14"/>
  <c r="I6" i="14" s="1"/>
  <c r="G6" i="13"/>
  <c r="I6" i="13" s="1"/>
  <c r="G12" i="14"/>
  <c r="I12" i="14" s="1"/>
  <c r="G12" i="13"/>
  <c r="I12" i="13" s="1"/>
  <c r="G28" i="14"/>
  <c r="I28" i="14" s="1"/>
  <c r="G28" i="13"/>
  <c r="I28" i="13" s="1"/>
  <c r="G30" i="14"/>
  <c r="I30" i="14" s="1"/>
  <c r="G30" i="13"/>
  <c r="I30" i="13" s="1"/>
  <c r="G32" i="14"/>
  <c r="I32" i="14" s="1"/>
  <c r="G32" i="13"/>
  <c r="I32" i="13" s="1"/>
  <c r="G49" i="13"/>
  <c r="G49" i="14"/>
  <c r="I49" i="14" s="1"/>
  <c r="G51" i="13"/>
  <c r="I51" i="13" s="1"/>
  <c r="G51" i="14"/>
  <c r="I51" i="14" s="1"/>
  <c r="G53" i="13"/>
  <c r="I53" i="13" s="1"/>
  <c r="G53" i="14"/>
  <c r="I53" i="14" s="1"/>
  <c r="G94" i="14"/>
  <c r="I94" i="14" s="1"/>
  <c r="G94" i="13"/>
  <c r="I94" i="13" s="1"/>
  <c r="G5" i="14"/>
  <c r="G5" i="13"/>
  <c r="G7" i="13"/>
  <c r="I7" i="13" s="1"/>
  <c r="G7" i="14"/>
  <c r="I7" i="14" s="1"/>
  <c r="G27" i="13"/>
  <c r="G27" i="14"/>
  <c r="I27" i="14" s="1"/>
  <c r="G29" i="13"/>
  <c r="I29" i="13" s="1"/>
  <c r="G29" i="14"/>
  <c r="I29" i="14" s="1"/>
  <c r="G31" i="13"/>
  <c r="I31" i="13" s="1"/>
  <c r="G31" i="14"/>
  <c r="I31" i="14" s="1"/>
  <c r="G50" i="14"/>
  <c r="I50" i="14" s="1"/>
  <c r="G50" i="13"/>
  <c r="I50" i="13" s="1"/>
  <c r="G52" i="14"/>
  <c r="I52" i="14" s="1"/>
  <c r="G52" i="13"/>
  <c r="I52" i="13" s="1"/>
  <c r="G93" i="13"/>
  <c r="G93" i="14"/>
  <c r="I93" i="14" s="1"/>
  <c r="G95" i="13"/>
  <c r="I95" i="13" s="1"/>
  <c r="G95" i="14"/>
  <c r="I95" i="14" s="1"/>
  <c r="G4" i="10"/>
  <c r="G5" i="10"/>
  <c r="G3" i="10"/>
  <c r="C13" i="10"/>
  <c r="K117" i="8"/>
  <c r="E28" i="9" l="1"/>
  <c r="I5" i="13"/>
  <c r="G4" i="13"/>
  <c r="I93" i="13"/>
  <c r="G92" i="13"/>
  <c r="I92" i="13" s="1"/>
  <c r="I27" i="13"/>
  <c r="G26" i="13"/>
  <c r="I5" i="14"/>
  <c r="I180" i="14" s="1"/>
  <c r="G180" i="14"/>
  <c r="I49" i="13"/>
  <c r="G48" i="13"/>
  <c r="K116" i="8"/>
  <c r="C9" i="10"/>
  <c r="H48" i="13" l="1"/>
  <c r="I48" i="13" s="1"/>
  <c r="H26" i="13"/>
  <c r="I26" i="13" s="1"/>
  <c r="G180" i="13"/>
  <c r="I4" i="13"/>
  <c r="E9" i="10"/>
  <c r="D9" i="10"/>
  <c r="B10" i="10"/>
  <c r="B11" i="10"/>
  <c r="B9" i="10"/>
  <c r="I180" i="13" l="1"/>
  <c r="G9" i="10"/>
  <c r="F9" i="10"/>
  <c r="IZ143" i="8"/>
  <c r="D9" i="8" l="1"/>
  <c r="J9" i="8"/>
  <c r="E9" i="8"/>
  <c r="IZ140" i="8" l="1"/>
  <c r="IZ141" i="8"/>
  <c r="IZ142" i="8"/>
  <c r="IZ96" i="8"/>
  <c r="IZ97" i="8"/>
  <c r="IZ98" i="8"/>
  <c r="IZ99" i="8"/>
  <c r="IZ100" i="8"/>
  <c r="IZ101" i="8"/>
  <c r="IZ102" i="8"/>
  <c r="IZ103" i="8"/>
  <c r="IZ38" i="8"/>
  <c r="IZ39" i="8"/>
  <c r="IZ40" i="8"/>
  <c r="IZ35" i="8"/>
  <c r="IZ36" i="8"/>
  <c r="IZ37" i="8"/>
  <c r="IZ117" i="8" l="1"/>
  <c r="IZ116" i="8"/>
  <c r="IZ59" i="8"/>
  <c r="IZ58" i="8"/>
  <c r="IZ57" i="8"/>
  <c r="IZ56" i="8"/>
  <c r="IZ55" i="8"/>
  <c r="IZ54" i="8"/>
  <c r="IZ34" i="8"/>
  <c r="IZ33" i="8"/>
  <c r="IZ32" i="8"/>
  <c r="IZ18" i="8"/>
  <c r="IZ17" i="8"/>
  <c r="IZ16" i="8"/>
  <c r="IZ15" i="8"/>
  <c r="IZ14" i="8"/>
  <c r="IZ13" i="8"/>
  <c r="IZ12" i="8"/>
  <c r="IZ11" i="8"/>
  <c r="IZ10" i="8"/>
  <c r="K53" i="8" l="1"/>
  <c r="K31" i="8"/>
  <c r="K9" i="8"/>
  <c r="K115" i="8" l="1"/>
  <c r="IZ115" i="8" s="1"/>
  <c r="K114" i="8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IZ114" i="8" l="1"/>
  <c r="K113" i="8"/>
  <c r="C10" i="10"/>
  <c r="D10" i="8"/>
  <c r="J10" i="8"/>
  <c r="F10" i="8"/>
  <c r="E10" i="8"/>
  <c r="E10" i="10" l="1"/>
  <c r="D10" i="10"/>
  <c r="IZ92" i="8"/>
  <c r="IZ136" i="8"/>
  <c r="IZ93" i="8"/>
  <c r="IZ137" i="8"/>
  <c r="G10" i="8"/>
  <c r="D11" i="8"/>
  <c r="L10" i="8"/>
  <c r="D32" i="8"/>
  <c r="O10" i="8" l="1"/>
  <c r="G10" i="10"/>
  <c r="F10" i="10"/>
  <c r="IZ94" i="8"/>
  <c r="IZ139" i="8"/>
  <c r="IZ138" i="8"/>
  <c r="E32" i="8"/>
  <c r="J32" i="8"/>
  <c r="J11" i="8"/>
  <c r="E11" i="8"/>
  <c r="P10" i="8"/>
  <c r="F32" i="8"/>
  <c r="F11" i="8"/>
  <c r="Q10" i="8" l="1"/>
  <c r="K135" i="8"/>
  <c r="IZ95" i="8"/>
  <c r="C11" i="10"/>
  <c r="L11" i="8"/>
  <c r="G11" i="8"/>
  <c r="D12" i="8"/>
  <c r="L32" i="8"/>
  <c r="G32" i="8"/>
  <c r="D33" i="8"/>
  <c r="O11" i="8" l="1"/>
  <c r="E11" i="10"/>
  <c r="D11" i="10"/>
  <c r="D12" i="10" s="1"/>
  <c r="K91" i="8"/>
  <c r="K8" i="8" s="1"/>
  <c r="C12" i="10"/>
  <c r="G14" i="10" s="1"/>
  <c r="J12" i="8"/>
  <c r="E33" i="8"/>
  <c r="E12" i="8"/>
  <c r="P11" i="8"/>
  <c r="F33" i="8"/>
  <c r="F12" i="8"/>
  <c r="Q11" i="8" l="1"/>
  <c r="G11" i="10"/>
  <c r="G12" i="10" s="1"/>
  <c r="F11" i="10"/>
  <c r="F12" i="10" s="1"/>
  <c r="E12" i="10"/>
  <c r="L12" i="8"/>
  <c r="G33" i="8"/>
  <c r="G12" i="8"/>
  <c r="D54" i="8"/>
  <c r="L33" i="8"/>
  <c r="D34" i="8"/>
  <c r="D13" i="8"/>
  <c r="D92" i="8"/>
  <c r="O12" i="8" l="1"/>
  <c r="J92" i="8"/>
  <c r="J13" i="8"/>
  <c r="F54" i="8"/>
  <c r="F13" i="8"/>
  <c r="E54" i="8"/>
  <c r="J54" i="8"/>
  <c r="F92" i="8"/>
  <c r="E13" i="8"/>
  <c r="F34" i="8"/>
  <c r="J34" i="8"/>
  <c r="E92" i="8"/>
  <c r="P12" i="8"/>
  <c r="D15" i="8"/>
  <c r="D114" i="8"/>
  <c r="E34" i="8"/>
  <c r="O32" i="8" l="1"/>
  <c r="Q12" i="8"/>
  <c r="L13" i="8"/>
  <c r="P32" i="8"/>
  <c r="L54" i="8"/>
  <c r="F114" i="8"/>
  <c r="D14" i="8"/>
  <c r="E15" i="8"/>
  <c r="G13" i="8"/>
  <c r="G54" i="8"/>
  <c r="L92" i="8"/>
  <c r="E114" i="8"/>
  <c r="D35" i="8"/>
  <c r="F15" i="8"/>
  <c r="G34" i="8"/>
  <c r="J15" i="8"/>
  <c r="D55" i="8"/>
  <c r="L34" i="8"/>
  <c r="J114" i="8"/>
  <c r="G92" i="8"/>
  <c r="O13" i="8" l="1"/>
  <c r="O92" i="8"/>
  <c r="Q92" i="8" s="1"/>
  <c r="Q13" i="8"/>
  <c r="Q32" i="8"/>
  <c r="P13" i="8"/>
  <c r="F55" i="8"/>
  <c r="D16" i="8"/>
  <c r="L114" i="8"/>
  <c r="E55" i="8"/>
  <c r="J55" i="8"/>
  <c r="D115" i="8"/>
  <c r="G15" i="8"/>
  <c r="G114" i="8"/>
  <c r="F14" i="8"/>
  <c r="E14" i="8"/>
  <c r="J35" i="8"/>
  <c r="L15" i="8"/>
  <c r="P92" i="8"/>
  <c r="D17" i="8"/>
  <c r="F35" i="8"/>
  <c r="E35" i="8"/>
  <c r="J14" i="8"/>
  <c r="O33" i="8" l="1"/>
  <c r="E115" i="8"/>
  <c r="L35" i="8"/>
  <c r="L14" i="8"/>
  <c r="J115" i="8"/>
  <c r="G14" i="8"/>
  <c r="F17" i="8"/>
  <c r="J17" i="8"/>
  <c r="F115" i="8"/>
  <c r="G55" i="8"/>
  <c r="L55" i="8"/>
  <c r="D36" i="8"/>
  <c r="E17" i="8"/>
  <c r="J16" i="8"/>
  <c r="E16" i="8"/>
  <c r="G35" i="8"/>
  <c r="F16" i="8"/>
  <c r="O14" i="8" l="1"/>
  <c r="Q14" i="8" s="1"/>
  <c r="O35" i="8"/>
  <c r="Q35" i="8" s="1"/>
  <c r="Q33" i="8"/>
  <c r="O15" i="8"/>
  <c r="O34" i="8"/>
  <c r="G115" i="8"/>
  <c r="L115" i="8"/>
  <c r="L17" i="8"/>
  <c r="G16" i="8"/>
  <c r="L16" i="8"/>
  <c r="P35" i="8"/>
  <c r="E36" i="8"/>
  <c r="J36" i="8"/>
  <c r="F36" i="8"/>
  <c r="D116" i="8"/>
  <c r="G17" i="8"/>
  <c r="O16" i="8" l="1"/>
  <c r="Q15" i="8"/>
  <c r="Q34" i="8"/>
  <c r="G36" i="8"/>
  <c r="F116" i="8"/>
  <c r="D20" i="8"/>
  <c r="P34" i="8"/>
  <c r="D28" i="8"/>
  <c r="D19" i="8"/>
  <c r="D37" i="8"/>
  <c r="D27" i="8"/>
  <c r="P14" i="8"/>
  <c r="D29" i="8"/>
  <c r="D18" i="8"/>
  <c r="D30" i="8"/>
  <c r="E116" i="8"/>
  <c r="L36" i="8"/>
  <c r="P15" i="8"/>
  <c r="J116" i="8"/>
  <c r="P33" i="8"/>
  <c r="P16" i="8"/>
  <c r="Q16" i="8" l="1"/>
  <c r="O36" i="8"/>
  <c r="Q36" i="8" s="1"/>
  <c r="O17" i="8"/>
  <c r="D38" i="8"/>
  <c r="F37" i="8"/>
  <c r="E18" i="8"/>
  <c r="E37" i="8"/>
  <c r="G116" i="8"/>
  <c r="J20" i="8"/>
  <c r="F18" i="8"/>
  <c r="F19" i="8"/>
  <c r="E28" i="8"/>
  <c r="J37" i="8"/>
  <c r="J19" i="8"/>
  <c r="J18" i="8"/>
  <c r="E27" i="8"/>
  <c r="E20" i="8"/>
  <c r="E19" i="8"/>
  <c r="J27" i="8"/>
  <c r="J30" i="8"/>
  <c r="F28" i="8"/>
  <c r="E30" i="8"/>
  <c r="J29" i="8"/>
  <c r="F30" i="8"/>
  <c r="J28" i="8"/>
  <c r="F20" i="8"/>
  <c r="E29" i="8"/>
  <c r="L116" i="8"/>
  <c r="F29" i="8"/>
  <c r="F27" i="8"/>
  <c r="Q17" i="8" l="1"/>
  <c r="G18" i="8"/>
  <c r="L19" i="8"/>
  <c r="L37" i="8"/>
  <c r="G20" i="8"/>
  <c r="E38" i="8"/>
  <c r="L28" i="8"/>
  <c r="G28" i="8"/>
  <c r="L27" i="8"/>
  <c r="G19" i="8"/>
  <c r="G29" i="8"/>
  <c r="G37" i="8"/>
  <c r="L30" i="8"/>
  <c r="F38" i="8"/>
  <c r="L18" i="8"/>
  <c r="L29" i="8"/>
  <c r="J38" i="8"/>
  <c r="L20" i="8"/>
  <c r="G27" i="8"/>
  <c r="G30" i="8"/>
  <c r="O37" i="8" l="1"/>
  <c r="Q37" i="8" s="1"/>
  <c r="O18" i="8"/>
  <c r="Q18" i="8" s="1"/>
  <c r="O27" i="8"/>
  <c r="Q27" i="8" s="1"/>
  <c r="O20" i="8"/>
  <c r="Q20" i="8" s="1"/>
  <c r="O28" i="8"/>
  <c r="Q28" i="8" s="1"/>
  <c r="O29" i="8"/>
  <c r="Q29" i="8" s="1"/>
  <c r="O30" i="8"/>
  <c r="D39" i="8"/>
  <c r="D117" i="8"/>
  <c r="L38" i="8"/>
  <c r="P37" i="8"/>
  <c r="G38" i="8"/>
  <c r="O38" i="8" l="1"/>
  <c r="Q38" i="8" s="1"/>
  <c r="Q30" i="8"/>
  <c r="O19" i="8"/>
  <c r="J39" i="8"/>
  <c r="E117" i="8"/>
  <c r="F39" i="8"/>
  <c r="E39" i="8"/>
  <c r="F117" i="8"/>
  <c r="J117" i="8"/>
  <c r="Q19" i="8" l="1"/>
  <c r="D50" i="8"/>
  <c r="L39" i="8"/>
  <c r="D47" i="8"/>
  <c r="G39" i="8"/>
  <c r="D45" i="8"/>
  <c r="D46" i="8"/>
  <c r="D41" i="8"/>
  <c r="D118" i="8"/>
  <c r="D52" i="8"/>
  <c r="J41" i="8"/>
  <c r="D42" i="8"/>
  <c r="J42" i="8" s="1"/>
  <c r="E42" i="8"/>
  <c r="E50" i="8"/>
  <c r="L117" i="8"/>
  <c r="F50" i="8"/>
  <c r="F42" i="8"/>
  <c r="D48" i="8"/>
  <c r="D51" i="8"/>
  <c r="J51" i="8" s="1"/>
  <c r="J47" i="8"/>
  <c r="G117" i="8"/>
  <c r="E45" i="8"/>
  <c r="F52" i="8"/>
  <c r="F51" i="8"/>
  <c r="O39" i="8" l="1"/>
  <c r="Q39" i="8" s="1"/>
  <c r="O54" i="8"/>
  <c r="F41" i="8"/>
  <c r="E51" i="8"/>
  <c r="G50" i="8"/>
  <c r="F47" i="8"/>
  <c r="J45" i="8"/>
  <c r="G51" i="8"/>
  <c r="E47" i="8"/>
  <c r="G42" i="8"/>
  <c r="G41" i="8"/>
  <c r="P18" i="8"/>
  <c r="P29" i="8"/>
  <c r="E48" i="8"/>
  <c r="P30" i="8"/>
  <c r="F46" i="8"/>
  <c r="L41" i="8"/>
  <c r="L50" i="8"/>
  <c r="F45" i="8"/>
  <c r="L42" i="8"/>
  <c r="E52" i="8"/>
  <c r="P54" i="8"/>
  <c r="P28" i="8"/>
  <c r="F118" i="8"/>
  <c r="E46" i="8"/>
  <c r="L52" i="8"/>
  <c r="P27" i="8"/>
  <c r="P19" i="8"/>
  <c r="J118" i="8"/>
  <c r="P36" i="8"/>
  <c r="F48" i="8"/>
  <c r="P39" i="8"/>
  <c r="G52" i="8"/>
  <c r="P17" i="8"/>
  <c r="L47" i="8"/>
  <c r="J46" i="8"/>
  <c r="J52" i="8"/>
  <c r="J48" i="8"/>
  <c r="P38" i="8"/>
  <c r="J50" i="8"/>
  <c r="L46" i="8"/>
  <c r="P20" i="8"/>
  <c r="E118" i="8"/>
  <c r="E41" i="8"/>
  <c r="L51" i="8"/>
  <c r="O52" i="8" l="1"/>
  <c r="O47" i="8"/>
  <c r="O51" i="8"/>
  <c r="O50" i="8"/>
  <c r="O46" i="8"/>
  <c r="O41" i="8"/>
  <c r="O42" i="8"/>
  <c r="O55" i="8"/>
  <c r="O117" i="8"/>
  <c r="O116" i="8"/>
  <c r="O115" i="8"/>
  <c r="O114" i="8"/>
  <c r="Q54" i="8"/>
  <c r="G46" i="8"/>
  <c r="L118" i="8"/>
  <c r="G48" i="8"/>
  <c r="L45" i="8"/>
  <c r="P55" i="8"/>
  <c r="P50" i="8"/>
  <c r="P46" i="8"/>
  <c r="L48" i="8"/>
  <c r="G118" i="8"/>
  <c r="P116" i="8"/>
  <c r="P117" i="8"/>
  <c r="P52" i="8"/>
  <c r="G45" i="8"/>
  <c r="P115" i="8"/>
  <c r="P42" i="8"/>
  <c r="G47" i="8"/>
  <c r="P51" i="8"/>
  <c r="P41" i="8"/>
  <c r="P114" i="8"/>
  <c r="P47" i="8"/>
  <c r="O45" i="8" l="1"/>
  <c r="Q52" i="8"/>
  <c r="O48" i="8"/>
  <c r="Q51" i="8"/>
  <c r="Q47" i="8"/>
  <c r="Q50" i="8"/>
  <c r="Q46" i="8"/>
  <c r="Q41" i="8"/>
  <c r="Q45" i="8"/>
  <c r="O118" i="8"/>
  <c r="Q118" i="8" s="1"/>
  <c r="Q42" i="8"/>
  <c r="Q115" i="8"/>
  <c r="Q117" i="8"/>
  <c r="O56" i="8"/>
  <c r="O57" i="8"/>
  <c r="Q114" i="8"/>
  <c r="Q116" i="8"/>
  <c r="Q55" i="8"/>
  <c r="P45" i="8"/>
  <c r="P118" i="8"/>
  <c r="P48" i="8"/>
  <c r="Q48" i="8" l="1"/>
  <c r="Q57" i="8"/>
  <c r="Q56" i="8"/>
  <c r="D196" i="8"/>
  <c r="D219" i="8"/>
  <c r="D200" i="8"/>
  <c r="D217" i="8"/>
  <c r="D191" i="8"/>
  <c r="D22" i="8"/>
  <c r="D222" i="8"/>
  <c r="D204" i="8"/>
  <c r="D197" i="8"/>
  <c r="D215" i="8"/>
  <c r="D221" i="8"/>
  <c r="J196" i="8"/>
  <c r="D26" i="8"/>
  <c r="D104" i="8"/>
  <c r="F221" i="8"/>
  <c r="D56" i="8"/>
  <c r="D111" i="8"/>
  <c r="D195" i="8"/>
  <c r="J111" i="8"/>
  <c r="F104" i="8"/>
  <c r="E217" i="8"/>
  <c r="F217" i="8"/>
  <c r="E197" i="8"/>
  <c r="J197" i="8"/>
  <c r="D119" i="8"/>
  <c r="D105" i="8"/>
  <c r="D180" i="8"/>
  <c r="J119" i="8"/>
  <c r="F219" i="8"/>
  <c r="D212" i="8"/>
  <c r="D93" i="8"/>
  <c r="D206" i="8"/>
  <c r="E196" i="8"/>
  <c r="F180" i="8"/>
  <c r="E105" i="8"/>
  <c r="L180" i="8"/>
  <c r="F119" i="8"/>
  <c r="E204" i="8"/>
  <c r="D110" i="8"/>
  <c r="D209" i="8"/>
  <c r="J200" i="8"/>
  <c r="D23" i="8"/>
  <c r="D216" i="8"/>
  <c r="F105" i="8"/>
  <c r="D203" i="8"/>
  <c r="J203" i="8"/>
  <c r="E222" i="8"/>
  <c r="F204" i="8"/>
  <c r="G105" i="8"/>
  <c r="D101" i="8"/>
  <c r="E215" i="8"/>
  <c r="F111" i="8"/>
  <c r="G104" i="8"/>
  <c r="G180" i="8"/>
  <c r="E22" i="8"/>
  <c r="F110" i="8"/>
  <c r="J221" i="8"/>
  <c r="F26" i="8"/>
  <c r="E216" i="8"/>
  <c r="L110" i="8"/>
  <c r="D61" i="8"/>
  <c r="E101" i="8"/>
  <c r="D108" i="8"/>
  <c r="F108" i="8"/>
  <c r="E104" i="8"/>
  <c r="F93" i="8"/>
  <c r="J219" i="8"/>
  <c r="D189" i="8"/>
  <c r="D184" i="8"/>
  <c r="E184" i="8" s="1"/>
  <c r="D202" i="8"/>
  <c r="D99" i="8"/>
  <c r="F99" i="8" s="1"/>
  <c r="G99" i="8" s="1"/>
  <c r="F184" i="8"/>
  <c r="D183" i="8"/>
  <c r="J183" i="8" s="1"/>
  <c r="D187" i="8"/>
  <c r="D182" i="8"/>
  <c r="D106" i="8"/>
  <c r="F191" i="8"/>
  <c r="L191" i="8" s="1"/>
  <c r="D193" i="8"/>
  <c r="D199" i="8"/>
  <c r="F199" i="8" s="1"/>
  <c r="F196" i="8"/>
  <c r="D192" i="8"/>
  <c r="D198" i="8"/>
  <c r="E198" i="8" s="1"/>
  <c r="D107" i="8"/>
  <c r="J107" i="8" s="1"/>
  <c r="D213" i="8"/>
  <c r="D211" i="8"/>
  <c r="D185" i="8"/>
  <c r="J185" i="8" s="1"/>
  <c r="F183" i="8"/>
  <c r="F200" i="8"/>
  <c r="D21" i="8"/>
  <c r="F21" i="8" s="1"/>
  <c r="G21" i="8" s="1"/>
  <c r="D220" i="8"/>
  <c r="D103" i="8"/>
  <c r="J198" i="8"/>
  <c r="J103" i="8"/>
  <c r="J21" i="8"/>
  <c r="D210" i="8"/>
  <c r="D181" i="8"/>
  <c r="J22" i="8"/>
  <c r="D49" i="8"/>
  <c r="J215" i="8"/>
  <c r="D24" i="8"/>
  <c r="G196" i="8"/>
  <c r="D190" i="8"/>
  <c r="F190" i="8" s="1"/>
  <c r="L190" i="8" s="1"/>
  <c r="J204" i="8"/>
  <c r="F181" i="8"/>
  <c r="L181" i="8" s="1"/>
  <c r="E192" i="8"/>
  <c r="E49" i="8"/>
  <c r="G181" i="8"/>
  <c r="J195" i="8"/>
  <c r="D44" i="8"/>
  <c r="D25" i="8"/>
  <c r="D205" i="8"/>
  <c r="D186" i="8"/>
  <c r="D112" i="8"/>
  <c r="F205" i="8"/>
  <c r="D102" i="8"/>
  <c r="J102" i="8" s="1"/>
  <c r="D109" i="8"/>
  <c r="D98" i="8"/>
  <c r="E219" i="8"/>
  <c r="F44" i="8"/>
  <c r="D100" i="8"/>
  <c r="D218" i="8"/>
  <c r="J109" i="8"/>
  <c r="E186" i="8"/>
  <c r="L196" i="8"/>
  <c r="E199" i="8"/>
  <c r="D43" i="8"/>
  <c r="J43" i="8" s="1"/>
  <c r="J191" i="8"/>
  <c r="D136" i="8"/>
  <c r="D208" i="8"/>
  <c r="D214" i="8"/>
  <c r="F208" i="8"/>
  <c r="G208" i="8" s="1"/>
  <c r="E99" i="8"/>
  <c r="F185" i="8"/>
  <c r="E107" i="8"/>
  <c r="J205" i="8"/>
  <c r="E183" i="8"/>
  <c r="D207" i="8"/>
  <c r="F207" i="8" s="1"/>
  <c r="L207" i="8" s="1"/>
  <c r="D188" i="8"/>
  <c r="J180" i="8"/>
  <c r="F202" i="8"/>
  <c r="E106" i="8"/>
  <c r="E200" i="8"/>
  <c r="L204" i="8"/>
  <c r="F106" i="8"/>
  <c r="E193" i="8"/>
  <c r="G119" i="8"/>
  <c r="J210" i="8"/>
  <c r="E100" i="8"/>
  <c r="J217" i="8"/>
  <c r="L44" i="8"/>
  <c r="E208" i="8"/>
  <c r="E26" i="8"/>
  <c r="E56" i="8"/>
  <c r="L26" i="8"/>
  <c r="F215" i="8"/>
  <c r="J99" i="8"/>
  <c r="F218" i="8"/>
  <c r="L219" i="8"/>
  <c r="G200" i="8"/>
  <c r="J184" i="8"/>
  <c r="G221" i="8"/>
  <c r="G217" i="8"/>
  <c r="F209" i="8"/>
  <c r="L218" i="8"/>
  <c r="L111" i="8"/>
  <c r="J208" i="8"/>
  <c r="F214" i="8"/>
  <c r="F213" i="8"/>
  <c r="E23" i="8"/>
  <c r="P56" i="8"/>
  <c r="G93" i="8"/>
  <c r="L214" i="8"/>
  <c r="G26" i="8"/>
  <c r="F61" i="8"/>
  <c r="L105" i="8"/>
  <c r="J199" i="8"/>
  <c r="G209" i="8"/>
  <c r="L21" i="8"/>
  <c r="J108" i="8"/>
  <c r="E111" i="8"/>
  <c r="E212" i="8"/>
  <c r="G108" i="8"/>
  <c r="L106" i="8"/>
  <c r="E195" i="8"/>
  <c r="G219" i="8"/>
  <c r="G111" i="8"/>
  <c r="L217" i="8"/>
  <c r="F103" i="8"/>
  <c r="J187" i="8"/>
  <c r="L103" i="8"/>
  <c r="E25" i="8"/>
  <c r="F25" i="8"/>
  <c r="E102" i="8"/>
  <c r="E109" i="8"/>
  <c r="J212" i="8"/>
  <c r="J93" i="8"/>
  <c r="F206" i="8"/>
  <c r="J218" i="8"/>
  <c r="F43" i="8"/>
  <c r="J136" i="8"/>
  <c r="J209" i="8"/>
  <c r="F203" i="8"/>
  <c r="G215" i="8"/>
  <c r="L93" i="8"/>
  <c r="L25" i="8"/>
  <c r="L43" i="8"/>
  <c r="D194" i="8"/>
  <c r="J194" i="8" s="1"/>
  <c r="E98" i="8"/>
  <c r="G44" i="8"/>
  <c r="E136" i="8"/>
  <c r="F22" i="8"/>
  <c r="J222" i="8"/>
  <c r="E191" i="8"/>
  <c r="F197" i="8"/>
  <c r="F195" i="8"/>
  <c r="F56" i="8"/>
  <c r="J101" i="8"/>
  <c r="F210" i="8"/>
  <c r="L22" i="8"/>
  <c r="E180" i="8"/>
  <c r="G191" i="8"/>
  <c r="F107" i="8"/>
  <c r="L107" i="8" s="1"/>
  <c r="L185" i="8"/>
  <c r="J214" i="8"/>
  <c r="J23" i="8"/>
  <c r="E194" i="8"/>
  <c r="J61" i="8"/>
  <c r="J216" i="8"/>
  <c r="J56" i="8"/>
  <c r="J190" i="8"/>
  <c r="F112" i="8"/>
  <c r="E103" i="8"/>
  <c r="F23" i="8"/>
  <c r="L195" i="8"/>
  <c r="G183" i="8"/>
  <c r="G199" i="8"/>
  <c r="E108" i="8"/>
  <c r="F186" i="8"/>
  <c r="J110" i="8"/>
  <c r="E221" i="8"/>
  <c r="E214" i="8"/>
  <c r="J26" i="8"/>
  <c r="F216" i="8"/>
  <c r="E207" i="8"/>
  <c r="G202" i="8"/>
  <c r="G110" i="8"/>
  <c r="L213" i="8"/>
  <c r="L216" i="8"/>
  <c r="D62" i="8"/>
  <c r="J62" i="8"/>
  <c r="G214" i="8"/>
  <c r="G195" i="8"/>
  <c r="L104" i="8"/>
  <c r="G207" i="8"/>
  <c r="F222" i="8"/>
  <c r="L222" i="8" s="1"/>
  <c r="G112" i="8"/>
  <c r="F194" i="8"/>
  <c r="E206" i="8"/>
  <c r="G194" i="8"/>
  <c r="G107" i="8"/>
  <c r="G56" i="8"/>
  <c r="E210" i="8"/>
  <c r="L99" i="8"/>
  <c r="L186" i="8"/>
  <c r="G218" i="8"/>
  <c r="G204" i="8"/>
  <c r="J207" i="8"/>
  <c r="J106" i="8"/>
  <c r="L194" i="8"/>
  <c r="G222" i="8"/>
  <c r="J25" i="8"/>
  <c r="F102" i="8"/>
  <c r="L102" i="8" s="1"/>
  <c r="F109" i="8"/>
  <c r="F212" i="8"/>
  <c r="G212" i="8" s="1"/>
  <c r="E93" i="8"/>
  <c r="J206" i="8"/>
  <c r="E218" i="8"/>
  <c r="E43" i="8"/>
  <c r="L119" i="8"/>
  <c r="E209" i="8"/>
  <c r="E203" i="8"/>
  <c r="L202" i="8"/>
  <c r="L215" i="8"/>
  <c r="L23" i="8"/>
  <c r="G25" i="8"/>
  <c r="G102" i="8"/>
  <c r="L109" i="8"/>
  <c r="L212" i="8"/>
  <c r="G206" i="8"/>
  <c r="G43" i="8"/>
  <c r="G203" i="8"/>
  <c r="G109" i="8"/>
  <c r="L206" i="8"/>
  <c r="L203" i="8"/>
  <c r="L208" i="8"/>
  <c r="G190" i="8"/>
  <c r="J220" i="8"/>
  <c r="L183" i="8"/>
  <c r="F198" i="8"/>
  <c r="G185" i="8"/>
  <c r="E190" i="8"/>
  <c r="E21" i="8"/>
  <c r="J104" i="8"/>
  <c r="G198" i="8"/>
  <c r="F136" i="8"/>
  <c r="L221" i="8"/>
  <c r="L198" i="8"/>
  <c r="L136" i="8"/>
  <c r="G22" i="8"/>
  <c r="J188" i="8"/>
  <c r="E24" i="8"/>
  <c r="L200" i="8"/>
  <c r="E185" i="8"/>
  <c r="G23" i="8"/>
  <c r="F211" i="8"/>
  <c r="G211" i="8" s="1"/>
  <c r="L211" i="8"/>
  <c r="F189" i="8"/>
  <c r="J189" i="8"/>
  <c r="E189" i="8"/>
  <c r="E202" i="8"/>
  <c r="J202" i="8"/>
  <c r="G184" i="8"/>
  <c r="L184" i="8"/>
  <c r="E187" i="8"/>
  <c r="F187" i="8"/>
  <c r="F182" i="8"/>
  <c r="E182" i="8"/>
  <c r="J182" i="8"/>
  <c r="J193" i="8"/>
  <c r="F193" i="8"/>
  <c r="J192" i="8"/>
  <c r="F192" i="8"/>
  <c r="E213" i="8"/>
  <c r="J213" i="8"/>
  <c r="E211" i="8"/>
  <c r="J211" i="8"/>
  <c r="F220" i="8"/>
  <c r="E220" i="8"/>
  <c r="E181" i="8"/>
  <c r="J181" i="8"/>
  <c r="J49" i="8"/>
  <c r="F49" i="8"/>
  <c r="F24" i="8"/>
  <c r="J24" i="8"/>
  <c r="J44" i="8"/>
  <c r="E112" i="8"/>
  <c r="J112" i="8"/>
  <c r="L205" i="8"/>
  <c r="J98" i="8"/>
  <c r="J100" i="8"/>
  <c r="F188" i="8"/>
  <c r="E188" i="8"/>
  <c r="L197" i="8"/>
  <c r="G197" i="8"/>
  <c r="G210" i="8"/>
  <c r="L210" i="8"/>
  <c r="E62" i="8"/>
  <c r="G136" i="8"/>
  <c r="L189" i="8"/>
  <c r="G189" i="8"/>
  <c r="L187" i="8"/>
  <c r="G187" i="8"/>
  <c r="G182" i="8"/>
  <c r="L182" i="8"/>
  <c r="G193" i="8"/>
  <c r="L193" i="8"/>
  <c r="L192" i="8"/>
  <c r="G192" i="8"/>
  <c r="G220" i="8"/>
  <c r="L220" i="8"/>
  <c r="G49" i="8"/>
  <c r="L49" i="8"/>
  <c r="L24" i="8"/>
  <c r="G24" i="8"/>
  <c r="L188" i="8"/>
  <c r="G188" i="8"/>
  <c r="O188" i="8" l="1"/>
  <c r="Q188" i="8" s="1"/>
  <c r="O24" i="8"/>
  <c r="O49" i="8"/>
  <c r="O220" i="8"/>
  <c r="O192" i="8"/>
  <c r="Q192" i="8" s="1"/>
  <c r="O193" i="8"/>
  <c r="O182" i="8"/>
  <c r="Q182" i="8" s="1"/>
  <c r="O187" i="8"/>
  <c r="Q187" i="8" s="1"/>
  <c r="O189" i="8"/>
  <c r="Q189" i="8" s="1"/>
  <c r="O210" i="8"/>
  <c r="Q210" i="8" s="1"/>
  <c r="O197" i="8"/>
  <c r="O205" i="8"/>
  <c r="Q205" i="8" s="1"/>
  <c r="O184" i="8"/>
  <c r="Q184" i="8" s="1"/>
  <c r="O211" i="8"/>
  <c r="O200" i="8"/>
  <c r="O136" i="8"/>
  <c r="Q136" i="8" s="1"/>
  <c r="O198" i="8"/>
  <c r="Q198" i="8" s="1"/>
  <c r="O221" i="8"/>
  <c r="Q221" i="8" s="1"/>
  <c r="O183" i="8"/>
  <c r="O208" i="8"/>
  <c r="O203" i="8"/>
  <c r="O206" i="8"/>
  <c r="O212" i="8"/>
  <c r="O109" i="8"/>
  <c r="O23" i="8"/>
  <c r="O215" i="8"/>
  <c r="O202" i="8"/>
  <c r="O119" i="8"/>
  <c r="Q119" i="8" s="1"/>
  <c r="O102" i="8"/>
  <c r="Q102" i="8" s="1"/>
  <c r="O194" i="8"/>
  <c r="Q194" i="8" s="1"/>
  <c r="O186" i="8"/>
  <c r="Q186" i="8" s="1"/>
  <c r="O99" i="8"/>
  <c r="Q99" i="8" s="1"/>
  <c r="O222" i="8"/>
  <c r="O104" i="8"/>
  <c r="O216" i="8"/>
  <c r="Q216" i="8" s="1"/>
  <c r="O213" i="8"/>
  <c r="Q213" i="8" s="1"/>
  <c r="O195" i="8"/>
  <c r="O185" i="8"/>
  <c r="Q185" i="8" s="1"/>
  <c r="O107" i="8"/>
  <c r="O22" i="8"/>
  <c r="O43" i="8"/>
  <c r="O25" i="8"/>
  <c r="O93" i="8"/>
  <c r="O103" i="8"/>
  <c r="Q103" i="8" s="1"/>
  <c r="O217" i="8"/>
  <c r="O106" i="8"/>
  <c r="O21" i="8"/>
  <c r="M9" i="8"/>
  <c r="O105" i="8"/>
  <c r="Q105" i="8"/>
  <c r="O214" i="8"/>
  <c r="O111" i="8"/>
  <c r="O218" i="8"/>
  <c r="O219" i="8"/>
  <c r="Q219" i="8" s="1"/>
  <c r="O26" i="8"/>
  <c r="Q26" i="8" s="1"/>
  <c r="Q44" i="8"/>
  <c r="O44" i="8"/>
  <c r="O204" i="8"/>
  <c r="O207" i="8"/>
  <c r="O196" i="8"/>
  <c r="O181" i="8"/>
  <c r="Q181" i="8" s="1"/>
  <c r="O190" i="8"/>
  <c r="O191" i="8"/>
  <c r="O110" i="8"/>
  <c r="O180" i="8"/>
  <c r="P188" i="8"/>
  <c r="P24" i="8"/>
  <c r="P192" i="8"/>
  <c r="P182" i="8"/>
  <c r="P187" i="8"/>
  <c r="P189" i="8"/>
  <c r="P210" i="8"/>
  <c r="P205" i="8"/>
  <c r="P184" i="8"/>
  <c r="P136" i="8"/>
  <c r="P198" i="8"/>
  <c r="P221" i="8"/>
  <c r="D137" i="8"/>
  <c r="P119" i="8"/>
  <c r="P102" i="8"/>
  <c r="P194" i="8"/>
  <c r="P186" i="8"/>
  <c r="P99" i="8"/>
  <c r="P216" i="8"/>
  <c r="P213" i="8"/>
  <c r="G186" i="8"/>
  <c r="P185" i="8"/>
  <c r="D179" i="8"/>
  <c r="D57" i="8"/>
  <c r="P103" i="8"/>
  <c r="G103" i="8"/>
  <c r="P105" i="8"/>
  <c r="L61" i="8"/>
  <c r="G213" i="8"/>
  <c r="P219" i="8"/>
  <c r="P26" i="8"/>
  <c r="P44" i="8"/>
  <c r="G106" i="8"/>
  <c r="D224" i="8"/>
  <c r="F98" i="8"/>
  <c r="J186" i="8"/>
  <c r="E44" i="8"/>
  <c r="P181" i="8"/>
  <c r="L199" i="8"/>
  <c r="L108" i="8"/>
  <c r="F101" i="8"/>
  <c r="D120" i="8"/>
  <c r="J105" i="8"/>
  <c r="P49" i="8"/>
  <c r="P220" i="8"/>
  <c r="P193" i="8"/>
  <c r="P197" i="8"/>
  <c r="P211" i="8"/>
  <c r="P200" i="8"/>
  <c r="P183" i="8"/>
  <c r="P208" i="8"/>
  <c r="P203" i="8"/>
  <c r="P206" i="8"/>
  <c r="P212" i="8"/>
  <c r="P109" i="8"/>
  <c r="P23" i="8"/>
  <c r="P215" i="8"/>
  <c r="P202" i="8"/>
  <c r="P222" i="8"/>
  <c r="P104" i="8"/>
  <c r="F62" i="8"/>
  <c r="G216" i="8"/>
  <c r="P195" i="8"/>
  <c r="L112" i="8"/>
  <c r="P107" i="8"/>
  <c r="P22" i="8"/>
  <c r="D63" i="8"/>
  <c r="P43" i="8"/>
  <c r="P25" i="8"/>
  <c r="P93" i="8"/>
  <c r="P217" i="8"/>
  <c r="P106" i="8"/>
  <c r="P21" i="8"/>
  <c r="P214" i="8"/>
  <c r="P111" i="8"/>
  <c r="L209" i="8"/>
  <c r="P204" i="8"/>
  <c r="P196" i="8"/>
  <c r="G205" i="8"/>
  <c r="P190" i="8"/>
  <c r="P191" i="8"/>
  <c r="P110" i="8"/>
  <c r="E110" i="8"/>
  <c r="P218" i="8"/>
  <c r="P207" i="8"/>
  <c r="F100" i="8"/>
  <c r="E205" i="8"/>
  <c r="L9" i="8"/>
  <c r="D94" i="8"/>
  <c r="P180" i="8"/>
  <c r="E119" i="8"/>
  <c r="E137" i="8"/>
  <c r="F137" i="8"/>
  <c r="J137" i="8"/>
  <c r="E179" i="8"/>
  <c r="J179" i="8"/>
  <c r="F57" i="8"/>
  <c r="P57" i="8"/>
  <c r="J57" i="8"/>
  <c r="E57" i="8"/>
  <c r="F224" i="8"/>
  <c r="E224" i="8"/>
  <c r="J224" i="8"/>
  <c r="L98" i="8"/>
  <c r="G98" i="8"/>
  <c r="L101" i="8"/>
  <c r="G101" i="8"/>
  <c r="J120" i="8"/>
  <c r="E120" i="8"/>
  <c r="F120" i="8"/>
  <c r="L62" i="8"/>
  <c r="F63" i="8"/>
  <c r="J63" i="8"/>
  <c r="L100" i="8"/>
  <c r="G100" i="8"/>
  <c r="F9" i="8"/>
  <c r="J94" i="8"/>
  <c r="E94" i="8"/>
  <c r="F94" i="8"/>
  <c r="G137" i="8"/>
  <c r="L137" i="8"/>
  <c r="G57" i="8"/>
  <c r="L224" i="8"/>
  <c r="G224" i="8"/>
  <c r="L120" i="8"/>
  <c r="G120" i="8"/>
  <c r="L63" i="8"/>
  <c r="G9" i="8"/>
  <c r="G94" i="8"/>
  <c r="L94" i="8"/>
  <c r="O94" i="8" l="1"/>
  <c r="Q94" i="8" s="1"/>
  <c r="O120" i="8"/>
  <c r="Q120" i="8" s="1"/>
  <c r="O224" i="8"/>
  <c r="Q224" i="8" s="1"/>
  <c r="O137" i="8"/>
  <c r="Q137" i="8" s="1"/>
  <c r="O100" i="8"/>
  <c r="Q100" i="8" s="1"/>
  <c r="O62" i="8"/>
  <c r="O101" i="8"/>
  <c r="Q101" i="8" s="1"/>
  <c r="O98" i="8"/>
  <c r="O209" i="8"/>
  <c r="M201" i="8"/>
  <c r="O112" i="8"/>
  <c r="O108" i="8"/>
  <c r="O199" i="8"/>
  <c r="M179" i="8"/>
  <c r="Q207" i="8"/>
  <c r="Q218" i="8"/>
  <c r="O9" i="8"/>
  <c r="Q180" i="8"/>
  <c r="Q110" i="8"/>
  <c r="Q191" i="8"/>
  <c r="Q190" i="8"/>
  <c r="Q196" i="8"/>
  <c r="Q204" i="8"/>
  <c r="Q111" i="8"/>
  <c r="Q214" i="8"/>
  <c r="Q22" i="8"/>
  <c r="Q197" i="8"/>
  <c r="Q193" i="8"/>
  <c r="Q21" i="8"/>
  <c r="Q106" i="8"/>
  <c r="Q217" i="8"/>
  <c r="Q93" i="8"/>
  <c r="Q25" i="8"/>
  <c r="Q43" i="8"/>
  <c r="Q107" i="8"/>
  <c r="Q195" i="8"/>
  <c r="Q104" i="8"/>
  <c r="Q222" i="8"/>
  <c r="Q202" i="8"/>
  <c r="Q215" i="8"/>
  <c r="Q23" i="8"/>
  <c r="Q109" i="8"/>
  <c r="Q212" i="8"/>
  <c r="Q206" i="8"/>
  <c r="Q203" i="8"/>
  <c r="Q208" i="8"/>
  <c r="Q183" i="8"/>
  <c r="Q200" i="8"/>
  <c r="Q211" i="8"/>
  <c r="Q220" i="8"/>
  <c r="Q49" i="8"/>
  <c r="Q24" i="8"/>
  <c r="P94" i="8"/>
  <c r="P120" i="8"/>
  <c r="P224" i="8"/>
  <c r="P137" i="8"/>
  <c r="D95" i="8"/>
  <c r="N9" i="8"/>
  <c r="P100" i="8"/>
  <c r="P62" i="8"/>
  <c r="D124" i="8"/>
  <c r="D131" i="8"/>
  <c r="D129" i="8"/>
  <c r="D122" i="8"/>
  <c r="D128" i="8"/>
  <c r="D121" i="8"/>
  <c r="D130" i="8"/>
  <c r="P101" i="8"/>
  <c r="D228" i="8"/>
  <c r="D238" i="8"/>
  <c r="D230" i="8"/>
  <c r="D241" i="8"/>
  <c r="D232" i="8"/>
  <c r="D229" i="8"/>
  <c r="D227" i="8"/>
  <c r="D233" i="8"/>
  <c r="D243" i="8"/>
  <c r="D239" i="8"/>
  <c r="D58" i="8"/>
  <c r="D138" i="8"/>
  <c r="G62" i="8"/>
  <c r="L179" i="8"/>
  <c r="D64" i="8"/>
  <c r="D127" i="8"/>
  <c r="D133" i="8"/>
  <c r="D132" i="8"/>
  <c r="D126" i="8"/>
  <c r="D125" i="8"/>
  <c r="D134" i="8"/>
  <c r="D123" i="8"/>
  <c r="P98" i="8"/>
  <c r="D244" i="8"/>
  <c r="D240" i="8"/>
  <c r="D234" i="8"/>
  <c r="D236" i="8"/>
  <c r="D237" i="8"/>
  <c r="D242" i="8"/>
  <c r="D226" i="8"/>
  <c r="D225" i="8"/>
  <c r="D231" i="8"/>
  <c r="D235" i="8"/>
  <c r="D65" i="8"/>
  <c r="D139" i="8"/>
  <c r="D201" i="8"/>
  <c r="P209" i="8"/>
  <c r="P112" i="8"/>
  <c r="P108" i="8"/>
  <c r="P199" i="8"/>
  <c r="P9" i="8"/>
  <c r="F95" i="8"/>
  <c r="E95" i="8"/>
  <c r="J95" i="8"/>
  <c r="F124" i="8"/>
  <c r="E124" i="8"/>
  <c r="J124" i="8"/>
  <c r="J131" i="8"/>
  <c r="E131" i="8"/>
  <c r="F131" i="8"/>
  <c r="F129" i="8"/>
  <c r="J129" i="8"/>
  <c r="E129" i="8"/>
  <c r="J122" i="8"/>
  <c r="F122" i="8"/>
  <c r="E122" i="8"/>
  <c r="J128" i="8"/>
  <c r="E128" i="8"/>
  <c r="F128" i="8"/>
  <c r="E121" i="8"/>
  <c r="J121" i="8"/>
  <c r="F121" i="8"/>
  <c r="J130" i="8"/>
  <c r="F130" i="8"/>
  <c r="E130" i="8"/>
  <c r="E228" i="8"/>
  <c r="J228" i="8"/>
  <c r="F228" i="8"/>
  <c r="E238" i="8"/>
  <c r="J238" i="8"/>
  <c r="F238" i="8"/>
  <c r="E230" i="8"/>
  <c r="J230" i="8"/>
  <c r="F230" i="8"/>
  <c r="J241" i="8"/>
  <c r="E241" i="8"/>
  <c r="F241" i="8"/>
  <c r="E232" i="8"/>
  <c r="F232" i="8"/>
  <c r="J232" i="8"/>
  <c r="E229" i="8"/>
  <c r="F229" i="8"/>
  <c r="J229" i="8"/>
  <c r="J227" i="8"/>
  <c r="E227" i="8"/>
  <c r="F227" i="8"/>
  <c r="J233" i="8"/>
  <c r="E233" i="8"/>
  <c r="F233" i="8"/>
  <c r="J243" i="8"/>
  <c r="E243" i="8"/>
  <c r="F243" i="8"/>
  <c r="J239" i="8"/>
  <c r="E239" i="8"/>
  <c r="F239" i="8"/>
  <c r="J58" i="8"/>
  <c r="F58" i="8"/>
  <c r="E58" i="8"/>
  <c r="E138" i="8"/>
  <c r="F138" i="8"/>
  <c r="J138" i="8"/>
  <c r="J64" i="8"/>
  <c r="F64" i="8"/>
  <c r="J127" i="8"/>
  <c r="F127" i="8"/>
  <c r="E127" i="8"/>
  <c r="J133" i="8"/>
  <c r="E133" i="8"/>
  <c r="F133" i="8"/>
  <c r="F132" i="8"/>
  <c r="J132" i="8"/>
  <c r="E132" i="8"/>
  <c r="F126" i="8"/>
  <c r="J126" i="8"/>
  <c r="E126" i="8"/>
  <c r="J125" i="8"/>
  <c r="F125" i="8"/>
  <c r="E125" i="8"/>
  <c r="E134" i="8"/>
  <c r="F134" i="8"/>
  <c r="J134" i="8"/>
  <c r="J123" i="8"/>
  <c r="E123" i="8"/>
  <c r="F123" i="8"/>
  <c r="F244" i="8"/>
  <c r="E244" i="8"/>
  <c r="J244" i="8"/>
  <c r="E240" i="8"/>
  <c r="F240" i="8"/>
  <c r="J240" i="8"/>
  <c r="F234" i="8"/>
  <c r="E234" i="8"/>
  <c r="J234" i="8"/>
  <c r="F236" i="8"/>
  <c r="J236" i="8"/>
  <c r="E236" i="8"/>
  <c r="F237" i="8"/>
  <c r="E237" i="8"/>
  <c r="J237" i="8"/>
  <c r="J242" i="8"/>
  <c r="F242" i="8"/>
  <c r="E242" i="8"/>
  <c r="J226" i="8"/>
  <c r="E226" i="8"/>
  <c r="F226" i="8"/>
  <c r="J225" i="8"/>
  <c r="E225" i="8"/>
  <c r="F225" i="8"/>
  <c r="J231" i="8"/>
  <c r="E231" i="8"/>
  <c r="F231" i="8"/>
  <c r="F235" i="8"/>
  <c r="E235" i="8"/>
  <c r="J235" i="8"/>
  <c r="F65" i="8"/>
  <c r="J65" i="8"/>
  <c r="E139" i="8"/>
  <c r="J139" i="8"/>
  <c r="F139" i="8"/>
  <c r="L201" i="8"/>
  <c r="E201" i="8"/>
  <c r="J201" i="8"/>
  <c r="L95" i="8"/>
  <c r="G95" i="8"/>
  <c r="L124" i="8"/>
  <c r="G124" i="8"/>
  <c r="L131" i="8"/>
  <c r="G131" i="8"/>
  <c r="G129" i="8"/>
  <c r="L129" i="8"/>
  <c r="L122" i="8"/>
  <c r="G122" i="8"/>
  <c r="G128" i="8"/>
  <c r="L128" i="8"/>
  <c r="G121" i="8"/>
  <c r="L121" i="8"/>
  <c r="G130" i="8"/>
  <c r="L130" i="8"/>
  <c r="L228" i="8"/>
  <c r="G228" i="8"/>
  <c r="L238" i="8"/>
  <c r="G238" i="8"/>
  <c r="G230" i="8"/>
  <c r="L230" i="8"/>
  <c r="L241" i="8"/>
  <c r="G241" i="8"/>
  <c r="G232" i="8"/>
  <c r="L232" i="8"/>
  <c r="G229" i="8"/>
  <c r="L229" i="8"/>
  <c r="L227" i="8"/>
  <c r="G227" i="8"/>
  <c r="L233" i="8"/>
  <c r="G233" i="8"/>
  <c r="L243" i="8"/>
  <c r="G243" i="8"/>
  <c r="G239" i="8"/>
  <c r="L239" i="8"/>
  <c r="G58" i="8"/>
  <c r="L58" i="8"/>
  <c r="G138" i="8"/>
  <c r="L138" i="8"/>
  <c r="G127" i="8"/>
  <c r="L127" i="8"/>
  <c r="L133" i="8"/>
  <c r="G133" i="8"/>
  <c r="L132" i="8"/>
  <c r="G132" i="8"/>
  <c r="L126" i="8"/>
  <c r="G126" i="8"/>
  <c r="L125" i="8"/>
  <c r="G125" i="8"/>
  <c r="L134" i="8"/>
  <c r="G134" i="8"/>
  <c r="L123" i="8"/>
  <c r="G123" i="8"/>
  <c r="L244" i="8"/>
  <c r="G244" i="8"/>
  <c r="G240" i="8"/>
  <c r="L240" i="8"/>
  <c r="G234" i="8"/>
  <c r="L234" i="8"/>
  <c r="G236" i="8"/>
  <c r="L236" i="8"/>
  <c r="G237" i="8"/>
  <c r="L237" i="8"/>
  <c r="G242" i="8"/>
  <c r="L242" i="8"/>
  <c r="L226" i="8"/>
  <c r="G226" i="8"/>
  <c r="L225" i="8"/>
  <c r="G225" i="8"/>
  <c r="G231" i="8"/>
  <c r="L231" i="8"/>
  <c r="L235" i="8"/>
  <c r="G235" i="8"/>
  <c r="L65" i="8"/>
  <c r="G139" i="8"/>
  <c r="L139" i="8"/>
  <c r="F201" i="8"/>
  <c r="G201" i="8"/>
  <c r="N201" i="8" l="1"/>
  <c r="O139" i="8"/>
  <c r="O235" i="8"/>
  <c r="O231" i="8"/>
  <c r="O225" i="8"/>
  <c r="Q225" i="8" s="1"/>
  <c r="M223" i="8"/>
  <c r="O226" i="8"/>
  <c r="O242" i="8"/>
  <c r="O237" i="8"/>
  <c r="O236" i="8"/>
  <c r="O234" i="8"/>
  <c r="O240" i="8"/>
  <c r="O244" i="8"/>
  <c r="O123" i="8"/>
  <c r="O134" i="8"/>
  <c r="O125" i="8"/>
  <c r="O126" i="8"/>
  <c r="O132" i="8"/>
  <c r="O133" i="8"/>
  <c r="O127" i="8"/>
  <c r="O138" i="8"/>
  <c r="O58" i="8"/>
  <c r="O239" i="8"/>
  <c r="O243" i="8"/>
  <c r="O233" i="8"/>
  <c r="O227" i="8"/>
  <c r="O229" i="8"/>
  <c r="O232" i="8"/>
  <c r="O241" i="8"/>
  <c r="O230" i="8"/>
  <c r="O238" i="8"/>
  <c r="O228" i="8"/>
  <c r="O130" i="8"/>
  <c r="O121" i="8"/>
  <c r="M113" i="8"/>
  <c r="O128" i="8"/>
  <c r="O122" i="8"/>
  <c r="O129" i="8"/>
  <c r="O131" i="8"/>
  <c r="O124" i="8"/>
  <c r="O95" i="8"/>
  <c r="Q95" i="8" s="1"/>
  <c r="O179" i="8"/>
  <c r="Q112" i="8"/>
  <c r="Q209" i="8"/>
  <c r="Q9" i="8"/>
  <c r="Q199" i="8"/>
  <c r="Q108" i="8"/>
  <c r="O201" i="8"/>
  <c r="Q201" i="8" s="1"/>
  <c r="Q98" i="8"/>
  <c r="Q62" i="8"/>
  <c r="P225" i="8"/>
  <c r="P95" i="8"/>
  <c r="D66" i="8"/>
  <c r="L64" i="8"/>
  <c r="D153" i="8"/>
  <c r="D150" i="8"/>
  <c r="D151" i="8"/>
  <c r="D156" i="8"/>
  <c r="D143" i="8"/>
  <c r="D155" i="8"/>
  <c r="D154" i="8"/>
  <c r="D145" i="8"/>
  <c r="D59" i="8"/>
  <c r="D113" i="8"/>
  <c r="D96" i="8"/>
  <c r="P201" i="8"/>
  <c r="P58" i="8"/>
  <c r="P239" i="8"/>
  <c r="P233" i="8"/>
  <c r="P227" i="8"/>
  <c r="P232" i="8"/>
  <c r="P230" i="8"/>
  <c r="P228" i="8"/>
  <c r="P121" i="8"/>
  <c r="P128" i="8"/>
  <c r="P122" i="8"/>
  <c r="P129" i="8"/>
  <c r="P131" i="8"/>
  <c r="P124" i="8"/>
  <c r="D223" i="8"/>
  <c r="D142" i="8"/>
  <c r="D141" i="8"/>
  <c r="D152" i="8"/>
  <c r="D146" i="8"/>
  <c r="D147" i="8"/>
  <c r="F179" i="8"/>
  <c r="P139" i="8"/>
  <c r="P235" i="8"/>
  <c r="P231" i="8"/>
  <c r="L223" i="8"/>
  <c r="P226" i="8"/>
  <c r="P242" i="8"/>
  <c r="P237" i="8"/>
  <c r="P236" i="8"/>
  <c r="P234" i="8"/>
  <c r="P240" i="8"/>
  <c r="P244" i="8"/>
  <c r="P123" i="8"/>
  <c r="P134" i="8"/>
  <c r="P125" i="8"/>
  <c r="P126" i="8"/>
  <c r="P132" i="8"/>
  <c r="P133" i="8"/>
  <c r="P127" i="8"/>
  <c r="P138" i="8"/>
  <c r="P243" i="8"/>
  <c r="P229" i="8"/>
  <c r="P241" i="8"/>
  <c r="P238" i="8"/>
  <c r="P130" i="8"/>
  <c r="D149" i="8"/>
  <c r="D144" i="8"/>
  <c r="D140" i="8"/>
  <c r="D148" i="8"/>
  <c r="D67" i="8"/>
  <c r="P179" i="8"/>
  <c r="J66" i="8"/>
  <c r="E66" i="8"/>
  <c r="F66" i="8"/>
  <c r="E153" i="8"/>
  <c r="F153" i="8"/>
  <c r="J153" i="8"/>
  <c r="F150" i="8"/>
  <c r="J150" i="8"/>
  <c r="E150" i="8"/>
  <c r="E151" i="8"/>
  <c r="J151" i="8"/>
  <c r="F151" i="8"/>
  <c r="J156" i="8"/>
  <c r="E156" i="8"/>
  <c r="F156" i="8"/>
  <c r="E143" i="8"/>
  <c r="F143" i="8"/>
  <c r="J143" i="8"/>
  <c r="J155" i="8"/>
  <c r="F155" i="8"/>
  <c r="E155" i="8"/>
  <c r="J154" i="8"/>
  <c r="E154" i="8"/>
  <c r="F154" i="8"/>
  <c r="F145" i="8"/>
  <c r="E145" i="8"/>
  <c r="J145" i="8"/>
  <c r="F59" i="8"/>
  <c r="J59" i="8"/>
  <c r="E59" i="8"/>
  <c r="L113" i="8"/>
  <c r="J113" i="8"/>
  <c r="E113" i="8"/>
  <c r="J96" i="8"/>
  <c r="E96" i="8"/>
  <c r="F96" i="8"/>
  <c r="J223" i="8"/>
  <c r="E223" i="8"/>
  <c r="E142" i="8"/>
  <c r="F142" i="8"/>
  <c r="J142" i="8"/>
  <c r="E141" i="8"/>
  <c r="J141" i="8"/>
  <c r="F141" i="8"/>
  <c r="J152" i="8"/>
  <c r="F152" i="8"/>
  <c r="E152" i="8"/>
  <c r="F146" i="8"/>
  <c r="E146" i="8"/>
  <c r="J146" i="8"/>
  <c r="E147" i="8"/>
  <c r="J147" i="8"/>
  <c r="F147" i="8"/>
  <c r="G179" i="8"/>
  <c r="E149" i="8"/>
  <c r="F149" i="8"/>
  <c r="J149" i="8"/>
  <c r="J144" i="8"/>
  <c r="E144" i="8"/>
  <c r="F144" i="8"/>
  <c r="F140" i="8"/>
  <c r="E140" i="8"/>
  <c r="J140" i="8"/>
  <c r="E148" i="8"/>
  <c r="F148" i="8"/>
  <c r="J148" i="8"/>
  <c r="J67" i="8"/>
  <c r="F67" i="8"/>
  <c r="G66" i="8"/>
  <c r="L66" i="8"/>
  <c r="G153" i="8"/>
  <c r="L153" i="8"/>
  <c r="L150" i="8"/>
  <c r="G150" i="8"/>
  <c r="G151" i="8"/>
  <c r="L151" i="8"/>
  <c r="L156" i="8"/>
  <c r="G156" i="8"/>
  <c r="L143" i="8"/>
  <c r="G143" i="8"/>
  <c r="L155" i="8"/>
  <c r="G155" i="8"/>
  <c r="G154" i="8"/>
  <c r="L154" i="8"/>
  <c r="L145" i="8"/>
  <c r="G145" i="8"/>
  <c r="L59" i="8"/>
  <c r="G59" i="8"/>
  <c r="F113" i="8"/>
  <c r="L96" i="8"/>
  <c r="G96" i="8"/>
  <c r="G142" i="8"/>
  <c r="L142" i="8"/>
  <c r="G141" i="8"/>
  <c r="L141" i="8"/>
  <c r="L152" i="8"/>
  <c r="G152" i="8"/>
  <c r="L146" i="8"/>
  <c r="G146" i="8"/>
  <c r="G147" i="8"/>
  <c r="L147" i="8"/>
  <c r="G149" i="8"/>
  <c r="L149" i="8"/>
  <c r="G144" i="8"/>
  <c r="L144" i="8"/>
  <c r="G140" i="8"/>
  <c r="L140" i="8"/>
  <c r="G148" i="8"/>
  <c r="L148" i="8"/>
  <c r="L67" i="8"/>
  <c r="G113" i="8"/>
  <c r="O148" i="8" l="1"/>
  <c r="Q148" i="8" s="1"/>
  <c r="O140" i="8"/>
  <c r="Q140" i="8" s="1"/>
  <c r="M135" i="8"/>
  <c r="O144" i="8"/>
  <c r="Q144" i="8" s="1"/>
  <c r="O149" i="8"/>
  <c r="Q149" i="8" s="1"/>
  <c r="O147" i="8"/>
  <c r="Q147" i="8" s="1"/>
  <c r="O146" i="8"/>
  <c r="Q146" i="8" s="1"/>
  <c r="O152" i="8"/>
  <c r="Q152" i="8" s="1"/>
  <c r="O141" i="8"/>
  <c r="Q141" i="8" s="1"/>
  <c r="O142" i="8"/>
  <c r="Q142" i="8" s="1"/>
  <c r="O96" i="8"/>
  <c r="Q96" i="8" s="1"/>
  <c r="O59" i="8"/>
  <c r="Q59" i="8" s="1"/>
  <c r="O145" i="8"/>
  <c r="Q145" i="8" s="1"/>
  <c r="O154" i="8"/>
  <c r="Q154" i="8" s="1"/>
  <c r="O155" i="8"/>
  <c r="Q155" i="8" s="1"/>
  <c r="O143" i="8"/>
  <c r="Q143" i="8" s="1"/>
  <c r="O156" i="8"/>
  <c r="Q156" i="8" s="1"/>
  <c r="O151" i="8"/>
  <c r="Q151" i="8" s="1"/>
  <c r="O150" i="8"/>
  <c r="Q150" i="8" s="1"/>
  <c r="O153" i="8"/>
  <c r="Q153" i="8" s="1"/>
  <c r="O66" i="8"/>
  <c r="Q66" i="8" s="1"/>
  <c r="N179" i="8"/>
  <c r="O113" i="8"/>
  <c r="Q113" i="8" s="1"/>
  <c r="Q179" i="8"/>
  <c r="Q124" i="8"/>
  <c r="Q131" i="8"/>
  <c r="Q129" i="8"/>
  <c r="Q122" i="8"/>
  <c r="Q128" i="8"/>
  <c r="Q121" i="8"/>
  <c r="Q130" i="8"/>
  <c r="Q228" i="8"/>
  <c r="Q238" i="8"/>
  <c r="Q230" i="8"/>
  <c r="Q241" i="8"/>
  <c r="Q232" i="8"/>
  <c r="Q229" i="8"/>
  <c r="Q227" i="8"/>
  <c r="Q233" i="8"/>
  <c r="Q243" i="8"/>
  <c r="Q239" i="8"/>
  <c r="Q58" i="8"/>
  <c r="Q138" i="8"/>
  <c r="Q127" i="8"/>
  <c r="Q133" i="8"/>
  <c r="Q132" i="8"/>
  <c r="Q126" i="8"/>
  <c r="Q125" i="8"/>
  <c r="Q134" i="8"/>
  <c r="Q123" i="8"/>
  <c r="Q244" i="8"/>
  <c r="Q240" i="8"/>
  <c r="Q234" i="8"/>
  <c r="Q236" i="8"/>
  <c r="Q237" i="8"/>
  <c r="Q242" i="8"/>
  <c r="Q226" i="8"/>
  <c r="O223" i="8"/>
  <c r="Q231" i="8"/>
  <c r="Q235" i="8"/>
  <c r="Q139" i="8"/>
  <c r="P148" i="8"/>
  <c r="P140" i="8"/>
  <c r="P144" i="8"/>
  <c r="P149" i="8"/>
  <c r="P147" i="8"/>
  <c r="P146" i="8"/>
  <c r="P152" i="8"/>
  <c r="P141" i="8"/>
  <c r="P142" i="8"/>
  <c r="N113" i="8"/>
  <c r="P59" i="8"/>
  <c r="D135" i="8"/>
  <c r="D60" i="8"/>
  <c r="P113" i="8"/>
  <c r="L135" i="8"/>
  <c r="P96" i="8"/>
  <c r="P145" i="8"/>
  <c r="P154" i="8"/>
  <c r="P155" i="8"/>
  <c r="P143" i="8"/>
  <c r="P156" i="8"/>
  <c r="P151" i="8"/>
  <c r="P150" i="8"/>
  <c r="P153" i="8"/>
  <c r="P66" i="8"/>
  <c r="D68" i="8"/>
  <c r="D97" i="8"/>
  <c r="D69" i="8"/>
  <c r="F223" i="8"/>
  <c r="P223" i="8"/>
  <c r="J135" i="8"/>
  <c r="E135" i="8"/>
  <c r="E60" i="8"/>
  <c r="J60" i="8"/>
  <c r="F60" i="8"/>
  <c r="F135" i="8"/>
  <c r="E68" i="8"/>
  <c r="F68" i="8"/>
  <c r="J68" i="8"/>
  <c r="J97" i="8"/>
  <c r="E97" i="8"/>
  <c r="F97" i="8"/>
  <c r="F69" i="8"/>
  <c r="J69" i="8"/>
  <c r="G223" i="8"/>
  <c r="G60" i="8"/>
  <c r="L60" i="8"/>
  <c r="G135" i="8"/>
  <c r="L68" i="8"/>
  <c r="G68" i="8"/>
  <c r="L97" i="8"/>
  <c r="G97" i="8"/>
  <c r="L69" i="8"/>
  <c r="O97" i="8" l="1"/>
  <c r="M91" i="8"/>
  <c r="O68" i="8"/>
  <c r="Q68" i="8"/>
  <c r="O60" i="8"/>
  <c r="Q60" i="8"/>
  <c r="N223" i="8"/>
  <c r="Q223" i="8"/>
  <c r="O135" i="8"/>
  <c r="P68" i="8"/>
  <c r="P60" i="8"/>
  <c r="D70" i="8"/>
  <c r="N135" i="8"/>
  <c r="P135" i="8"/>
  <c r="D91" i="8"/>
  <c r="D71" i="8"/>
  <c r="P97" i="8"/>
  <c r="F70" i="8"/>
  <c r="J70" i="8"/>
  <c r="L91" i="8"/>
  <c r="J91" i="8"/>
  <c r="E91" i="8"/>
  <c r="J71" i="8"/>
  <c r="F71" i="8"/>
  <c r="E71" i="8"/>
  <c r="G71" i="8"/>
  <c r="L71" i="8"/>
  <c r="O71" i="8" l="1"/>
  <c r="O91" i="8"/>
  <c r="Q135" i="8"/>
  <c r="Q97" i="8"/>
  <c r="P71" i="8"/>
  <c r="F91" i="8"/>
  <c r="L70" i="8"/>
  <c r="D72" i="8"/>
  <c r="P91" i="8"/>
  <c r="G91" i="8"/>
  <c r="F72" i="8"/>
  <c r="J72" i="8"/>
  <c r="E72" i="8"/>
  <c r="L72" i="8"/>
  <c r="G72" i="8"/>
  <c r="O72" i="8" l="1"/>
  <c r="Q72" i="8" s="1"/>
  <c r="Q91" i="8"/>
  <c r="Q71" i="8"/>
  <c r="P72" i="8"/>
  <c r="D73" i="8"/>
  <c r="N91" i="8"/>
  <c r="F73" i="8"/>
  <c r="E73" i="8"/>
  <c r="J73" i="8"/>
  <c r="L73" i="8"/>
  <c r="G73" i="8"/>
  <c r="O73" i="8" l="1"/>
  <c r="Q73" i="8" s="1"/>
  <c r="P73" i="8"/>
  <c r="D74" i="8"/>
  <c r="J74" i="8"/>
  <c r="F74" i="8"/>
  <c r="E74" i="8"/>
  <c r="L74" i="8"/>
  <c r="G74" i="8"/>
  <c r="O74" i="8" l="1"/>
  <c r="Q74" i="8" s="1"/>
  <c r="P74" i="8"/>
  <c r="D75" i="8"/>
  <c r="J75" i="8"/>
  <c r="F75" i="8"/>
  <c r="E75" i="8"/>
  <c r="L75" i="8"/>
  <c r="G75" i="8"/>
  <c r="O75" i="8" l="1"/>
  <c r="Q75" i="8" s="1"/>
  <c r="P75" i="8"/>
  <c r="D76" i="8"/>
  <c r="E76" i="8"/>
  <c r="F76" i="8"/>
  <c r="J76" i="8"/>
  <c r="G76" i="8"/>
  <c r="L76" i="8"/>
  <c r="O76" i="8" l="1"/>
  <c r="Q76" i="8" s="1"/>
  <c r="P76" i="8"/>
  <c r="D77" i="8"/>
  <c r="E77" i="8"/>
  <c r="F77" i="8"/>
  <c r="J77" i="8"/>
  <c r="L77" i="8"/>
  <c r="G77" i="8"/>
  <c r="O77" i="8" l="1"/>
  <c r="Q77" i="8" s="1"/>
  <c r="P77" i="8"/>
  <c r="D78" i="8"/>
  <c r="D83" i="8"/>
  <c r="F78" i="8"/>
  <c r="E78" i="8"/>
  <c r="J78" i="8"/>
  <c r="J83" i="8"/>
  <c r="E83" i="8"/>
  <c r="F83" i="8"/>
  <c r="G78" i="8"/>
  <c r="L78" i="8"/>
  <c r="G83" i="8"/>
  <c r="L83" i="8"/>
  <c r="O83" i="8" l="1"/>
  <c r="Q83" i="8" s="1"/>
  <c r="O78" i="8"/>
  <c r="Q78" i="8" s="1"/>
  <c r="P83" i="8"/>
  <c r="P78" i="8"/>
  <c r="D158" i="8"/>
  <c r="D79" i="8"/>
  <c r="J158" i="8"/>
  <c r="F158" i="8"/>
  <c r="E158" i="8"/>
  <c r="F79" i="8"/>
  <c r="E79" i="8"/>
  <c r="J79" i="8"/>
  <c r="G158" i="8"/>
  <c r="L158" i="8"/>
  <c r="L79" i="8"/>
  <c r="G79" i="8"/>
  <c r="O79" i="8" l="1"/>
  <c r="Q79" i="8" s="1"/>
  <c r="O158" i="8"/>
  <c r="Q158" i="8" s="1"/>
  <c r="P79" i="8"/>
  <c r="P158" i="8"/>
  <c r="D85" i="8"/>
  <c r="D84" i="8"/>
  <c r="D165" i="8"/>
  <c r="D170" i="8"/>
  <c r="D161" i="8"/>
  <c r="D178" i="8"/>
  <c r="D167" i="8"/>
  <c r="D163" i="8"/>
  <c r="D160" i="8"/>
  <c r="D166" i="8"/>
  <c r="D159" i="8"/>
  <c r="D162" i="8"/>
  <c r="D177" i="8"/>
  <c r="D175" i="8"/>
  <c r="D168" i="8"/>
  <c r="D173" i="8"/>
  <c r="D172" i="8"/>
  <c r="D80" i="8"/>
  <c r="D169" i="8"/>
  <c r="D176" i="8"/>
  <c r="D171" i="8"/>
  <c r="D174" i="8"/>
  <c r="D164" i="8"/>
  <c r="J85" i="8"/>
  <c r="E85" i="8"/>
  <c r="F85" i="8"/>
  <c r="J84" i="8"/>
  <c r="F84" i="8"/>
  <c r="E84" i="8"/>
  <c r="J165" i="8"/>
  <c r="E165" i="8"/>
  <c r="F165" i="8"/>
  <c r="J170" i="8"/>
  <c r="E170" i="8"/>
  <c r="F170" i="8"/>
  <c r="J161" i="8"/>
  <c r="F161" i="8"/>
  <c r="E161" i="8"/>
  <c r="J178" i="8"/>
  <c r="E178" i="8"/>
  <c r="F178" i="8"/>
  <c r="J167" i="8"/>
  <c r="E167" i="8"/>
  <c r="F167" i="8"/>
  <c r="J163" i="8"/>
  <c r="F163" i="8"/>
  <c r="E163" i="8"/>
  <c r="J160" i="8"/>
  <c r="F160" i="8"/>
  <c r="E160" i="8"/>
  <c r="E166" i="8"/>
  <c r="F166" i="8"/>
  <c r="J166" i="8"/>
  <c r="F159" i="8"/>
  <c r="J159" i="8"/>
  <c r="E159" i="8"/>
  <c r="F162" i="8"/>
  <c r="E162" i="8"/>
  <c r="J162" i="8"/>
  <c r="F177" i="8"/>
  <c r="J177" i="8"/>
  <c r="E177" i="8"/>
  <c r="J175" i="8"/>
  <c r="E175" i="8"/>
  <c r="F175" i="8"/>
  <c r="J168" i="8"/>
  <c r="F168" i="8"/>
  <c r="E168" i="8"/>
  <c r="F173" i="8"/>
  <c r="J173" i="8"/>
  <c r="E173" i="8"/>
  <c r="J172" i="8"/>
  <c r="F172" i="8"/>
  <c r="E172" i="8"/>
  <c r="F80" i="8"/>
  <c r="J80" i="8"/>
  <c r="E80" i="8"/>
  <c r="E169" i="8"/>
  <c r="J169" i="8"/>
  <c r="F169" i="8"/>
  <c r="F176" i="8"/>
  <c r="E176" i="8"/>
  <c r="J176" i="8"/>
  <c r="E171" i="8"/>
  <c r="J171" i="8"/>
  <c r="F171" i="8"/>
  <c r="J174" i="8"/>
  <c r="F174" i="8"/>
  <c r="E174" i="8"/>
  <c r="E164" i="8"/>
  <c r="J164" i="8"/>
  <c r="F164" i="8"/>
  <c r="L85" i="8"/>
  <c r="G85" i="8"/>
  <c r="L84" i="8"/>
  <c r="G84" i="8"/>
  <c r="G165" i="8"/>
  <c r="L165" i="8"/>
  <c r="G170" i="8"/>
  <c r="L170" i="8"/>
  <c r="G161" i="8"/>
  <c r="L161" i="8"/>
  <c r="L178" i="8"/>
  <c r="G178" i="8"/>
  <c r="G167" i="8"/>
  <c r="L167" i="8"/>
  <c r="G163" i="8"/>
  <c r="L163" i="8"/>
  <c r="L160" i="8"/>
  <c r="G160" i="8"/>
  <c r="L166" i="8"/>
  <c r="G166" i="8"/>
  <c r="G159" i="8"/>
  <c r="L159" i="8"/>
  <c r="G162" i="8"/>
  <c r="L162" i="8"/>
  <c r="L177" i="8"/>
  <c r="G177" i="8"/>
  <c r="L175" i="8"/>
  <c r="G175" i="8"/>
  <c r="L168" i="8"/>
  <c r="G168" i="8"/>
  <c r="G173" i="8"/>
  <c r="L173" i="8"/>
  <c r="G172" i="8"/>
  <c r="L172" i="8"/>
  <c r="G80" i="8"/>
  <c r="L80" i="8"/>
  <c r="L169" i="8"/>
  <c r="G169" i="8"/>
  <c r="L176" i="8"/>
  <c r="G176" i="8"/>
  <c r="G171" i="8"/>
  <c r="L171" i="8"/>
  <c r="L174" i="8"/>
  <c r="G174" i="8"/>
  <c r="G164" i="8"/>
  <c r="L164" i="8"/>
  <c r="O164" i="8" l="1"/>
  <c r="Q164" i="8" s="1"/>
  <c r="O174" i="8"/>
  <c r="Q174" i="8" s="1"/>
  <c r="O171" i="8"/>
  <c r="O176" i="8"/>
  <c r="O169" i="8"/>
  <c r="Q169" i="8" s="1"/>
  <c r="O80" i="8"/>
  <c r="O172" i="8"/>
  <c r="Q172" i="8" s="1"/>
  <c r="O173" i="8"/>
  <c r="O168" i="8"/>
  <c r="Q168" i="8" s="1"/>
  <c r="O175" i="8"/>
  <c r="Q175" i="8" s="1"/>
  <c r="O177" i="8"/>
  <c r="Q177" i="8" s="1"/>
  <c r="O162" i="8"/>
  <c r="Q162" i="8" s="1"/>
  <c r="O159" i="8"/>
  <c r="Q159" i="8" s="1"/>
  <c r="M157" i="8"/>
  <c r="O166" i="8"/>
  <c r="O160" i="8"/>
  <c r="Q160" i="8" s="1"/>
  <c r="O163" i="8"/>
  <c r="Q163" i="8" s="1"/>
  <c r="O167" i="8"/>
  <c r="Q167" i="8" s="1"/>
  <c r="O178" i="8"/>
  <c r="Q178" i="8" s="1"/>
  <c r="O161" i="8"/>
  <c r="O170" i="8"/>
  <c r="Q170" i="8"/>
  <c r="O165" i="8"/>
  <c r="Q165" i="8"/>
  <c r="O84" i="8"/>
  <c r="O85" i="8"/>
  <c r="P164" i="8"/>
  <c r="P174" i="8"/>
  <c r="P169" i="8"/>
  <c r="P172" i="8"/>
  <c r="P168" i="8"/>
  <c r="P175" i="8"/>
  <c r="P177" i="8"/>
  <c r="P162" i="8"/>
  <c r="P159" i="8"/>
  <c r="P160" i="8"/>
  <c r="P163" i="8"/>
  <c r="P167" i="8"/>
  <c r="P178" i="8"/>
  <c r="P170" i="8"/>
  <c r="P165" i="8"/>
  <c r="D81" i="8"/>
  <c r="D40" i="8"/>
  <c r="P171" i="8"/>
  <c r="P80" i="8"/>
  <c r="P173" i="8"/>
  <c r="P166" i="8"/>
  <c r="P161" i="8"/>
  <c r="P84" i="8"/>
  <c r="P85" i="8"/>
  <c r="D157" i="8"/>
  <c r="P176" i="8"/>
  <c r="L157" i="8"/>
  <c r="F81" i="8"/>
  <c r="J81" i="8"/>
  <c r="E81" i="8"/>
  <c r="E40" i="8"/>
  <c r="F40" i="8"/>
  <c r="J40" i="8"/>
  <c r="J157" i="8"/>
  <c r="E157" i="8"/>
  <c r="F157" i="8"/>
  <c r="G81" i="8"/>
  <c r="L81" i="8"/>
  <c r="L40" i="8"/>
  <c r="G40" i="8"/>
  <c r="G157" i="8"/>
  <c r="M31" i="8" l="1"/>
  <c r="O40" i="8"/>
  <c r="Q40" i="8" s="1"/>
  <c r="O81" i="8"/>
  <c r="Q81" i="8" s="1"/>
  <c r="Q85" i="8"/>
  <c r="Q84" i="8"/>
  <c r="Q161" i="8"/>
  <c r="Q166" i="8"/>
  <c r="O157" i="8"/>
  <c r="Q157" i="8" s="1"/>
  <c r="Q173" i="8"/>
  <c r="Q80" i="8"/>
  <c r="Q176" i="8"/>
  <c r="Q171" i="8"/>
  <c r="P40" i="8"/>
  <c r="P81" i="8"/>
  <c r="N157" i="8"/>
  <c r="D87" i="8"/>
  <c r="D82" i="8"/>
  <c r="P157" i="8"/>
  <c r="D86" i="8"/>
  <c r="D31" i="8"/>
  <c r="J87" i="8"/>
  <c r="F87" i="8"/>
  <c r="E87" i="8"/>
  <c r="F82" i="8"/>
  <c r="E82" i="8"/>
  <c r="J82" i="8"/>
  <c r="J86" i="8"/>
  <c r="F86" i="8"/>
  <c r="E86" i="8"/>
  <c r="L31" i="8"/>
  <c r="J31" i="8"/>
  <c r="E31" i="8"/>
  <c r="L87" i="8"/>
  <c r="G87" i="8"/>
  <c r="G82" i="8"/>
  <c r="L82" i="8"/>
  <c r="G86" i="8"/>
  <c r="L86" i="8"/>
  <c r="F31" i="8"/>
  <c r="G31" i="8"/>
  <c r="O86" i="8" l="1"/>
  <c r="Q86" i="8" s="1"/>
  <c r="O82" i="8"/>
  <c r="Q82" i="8" s="1"/>
  <c r="O87" i="8"/>
  <c r="Q87" i="8" s="1"/>
  <c r="O31" i="8"/>
  <c r="P86" i="8"/>
  <c r="P82" i="8"/>
  <c r="P87" i="8"/>
  <c r="D89" i="8"/>
  <c r="P31" i="8"/>
  <c r="N31" i="8"/>
  <c r="D88" i="8"/>
  <c r="J89" i="8"/>
  <c r="E89" i="8"/>
  <c r="F89" i="8"/>
  <c r="E88" i="8"/>
  <c r="J88" i="8"/>
  <c r="F88" i="8"/>
  <c r="L89" i="8"/>
  <c r="G89" i="8"/>
  <c r="G88" i="8"/>
  <c r="L88" i="8"/>
  <c r="O88" i="8" l="1"/>
  <c r="Q88" i="8" s="1"/>
  <c r="O89" i="8"/>
  <c r="Q89" i="8" s="1"/>
  <c r="Q31" i="8"/>
  <c r="P88" i="8"/>
  <c r="P89" i="8"/>
  <c r="D90" i="8"/>
  <c r="F90" i="8"/>
  <c r="J90" i="8"/>
  <c r="E90" i="8"/>
  <c r="G90" i="8"/>
  <c r="L90" i="8"/>
  <c r="O90" i="8" l="1"/>
  <c r="Q90" i="8" s="1"/>
  <c r="M53" i="8"/>
  <c r="P90" i="8"/>
  <c r="D53" i="8"/>
  <c r="L53" i="8"/>
  <c r="J53" i="8"/>
  <c r="E53" i="8"/>
  <c r="S5" i="8" s="1"/>
  <c r="F53" i="8"/>
  <c r="S6" i="8"/>
  <c r="T5" i="8"/>
  <c r="G53" i="8"/>
  <c r="U5" i="8"/>
  <c r="V5" i="8"/>
  <c r="W5" i="8"/>
  <c r="X5" i="8"/>
  <c r="X6" i="8"/>
  <c r="Y5" i="8"/>
  <c r="Z5" i="8"/>
  <c r="AA5" i="8"/>
  <c r="AB5" i="8"/>
  <c r="AC5" i="8"/>
  <c r="AC6" i="8"/>
  <c r="AD5" i="8"/>
  <c r="AE5" i="8"/>
  <c r="AF5" i="8"/>
  <c r="AG5" i="8"/>
  <c r="AH5" i="8"/>
  <c r="AH6" i="8"/>
  <c r="AI5" i="8"/>
  <c r="AJ5" i="8"/>
  <c r="AK5" i="8"/>
  <c r="AL5" i="8"/>
  <c r="AM5" i="8"/>
  <c r="AM6" i="8"/>
  <c r="AN5" i="8"/>
  <c r="AO5" i="8"/>
  <c r="AP5" i="8"/>
  <c r="AQ5" i="8"/>
  <c r="AR5" i="8"/>
  <c r="AR6" i="8"/>
  <c r="AS5" i="8"/>
  <c r="AT5" i="8"/>
  <c r="AU5" i="8"/>
  <c r="AV5" i="8"/>
  <c r="AW5" i="8"/>
  <c r="AW6" i="8"/>
  <c r="AX5" i="8"/>
  <c r="AY5" i="8"/>
  <c r="AZ5" i="8"/>
  <c r="BA5" i="8"/>
  <c r="BB5" i="8"/>
  <c r="BB6" i="8"/>
  <c r="BC5" i="8"/>
  <c r="BD5" i="8"/>
  <c r="BE5" i="8"/>
  <c r="BF5" i="8"/>
  <c r="BG5" i="8"/>
  <c r="BG6" i="8"/>
  <c r="BH5" i="8"/>
  <c r="BI5" i="8"/>
  <c r="BJ5" i="8"/>
  <c r="BK5" i="8"/>
  <c r="BL5" i="8"/>
  <c r="BL6" i="8"/>
  <c r="BM5" i="8"/>
  <c r="BN5" i="8"/>
  <c r="BO5" i="8"/>
  <c r="BP5" i="8"/>
  <c r="BQ5" i="8"/>
  <c r="BQ6" i="8"/>
  <c r="BR5" i="8"/>
  <c r="BS5" i="8"/>
  <c r="BT5" i="8"/>
  <c r="BU5" i="8"/>
  <c r="BV5" i="8"/>
  <c r="BV6" i="8"/>
  <c r="BW5" i="8"/>
  <c r="BX5" i="8"/>
  <c r="BY5" i="8"/>
  <c r="BZ5" i="8"/>
  <c r="CA5" i="8"/>
  <c r="CA6" i="8"/>
  <c r="CB5" i="8"/>
  <c r="CC5" i="8"/>
  <c r="CD5" i="8"/>
  <c r="CE5" i="8"/>
  <c r="CF5" i="8"/>
  <c r="CF6" i="8"/>
  <c r="CG5" i="8"/>
  <c r="CH5" i="8"/>
  <c r="CI5" i="8"/>
  <c r="CJ5" i="8"/>
  <c r="CK5" i="8"/>
  <c r="CK6" i="8"/>
  <c r="CL5" i="8"/>
  <c r="CM5" i="8"/>
  <c r="CN5" i="8"/>
  <c r="CO5" i="8"/>
  <c r="CP5" i="8"/>
  <c r="CP6" i="8"/>
  <c r="CQ5" i="8"/>
  <c r="CR5" i="8"/>
  <c r="CS5" i="8"/>
  <c r="CT5" i="8"/>
  <c r="CU5" i="8"/>
  <c r="CU6" i="8"/>
  <c r="CV5" i="8"/>
  <c r="CW5" i="8"/>
  <c r="CX5" i="8"/>
  <c r="CY5" i="8"/>
  <c r="CZ5" i="8"/>
  <c r="CZ6" i="8"/>
  <c r="DA5" i="8"/>
  <c r="DB5" i="8"/>
  <c r="DC5" i="8"/>
  <c r="DD5" i="8"/>
  <c r="DE5" i="8"/>
  <c r="DE6" i="8"/>
  <c r="DF5" i="8"/>
  <c r="DG5" i="8"/>
  <c r="DH5" i="8"/>
  <c r="DI5" i="8"/>
  <c r="DJ5" i="8"/>
  <c r="DJ6" i="8"/>
  <c r="DK5" i="8"/>
  <c r="DL5" i="8"/>
  <c r="DM5" i="8"/>
  <c r="DN5" i="8"/>
  <c r="DO5" i="8"/>
  <c r="DO6" i="8"/>
  <c r="DP5" i="8"/>
  <c r="DQ5" i="8"/>
  <c r="DR5" i="8"/>
  <c r="DS5" i="8"/>
  <c r="DT5" i="8"/>
  <c r="DT6" i="8"/>
  <c r="DU5" i="8"/>
  <c r="DV5" i="8"/>
  <c r="DW5" i="8"/>
  <c r="DX5" i="8"/>
  <c r="DY5" i="8"/>
  <c r="DY6" i="8"/>
  <c r="DZ5" i="8"/>
  <c r="EA5" i="8"/>
  <c r="EB5" i="8"/>
  <c r="EC5" i="8"/>
  <c r="ED5" i="8"/>
  <c r="ED6" i="8"/>
  <c r="EE5" i="8"/>
  <c r="EF5" i="8"/>
  <c r="EG5" i="8"/>
  <c r="EH5" i="8"/>
  <c r="EI5" i="8"/>
  <c r="EI6" i="8"/>
  <c r="EJ5" i="8"/>
  <c r="EK5" i="8"/>
  <c r="EL5" i="8"/>
  <c r="EM5" i="8"/>
  <c r="EN5" i="8"/>
  <c r="EN6" i="8"/>
  <c r="EO5" i="8"/>
  <c r="EP5" i="8"/>
  <c r="EQ5" i="8"/>
  <c r="ER5" i="8"/>
  <c r="ES5" i="8"/>
  <c r="ES6" i="8"/>
  <c r="ET5" i="8"/>
  <c r="EU5" i="8"/>
  <c r="EV5" i="8"/>
  <c r="EW5" i="8"/>
  <c r="EX5" i="8"/>
  <c r="EX6" i="8"/>
  <c r="EY5" i="8"/>
  <c r="EZ5" i="8"/>
  <c r="FA5" i="8"/>
  <c r="FB5" i="8"/>
  <c r="FC5" i="8"/>
  <c r="FC6" i="8"/>
  <c r="FD5" i="8"/>
  <c r="FE5" i="8"/>
  <c r="FF5" i="8"/>
  <c r="FG5" i="8"/>
  <c r="FH5" i="8"/>
  <c r="FH6" i="8"/>
  <c r="FI5" i="8"/>
  <c r="FJ5" i="8"/>
  <c r="FK5" i="8"/>
  <c r="FL5" i="8"/>
  <c r="FM5" i="8"/>
  <c r="FM6" i="8"/>
  <c r="FN5" i="8"/>
  <c r="FO5" i="8"/>
  <c r="FP5" i="8"/>
  <c r="FQ5" i="8"/>
  <c r="FR5" i="8"/>
  <c r="FR6" i="8"/>
  <c r="FS5" i="8"/>
  <c r="FT5" i="8"/>
  <c r="FU5" i="8"/>
  <c r="FV5" i="8"/>
  <c r="FW5" i="8"/>
  <c r="FW6" i="8"/>
  <c r="FX5" i="8"/>
  <c r="FY5" i="8"/>
  <c r="FZ5" i="8"/>
  <c r="GA5" i="8"/>
  <c r="GB5" i="8"/>
  <c r="GB6" i="8"/>
  <c r="GC5" i="8"/>
  <c r="GD5" i="8"/>
  <c r="GE5" i="8"/>
  <c r="GF5" i="8"/>
  <c r="GG5" i="8"/>
  <c r="GG6" i="8"/>
  <c r="GH5" i="8"/>
  <c r="GI5" i="8"/>
  <c r="GJ5" i="8"/>
  <c r="GK5" i="8"/>
  <c r="GL5" i="8"/>
  <c r="GL6" i="8"/>
  <c r="GM5" i="8"/>
  <c r="GN5" i="8"/>
  <c r="GO5" i="8"/>
  <c r="GP5" i="8"/>
  <c r="GQ5" i="8"/>
  <c r="GQ6" i="8"/>
  <c r="GR5" i="8"/>
  <c r="GS5" i="8"/>
  <c r="GT5" i="8"/>
  <c r="GU5" i="8"/>
  <c r="GV5" i="8"/>
  <c r="GV6" i="8"/>
  <c r="GW5" i="8"/>
  <c r="GX5" i="8"/>
  <c r="GY5" i="8"/>
  <c r="GZ5" i="8"/>
  <c r="HA5" i="8"/>
  <c r="HA6" i="8"/>
  <c r="HB5" i="8"/>
  <c r="HC5" i="8"/>
  <c r="HD5" i="8"/>
  <c r="HE5" i="8"/>
  <c r="HF5" i="8"/>
  <c r="HF6" i="8"/>
  <c r="HG5" i="8"/>
  <c r="HH5" i="8"/>
  <c r="HI5" i="8"/>
  <c r="HJ5" i="8"/>
  <c r="HK5" i="8"/>
  <c r="HK6" i="8"/>
  <c r="HL5" i="8"/>
  <c r="HM5" i="8"/>
  <c r="HN5" i="8"/>
  <c r="HO5" i="8"/>
  <c r="HP5" i="8"/>
  <c r="HP6" i="8"/>
  <c r="HQ5" i="8"/>
  <c r="HR5" i="8"/>
  <c r="HS5" i="8"/>
  <c r="HT5" i="8"/>
  <c r="HU5" i="8"/>
  <c r="HU6" i="8"/>
  <c r="HV5" i="8"/>
  <c r="HW5" i="8"/>
  <c r="HX5" i="8"/>
  <c r="HY5" i="8"/>
  <c r="HZ5" i="8"/>
  <c r="IA5" i="8"/>
  <c r="HZ6" i="8"/>
  <c r="IB5" i="8"/>
  <c r="IC5" i="8"/>
  <c r="ID5" i="8"/>
  <c r="IE5" i="8"/>
  <c r="IF5" i="8"/>
  <c r="IE6" i="8"/>
  <c r="IG5" i="8"/>
  <c r="IH5" i="8"/>
  <c r="II5" i="8"/>
  <c r="IJ5" i="8"/>
  <c r="IK5" i="8"/>
  <c r="IJ6" i="8"/>
  <c r="IL5" i="8"/>
  <c r="IM5" i="8"/>
  <c r="IN5" i="8"/>
  <c r="IO5" i="8"/>
  <c r="IP5" i="8"/>
  <c r="IO6" i="8"/>
  <c r="IQ5" i="8"/>
  <c r="IR5" i="8"/>
  <c r="IS5" i="8"/>
  <c r="IT5" i="8"/>
  <c r="IT6" i="8"/>
  <c r="IU5" i="8"/>
  <c r="IV5" i="8"/>
  <c r="IW5" i="8"/>
  <c r="IX5" i="8" l="1"/>
  <c r="IW4" i="8"/>
  <c r="IV4" i="8"/>
  <c r="IU4" i="8"/>
  <c r="IT4" i="8"/>
  <c r="IS4" i="8"/>
  <c r="IR4" i="8"/>
  <c r="IQ4" i="8"/>
  <c r="IP4" i="8"/>
  <c r="IO4" i="8"/>
  <c r="IN4" i="8"/>
  <c r="IM4" i="8"/>
  <c r="IL4" i="8"/>
  <c r="IK4" i="8"/>
  <c r="IJ4" i="8"/>
  <c r="II4" i="8"/>
  <c r="IH4" i="8"/>
  <c r="IG4" i="8"/>
  <c r="IF4" i="8"/>
  <c r="IE4" i="8"/>
  <c r="ID4" i="8"/>
  <c r="IC4" i="8"/>
  <c r="IB4" i="8"/>
  <c r="IA4" i="8"/>
  <c r="HZ4" i="8"/>
  <c r="HY4" i="8"/>
  <c r="HX4" i="8"/>
  <c r="HW4" i="8"/>
  <c r="HV4" i="8"/>
  <c r="HU4" i="8"/>
  <c r="HT4" i="8"/>
  <c r="HS4" i="8"/>
  <c r="HR4" i="8"/>
  <c r="HQ4" i="8"/>
  <c r="HP4" i="8"/>
  <c r="HO4" i="8"/>
  <c r="HN4" i="8"/>
  <c r="HM4" i="8"/>
  <c r="HL4" i="8"/>
  <c r="HK4" i="8"/>
  <c r="HJ4" i="8"/>
  <c r="HI4" i="8"/>
  <c r="HH4" i="8"/>
  <c r="HG4" i="8"/>
  <c r="HF4" i="8"/>
  <c r="HE4" i="8"/>
  <c r="HD4" i="8"/>
  <c r="HC4" i="8"/>
  <c r="HB4" i="8"/>
  <c r="HA4" i="8"/>
  <c r="GZ4" i="8"/>
  <c r="GY4" i="8"/>
  <c r="GX4" i="8"/>
  <c r="GW4" i="8"/>
  <c r="GV4" i="8"/>
  <c r="GU4" i="8"/>
  <c r="GT4" i="8"/>
  <c r="GS4" i="8"/>
  <c r="GR4" i="8"/>
  <c r="GQ4" i="8"/>
  <c r="GP4" i="8"/>
  <c r="GO4" i="8"/>
  <c r="GN4" i="8"/>
  <c r="GM4" i="8"/>
  <c r="GL4" i="8"/>
  <c r="GK4" i="8"/>
  <c r="GJ4" i="8"/>
  <c r="GI4" i="8"/>
  <c r="GH4" i="8"/>
  <c r="GG4" i="8"/>
  <c r="GF4" i="8"/>
  <c r="GE4" i="8"/>
  <c r="GD4" i="8"/>
  <c r="GC4" i="8"/>
  <c r="GB4" i="8"/>
  <c r="GA4" i="8"/>
  <c r="FZ4" i="8"/>
  <c r="FY4" i="8"/>
  <c r="FX4" i="8"/>
  <c r="FW4" i="8"/>
  <c r="FV4" i="8"/>
  <c r="FU4" i="8"/>
  <c r="FT4" i="8"/>
  <c r="FS4" i="8"/>
  <c r="FR4" i="8"/>
  <c r="FQ4" i="8"/>
  <c r="FP4" i="8"/>
  <c r="FO4" i="8"/>
  <c r="FN4" i="8"/>
  <c r="FM4" i="8"/>
  <c r="FL4" i="8"/>
  <c r="FK4" i="8"/>
  <c r="FJ4" i="8"/>
  <c r="FI4" i="8"/>
  <c r="FH4" i="8"/>
  <c r="FG4" i="8"/>
  <c r="FF4" i="8"/>
  <c r="FE4" i="8"/>
  <c r="FD4" i="8"/>
  <c r="FC4" i="8"/>
  <c r="FB4" i="8"/>
  <c r="FA4" i="8"/>
  <c r="EZ4" i="8"/>
  <c r="EY4" i="8"/>
  <c r="EX4" i="8"/>
  <c r="EW4" i="8"/>
  <c r="EV4" i="8"/>
  <c r="EU4" i="8"/>
  <c r="ET4" i="8"/>
  <c r="ES4" i="8"/>
  <c r="ER4" i="8"/>
  <c r="EQ4" i="8"/>
  <c r="EP4" i="8"/>
  <c r="EO4" i="8"/>
  <c r="EN4" i="8"/>
  <c r="EM4" i="8"/>
  <c r="EL4" i="8"/>
  <c r="EK4" i="8"/>
  <c r="EJ4" i="8"/>
  <c r="EI4" i="8"/>
  <c r="EH4" i="8"/>
  <c r="EG4" i="8"/>
  <c r="EF4" i="8"/>
  <c r="EE4" i="8"/>
  <c r="ED4" i="8"/>
  <c r="EC4" i="8"/>
  <c r="EB4" i="8"/>
  <c r="EA4" i="8"/>
  <c r="DZ4" i="8"/>
  <c r="DY4" i="8"/>
  <c r="DX4" i="8"/>
  <c r="DW4" i="8"/>
  <c r="DV4" i="8"/>
  <c r="DU4" i="8"/>
  <c r="DT4" i="8"/>
  <c r="DS4" i="8"/>
  <c r="DR4" i="8"/>
  <c r="DQ4" i="8"/>
  <c r="DP4" i="8"/>
  <c r="DO4" i="8"/>
  <c r="DN4" i="8"/>
  <c r="DM4" i="8"/>
  <c r="DL4" i="8"/>
  <c r="DK4" i="8"/>
  <c r="DJ4" i="8"/>
  <c r="DI4" i="8"/>
  <c r="DH4" i="8"/>
  <c r="DG4" i="8"/>
  <c r="DF4" i="8"/>
  <c r="DE4" i="8"/>
  <c r="DD4" i="8"/>
  <c r="DC4" i="8"/>
  <c r="DB4" i="8"/>
  <c r="DA4" i="8"/>
  <c r="CZ4" i="8"/>
  <c r="CY4" i="8"/>
  <c r="CX4" i="8"/>
  <c r="CW4" i="8"/>
  <c r="CV4" i="8"/>
  <c r="CU4" i="8"/>
  <c r="CT4" i="8"/>
  <c r="CS4" i="8"/>
  <c r="CR4" i="8"/>
  <c r="CQ4" i="8"/>
  <c r="CP4" i="8"/>
  <c r="CO4" i="8"/>
  <c r="CN4" i="8"/>
  <c r="CM4" i="8"/>
  <c r="CL4" i="8"/>
  <c r="CK4" i="8"/>
  <c r="CJ4" i="8"/>
  <c r="CI4" i="8"/>
  <c r="CH4" i="8"/>
  <c r="CG4" i="8"/>
  <c r="CF4" i="8"/>
  <c r="CE4" i="8"/>
  <c r="CD4" i="8"/>
  <c r="CC4" i="8"/>
  <c r="CB4" i="8"/>
  <c r="CA4" i="8"/>
  <c r="BZ4" i="8"/>
  <c r="BY4" i="8"/>
  <c r="BX4" i="8"/>
  <c r="BW4" i="8"/>
  <c r="BV4" i="8"/>
  <c r="BU4" i="8"/>
  <c r="BT4" i="8"/>
  <c r="BS4" i="8"/>
  <c r="BR4" i="8"/>
  <c r="BQ4" i="8"/>
  <c r="BP4" i="8"/>
  <c r="BO4" i="8"/>
  <c r="BN4" i="8"/>
  <c r="BM4" i="8"/>
  <c r="BL4" i="8"/>
  <c r="BK4" i="8"/>
  <c r="BJ4" i="8"/>
  <c r="BI4" i="8"/>
  <c r="BH4" i="8"/>
  <c r="BG4" i="8"/>
  <c r="BF4" i="8"/>
  <c r="BE4" i="8"/>
  <c r="BD4" i="8"/>
  <c r="BC4" i="8"/>
  <c r="BB4" i="8"/>
  <c r="BA4" i="8"/>
  <c r="AZ4" i="8"/>
  <c r="AY4" i="8"/>
  <c r="AX4" i="8"/>
  <c r="AW4" i="8"/>
  <c r="AV4" i="8"/>
  <c r="AU4" i="8"/>
  <c r="AT4" i="8"/>
  <c r="AS4" i="8"/>
  <c r="AR4" i="8"/>
  <c r="AQ4" i="8"/>
  <c r="AP4" i="8"/>
  <c r="AO4" i="8"/>
  <c r="AN4" i="8"/>
  <c r="AM4" i="8"/>
  <c r="AL4" i="8"/>
  <c r="AK4" i="8"/>
  <c r="AJ4" i="8"/>
  <c r="AI4" i="8"/>
  <c r="AH4" i="8"/>
  <c r="AG4" i="8"/>
  <c r="AF4" i="8"/>
  <c r="AE4" i="8"/>
  <c r="AD4" i="8"/>
  <c r="AC4" i="8"/>
  <c r="AB4" i="8"/>
  <c r="AA4" i="8"/>
  <c r="Z4" i="8"/>
  <c r="Y4" i="8"/>
  <c r="X4" i="8"/>
  <c r="W4" i="8"/>
  <c r="V4" i="8"/>
  <c r="U4" i="8"/>
  <c r="T4" i="8"/>
  <c r="C5" i="8"/>
  <c r="S4" i="8"/>
  <c r="M8" i="8"/>
  <c r="O53" i="8"/>
  <c r="L8" i="8"/>
  <c r="N53" i="8"/>
  <c r="P53" i="8"/>
  <c r="F8" i="8"/>
  <c r="G8" i="8"/>
  <c r="F13" i="10" l="1"/>
  <c r="B14" i="10"/>
  <c r="F14" i="10"/>
  <c r="O8" i="8"/>
  <c r="Q53" i="8"/>
  <c r="N8" i="8"/>
  <c r="P8" i="8"/>
  <c r="D14" i="10" l="1"/>
  <c r="Q8" i="8"/>
</calcChain>
</file>

<file path=xl/sharedStrings.xml><?xml version="1.0" encoding="utf-8"?>
<sst xmlns="http://schemas.openxmlformats.org/spreadsheetml/2006/main" count="257" uniqueCount="177">
  <si>
    <t>WBS</t>
  </si>
  <si>
    <t>شروع</t>
  </si>
  <si>
    <t>پایان</t>
  </si>
  <si>
    <t>مدت دوره (روز)</t>
  </si>
  <si>
    <t>% تکمیل</t>
  </si>
  <si>
    <t>روزهای کاری</t>
  </si>
  <si>
    <t>روزهای مانده</t>
  </si>
  <si>
    <t>مدیر پروژه</t>
  </si>
  <si>
    <t>وظیفه</t>
  </si>
  <si>
    <t>شخص</t>
  </si>
  <si>
    <t>میزان کار انجام شده (روز)</t>
  </si>
  <si>
    <t>مناسبت</t>
  </si>
  <si>
    <t>عید نوروز</t>
  </si>
  <si>
    <t>روز جمهوري اسلامي ايران</t>
  </si>
  <si>
    <t>جشن سيزده بدر</t>
  </si>
  <si>
    <t>شهادت حضرت فاطمه زهرا سلام الله عليها </t>
  </si>
  <si>
    <t>ولادت امام علي عليه السلام</t>
  </si>
  <si>
    <t>رحلت حضرت امام خميني</t>
  </si>
  <si>
    <t>قيام 15 خرداد</t>
  </si>
  <si>
    <t>مبعث رسول اكرم </t>
  </si>
  <si>
    <t>ولادت حضرت قائم عجل الله تعالي فرجه و جشن نيمه شعبان </t>
  </si>
  <si>
    <t>شهادت حضرت علي عليه السلام</t>
  </si>
  <si>
    <t>تعطيل به مناسبت عيد سعيد فطر</t>
  </si>
  <si>
    <t>شهادت امام جعفر صادق عليه السلام</t>
  </si>
  <si>
    <t>عيد سعيد قربان</t>
  </si>
  <si>
    <t>عيد سعيد غدير خم</t>
  </si>
  <si>
    <t>تاسوعاي حسيني</t>
  </si>
  <si>
    <t>عاشوراي حسيني</t>
  </si>
  <si>
    <t>اربعين حسيني</t>
  </si>
  <si>
    <t>رحلت رسول اكرم؛شهادت امام حسن مجتبي عليه السلام</t>
  </si>
  <si>
    <t>شهادت امام رضا عليه السلام </t>
  </si>
  <si>
    <t>ميلاد رسول اكرم و امام جعفر صادق عليه السلام</t>
  </si>
  <si>
    <t>پيروزي انقلاب اسلامي</t>
  </si>
  <si>
    <t>روز ملي شدن صنعت نفت ايران</t>
  </si>
  <si>
    <t>date</t>
  </si>
  <si>
    <t>ok</t>
  </si>
  <si>
    <t>Friday</t>
  </si>
  <si>
    <t>month</t>
  </si>
  <si>
    <t>year</t>
  </si>
  <si>
    <t>0</t>
  </si>
  <si>
    <t>روز شروع فعالیت(روز هفته)</t>
  </si>
  <si>
    <t>تعداد روز بعد از فعالیت</t>
  </si>
  <si>
    <t>پیش نیاز فعالیت</t>
  </si>
  <si>
    <t>میزان ساعت مورد نیاز</t>
  </si>
  <si>
    <t>میزان روزهای پیشرفت کار</t>
  </si>
  <si>
    <t>نوع تخصص</t>
  </si>
  <si>
    <t>کد تخصص</t>
  </si>
  <si>
    <t>هزینه نفر ساعت</t>
  </si>
  <si>
    <t>مدیریت پروژه</t>
  </si>
  <si>
    <t>کارشناس ارشد تحلیل</t>
  </si>
  <si>
    <t>کارشناس توسعه و پیاده سازی</t>
  </si>
  <si>
    <t>مجموع</t>
  </si>
  <si>
    <t>گزارش هزینه پروژه</t>
  </si>
  <si>
    <t>نفر / ساعت</t>
  </si>
  <si>
    <t>نفر / ماه</t>
  </si>
  <si>
    <t>کارشناس ارشد تحلیل و طراحی</t>
  </si>
  <si>
    <t>کارشناس پیاده سازی و توسعه سرویس</t>
  </si>
  <si>
    <t>شروع پروژه</t>
  </si>
  <si>
    <t>خاتمه پروژه</t>
  </si>
  <si>
    <t>مدت پروژه</t>
  </si>
  <si>
    <t>تعداد روز کاری</t>
  </si>
  <si>
    <t xml:space="preserve">طی </t>
  </si>
  <si>
    <t>هزینه نفر ماه (ماه * 128)</t>
  </si>
  <si>
    <t>میزان نفر روز (هر روز 6 ساعت)</t>
  </si>
  <si>
    <t>شرح خدمات</t>
  </si>
  <si>
    <t>نیروی انسانی به تفکیک</t>
  </si>
  <si>
    <t>بهای تمام شده خدمات</t>
  </si>
  <si>
    <t>مبلغ قابل پرداخت</t>
  </si>
  <si>
    <t>تهيه برنامه زمانبندي msp  و گانت چارت اجرايي پروژه</t>
  </si>
  <si>
    <t>تحویل نهايي دستاوردهای پروژه</t>
  </si>
  <si>
    <t>میزان تخفیف (همکاری ویژه)</t>
  </si>
  <si>
    <t>هزینه نفر ماه (قرارداد)</t>
  </si>
  <si>
    <t>هفته در حال نمایش :</t>
  </si>
  <si>
    <t>2/21</t>
  </si>
  <si>
    <t>2/22</t>
  </si>
  <si>
    <t>2/23</t>
  </si>
  <si>
    <t>9/21</t>
  </si>
  <si>
    <t>9/22</t>
  </si>
  <si>
    <t>9/23</t>
  </si>
  <si>
    <t>کارفرما</t>
  </si>
  <si>
    <t>انتقال پورتال به دامنه اصلی کارفرما</t>
  </si>
  <si>
    <t xml:space="preserve">ارائه سند نيازمنديهاي شبکه و سخت افزار سرور و نرم افزار های مورد نیاز به کارفرما </t>
  </si>
  <si>
    <t>1398/01/01</t>
  </si>
  <si>
    <t>1398/01/02</t>
  </si>
  <si>
    <t>1398/01/03</t>
  </si>
  <si>
    <t>1398/01/04</t>
  </si>
  <si>
    <t>1398/01/12</t>
  </si>
  <si>
    <t>1398/01/13</t>
  </si>
  <si>
    <t>1398/03/14</t>
  </si>
  <si>
    <t>1398/03/15</t>
  </si>
  <si>
    <t>1398/11/22</t>
  </si>
  <si>
    <t>1398/12/29</t>
  </si>
  <si>
    <t>1398/01/14</t>
  </si>
  <si>
    <t>1398/02/01</t>
  </si>
  <si>
    <t>1398/03/05</t>
  </si>
  <si>
    <t>1398/03/16</t>
  </si>
  <si>
    <t>1398/04/08</t>
  </si>
  <si>
    <t>1398/05/21</t>
  </si>
  <si>
    <t>1398/05/29</t>
  </si>
  <si>
    <t>1398/06/18</t>
  </si>
  <si>
    <t>1398/06/19</t>
  </si>
  <si>
    <t>1398/07/27</t>
  </si>
  <si>
    <t>1398/08/05</t>
  </si>
  <si>
    <t>1398/08/07</t>
  </si>
  <si>
    <t>1398/08/15</t>
  </si>
  <si>
    <t>شهادت امام حسن عسکری علیه السلام</t>
  </si>
  <si>
    <t>1398/08/24</t>
  </si>
  <si>
    <t>1398/11/09</t>
  </si>
  <si>
    <t>1398/12/18</t>
  </si>
  <si>
    <t>مصطفی ابراهیمی مطلق</t>
  </si>
  <si>
    <t>مشترک</t>
  </si>
  <si>
    <t>پیمانکار</t>
  </si>
  <si>
    <t>تدوین سند شناخت وضع جاری</t>
  </si>
  <si>
    <t>معرفی مدیر پروژه کارفرما به پیمانکار</t>
  </si>
  <si>
    <t>اقدامات اجرایی پیکربندی، مدیریت و کاربرد نرم افزار</t>
  </si>
  <si>
    <t>ارائه طرح آموزش و برنامه زمانبندی و مکانی برگزاری جلسات آموزشی</t>
  </si>
  <si>
    <t>مدیریت، برنامه ریزی مالی و کنترل پیشرفت پروژه</t>
  </si>
  <si>
    <t>تنظیم و امضاء صورت جلسه تحویل پروژه</t>
  </si>
  <si>
    <t>پیکربندی ماژول های پست الکترونیک و پیام کوتاه  بر روی سرویس دهنده های پست الکترونیک و پیام کوتاه کارفرما</t>
  </si>
  <si>
    <t xml:space="preserve">تامين و آماده سازي شبکه و زيرساخت سخت افزاری و نرم افزاری مورد نياز (سرور  اصلی و میرور) توسط کارفرما </t>
  </si>
  <si>
    <t>پرداخت پیش پرداخت قرارداد</t>
  </si>
  <si>
    <t>استقرار زيرساخت  وآماده سازی  زیر ساخت نرم افزاری سامان سوئیت</t>
  </si>
  <si>
    <t>راه اندازی کامل زیرپورتال اینترنتی (نسخه فارسی)</t>
  </si>
  <si>
    <t>کانورت مکانیزه اطلاعات</t>
  </si>
  <si>
    <t>اعلام ماژول های محتوایی کارفرما</t>
  </si>
  <si>
    <t>ارایه فایل های اکسل ماژول های محتوایی اعلام شده از طرف کارفرما</t>
  </si>
  <si>
    <t>تکمیل و ارسال اطلاعات</t>
  </si>
  <si>
    <t>تصحیح محتوای درج شده به صورت مکانیزه در زیر ساخت جدید</t>
  </si>
  <si>
    <t>تکمیل محتوای درج شده در وب سایت قبلی حد فاصل زمان انتقال اطلاعات در پورتال جدید</t>
  </si>
  <si>
    <t>ارائه دسترسی راه دور به سرور از طریق (ssh) با حق دسترسی مدیریت</t>
  </si>
  <si>
    <t>نصب و پیکربندی سرور پورتال و زیر ساخت نرم افزاری پایه آن</t>
  </si>
  <si>
    <t>1398/06/31</t>
  </si>
  <si>
    <t>جمع بندی نيازمنديهای فرايند شناخت و تدوین سند معماری محتوا (تدریجی)</t>
  </si>
  <si>
    <t>ارائه سر صفحه اختصاصی زیر پورتال بیمه مسافرتی</t>
  </si>
  <si>
    <t>معرفی نمایندگان کارفرما به تفکیک سطوح کاربری دارای دانش و مهارت های پیش نیاز آموزش نرم افزار</t>
  </si>
  <si>
    <t>برگزاری جلسات آموزش راهبر زیر پورتال (4 ساعت)</t>
  </si>
  <si>
    <t>ارائه خدمات آموزش</t>
  </si>
  <si>
    <t>برگزاری جلسات آموزش زیر ساخت توسعه پذیری نرم افزار (6 ساعت)</t>
  </si>
  <si>
    <t>اعلام نام های کاربری و حقوق دسترسی مورد نیاز هر یک از کاربران و اطلاعات مورد نیاز جهت تنظیم</t>
  </si>
  <si>
    <t>جلسه اول پروژه (معارفه و تحویل زیر ساخت نرم افزاری)</t>
  </si>
  <si>
    <t>معرفی مدیر پروژه پیمانکار به کارفرما پس از ابلاغ قرارداد</t>
  </si>
  <si>
    <t>نصب و پیکربندی نرم افزار سامان سوئیت و سایر نرم افزاری های موضوع قرارداد بر روی سرور</t>
  </si>
  <si>
    <t>تنظیم روال های تهیه نسخه پشتیبان دوره ای از نرم افزار سامان سوئیت</t>
  </si>
  <si>
    <t>تهیه و نگهداری نسخه های پشتیبان نرم افزار سامان سوئیت</t>
  </si>
  <si>
    <t>تحویل نرم افزار نصب شده مطابق با مجوزهای جدول الف و ب پیوست 8 قرارداد بر روی سرور کارفرما به کارفرما</t>
  </si>
  <si>
    <t>ارائه خدمات اجرایی موضوع قرارداد</t>
  </si>
  <si>
    <t>تعریف و اعطای حق دسترسی به کاربران و گروه های کاربری اعلام شده</t>
  </si>
  <si>
    <t>طراحی و پیاده سازی پورتال اینترنتی و زیر پورتال های بیمه سامان</t>
  </si>
  <si>
    <t>برگزاری جلسات آموزش  راهبری و مدیریتی  (9 ساعت)</t>
  </si>
  <si>
    <t>برگزاری جلسات آموزش کاربری(9 ساعت)</t>
  </si>
  <si>
    <t>تحویل راه اندازی کامل زیر پورتال اینترنتی (نسخه فارسی)  (1 روز تست پیمانکار ، 2 روز تست  کارفرما)</t>
  </si>
  <si>
    <t xml:space="preserve">ارائه سر صفحه اختصاصی برای زیر پورتال سهامداران </t>
  </si>
  <si>
    <t>تحویل سرور اصلی  به کارفرما</t>
  </si>
  <si>
    <t>تکمیل پرسش نامه های نیاز سنجی محتوایی و گرافیکی  پورتال اصلی (فارسی)</t>
  </si>
  <si>
    <t>ارائه سر صفحه اختصاصی زیر پورتال بیمه عمر و اندوخته ساز</t>
  </si>
  <si>
    <t xml:space="preserve">ارائه پرسش نامه های نیازسنجی محتوایی و گرافیکی </t>
  </si>
  <si>
    <t>نهایی سازی سر صفحه اختصاصی زیر پورتال بیمه عمر و اندوخته ساز مطابق نظر کارفرما (اعلام نظر کارفرما: 1 روز کاری  و نهایی سازی: 2 روزکاری)</t>
  </si>
  <si>
    <t>نهایی سازی سر صفحه اختصاصی زیر پورتال مسافرتی مطابق نظر کارفرما (اعلام نظر کارفرما : 1 روز کاری و  نهایی سازی: 2 روزکاری)</t>
  </si>
  <si>
    <t>نهایی سازی سر صفحه اختصاصی  برای زیر پورتال سهامداران مطابق نظر کارفرما (اعلام نظر کارفرما : 1 روز کاری و نهایی سازی: 2 روزکاری)</t>
  </si>
  <si>
    <t xml:space="preserve"> بررسی و تایید مستند معماری محتوا توسط کارفرما (تدریجی)</t>
  </si>
  <si>
    <t>نهایی سازی قالب گرافیکی  برای پورتال اینترنتی مطابق نظر کارفرما (اعلام نظر کارفرما: 3 روز کاری، نهایی سازی: 2 روزکاری)</t>
  </si>
  <si>
    <t>تکمیل پرسش نامه های نیاز سنجی محتوایی پورتال بیمه عمر و  اندوخته ساز</t>
  </si>
  <si>
    <t>تکمیل پرسش نامه های نیاز سنجی محتوایی پورتال بیمه مسافرتی</t>
  </si>
  <si>
    <t>تکمیل پرسش نامه های نیاز سنجی محتوایی پورتال سهامداران</t>
  </si>
  <si>
    <t>راه اندازی اولیه زیرپورتال عمر</t>
  </si>
  <si>
    <t>تحویل راه اندازی اولیه زیر پورتال عمر   (1 روز تست پیمانکار ، 2 روز تست  کارفرما)</t>
  </si>
  <si>
    <t>راه اندازی  اولیه زیرپورتال بیمه مسافرتی</t>
  </si>
  <si>
    <t>تحویل راه اندازی اولیه زیر پورتال مسافرتی (1 روز تست پیمانکار ، 2 روز تست  کارفرما)</t>
  </si>
  <si>
    <t>راه اندازی کامل زیر پورتال  نمایندگان</t>
  </si>
  <si>
    <t>تحویل راه اندازی کامل زیر پورتال نمایندگان (1 روز تست پیمانکار ، 2 روز تست  کارفرما)</t>
  </si>
  <si>
    <t>راه اندازی اولیه زیرپورتال سهامداران</t>
  </si>
  <si>
    <t>تحویل راه اندازی اولیه  زیرپورتال سهامداران (1 روز تست پیمانکار ، 2 روز تست  کارفرما)</t>
  </si>
  <si>
    <t>تکمیل پرسش نامه های نیاز سنجی محتوایی پورتال  نمایندگان</t>
  </si>
  <si>
    <t>ارائه سر صفحه اختصاصی زیر پورتال نمایندگان</t>
  </si>
  <si>
    <t>نهایی سازی سر صفحه اختصاصی زیر پورتال نمایندگان مطابق نظر کارفرما (اعلام نظر کارفرما و نهایی سازی: 2 روزکاری)</t>
  </si>
  <si>
    <r>
      <t xml:space="preserve">ارائه یک قالب گرافیکی  فارسی  برای </t>
    </r>
    <r>
      <rPr>
        <b/>
        <sz val="8"/>
        <rFont val="B Nazanin"/>
        <charset val="178"/>
      </rPr>
      <t>زیر پورتال اینترنتی(فارسی)</t>
    </r>
  </si>
  <si>
    <r>
      <rPr>
        <b/>
        <sz val="10"/>
        <rFont val="B Nazanin"/>
        <charset val="178"/>
      </rPr>
      <t>راه اندازی اولیه</t>
    </r>
    <r>
      <rPr>
        <sz val="9"/>
        <rFont val="B Nazanin"/>
        <charset val="178"/>
      </rPr>
      <t xml:space="preserve"> زیر پورتال شامل موارد زیر می گردد:
ایجاد زیرپورتال بر اساس ماژولهای منتخب از پورتال اصلی
ایجاد ساختار محتوا و سرفصل های اطلاعاتی
پیاده سازی چیدمان صفحه اصلی
طراحی سرصفحه نمای گرافیکی (منطبق بر طرح پایه)
</t>
    </r>
    <r>
      <rPr>
        <sz val="10"/>
        <rFont val="B Nazanin"/>
        <charset val="178"/>
      </rPr>
      <t>راه اندازی کامل</t>
    </r>
    <r>
      <rPr>
        <sz val="9"/>
        <rFont val="B Nazanin"/>
        <charset val="178"/>
      </rPr>
      <t xml:space="preserve"> زیر پورتال مازاد بر راه اندازی اولیه زیر پورتال شامل موارد زیر می گردد:
تعریف کاربران و تنظیم حقوق دسترسی
ورود اطلاعات محتوا
آموزش راهبر پورتال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</si>
</sst>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-&quot;ريال&quot;* #,##0.00_-;_-&quot;ريال&quot;* #,##0.00\-;_-&quot;ريال&quot;* &quot;-&quot;??_-;_-@_-"/>
    <numFmt numFmtId="165" formatCode="[h]:mm"/>
    <numFmt numFmtId="166" formatCode="_-[$ريال-429]* #,##0_-;_-[$ريال-429]* #,##0\-;_-[$ريال-429]* &quot;-&quot;??_-;_-@_-"/>
    <numFmt numFmtId="167" formatCode="_-&quot;ريال&quot;* #,##0_-;_-&quot;ريال&quot;* #,##0\-;_-&quot;ريال&quot;* &quot;-&quot;??_-;_-@_-"/>
    <numFmt numFmtId="168" formatCode="0.0"/>
    <numFmt numFmtId="169" formatCode="&quot;ريال&quot;#,##0_-"/>
    <numFmt numFmtId="170" formatCode="[$-F800]dddd\,\ mmmm\ dd\,\ yyyy"/>
  </numFmts>
  <fonts count="34">
    <font>
      <sz val="10"/>
      <name val="Arial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8"/>
      <name val="B Koodak"/>
      <charset val="178"/>
    </font>
    <font>
      <b/>
      <sz val="14"/>
      <color indexed="16"/>
      <name val="B Koodak"/>
      <charset val="178"/>
    </font>
    <font>
      <sz val="10"/>
      <name val="B Koodak"/>
      <charset val="178"/>
    </font>
    <font>
      <sz val="9"/>
      <name val="B Koodak"/>
      <charset val="178"/>
    </font>
    <font>
      <b/>
      <sz val="8"/>
      <name val="B Koodak"/>
      <charset val="178"/>
    </font>
    <font>
      <sz val="8.6"/>
      <name val="B Koodak"/>
      <charset val="178"/>
    </font>
    <font>
      <sz val="11"/>
      <color theme="1"/>
      <name val="Calibri"/>
      <family val="2"/>
      <scheme val="minor"/>
    </font>
    <font>
      <sz val="12"/>
      <color theme="1"/>
      <name val="B Mitra"/>
      <charset val="178"/>
    </font>
    <font>
      <sz val="11"/>
      <color theme="1"/>
      <name val="B Mitra"/>
      <charset val="178"/>
    </font>
    <font>
      <sz val="8"/>
      <name val="B Mitra"/>
      <charset val="178"/>
    </font>
    <font>
      <sz val="11"/>
      <name val="B Koodak"/>
      <charset val="178"/>
    </font>
    <font>
      <sz val="10"/>
      <name val="Arial"/>
      <family val="2"/>
    </font>
    <font>
      <sz val="8"/>
      <color theme="0"/>
      <name val="B Koodak"/>
      <charset val="178"/>
    </font>
    <font>
      <sz val="11"/>
      <name val="B Mitra"/>
      <charset val="178"/>
    </font>
    <font>
      <b/>
      <sz val="11"/>
      <name val="B Koodak"/>
      <charset val="178"/>
    </font>
    <font>
      <b/>
      <sz val="11"/>
      <name val="B Mitra"/>
      <charset val="178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charset val="178"/>
      <scheme val="minor"/>
    </font>
    <font>
      <b/>
      <sz val="8"/>
      <name val="B Nazanin"/>
      <charset val="178"/>
    </font>
    <font>
      <sz val="8"/>
      <name val="B Nazanin"/>
      <charset val="178"/>
    </font>
    <font>
      <sz val="11"/>
      <name val="B Nazanin"/>
      <charset val="178"/>
    </font>
    <font>
      <sz val="9"/>
      <name val="B Nazanin"/>
      <charset val="178"/>
    </font>
    <font>
      <b/>
      <sz val="10"/>
      <name val="B Nazanin"/>
      <charset val="178"/>
    </font>
    <font>
      <sz val="10"/>
      <name val="B Nazanin"/>
      <charset val="178"/>
    </font>
    <font>
      <u/>
      <sz val="10"/>
      <color indexed="12"/>
      <name val="B Nazanin"/>
      <charset val="178"/>
    </font>
    <font>
      <b/>
      <sz val="14"/>
      <color indexed="16"/>
      <name val="B Nazanin"/>
      <charset val="178"/>
    </font>
    <font>
      <sz val="9"/>
      <color theme="0"/>
      <name val="B Nazanin"/>
      <charset val="178"/>
    </font>
    <font>
      <b/>
      <sz val="11"/>
      <color indexed="16"/>
      <name val="B Nazanin"/>
      <charset val="178"/>
    </font>
    <font>
      <u/>
      <sz val="8"/>
      <color indexed="12"/>
      <name val="B Nazanin"/>
      <charset val="178"/>
    </font>
    <font>
      <sz val="6"/>
      <name val="B Nazanin"/>
      <charset val="178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99FF99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55"/>
      </left>
      <right/>
      <top/>
      <bottom style="medium">
        <color indexed="64"/>
      </bottom>
      <diagonal/>
    </border>
    <border>
      <left/>
      <right style="thin">
        <color indexed="55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22"/>
      </top>
      <bottom/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0" fontId="10" fillId="0" borderId="0"/>
    <xf numFmtId="164" fontId="15" fillId="0" borderId="0" applyFont="0" applyFill="0" applyBorder="0" applyAlignment="0" applyProtection="0"/>
    <xf numFmtId="0" fontId="10" fillId="0" borderId="0"/>
    <xf numFmtId="0" fontId="20" fillId="0" borderId="0" applyNumberFormat="0" applyFill="0" applyBorder="0" applyAlignment="0" applyProtection="0"/>
    <xf numFmtId="0" fontId="21" fillId="0" borderId="0"/>
  </cellStyleXfs>
  <cellXfs count="392">
    <xf numFmtId="0" fontId="0" fillId="0" borderId="0" xfId="0"/>
    <xf numFmtId="0" fontId="4" fillId="2" borderId="2" xfId="0" applyFont="1" applyFill="1" applyBorder="1"/>
    <xf numFmtId="1" fontId="4" fillId="2" borderId="2" xfId="0" applyNumberFormat="1" applyFont="1" applyFill="1" applyBorder="1"/>
    <xf numFmtId="1" fontId="4" fillId="4" borderId="2" xfId="0" applyNumberFormat="1" applyFont="1" applyFill="1" applyBorder="1" applyAlignment="1">
      <alignment horizontal="center"/>
    </xf>
    <xf numFmtId="1" fontId="4" fillId="2" borderId="2" xfId="0" applyNumberFormat="1" applyFont="1" applyFill="1" applyBorder="1" applyAlignment="1">
      <alignment horizontal="center"/>
    </xf>
    <xf numFmtId="49" fontId="4" fillId="0" borderId="2" xfId="0" applyNumberFormat="1" applyFont="1" applyBorder="1" applyAlignment="1">
      <alignment horizontal="left"/>
    </xf>
    <xf numFmtId="0" fontId="4" fillId="0" borderId="2" xfId="0" applyFont="1" applyFill="1" applyBorder="1" applyAlignment="1">
      <alignment wrapText="1"/>
    </xf>
    <xf numFmtId="0" fontId="4" fillId="0" borderId="2" xfId="0" applyFont="1" applyFill="1" applyBorder="1"/>
    <xf numFmtId="1" fontId="4" fillId="3" borderId="2" xfId="0" applyNumberFormat="1" applyFont="1" applyFill="1" applyBorder="1" applyAlignment="1">
      <alignment horizontal="center"/>
    </xf>
    <xf numFmtId="1" fontId="4" fillId="0" borderId="2" xfId="0" applyNumberFormat="1" applyFont="1" applyFill="1" applyBorder="1" applyAlignment="1">
      <alignment horizontal="center"/>
    </xf>
    <xf numFmtId="1" fontId="4" fillId="0" borderId="2" xfId="2" applyNumberFormat="1" applyFont="1" applyFill="1" applyBorder="1" applyAlignment="1">
      <alignment horizontal="center"/>
    </xf>
    <xf numFmtId="0" fontId="4" fillId="0" borderId="2" xfId="0" applyFont="1" applyBorder="1"/>
    <xf numFmtId="1" fontId="4" fillId="0" borderId="2" xfId="0" applyNumberFormat="1" applyFont="1" applyFill="1" applyBorder="1"/>
    <xf numFmtId="0" fontId="4" fillId="0" borderId="0" xfId="0" applyFont="1"/>
    <xf numFmtId="1" fontId="4" fillId="5" borderId="2" xfId="2" applyNumberFormat="1" applyFont="1" applyFill="1" applyBorder="1" applyAlignment="1">
      <alignment horizontal="center"/>
    </xf>
    <xf numFmtId="0" fontId="11" fillId="0" borderId="0" xfId="3" applyFont="1" applyFill="1" applyAlignment="1">
      <alignment horizontal="center" vertical="center"/>
    </xf>
    <xf numFmtId="0" fontId="11" fillId="0" borderId="0" xfId="3" applyNumberFormat="1" applyFont="1" applyFill="1" applyAlignment="1">
      <alignment horizontal="center" vertical="center"/>
    </xf>
    <xf numFmtId="0" fontId="11" fillId="0" borderId="0" xfId="3" applyFont="1" applyFill="1" applyAlignment="1">
      <alignment horizontal="right" vertical="center"/>
    </xf>
    <xf numFmtId="0" fontId="12" fillId="0" borderId="0" xfId="3" applyFont="1" applyFill="1" applyAlignment="1">
      <alignment horizontal="right" vertical="center"/>
    </xf>
    <xf numFmtId="1" fontId="13" fillId="0" borderId="2" xfId="0" applyNumberFormat="1" applyFont="1" applyFill="1" applyBorder="1" applyAlignment="1">
      <alignment horizontal="center"/>
    </xf>
    <xf numFmtId="165" fontId="4" fillId="2" borderId="2" xfId="0" applyNumberFormat="1" applyFont="1" applyFill="1" applyBorder="1" applyAlignment="1">
      <alignment horizontal="center"/>
    </xf>
    <xf numFmtId="165" fontId="4" fillId="0" borderId="2" xfId="0" applyNumberFormat="1" applyFont="1" applyFill="1" applyBorder="1" applyAlignment="1">
      <alignment horizontal="center"/>
    </xf>
    <xf numFmtId="0" fontId="14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0" borderId="0" xfId="0" applyFont="1" applyFill="1" applyBorder="1" applyAlignment="1">
      <alignment horizontal="center" vertical="center" textRotation="90"/>
    </xf>
    <xf numFmtId="0" fontId="4" fillId="0" borderId="0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left"/>
    </xf>
    <xf numFmtId="0" fontId="17" fillId="0" borderId="0" xfId="0" applyFont="1"/>
    <xf numFmtId="166" fontId="17" fillId="0" borderId="0" xfId="4" applyNumberFormat="1" applyFont="1"/>
    <xf numFmtId="166" fontId="4" fillId="0" borderId="2" xfId="4" applyNumberFormat="1" applyFont="1" applyBorder="1" applyAlignment="1">
      <alignment horizontal="center" vertical="center"/>
    </xf>
    <xf numFmtId="167" fontId="6" fillId="0" borderId="0" xfId="4" applyNumberFormat="1" applyFont="1" applyAlignment="1">
      <alignment horizontal="center" vertical="center"/>
    </xf>
    <xf numFmtId="167" fontId="6" fillId="0" borderId="0" xfId="4" applyNumberFormat="1" applyFont="1" applyFill="1" applyBorder="1" applyAlignment="1">
      <alignment horizontal="center" vertical="center"/>
    </xf>
    <xf numFmtId="167" fontId="6" fillId="2" borderId="0" xfId="4" applyNumberFormat="1" applyFont="1" applyFill="1" applyAlignment="1">
      <alignment horizontal="center" vertical="center"/>
    </xf>
    <xf numFmtId="167" fontId="6" fillId="0" borderId="0" xfId="4" applyNumberFormat="1" applyFont="1" applyFill="1" applyBorder="1" applyAlignment="1">
      <alignment horizontal="center" vertical="center" textRotation="90"/>
    </xf>
    <xf numFmtId="167" fontId="4" fillId="0" borderId="0" xfId="4" applyNumberFormat="1" applyFont="1" applyFill="1" applyBorder="1" applyAlignment="1">
      <alignment horizontal="center" vertical="center"/>
    </xf>
    <xf numFmtId="167" fontId="4" fillId="2" borderId="2" xfId="4" applyNumberFormat="1" applyFont="1" applyFill="1" applyBorder="1" applyAlignment="1">
      <alignment horizontal="center" vertical="center"/>
    </xf>
    <xf numFmtId="167" fontId="4" fillId="0" borderId="2" xfId="4" applyNumberFormat="1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/>
    </xf>
    <xf numFmtId="167" fontId="17" fillId="0" borderId="0" xfId="4" applyNumberFormat="1" applyFont="1"/>
    <xf numFmtId="0" fontId="4" fillId="0" borderId="0" xfId="0" applyFont="1" applyAlignment="1"/>
    <xf numFmtId="167" fontId="4" fillId="0" borderId="0" xfId="4" applyNumberFormat="1" applyFont="1" applyAlignment="1"/>
    <xf numFmtId="10" fontId="4" fillId="0" borderId="5" xfId="0" applyNumberFormat="1" applyFont="1" applyBorder="1" applyAlignment="1">
      <alignment horizontal="center"/>
    </xf>
    <xf numFmtId="165" fontId="17" fillId="0" borderId="5" xfId="0" applyNumberFormat="1" applyFont="1" applyBorder="1" applyAlignment="1">
      <alignment horizontal="center"/>
    </xf>
    <xf numFmtId="168" fontId="4" fillId="0" borderId="5" xfId="2" applyNumberFormat="1" applyFont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4" fillId="0" borderId="5" xfId="0" applyFont="1" applyBorder="1" applyAlignment="1">
      <alignment horizontal="center"/>
    </xf>
    <xf numFmtId="167" fontId="4" fillId="0" borderId="5" xfId="4" applyNumberFormat="1" applyFont="1" applyFill="1" applyBorder="1" applyAlignment="1">
      <alignment horizontal="center"/>
    </xf>
    <xf numFmtId="167" fontId="4" fillId="0" borderId="5" xfId="4" applyNumberFormat="1" applyFont="1" applyBorder="1" applyAlignment="1">
      <alignment horizontal="center"/>
    </xf>
    <xf numFmtId="0" fontId="17" fillId="0" borderId="5" xfId="0" applyFont="1" applyBorder="1" applyAlignment="1">
      <alignment horizontal="center"/>
    </xf>
    <xf numFmtId="166" fontId="17" fillId="0" borderId="5" xfId="4" applyNumberFormat="1" applyFont="1" applyBorder="1" applyAlignment="1">
      <alignment horizontal="center"/>
    </xf>
    <xf numFmtId="167" fontId="17" fillId="0" borderId="5" xfId="4" applyNumberFormat="1" applyFont="1" applyBorder="1" applyAlignment="1">
      <alignment horizontal="center"/>
    </xf>
    <xf numFmtId="2" fontId="4" fillId="0" borderId="0" xfId="0" applyNumberFormat="1" applyFont="1"/>
    <xf numFmtId="2" fontId="17" fillId="0" borderId="0" xfId="0" applyNumberFormat="1" applyFont="1"/>
    <xf numFmtId="1" fontId="4" fillId="0" borderId="0" xfId="0" applyNumberFormat="1" applyFont="1"/>
    <xf numFmtId="0" fontId="4" fillId="2" borderId="2" xfId="0" applyNumberFormat="1" applyFont="1" applyFill="1" applyBorder="1" applyAlignment="1">
      <alignment horizontal="left"/>
    </xf>
    <xf numFmtId="165" fontId="4" fillId="2" borderId="2" xfId="0" applyNumberFormat="1" applyFont="1" applyFill="1" applyBorder="1" applyAlignment="1">
      <alignment horizontal="center" vertical="center"/>
    </xf>
    <xf numFmtId="165" fontId="19" fillId="0" borderId="10" xfId="0" applyNumberFormat="1" applyFont="1" applyBorder="1" applyAlignment="1">
      <alignment horizontal="center"/>
    </xf>
    <xf numFmtId="167" fontId="18" fillId="0" borderId="10" xfId="0" applyNumberFormat="1" applyFont="1" applyBorder="1" applyAlignment="1">
      <alignment horizontal="center"/>
    </xf>
    <xf numFmtId="168" fontId="18" fillId="0" borderId="10" xfId="2" applyNumberFormat="1" applyFont="1" applyBorder="1" applyAlignment="1">
      <alignment horizontal="center"/>
    </xf>
    <xf numFmtId="1" fontId="19" fillId="0" borderId="5" xfId="4" applyNumberFormat="1" applyFont="1" applyBorder="1" applyAlignment="1">
      <alignment horizontal="center" vertical="center"/>
    </xf>
    <xf numFmtId="1" fontId="19" fillId="0" borderId="5" xfId="0" applyNumberFormat="1" applyFont="1" applyBorder="1" applyAlignment="1">
      <alignment horizontal="center" vertical="center"/>
    </xf>
    <xf numFmtId="1" fontId="19" fillId="0" borderId="5" xfId="0" applyNumberFormat="1" applyFont="1" applyBorder="1" applyAlignment="1">
      <alignment horizontal="center" readingOrder="2"/>
    </xf>
    <xf numFmtId="167" fontId="4" fillId="0" borderId="2" xfId="4" applyNumberFormat="1" applyFont="1" applyBorder="1" applyAlignment="1">
      <alignment horizontal="center" readingOrder="2"/>
    </xf>
    <xf numFmtId="1" fontId="19" fillId="0" borderId="0" xfId="0" applyNumberFormat="1" applyFont="1" applyBorder="1" applyAlignment="1">
      <alignment horizontal="center" readingOrder="2"/>
    </xf>
    <xf numFmtId="164" fontId="17" fillId="0" borderId="0" xfId="4" applyFont="1"/>
    <xf numFmtId="164" fontId="17" fillId="0" borderId="5" xfId="4" applyFont="1" applyBorder="1"/>
    <xf numFmtId="167" fontId="4" fillId="0" borderId="5" xfId="4" applyNumberFormat="1" applyFont="1" applyBorder="1"/>
    <xf numFmtId="167" fontId="18" fillId="0" borderId="5" xfId="4" applyNumberFormat="1" applyFont="1" applyBorder="1"/>
    <xf numFmtId="166" fontId="17" fillId="0" borderId="5" xfId="0" applyNumberFormat="1" applyFont="1" applyBorder="1" applyAlignment="1"/>
    <xf numFmtId="164" fontId="4" fillId="0" borderId="5" xfId="4" applyFont="1" applyBorder="1" applyAlignment="1">
      <alignment horizontal="center"/>
    </xf>
    <xf numFmtId="0" fontId="4" fillId="0" borderId="2" xfId="0" applyFont="1" applyFill="1" applyBorder="1" applyAlignment="1">
      <alignment horizontal="center" wrapText="1"/>
    </xf>
    <xf numFmtId="0" fontId="0" fillId="0" borderId="0" xfId="0" applyAlignment="1">
      <alignment horizontal="right"/>
    </xf>
    <xf numFmtId="165" fontId="0" fillId="0" borderId="0" xfId="0" applyNumberFormat="1"/>
    <xf numFmtId="169" fontId="0" fillId="0" borderId="0" xfId="0" applyNumberFormat="1" applyAlignment="1">
      <alignment horizontal="center" readingOrder="2"/>
    </xf>
    <xf numFmtId="9" fontId="0" fillId="0" borderId="0" xfId="2" applyFont="1"/>
    <xf numFmtId="0" fontId="4" fillId="0" borderId="14" xfId="0" applyFont="1" applyFill="1" applyBorder="1" applyAlignment="1">
      <alignment horizontal="right" wrapText="1"/>
    </xf>
    <xf numFmtId="165" fontId="6" fillId="0" borderId="14" xfId="0" applyNumberFormat="1" applyFont="1" applyFill="1" applyBorder="1" applyAlignment="1">
      <alignment horizontal="center" vertical="center" wrapText="1"/>
    </xf>
    <xf numFmtId="166" fontId="17" fillId="0" borderId="14" xfId="4" applyNumberFormat="1" applyFont="1" applyBorder="1" applyAlignment="1">
      <alignment horizontal="center" vertical="center"/>
    </xf>
    <xf numFmtId="9" fontId="4" fillId="0" borderId="5" xfId="2" applyFont="1" applyFill="1" applyBorder="1" applyAlignment="1">
      <alignment horizontal="center" vertical="center" wrapText="1"/>
    </xf>
    <xf numFmtId="165" fontId="4" fillId="0" borderId="15" xfId="0" applyNumberFormat="1" applyFont="1" applyFill="1" applyBorder="1" applyAlignment="1">
      <alignment horizontal="center" vertical="center" textRotation="90" wrapText="1"/>
    </xf>
    <xf numFmtId="167" fontId="0" fillId="0" borderId="0" xfId="0" applyNumberFormat="1"/>
    <xf numFmtId="0" fontId="4" fillId="0" borderId="0" xfId="0" applyFont="1" applyFill="1" applyBorder="1" applyAlignment="1">
      <alignment horizontal="center" wrapText="1"/>
    </xf>
    <xf numFmtId="9" fontId="4" fillId="0" borderId="0" xfId="2" applyFont="1" applyFill="1" applyBorder="1" applyAlignment="1">
      <alignment horizontal="center" vertical="center" wrapText="1"/>
    </xf>
    <xf numFmtId="166" fontId="17" fillId="0" borderId="16" xfId="4" applyNumberFormat="1" applyFont="1" applyBorder="1" applyAlignment="1">
      <alignment horizontal="center" vertical="center"/>
    </xf>
    <xf numFmtId="167" fontId="18" fillId="0" borderId="5" xfId="0" applyNumberFormat="1" applyFont="1" applyBorder="1" applyAlignment="1">
      <alignment horizontal="center"/>
    </xf>
    <xf numFmtId="0" fontId="4" fillId="0" borderId="16" xfId="0" applyFont="1" applyFill="1" applyBorder="1" applyAlignment="1">
      <alignment horizontal="right" wrapText="1"/>
    </xf>
    <xf numFmtId="165" fontId="6" fillId="0" borderId="16" xfId="0" applyNumberFormat="1" applyFont="1" applyFill="1" applyBorder="1" applyAlignment="1">
      <alignment horizontal="center" vertical="center" wrapText="1"/>
    </xf>
    <xf numFmtId="0" fontId="18" fillId="0" borderId="5" xfId="0" applyFont="1" applyFill="1" applyBorder="1" applyAlignment="1">
      <alignment horizontal="right" wrapText="1"/>
    </xf>
    <xf numFmtId="165" fontId="6" fillId="0" borderId="5" xfId="0" applyNumberFormat="1" applyFont="1" applyFill="1" applyBorder="1" applyAlignment="1">
      <alignment horizontal="center" vertical="center" wrapText="1"/>
    </xf>
    <xf numFmtId="165" fontId="0" fillId="0" borderId="5" xfId="0" applyNumberFormat="1" applyBorder="1"/>
    <xf numFmtId="0" fontId="16" fillId="0" borderId="0" xfId="0" applyFont="1" applyFill="1" applyBorder="1" applyAlignment="1">
      <alignment horizontal="center" wrapText="1"/>
    </xf>
    <xf numFmtId="166" fontId="4" fillId="0" borderId="5" xfId="0" applyNumberFormat="1" applyFont="1" applyBorder="1" applyAlignment="1">
      <alignment horizontal="center"/>
    </xf>
    <xf numFmtId="167" fontId="4" fillId="0" borderId="5" xfId="0" applyNumberFormat="1" applyFont="1" applyBorder="1" applyAlignment="1">
      <alignment horizontal="center"/>
    </xf>
    <xf numFmtId="170" fontId="4" fillId="0" borderId="0" xfId="0" applyNumberFormat="1" applyFont="1"/>
    <xf numFmtId="49" fontId="17" fillId="0" borderId="0" xfId="4" applyNumberFormat="1" applyFont="1"/>
    <xf numFmtId="9" fontId="4" fillId="0" borderId="2" xfId="2" applyFont="1" applyFill="1" applyBorder="1" applyAlignment="1">
      <alignment wrapText="1"/>
    </xf>
    <xf numFmtId="9" fontId="4" fillId="0" borderId="2" xfId="0" applyNumberFormat="1" applyFont="1" applyFill="1" applyBorder="1" applyAlignment="1">
      <alignment wrapText="1"/>
    </xf>
    <xf numFmtId="0" fontId="16" fillId="0" borderId="2" xfId="0" applyFont="1" applyFill="1" applyBorder="1" applyAlignment="1">
      <alignment wrapText="1"/>
    </xf>
    <xf numFmtId="0" fontId="4" fillId="2" borderId="2" xfId="0" applyFont="1" applyFill="1" applyBorder="1" applyAlignment="1" applyProtection="1">
      <alignment horizontal="right" wrapText="1" indent="1"/>
      <protection locked="0"/>
    </xf>
    <xf numFmtId="0" fontId="4" fillId="2" borderId="2" xfId="0" applyFont="1" applyFill="1" applyBorder="1" applyProtection="1">
      <protection locked="0"/>
    </xf>
    <xf numFmtId="1" fontId="4" fillId="2" borderId="2" xfId="0" applyNumberFormat="1" applyFont="1" applyFill="1" applyBorder="1" applyProtection="1">
      <protection locked="0"/>
    </xf>
    <xf numFmtId="0" fontId="4" fillId="2" borderId="2" xfId="0" applyNumberFormat="1" applyFont="1" applyFill="1" applyBorder="1" applyProtection="1">
      <protection locked="0"/>
    </xf>
    <xf numFmtId="0" fontId="4" fillId="0" borderId="2" xfId="0" applyFont="1" applyFill="1" applyBorder="1" applyAlignment="1" applyProtection="1">
      <alignment horizontal="right" wrapText="1" indent="1"/>
      <protection locked="0"/>
    </xf>
    <xf numFmtId="0" fontId="4" fillId="0" borderId="2" xfId="0" applyFont="1" applyFill="1" applyBorder="1" applyProtection="1">
      <protection locked="0"/>
    </xf>
    <xf numFmtId="1" fontId="4" fillId="0" borderId="2" xfId="0" applyNumberFormat="1" applyFont="1" applyFill="1" applyBorder="1" applyAlignment="1" applyProtection="1">
      <alignment horizontal="center"/>
      <protection locked="0"/>
    </xf>
    <xf numFmtId="1" fontId="4" fillId="0" borderId="2" xfId="0" applyNumberFormat="1" applyFont="1" applyFill="1" applyBorder="1" applyProtection="1">
      <protection locked="0"/>
    </xf>
    <xf numFmtId="0" fontId="4" fillId="0" borderId="2" xfId="0" applyNumberFormat="1" applyFont="1" applyFill="1" applyBorder="1" applyProtection="1">
      <protection locked="0"/>
    </xf>
    <xf numFmtId="9" fontId="4" fillId="3" borderId="2" xfId="2" applyFont="1" applyFill="1" applyBorder="1" applyAlignment="1" applyProtection="1">
      <alignment horizontal="center"/>
      <protection locked="0"/>
    </xf>
    <xf numFmtId="165" fontId="4" fillId="0" borderId="2" xfId="0" applyNumberFormat="1" applyFont="1" applyBorder="1" applyAlignment="1" applyProtection="1">
      <alignment horizontal="center" vertical="center"/>
      <protection locked="0"/>
    </xf>
    <xf numFmtId="0" fontId="4" fillId="0" borderId="2" xfId="0" applyFont="1" applyBorder="1" applyProtection="1">
      <protection locked="0"/>
    </xf>
    <xf numFmtId="1" fontId="4" fillId="8" borderId="2" xfId="0" applyNumberFormat="1" applyFont="1" applyFill="1" applyBorder="1" applyProtection="1">
      <protection locked="0"/>
    </xf>
    <xf numFmtId="0" fontId="4" fillId="8" borderId="2" xfId="0" applyNumberFormat="1" applyFont="1" applyFill="1" applyBorder="1" applyProtection="1">
      <protection locked="0"/>
    </xf>
    <xf numFmtId="0" fontId="4" fillId="0" borderId="2" xfId="0" applyFont="1" applyFill="1" applyBorder="1" applyAlignment="1" applyProtection="1">
      <alignment wrapText="1"/>
      <protection locked="0"/>
    </xf>
    <xf numFmtId="20" fontId="4" fillId="0" borderId="2" xfId="0" applyNumberFormat="1" applyFont="1" applyBorder="1" applyProtection="1">
      <protection locked="0"/>
    </xf>
    <xf numFmtId="165" fontId="4" fillId="0" borderId="2" xfId="0" applyNumberFormat="1" applyFont="1" applyBorder="1" applyProtection="1">
      <protection locked="0"/>
    </xf>
    <xf numFmtId="0" fontId="5" fillId="2" borderId="0" xfId="0" applyFont="1" applyFill="1" applyAlignment="1" applyProtection="1">
      <alignment vertical="center"/>
    </xf>
    <xf numFmtId="165" fontId="5" fillId="0" borderId="0" xfId="0" applyNumberFormat="1" applyFont="1" applyFill="1" applyAlignment="1" applyProtection="1">
      <alignment horizontal="center" vertical="center"/>
    </xf>
    <xf numFmtId="0" fontId="6" fillId="0" borderId="0" xfId="0" applyFont="1" applyProtection="1"/>
    <xf numFmtId="0" fontId="6" fillId="0" borderId="0" xfId="0" applyFont="1" applyFill="1" applyBorder="1" applyProtection="1"/>
    <xf numFmtId="0" fontId="6" fillId="0" borderId="0" xfId="0" applyFont="1" applyBorder="1" applyAlignment="1" applyProtection="1">
      <alignment horizontal="left"/>
    </xf>
    <xf numFmtId="0" fontId="6" fillId="0" borderId="0" xfId="0" applyNumberFormat="1" applyFont="1" applyBorder="1" applyAlignment="1" applyProtection="1">
      <alignment horizontal="left"/>
    </xf>
    <xf numFmtId="165" fontId="6" fillId="0" borderId="0" xfId="0" applyNumberFormat="1" applyFont="1" applyBorder="1" applyAlignment="1" applyProtection="1">
      <alignment horizontal="center"/>
    </xf>
    <xf numFmtId="0" fontId="6" fillId="0" borderId="0" xfId="0" applyFont="1" applyAlignment="1" applyProtection="1"/>
    <xf numFmtId="14" fontId="4" fillId="0" borderId="0" xfId="0" applyNumberFormat="1" applyFont="1" applyBorder="1" applyAlignment="1" applyProtection="1">
      <alignment horizontal="left"/>
    </xf>
    <xf numFmtId="14" fontId="7" fillId="0" borderId="0" xfId="0" applyNumberFormat="1" applyFont="1" applyBorder="1" applyAlignment="1" applyProtection="1">
      <alignment horizontal="left"/>
    </xf>
    <xf numFmtId="165" fontId="7" fillId="0" borderId="0" xfId="0" applyNumberFormat="1" applyFont="1" applyBorder="1" applyAlignment="1" applyProtection="1">
      <alignment horizontal="center"/>
    </xf>
    <xf numFmtId="0" fontId="6" fillId="0" borderId="0" xfId="0" applyFont="1" applyAlignment="1" applyProtection="1">
      <alignment horizontal="right"/>
    </xf>
    <xf numFmtId="14" fontId="4" fillId="0" borderId="0" xfId="0" applyNumberFormat="1" applyFont="1" applyBorder="1" applyAlignment="1" applyProtection="1">
      <alignment horizontal="center"/>
    </xf>
    <xf numFmtId="14" fontId="4" fillId="0" borderId="0" xfId="0" applyNumberFormat="1" applyFont="1" applyAlignment="1" applyProtection="1">
      <alignment horizontal="left"/>
    </xf>
    <xf numFmtId="0" fontId="4" fillId="0" borderId="0" xfId="0" applyNumberFormat="1" applyFont="1" applyAlignment="1" applyProtection="1">
      <alignment horizontal="left"/>
    </xf>
    <xf numFmtId="14" fontId="14" fillId="0" borderId="0" xfId="0" applyNumberFormat="1" applyFont="1" applyAlignment="1" applyProtection="1">
      <alignment horizontal="center"/>
    </xf>
    <xf numFmtId="165" fontId="4" fillId="0" borderId="0" xfId="0" applyNumberFormat="1" applyFont="1" applyBorder="1" applyAlignment="1" applyProtection="1">
      <alignment horizontal="center"/>
    </xf>
    <xf numFmtId="0" fontId="6" fillId="0" borderId="17" xfId="0" applyFont="1" applyBorder="1" applyAlignment="1" applyProtection="1">
      <alignment horizontal="right" indent="1"/>
    </xf>
    <xf numFmtId="14" fontId="6" fillId="0" borderId="0" xfId="0" applyNumberFormat="1" applyFont="1" applyBorder="1" applyAlignment="1" applyProtection="1">
      <alignment horizontal="left"/>
    </xf>
    <xf numFmtId="14" fontId="6" fillId="0" borderId="0" xfId="0" applyNumberFormat="1" applyFont="1" applyBorder="1" applyAlignment="1" applyProtection="1">
      <alignment horizontal="center"/>
    </xf>
    <xf numFmtId="0" fontId="6" fillId="0" borderId="0" xfId="0" applyNumberFormat="1" applyFont="1" applyAlignment="1" applyProtection="1">
      <alignment horizontal="right"/>
    </xf>
    <xf numFmtId="14" fontId="6" fillId="0" borderId="0" xfId="0" applyNumberFormat="1" applyFont="1" applyFill="1" applyProtection="1"/>
    <xf numFmtId="0" fontId="8" fillId="0" borderId="1" xfId="0" applyFont="1" applyBorder="1" applyAlignment="1" applyProtection="1">
      <alignment horizontal="center"/>
    </xf>
    <xf numFmtId="165" fontId="8" fillId="0" borderId="1" xfId="0" applyNumberFormat="1" applyFont="1" applyBorder="1" applyAlignment="1" applyProtection="1">
      <alignment horizontal="center" textRotation="90"/>
    </xf>
    <xf numFmtId="0" fontId="6" fillId="0" borderId="1" xfId="0" applyFont="1" applyBorder="1" applyAlignment="1" applyProtection="1">
      <alignment horizontal="center" textRotation="90"/>
    </xf>
    <xf numFmtId="0" fontId="9" fillId="0" borderId="1" xfId="0" applyFont="1" applyBorder="1" applyAlignment="1" applyProtection="1">
      <alignment horizontal="center" textRotation="90"/>
    </xf>
    <xf numFmtId="0" fontId="4" fillId="0" borderId="1" xfId="0" applyFont="1" applyBorder="1" applyAlignment="1" applyProtection="1">
      <alignment horizontal="center" textRotation="90"/>
    </xf>
    <xf numFmtId="0" fontId="6" fillId="0" borderId="1" xfId="0" applyFont="1" applyBorder="1" applyAlignment="1" applyProtection="1"/>
    <xf numFmtId="49" fontId="4" fillId="0" borderId="0" xfId="0" applyNumberFormat="1" applyFont="1" applyFill="1" applyBorder="1" applyProtection="1"/>
    <xf numFmtId="0" fontId="4" fillId="0" borderId="0" xfId="0" applyFont="1" applyFill="1" applyBorder="1" applyAlignment="1" applyProtection="1">
      <alignment horizontal="right" indent="1"/>
    </xf>
    <xf numFmtId="0" fontId="4" fillId="0" borderId="0" xfId="0" applyFont="1" applyFill="1" applyBorder="1" applyProtection="1"/>
    <xf numFmtId="0" fontId="4" fillId="0" borderId="0" xfId="0" applyFont="1" applyFill="1" applyBorder="1" applyAlignment="1" applyProtection="1">
      <alignment horizontal="center"/>
    </xf>
    <xf numFmtId="0" fontId="4" fillId="0" borderId="0" xfId="0" applyNumberFormat="1" applyFont="1" applyFill="1" applyBorder="1" applyProtection="1"/>
    <xf numFmtId="0" fontId="14" fillId="0" borderId="0" xfId="0" applyFont="1" applyFill="1" applyBorder="1" applyAlignment="1" applyProtection="1">
      <alignment horizontal="center"/>
    </xf>
    <xf numFmtId="165" fontId="4" fillId="0" borderId="0" xfId="0" applyNumberFormat="1" applyFont="1" applyFill="1" applyBorder="1" applyAlignment="1" applyProtection="1">
      <alignment horizontal="center"/>
    </xf>
    <xf numFmtId="0" fontId="4" fillId="6" borderId="2" xfId="0" applyFont="1" applyFill="1" applyBorder="1" applyProtection="1"/>
    <xf numFmtId="1" fontId="4" fillId="6" borderId="2" xfId="0" applyNumberFormat="1" applyFont="1" applyFill="1" applyBorder="1" applyAlignment="1" applyProtection="1">
      <alignment horizontal="center"/>
    </xf>
    <xf numFmtId="1" fontId="4" fillId="6" borderId="2" xfId="0" applyNumberFormat="1" applyFont="1" applyFill="1" applyBorder="1" applyProtection="1"/>
    <xf numFmtId="165" fontId="4" fillId="6" borderId="2" xfId="0" applyNumberFormat="1" applyFont="1" applyFill="1" applyBorder="1" applyAlignment="1" applyProtection="1">
      <alignment horizontal="center"/>
    </xf>
    <xf numFmtId="1" fontId="4" fillId="6" borderId="2" xfId="2" applyNumberFormat="1" applyFont="1" applyFill="1" applyBorder="1" applyAlignment="1" applyProtection="1">
      <alignment horizontal="center"/>
    </xf>
    <xf numFmtId="1" fontId="4" fillId="5" borderId="2" xfId="2" applyNumberFormat="1" applyFont="1" applyFill="1" applyBorder="1" applyAlignment="1" applyProtection="1">
      <alignment horizontal="center"/>
    </xf>
    <xf numFmtId="0" fontId="4" fillId="2" borderId="2" xfId="0" applyFont="1" applyFill="1" applyBorder="1" applyProtection="1"/>
    <xf numFmtId="0" fontId="4" fillId="2" borderId="2" xfId="0" applyFont="1" applyFill="1" applyBorder="1" applyAlignment="1" applyProtection="1">
      <alignment horizontal="center"/>
    </xf>
    <xf numFmtId="1" fontId="4" fillId="2" borderId="2" xfId="0" applyNumberFormat="1" applyFont="1" applyFill="1" applyBorder="1" applyAlignment="1" applyProtection="1">
      <alignment horizontal="center"/>
    </xf>
    <xf numFmtId="1" fontId="4" fillId="2" borderId="2" xfId="0" applyNumberFormat="1" applyFont="1" applyFill="1" applyBorder="1" applyProtection="1"/>
    <xf numFmtId="165" fontId="4" fillId="2" borderId="2" xfId="0" applyNumberFormat="1" applyFont="1" applyFill="1" applyBorder="1" applyAlignment="1" applyProtection="1">
      <alignment horizontal="center"/>
    </xf>
    <xf numFmtId="1" fontId="4" fillId="4" borderId="2" xfId="0" applyNumberFormat="1" applyFont="1" applyFill="1" applyBorder="1" applyAlignment="1" applyProtection="1">
      <alignment horizontal="center"/>
    </xf>
    <xf numFmtId="9" fontId="4" fillId="4" borderId="2" xfId="2" applyFont="1" applyFill="1" applyBorder="1" applyAlignment="1" applyProtection="1">
      <alignment horizontal="center"/>
    </xf>
    <xf numFmtId="1" fontId="4" fillId="5" borderId="2" xfId="0" applyNumberFormat="1" applyFont="1" applyFill="1" applyBorder="1" applyAlignment="1" applyProtection="1">
      <alignment horizontal="center"/>
    </xf>
    <xf numFmtId="49" fontId="4" fillId="0" borderId="2" xfId="0" applyNumberFormat="1" applyFont="1" applyBorder="1" applyAlignment="1" applyProtection="1">
      <alignment horizontal="left"/>
    </xf>
    <xf numFmtId="0" fontId="4" fillId="0" borderId="2" xfId="0" applyFont="1" applyFill="1" applyBorder="1" applyProtection="1"/>
    <xf numFmtId="0" fontId="4" fillId="0" borderId="2" xfId="0" applyFont="1" applyFill="1" applyBorder="1" applyAlignment="1" applyProtection="1">
      <alignment horizontal="center"/>
    </xf>
    <xf numFmtId="1" fontId="4" fillId="0" borderId="2" xfId="0" applyNumberFormat="1" applyFont="1" applyFill="1" applyBorder="1" applyAlignment="1" applyProtection="1">
      <alignment horizontal="center"/>
    </xf>
    <xf numFmtId="1" fontId="4" fillId="0" borderId="2" xfId="0" applyNumberFormat="1" applyFont="1" applyFill="1" applyBorder="1" applyProtection="1"/>
    <xf numFmtId="165" fontId="4" fillId="0" borderId="2" xfId="0" applyNumberFormat="1" applyFont="1" applyFill="1" applyBorder="1" applyAlignment="1" applyProtection="1">
      <alignment horizontal="center"/>
    </xf>
    <xf numFmtId="1" fontId="4" fillId="3" borderId="2" xfId="0" applyNumberFormat="1" applyFont="1" applyFill="1" applyBorder="1" applyAlignment="1" applyProtection="1">
      <alignment horizontal="center"/>
    </xf>
    <xf numFmtId="1" fontId="4" fillId="0" borderId="2" xfId="2" applyNumberFormat="1" applyFont="1" applyFill="1" applyBorder="1" applyAlignment="1" applyProtection="1">
      <alignment horizontal="center"/>
    </xf>
    <xf numFmtId="0" fontId="4" fillId="0" borderId="2" xfId="0" applyNumberFormat="1" applyFont="1" applyBorder="1" applyAlignment="1" applyProtection="1">
      <alignment horizontal="left"/>
    </xf>
    <xf numFmtId="165" fontId="6" fillId="0" borderId="0" xfId="0" applyNumberFormat="1" applyFont="1" applyAlignment="1" applyProtection="1">
      <alignment horizontal="center" vertical="center"/>
    </xf>
    <xf numFmtId="167" fontId="6" fillId="0" borderId="0" xfId="4" applyNumberFormat="1" applyFont="1" applyAlignment="1" applyProtection="1">
      <alignment horizontal="center" readingOrder="2"/>
    </xf>
    <xf numFmtId="165" fontId="6" fillId="0" borderId="0" xfId="0" applyNumberFormat="1" applyFont="1" applyFill="1" applyBorder="1" applyAlignment="1" applyProtection="1">
      <alignment horizontal="center" vertical="center"/>
    </xf>
    <xf numFmtId="167" fontId="6" fillId="0" borderId="0" xfId="4" applyNumberFormat="1" applyFont="1" applyFill="1" applyBorder="1" applyAlignment="1" applyProtection="1">
      <alignment horizontal="center" readingOrder="2"/>
    </xf>
    <xf numFmtId="165" fontId="6" fillId="2" borderId="0" xfId="0" applyNumberFormat="1" applyFont="1" applyFill="1" applyAlignment="1" applyProtection="1">
      <alignment horizontal="center" vertical="center"/>
    </xf>
    <xf numFmtId="167" fontId="6" fillId="2" borderId="0" xfId="4" applyNumberFormat="1" applyFont="1" applyFill="1" applyAlignment="1" applyProtection="1">
      <alignment horizontal="center" readingOrder="2"/>
    </xf>
    <xf numFmtId="0" fontId="6" fillId="2" borderId="0" xfId="0" applyFont="1" applyFill="1" applyProtection="1"/>
    <xf numFmtId="165" fontId="4" fillId="0" borderId="0" xfId="0" applyNumberFormat="1" applyFont="1" applyFill="1" applyBorder="1" applyAlignment="1" applyProtection="1">
      <alignment horizontal="center" vertical="center" textRotation="90"/>
    </xf>
    <xf numFmtId="0" fontId="6" fillId="0" borderId="0" xfId="0" applyFont="1" applyFill="1" applyBorder="1" applyAlignment="1" applyProtection="1"/>
    <xf numFmtId="165" fontId="4" fillId="0" borderId="0" xfId="0" applyNumberFormat="1" applyFont="1" applyFill="1" applyBorder="1" applyAlignment="1" applyProtection="1">
      <alignment horizontal="center" vertical="center"/>
    </xf>
    <xf numFmtId="167" fontId="4" fillId="0" borderId="0" xfId="4" applyNumberFormat="1" applyFont="1" applyFill="1" applyBorder="1" applyAlignment="1" applyProtection="1">
      <alignment horizontal="center" readingOrder="2"/>
    </xf>
    <xf numFmtId="165" fontId="4" fillId="2" borderId="2" xfId="0" applyNumberFormat="1" applyFont="1" applyFill="1" applyBorder="1" applyAlignment="1" applyProtection="1">
      <alignment horizontal="center" vertical="center"/>
    </xf>
    <xf numFmtId="167" fontId="4" fillId="2" borderId="2" xfId="4" applyNumberFormat="1" applyFont="1" applyFill="1" applyBorder="1" applyAlignment="1" applyProtection="1">
      <alignment horizontal="center" readingOrder="2"/>
    </xf>
    <xf numFmtId="167" fontId="17" fillId="0" borderId="0" xfId="4" applyNumberFormat="1" applyFont="1" applyBorder="1" applyAlignment="1" applyProtection="1">
      <alignment horizontal="center" readingOrder="2"/>
    </xf>
    <xf numFmtId="0" fontId="4" fillId="0" borderId="2" xfId="0" applyFont="1" applyBorder="1" applyProtection="1"/>
    <xf numFmtId="167" fontId="4" fillId="0" borderId="2" xfId="4" applyNumberFormat="1" applyFont="1" applyBorder="1" applyAlignment="1" applyProtection="1">
      <alignment horizontal="center" readingOrder="2"/>
    </xf>
    <xf numFmtId="0" fontId="4" fillId="2" borderId="2" xfId="0" applyNumberFormat="1" applyFont="1" applyFill="1" applyBorder="1" applyAlignment="1" applyProtection="1">
      <alignment horizontal="left"/>
    </xf>
    <xf numFmtId="165" fontId="4" fillId="2" borderId="2" xfId="4" applyNumberFormat="1" applyFont="1" applyFill="1" applyBorder="1" applyAlignment="1" applyProtection="1">
      <alignment horizontal="center" readingOrder="2"/>
    </xf>
    <xf numFmtId="0" fontId="6" fillId="0" borderId="0" xfId="0" applyFont="1" applyAlignment="1" applyProtection="1">
      <alignment horizontal="right" indent="1"/>
    </xf>
    <xf numFmtId="0" fontId="6" fillId="0" borderId="0" xfId="0" applyFont="1" applyAlignment="1" applyProtection="1">
      <alignment horizontal="center"/>
    </xf>
    <xf numFmtId="0" fontId="6" fillId="0" borderId="0" xfId="0" applyNumberFormat="1" applyFont="1" applyProtection="1"/>
    <xf numFmtId="0" fontId="14" fillId="0" borderId="0" xfId="0" applyFont="1" applyAlignment="1" applyProtection="1">
      <alignment horizontal="center"/>
    </xf>
    <xf numFmtId="165" fontId="6" fillId="0" borderId="0" xfId="0" applyNumberFormat="1" applyFont="1" applyAlignment="1" applyProtection="1">
      <alignment horizontal="center"/>
    </xf>
    <xf numFmtId="0" fontId="4" fillId="0" borderId="2" xfId="0" applyFont="1" applyBorder="1" applyAlignment="1" applyProtection="1">
      <alignment horizontal="center" vertical="center"/>
      <protection locked="0"/>
    </xf>
    <xf numFmtId="20" fontId="4" fillId="0" borderId="2" xfId="0" applyNumberFormat="1" applyFont="1" applyBorder="1" applyAlignment="1" applyProtection="1">
      <alignment horizontal="center" vertical="center"/>
      <protection locked="0"/>
    </xf>
    <xf numFmtId="167" fontId="17" fillId="0" borderId="5" xfId="4" applyNumberFormat="1" applyFont="1" applyBorder="1" applyAlignment="1" applyProtection="1">
      <alignment horizontal="center"/>
      <protection locked="0"/>
    </xf>
    <xf numFmtId="9" fontId="4" fillId="0" borderId="5" xfId="2" applyFont="1" applyFill="1" applyBorder="1" applyAlignment="1" applyProtection="1">
      <alignment horizontal="center" vertical="center" wrapText="1"/>
      <protection locked="0"/>
    </xf>
    <xf numFmtId="20" fontId="4" fillId="0" borderId="2" xfId="0" applyNumberFormat="1" applyFont="1" applyBorder="1" applyProtection="1"/>
    <xf numFmtId="0" fontId="11" fillId="0" borderId="0" xfId="0" applyNumberFormat="1" applyFont="1" applyFill="1" applyBorder="1" applyAlignment="1" applyProtection="1">
      <alignment horizontal="center" vertical="center"/>
    </xf>
    <xf numFmtId="0" fontId="11" fillId="0" borderId="0" xfId="0" applyNumberFormat="1" applyFont="1" applyFill="1" applyBorder="1" applyAlignment="1" applyProtection="1">
      <alignment horizontal="right" vertical="center"/>
    </xf>
    <xf numFmtId="0" fontId="8" fillId="0" borderId="2" xfId="0" applyFont="1" applyFill="1" applyBorder="1" applyAlignment="1" applyProtection="1">
      <alignment horizontal="right" wrapText="1" indent="1"/>
      <protection locked="0"/>
    </xf>
    <xf numFmtId="0" fontId="4" fillId="0" borderId="2" xfId="0" applyFont="1" applyBorder="1" applyAlignment="1" applyProtection="1">
      <alignment horizontal="right" indent="1"/>
    </xf>
    <xf numFmtId="49" fontId="4" fillId="0" borderId="2" xfId="0" applyNumberFormat="1" applyFont="1" applyFill="1" applyBorder="1" applyAlignment="1" applyProtection="1">
      <alignment horizontal="left"/>
    </xf>
    <xf numFmtId="9" fontId="4" fillId="10" borderId="2" xfId="2" applyFont="1" applyFill="1" applyBorder="1" applyAlignment="1" applyProtection="1">
      <alignment horizontal="center"/>
      <protection locked="0"/>
    </xf>
    <xf numFmtId="20" fontId="4" fillId="0" borderId="2" xfId="0" applyNumberFormat="1" applyFont="1" applyFill="1" applyBorder="1" applyProtection="1">
      <protection locked="0"/>
    </xf>
    <xf numFmtId="167" fontId="4" fillId="0" borderId="2" xfId="4" applyNumberFormat="1" applyFont="1" applyFill="1" applyBorder="1" applyAlignment="1" applyProtection="1">
      <alignment horizontal="center" readingOrder="2"/>
    </xf>
    <xf numFmtId="165" fontId="4" fillId="0" borderId="2" xfId="0" applyNumberFormat="1" applyFont="1" applyFill="1" applyBorder="1" applyProtection="1">
      <protection locked="0"/>
    </xf>
    <xf numFmtId="1" fontId="4" fillId="8" borderId="2" xfId="0" applyNumberFormat="1" applyFont="1" applyFill="1" applyBorder="1" applyAlignment="1" applyProtection="1">
      <alignment horizontal="center"/>
    </xf>
    <xf numFmtId="1" fontId="4" fillId="10" borderId="2" xfId="0" applyNumberFormat="1" applyFont="1" applyFill="1" applyBorder="1" applyAlignment="1" applyProtection="1">
      <alignment horizontal="center"/>
    </xf>
    <xf numFmtId="0" fontId="4" fillId="8" borderId="2" xfId="0" applyNumberFormat="1" applyFont="1" applyFill="1" applyBorder="1" applyAlignment="1">
      <alignment horizontal="left"/>
    </xf>
    <xf numFmtId="0" fontId="4" fillId="8" borderId="2" xfId="0" applyFont="1" applyFill="1" applyBorder="1" applyAlignment="1" applyProtection="1">
      <alignment horizontal="right" wrapText="1" indent="1"/>
      <protection locked="0"/>
    </xf>
    <xf numFmtId="0" fontId="4" fillId="8" borderId="2" xfId="0" applyFont="1" applyFill="1" applyBorder="1" applyProtection="1">
      <protection locked="0"/>
    </xf>
    <xf numFmtId="1" fontId="4" fillId="8" borderId="2" xfId="0" applyNumberFormat="1" applyFont="1" applyFill="1" applyBorder="1" applyAlignment="1">
      <alignment horizontal="center"/>
    </xf>
    <xf numFmtId="0" fontId="4" fillId="8" borderId="2" xfId="0" applyFont="1" applyFill="1" applyBorder="1"/>
    <xf numFmtId="165" fontId="4" fillId="8" borderId="2" xfId="0" applyNumberFormat="1" applyFont="1" applyFill="1" applyBorder="1" applyAlignment="1">
      <alignment horizontal="center" vertical="center"/>
    </xf>
    <xf numFmtId="165" fontId="4" fillId="8" borderId="2" xfId="0" applyNumberFormat="1" applyFont="1" applyFill="1" applyBorder="1" applyAlignment="1" applyProtection="1">
      <alignment horizontal="center" vertical="center"/>
    </xf>
    <xf numFmtId="167" fontId="4" fillId="8" borderId="2" xfId="4" applyNumberFormat="1" applyFont="1" applyFill="1" applyBorder="1" applyAlignment="1" applyProtection="1">
      <alignment horizontal="center" readingOrder="2"/>
    </xf>
    <xf numFmtId="0" fontId="4" fillId="8" borderId="2" xfId="0" applyFont="1" applyFill="1" applyBorder="1" applyProtection="1"/>
    <xf numFmtId="1" fontId="4" fillId="11" borderId="2" xfId="0" applyNumberFormat="1" applyFont="1" applyFill="1" applyBorder="1" applyAlignment="1">
      <alignment horizontal="center"/>
    </xf>
    <xf numFmtId="9" fontId="4" fillId="11" borderId="2" xfId="2" applyFont="1" applyFill="1" applyBorder="1" applyAlignment="1" applyProtection="1">
      <alignment horizontal="center"/>
    </xf>
    <xf numFmtId="14" fontId="6" fillId="0" borderId="0" xfId="0" applyNumberFormat="1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14" fontId="4" fillId="0" borderId="3" xfId="0" applyNumberFormat="1" applyFont="1" applyBorder="1" applyAlignment="1" applyProtection="1">
      <alignment horizontal="center" textRotation="90"/>
    </xf>
    <xf numFmtId="0" fontId="4" fillId="0" borderId="1" xfId="0" applyFont="1" applyBorder="1" applyAlignment="1" applyProtection="1">
      <alignment horizontal="center" textRotation="90"/>
    </xf>
    <xf numFmtId="0" fontId="4" fillId="0" borderId="4" xfId="0" applyFont="1" applyBorder="1" applyAlignment="1" applyProtection="1">
      <alignment horizontal="center" textRotation="90"/>
    </xf>
    <xf numFmtId="0" fontId="17" fillId="0" borderId="5" xfId="0" applyFont="1" applyBorder="1" applyAlignment="1">
      <alignment horizontal="center"/>
    </xf>
    <xf numFmtId="0" fontId="17" fillId="0" borderId="17" xfId="0" applyFont="1" applyBorder="1" applyAlignment="1">
      <alignment horizontal="center"/>
    </xf>
    <xf numFmtId="0" fontId="4" fillId="0" borderId="6" xfId="0" applyFont="1" applyFill="1" applyBorder="1" applyAlignment="1">
      <alignment horizontal="center"/>
    </xf>
    <xf numFmtId="0" fontId="4" fillId="0" borderId="7" xfId="0" applyFont="1" applyFill="1" applyBorder="1" applyAlignment="1">
      <alignment horizontal="center"/>
    </xf>
    <xf numFmtId="0" fontId="14" fillId="0" borderId="8" xfId="0" applyFont="1" applyBorder="1" applyAlignment="1">
      <alignment horizontal="center"/>
    </xf>
    <xf numFmtId="0" fontId="14" fillId="0" borderId="9" xfId="0" applyFont="1" applyBorder="1" applyAlignment="1">
      <alignment horizontal="center"/>
    </xf>
    <xf numFmtId="0" fontId="17" fillId="0" borderId="5" xfId="0" applyFont="1" applyBorder="1" applyAlignment="1">
      <alignment horizontal="center" vertical="center"/>
    </xf>
    <xf numFmtId="167" fontId="17" fillId="0" borderId="5" xfId="4" applyNumberFormat="1" applyFont="1" applyBorder="1" applyAlignment="1">
      <alignment horizontal="center" vertical="center"/>
    </xf>
    <xf numFmtId="0" fontId="17" fillId="0" borderId="6" xfId="0" applyFont="1" applyBorder="1" applyAlignment="1">
      <alignment horizontal="center"/>
    </xf>
    <xf numFmtId="0" fontId="17" fillId="0" borderId="7" xfId="0" applyFont="1" applyBorder="1" applyAlignment="1">
      <alignment horizontal="center"/>
    </xf>
    <xf numFmtId="166" fontId="17" fillId="0" borderId="6" xfId="4" applyNumberFormat="1" applyFont="1" applyBorder="1" applyAlignment="1">
      <alignment horizontal="center"/>
    </xf>
    <xf numFmtId="166" fontId="17" fillId="0" borderId="7" xfId="4" applyNumberFormat="1" applyFont="1" applyBorder="1" applyAlignment="1">
      <alignment horizontal="center"/>
    </xf>
    <xf numFmtId="166" fontId="17" fillId="0" borderId="6" xfId="4" applyNumberFormat="1" applyFont="1" applyBorder="1" applyAlignment="1" applyProtection="1">
      <alignment horizontal="center"/>
      <protection locked="0"/>
    </xf>
    <xf numFmtId="166" fontId="17" fillId="0" borderId="7" xfId="4" applyNumberFormat="1" applyFont="1" applyBorder="1" applyAlignment="1" applyProtection="1">
      <alignment horizontal="center"/>
      <protection locked="0"/>
    </xf>
    <xf numFmtId="165" fontId="19" fillId="0" borderId="2" xfId="0" applyNumberFormat="1" applyFont="1" applyFill="1" applyBorder="1" applyAlignment="1">
      <alignment horizontal="center" vertical="center" wrapText="1"/>
    </xf>
    <xf numFmtId="165" fontId="19" fillId="0" borderId="1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4" fillId="0" borderId="13" xfId="0" applyFont="1" applyFill="1" applyBorder="1" applyAlignment="1">
      <alignment horizontal="center" vertical="center" wrapText="1"/>
    </xf>
    <xf numFmtId="0" fontId="4" fillId="0" borderId="14" xfId="0" applyFont="1" applyFill="1" applyBorder="1" applyAlignment="1">
      <alignment horizontal="center" vertical="center" wrapText="1"/>
    </xf>
    <xf numFmtId="165" fontId="4" fillId="0" borderId="15" xfId="0" applyNumberFormat="1" applyFont="1" applyFill="1" applyBorder="1" applyAlignment="1">
      <alignment horizontal="center" wrapText="1"/>
    </xf>
    <xf numFmtId="169" fontId="4" fillId="0" borderId="13" xfId="0" applyNumberFormat="1" applyFont="1" applyFill="1" applyBorder="1" applyAlignment="1" applyProtection="1">
      <alignment horizontal="center" vertical="center" textRotation="90" wrapText="1" readingOrder="2"/>
      <protection locked="0"/>
    </xf>
    <xf numFmtId="169" fontId="4" fillId="0" borderId="14" xfId="0" applyNumberFormat="1" applyFont="1" applyFill="1" applyBorder="1" applyAlignment="1" applyProtection="1">
      <alignment horizontal="center" vertical="center" textRotation="90" wrapText="1" readingOrder="2"/>
      <protection locked="0"/>
    </xf>
    <xf numFmtId="9" fontId="4" fillId="0" borderId="13" xfId="2" applyFont="1" applyFill="1" applyBorder="1" applyAlignment="1">
      <alignment horizontal="center" vertical="center" textRotation="90" wrapText="1"/>
    </xf>
    <xf numFmtId="9" fontId="4" fillId="0" borderId="14" xfId="2" applyFont="1" applyFill="1" applyBorder="1" applyAlignment="1">
      <alignment horizontal="center" vertical="center" textRotation="90" wrapText="1"/>
    </xf>
    <xf numFmtId="0" fontId="4" fillId="0" borderId="13" xfId="0" applyFont="1" applyFill="1" applyBorder="1" applyAlignment="1">
      <alignment horizontal="center" vertical="center" textRotation="90" wrapText="1"/>
    </xf>
    <xf numFmtId="0" fontId="4" fillId="0" borderId="14" xfId="0" applyFont="1" applyFill="1" applyBorder="1" applyAlignment="1">
      <alignment horizontal="center" vertical="center" textRotation="90" wrapText="1"/>
    </xf>
    <xf numFmtId="169" fontId="4" fillId="0" borderId="13" xfId="0" applyNumberFormat="1" applyFont="1" applyFill="1" applyBorder="1" applyAlignment="1">
      <alignment horizontal="center" vertical="center" textRotation="90" wrapText="1" readingOrder="2"/>
    </xf>
    <xf numFmtId="169" fontId="4" fillId="0" borderId="14" xfId="0" applyNumberFormat="1" applyFont="1" applyFill="1" applyBorder="1" applyAlignment="1">
      <alignment horizontal="center" vertical="center" textRotation="90" wrapText="1" readingOrder="2"/>
    </xf>
    <xf numFmtId="49" fontId="23" fillId="0" borderId="2" xfId="0" applyNumberFormat="1" applyFont="1" applyBorder="1" applyAlignment="1" applyProtection="1">
      <alignment horizontal="left"/>
    </xf>
    <xf numFmtId="0" fontId="23" fillId="0" borderId="2" xfId="0" applyFont="1" applyFill="1" applyBorder="1" applyProtection="1">
      <protection locked="0"/>
    </xf>
    <xf numFmtId="0" fontId="23" fillId="0" borderId="2" xfId="0" applyFont="1" applyFill="1" applyBorder="1" applyAlignment="1" applyProtection="1">
      <alignment horizontal="center"/>
    </xf>
    <xf numFmtId="1" fontId="23" fillId="0" borderId="2" xfId="0" applyNumberFormat="1" applyFont="1" applyFill="1" applyBorder="1" applyAlignment="1" applyProtection="1">
      <alignment horizontal="center"/>
    </xf>
    <xf numFmtId="1" fontId="23" fillId="0" borderId="2" xfId="0" applyNumberFormat="1" applyFont="1" applyFill="1" applyBorder="1" applyProtection="1">
      <protection locked="0"/>
    </xf>
    <xf numFmtId="0" fontId="23" fillId="0" borderId="2" xfId="0" applyNumberFormat="1" applyFont="1" applyFill="1" applyBorder="1" applyProtection="1">
      <protection locked="0"/>
    </xf>
    <xf numFmtId="1" fontId="23" fillId="3" borderId="2" xfId="0" applyNumberFormat="1" applyFont="1" applyFill="1" applyBorder="1" applyAlignment="1" applyProtection="1">
      <alignment horizontal="center"/>
    </xf>
    <xf numFmtId="9" fontId="23" fillId="3" borderId="2" xfId="2" applyFont="1" applyFill="1" applyBorder="1" applyAlignment="1" applyProtection="1">
      <alignment horizontal="center"/>
      <protection locked="0"/>
    </xf>
    <xf numFmtId="1" fontId="23" fillId="0" borderId="2" xfId="0" applyNumberFormat="1" applyFont="1" applyFill="1" applyBorder="1" applyAlignment="1" applyProtection="1">
      <alignment horizontal="center"/>
      <protection locked="0"/>
    </xf>
    <xf numFmtId="0" fontId="23" fillId="0" borderId="2" xfId="0" applyFont="1" applyFill="1" applyBorder="1" applyProtection="1"/>
    <xf numFmtId="0" fontId="23" fillId="0" borderId="2" xfId="0" applyFont="1" applyBorder="1" applyAlignment="1">
      <alignment horizontal="center" vertical="center"/>
    </xf>
    <xf numFmtId="167" fontId="23" fillId="0" borderId="2" xfId="4" applyNumberFormat="1" applyFont="1" applyBorder="1" applyAlignment="1">
      <alignment horizontal="center" vertical="center"/>
    </xf>
    <xf numFmtId="165" fontId="23" fillId="0" borderId="2" xfId="0" applyNumberFormat="1" applyFont="1" applyBorder="1" applyAlignment="1" applyProtection="1">
      <alignment horizontal="center" vertical="center"/>
      <protection locked="0"/>
    </xf>
    <xf numFmtId="167" fontId="23" fillId="0" borderId="2" xfId="4" applyNumberFormat="1" applyFont="1" applyBorder="1" applyAlignment="1" applyProtection="1">
      <alignment horizontal="center" readingOrder="2"/>
    </xf>
    <xf numFmtId="0" fontId="23" fillId="0" borderId="2" xfId="0" applyFont="1" applyBorder="1" applyProtection="1"/>
    <xf numFmtId="0" fontId="23" fillId="0" borderId="2" xfId="0" applyFont="1" applyFill="1" applyBorder="1" applyAlignment="1" applyProtection="1">
      <alignment horizontal="right" wrapText="1" indent="1"/>
      <protection locked="0"/>
    </xf>
    <xf numFmtId="0" fontId="8" fillId="0" borderId="2" xfId="0" applyFont="1" applyBorder="1" applyProtection="1"/>
    <xf numFmtId="0" fontId="23" fillId="0" borderId="2" xfId="0" applyNumberFormat="1" applyFont="1" applyFill="1" applyBorder="1" applyAlignment="1" applyProtection="1">
      <alignment horizontal="left"/>
    </xf>
    <xf numFmtId="1" fontId="23" fillId="0" borderId="2" xfId="0" applyNumberFormat="1" applyFont="1" applyFill="1" applyBorder="1" applyProtection="1"/>
    <xf numFmtId="1" fontId="23" fillId="0" borderId="2" xfId="0" applyNumberFormat="1" applyFont="1" applyFill="1" applyBorder="1" applyAlignment="1">
      <alignment horizontal="center"/>
    </xf>
    <xf numFmtId="1" fontId="23" fillId="3" borderId="2" xfId="0" applyNumberFormat="1" applyFont="1" applyFill="1" applyBorder="1" applyAlignment="1">
      <alignment horizontal="center"/>
    </xf>
    <xf numFmtId="0" fontId="23" fillId="0" borderId="2" xfId="0" applyFont="1" applyFill="1" applyBorder="1"/>
    <xf numFmtId="0" fontId="23" fillId="0" borderId="2" xfId="0" applyFont="1" applyFill="1" applyBorder="1" applyAlignment="1">
      <alignment horizontal="center" vertical="center"/>
    </xf>
    <xf numFmtId="165" fontId="23" fillId="0" borderId="2" xfId="0" applyNumberFormat="1" applyFont="1" applyFill="1" applyBorder="1" applyAlignment="1" applyProtection="1">
      <alignment horizontal="center" vertical="center"/>
      <protection locked="0"/>
    </xf>
    <xf numFmtId="167" fontId="23" fillId="0" borderId="2" xfId="4" applyNumberFormat="1" applyFont="1" applyFill="1" applyBorder="1" applyAlignment="1">
      <alignment horizontal="center" readingOrder="2"/>
    </xf>
    <xf numFmtId="1" fontId="23" fillId="0" borderId="2" xfId="0" applyNumberFormat="1" applyFont="1" applyFill="1" applyBorder="1"/>
    <xf numFmtId="0" fontId="23" fillId="0" borderId="2" xfId="0" applyNumberFormat="1" applyFont="1" applyBorder="1" applyAlignment="1" applyProtection="1">
      <alignment horizontal="left"/>
    </xf>
    <xf numFmtId="0" fontId="23" fillId="0" borderId="2" xfId="0" applyFont="1" applyBorder="1" applyProtection="1">
      <protection locked="0"/>
    </xf>
    <xf numFmtId="167" fontId="23" fillId="0" borderId="2" xfId="4" applyNumberFormat="1" applyFont="1" applyBorder="1" applyAlignment="1">
      <alignment horizontal="center" readingOrder="2"/>
    </xf>
    <xf numFmtId="0" fontId="23" fillId="0" borderId="2" xfId="0" applyFont="1" applyBorder="1"/>
    <xf numFmtId="0" fontId="23" fillId="0" borderId="2" xfId="0" applyNumberFormat="1" applyFont="1" applyBorder="1" applyAlignment="1">
      <alignment horizontal="left"/>
    </xf>
    <xf numFmtId="0" fontId="23" fillId="0" borderId="2" xfId="0" applyNumberFormat="1" applyFont="1" applyFill="1" applyBorder="1" applyAlignment="1">
      <alignment horizontal="left"/>
    </xf>
    <xf numFmtId="1" fontId="23" fillId="10" borderId="2" xfId="0" applyNumberFormat="1" applyFont="1" applyFill="1" applyBorder="1" applyAlignment="1">
      <alignment horizontal="center"/>
    </xf>
    <xf numFmtId="49" fontId="23" fillId="2" borderId="2" xfId="0" applyNumberFormat="1" applyFont="1" applyFill="1" applyBorder="1" applyAlignment="1" applyProtection="1">
      <alignment horizontal="left"/>
    </xf>
    <xf numFmtId="0" fontId="23" fillId="2" borderId="2" xfId="0" applyFont="1" applyFill="1" applyBorder="1" applyAlignment="1" applyProtection="1">
      <alignment horizontal="right" wrapText="1" indent="1"/>
      <protection locked="0"/>
    </xf>
    <xf numFmtId="0" fontId="23" fillId="2" borderId="2" xfId="0" applyFont="1" applyFill="1" applyBorder="1" applyProtection="1">
      <protection locked="0"/>
    </xf>
    <xf numFmtId="1" fontId="23" fillId="2" borderId="2" xfId="0" applyNumberFormat="1" applyFont="1" applyFill="1" applyBorder="1" applyProtection="1">
      <protection locked="0"/>
    </xf>
    <xf numFmtId="0" fontId="23" fillId="2" borderId="2" xfId="0" applyNumberFormat="1" applyFont="1" applyFill="1" applyBorder="1" applyProtection="1">
      <protection locked="0"/>
    </xf>
    <xf numFmtId="1" fontId="23" fillId="2" borderId="2" xfId="0" applyNumberFormat="1" applyFont="1" applyFill="1" applyBorder="1" applyAlignment="1" applyProtection="1">
      <alignment horizontal="center"/>
    </xf>
    <xf numFmtId="1" fontId="23" fillId="4" borderId="2" xfId="0" applyNumberFormat="1" applyFont="1" applyFill="1" applyBorder="1" applyAlignment="1" applyProtection="1">
      <alignment horizontal="center"/>
    </xf>
    <xf numFmtId="9" fontId="23" fillId="4" borderId="2" xfId="2" applyFont="1" applyFill="1" applyBorder="1" applyAlignment="1" applyProtection="1">
      <alignment horizontal="center"/>
    </xf>
    <xf numFmtId="1" fontId="23" fillId="5" borderId="2" xfId="0" applyNumberFormat="1" applyFont="1" applyFill="1" applyBorder="1" applyAlignment="1" applyProtection="1">
      <alignment horizontal="center"/>
    </xf>
    <xf numFmtId="0" fontId="23" fillId="0" borderId="2" xfId="0" applyFont="1" applyBorder="1" applyAlignment="1" applyProtection="1">
      <alignment horizontal="right" indent="1"/>
    </xf>
    <xf numFmtId="49" fontId="23" fillId="0" borderId="2" xfId="0" applyNumberFormat="1" applyFont="1" applyFill="1" applyBorder="1" applyAlignment="1" applyProtection="1">
      <alignment horizontal="left"/>
    </xf>
    <xf numFmtId="1" fontId="23" fillId="10" borderId="2" xfId="0" applyNumberFormat="1" applyFont="1" applyFill="1" applyBorder="1" applyAlignment="1" applyProtection="1">
      <alignment horizontal="center"/>
    </xf>
    <xf numFmtId="9" fontId="23" fillId="10" borderId="2" xfId="2" applyFont="1" applyFill="1" applyBorder="1" applyAlignment="1" applyProtection="1">
      <alignment horizontal="center"/>
      <protection locked="0"/>
    </xf>
    <xf numFmtId="165" fontId="23" fillId="0" borderId="2" xfId="0" applyNumberFormat="1" applyFont="1" applyFill="1" applyBorder="1" applyAlignment="1">
      <alignment horizontal="center" vertical="center"/>
    </xf>
    <xf numFmtId="165" fontId="23" fillId="0" borderId="2" xfId="4" applyNumberFormat="1" applyFont="1" applyFill="1" applyBorder="1" applyAlignment="1" applyProtection="1">
      <alignment horizontal="center" readingOrder="2"/>
      <protection locked="0"/>
    </xf>
    <xf numFmtId="20" fontId="23" fillId="0" borderId="2" xfId="0" applyNumberFormat="1" applyFont="1" applyFill="1" applyBorder="1" applyProtection="1">
      <protection locked="0"/>
    </xf>
    <xf numFmtId="167" fontId="23" fillId="0" borderId="2" xfId="4" applyNumberFormat="1" applyFont="1" applyFill="1" applyBorder="1" applyAlignment="1" applyProtection="1">
      <alignment horizontal="center" readingOrder="2"/>
    </xf>
    <xf numFmtId="0" fontId="23" fillId="0" borderId="0" xfId="0" applyFont="1" applyFill="1" applyBorder="1" applyProtection="1"/>
    <xf numFmtId="165" fontId="23" fillId="0" borderId="2" xfId="0" applyNumberFormat="1" applyFont="1" applyFill="1" applyBorder="1" applyProtection="1">
      <protection locked="0"/>
    </xf>
    <xf numFmtId="0" fontId="23" fillId="2" borderId="2" xfId="0" applyFont="1" applyFill="1" applyBorder="1" applyAlignment="1" applyProtection="1">
      <alignment horizontal="center"/>
    </xf>
    <xf numFmtId="0" fontId="23" fillId="0" borderId="2" xfId="0" applyFont="1" applyFill="1" applyBorder="1" applyAlignment="1">
      <alignment horizontal="center"/>
    </xf>
    <xf numFmtId="49" fontId="23" fillId="6" borderId="0" xfId="0" applyNumberFormat="1" applyFont="1" applyFill="1" applyBorder="1" applyProtection="1"/>
    <xf numFmtId="0" fontId="23" fillId="6" borderId="0" xfId="0" applyFont="1" applyFill="1" applyBorder="1" applyAlignment="1" applyProtection="1">
      <alignment horizontal="right" indent="1"/>
      <protection locked="0"/>
    </xf>
    <xf numFmtId="0" fontId="23" fillId="6" borderId="0" xfId="0" applyFont="1" applyFill="1" applyBorder="1" applyProtection="1">
      <protection locked="0"/>
    </xf>
    <xf numFmtId="0" fontId="23" fillId="6" borderId="0" xfId="0" applyFont="1" applyFill="1" applyBorder="1" applyAlignment="1" applyProtection="1">
      <alignment horizontal="center"/>
      <protection locked="0"/>
    </xf>
    <xf numFmtId="1" fontId="23" fillId="6" borderId="2" xfId="0" applyNumberFormat="1" applyFont="1" applyFill="1" applyBorder="1" applyAlignment="1" applyProtection="1">
      <alignment horizontal="center"/>
    </xf>
    <xf numFmtId="1" fontId="23" fillId="6" borderId="2" xfId="0" applyNumberFormat="1" applyFont="1" applyFill="1" applyBorder="1" applyProtection="1">
      <protection locked="0"/>
    </xf>
    <xf numFmtId="0" fontId="23" fillId="6" borderId="2" xfId="0" applyNumberFormat="1" applyFont="1" applyFill="1" applyBorder="1" applyProtection="1">
      <protection locked="0"/>
    </xf>
    <xf numFmtId="1" fontId="24" fillId="6" borderId="2" xfId="0" applyNumberFormat="1" applyFont="1" applyFill="1" applyBorder="1" applyAlignment="1" applyProtection="1">
      <alignment horizontal="center"/>
    </xf>
    <xf numFmtId="1" fontId="23" fillId="7" borderId="2" xfId="0" applyNumberFormat="1" applyFont="1" applyFill="1" applyBorder="1" applyAlignment="1" applyProtection="1">
      <alignment horizontal="center"/>
    </xf>
    <xf numFmtId="9" fontId="23" fillId="7" borderId="2" xfId="2" applyFont="1" applyFill="1" applyBorder="1" applyAlignment="1" applyProtection="1">
      <alignment horizontal="center"/>
    </xf>
    <xf numFmtId="1" fontId="23" fillId="6" borderId="2" xfId="0" applyNumberFormat="1" applyFont="1" applyFill="1" applyBorder="1" applyAlignment="1" applyProtection="1">
      <alignment horizontal="center"/>
      <protection locked="0"/>
    </xf>
    <xf numFmtId="0" fontId="23" fillId="6" borderId="0" xfId="0" applyFont="1" applyFill="1" applyBorder="1" applyProtection="1"/>
    <xf numFmtId="0" fontId="23" fillId="6" borderId="0" xfId="0" applyFont="1" applyFill="1" applyBorder="1" applyAlignment="1">
      <alignment horizontal="center" vertical="center"/>
    </xf>
    <xf numFmtId="167" fontId="23" fillId="6" borderId="0" xfId="4" applyNumberFormat="1" applyFont="1" applyFill="1" applyBorder="1" applyAlignment="1">
      <alignment horizontal="center" vertical="center"/>
    </xf>
    <xf numFmtId="165" fontId="23" fillId="6" borderId="0" xfId="0" applyNumberFormat="1" applyFont="1" applyFill="1" applyBorder="1" applyAlignment="1" applyProtection="1">
      <alignment horizontal="center" vertical="center"/>
    </xf>
    <xf numFmtId="167" fontId="23" fillId="6" borderId="0" xfId="4" applyNumberFormat="1" applyFont="1" applyFill="1" applyBorder="1" applyAlignment="1" applyProtection="1">
      <alignment horizontal="center" readingOrder="2"/>
    </xf>
    <xf numFmtId="0" fontId="25" fillId="0" borderId="0" xfId="0" applyFont="1" applyAlignment="1" applyProtection="1">
      <alignment horizontal="right" wrapText="1" indent="1"/>
    </xf>
    <xf numFmtId="0" fontId="28" fillId="0" borderId="0" xfId="1" applyFont="1" applyFill="1" applyAlignment="1" applyProtection="1">
      <alignment horizontal="center" vertical="center"/>
    </xf>
    <xf numFmtId="0" fontId="29" fillId="2" borderId="0" xfId="0" applyFont="1" applyFill="1" applyAlignment="1" applyProtection="1">
      <alignment horizontal="right" vertical="center" indent="1"/>
    </xf>
    <xf numFmtId="0" fontId="29" fillId="2" borderId="0" xfId="0" applyFont="1" applyFill="1" applyAlignment="1" applyProtection="1">
      <alignment vertical="center"/>
    </xf>
    <xf numFmtId="0" fontId="29" fillId="2" borderId="0" xfId="0" applyFont="1" applyFill="1" applyAlignment="1" applyProtection="1">
      <alignment horizontal="center" vertical="center"/>
    </xf>
    <xf numFmtId="0" fontId="27" fillId="0" borderId="0" xfId="0" applyFont="1" applyFill="1" applyBorder="1" applyProtection="1"/>
    <xf numFmtId="0" fontId="27" fillId="0" borderId="17" xfId="0" applyFont="1" applyBorder="1" applyAlignment="1" applyProtection="1">
      <alignment horizontal="right"/>
    </xf>
    <xf numFmtId="0" fontId="27" fillId="0" borderId="0" xfId="0" applyFont="1" applyBorder="1" applyAlignment="1" applyProtection="1">
      <alignment horizontal="center"/>
    </xf>
    <xf numFmtId="0" fontId="27" fillId="0" borderId="18" xfId="0" applyFont="1" applyBorder="1" applyAlignment="1" applyProtection="1">
      <alignment horizontal="right"/>
    </xf>
    <xf numFmtId="14" fontId="22" fillId="0" borderId="0" xfId="0" applyNumberFormat="1" applyFont="1" applyBorder="1" applyAlignment="1" applyProtection="1">
      <alignment horizontal="left"/>
    </xf>
    <xf numFmtId="14" fontId="30" fillId="0" borderId="0" xfId="0" applyNumberFormat="1" applyFont="1" applyFill="1" applyBorder="1" applyAlignment="1" applyProtection="1">
      <alignment horizontal="left"/>
    </xf>
    <xf numFmtId="14" fontId="25" fillId="0" borderId="0" xfId="0" applyNumberFormat="1" applyFont="1" applyBorder="1" applyAlignment="1" applyProtection="1">
      <alignment horizontal="center"/>
    </xf>
    <xf numFmtId="0" fontId="29" fillId="2" borderId="0" xfId="0" applyNumberFormat="1" applyFont="1" applyFill="1" applyAlignment="1" applyProtection="1">
      <alignment vertical="center"/>
    </xf>
    <xf numFmtId="0" fontId="31" fillId="2" borderId="0" xfId="0" applyFont="1" applyFill="1" applyAlignment="1" applyProtection="1">
      <alignment horizontal="center" vertical="center"/>
    </xf>
    <xf numFmtId="0" fontId="27" fillId="0" borderId="0" xfId="0" applyFont="1" applyBorder="1" applyAlignment="1" applyProtection="1">
      <alignment horizontal="left"/>
    </xf>
    <xf numFmtId="0" fontId="27" fillId="0" borderId="0" xfId="0" applyNumberFormat="1" applyFont="1" applyBorder="1" applyAlignment="1" applyProtection="1">
      <alignment horizontal="left"/>
    </xf>
    <xf numFmtId="0" fontId="24" fillId="0" borderId="0" xfId="0" applyFont="1" applyBorder="1" applyAlignment="1" applyProtection="1">
      <alignment horizontal="center"/>
    </xf>
    <xf numFmtId="14" fontId="25" fillId="0" borderId="0" xfId="0" applyNumberFormat="1" applyFont="1" applyBorder="1" applyAlignment="1" applyProtection="1">
      <alignment horizontal="left"/>
    </xf>
    <xf numFmtId="0" fontId="25" fillId="0" borderId="0" xfId="0" applyNumberFormat="1" applyFont="1" applyBorder="1" applyAlignment="1" applyProtection="1">
      <alignment horizontal="left"/>
    </xf>
    <xf numFmtId="14" fontId="24" fillId="0" borderId="0" xfId="0" applyNumberFormat="1" applyFont="1" applyBorder="1" applyAlignment="1" applyProtection="1">
      <alignment horizontal="center"/>
    </xf>
    <xf numFmtId="0" fontId="29" fillId="9" borderId="0" xfId="0" applyFont="1" applyFill="1" applyAlignment="1" applyProtection="1">
      <alignment vertical="center"/>
    </xf>
    <xf numFmtId="0" fontId="32" fillId="0" borderId="0" xfId="1" applyFont="1" applyFill="1" applyAlignment="1" applyProtection="1">
      <alignment horizontal="right"/>
    </xf>
    <xf numFmtId="0" fontId="33" fillId="0" borderId="0" xfId="0" applyFont="1" applyFill="1" applyProtection="1"/>
    <xf numFmtId="0" fontId="27" fillId="0" borderId="0" xfId="0" applyFont="1" applyAlignment="1" applyProtection="1"/>
    <xf numFmtId="0" fontId="27" fillId="0" borderId="0" xfId="0" applyFont="1" applyProtection="1"/>
    <xf numFmtId="0" fontId="22" fillId="0" borderId="1" xfId="0" applyFont="1" applyFill="1" applyBorder="1" applyAlignment="1" applyProtection="1">
      <alignment horizontal="center"/>
    </xf>
    <xf numFmtId="0" fontId="22" fillId="0" borderId="1" xfId="0" applyFont="1" applyBorder="1" applyAlignment="1" applyProtection="1">
      <alignment horizontal="right" indent="1"/>
    </xf>
    <xf numFmtId="0" fontId="22" fillId="0" borderId="1" xfId="0" applyFont="1" applyBorder="1" applyAlignment="1" applyProtection="1">
      <alignment horizontal="center"/>
    </xf>
    <xf numFmtId="0" fontId="22" fillId="0" borderId="1" xfId="0" applyFont="1" applyBorder="1" applyAlignment="1" applyProtection="1">
      <alignment horizontal="center" textRotation="90"/>
    </xf>
    <xf numFmtId="0" fontId="22" fillId="0" borderId="1" xfId="0" applyNumberFormat="1" applyFont="1" applyBorder="1" applyAlignment="1" applyProtection="1">
      <alignment horizontal="center" textRotation="90"/>
    </xf>
    <xf numFmtId="0" fontId="27" fillId="0" borderId="1" xfId="0" applyFont="1" applyBorder="1" applyAlignment="1" applyProtection="1">
      <alignment horizontal="center" textRotation="90" wrapText="1"/>
    </xf>
    <xf numFmtId="0" fontId="27" fillId="0" borderId="1" xfId="0" applyFont="1" applyBorder="1" applyAlignment="1" applyProtection="1">
      <alignment horizontal="center" textRotation="90"/>
    </xf>
    <xf numFmtId="0" fontId="22" fillId="2" borderId="2" xfId="0" applyNumberFormat="1" applyFont="1" applyFill="1" applyBorder="1" applyAlignment="1" applyProtection="1">
      <alignment horizontal="left"/>
    </xf>
    <xf numFmtId="0" fontId="22" fillId="2" borderId="2" xfId="0" applyFont="1" applyFill="1" applyBorder="1" applyAlignment="1" applyProtection="1">
      <alignment horizontal="right" wrapText="1" indent="1"/>
      <protection locked="0"/>
    </xf>
    <xf numFmtId="0" fontId="22" fillId="2" borderId="2" xfId="0" applyFont="1" applyFill="1" applyBorder="1" applyProtection="1">
      <protection locked="0"/>
    </xf>
    <xf numFmtId="1" fontId="22" fillId="2" borderId="2" xfId="0" applyNumberFormat="1" applyFont="1" applyFill="1" applyBorder="1" applyAlignment="1" applyProtection="1">
      <alignment horizontal="center"/>
    </xf>
    <xf numFmtId="1" fontId="22" fillId="8" borderId="2" xfId="0" applyNumberFormat="1" applyFont="1" applyFill="1" applyBorder="1" applyProtection="1">
      <protection locked="0"/>
    </xf>
    <xf numFmtId="0" fontId="22" fillId="8" borderId="2" xfId="0" applyNumberFormat="1" applyFont="1" applyFill="1" applyBorder="1" applyProtection="1">
      <protection locked="0"/>
    </xf>
    <xf numFmtId="1" fontId="22" fillId="4" borderId="2" xfId="0" applyNumberFormat="1" applyFont="1" applyFill="1" applyBorder="1" applyAlignment="1" applyProtection="1">
      <alignment horizontal="center"/>
    </xf>
    <xf numFmtId="9" fontId="22" fillId="4" borderId="2" xfId="2" applyFont="1" applyFill="1" applyBorder="1" applyAlignment="1" applyProtection="1">
      <alignment horizontal="center"/>
    </xf>
    <xf numFmtId="1" fontId="22" fillId="5" borderId="2" xfId="0" applyNumberFormat="1" applyFont="1" applyFill="1" applyBorder="1" applyAlignment="1" applyProtection="1">
      <alignment horizontal="center"/>
    </xf>
    <xf numFmtId="0" fontId="8" fillId="2" borderId="2" xfId="0" applyFont="1" applyFill="1" applyBorder="1" applyProtection="1"/>
    <xf numFmtId="0" fontId="8" fillId="2" borderId="2" xfId="0" applyFont="1" applyFill="1" applyBorder="1" applyAlignment="1">
      <alignment horizontal="center" vertical="center"/>
    </xf>
    <xf numFmtId="167" fontId="8" fillId="2" borderId="2" xfId="4" applyNumberFormat="1" applyFont="1" applyFill="1" applyBorder="1" applyAlignment="1">
      <alignment horizontal="center" vertical="center"/>
    </xf>
    <xf numFmtId="165" fontId="8" fillId="2" borderId="2" xfId="0" applyNumberFormat="1" applyFont="1" applyFill="1" applyBorder="1" applyAlignment="1" applyProtection="1">
      <alignment horizontal="center" vertical="center"/>
    </xf>
    <xf numFmtId="167" fontId="8" fillId="2" borderId="2" xfId="4" applyNumberFormat="1" applyFont="1" applyFill="1" applyBorder="1" applyAlignment="1" applyProtection="1">
      <alignment horizontal="center" readingOrder="2"/>
    </xf>
    <xf numFmtId="49" fontId="22" fillId="2" borderId="2" xfId="0" applyNumberFormat="1" applyFont="1" applyFill="1" applyBorder="1" applyAlignment="1" applyProtection="1">
      <alignment horizontal="left"/>
    </xf>
    <xf numFmtId="1" fontId="22" fillId="2" borderId="2" xfId="0" applyNumberFormat="1" applyFont="1" applyFill="1" applyBorder="1" applyProtection="1">
      <protection locked="0"/>
    </xf>
    <xf numFmtId="0" fontId="22" fillId="2" borderId="2" xfId="0" applyNumberFormat="1" applyFont="1" applyFill="1" applyBorder="1" applyProtection="1">
      <protection locked="0"/>
    </xf>
    <xf numFmtId="1" fontId="22" fillId="2" borderId="2" xfId="0" applyNumberFormat="1" applyFont="1" applyFill="1" applyBorder="1" applyProtection="1"/>
    <xf numFmtId="0" fontId="22" fillId="2" borderId="2" xfId="0" applyFont="1" applyFill="1" applyBorder="1" applyProtection="1"/>
    <xf numFmtId="0" fontId="22" fillId="2" borderId="2" xfId="0" applyFont="1" applyFill="1" applyBorder="1" applyAlignment="1">
      <alignment horizontal="center" vertical="center"/>
    </xf>
    <xf numFmtId="167" fontId="22" fillId="2" borderId="2" xfId="4" applyNumberFormat="1" applyFont="1" applyFill="1" applyBorder="1" applyAlignment="1">
      <alignment horizontal="center" vertical="center"/>
    </xf>
    <xf numFmtId="165" fontId="22" fillId="2" borderId="2" xfId="0" applyNumberFormat="1" applyFont="1" applyFill="1" applyBorder="1" applyAlignment="1" applyProtection="1">
      <alignment horizontal="center" vertical="center"/>
    </xf>
    <xf numFmtId="167" fontId="22" fillId="2" borderId="2" xfId="4" applyNumberFormat="1" applyFont="1" applyFill="1" applyBorder="1" applyAlignment="1" applyProtection="1">
      <alignment horizontal="center" readingOrder="2"/>
    </xf>
    <xf numFmtId="0" fontId="22" fillId="8" borderId="2" xfId="0" applyFont="1" applyFill="1" applyBorder="1" applyAlignment="1" applyProtection="1">
      <alignment horizontal="right" wrapText="1" indent="1"/>
      <protection locked="0"/>
    </xf>
    <xf numFmtId="0" fontId="22" fillId="8" borderId="2" xfId="0" applyFont="1" applyFill="1" applyBorder="1" applyProtection="1">
      <protection locked="0"/>
    </xf>
    <xf numFmtId="165" fontId="8" fillId="2" borderId="2" xfId="0" applyNumberFormat="1" applyFont="1" applyFill="1" applyBorder="1" applyAlignment="1">
      <alignment horizontal="center" vertical="center"/>
    </xf>
    <xf numFmtId="165" fontId="8" fillId="2" borderId="2" xfId="4" applyNumberFormat="1" applyFont="1" applyFill="1" applyBorder="1" applyAlignment="1" applyProtection="1">
      <alignment horizontal="center" readingOrder="2"/>
    </xf>
    <xf numFmtId="1" fontId="8" fillId="2" borderId="2" xfId="0" applyNumberFormat="1" applyFont="1" applyFill="1" applyBorder="1" applyAlignment="1" applyProtection="1">
      <alignment horizontal="center"/>
    </xf>
  </cellXfs>
  <cellStyles count="8">
    <cellStyle name="Currency" xfId="4" builtinId="4"/>
    <cellStyle name="Hyperlink" xfId="1" builtinId="8"/>
    <cellStyle name="Normal" xfId="0" builtinId="0"/>
    <cellStyle name="Normal 2" xfId="3"/>
    <cellStyle name="Normal 2 2" xfId="7"/>
    <cellStyle name="Percent" xfId="2" builtinId="5"/>
    <cellStyle name="فراپیوند 2" xfId="6"/>
    <cellStyle name="معمولی 2" xfId="5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>
          <bgColor theme="1" tint="0.24994659260841701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indexed="63"/>
        </patternFill>
      </fill>
    </dxf>
    <dxf>
      <fill>
        <patternFill>
          <bgColor indexed="4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99FF99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AEAEA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D7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C0C0C0"/>
      <rgbColor rgb="00003366"/>
      <rgbColor rgb="00339966"/>
      <rgbColor rgb="00003300"/>
      <rgbColor rgb="00333300"/>
      <rgbColor rgb="00993300"/>
      <rgbColor rgb="00993366"/>
      <rgbColor rgb="00333399"/>
      <rgbColor rgb="005F5F5F"/>
    </indexedColors>
    <mruColors>
      <color rgb="FF99FF99"/>
      <color rgb="FF66FF66"/>
      <color rgb="FF99FF66"/>
      <color rgb="FF00FF00"/>
      <color rgb="FFEAEAEA"/>
      <color rgb="FFC0C0C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croll" dx="16" fmlaLink="$R$5" horiz="1" max="100" page="4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171450</xdr:colOff>
          <xdr:row>3</xdr:row>
          <xdr:rowOff>209550</xdr:rowOff>
        </xdr:from>
        <xdr:to>
          <xdr:col>132</xdr:col>
          <xdr:colOff>0</xdr:colOff>
          <xdr:row>5</xdr:row>
          <xdr:rowOff>238125</xdr:rowOff>
        </xdr:to>
        <xdr:sp macro="" textlink="">
          <xdr:nvSpPr>
            <xdr:cNvPr id="6145" name="Scroll Bar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xmlns="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Holieday" displayName="Holieday" ref="A1:F28" totalsRowCount="1" headerRowDxfId="13" dataDxfId="12" headerRowCellStyle="Normal 2" dataCellStyle="Normal 2">
  <autoFilter ref="A1:F27"/>
  <tableColumns count="6">
    <tableColumn id="1" name="date" totalsRowLabel="مجموع" dataDxfId="11" totalsRowDxfId="10" dataCellStyle="Normal 2"/>
    <tableColumn id="2" name="year" dataDxfId="9" totalsRowDxfId="8" dataCellStyle="Normal 2">
      <calculatedColumnFormula>LEFT(A2,4)</calculatedColumnFormula>
    </tableColumn>
    <tableColumn id="6" name="month" dataDxfId="7" totalsRowDxfId="6" dataCellStyle="Normal 2">
      <calculatedColumnFormula>MID(A2,6,2)</calculatedColumnFormula>
    </tableColumn>
    <tableColumn id="3" name="ok" totalsRowFunction="sum" dataDxfId="5" totalsRowDxfId="4" dataCellStyle="Normal 2"/>
    <tableColumn id="4" name="Friday" totalsRowFunction="sum" dataDxfId="3" totalsRowDxfId="2" dataCellStyle="Normal 2"/>
    <tableColumn id="5" name="مناسبت" dataDxfId="1" totalsRow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ورقه1" filterMode="1">
    <tabColor rgb="FF92D050"/>
  </sheetPr>
  <dimension ref="A1:XFD247"/>
  <sheetViews>
    <sheetView showGridLines="0" rightToLeft="1" tabSelected="1" topLeftCell="A119" zoomScale="106" zoomScaleNormal="106" workbookViewId="0">
      <selection activeCell="A157" sqref="A157:XFD157"/>
    </sheetView>
  </sheetViews>
  <sheetFormatPr defaultColWidth="9.140625" defaultRowHeight="14.25"/>
  <cols>
    <col min="1" max="1" width="4.42578125" style="122" bestFit="1" customWidth="1"/>
    <col min="2" max="2" width="85" style="195" customWidth="1"/>
    <col min="3" max="3" width="8.7109375" style="121" customWidth="1"/>
    <col min="4" max="4" width="9.85546875" style="196" customWidth="1"/>
    <col min="5" max="5" width="7.85546875" style="121" hidden="1" customWidth="1"/>
    <col min="6" max="6" width="9.28515625" style="196" customWidth="1"/>
    <col min="7" max="7" width="7.85546875" style="121" hidden="1" customWidth="1"/>
    <col min="8" max="8" width="4.7109375" style="121" customWidth="1"/>
    <col min="9" max="9" width="4.42578125" style="197" customWidth="1"/>
    <col min="10" max="10" width="5.28515625" style="198" customWidth="1"/>
    <col min="11" max="11" width="6.7109375" style="199" hidden="1" customWidth="1"/>
    <col min="12" max="12" width="7" style="121" bestFit="1" customWidth="1"/>
    <col min="13" max="13" width="9" style="121" customWidth="1"/>
    <col min="14" max="14" width="3.5703125" style="121" customWidth="1"/>
    <col min="15" max="15" width="3.85546875" style="121" hidden="1" customWidth="1"/>
    <col min="16" max="16" width="7.85546875" style="121" hidden="1" customWidth="1"/>
    <col min="17" max="17" width="5.85546875" style="121" hidden="1" customWidth="1"/>
    <col min="18" max="18" width="2.7109375" style="121" customWidth="1"/>
    <col min="19" max="234" width="0.42578125" style="121" customWidth="1"/>
    <col min="235" max="258" width="0.42578125" style="122" customWidth="1"/>
    <col min="259" max="259" width="4.42578125" style="24" customWidth="1"/>
    <col min="260" max="260" width="20.7109375" style="35" customWidth="1"/>
    <col min="261" max="261" width="4.7109375" style="179" bestFit="1" customWidth="1"/>
    <col min="262" max="263" width="5.5703125" style="179" bestFit="1" customWidth="1"/>
    <col min="264" max="264" width="20.5703125" style="180" customWidth="1"/>
    <col min="265" max="16384" width="9.140625" style="122"/>
  </cols>
  <sheetData>
    <row r="1" spans="1:264" s="121" customFormat="1" ht="22.5">
      <c r="A1" s="333"/>
      <c r="B1" s="334" t="str">
        <f>CONCATENATE("برنامه زمانبندی ",B8)</f>
        <v>برنامه زمانبندی طراحی و پیاده سازی پورتال اینترنتی و زیر پورتال های بیمه سامان</v>
      </c>
      <c r="C1" s="335"/>
      <c r="D1" s="336"/>
      <c r="E1" s="119"/>
      <c r="F1" s="336"/>
      <c r="G1" s="119"/>
      <c r="H1" s="335"/>
      <c r="I1" s="344"/>
      <c r="J1" s="345"/>
      <c r="K1" s="120"/>
      <c r="L1" s="352"/>
      <c r="M1" s="353"/>
      <c r="N1" s="354"/>
      <c r="IY1" s="23"/>
      <c r="IZ1" s="34"/>
      <c r="JA1" s="177"/>
      <c r="JB1" s="177"/>
      <c r="JC1" s="177"/>
      <c r="JD1" s="178"/>
    </row>
    <row r="2" spans="1:264" ht="18">
      <c r="A2" s="337"/>
      <c r="B2" s="338" t="s">
        <v>7</v>
      </c>
      <c r="C2" s="339" t="s">
        <v>109</v>
      </c>
      <c r="D2" s="339"/>
      <c r="E2" s="228"/>
      <c r="F2" s="339"/>
      <c r="G2" s="123"/>
      <c r="H2" s="346"/>
      <c r="I2" s="347"/>
      <c r="J2" s="348"/>
      <c r="K2" s="125"/>
      <c r="L2" s="355"/>
      <c r="M2" s="355"/>
      <c r="N2" s="356"/>
    </row>
    <row r="3" spans="1:264" ht="18">
      <c r="A3" s="337"/>
      <c r="B3" s="340"/>
      <c r="C3" s="341" t="str">
        <f ca="1">J_TODAY(1)</f>
        <v>1398/07/14</v>
      </c>
      <c r="D3" s="342">
        <f ca="1">VALUE(J_normdate(C3))</f>
        <v>13980714</v>
      </c>
      <c r="E3" s="128"/>
      <c r="F3" s="343"/>
      <c r="G3" s="128"/>
      <c r="H3" s="349"/>
      <c r="I3" s="350"/>
      <c r="J3" s="351"/>
      <c r="K3" s="129"/>
      <c r="L3" s="355"/>
      <c r="M3" s="355"/>
      <c r="N3" s="356"/>
    </row>
    <row r="4" spans="1:264" hidden="1">
      <c r="B4" s="130"/>
      <c r="C4" s="127"/>
      <c r="D4" s="127"/>
      <c r="E4" s="127"/>
      <c r="F4" s="131"/>
      <c r="G4" s="132"/>
      <c r="H4" s="132"/>
      <c r="I4" s="133"/>
      <c r="J4" s="134"/>
      <c r="K4" s="135"/>
      <c r="L4" s="126"/>
      <c r="M4" s="126"/>
      <c r="S4" s="121">
        <f t="shared" ref="S4:CD4" ca="1" si="0">VALUE(S5)</f>
        <v>13980630</v>
      </c>
      <c r="T4" s="121">
        <f t="shared" ca="1" si="0"/>
        <v>13980631</v>
      </c>
      <c r="U4" s="121">
        <f t="shared" ca="1" si="0"/>
        <v>13980701</v>
      </c>
      <c r="V4" s="121">
        <f t="shared" ca="1" si="0"/>
        <v>13980702</v>
      </c>
      <c r="W4" s="121">
        <f t="shared" ca="1" si="0"/>
        <v>13980703</v>
      </c>
      <c r="X4" s="121">
        <f t="shared" ca="1" si="0"/>
        <v>13980704</v>
      </c>
      <c r="Y4" s="121">
        <f t="shared" ca="1" si="0"/>
        <v>13980705</v>
      </c>
      <c r="Z4" s="121">
        <f t="shared" ca="1" si="0"/>
        <v>13980706</v>
      </c>
      <c r="AA4" s="121">
        <f t="shared" ca="1" si="0"/>
        <v>13980707</v>
      </c>
      <c r="AB4" s="121">
        <f t="shared" ca="1" si="0"/>
        <v>13980708</v>
      </c>
      <c r="AC4" s="121">
        <f t="shared" ca="1" si="0"/>
        <v>13980709</v>
      </c>
      <c r="AD4" s="121">
        <f t="shared" ca="1" si="0"/>
        <v>13980710</v>
      </c>
      <c r="AE4" s="121">
        <f t="shared" ca="1" si="0"/>
        <v>13980711</v>
      </c>
      <c r="AF4" s="121">
        <f t="shared" ca="1" si="0"/>
        <v>13980712</v>
      </c>
      <c r="AG4" s="121">
        <f t="shared" ca="1" si="0"/>
        <v>13980713</v>
      </c>
      <c r="AH4" s="121">
        <f t="shared" ca="1" si="0"/>
        <v>13980714</v>
      </c>
      <c r="AI4" s="121">
        <f t="shared" ca="1" si="0"/>
        <v>13980715</v>
      </c>
      <c r="AJ4" s="121">
        <f t="shared" ca="1" si="0"/>
        <v>13980716</v>
      </c>
      <c r="AK4" s="121">
        <f t="shared" ca="1" si="0"/>
        <v>13980717</v>
      </c>
      <c r="AL4" s="121">
        <f t="shared" ca="1" si="0"/>
        <v>13980718</v>
      </c>
      <c r="AM4" s="121">
        <f t="shared" ca="1" si="0"/>
        <v>13980719</v>
      </c>
      <c r="AN4" s="121">
        <f t="shared" ca="1" si="0"/>
        <v>13980720</v>
      </c>
      <c r="AO4" s="121">
        <f t="shared" ca="1" si="0"/>
        <v>13980721</v>
      </c>
      <c r="AP4" s="121">
        <f t="shared" ca="1" si="0"/>
        <v>13980722</v>
      </c>
      <c r="AQ4" s="121">
        <f t="shared" ca="1" si="0"/>
        <v>13980723</v>
      </c>
      <c r="AR4" s="121">
        <f t="shared" ca="1" si="0"/>
        <v>13980724</v>
      </c>
      <c r="AS4" s="121">
        <f t="shared" ca="1" si="0"/>
        <v>13980725</v>
      </c>
      <c r="AT4" s="121">
        <f t="shared" ca="1" si="0"/>
        <v>13980726</v>
      </c>
      <c r="AU4" s="121">
        <f t="shared" ca="1" si="0"/>
        <v>13980727</v>
      </c>
      <c r="AV4" s="121">
        <f t="shared" ca="1" si="0"/>
        <v>13980728</v>
      </c>
      <c r="AW4" s="121">
        <f t="shared" ca="1" si="0"/>
        <v>13980729</v>
      </c>
      <c r="AX4" s="121">
        <f t="shared" ca="1" si="0"/>
        <v>13980730</v>
      </c>
      <c r="AY4" s="121">
        <f t="shared" ca="1" si="0"/>
        <v>13980801</v>
      </c>
      <c r="AZ4" s="121">
        <f t="shared" ca="1" si="0"/>
        <v>13980802</v>
      </c>
      <c r="BA4" s="121">
        <f t="shared" ca="1" si="0"/>
        <v>13980803</v>
      </c>
      <c r="BB4" s="121">
        <f t="shared" ca="1" si="0"/>
        <v>13980804</v>
      </c>
      <c r="BC4" s="121">
        <f t="shared" ca="1" si="0"/>
        <v>13980805</v>
      </c>
      <c r="BD4" s="121">
        <f t="shared" ca="1" si="0"/>
        <v>13980806</v>
      </c>
      <c r="BE4" s="121">
        <f t="shared" ca="1" si="0"/>
        <v>13980807</v>
      </c>
      <c r="BF4" s="121">
        <f t="shared" ca="1" si="0"/>
        <v>13980808</v>
      </c>
      <c r="BG4" s="121">
        <f t="shared" ca="1" si="0"/>
        <v>13980809</v>
      </c>
      <c r="BH4" s="121">
        <f t="shared" ca="1" si="0"/>
        <v>13980810</v>
      </c>
      <c r="BI4" s="121">
        <f t="shared" ca="1" si="0"/>
        <v>13980811</v>
      </c>
      <c r="BJ4" s="121">
        <f t="shared" ca="1" si="0"/>
        <v>13980812</v>
      </c>
      <c r="BK4" s="121">
        <f t="shared" ca="1" si="0"/>
        <v>13980813</v>
      </c>
      <c r="BL4" s="121">
        <f t="shared" ca="1" si="0"/>
        <v>13980814</v>
      </c>
      <c r="BM4" s="121">
        <f t="shared" ca="1" si="0"/>
        <v>13980815</v>
      </c>
      <c r="BN4" s="121">
        <f t="shared" ca="1" si="0"/>
        <v>13980816</v>
      </c>
      <c r="BO4" s="121">
        <f t="shared" ca="1" si="0"/>
        <v>13980817</v>
      </c>
      <c r="BP4" s="121">
        <f t="shared" ca="1" si="0"/>
        <v>13980818</v>
      </c>
      <c r="BQ4" s="121">
        <f t="shared" ca="1" si="0"/>
        <v>13980819</v>
      </c>
      <c r="BR4" s="121">
        <f t="shared" ca="1" si="0"/>
        <v>13980820</v>
      </c>
      <c r="BS4" s="121">
        <f t="shared" ca="1" si="0"/>
        <v>13980821</v>
      </c>
      <c r="BT4" s="121">
        <f t="shared" ca="1" si="0"/>
        <v>13980822</v>
      </c>
      <c r="BU4" s="121">
        <f t="shared" ca="1" si="0"/>
        <v>13980823</v>
      </c>
      <c r="BV4" s="121">
        <f t="shared" ca="1" si="0"/>
        <v>13980824</v>
      </c>
      <c r="BW4" s="121">
        <f t="shared" ca="1" si="0"/>
        <v>13980825</v>
      </c>
      <c r="BX4" s="121">
        <f t="shared" ca="1" si="0"/>
        <v>13980826</v>
      </c>
      <c r="BY4" s="121">
        <f t="shared" ca="1" si="0"/>
        <v>13980827</v>
      </c>
      <c r="BZ4" s="121">
        <f t="shared" ca="1" si="0"/>
        <v>13980828</v>
      </c>
      <c r="CA4" s="121">
        <f t="shared" ca="1" si="0"/>
        <v>13980829</v>
      </c>
      <c r="CB4" s="121">
        <f t="shared" ca="1" si="0"/>
        <v>13980830</v>
      </c>
      <c r="CC4" s="121">
        <f t="shared" ca="1" si="0"/>
        <v>13980901</v>
      </c>
      <c r="CD4" s="121">
        <f t="shared" ca="1" si="0"/>
        <v>13980902</v>
      </c>
      <c r="CE4" s="121">
        <f t="shared" ref="CE4:EP4" ca="1" si="1">VALUE(CE5)</f>
        <v>13980903</v>
      </c>
      <c r="CF4" s="121">
        <f t="shared" ca="1" si="1"/>
        <v>13980904</v>
      </c>
      <c r="CG4" s="121">
        <f t="shared" ca="1" si="1"/>
        <v>13980905</v>
      </c>
      <c r="CH4" s="121">
        <f t="shared" ca="1" si="1"/>
        <v>13980906</v>
      </c>
      <c r="CI4" s="121">
        <f t="shared" ca="1" si="1"/>
        <v>13980907</v>
      </c>
      <c r="CJ4" s="121">
        <f t="shared" ca="1" si="1"/>
        <v>13980908</v>
      </c>
      <c r="CK4" s="121">
        <f t="shared" ca="1" si="1"/>
        <v>13980909</v>
      </c>
      <c r="CL4" s="121">
        <f t="shared" ca="1" si="1"/>
        <v>13980910</v>
      </c>
      <c r="CM4" s="121">
        <f t="shared" ca="1" si="1"/>
        <v>13980911</v>
      </c>
      <c r="CN4" s="121">
        <f t="shared" ca="1" si="1"/>
        <v>13980912</v>
      </c>
      <c r="CO4" s="121">
        <f t="shared" ca="1" si="1"/>
        <v>13980913</v>
      </c>
      <c r="CP4" s="121">
        <f t="shared" ca="1" si="1"/>
        <v>13980914</v>
      </c>
      <c r="CQ4" s="121">
        <f t="shared" ca="1" si="1"/>
        <v>13980915</v>
      </c>
      <c r="CR4" s="121">
        <f t="shared" ca="1" si="1"/>
        <v>13980916</v>
      </c>
      <c r="CS4" s="121">
        <f t="shared" ca="1" si="1"/>
        <v>13980917</v>
      </c>
      <c r="CT4" s="121">
        <f t="shared" ca="1" si="1"/>
        <v>13980918</v>
      </c>
      <c r="CU4" s="121">
        <f t="shared" ca="1" si="1"/>
        <v>13980919</v>
      </c>
      <c r="CV4" s="121">
        <f t="shared" ca="1" si="1"/>
        <v>13980920</v>
      </c>
      <c r="CW4" s="121">
        <f t="shared" ca="1" si="1"/>
        <v>13980921</v>
      </c>
      <c r="CX4" s="121">
        <f t="shared" ca="1" si="1"/>
        <v>13980922</v>
      </c>
      <c r="CY4" s="121">
        <f t="shared" ca="1" si="1"/>
        <v>13980923</v>
      </c>
      <c r="CZ4" s="121">
        <f t="shared" ca="1" si="1"/>
        <v>13980924</v>
      </c>
      <c r="DA4" s="121">
        <f t="shared" ca="1" si="1"/>
        <v>13980925</v>
      </c>
      <c r="DB4" s="121">
        <f t="shared" ca="1" si="1"/>
        <v>13980926</v>
      </c>
      <c r="DC4" s="121">
        <f t="shared" ca="1" si="1"/>
        <v>13980927</v>
      </c>
      <c r="DD4" s="121">
        <f t="shared" ca="1" si="1"/>
        <v>13980928</v>
      </c>
      <c r="DE4" s="121">
        <f t="shared" ca="1" si="1"/>
        <v>13980929</v>
      </c>
      <c r="DF4" s="121">
        <f t="shared" ca="1" si="1"/>
        <v>13980930</v>
      </c>
      <c r="DG4" s="121">
        <f t="shared" ca="1" si="1"/>
        <v>13981001</v>
      </c>
      <c r="DH4" s="121">
        <f t="shared" ca="1" si="1"/>
        <v>13981002</v>
      </c>
      <c r="DI4" s="121">
        <f t="shared" ca="1" si="1"/>
        <v>13981003</v>
      </c>
      <c r="DJ4" s="121">
        <f t="shared" ca="1" si="1"/>
        <v>13981004</v>
      </c>
      <c r="DK4" s="121">
        <f t="shared" ca="1" si="1"/>
        <v>13981005</v>
      </c>
      <c r="DL4" s="121">
        <f t="shared" ca="1" si="1"/>
        <v>13981006</v>
      </c>
      <c r="DM4" s="121">
        <f t="shared" ca="1" si="1"/>
        <v>13981007</v>
      </c>
      <c r="DN4" s="121">
        <f t="shared" ca="1" si="1"/>
        <v>13981008</v>
      </c>
      <c r="DO4" s="121">
        <f t="shared" ca="1" si="1"/>
        <v>13981009</v>
      </c>
      <c r="DP4" s="121">
        <f t="shared" ca="1" si="1"/>
        <v>13981010</v>
      </c>
      <c r="DQ4" s="121">
        <f t="shared" ca="1" si="1"/>
        <v>13981011</v>
      </c>
      <c r="DR4" s="121">
        <f t="shared" ca="1" si="1"/>
        <v>13981012</v>
      </c>
      <c r="DS4" s="121">
        <f t="shared" ca="1" si="1"/>
        <v>13981013</v>
      </c>
      <c r="DT4" s="121">
        <f t="shared" ca="1" si="1"/>
        <v>13981014</v>
      </c>
      <c r="DU4" s="121">
        <f t="shared" ca="1" si="1"/>
        <v>13981015</v>
      </c>
      <c r="DV4" s="121">
        <f t="shared" ca="1" si="1"/>
        <v>13981016</v>
      </c>
      <c r="DW4" s="121">
        <f t="shared" ca="1" si="1"/>
        <v>13981017</v>
      </c>
      <c r="DX4" s="121">
        <f t="shared" ca="1" si="1"/>
        <v>13981018</v>
      </c>
      <c r="DY4" s="121">
        <f t="shared" ca="1" si="1"/>
        <v>13981019</v>
      </c>
      <c r="DZ4" s="121">
        <f t="shared" ca="1" si="1"/>
        <v>13981020</v>
      </c>
      <c r="EA4" s="121">
        <f t="shared" ca="1" si="1"/>
        <v>13981021</v>
      </c>
      <c r="EB4" s="121">
        <f t="shared" ca="1" si="1"/>
        <v>13981022</v>
      </c>
      <c r="EC4" s="121">
        <f t="shared" ca="1" si="1"/>
        <v>13981023</v>
      </c>
      <c r="ED4" s="121">
        <f t="shared" ca="1" si="1"/>
        <v>13981024</v>
      </c>
      <c r="EE4" s="121">
        <f t="shared" ca="1" si="1"/>
        <v>13981025</v>
      </c>
      <c r="EF4" s="121">
        <f t="shared" ca="1" si="1"/>
        <v>13981026</v>
      </c>
      <c r="EG4" s="121">
        <f t="shared" ca="1" si="1"/>
        <v>13981027</v>
      </c>
      <c r="EH4" s="121">
        <f t="shared" ca="1" si="1"/>
        <v>13981028</v>
      </c>
      <c r="EI4" s="121">
        <f t="shared" ca="1" si="1"/>
        <v>13981029</v>
      </c>
      <c r="EJ4" s="121">
        <f t="shared" ca="1" si="1"/>
        <v>13981030</v>
      </c>
      <c r="EK4" s="121">
        <f t="shared" ca="1" si="1"/>
        <v>13981101</v>
      </c>
      <c r="EL4" s="121">
        <f t="shared" ca="1" si="1"/>
        <v>13981102</v>
      </c>
      <c r="EM4" s="121">
        <f t="shared" ca="1" si="1"/>
        <v>13981103</v>
      </c>
      <c r="EN4" s="121">
        <f t="shared" ca="1" si="1"/>
        <v>13981104</v>
      </c>
      <c r="EO4" s="121">
        <f t="shared" ca="1" si="1"/>
        <v>13981105</v>
      </c>
      <c r="EP4" s="121">
        <f t="shared" ca="1" si="1"/>
        <v>13981106</v>
      </c>
      <c r="EQ4" s="121">
        <f t="shared" ref="EQ4:HB4" ca="1" si="2">VALUE(EQ5)</f>
        <v>13981107</v>
      </c>
      <c r="ER4" s="121">
        <f t="shared" ca="1" si="2"/>
        <v>13981108</v>
      </c>
      <c r="ES4" s="121">
        <f t="shared" ca="1" si="2"/>
        <v>13981109</v>
      </c>
      <c r="ET4" s="121">
        <f t="shared" ca="1" si="2"/>
        <v>13981110</v>
      </c>
      <c r="EU4" s="121">
        <f t="shared" ca="1" si="2"/>
        <v>13981111</v>
      </c>
      <c r="EV4" s="121">
        <f t="shared" ca="1" si="2"/>
        <v>13981112</v>
      </c>
      <c r="EW4" s="121">
        <f t="shared" ca="1" si="2"/>
        <v>13981113</v>
      </c>
      <c r="EX4" s="121">
        <f t="shared" ca="1" si="2"/>
        <v>13981114</v>
      </c>
      <c r="EY4" s="121">
        <f t="shared" ca="1" si="2"/>
        <v>13981115</v>
      </c>
      <c r="EZ4" s="121">
        <f t="shared" ca="1" si="2"/>
        <v>13981116</v>
      </c>
      <c r="FA4" s="121">
        <f t="shared" ca="1" si="2"/>
        <v>13981117</v>
      </c>
      <c r="FB4" s="121">
        <f t="shared" ca="1" si="2"/>
        <v>13981118</v>
      </c>
      <c r="FC4" s="121">
        <f t="shared" ca="1" si="2"/>
        <v>13981119</v>
      </c>
      <c r="FD4" s="121">
        <f t="shared" ca="1" si="2"/>
        <v>13981120</v>
      </c>
      <c r="FE4" s="121">
        <f t="shared" ca="1" si="2"/>
        <v>13981121</v>
      </c>
      <c r="FF4" s="121">
        <f t="shared" ca="1" si="2"/>
        <v>13981122</v>
      </c>
      <c r="FG4" s="121">
        <f t="shared" ca="1" si="2"/>
        <v>13981123</v>
      </c>
      <c r="FH4" s="121">
        <f t="shared" ca="1" si="2"/>
        <v>13981124</v>
      </c>
      <c r="FI4" s="121">
        <f t="shared" ca="1" si="2"/>
        <v>13981125</v>
      </c>
      <c r="FJ4" s="121">
        <f t="shared" ca="1" si="2"/>
        <v>13981126</v>
      </c>
      <c r="FK4" s="121">
        <f t="shared" ca="1" si="2"/>
        <v>13981127</v>
      </c>
      <c r="FL4" s="121">
        <f t="shared" ca="1" si="2"/>
        <v>13981128</v>
      </c>
      <c r="FM4" s="121">
        <f t="shared" ca="1" si="2"/>
        <v>13981129</v>
      </c>
      <c r="FN4" s="121">
        <f t="shared" ca="1" si="2"/>
        <v>13981130</v>
      </c>
      <c r="FO4" s="121">
        <f t="shared" ca="1" si="2"/>
        <v>13981201</v>
      </c>
      <c r="FP4" s="121">
        <f t="shared" ca="1" si="2"/>
        <v>13981202</v>
      </c>
      <c r="FQ4" s="121">
        <f t="shared" ca="1" si="2"/>
        <v>13981203</v>
      </c>
      <c r="FR4" s="121">
        <f t="shared" ca="1" si="2"/>
        <v>13981204</v>
      </c>
      <c r="FS4" s="121">
        <f t="shared" ca="1" si="2"/>
        <v>13981205</v>
      </c>
      <c r="FT4" s="121">
        <f t="shared" ca="1" si="2"/>
        <v>13981206</v>
      </c>
      <c r="FU4" s="121">
        <f t="shared" ca="1" si="2"/>
        <v>13981207</v>
      </c>
      <c r="FV4" s="121">
        <f t="shared" ca="1" si="2"/>
        <v>13981208</v>
      </c>
      <c r="FW4" s="121">
        <f t="shared" ca="1" si="2"/>
        <v>13981209</v>
      </c>
      <c r="FX4" s="121">
        <f t="shared" ca="1" si="2"/>
        <v>13981210</v>
      </c>
      <c r="FY4" s="121">
        <f t="shared" ca="1" si="2"/>
        <v>13981211</v>
      </c>
      <c r="FZ4" s="121">
        <f t="shared" ca="1" si="2"/>
        <v>13981212</v>
      </c>
      <c r="GA4" s="121">
        <f t="shared" ca="1" si="2"/>
        <v>13981213</v>
      </c>
      <c r="GB4" s="121">
        <f t="shared" ca="1" si="2"/>
        <v>13981214</v>
      </c>
      <c r="GC4" s="121">
        <f t="shared" ca="1" si="2"/>
        <v>13981215</v>
      </c>
      <c r="GD4" s="121">
        <f t="shared" ca="1" si="2"/>
        <v>13981216</v>
      </c>
      <c r="GE4" s="121">
        <f t="shared" ca="1" si="2"/>
        <v>13981217</v>
      </c>
      <c r="GF4" s="121">
        <f t="shared" ca="1" si="2"/>
        <v>13981218</v>
      </c>
      <c r="GG4" s="121">
        <f t="shared" ca="1" si="2"/>
        <v>13981219</v>
      </c>
      <c r="GH4" s="121">
        <f t="shared" ca="1" si="2"/>
        <v>13981220</v>
      </c>
      <c r="GI4" s="121">
        <f t="shared" ca="1" si="2"/>
        <v>13981221</v>
      </c>
      <c r="GJ4" s="121">
        <f t="shared" ca="1" si="2"/>
        <v>13981222</v>
      </c>
      <c r="GK4" s="121">
        <f t="shared" ca="1" si="2"/>
        <v>13981223</v>
      </c>
      <c r="GL4" s="121">
        <f t="shared" ca="1" si="2"/>
        <v>13981224</v>
      </c>
      <c r="GM4" s="121">
        <f t="shared" ca="1" si="2"/>
        <v>13981225</v>
      </c>
      <c r="GN4" s="121">
        <f t="shared" ca="1" si="2"/>
        <v>13981226</v>
      </c>
      <c r="GO4" s="121">
        <f t="shared" ca="1" si="2"/>
        <v>13981227</v>
      </c>
      <c r="GP4" s="121">
        <f t="shared" ca="1" si="2"/>
        <v>13981228</v>
      </c>
      <c r="GQ4" s="121">
        <f t="shared" ca="1" si="2"/>
        <v>13981229</v>
      </c>
      <c r="GR4" s="121">
        <f t="shared" ca="1" si="2"/>
        <v>13990101</v>
      </c>
      <c r="GS4" s="121">
        <f t="shared" ca="1" si="2"/>
        <v>13990102</v>
      </c>
      <c r="GT4" s="121">
        <f t="shared" ca="1" si="2"/>
        <v>13990103</v>
      </c>
      <c r="GU4" s="121">
        <f t="shared" ca="1" si="2"/>
        <v>13990104</v>
      </c>
      <c r="GV4" s="121">
        <f t="shared" ca="1" si="2"/>
        <v>13990105</v>
      </c>
      <c r="GW4" s="121">
        <f t="shared" ca="1" si="2"/>
        <v>13990106</v>
      </c>
      <c r="GX4" s="121">
        <f t="shared" ca="1" si="2"/>
        <v>13990107</v>
      </c>
      <c r="GY4" s="121">
        <f t="shared" ca="1" si="2"/>
        <v>13990108</v>
      </c>
      <c r="GZ4" s="121">
        <f t="shared" ca="1" si="2"/>
        <v>13990109</v>
      </c>
      <c r="HA4" s="121">
        <f t="shared" ca="1" si="2"/>
        <v>13990110</v>
      </c>
      <c r="HB4" s="121">
        <f t="shared" ca="1" si="2"/>
        <v>13990111</v>
      </c>
      <c r="HC4" s="121">
        <f t="shared" ref="HC4:IW4" ca="1" si="3">VALUE(HC5)</f>
        <v>13990112</v>
      </c>
      <c r="HD4" s="121">
        <f t="shared" ca="1" si="3"/>
        <v>13990113</v>
      </c>
      <c r="HE4" s="121">
        <f t="shared" ca="1" si="3"/>
        <v>13990114</v>
      </c>
      <c r="HF4" s="121">
        <f t="shared" ca="1" si="3"/>
        <v>13990115</v>
      </c>
      <c r="HG4" s="121">
        <f t="shared" ca="1" si="3"/>
        <v>13990116</v>
      </c>
      <c r="HH4" s="121">
        <f t="shared" ca="1" si="3"/>
        <v>13990117</v>
      </c>
      <c r="HI4" s="121">
        <f t="shared" ca="1" si="3"/>
        <v>13990118</v>
      </c>
      <c r="HJ4" s="121">
        <f t="shared" ca="1" si="3"/>
        <v>13990119</v>
      </c>
      <c r="HK4" s="121">
        <f t="shared" ca="1" si="3"/>
        <v>13990120</v>
      </c>
      <c r="HL4" s="121">
        <f t="shared" ca="1" si="3"/>
        <v>13990121</v>
      </c>
      <c r="HM4" s="121">
        <f t="shared" ca="1" si="3"/>
        <v>13990122</v>
      </c>
      <c r="HN4" s="121">
        <f t="shared" ca="1" si="3"/>
        <v>13990123</v>
      </c>
      <c r="HO4" s="121">
        <f t="shared" ca="1" si="3"/>
        <v>13990124</v>
      </c>
      <c r="HP4" s="121">
        <f t="shared" ca="1" si="3"/>
        <v>13990125</v>
      </c>
      <c r="HQ4" s="121">
        <f t="shared" ca="1" si="3"/>
        <v>13990126</v>
      </c>
      <c r="HR4" s="121">
        <f t="shared" ca="1" si="3"/>
        <v>13990127</v>
      </c>
      <c r="HS4" s="121">
        <f t="shared" ca="1" si="3"/>
        <v>13990128</v>
      </c>
      <c r="HT4" s="121">
        <f t="shared" ca="1" si="3"/>
        <v>13990129</v>
      </c>
      <c r="HU4" s="121">
        <f t="shared" ca="1" si="3"/>
        <v>13990130</v>
      </c>
      <c r="HV4" s="121">
        <f t="shared" ca="1" si="3"/>
        <v>13990131</v>
      </c>
      <c r="HW4" s="121">
        <f t="shared" ca="1" si="3"/>
        <v>13990201</v>
      </c>
      <c r="HX4" s="121">
        <f t="shared" ca="1" si="3"/>
        <v>13990202</v>
      </c>
      <c r="HY4" s="121">
        <f t="shared" ca="1" si="3"/>
        <v>13990203</v>
      </c>
      <c r="HZ4" s="121">
        <f t="shared" ca="1" si="3"/>
        <v>13990204</v>
      </c>
      <c r="IA4" s="121">
        <f t="shared" ca="1" si="3"/>
        <v>13990205</v>
      </c>
      <c r="IB4" s="121">
        <f t="shared" ca="1" si="3"/>
        <v>13990206</v>
      </c>
      <c r="IC4" s="121">
        <f t="shared" ca="1" si="3"/>
        <v>13990207</v>
      </c>
      <c r="ID4" s="121">
        <f t="shared" ca="1" si="3"/>
        <v>13990208</v>
      </c>
      <c r="IE4" s="121">
        <f t="shared" ca="1" si="3"/>
        <v>13990209</v>
      </c>
      <c r="IF4" s="121">
        <f t="shared" ca="1" si="3"/>
        <v>13990210</v>
      </c>
      <c r="IG4" s="121">
        <f t="shared" ca="1" si="3"/>
        <v>13990211</v>
      </c>
      <c r="IH4" s="121">
        <f t="shared" ca="1" si="3"/>
        <v>13990212</v>
      </c>
      <c r="II4" s="121">
        <f t="shared" ca="1" si="3"/>
        <v>13990213</v>
      </c>
      <c r="IJ4" s="121">
        <f t="shared" ca="1" si="3"/>
        <v>13990214</v>
      </c>
      <c r="IK4" s="121">
        <f t="shared" ca="1" si="3"/>
        <v>13990215</v>
      </c>
      <c r="IL4" s="121">
        <f t="shared" ca="1" si="3"/>
        <v>13990216</v>
      </c>
      <c r="IM4" s="121">
        <f t="shared" ca="1" si="3"/>
        <v>13990217</v>
      </c>
      <c r="IN4" s="121">
        <f t="shared" ca="1" si="3"/>
        <v>13990218</v>
      </c>
      <c r="IO4" s="121">
        <f t="shared" ca="1" si="3"/>
        <v>13990219</v>
      </c>
      <c r="IP4" s="121">
        <f t="shared" ca="1" si="3"/>
        <v>13990220</v>
      </c>
      <c r="IQ4" s="121">
        <f t="shared" ca="1" si="3"/>
        <v>13990221</v>
      </c>
      <c r="IR4" s="121">
        <f t="shared" ca="1" si="3"/>
        <v>13990222</v>
      </c>
      <c r="IS4" s="121">
        <f t="shared" ca="1" si="3"/>
        <v>13990223</v>
      </c>
      <c r="IT4" s="121">
        <f t="shared" ca="1" si="3"/>
        <v>13990224</v>
      </c>
      <c r="IU4" s="121">
        <f t="shared" ca="1" si="3"/>
        <v>13990225</v>
      </c>
      <c r="IV4" s="121">
        <f t="shared" ca="1" si="3"/>
        <v>13990226</v>
      </c>
      <c r="IW4" s="121">
        <f t="shared" ca="1" si="3"/>
        <v>13990227</v>
      </c>
    </row>
    <row r="5" spans="1:264" s="183" customFormat="1" ht="12.75" hidden="1">
      <c r="A5" s="122"/>
      <c r="B5" s="136" t="s">
        <v>72</v>
      </c>
      <c r="C5" s="227" t="str">
        <f ca="1">S6&amp;" - "&amp;IT6</f>
        <v>1398/06/30 - 1399/02/24</v>
      </c>
      <c r="D5" s="227"/>
      <c r="E5" s="227"/>
      <c r="F5" s="227"/>
      <c r="G5" s="227"/>
      <c r="H5" s="227"/>
      <c r="I5" s="124"/>
      <c r="J5" s="138"/>
      <c r="K5" s="125"/>
      <c r="L5" s="137"/>
      <c r="M5" s="126"/>
      <c r="N5" s="121"/>
      <c r="O5" s="126"/>
      <c r="P5" s="126"/>
      <c r="Q5" s="121"/>
      <c r="R5" s="139">
        <v>0</v>
      </c>
      <c r="S5" s="140" t="str">
        <f ca="1">J_normdate(J_ADDDAY(J_SUBDAY(FDate(MIN(OFFSET(E6,0,0,500,1))),j_WEEKDAY(FDate(MIN(OFFSET(E6,0,0,500,1))),0),1),7*R5,1))</f>
        <v>13980630</v>
      </c>
      <c r="T5" s="140" t="str">
        <f ca="1">J_normdate(J_ADDDAY(FDate(S5),1,1))</f>
        <v>13980631</v>
      </c>
      <c r="U5" s="140" t="str">
        <f ca="1">J_normdate(J_ADDDAY(FDate(T5),1,1))</f>
        <v>13980701</v>
      </c>
      <c r="V5" s="140" t="str">
        <f ca="1">J_normdate(J_ADDDAY(FDate(U5),1,1))</f>
        <v>13980702</v>
      </c>
      <c r="W5" s="140" t="str">
        <f ca="1">J_normdate(J_ADDDAY(FDate(V5),1,1))</f>
        <v>13980703</v>
      </c>
      <c r="X5" s="140" t="str">
        <f ca="1">J_normdate(J_ADDDAY(FDate(W5),1,1))</f>
        <v>13980704</v>
      </c>
      <c r="Y5" s="140" t="str">
        <f ca="1">J_normdate(J_ADDDAY(FDate(X5),1,1))</f>
        <v>13980705</v>
      </c>
      <c r="Z5" s="140" t="str">
        <f ca="1">J_normdate(J_ADDDAY(FDate(Y5),1,1))</f>
        <v>13980706</v>
      </c>
      <c r="AA5" s="140" t="str">
        <f ca="1">J_normdate(J_ADDDAY(FDate(Z5),1,1))</f>
        <v>13980707</v>
      </c>
      <c r="AB5" s="140" t="str">
        <f ca="1">J_normdate(J_ADDDAY(FDate(AA5),1,1))</f>
        <v>13980708</v>
      </c>
      <c r="AC5" s="140" t="str">
        <f ca="1">J_normdate(J_ADDDAY(FDate(AB5),1,1))</f>
        <v>13980709</v>
      </c>
      <c r="AD5" s="140" t="str">
        <f ca="1">J_normdate(J_ADDDAY(FDate(AC5),1,1))</f>
        <v>13980710</v>
      </c>
      <c r="AE5" s="140" t="str">
        <f ca="1">J_normdate(J_ADDDAY(FDate(AD5),1,1))</f>
        <v>13980711</v>
      </c>
      <c r="AF5" s="140" t="str">
        <f ca="1">J_normdate(J_ADDDAY(FDate(AE5),1,1))</f>
        <v>13980712</v>
      </c>
      <c r="AG5" s="140" t="str">
        <f ca="1">J_normdate(J_ADDDAY(FDate(AF5),1,1))</f>
        <v>13980713</v>
      </c>
      <c r="AH5" s="140" t="str">
        <f ca="1">J_normdate(J_ADDDAY(FDate(AG5),1,1))</f>
        <v>13980714</v>
      </c>
      <c r="AI5" s="140" t="str">
        <f ca="1">J_normdate(J_ADDDAY(FDate(AH5),1,1))</f>
        <v>13980715</v>
      </c>
      <c r="AJ5" s="140" t="str">
        <f ca="1">J_normdate(J_ADDDAY(FDate(AI5),1,1))</f>
        <v>13980716</v>
      </c>
      <c r="AK5" s="140" t="str">
        <f ca="1">J_normdate(J_ADDDAY(FDate(AJ5),1,1))</f>
        <v>13980717</v>
      </c>
      <c r="AL5" s="140" t="str">
        <f ca="1">J_normdate(J_ADDDAY(FDate(AK5),1,1))</f>
        <v>13980718</v>
      </c>
      <c r="AM5" s="140" t="str">
        <f ca="1">J_normdate(J_ADDDAY(FDate(AL5),1,1))</f>
        <v>13980719</v>
      </c>
      <c r="AN5" s="140" t="str">
        <f ca="1">J_normdate(J_ADDDAY(FDate(AM5),1,1))</f>
        <v>13980720</v>
      </c>
      <c r="AO5" s="140" t="str">
        <f ca="1">J_normdate(J_ADDDAY(FDate(AN5),1,1))</f>
        <v>13980721</v>
      </c>
      <c r="AP5" s="140" t="str">
        <f ca="1">J_normdate(J_ADDDAY(FDate(AO5),1,1))</f>
        <v>13980722</v>
      </c>
      <c r="AQ5" s="140" t="str">
        <f ca="1">J_normdate(J_ADDDAY(FDate(AP5),1,1))</f>
        <v>13980723</v>
      </c>
      <c r="AR5" s="140" t="str">
        <f ca="1">J_normdate(J_ADDDAY(FDate(AQ5),1,1))</f>
        <v>13980724</v>
      </c>
      <c r="AS5" s="140" t="str">
        <f ca="1">J_normdate(J_ADDDAY(FDate(AR5),1,1))</f>
        <v>13980725</v>
      </c>
      <c r="AT5" s="140" t="str">
        <f ca="1">J_normdate(J_ADDDAY(FDate(AS5),1,1))</f>
        <v>13980726</v>
      </c>
      <c r="AU5" s="140" t="str">
        <f ca="1">J_normdate(J_ADDDAY(FDate(AT5),1,1))</f>
        <v>13980727</v>
      </c>
      <c r="AV5" s="140" t="str">
        <f ca="1">J_normdate(J_ADDDAY(FDate(AU5),1,1))</f>
        <v>13980728</v>
      </c>
      <c r="AW5" s="140" t="str">
        <f ca="1">J_normdate(J_ADDDAY(FDate(AV5),1,1))</f>
        <v>13980729</v>
      </c>
      <c r="AX5" s="140" t="str">
        <f ca="1">J_normdate(J_ADDDAY(FDate(AW5),1,1))</f>
        <v>13980730</v>
      </c>
      <c r="AY5" s="140" t="str">
        <f ca="1">J_normdate(J_ADDDAY(FDate(AX5),1,1))</f>
        <v>13980801</v>
      </c>
      <c r="AZ5" s="140" t="str">
        <f ca="1">J_normdate(J_ADDDAY(FDate(AY5),1,1))</f>
        <v>13980802</v>
      </c>
      <c r="BA5" s="140" t="str">
        <f ca="1">J_normdate(J_ADDDAY(FDate(AZ5),1,1))</f>
        <v>13980803</v>
      </c>
      <c r="BB5" s="140" t="str">
        <f ca="1">J_normdate(J_ADDDAY(FDate(BA5),1,1))</f>
        <v>13980804</v>
      </c>
      <c r="BC5" s="140" t="str">
        <f ca="1">J_normdate(J_ADDDAY(FDate(BB5),1,1))</f>
        <v>13980805</v>
      </c>
      <c r="BD5" s="140" t="str">
        <f ca="1">J_normdate(J_ADDDAY(FDate(BC5),1,1))</f>
        <v>13980806</v>
      </c>
      <c r="BE5" s="140" t="str">
        <f ca="1">J_normdate(J_ADDDAY(FDate(BD5),1,1))</f>
        <v>13980807</v>
      </c>
      <c r="BF5" s="140" t="str">
        <f ca="1">J_normdate(J_ADDDAY(FDate(BE5),1,1))</f>
        <v>13980808</v>
      </c>
      <c r="BG5" s="140" t="str">
        <f ca="1">J_normdate(J_ADDDAY(FDate(BF5),1,1))</f>
        <v>13980809</v>
      </c>
      <c r="BH5" s="140" t="str">
        <f ca="1">J_normdate(J_ADDDAY(FDate(BG5),1,1))</f>
        <v>13980810</v>
      </c>
      <c r="BI5" s="140" t="str">
        <f ca="1">J_normdate(J_ADDDAY(FDate(BH5),1,1))</f>
        <v>13980811</v>
      </c>
      <c r="BJ5" s="140" t="str">
        <f ca="1">J_normdate(J_ADDDAY(FDate(BI5),1,1))</f>
        <v>13980812</v>
      </c>
      <c r="BK5" s="140" t="str">
        <f ca="1">J_normdate(J_ADDDAY(FDate(BJ5),1,1))</f>
        <v>13980813</v>
      </c>
      <c r="BL5" s="140" t="str">
        <f ca="1">J_normdate(J_ADDDAY(FDate(BK5),1,1))</f>
        <v>13980814</v>
      </c>
      <c r="BM5" s="140" t="str">
        <f ca="1">J_normdate(J_ADDDAY(FDate(BL5),1,1))</f>
        <v>13980815</v>
      </c>
      <c r="BN5" s="140" t="str">
        <f ca="1">J_normdate(J_ADDDAY(FDate(BM5),1,1))</f>
        <v>13980816</v>
      </c>
      <c r="BO5" s="140" t="str">
        <f ca="1">J_normdate(J_ADDDAY(FDate(BN5),1,1))</f>
        <v>13980817</v>
      </c>
      <c r="BP5" s="140" t="str">
        <f ca="1">J_normdate(J_ADDDAY(FDate(BO5),1,1))</f>
        <v>13980818</v>
      </c>
      <c r="BQ5" s="140" t="str">
        <f ca="1">J_normdate(J_ADDDAY(FDate(BP5),1,1))</f>
        <v>13980819</v>
      </c>
      <c r="BR5" s="140" t="str">
        <f ca="1">J_normdate(J_ADDDAY(FDate(BQ5),1,1))</f>
        <v>13980820</v>
      </c>
      <c r="BS5" s="140" t="str">
        <f ca="1">J_normdate(J_ADDDAY(FDate(BR5),1,1))</f>
        <v>13980821</v>
      </c>
      <c r="BT5" s="140" t="str">
        <f ca="1">J_normdate(J_ADDDAY(FDate(BS5),1,1))</f>
        <v>13980822</v>
      </c>
      <c r="BU5" s="140" t="str">
        <f ca="1">J_normdate(J_ADDDAY(FDate(BT5),1,1))</f>
        <v>13980823</v>
      </c>
      <c r="BV5" s="140" t="str">
        <f ca="1">J_normdate(J_ADDDAY(FDate(BU5),1,1))</f>
        <v>13980824</v>
      </c>
      <c r="BW5" s="140" t="str">
        <f ca="1">J_normdate(J_ADDDAY(FDate(BV5),1,1))</f>
        <v>13980825</v>
      </c>
      <c r="BX5" s="140" t="str">
        <f ca="1">J_normdate(J_ADDDAY(FDate(BW5),1,1))</f>
        <v>13980826</v>
      </c>
      <c r="BY5" s="140" t="str">
        <f ca="1">J_normdate(J_ADDDAY(FDate(BX5),1,1))</f>
        <v>13980827</v>
      </c>
      <c r="BZ5" s="140" t="str">
        <f ca="1">J_normdate(J_ADDDAY(FDate(BY5),1,1))</f>
        <v>13980828</v>
      </c>
      <c r="CA5" s="140" t="str">
        <f ca="1">J_normdate(J_ADDDAY(FDate(BZ5),1,1))</f>
        <v>13980829</v>
      </c>
      <c r="CB5" s="140" t="str">
        <f ca="1">J_normdate(J_ADDDAY(FDate(CA5),1,1))</f>
        <v>13980830</v>
      </c>
      <c r="CC5" s="140" t="str">
        <f ca="1">J_normdate(J_ADDDAY(FDate(CB5),1,1))</f>
        <v>13980901</v>
      </c>
      <c r="CD5" s="140" t="str">
        <f ca="1">J_normdate(J_ADDDAY(FDate(CC5),1,1))</f>
        <v>13980902</v>
      </c>
      <c r="CE5" s="140" t="str">
        <f ca="1">J_normdate(J_ADDDAY(FDate(CD5),1,1))</f>
        <v>13980903</v>
      </c>
      <c r="CF5" s="140" t="str">
        <f ca="1">J_normdate(J_ADDDAY(FDate(CE5),1,1))</f>
        <v>13980904</v>
      </c>
      <c r="CG5" s="140" t="str">
        <f ca="1">J_normdate(J_ADDDAY(FDate(CF5),1,1))</f>
        <v>13980905</v>
      </c>
      <c r="CH5" s="140" t="str">
        <f ca="1">J_normdate(J_ADDDAY(FDate(CG5),1,1))</f>
        <v>13980906</v>
      </c>
      <c r="CI5" s="140" t="str">
        <f ca="1">J_normdate(J_ADDDAY(FDate(CH5),1,1))</f>
        <v>13980907</v>
      </c>
      <c r="CJ5" s="140" t="str">
        <f ca="1">J_normdate(J_ADDDAY(FDate(CI5),1,1))</f>
        <v>13980908</v>
      </c>
      <c r="CK5" s="140" t="str">
        <f ca="1">J_normdate(J_ADDDAY(FDate(CJ5),1,1))</f>
        <v>13980909</v>
      </c>
      <c r="CL5" s="140" t="str">
        <f ca="1">J_normdate(J_ADDDAY(FDate(CK5),1,1))</f>
        <v>13980910</v>
      </c>
      <c r="CM5" s="140" t="str">
        <f ca="1">J_normdate(J_ADDDAY(FDate(CL5),1,1))</f>
        <v>13980911</v>
      </c>
      <c r="CN5" s="140" t="str">
        <f ca="1">J_normdate(J_ADDDAY(FDate(CM5),1,1))</f>
        <v>13980912</v>
      </c>
      <c r="CO5" s="140" t="str">
        <f ca="1">J_normdate(J_ADDDAY(FDate(CN5),1,1))</f>
        <v>13980913</v>
      </c>
      <c r="CP5" s="140" t="str">
        <f ca="1">J_normdate(J_ADDDAY(FDate(CO5),1,1))</f>
        <v>13980914</v>
      </c>
      <c r="CQ5" s="140" t="str">
        <f ca="1">J_normdate(J_ADDDAY(FDate(CP5),1,1))</f>
        <v>13980915</v>
      </c>
      <c r="CR5" s="140" t="str">
        <f ca="1">J_normdate(J_ADDDAY(FDate(CQ5),1,1))</f>
        <v>13980916</v>
      </c>
      <c r="CS5" s="140" t="str">
        <f ca="1">J_normdate(J_ADDDAY(FDate(CR5),1,1))</f>
        <v>13980917</v>
      </c>
      <c r="CT5" s="140" t="str">
        <f ca="1">J_normdate(J_ADDDAY(FDate(CS5),1,1))</f>
        <v>13980918</v>
      </c>
      <c r="CU5" s="140" t="str">
        <f ca="1">J_normdate(J_ADDDAY(FDate(CT5),1,1))</f>
        <v>13980919</v>
      </c>
      <c r="CV5" s="140" t="str">
        <f ca="1">J_normdate(J_ADDDAY(FDate(CU5),1,1))</f>
        <v>13980920</v>
      </c>
      <c r="CW5" s="140" t="str">
        <f ca="1">J_normdate(J_ADDDAY(FDate(CV5),1,1))</f>
        <v>13980921</v>
      </c>
      <c r="CX5" s="140" t="str">
        <f ca="1">J_normdate(J_ADDDAY(FDate(CW5),1,1))</f>
        <v>13980922</v>
      </c>
      <c r="CY5" s="140" t="str">
        <f ca="1">J_normdate(J_ADDDAY(FDate(CX5),1,1))</f>
        <v>13980923</v>
      </c>
      <c r="CZ5" s="140" t="str">
        <f ca="1">J_normdate(J_ADDDAY(FDate(CY5),1,1))</f>
        <v>13980924</v>
      </c>
      <c r="DA5" s="140" t="str">
        <f ca="1">J_normdate(J_ADDDAY(FDate(CZ5),1,1))</f>
        <v>13980925</v>
      </c>
      <c r="DB5" s="140" t="str">
        <f ca="1">J_normdate(J_ADDDAY(FDate(DA5),1,1))</f>
        <v>13980926</v>
      </c>
      <c r="DC5" s="140" t="str">
        <f ca="1">J_normdate(J_ADDDAY(FDate(DB5),1,1))</f>
        <v>13980927</v>
      </c>
      <c r="DD5" s="140" t="str">
        <f ca="1">J_normdate(J_ADDDAY(FDate(DC5),1,1))</f>
        <v>13980928</v>
      </c>
      <c r="DE5" s="140" t="str">
        <f ca="1">J_normdate(J_ADDDAY(FDate(DD5),1,1))</f>
        <v>13980929</v>
      </c>
      <c r="DF5" s="140" t="str">
        <f ca="1">J_normdate(J_ADDDAY(FDate(DE5),1,1))</f>
        <v>13980930</v>
      </c>
      <c r="DG5" s="140" t="str">
        <f ca="1">J_normdate(J_ADDDAY(FDate(DF5),1,1))</f>
        <v>13981001</v>
      </c>
      <c r="DH5" s="140" t="str">
        <f ca="1">J_normdate(J_ADDDAY(FDate(DG5),1,1))</f>
        <v>13981002</v>
      </c>
      <c r="DI5" s="140" t="str">
        <f ca="1">J_normdate(J_ADDDAY(FDate(DH5),1,1))</f>
        <v>13981003</v>
      </c>
      <c r="DJ5" s="140" t="str">
        <f ca="1">J_normdate(J_ADDDAY(FDate(DI5),1,1))</f>
        <v>13981004</v>
      </c>
      <c r="DK5" s="140" t="str">
        <f ca="1">J_normdate(J_ADDDAY(FDate(DJ5),1,1))</f>
        <v>13981005</v>
      </c>
      <c r="DL5" s="140" t="str">
        <f ca="1">J_normdate(J_ADDDAY(FDate(DK5),1,1))</f>
        <v>13981006</v>
      </c>
      <c r="DM5" s="140" t="str">
        <f ca="1">J_normdate(J_ADDDAY(FDate(DL5),1,1))</f>
        <v>13981007</v>
      </c>
      <c r="DN5" s="140" t="str">
        <f ca="1">J_normdate(J_ADDDAY(FDate(DM5),1,1))</f>
        <v>13981008</v>
      </c>
      <c r="DO5" s="140" t="str">
        <f ca="1">J_normdate(J_ADDDAY(FDate(DN5),1,1))</f>
        <v>13981009</v>
      </c>
      <c r="DP5" s="140" t="str">
        <f ca="1">J_normdate(J_ADDDAY(FDate(DO5),1,1))</f>
        <v>13981010</v>
      </c>
      <c r="DQ5" s="140" t="str">
        <f ca="1">J_normdate(J_ADDDAY(FDate(DP5),1,1))</f>
        <v>13981011</v>
      </c>
      <c r="DR5" s="140" t="str">
        <f ca="1">J_normdate(J_ADDDAY(FDate(DQ5),1,1))</f>
        <v>13981012</v>
      </c>
      <c r="DS5" s="140" t="str">
        <f ca="1">J_normdate(J_ADDDAY(FDate(DR5),1,1))</f>
        <v>13981013</v>
      </c>
      <c r="DT5" s="140" t="str">
        <f ca="1">J_normdate(J_ADDDAY(FDate(DS5),1,1))</f>
        <v>13981014</v>
      </c>
      <c r="DU5" s="140" t="str">
        <f ca="1">J_normdate(J_ADDDAY(FDate(DT5),1,1))</f>
        <v>13981015</v>
      </c>
      <c r="DV5" s="140" t="str">
        <f ca="1">J_normdate(J_ADDDAY(FDate(DU5),1,1))</f>
        <v>13981016</v>
      </c>
      <c r="DW5" s="140" t="str">
        <f ca="1">J_normdate(J_ADDDAY(FDate(DV5),1,1))</f>
        <v>13981017</v>
      </c>
      <c r="DX5" s="140" t="str">
        <f ca="1">J_normdate(J_ADDDAY(FDate(DW5),1,1))</f>
        <v>13981018</v>
      </c>
      <c r="DY5" s="140" t="str">
        <f ca="1">J_normdate(J_ADDDAY(FDate(DX5),1,1))</f>
        <v>13981019</v>
      </c>
      <c r="DZ5" s="140" t="str">
        <f ca="1">J_normdate(J_ADDDAY(FDate(DY5),1,1))</f>
        <v>13981020</v>
      </c>
      <c r="EA5" s="140" t="str">
        <f ca="1">J_normdate(J_ADDDAY(FDate(DZ5),1,1))</f>
        <v>13981021</v>
      </c>
      <c r="EB5" s="140" t="str">
        <f ca="1">J_normdate(J_ADDDAY(FDate(EA5),1,1))</f>
        <v>13981022</v>
      </c>
      <c r="EC5" s="140" t="str">
        <f ca="1">J_normdate(J_ADDDAY(FDate(EB5),1,1))</f>
        <v>13981023</v>
      </c>
      <c r="ED5" s="140" t="str">
        <f ca="1">J_normdate(J_ADDDAY(FDate(EC5),1,1))</f>
        <v>13981024</v>
      </c>
      <c r="EE5" s="140" t="str">
        <f ca="1">J_normdate(J_ADDDAY(FDate(ED5),1,1))</f>
        <v>13981025</v>
      </c>
      <c r="EF5" s="140" t="str">
        <f ca="1">J_normdate(J_ADDDAY(FDate(EE5),1,1))</f>
        <v>13981026</v>
      </c>
      <c r="EG5" s="140" t="str">
        <f ca="1">J_normdate(J_ADDDAY(FDate(EF5),1,1))</f>
        <v>13981027</v>
      </c>
      <c r="EH5" s="140" t="str">
        <f ca="1">J_normdate(J_ADDDAY(FDate(EG5),1,1))</f>
        <v>13981028</v>
      </c>
      <c r="EI5" s="140" t="str">
        <f ca="1">J_normdate(J_ADDDAY(FDate(EH5),1,1))</f>
        <v>13981029</v>
      </c>
      <c r="EJ5" s="140" t="str">
        <f ca="1">J_normdate(J_ADDDAY(FDate(EI5),1,1))</f>
        <v>13981030</v>
      </c>
      <c r="EK5" s="140" t="str">
        <f ca="1">J_normdate(J_ADDDAY(FDate(EJ5),1,1))</f>
        <v>13981101</v>
      </c>
      <c r="EL5" s="140" t="str">
        <f ca="1">J_normdate(J_ADDDAY(FDate(EK5),1,1))</f>
        <v>13981102</v>
      </c>
      <c r="EM5" s="140" t="str">
        <f ca="1">J_normdate(J_ADDDAY(FDate(EL5),1,1))</f>
        <v>13981103</v>
      </c>
      <c r="EN5" s="140" t="str">
        <f ca="1">J_normdate(J_ADDDAY(FDate(EM5),1,1))</f>
        <v>13981104</v>
      </c>
      <c r="EO5" s="140" t="str">
        <f ca="1">J_normdate(J_ADDDAY(FDate(EN5),1,1))</f>
        <v>13981105</v>
      </c>
      <c r="EP5" s="140" t="str">
        <f ca="1">J_normdate(J_ADDDAY(FDate(EO5),1,1))</f>
        <v>13981106</v>
      </c>
      <c r="EQ5" s="140" t="str">
        <f ca="1">J_normdate(J_ADDDAY(FDate(EP5),1,1))</f>
        <v>13981107</v>
      </c>
      <c r="ER5" s="140" t="str">
        <f ca="1">J_normdate(J_ADDDAY(FDate(EQ5),1,1))</f>
        <v>13981108</v>
      </c>
      <c r="ES5" s="140" t="str">
        <f ca="1">J_normdate(J_ADDDAY(FDate(ER5),1,1))</f>
        <v>13981109</v>
      </c>
      <c r="ET5" s="140" t="str">
        <f ca="1">J_normdate(J_ADDDAY(FDate(ES5),1,1))</f>
        <v>13981110</v>
      </c>
      <c r="EU5" s="140" t="str">
        <f ca="1">J_normdate(J_ADDDAY(FDate(ET5),1,1))</f>
        <v>13981111</v>
      </c>
      <c r="EV5" s="140" t="str">
        <f ca="1">J_normdate(J_ADDDAY(FDate(EU5),1,1))</f>
        <v>13981112</v>
      </c>
      <c r="EW5" s="140" t="str">
        <f ca="1">J_normdate(J_ADDDAY(FDate(EV5),1,1))</f>
        <v>13981113</v>
      </c>
      <c r="EX5" s="140" t="str">
        <f ca="1">J_normdate(J_ADDDAY(FDate(EW5),1,1))</f>
        <v>13981114</v>
      </c>
      <c r="EY5" s="140" t="str">
        <f ca="1">J_normdate(J_ADDDAY(FDate(EX5),1,1))</f>
        <v>13981115</v>
      </c>
      <c r="EZ5" s="140" t="str">
        <f ca="1">J_normdate(J_ADDDAY(FDate(EY5),1,1))</f>
        <v>13981116</v>
      </c>
      <c r="FA5" s="140" t="str">
        <f ca="1">J_normdate(J_ADDDAY(FDate(EZ5),1,1))</f>
        <v>13981117</v>
      </c>
      <c r="FB5" s="140" t="str">
        <f ca="1">J_normdate(J_ADDDAY(FDate(FA5),1,1))</f>
        <v>13981118</v>
      </c>
      <c r="FC5" s="140" t="str">
        <f ca="1">J_normdate(J_ADDDAY(FDate(FB5),1,1))</f>
        <v>13981119</v>
      </c>
      <c r="FD5" s="140" t="str">
        <f ca="1">J_normdate(J_ADDDAY(FDate(FC5),1,1))</f>
        <v>13981120</v>
      </c>
      <c r="FE5" s="140" t="str">
        <f ca="1">J_normdate(J_ADDDAY(FDate(FD5),1,1))</f>
        <v>13981121</v>
      </c>
      <c r="FF5" s="140" t="str">
        <f ca="1">J_normdate(J_ADDDAY(FDate(FE5),1,1))</f>
        <v>13981122</v>
      </c>
      <c r="FG5" s="140" t="str">
        <f ca="1">J_normdate(J_ADDDAY(FDate(FF5),1,1))</f>
        <v>13981123</v>
      </c>
      <c r="FH5" s="140" t="str">
        <f ca="1">J_normdate(J_ADDDAY(FDate(FG5),1,1))</f>
        <v>13981124</v>
      </c>
      <c r="FI5" s="140" t="str">
        <f ca="1">J_normdate(J_ADDDAY(FDate(FH5),1,1))</f>
        <v>13981125</v>
      </c>
      <c r="FJ5" s="140" t="str">
        <f ca="1">J_normdate(J_ADDDAY(FDate(FI5),1,1))</f>
        <v>13981126</v>
      </c>
      <c r="FK5" s="140" t="str">
        <f ca="1">J_normdate(J_ADDDAY(FDate(FJ5),1,1))</f>
        <v>13981127</v>
      </c>
      <c r="FL5" s="140" t="str">
        <f ca="1">J_normdate(J_ADDDAY(FDate(FK5),1,1))</f>
        <v>13981128</v>
      </c>
      <c r="FM5" s="140" t="str">
        <f ca="1">J_normdate(J_ADDDAY(FDate(FL5),1,1))</f>
        <v>13981129</v>
      </c>
      <c r="FN5" s="140" t="str">
        <f ca="1">J_normdate(J_ADDDAY(FDate(FM5),1,1))</f>
        <v>13981130</v>
      </c>
      <c r="FO5" s="140" t="str">
        <f ca="1">J_normdate(J_ADDDAY(FDate(FN5),1,1))</f>
        <v>13981201</v>
      </c>
      <c r="FP5" s="140" t="str">
        <f ca="1">J_normdate(J_ADDDAY(FDate(FO5),1,1))</f>
        <v>13981202</v>
      </c>
      <c r="FQ5" s="140" t="str">
        <f ca="1">J_normdate(J_ADDDAY(FDate(FP5),1,1))</f>
        <v>13981203</v>
      </c>
      <c r="FR5" s="140" t="str">
        <f ca="1">J_normdate(J_ADDDAY(FDate(FQ5),1,1))</f>
        <v>13981204</v>
      </c>
      <c r="FS5" s="140" t="str">
        <f ca="1">J_normdate(J_ADDDAY(FDate(FR5),1,1))</f>
        <v>13981205</v>
      </c>
      <c r="FT5" s="140" t="str">
        <f ca="1">J_normdate(J_ADDDAY(FDate(FS5),1,1))</f>
        <v>13981206</v>
      </c>
      <c r="FU5" s="140" t="str">
        <f ca="1">J_normdate(J_ADDDAY(FDate(FT5),1,1))</f>
        <v>13981207</v>
      </c>
      <c r="FV5" s="140" t="str">
        <f ca="1">J_normdate(J_ADDDAY(FDate(FU5),1,1))</f>
        <v>13981208</v>
      </c>
      <c r="FW5" s="140" t="str">
        <f ca="1">J_normdate(J_ADDDAY(FDate(FV5),1,1))</f>
        <v>13981209</v>
      </c>
      <c r="FX5" s="140" t="str">
        <f ca="1">J_normdate(J_ADDDAY(FDate(FW5),1,1))</f>
        <v>13981210</v>
      </c>
      <c r="FY5" s="140" t="str">
        <f ca="1">J_normdate(J_ADDDAY(FDate(FX5),1,1))</f>
        <v>13981211</v>
      </c>
      <c r="FZ5" s="140" t="str">
        <f ca="1">J_normdate(J_ADDDAY(FDate(FY5),1,1))</f>
        <v>13981212</v>
      </c>
      <c r="GA5" s="140" t="str">
        <f ca="1">J_normdate(J_ADDDAY(FDate(FZ5),1,1))</f>
        <v>13981213</v>
      </c>
      <c r="GB5" s="140" t="str">
        <f ca="1">J_normdate(J_ADDDAY(FDate(GA5),1,1))</f>
        <v>13981214</v>
      </c>
      <c r="GC5" s="140" t="str">
        <f ca="1">J_normdate(J_ADDDAY(FDate(GB5),1,1))</f>
        <v>13981215</v>
      </c>
      <c r="GD5" s="140" t="str">
        <f ca="1">J_normdate(J_ADDDAY(FDate(GC5),1,1))</f>
        <v>13981216</v>
      </c>
      <c r="GE5" s="140" t="str">
        <f ca="1">J_normdate(J_ADDDAY(FDate(GD5),1,1))</f>
        <v>13981217</v>
      </c>
      <c r="GF5" s="140" t="str">
        <f ca="1">J_normdate(J_ADDDAY(FDate(GE5),1,1))</f>
        <v>13981218</v>
      </c>
      <c r="GG5" s="140" t="str">
        <f ca="1">J_normdate(J_ADDDAY(FDate(GF5),1,1))</f>
        <v>13981219</v>
      </c>
      <c r="GH5" s="140" t="str">
        <f ca="1">J_normdate(J_ADDDAY(FDate(GG5),1,1))</f>
        <v>13981220</v>
      </c>
      <c r="GI5" s="140" t="str">
        <f ca="1">J_normdate(J_ADDDAY(FDate(GH5),1,1))</f>
        <v>13981221</v>
      </c>
      <c r="GJ5" s="140" t="str">
        <f ca="1">J_normdate(J_ADDDAY(FDate(GI5),1,1))</f>
        <v>13981222</v>
      </c>
      <c r="GK5" s="140" t="str">
        <f ca="1">J_normdate(J_ADDDAY(FDate(GJ5),1,1))</f>
        <v>13981223</v>
      </c>
      <c r="GL5" s="140" t="str">
        <f ca="1">J_normdate(J_ADDDAY(FDate(GK5),1,1))</f>
        <v>13981224</v>
      </c>
      <c r="GM5" s="140" t="str">
        <f ca="1">J_normdate(J_ADDDAY(FDate(GL5),1,1))</f>
        <v>13981225</v>
      </c>
      <c r="GN5" s="140" t="str">
        <f ca="1">J_normdate(J_ADDDAY(FDate(GM5),1,1))</f>
        <v>13981226</v>
      </c>
      <c r="GO5" s="140" t="str">
        <f ca="1">J_normdate(J_ADDDAY(FDate(GN5),1,1))</f>
        <v>13981227</v>
      </c>
      <c r="GP5" s="140" t="str">
        <f ca="1">J_normdate(J_ADDDAY(FDate(GO5),1,1))</f>
        <v>13981228</v>
      </c>
      <c r="GQ5" s="140" t="str">
        <f ca="1">J_normdate(J_ADDDAY(FDate(GP5),1,1))</f>
        <v>13981229</v>
      </c>
      <c r="GR5" s="140" t="str">
        <f ca="1">J_normdate(J_ADDDAY(FDate(GQ5),1,1))</f>
        <v>13990101</v>
      </c>
      <c r="GS5" s="140" t="str">
        <f ca="1">J_normdate(J_ADDDAY(FDate(GR5),1,1))</f>
        <v>13990102</v>
      </c>
      <c r="GT5" s="140" t="str">
        <f ca="1">J_normdate(J_ADDDAY(FDate(GS5),1,1))</f>
        <v>13990103</v>
      </c>
      <c r="GU5" s="140" t="str">
        <f ca="1">J_normdate(J_ADDDAY(FDate(GT5),1,1))</f>
        <v>13990104</v>
      </c>
      <c r="GV5" s="140" t="str">
        <f ca="1">J_normdate(J_ADDDAY(FDate(GU5),1,1))</f>
        <v>13990105</v>
      </c>
      <c r="GW5" s="140" t="str">
        <f ca="1">J_normdate(J_ADDDAY(FDate(GV5),1,1))</f>
        <v>13990106</v>
      </c>
      <c r="GX5" s="140" t="str">
        <f ca="1">J_normdate(J_ADDDAY(FDate(GW5),1,1))</f>
        <v>13990107</v>
      </c>
      <c r="GY5" s="140" t="str">
        <f ca="1">J_normdate(J_ADDDAY(FDate(GX5),1,1))</f>
        <v>13990108</v>
      </c>
      <c r="GZ5" s="140" t="str">
        <f ca="1">J_normdate(J_ADDDAY(FDate(GY5),1,1))</f>
        <v>13990109</v>
      </c>
      <c r="HA5" s="140" t="str">
        <f ca="1">J_normdate(J_ADDDAY(FDate(GZ5),1,1))</f>
        <v>13990110</v>
      </c>
      <c r="HB5" s="140" t="str">
        <f ca="1">J_normdate(J_ADDDAY(FDate(HA5),1,1))</f>
        <v>13990111</v>
      </c>
      <c r="HC5" s="140" t="str">
        <f ca="1">J_normdate(J_ADDDAY(FDate(HB5),1,1))</f>
        <v>13990112</v>
      </c>
      <c r="HD5" s="140" t="str">
        <f ca="1">J_normdate(J_ADDDAY(FDate(HC5),1,1))</f>
        <v>13990113</v>
      </c>
      <c r="HE5" s="140" t="str">
        <f ca="1">J_normdate(J_ADDDAY(FDate(HD5),1,1))</f>
        <v>13990114</v>
      </c>
      <c r="HF5" s="140" t="str">
        <f ca="1">J_normdate(J_ADDDAY(FDate(HE5),1,1))</f>
        <v>13990115</v>
      </c>
      <c r="HG5" s="140" t="str">
        <f ca="1">J_normdate(J_ADDDAY(FDate(HF5),1,1))</f>
        <v>13990116</v>
      </c>
      <c r="HH5" s="140" t="str">
        <f ca="1">J_normdate(J_ADDDAY(FDate(HG5),1,1))</f>
        <v>13990117</v>
      </c>
      <c r="HI5" s="140" t="str">
        <f ca="1">J_normdate(J_ADDDAY(FDate(HH5),1,1))</f>
        <v>13990118</v>
      </c>
      <c r="HJ5" s="140" t="str">
        <f ca="1">J_normdate(J_ADDDAY(FDate(HI5),1,1))</f>
        <v>13990119</v>
      </c>
      <c r="HK5" s="140" t="str">
        <f ca="1">J_normdate(J_ADDDAY(FDate(HJ5),1,1))</f>
        <v>13990120</v>
      </c>
      <c r="HL5" s="140" t="str">
        <f ca="1">J_normdate(J_ADDDAY(FDate(HK5),1,1))</f>
        <v>13990121</v>
      </c>
      <c r="HM5" s="140" t="str">
        <f ca="1">J_normdate(J_ADDDAY(FDate(HL5),1,1))</f>
        <v>13990122</v>
      </c>
      <c r="HN5" s="140" t="str">
        <f ca="1">J_normdate(J_ADDDAY(FDate(HM5),1,1))</f>
        <v>13990123</v>
      </c>
      <c r="HO5" s="140" t="str">
        <f ca="1">J_normdate(J_ADDDAY(FDate(HN5),1,1))</f>
        <v>13990124</v>
      </c>
      <c r="HP5" s="140" t="str">
        <f ca="1">J_normdate(J_ADDDAY(FDate(HO5),1,1))</f>
        <v>13990125</v>
      </c>
      <c r="HQ5" s="140" t="str">
        <f ca="1">J_normdate(J_ADDDAY(FDate(HP5),1,1))</f>
        <v>13990126</v>
      </c>
      <c r="HR5" s="140" t="str">
        <f ca="1">J_normdate(J_ADDDAY(FDate(HQ5),1,1))</f>
        <v>13990127</v>
      </c>
      <c r="HS5" s="140" t="str">
        <f ca="1">J_normdate(J_ADDDAY(FDate(HR5),1,1))</f>
        <v>13990128</v>
      </c>
      <c r="HT5" s="140" t="str">
        <f ca="1">J_normdate(J_ADDDAY(FDate(HS5),1,1))</f>
        <v>13990129</v>
      </c>
      <c r="HU5" s="140" t="str">
        <f ca="1">J_normdate(J_ADDDAY(FDate(HT5),1,1))</f>
        <v>13990130</v>
      </c>
      <c r="HV5" s="140" t="str">
        <f ca="1">J_normdate(J_ADDDAY(FDate(HU5),1,1))</f>
        <v>13990131</v>
      </c>
      <c r="HW5" s="140" t="str">
        <f ca="1">J_normdate(J_ADDDAY(FDate(HV5),1,1))</f>
        <v>13990201</v>
      </c>
      <c r="HX5" s="140" t="str">
        <f ca="1">J_normdate(J_ADDDAY(FDate(HW5),1,1))</f>
        <v>13990202</v>
      </c>
      <c r="HY5" s="140" t="str">
        <f ca="1">J_normdate(J_ADDDAY(FDate(HX5),1,1))</f>
        <v>13990203</v>
      </c>
      <c r="HZ5" s="140" t="str">
        <f ca="1">J_normdate(J_ADDDAY(FDate(HY5),1,1))</f>
        <v>13990204</v>
      </c>
      <c r="IA5" s="140" t="str">
        <f ca="1">J_normdate(J_ADDDAY(FDate(HZ5),1,1))</f>
        <v>13990205</v>
      </c>
      <c r="IB5" s="140" t="str">
        <f ca="1">J_normdate(J_ADDDAY(FDate(IA5),1,1))</f>
        <v>13990206</v>
      </c>
      <c r="IC5" s="140" t="str">
        <f ca="1">J_normdate(J_ADDDAY(FDate(IB5),1,1))</f>
        <v>13990207</v>
      </c>
      <c r="ID5" s="140" t="str">
        <f ca="1">J_normdate(J_ADDDAY(FDate(IC5),1,1))</f>
        <v>13990208</v>
      </c>
      <c r="IE5" s="140" t="str">
        <f ca="1">J_normdate(J_ADDDAY(FDate(ID5),1,1))</f>
        <v>13990209</v>
      </c>
      <c r="IF5" s="140" t="str">
        <f ca="1">J_normdate(J_ADDDAY(FDate(IE5),1,1))</f>
        <v>13990210</v>
      </c>
      <c r="IG5" s="140" t="str">
        <f ca="1">J_normdate(J_ADDDAY(FDate(IF5),1,1))</f>
        <v>13990211</v>
      </c>
      <c r="IH5" s="140" t="str">
        <f ca="1">J_normdate(J_ADDDAY(FDate(IG5),1,1))</f>
        <v>13990212</v>
      </c>
      <c r="II5" s="140" t="str">
        <f ca="1">J_normdate(J_ADDDAY(FDate(IH5),1,1))</f>
        <v>13990213</v>
      </c>
      <c r="IJ5" s="140" t="str">
        <f ca="1">J_normdate(J_ADDDAY(FDate(II5),1,1))</f>
        <v>13990214</v>
      </c>
      <c r="IK5" s="140" t="str">
        <f ca="1">J_normdate(J_ADDDAY(FDate(IJ5),1,1))</f>
        <v>13990215</v>
      </c>
      <c r="IL5" s="140" t="str">
        <f ca="1">J_normdate(J_ADDDAY(FDate(IK5),1,1))</f>
        <v>13990216</v>
      </c>
      <c r="IM5" s="140" t="str">
        <f ca="1">J_normdate(J_ADDDAY(FDate(IL5),1,1))</f>
        <v>13990217</v>
      </c>
      <c r="IN5" s="140" t="str">
        <f ca="1">J_normdate(J_ADDDAY(FDate(IM5),1,1))</f>
        <v>13990218</v>
      </c>
      <c r="IO5" s="140" t="str">
        <f ca="1">J_normdate(J_ADDDAY(FDate(IN5),1,1))</f>
        <v>13990219</v>
      </c>
      <c r="IP5" s="140" t="str">
        <f ca="1">J_normdate(J_ADDDAY(FDate(IO5),1,1))</f>
        <v>13990220</v>
      </c>
      <c r="IQ5" s="140" t="str">
        <f ca="1">J_normdate(J_ADDDAY(FDate(IP5),1,1))</f>
        <v>13990221</v>
      </c>
      <c r="IR5" s="140" t="str">
        <f ca="1">J_normdate(J_ADDDAY(FDate(IQ5),1,1))</f>
        <v>13990222</v>
      </c>
      <c r="IS5" s="140" t="str">
        <f ca="1">J_normdate(J_ADDDAY(FDate(IR5),1,1))</f>
        <v>13990223</v>
      </c>
      <c r="IT5" s="140" t="str">
        <f ca="1">J_normdate(J_ADDDAY(FDate(IS5),1,1))</f>
        <v>13990224</v>
      </c>
      <c r="IU5" s="140" t="str">
        <f ca="1">J_normdate(J_ADDDAY(FDate(IT5),1,1))</f>
        <v>13990225</v>
      </c>
      <c r="IV5" s="140" t="str">
        <f ca="1">J_normdate(J_ADDDAY(FDate(IU5),1,1))</f>
        <v>13990226</v>
      </c>
      <c r="IW5" s="140" t="str">
        <f ca="1">J_normdate(J_ADDDAY(FDate(IV5),1,1))</f>
        <v>13990227</v>
      </c>
      <c r="IX5" s="140">
        <f ca="1">IW5+1</f>
        <v>13990228</v>
      </c>
      <c r="IY5" s="25"/>
      <c r="IZ5" s="36"/>
      <c r="JA5" s="181"/>
      <c r="JB5" s="181"/>
      <c r="JC5" s="181"/>
      <c r="JD5" s="182"/>
    </row>
    <row r="6" spans="1:264" s="185" customFormat="1" ht="81.75" customHeight="1" thickBot="1">
      <c r="A6" s="357" t="s">
        <v>0</v>
      </c>
      <c r="B6" s="358" t="s">
        <v>8</v>
      </c>
      <c r="C6" s="359" t="s">
        <v>9</v>
      </c>
      <c r="D6" s="359" t="s">
        <v>1</v>
      </c>
      <c r="E6" s="141" t="s">
        <v>1</v>
      </c>
      <c r="F6" s="359" t="s">
        <v>2</v>
      </c>
      <c r="G6" s="141" t="s">
        <v>2</v>
      </c>
      <c r="H6" s="360" t="s">
        <v>41</v>
      </c>
      <c r="I6" s="361" t="s">
        <v>42</v>
      </c>
      <c r="J6" s="360" t="s">
        <v>40</v>
      </c>
      <c r="K6" s="142" t="s">
        <v>43</v>
      </c>
      <c r="L6" s="362" t="s">
        <v>3</v>
      </c>
      <c r="M6" s="363" t="s">
        <v>4</v>
      </c>
      <c r="N6" s="362" t="s">
        <v>5</v>
      </c>
      <c r="O6" s="144" t="s">
        <v>10</v>
      </c>
      <c r="P6" s="145" t="s">
        <v>44</v>
      </c>
      <c r="Q6" s="143" t="s">
        <v>6</v>
      </c>
      <c r="R6" s="146"/>
      <c r="S6" s="229" t="str">
        <f ca="1">FDate(S5)</f>
        <v>1398/06/30</v>
      </c>
      <c r="T6" s="230"/>
      <c r="U6" s="230"/>
      <c r="V6" s="230"/>
      <c r="W6" s="231"/>
      <c r="X6" s="229" t="str">
        <f ca="1">FDate(X5)</f>
        <v>1398/07/04</v>
      </c>
      <c r="Y6" s="230"/>
      <c r="Z6" s="230"/>
      <c r="AA6" s="230"/>
      <c r="AB6" s="231"/>
      <c r="AC6" s="229" t="str">
        <f ca="1">FDate(AC5)</f>
        <v>1398/07/09</v>
      </c>
      <c r="AD6" s="230"/>
      <c r="AE6" s="230"/>
      <c r="AF6" s="230"/>
      <c r="AG6" s="231"/>
      <c r="AH6" s="229" t="str">
        <f ca="1">FDate(AH5)</f>
        <v>1398/07/14</v>
      </c>
      <c r="AI6" s="230"/>
      <c r="AJ6" s="230"/>
      <c r="AK6" s="230"/>
      <c r="AL6" s="231"/>
      <c r="AM6" s="229" t="str">
        <f ca="1">FDate(AM5)</f>
        <v>1398/07/19</v>
      </c>
      <c r="AN6" s="230"/>
      <c r="AO6" s="230"/>
      <c r="AP6" s="230"/>
      <c r="AQ6" s="231"/>
      <c r="AR6" s="229" t="str">
        <f ca="1">FDate(AR5)</f>
        <v>1398/07/24</v>
      </c>
      <c r="AS6" s="230"/>
      <c r="AT6" s="230"/>
      <c r="AU6" s="230"/>
      <c r="AV6" s="231"/>
      <c r="AW6" s="229" t="str">
        <f ca="1">FDate(AW5)</f>
        <v>1398/07/29</v>
      </c>
      <c r="AX6" s="230"/>
      <c r="AY6" s="230"/>
      <c r="AZ6" s="230"/>
      <c r="BA6" s="231"/>
      <c r="BB6" s="229" t="str">
        <f ca="1">FDate(BB5)</f>
        <v>1398/08/04</v>
      </c>
      <c r="BC6" s="230"/>
      <c r="BD6" s="230"/>
      <c r="BE6" s="230"/>
      <c r="BF6" s="231"/>
      <c r="BG6" s="229" t="str">
        <f ca="1">FDate(BG5)</f>
        <v>1398/08/09</v>
      </c>
      <c r="BH6" s="230"/>
      <c r="BI6" s="230"/>
      <c r="BJ6" s="230"/>
      <c r="BK6" s="231"/>
      <c r="BL6" s="229" t="str">
        <f ca="1">FDate(BL5)</f>
        <v>1398/08/14</v>
      </c>
      <c r="BM6" s="230"/>
      <c r="BN6" s="230"/>
      <c r="BO6" s="230"/>
      <c r="BP6" s="231"/>
      <c r="BQ6" s="229" t="str">
        <f ca="1">FDate(BQ5)</f>
        <v>1398/08/19</v>
      </c>
      <c r="BR6" s="230"/>
      <c r="BS6" s="230"/>
      <c r="BT6" s="230"/>
      <c r="BU6" s="231"/>
      <c r="BV6" s="229" t="str">
        <f ca="1">FDate(BV5)</f>
        <v>1398/08/24</v>
      </c>
      <c r="BW6" s="230"/>
      <c r="BX6" s="230"/>
      <c r="BY6" s="230"/>
      <c r="BZ6" s="231"/>
      <c r="CA6" s="229" t="str">
        <f ca="1">FDate(CA5)</f>
        <v>1398/08/29</v>
      </c>
      <c r="CB6" s="230"/>
      <c r="CC6" s="230"/>
      <c r="CD6" s="230"/>
      <c r="CE6" s="231"/>
      <c r="CF6" s="229" t="str">
        <f ca="1">FDate(CF5)</f>
        <v>1398/09/04</v>
      </c>
      <c r="CG6" s="230"/>
      <c r="CH6" s="230"/>
      <c r="CI6" s="230"/>
      <c r="CJ6" s="231"/>
      <c r="CK6" s="229" t="str">
        <f ca="1">FDate(CK5)</f>
        <v>1398/09/09</v>
      </c>
      <c r="CL6" s="230"/>
      <c r="CM6" s="230"/>
      <c r="CN6" s="230"/>
      <c r="CO6" s="231"/>
      <c r="CP6" s="229" t="str">
        <f ca="1">FDate(CP5)</f>
        <v>1398/09/14</v>
      </c>
      <c r="CQ6" s="230"/>
      <c r="CR6" s="230"/>
      <c r="CS6" s="230"/>
      <c r="CT6" s="231"/>
      <c r="CU6" s="229" t="str">
        <f ca="1">FDate(CU5)</f>
        <v>1398/09/19</v>
      </c>
      <c r="CV6" s="230"/>
      <c r="CW6" s="230"/>
      <c r="CX6" s="230"/>
      <c r="CY6" s="231"/>
      <c r="CZ6" s="229" t="str">
        <f ca="1">FDate(CZ5)</f>
        <v>1398/09/24</v>
      </c>
      <c r="DA6" s="230"/>
      <c r="DB6" s="230"/>
      <c r="DC6" s="230"/>
      <c r="DD6" s="231"/>
      <c r="DE6" s="229" t="str">
        <f ca="1">FDate(DE5)</f>
        <v>1398/09/29</v>
      </c>
      <c r="DF6" s="230"/>
      <c r="DG6" s="230"/>
      <c r="DH6" s="230"/>
      <c r="DI6" s="231"/>
      <c r="DJ6" s="229" t="str">
        <f ca="1">FDate(DJ5)</f>
        <v>1398/10/04</v>
      </c>
      <c r="DK6" s="230"/>
      <c r="DL6" s="230"/>
      <c r="DM6" s="230"/>
      <c r="DN6" s="231"/>
      <c r="DO6" s="229" t="str">
        <f ca="1">FDate(DO5)</f>
        <v>1398/10/09</v>
      </c>
      <c r="DP6" s="230"/>
      <c r="DQ6" s="230"/>
      <c r="DR6" s="230"/>
      <c r="DS6" s="231"/>
      <c r="DT6" s="229" t="str">
        <f ca="1">FDate(DT5)</f>
        <v>1398/10/14</v>
      </c>
      <c r="DU6" s="230"/>
      <c r="DV6" s="230"/>
      <c r="DW6" s="230"/>
      <c r="DX6" s="231"/>
      <c r="DY6" s="229" t="str">
        <f ca="1">FDate(DY5)</f>
        <v>1398/10/19</v>
      </c>
      <c r="DZ6" s="230"/>
      <c r="EA6" s="230"/>
      <c r="EB6" s="230"/>
      <c r="EC6" s="231"/>
      <c r="ED6" s="229" t="str">
        <f ca="1">FDate(ED5)</f>
        <v>1398/10/24</v>
      </c>
      <c r="EE6" s="230"/>
      <c r="EF6" s="230"/>
      <c r="EG6" s="230"/>
      <c r="EH6" s="231"/>
      <c r="EI6" s="229" t="str">
        <f ca="1">FDate(EI5)</f>
        <v>1398/10/29</v>
      </c>
      <c r="EJ6" s="230"/>
      <c r="EK6" s="230"/>
      <c r="EL6" s="230"/>
      <c r="EM6" s="231"/>
      <c r="EN6" s="229" t="str">
        <f ca="1">FDate(EN5)</f>
        <v>1398/11/04</v>
      </c>
      <c r="EO6" s="230"/>
      <c r="EP6" s="230"/>
      <c r="EQ6" s="230"/>
      <c r="ER6" s="231"/>
      <c r="ES6" s="229" t="str">
        <f ca="1">FDate(ES5)</f>
        <v>1398/11/09</v>
      </c>
      <c r="ET6" s="230"/>
      <c r="EU6" s="230"/>
      <c r="EV6" s="230"/>
      <c r="EW6" s="231"/>
      <c r="EX6" s="229" t="str">
        <f ca="1">FDate(EX5)</f>
        <v>1398/11/14</v>
      </c>
      <c r="EY6" s="230"/>
      <c r="EZ6" s="230"/>
      <c r="FA6" s="230"/>
      <c r="FB6" s="231"/>
      <c r="FC6" s="229" t="str">
        <f ca="1">FDate(FC5)</f>
        <v>1398/11/19</v>
      </c>
      <c r="FD6" s="230"/>
      <c r="FE6" s="230"/>
      <c r="FF6" s="230"/>
      <c r="FG6" s="231"/>
      <c r="FH6" s="229" t="str">
        <f ca="1">FDate(FH5)</f>
        <v>1398/11/24</v>
      </c>
      <c r="FI6" s="230"/>
      <c r="FJ6" s="230"/>
      <c r="FK6" s="230"/>
      <c r="FL6" s="231"/>
      <c r="FM6" s="229" t="str">
        <f ca="1">FDate(FM5)</f>
        <v>1398/11/29</v>
      </c>
      <c r="FN6" s="230"/>
      <c r="FO6" s="230"/>
      <c r="FP6" s="230"/>
      <c r="FQ6" s="231"/>
      <c r="FR6" s="229" t="str">
        <f ca="1">FDate(FR5)</f>
        <v>1398/12/04</v>
      </c>
      <c r="FS6" s="230"/>
      <c r="FT6" s="230"/>
      <c r="FU6" s="230"/>
      <c r="FV6" s="231"/>
      <c r="FW6" s="229" t="str">
        <f ca="1">FDate(FW5)</f>
        <v>1398/12/09</v>
      </c>
      <c r="FX6" s="230"/>
      <c r="FY6" s="230"/>
      <c r="FZ6" s="230"/>
      <c r="GA6" s="231"/>
      <c r="GB6" s="229" t="str">
        <f ca="1">FDate(GB5)</f>
        <v>1398/12/14</v>
      </c>
      <c r="GC6" s="230"/>
      <c r="GD6" s="230"/>
      <c r="GE6" s="230"/>
      <c r="GF6" s="231"/>
      <c r="GG6" s="229" t="str">
        <f ca="1">FDate(GG5)</f>
        <v>1398/12/19</v>
      </c>
      <c r="GH6" s="230"/>
      <c r="GI6" s="230"/>
      <c r="GJ6" s="230"/>
      <c r="GK6" s="231"/>
      <c r="GL6" s="229" t="str">
        <f ca="1">FDate(GL5)</f>
        <v>1398/12/24</v>
      </c>
      <c r="GM6" s="230"/>
      <c r="GN6" s="230"/>
      <c r="GO6" s="230"/>
      <c r="GP6" s="231"/>
      <c r="GQ6" s="229" t="str">
        <f ca="1">FDate(GQ5)</f>
        <v>1398/12/29</v>
      </c>
      <c r="GR6" s="230"/>
      <c r="GS6" s="230"/>
      <c r="GT6" s="230"/>
      <c r="GU6" s="231"/>
      <c r="GV6" s="229" t="str">
        <f ca="1">FDate(GV5)</f>
        <v>1399/01/05</v>
      </c>
      <c r="GW6" s="230"/>
      <c r="GX6" s="230"/>
      <c r="GY6" s="230"/>
      <c r="GZ6" s="231"/>
      <c r="HA6" s="229" t="str">
        <f ca="1">FDate(HA5)</f>
        <v>1399/01/10</v>
      </c>
      <c r="HB6" s="230"/>
      <c r="HC6" s="230"/>
      <c r="HD6" s="230"/>
      <c r="HE6" s="231"/>
      <c r="HF6" s="229" t="str">
        <f ca="1">FDate(HF5)</f>
        <v>1399/01/15</v>
      </c>
      <c r="HG6" s="230"/>
      <c r="HH6" s="230"/>
      <c r="HI6" s="230"/>
      <c r="HJ6" s="231"/>
      <c r="HK6" s="229" t="str">
        <f ca="1">FDate(HK5)</f>
        <v>1399/01/20</v>
      </c>
      <c r="HL6" s="230"/>
      <c r="HM6" s="230"/>
      <c r="HN6" s="230"/>
      <c r="HO6" s="231"/>
      <c r="HP6" s="229" t="str">
        <f ca="1">FDate(HP5)</f>
        <v>1399/01/25</v>
      </c>
      <c r="HQ6" s="230"/>
      <c r="HR6" s="230"/>
      <c r="HS6" s="230"/>
      <c r="HT6" s="231"/>
      <c r="HU6" s="229" t="str">
        <f ca="1">FDate(HU5)</f>
        <v>1399/01/30</v>
      </c>
      <c r="HV6" s="230"/>
      <c r="HW6" s="230"/>
      <c r="HX6" s="230"/>
      <c r="HY6" s="231"/>
      <c r="HZ6" s="229" t="str">
        <f ca="1">FDate(HZ5)</f>
        <v>1399/02/04</v>
      </c>
      <c r="IA6" s="230"/>
      <c r="IB6" s="230"/>
      <c r="IC6" s="230"/>
      <c r="ID6" s="231"/>
      <c r="IE6" s="229" t="str">
        <f ca="1">FDate(IE5)</f>
        <v>1399/02/09</v>
      </c>
      <c r="IF6" s="230"/>
      <c r="IG6" s="230"/>
      <c r="IH6" s="230"/>
      <c r="II6" s="231"/>
      <c r="IJ6" s="229" t="str">
        <f ca="1">FDate(IJ5)</f>
        <v>1399/02/14</v>
      </c>
      <c r="IK6" s="230"/>
      <c r="IL6" s="230"/>
      <c r="IM6" s="230"/>
      <c r="IN6" s="231"/>
      <c r="IO6" s="229" t="str">
        <f ca="1">FDate(IO5)</f>
        <v>1399/02/19</v>
      </c>
      <c r="IP6" s="230"/>
      <c r="IQ6" s="230"/>
      <c r="IR6" s="230"/>
      <c r="IS6" s="231"/>
      <c r="IT6" s="229" t="str">
        <f ca="1">FDate(IT5)</f>
        <v>1399/02/24</v>
      </c>
      <c r="IU6" s="230"/>
      <c r="IV6" s="230"/>
      <c r="IW6" s="230"/>
      <c r="IX6" s="231"/>
      <c r="IY6" s="26"/>
      <c r="IZ6" s="37"/>
      <c r="JA6" s="184" t="s">
        <v>7</v>
      </c>
      <c r="JB6" s="184" t="s">
        <v>55</v>
      </c>
      <c r="JC6" s="184" t="s">
        <v>56</v>
      </c>
      <c r="JD6" s="180"/>
    </row>
    <row r="7" spans="1:264" s="149" customFormat="1">
      <c r="A7" s="147"/>
      <c r="B7" s="148"/>
      <c r="D7" s="150"/>
      <c r="F7" s="150"/>
      <c r="I7" s="151"/>
      <c r="J7" s="152"/>
      <c r="K7" s="153"/>
      <c r="L7" s="151"/>
      <c r="N7" s="151"/>
      <c r="IY7" s="27"/>
      <c r="IZ7" s="38"/>
      <c r="JA7" s="186"/>
      <c r="JB7" s="186"/>
      <c r="JC7" s="186"/>
      <c r="JD7" s="187"/>
    </row>
    <row r="8" spans="1:264" s="327" customFormat="1" ht="18">
      <c r="A8" s="316" t="s">
        <v>39</v>
      </c>
      <c r="B8" s="317" t="s">
        <v>147</v>
      </c>
      <c r="C8" s="318"/>
      <c r="D8" s="319" t="s">
        <v>131</v>
      </c>
      <c r="E8" s="154">
        <f t="shared" ref="E8:E39" si="4">VALUE(J_normdate(D8))</f>
        <v>13980631</v>
      </c>
      <c r="F8" s="320" t="str">
        <f>J_SUBDAY(J_ADDDAY(D8,L8,1),1,1)</f>
        <v>1398/10/02</v>
      </c>
      <c r="G8" s="156">
        <f t="shared" ref="G8:G39" si="5">VALUE(J_normdate(F8))</f>
        <v>13981002</v>
      </c>
      <c r="H8" s="321"/>
      <c r="I8" s="322"/>
      <c r="J8" s="323"/>
      <c r="K8" s="157">
        <f>SUM(K9,K31,K53,K91,K113,K135,K223)</f>
        <v>0</v>
      </c>
      <c r="L8" s="324">
        <f>J_DIFF(D8,FDate(MAX(G9:G9869)))+1</f>
        <v>93</v>
      </c>
      <c r="M8" s="325">
        <f>(L9*M9+L31*M31+L53*M53+L91*M91+L113*M113+L135*M135+L157*M157+L179*M179+L201*M201+L223*M223)/SUM(L9,L31,L53,L91,L113,L135,L157,L179,L201,L223)</f>
        <v>6.3911207676847201E-2</v>
      </c>
      <c r="N8" s="326">
        <f>NETWORKDAYS.INTL(J_GregorianDate(D8,1),J_GregorianDate(F8,1),16,1)-SUMIFS(Holieday[ok],Holieday[date],CONCATENATE("&gt;","=",D8),Holieday[date],CONCATENATE("&lt;","=",F8))+SUMIFS(Holieday[Friday],Holieday[date],CONCATENATE("&gt;","=",D8),Holieday[date],CONCATENATE("&lt;","=",F8))</f>
        <v>76</v>
      </c>
      <c r="O8" s="158">
        <f>SUM(O9,O31,O53,O91,O113,O135,O157,O179,O201,O223)</f>
        <v>22</v>
      </c>
      <c r="P8" s="159">
        <f>VALUE(J_normdate(J_ADDDAY($D8,$O8,1)))</f>
        <v>13980722</v>
      </c>
      <c r="Q8" s="155">
        <f t="shared" ref="Q8:Q13" si="6">L8-O8</f>
        <v>71</v>
      </c>
      <c r="IY8" s="328"/>
      <c r="IZ8" s="329"/>
      <c r="JA8" s="330"/>
      <c r="JB8" s="330"/>
      <c r="JC8" s="330"/>
      <c r="JD8" s="331"/>
    </row>
    <row r="9" spans="1:264" s="160" customFormat="1" ht="13.5">
      <c r="A9" s="295">
        <v>1</v>
      </c>
      <c r="B9" s="296" t="s">
        <v>116</v>
      </c>
      <c r="C9" s="297"/>
      <c r="D9" s="314" t="str">
        <f>D8</f>
        <v>1398/06/31</v>
      </c>
      <c r="E9" s="160">
        <f t="shared" si="4"/>
        <v>13980631</v>
      </c>
      <c r="F9" s="300" t="str">
        <f>J_SUBDAY(J_ADDDAY(D9,L9,1),1,1)</f>
        <v>1398/07/15</v>
      </c>
      <c r="G9" s="163">
        <f t="shared" si="5"/>
        <v>13980715</v>
      </c>
      <c r="H9" s="298"/>
      <c r="I9" s="299"/>
      <c r="J9" s="300">
        <f>j_WEEKDAY(D9,2)</f>
        <v>1</v>
      </c>
      <c r="K9" s="164">
        <f>SUM(K10:K30)</f>
        <v>0</v>
      </c>
      <c r="L9" s="301">
        <f>J_DIFF(D9,FDate(MAX(G10:G30)))+1</f>
        <v>16</v>
      </c>
      <c r="M9" s="302">
        <f>IF(SUM(L10:L30)&lt;&gt;0,SUMPRODUCT(L10:L30,M10:M30)/SUM(L10:L30),0)</f>
        <v>0.35714285714285715</v>
      </c>
      <c r="N9" s="303">
        <f>IF(F9&gt;=D9,NETWORKDAYS.INTL(J_GregorianDate(D9,1),J_GregorianDate(F9,1),16,1)-SUMIFS(Holieday[ok],Holieday[date],CONCATENATE("&gt;","=",D9),Holieday[date],CONCATENATE("&lt;","=",F9))+SUMIFS(Holieday[Friday],Holieday[date],CONCATENATE("&gt;","=",D9),Holieday[date],CONCATENATE("&lt;","=",F9)),0)</f>
        <v>14</v>
      </c>
      <c r="O9" s="159">
        <f>ROUNDDOWN(M9*L9,0)</f>
        <v>5</v>
      </c>
      <c r="P9" s="159">
        <f>VALUE(J_normdate(J_ADDDAY($D9,$O9,1)))</f>
        <v>13980705</v>
      </c>
      <c r="Q9" s="162">
        <f t="shared" si="6"/>
        <v>11</v>
      </c>
      <c r="IY9" s="28"/>
      <c r="IZ9" s="39"/>
      <c r="JA9" s="188"/>
      <c r="JB9" s="188"/>
      <c r="JC9" s="188"/>
      <c r="JD9" s="189"/>
    </row>
    <row r="10" spans="1:264" s="191" customFormat="1" ht="16.5">
      <c r="A10" s="262">
        <v>1.1000000000000001</v>
      </c>
      <c r="B10" s="277" t="s">
        <v>68</v>
      </c>
      <c r="C10" s="263" t="s">
        <v>111</v>
      </c>
      <c r="D10" s="264" t="str">
        <f>D9</f>
        <v>1398/06/31</v>
      </c>
      <c r="E10" s="160">
        <f t="shared" si="4"/>
        <v>13980631</v>
      </c>
      <c r="F10" s="265" t="str">
        <f>IF(N10=0,J_SUBDAY(D10,1,1),IF((N10-(NETWORKDAYS.INTL(J_GregorianDate(D10,1),J_GregorianDate(J_SUBDAY(J_ADDDAY(D10,N10,1),1,1),1),16,1)))+SUMIFS(Holieday[ok],Holieday[date],CONCATENATE("&gt;","=",D10),Holieday[date],CONCATENATE("&lt;","=",J_SUBDAY(J_ADDDAY(D10,N10,1),1,1)))-SUMIFS(Holieday[Friday],Holieday[date],CONCATENATE("&gt;","=",D10),Holieday[date],CONCATENATE("&lt;","=",J_SUBDAY(J_ADDDAY(D10,N10,1),1,1)))=0,J_SUBDAY(J_ADDDAY(D10,N10,1),1,1),IF((N10+1-(NETWORKDAYS.INTL(J_GregorianDate(D10,1),J_GregorianDate(J_SUBDAY(J_ADDDAY(D10,N10+1,1),1,1),1),16,1)))+SUMIFS(Holieday[ok],Holieday[date],CONCATENATE("&gt;","=",D10),Holieday[date],CONCATENATE("&lt;","=",J_SUBDAY(J_ADDDAY(D10,N10+1,1),1,1)))-SUMIFS(Holieday[Friday],Holieday[date],CONCATENATE("&gt;","=",D10),Holieday[date],CONCATENATE("&lt;","=",J_SUBDAY(J_ADDDAY(D10,N10+1,1),1,1)))=1,J_SUBDAY(J_ADDDAY(D10,N10+1,1),1,1),IF((N10+2-(NETWORKDAYS.INTL(J_GregorianDate(D10,1),J_GregorianDate(J_SUBDAY(J_ADDDAY(D10,N10+2,1),1,1),1),16,1)))+SUMIFS(Holieday[ok],Holieday[date],CONCATENATE("&gt;","=",D10),Holieday[date],CONCATENATE("&lt;","=",J_SUBDAY(J_ADDDAY(D10,N10+2,1),1,1)))-SUMIFS(Holieday[Friday],Holieday[date],CONCATENATE("&gt;","=",D10),Holieday[date],CONCATENATE("&lt;","=",J_SUBDAY(J_ADDDAY(D10,N10+2,1),1,1)))=2,J_SUBDAY(J_ADDDAY(D10,N10+2,1),1,1),IF((N10+3-(NETWORKDAYS.INTL(J_GregorianDate(D10,1),J_GregorianDate(J_SUBDAY(J_ADDDAY(D10,N10+3,1),1,1),1),16,1)))+SUMIFS(Holieday[ok],Holieday[date],CONCATENATE("&gt;","=",D10),Holieday[date],CONCATENATE("&lt;","=",J_SUBDAY(J_ADDDAY(D10,N10+3,1),1,1)))-SUMIFS(Holieday[Friday],Holieday[date],CONCATENATE("&gt;","=",D10),Holieday[date],CONCATENATE("&lt;","=",J_SUBDAY(J_ADDDAY(D10,N10+3,1),1,1)))=3,J_SUBDAY(J_ADDDAY(D10,N10+3,1),1,1),IF((N10+4-(NETWORKDAYS.INTL(J_GregorianDate(D10,1),J_GregorianDate(J_SUBDAY(J_ADDDAY(D10,N10+4,1),1,1),1),16,1)))+SUMIFS(Holieday[ok],Holieday[date],CONCATENATE("&gt;","=",D10),Holieday[date],CONCATENATE("&lt;","=",J_SUBDAY(J_ADDDAY(D10,N10+4,1),1,1)))-SUMIFS(Holieday[Friday],Holieday[date],CONCATENATE("&gt;","=",D10),Holieday[date],CONCATENATE("&lt;","=",J_SUBDAY(J_ADDDAY(D10,N10+4,1),1,1)))=4,J_SUBDAY(J_ADDDAY(D10,N10+4,1),1,1),IF((N10+5-(NETWORKDAYS.INTL(J_GregorianDate(D10,1),J_GregorianDate(J_SUBDAY(J_ADDDAY(D10,N10+5,1),1,1),1),16,1)))+SUMIFS(Holieday[ok],Holieday[date],CONCATENATE("&gt;","=",D10),Holieday[date],CONCATENATE("&lt;","=",J_SUBDAY(J_ADDDAY(D10,N10+5,1),1,1)))-SUMIFS(Holieday[Friday],Holieday[date],CONCATENATE("&gt;","=",D10),Holieday[date],CONCATENATE("&lt;","=",J_SUBDAY(J_ADDDAY(D10,N10+5,1),1,1)))=5,J_SUBDAY(J_ADDDAY(D10,N10+5,1),1,1),J_SUBDAY(J_ADDDAY(D10,N10+6,1),1,1))))))))</f>
        <v>1398/06/31</v>
      </c>
      <c r="G10" s="163">
        <f t="shared" si="5"/>
        <v>13980631</v>
      </c>
      <c r="H10" s="266"/>
      <c r="I10" s="267"/>
      <c r="J10" s="265">
        <f>j_WEEKDAY(D10,2)</f>
        <v>1</v>
      </c>
      <c r="K10" s="173">
        <f t="shared" ref="K10:K30" si="7">SUM(JA10:JC10)</f>
        <v>0</v>
      </c>
      <c r="L10" s="268">
        <f t="shared" ref="L10:L30" si="8">J_DIFF(D10,F10)+1</f>
        <v>1</v>
      </c>
      <c r="M10" s="269">
        <v>1</v>
      </c>
      <c r="N10" s="270">
        <v>1</v>
      </c>
      <c r="O10" s="175">
        <f>ROUNDDOWN(M10*L10,0)</f>
        <v>1</v>
      </c>
      <c r="P10" s="175">
        <f>VALUE(J_normdate(J_ADDDAY($D10,$O10,1)))</f>
        <v>13980701</v>
      </c>
      <c r="Q10" s="171">
        <f t="shared" si="6"/>
        <v>0</v>
      </c>
      <c r="R10" s="169"/>
      <c r="S10" s="169"/>
      <c r="T10" s="169"/>
      <c r="U10" s="169"/>
      <c r="V10" s="169"/>
      <c r="W10" s="169"/>
      <c r="X10" s="169"/>
      <c r="Y10" s="169"/>
      <c r="Z10" s="169"/>
      <c r="AA10" s="169"/>
      <c r="AB10" s="169"/>
      <c r="AC10" s="169"/>
      <c r="AD10" s="169"/>
      <c r="AE10" s="169"/>
      <c r="AF10" s="169"/>
      <c r="AG10" s="169"/>
      <c r="AH10" s="169"/>
      <c r="AI10" s="169"/>
      <c r="AJ10" s="169"/>
      <c r="AK10" s="169"/>
      <c r="AL10" s="169"/>
      <c r="AM10" s="169"/>
      <c r="AN10" s="169"/>
      <c r="AO10" s="169"/>
      <c r="AP10" s="169"/>
      <c r="AQ10" s="169"/>
      <c r="AR10" s="169"/>
      <c r="AS10" s="169"/>
      <c r="AT10" s="169"/>
      <c r="AU10" s="169"/>
      <c r="AV10" s="169"/>
      <c r="AW10" s="169"/>
      <c r="AX10" s="169"/>
      <c r="AY10" s="169"/>
      <c r="AZ10" s="169"/>
      <c r="BA10" s="169"/>
      <c r="BB10" s="169"/>
      <c r="BC10" s="169"/>
      <c r="BD10" s="169"/>
      <c r="BE10" s="169"/>
      <c r="BF10" s="169"/>
      <c r="BG10" s="169"/>
      <c r="BH10" s="169"/>
      <c r="BI10" s="169"/>
      <c r="BJ10" s="169"/>
      <c r="BK10" s="169"/>
      <c r="BL10" s="169"/>
      <c r="BM10" s="169"/>
      <c r="BN10" s="169"/>
      <c r="BO10" s="169"/>
      <c r="BP10" s="169"/>
      <c r="BQ10" s="169"/>
      <c r="BR10" s="169"/>
      <c r="BS10" s="169"/>
      <c r="BT10" s="169"/>
      <c r="BU10" s="169"/>
      <c r="BV10" s="169"/>
      <c r="BW10" s="169"/>
      <c r="BX10" s="169"/>
      <c r="BY10" s="169"/>
      <c r="BZ10" s="169"/>
      <c r="CA10" s="169"/>
      <c r="CB10" s="169"/>
      <c r="CC10" s="169"/>
      <c r="CD10" s="169"/>
      <c r="CE10" s="169"/>
      <c r="CF10" s="169"/>
      <c r="CG10" s="169"/>
      <c r="CH10" s="169"/>
      <c r="CI10" s="169"/>
      <c r="CJ10" s="169"/>
      <c r="CK10" s="169"/>
      <c r="CL10" s="169"/>
      <c r="CM10" s="169"/>
      <c r="CN10" s="169"/>
      <c r="CO10" s="169"/>
      <c r="CP10" s="169"/>
      <c r="CQ10" s="169"/>
      <c r="CR10" s="169"/>
      <c r="CS10" s="169"/>
      <c r="CT10" s="169"/>
      <c r="CU10" s="169"/>
      <c r="CV10" s="169"/>
      <c r="CW10" s="169"/>
      <c r="CX10" s="169"/>
      <c r="CY10" s="169"/>
      <c r="CZ10" s="169"/>
      <c r="DA10" s="169"/>
      <c r="DB10" s="169"/>
      <c r="DC10" s="169"/>
      <c r="DD10" s="169"/>
      <c r="DE10" s="169"/>
      <c r="DF10" s="169"/>
      <c r="DG10" s="169"/>
      <c r="DH10" s="169"/>
      <c r="DI10" s="169"/>
      <c r="DJ10" s="169"/>
      <c r="DK10" s="169"/>
      <c r="DL10" s="169"/>
      <c r="DM10" s="169"/>
      <c r="DN10" s="169"/>
      <c r="DO10" s="169"/>
      <c r="DP10" s="169"/>
      <c r="DQ10" s="169"/>
      <c r="DR10" s="169"/>
      <c r="DS10" s="169"/>
      <c r="DT10" s="169"/>
      <c r="DU10" s="169"/>
      <c r="DV10" s="169"/>
      <c r="DW10" s="169"/>
      <c r="DX10" s="169"/>
      <c r="DY10" s="169"/>
      <c r="DZ10" s="169"/>
      <c r="EA10" s="169"/>
      <c r="EB10" s="169"/>
      <c r="EC10" s="169"/>
      <c r="ED10" s="169"/>
      <c r="EE10" s="169"/>
      <c r="EF10" s="169"/>
      <c r="EG10" s="169"/>
      <c r="EH10" s="169"/>
      <c r="EI10" s="169"/>
      <c r="EJ10" s="169"/>
      <c r="EK10" s="169"/>
      <c r="EL10" s="169"/>
      <c r="EM10" s="169"/>
      <c r="EN10" s="169"/>
      <c r="EO10" s="169"/>
      <c r="EP10" s="169"/>
      <c r="EQ10" s="169"/>
      <c r="ER10" s="169"/>
      <c r="ES10" s="169"/>
      <c r="ET10" s="169"/>
      <c r="EU10" s="169"/>
      <c r="EV10" s="169"/>
      <c r="EW10" s="169"/>
      <c r="EX10" s="169"/>
      <c r="EY10" s="169"/>
      <c r="EZ10" s="169"/>
      <c r="FA10" s="169"/>
      <c r="FB10" s="169"/>
      <c r="FC10" s="169"/>
      <c r="FD10" s="169"/>
      <c r="FE10" s="169"/>
      <c r="FF10" s="169"/>
      <c r="FG10" s="169"/>
      <c r="FH10" s="169"/>
      <c r="FI10" s="169"/>
      <c r="FJ10" s="169"/>
      <c r="FK10" s="169"/>
      <c r="FL10" s="169"/>
      <c r="FM10" s="169"/>
      <c r="FN10" s="169"/>
      <c r="FO10" s="169"/>
      <c r="FP10" s="169"/>
      <c r="FQ10" s="169"/>
      <c r="FR10" s="169"/>
      <c r="FS10" s="169"/>
      <c r="FT10" s="169"/>
      <c r="FU10" s="169"/>
      <c r="FV10" s="169"/>
      <c r="FW10" s="169"/>
      <c r="FX10" s="169"/>
      <c r="FY10" s="169"/>
      <c r="FZ10" s="169"/>
      <c r="GA10" s="169"/>
      <c r="GB10" s="169"/>
      <c r="GC10" s="169"/>
      <c r="GD10" s="169"/>
      <c r="GE10" s="169"/>
      <c r="GF10" s="169"/>
      <c r="GG10" s="169"/>
      <c r="GH10" s="169"/>
      <c r="GI10" s="169"/>
      <c r="GJ10" s="169"/>
      <c r="GK10" s="169"/>
      <c r="GL10" s="169"/>
      <c r="GM10" s="169"/>
      <c r="GN10" s="169"/>
      <c r="GO10" s="169"/>
      <c r="GP10" s="169"/>
      <c r="GQ10" s="169"/>
      <c r="GR10" s="169"/>
      <c r="GS10" s="169"/>
      <c r="GT10" s="169"/>
      <c r="GU10" s="169"/>
      <c r="GV10" s="169"/>
      <c r="GW10" s="169"/>
      <c r="GX10" s="169"/>
      <c r="GY10" s="169"/>
      <c r="GZ10" s="169"/>
      <c r="HA10" s="169"/>
      <c r="HB10" s="169"/>
      <c r="HC10" s="169"/>
      <c r="HD10" s="169"/>
      <c r="HE10" s="169"/>
      <c r="HF10" s="169"/>
      <c r="HG10" s="169"/>
      <c r="HH10" s="169"/>
      <c r="HI10" s="169"/>
      <c r="HJ10" s="169"/>
      <c r="HK10" s="169"/>
      <c r="HL10" s="169"/>
      <c r="HM10" s="169"/>
      <c r="HN10" s="169"/>
      <c r="HO10" s="169"/>
      <c r="HP10" s="169"/>
      <c r="HQ10" s="169"/>
      <c r="HR10" s="169"/>
      <c r="HS10" s="169"/>
      <c r="HT10" s="169"/>
      <c r="HU10" s="169"/>
      <c r="HV10" s="169"/>
      <c r="HW10" s="169"/>
      <c r="HX10" s="169"/>
      <c r="HY10" s="169"/>
      <c r="HZ10" s="169"/>
      <c r="IA10" s="169"/>
      <c r="IB10" s="169"/>
      <c r="IC10" s="169"/>
      <c r="ID10" s="169"/>
      <c r="IE10" s="169"/>
      <c r="IF10" s="169"/>
      <c r="IG10" s="169"/>
      <c r="IH10" s="169"/>
      <c r="II10" s="169"/>
      <c r="IJ10" s="169"/>
      <c r="IK10" s="169"/>
      <c r="IL10" s="169"/>
      <c r="IM10" s="169"/>
      <c r="IN10" s="169"/>
      <c r="IO10" s="169"/>
      <c r="IP10" s="169"/>
      <c r="IQ10" s="169"/>
      <c r="IR10" s="169"/>
      <c r="IS10" s="169"/>
      <c r="IT10" s="169"/>
      <c r="IU10" s="169"/>
      <c r="IV10" s="169"/>
      <c r="IW10" s="169"/>
      <c r="IX10" s="169"/>
      <c r="IY10" s="29">
        <v>1</v>
      </c>
      <c r="IZ10" s="40">
        <f>(TEXT(K10,"[m]")/60)*VLOOKUP(IY10,'Income Person-hours'!A$2:C$5,3,FALSE)</f>
        <v>0</v>
      </c>
      <c r="JA10" s="112"/>
      <c r="JB10" s="112"/>
      <c r="JC10" s="112"/>
      <c r="JD10" s="190">
        <f>SUM((TEXT(JA10,"[M]")/60)*'Income Person-hours'!$D$3,(TEXT(JB10,"[M]")/60)*'Income Person-hours'!$D$4,(TEXT(JC10,"[M]")/60)*'Income Person-hours'!$D$5)</f>
        <v>0</v>
      </c>
    </row>
    <row r="11" spans="1:264" s="191" customFormat="1" ht="13.5">
      <c r="A11" s="262">
        <v>1.2</v>
      </c>
      <c r="B11" s="277" t="s">
        <v>140</v>
      </c>
      <c r="C11" s="263" t="s">
        <v>111</v>
      </c>
      <c r="D11" s="264" t="str">
        <f>IF(OR(j_WEEKDAY(J_ADDDAY(VLOOKUP(I11,A:F,6,FALSE),H11,1),0)=6,SUMIFS(Holieday[ok],Holieday[date],J_ADDDAY(VLOOKUP(I11,A:F,6,FALSE),H11,1)))=FALSE(),J_ADDDAY(VLOOKUP(I11,A:F,6,FALSE),H11,1),IF(OR(j_WEEKDAY(J_ADDDAY(VLOOKUP(I11,A:F,6,FALSE),H11+1,1),0)=6,SUMIFS(Holieday[ok],Holieday[date],J_ADDDAY(VLOOKUP(I11,A:F,6,FALSE),H11+1,1)))=FALSE(),J_ADDDAY(VLOOKUP(I11,A:F,6,FALSE),H11+1,1),IF(OR(j_WEEKDAY(J_ADDDAY(VLOOKUP(I11,A:F,6,FALSE),H11+2,1),0)=6,SUMIFS(Holieday[ok],Holieday[date],J_ADDDAY(VLOOKUP(I11,A:F,6,FALSE),H11+2,1)))=FALSE(),J_ADDDAY(VLOOKUP(I11,A:F,6,FALSE),H11+2,1),IF(OR(j_WEEKDAY(J_ADDDAY(VLOOKUP(I11,A:F,6,FALSE),H11+3,1),0)=6,SUMIFS(Holieday[ok],Holieday[date],J_ADDDAY(VLOOKUP(I11,A:F,6,FALSE),H11+3,1)))=FALSE(),J_ADDDAY(VLOOKUP(I11,A:F,6,FALSE),H11+3,1),IF(OR(j_WEEKDAY(J_ADDDAY(VLOOKUP(I11,A:F,6,FALSE),H11+4,1),0)=6,SUMIFS(Holieday[ok],Holieday[date],J_ADDDAY(VLOOKUP(I11,A:F,6,FALSE),H11+4,1)))=FALSE(),J_ADDDAY(VLOOKUP(I11,A:F,6,FALSE),H11+4,1),J_ADDDAY(VLOOKUP(I11,A:F,6,FALSE),H11+5,1))))))</f>
        <v>1398/06/31</v>
      </c>
      <c r="E11" s="160">
        <f t="shared" si="4"/>
        <v>13980631</v>
      </c>
      <c r="F11" s="265" t="str">
        <f>IF(N11=0,J_SUBDAY(D11,1,1),IF((N11-(NETWORKDAYS.INTL(J_GregorianDate(D11,1),J_GregorianDate(J_SUBDAY(J_ADDDAY(D11,N11,1),1,1),1),16,1)))+SUMIFS(Holieday[ok],Holieday[date],CONCATENATE("&gt;","=",D11),Holieday[date],CONCATENATE("&lt;","=",J_SUBDAY(J_ADDDAY(D11,N11,1),1,1)))-SUMIFS(Holieday[Friday],Holieday[date],CONCATENATE("&gt;","=",D11),Holieday[date],CONCATENATE("&lt;","=",J_SUBDAY(J_ADDDAY(D11,N11,1),1,1)))=0,J_SUBDAY(J_ADDDAY(D11,N11,1),1,1),IF((N11+1-(NETWORKDAYS.INTL(J_GregorianDate(D11,1),J_GregorianDate(J_SUBDAY(J_ADDDAY(D11,N11+1,1),1,1),1),16,1)))+SUMIFS(Holieday[ok],Holieday[date],CONCATENATE("&gt;","=",D11),Holieday[date],CONCATENATE("&lt;","=",J_SUBDAY(J_ADDDAY(D11,N11+1,1),1,1)))-SUMIFS(Holieday[Friday],Holieday[date],CONCATENATE("&gt;","=",D11),Holieday[date],CONCATENATE("&lt;","=",J_SUBDAY(J_ADDDAY(D11,N11+1,1),1,1)))=1,J_SUBDAY(J_ADDDAY(D11,N11+1,1),1,1),IF((N11+2-(NETWORKDAYS.INTL(J_GregorianDate(D11,1),J_GregorianDate(J_SUBDAY(J_ADDDAY(D11,N11+2,1),1,1),1),16,1)))+SUMIFS(Holieday[ok],Holieday[date],CONCATENATE("&gt;","=",D11),Holieday[date],CONCATENATE("&lt;","=",J_SUBDAY(J_ADDDAY(D11,N11+2,1),1,1)))-SUMIFS(Holieday[Friday],Holieday[date],CONCATENATE("&gt;","=",D11),Holieday[date],CONCATENATE("&lt;","=",J_SUBDAY(J_ADDDAY(D11,N11+2,1),1,1)))=2,J_SUBDAY(J_ADDDAY(D11,N11+2,1),1,1),IF((N11+3-(NETWORKDAYS.INTL(J_GregorianDate(D11,1),J_GregorianDate(J_SUBDAY(J_ADDDAY(D11,N11+3,1),1,1),1),16,1)))+SUMIFS(Holieday[ok],Holieday[date],CONCATENATE("&gt;","=",D11),Holieday[date],CONCATENATE("&lt;","=",J_SUBDAY(J_ADDDAY(D11,N11+3,1),1,1)))-SUMIFS(Holieday[Friday],Holieday[date],CONCATENATE("&gt;","=",D11),Holieday[date],CONCATENATE("&lt;","=",J_SUBDAY(J_ADDDAY(D11,N11+3,1),1,1)))=3,J_SUBDAY(J_ADDDAY(D11,N11+3,1),1,1),IF((N11+4-(NETWORKDAYS.INTL(J_GregorianDate(D11,1),J_GregorianDate(J_SUBDAY(J_ADDDAY(D11,N11+4,1),1,1),1),16,1)))+SUMIFS(Holieday[ok],Holieday[date],CONCATENATE("&gt;","=",D11),Holieday[date],CONCATENATE("&lt;","=",J_SUBDAY(J_ADDDAY(D11,N11+4,1),1,1)))-SUMIFS(Holieday[Friday],Holieday[date],CONCATENATE("&gt;","=",D11),Holieday[date],CONCATENATE("&lt;","=",J_SUBDAY(J_ADDDAY(D11,N11+4,1),1,1)))=4,J_SUBDAY(J_ADDDAY(D11,N11+4,1),1,1),IF((N11+5-(NETWORKDAYS.INTL(J_GregorianDate(D11,1),J_GregorianDate(J_SUBDAY(J_ADDDAY(D11,N11+5,1),1,1),1),16,1)))+SUMIFS(Holieday[ok],Holieday[date],CONCATENATE("&gt;","=",D11),Holieday[date],CONCATENATE("&lt;","=",J_SUBDAY(J_ADDDAY(D11,N11+5,1),1,1)))-SUMIFS(Holieday[Friday],Holieday[date],CONCATENATE("&gt;","=",D11),Holieday[date],CONCATENATE("&lt;","=",J_SUBDAY(J_ADDDAY(D11,N11+5,1),1,1)))=5,J_SUBDAY(J_ADDDAY(D11,N11+5,1),1,1),J_SUBDAY(J_ADDDAY(D11,N11+6,1),1,1))))))))</f>
        <v>1398/07/02</v>
      </c>
      <c r="G11" s="163">
        <f t="shared" si="5"/>
        <v>13980702</v>
      </c>
      <c r="H11" s="266"/>
      <c r="I11" s="267">
        <v>1.1000000000000001</v>
      </c>
      <c r="J11" s="265">
        <f>j_WEEKDAY(D11,2)</f>
        <v>1</v>
      </c>
      <c r="K11" s="173">
        <f t="shared" si="7"/>
        <v>0</v>
      </c>
      <c r="L11" s="268">
        <f t="shared" si="8"/>
        <v>3</v>
      </c>
      <c r="M11" s="269">
        <v>1</v>
      </c>
      <c r="N11" s="270">
        <v>3</v>
      </c>
      <c r="O11" s="175">
        <f>ROUNDDOWN(M11*L11,0)</f>
        <v>3</v>
      </c>
      <c r="P11" s="175">
        <f>VALUE(J_normdate(J_ADDDAY($D11,$O11,1)))</f>
        <v>13980703</v>
      </c>
      <c r="Q11" s="171">
        <f t="shared" si="6"/>
        <v>0</v>
      </c>
      <c r="R11" s="169"/>
      <c r="S11" s="169"/>
      <c r="T11" s="169"/>
      <c r="U11" s="169"/>
      <c r="V11" s="169"/>
      <c r="W11" s="169"/>
      <c r="X11" s="169"/>
      <c r="Y11" s="169"/>
      <c r="Z11" s="169"/>
      <c r="AA11" s="169"/>
      <c r="AB11" s="169"/>
      <c r="AC11" s="169"/>
      <c r="AD11" s="169"/>
      <c r="AE11" s="169"/>
      <c r="AF11" s="169"/>
      <c r="AG11" s="169"/>
      <c r="AH11" s="169"/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69"/>
      <c r="BC11" s="169"/>
      <c r="BD11" s="169"/>
      <c r="BE11" s="169"/>
      <c r="BF11" s="169"/>
      <c r="BG11" s="169"/>
      <c r="BH11" s="169"/>
      <c r="BI11" s="169"/>
      <c r="BJ11" s="169"/>
      <c r="BK11" s="169"/>
      <c r="BL11" s="169"/>
      <c r="BM11" s="169"/>
      <c r="BN11" s="169"/>
      <c r="BO11" s="169"/>
      <c r="BP11" s="169"/>
      <c r="BQ11" s="169"/>
      <c r="BR11" s="169"/>
      <c r="BS11" s="169"/>
      <c r="BT11" s="169"/>
      <c r="BU11" s="169"/>
      <c r="BV11" s="169"/>
      <c r="BW11" s="169"/>
      <c r="BX11" s="169"/>
      <c r="BY11" s="169"/>
      <c r="BZ11" s="169"/>
      <c r="CA11" s="169"/>
      <c r="CB11" s="169"/>
      <c r="CC11" s="169"/>
      <c r="CD11" s="169"/>
      <c r="CE11" s="169"/>
      <c r="CF11" s="169"/>
      <c r="CG11" s="169"/>
      <c r="CH11" s="169"/>
      <c r="CI11" s="169"/>
      <c r="CJ11" s="169"/>
      <c r="CK11" s="169"/>
      <c r="CL11" s="169"/>
      <c r="CM11" s="169"/>
      <c r="CN11" s="169"/>
      <c r="CO11" s="169"/>
      <c r="CP11" s="169"/>
      <c r="CQ11" s="169"/>
      <c r="CR11" s="169"/>
      <c r="CS11" s="169"/>
      <c r="CT11" s="169"/>
      <c r="CU11" s="169"/>
      <c r="CV11" s="169"/>
      <c r="CW11" s="169"/>
      <c r="CX11" s="169"/>
      <c r="CY11" s="169"/>
      <c r="CZ11" s="169"/>
      <c r="DA11" s="169"/>
      <c r="DB11" s="169"/>
      <c r="DC11" s="169"/>
      <c r="DD11" s="169"/>
      <c r="DE11" s="169"/>
      <c r="DF11" s="169"/>
      <c r="DG11" s="169"/>
      <c r="DH11" s="169"/>
      <c r="DI11" s="169"/>
      <c r="DJ11" s="169"/>
      <c r="DK11" s="169"/>
      <c r="DL11" s="169"/>
      <c r="DM11" s="169"/>
      <c r="DN11" s="169"/>
      <c r="DO11" s="169"/>
      <c r="DP11" s="169"/>
      <c r="DQ11" s="169"/>
      <c r="DR11" s="169"/>
      <c r="DS11" s="169"/>
      <c r="DT11" s="169"/>
      <c r="DU11" s="169"/>
      <c r="DV11" s="169"/>
      <c r="DW11" s="169"/>
      <c r="DX11" s="169"/>
      <c r="DY11" s="169"/>
      <c r="DZ11" s="169"/>
      <c r="EA11" s="169"/>
      <c r="EB11" s="169"/>
      <c r="EC11" s="169"/>
      <c r="ED11" s="169"/>
      <c r="EE11" s="169"/>
      <c r="EF11" s="169"/>
      <c r="EG11" s="169"/>
      <c r="EH11" s="169"/>
      <c r="EI11" s="169"/>
      <c r="EJ11" s="169"/>
      <c r="EK11" s="169"/>
      <c r="EL11" s="169"/>
      <c r="EM11" s="169"/>
      <c r="EN11" s="169"/>
      <c r="EO11" s="169"/>
      <c r="EP11" s="169"/>
      <c r="EQ11" s="169"/>
      <c r="ER11" s="169"/>
      <c r="ES11" s="169"/>
      <c r="ET11" s="169"/>
      <c r="EU11" s="169"/>
      <c r="EV11" s="169"/>
      <c r="EW11" s="169"/>
      <c r="EX11" s="169"/>
      <c r="EY11" s="169"/>
      <c r="EZ11" s="169"/>
      <c r="FA11" s="169"/>
      <c r="FB11" s="169"/>
      <c r="FC11" s="169"/>
      <c r="FD11" s="169"/>
      <c r="FE11" s="169"/>
      <c r="FF11" s="169"/>
      <c r="FG11" s="169"/>
      <c r="FH11" s="169"/>
      <c r="FI11" s="169"/>
      <c r="FJ11" s="169"/>
      <c r="FK11" s="169"/>
      <c r="FL11" s="169"/>
      <c r="FM11" s="169"/>
      <c r="FN11" s="169"/>
      <c r="FO11" s="169"/>
      <c r="FP11" s="169"/>
      <c r="FQ11" s="169"/>
      <c r="FR11" s="169"/>
      <c r="FS11" s="169"/>
      <c r="FT11" s="169"/>
      <c r="FU11" s="169"/>
      <c r="FV11" s="169"/>
      <c r="FW11" s="169"/>
      <c r="FX11" s="169"/>
      <c r="FY11" s="169"/>
      <c r="FZ11" s="169"/>
      <c r="GA11" s="169"/>
      <c r="GB11" s="169"/>
      <c r="GC11" s="169"/>
      <c r="GD11" s="169"/>
      <c r="GE11" s="169"/>
      <c r="GF11" s="169"/>
      <c r="GG11" s="169"/>
      <c r="GH11" s="169"/>
      <c r="GI11" s="169"/>
      <c r="GJ11" s="169"/>
      <c r="GK11" s="169"/>
      <c r="GL11" s="169"/>
      <c r="GM11" s="169"/>
      <c r="GN11" s="169"/>
      <c r="GO11" s="169"/>
      <c r="GP11" s="169"/>
      <c r="GQ11" s="169"/>
      <c r="GR11" s="169"/>
      <c r="GS11" s="169"/>
      <c r="GT11" s="169"/>
      <c r="GU11" s="169"/>
      <c r="GV11" s="169"/>
      <c r="GW11" s="169"/>
      <c r="GX11" s="169"/>
      <c r="GY11" s="169"/>
      <c r="GZ11" s="169"/>
      <c r="HA11" s="169"/>
      <c r="HB11" s="169"/>
      <c r="HC11" s="169"/>
      <c r="HD11" s="169"/>
      <c r="HE11" s="169"/>
      <c r="HF11" s="169"/>
      <c r="HG11" s="169"/>
      <c r="HH11" s="169"/>
      <c r="HI11" s="169"/>
      <c r="HJ11" s="169"/>
      <c r="HK11" s="169"/>
      <c r="HL11" s="169"/>
      <c r="HM11" s="169"/>
      <c r="HN11" s="169"/>
      <c r="HO11" s="169"/>
      <c r="HP11" s="169"/>
      <c r="HQ11" s="169"/>
      <c r="HR11" s="169"/>
      <c r="HS11" s="169"/>
      <c r="HT11" s="169"/>
      <c r="HU11" s="169"/>
      <c r="HV11" s="169"/>
      <c r="HW11" s="169"/>
      <c r="HX11" s="169"/>
      <c r="HY11" s="169"/>
      <c r="HZ11" s="169"/>
      <c r="IA11" s="169"/>
      <c r="IB11" s="169"/>
      <c r="IC11" s="169"/>
      <c r="ID11" s="169"/>
      <c r="IE11" s="169"/>
      <c r="IF11" s="169"/>
      <c r="IG11" s="169"/>
      <c r="IH11" s="169"/>
      <c r="II11" s="169"/>
      <c r="IJ11" s="169"/>
      <c r="IK11" s="169"/>
      <c r="IL11" s="169"/>
      <c r="IM11" s="169"/>
      <c r="IN11" s="169"/>
      <c r="IO11" s="169"/>
      <c r="IP11" s="169"/>
      <c r="IQ11" s="169"/>
      <c r="IR11" s="169"/>
      <c r="IS11" s="169"/>
      <c r="IT11" s="169"/>
      <c r="IU11" s="169"/>
      <c r="IV11" s="169"/>
      <c r="IW11" s="169"/>
      <c r="IX11" s="169"/>
      <c r="IY11" s="29">
        <v>2</v>
      </c>
      <c r="IZ11" s="40">
        <f>(TEXT(K11,"[m]")/60)*VLOOKUP(IY11,'Income Person-hours'!A$2:C$5,3,FALSE)</f>
        <v>0</v>
      </c>
      <c r="JA11" s="112"/>
      <c r="JB11" s="112"/>
      <c r="JC11" s="112"/>
      <c r="JD11" s="192">
        <f>SUM((TEXT(JA11,"[M]")/60)*'Income Person-hours'!$D$3,(TEXT(JB11,"[M]")/60)*'Income Person-hours'!$D$4,(TEXT(JC11,"[M]")/60)*'Income Person-hours'!$D$5)</f>
        <v>0</v>
      </c>
    </row>
    <row r="12" spans="1:264" s="191" customFormat="1" ht="13.5">
      <c r="A12" s="262">
        <v>1.3</v>
      </c>
      <c r="B12" s="277" t="s">
        <v>113</v>
      </c>
      <c r="C12" s="263" t="s">
        <v>79</v>
      </c>
      <c r="D12" s="264" t="str">
        <f>IF(OR(j_WEEKDAY(J_ADDDAY(VLOOKUP(I12,A:F,6,FALSE),H12,1),0)=6,SUMIFS(Holieday[ok],Holieday[date],J_ADDDAY(VLOOKUP(I12,A:F,6,FALSE),H12,1)))=FALSE(),J_ADDDAY(VLOOKUP(I12,A:F,6,FALSE),H12,1),IF(OR(j_WEEKDAY(J_ADDDAY(VLOOKUP(I12,A:F,6,FALSE),H12+1,1),0)=6,SUMIFS(Holieday[ok],Holieday[date],J_ADDDAY(VLOOKUP(I12,A:F,6,FALSE),H12+1,1)))=FALSE(),J_ADDDAY(VLOOKUP(I12,A:F,6,FALSE),H12+1,1),IF(OR(j_WEEKDAY(J_ADDDAY(VLOOKUP(I12,A:F,6,FALSE),H12+2,1),0)=6,SUMIFS(Holieday[ok],Holieday[date],J_ADDDAY(VLOOKUP(I12,A:F,6,FALSE),H12+2,1)))=FALSE(),J_ADDDAY(VLOOKUP(I12,A:F,6,FALSE),H12+2,1),IF(OR(j_WEEKDAY(J_ADDDAY(VLOOKUP(I12,A:F,6,FALSE),H12+3,1),0)=6,SUMIFS(Holieday[ok],Holieday[date],J_ADDDAY(VLOOKUP(I12,A:F,6,FALSE),H12+3,1)))=FALSE(),J_ADDDAY(VLOOKUP(I12,A:F,6,FALSE),H12+3,1),IF(OR(j_WEEKDAY(J_ADDDAY(VLOOKUP(I12,A:F,6,FALSE),H12+4,1),0)=6,SUMIFS(Holieday[ok],Holieday[date],J_ADDDAY(VLOOKUP(I12,A:F,6,FALSE),H12+4,1)))=FALSE(),J_ADDDAY(VLOOKUP(I12,A:F,6,FALSE),H12+4,1),J_ADDDAY(VLOOKUP(I12,A:F,6,FALSE),H12+5,1))))))</f>
        <v>1398/06/31</v>
      </c>
      <c r="E12" s="160">
        <f t="shared" si="4"/>
        <v>13980631</v>
      </c>
      <c r="F12" s="265" t="str">
        <f>IF(N12=0,J_SUBDAY(D12,1,1),IF((N12-(NETWORKDAYS.INTL(J_GregorianDate(D12,1),J_GregorianDate(J_SUBDAY(J_ADDDAY(D12,N12,1),1,1),1),16,1)))+SUMIFS(Holieday[ok],Holieday[date],CONCATENATE("&gt;","=",D12),Holieday[date],CONCATENATE("&lt;","=",J_SUBDAY(J_ADDDAY(D12,N12,1),1,1)))-SUMIFS(Holieday[Friday],Holieday[date],CONCATENATE("&gt;","=",D12),Holieday[date],CONCATENATE("&lt;","=",J_SUBDAY(J_ADDDAY(D12,N12,1),1,1)))=0,J_SUBDAY(J_ADDDAY(D12,N12,1),1,1),IF((N12+1-(NETWORKDAYS.INTL(J_GregorianDate(D12,1),J_GregorianDate(J_SUBDAY(J_ADDDAY(D12,N12+1,1),1,1),1),16,1)))+SUMIFS(Holieday[ok],Holieday[date],CONCATENATE("&gt;","=",D12),Holieday[date],CONCATENATE("&lt;","=",J_SUBDAY(J_ADDDAY(D12,N12+1,1),1,1)))-SUMIFS(Holieday[Friday],Holieday[date],CONCATENATE("&gt;","=",D12),Holieday[date],CONCATENATE("&lt;","=",J_SUBDAY(J_ADDDAY(D12,N12+1,1),1,1)))=1,J_SUBDAY(J_ADDDAY(D12,N12+1,1),1,1),IF((N12+2-(NETWORKDAYS.INTL(J_GregorianDate(D12,1),J_GregorianDate(J_SUBDAY(J_ADDDAY(D12,N12+2,1),1,1),1),16,1)))+SUMIFS(Holieday[ok],Holieday[date],CONCATENATE("&gt;","=",D12),Holieday[date],CONCATENATE("&lt;","=",J_SUBDAY(J_ADDDAY(D12,N12+2,1),1,1)))-SUMIFS(Holieday[Friday],Holieday[date],CONCATENATE("&gt;","=",D12),Holieday[date],CONCATENATE("&lt;","=",J_SUBDAY(J_ADDDAY(D12,N12+2,1),1,1)))=2,J_SUBDAY(J_ADDDAY(D12,N12+2,1),1,1),IF((N12+3-(NETWORKDAYS.INTL(J_GregorianDate(D12,1),J_GregorianDate(J_SUBDAY(J_ADDDAY(D12,N12+3,1),1,1),1),16,1)))+SUMIFS(Holieday[ok],Holieday[date],CONCATENATE("&gt;","=",D12),Holieday[date],CONCATENATE("&lt;","=",J_SUBDAY(J_ADDDAY(D12,N12+3,1),1,1)))-SUMIFS(Holieday[Friday],Holieday[date],CONCATENATE("&gt;","=",D12),Holieday[date],CONCATENATE("&lt;","=",J_SUBDAY(J_ADDDAY(D12,N12+3,1),1,1)))=3,J_SUBDAY(J_ADDDAY(D12,N12+3,1),1,1),IF((N12+4-(NETWORKDAYS.INTL(J_GregorianDate(D12,1),J_GregorianDate(J_SUBDAY(J_ADDDAY(D12,N12+4,1),1,1),1),16,1)))+SUMIFS(Holieday[ok],Holieday[date],CONCATENATE("&gt;","=",D12),Holieday[date],CONCATENATE("&lt;","=",J_SUBDAY(J_ADDDAY(D12,N12+4,1),1,1)))-SUMIFS(Holieday[Friday],Holieday[date],CONCATENATE("&gt;","=",D12),Holieday[date],CONCATENATE("&lt;","=",J_SUBDAY(J_ADDDAY(D12,N12+4,1),1,1)))=4,J_SUBDAY(J_ADDDAY(D12,N12+4,1),1,1),IF((N12+5-(NETWORKDAYS.INTL(J_GregorianDate(D12,1),J_GregorianDate(J_SUBDAY(J_ADDDAY(D12,N12+5,1),1,1),1),16,1)))+SUMIFS(Holieday[ok],Holieday[date],CONCATENATE("&gt;","=",D12),Holieday[date],CONCATENATE("&lt;","=",J_SUBDAY(J_ADDDAY(D12,N12+5,1),1,1)))-SUMIFS(Holieday[Friday],Holieday[date],CONCATENATE("&gt;","=",D12),Holieday[date],CONCATENATE("&lt;","=",J_SUBDAY(J_ADDDAY(D12,N12+5,1),1,1)))=5,J_SUBDAY(J_ADDDAY(D12,N12+5,1),1,1),J_SUBDAY(J_ADDDAY(D12,N12+6,1),1,1))))))))</f>
        <v>1398/07/02</v>
      </c>
      <c r="G12" s="163">
        <f t="shared" si="5"/>
        <v>13980702</v>
      </c>
      <c r="H12" s="266"/>
      <c r="I12" s="267">
        <v>1.1000000000000001</v>
      </c>
      <c r="J12" s="265">
        <f>j_WEEKDAY(D12,2)</f>
        <v>1</v>
      </c>
      <c r="K12" s="173">
        <f t="shared" si="7"/>
        <v>0</v>
      </c>
      <c r="L12" s="268">
        <f t="shared" si="8"/>
        <v>3</v>
      </c>
      <c r="M12" s="269">
        <v>0</v>
      </c>
      <c r="N12" s="270">
        <v>3</v>
      </c>
      <c r="O12" s="175">
        <f>ROUNDDOWN(M12*L12,0)</f>
        <v>0</v>
      </c>
      <c r="P12" s="175">
        <f>VALUE(J_normdate(J_ADDDAY($D12,$O12,1)))</f>
        <v>13980631</v>
      </c>
      <c r="Q12" s="171">
        <f t="shared" si="6"/>
        <v>3</v>
      </c>
      <c r="R12" s="169"/>
      <c r="S12" s="169"/>
      <c r="T12" s="169"/>
      <c r="U12" s="169"/>
      <c r="V12" s="169"/>
      <c r="W12" s="169"/>
      <c r="X12" s="169"/>
      <c r="Y12" s="169"/>
      <c r="Z12" s="169"/>
      <c r="AA12" s="169"/>
      <c r="AB12" s="169"/>
      <c r="AC12" s="169"/>
      <c r="AD12" s="169"/>
      <c r="AE12" s="169"/>
      <c r="AF12" s="169"/>
      <c r="AG12" s="169"/>
      <c r="AH12" s="169"/>
      <c r="AI12" s="169"/>
      <c r="AJ12" s="169"/>
      <c r="AK12" s="169"/>
      <c r="AL12" s="169"/>
      <c r="AM12" s="169"/>
      <c r="AN12" s="169"/>
      <c r="AO12" s="169"/>
      <c r="AP12" s="169"/>
      <c r="AQ12" s="169"/>
      <c r="AR12" s="169"/>
      <c r="AS12" s="169"/>
      <c r="AT12" s="169"/>
      <c r="AU12" s="169"/>
      <c r="AV12" s="169"/>
      <c r="AW12" s="169"/>
      <c r="AX12" s="169"/>
      <c r="AY12" s="169"/>
      <c r="AZ12" s="169"/>
      <c r="BA12" s="169"/>
      <c r="BB12" s="169"/>
      <c r="BC12" s="169"/>
      <c r="BD12" s="169"/>
      <c r="BE12" s="169"/>
      <c r="BF12" s="169"/>
      <c r="BG12" s="169"/>
      <c r="BH12" s="169"/>
      <c r="BI12" s="169"/>
      <c r="BJ12" s="169"/>
      <c r="BK12" s="169"/>
      <c r="BL12" s="169"/>
      <c r="BM12" s="169"/>
      <c r="BN12" s="169"/>
      <c r="BO12" s="169"/>
      <c r="BP12" s="169"/>
      <c r="BQ12" s="169"/>
      <c r="BR12" s="169"/>
      <c r="BS12" s="169"/>
      <c r="BT12" s="169"/>
      <c r="BU12" s="169"/>
      <c r="BV12" s="169"/>
      <c r="BW12" s="169"/>
      <c r="BX12" s="169"/>
      <c r="BY12" s="169"/>
      <c r="BZ12" s="169"/>
      <c r="CA12" s="169"/>
      <c r="CB12" s="169"/>
      <c r="CC12" s="169"/>
      <c r="CD12" s="169"/>
      <c r="CE12" s="169"/>
      <c r="CF12" s="169"/>
      <c r="CG12" s="169"/>
      <c r="CH12" s="169"/>
      <c r="CI12" s="169"/>
      <c r="CJ12" s="169"/>
      <c r="CK12" s="169"/>
      <c r="CL12" s="169"/>
      <c r="CM12" s="169"/>
      <c r="CN12" s="169"/>
      <c r="CO12" s="169"/>
      <c r="CP12" s="169"/>
      <c r="CQ12" s="169"/>
      <c r="CR12" s="169"/>
      <c r="CS12" s="169"/>
      <c r="CT12" s="169"/>
      <c r="CU12" s="169"/>
      <c r="CV12" s="169"/>
      <c r="CW12" s="169"/>
      <c r="CX12" s="169"/>
      <c r="CY12" s="169"/>
      <c r="CZ12" s="169"/>
      <c r="DA12" s="169"/>
      <c r="DB12" s="169"/>
      <c r="DC12" s="169"/>
      <c r="DD12" s="169"/>
      <c r="DE12" s="169"/>
      <c r="DF12" s="169"/>
      <c r="DG12" s="169"/>
      <c r="DH12" s="169"/>
      <c r="DI12" s="169"/>
      <c r="DJ12" s="169"/>
      <c r="DK12" s="169"/>
      <c r="DL12" s="169"/>
      <c r="DM12" s="169"/>
      <c r="DN12" s="169"/>
      <c r="DO12" s="169"/>
      <c r="DP12" s="169"/>
      <c r="DQ12" s="169"/>
      <c r="DR12" s="169"/>
      <c r="DS12" s="169"/>
      <c r="DT12" s="169"/>
      <c r="DU12" s="169"/>
      <c r="DV12" s="169"/>
      <c r="DW12" s="169"/>
      <c r="DX12" s="169"/>
      <c r="DY12" s="169"/>
      <c r="DZ12" s="169"/>
      <c r="EA12" s="169"/>
      <c r="EB12" s="169"/>
      <c r="EC12" s="169"/>
      <c r="ED12" s="169"/>
      <c r="EE12" s="169"/>
      <c r="EF12" s="169"/>
      <c r="EG12" s="169"/>
      <c r="EH12" s="169"/>
      <c r="EI12" s="169"/>
      <c r="EJ12" s="169"/>
      <c r="EK12" s="169"/>
      <c r="EL12" s="169"/>
      <c r="EM12" s="169"/>
      <c r="EN12" s="169"/>
      <c r="EO12" s="169"/>
      <c r="EP12" s="169"/>
      <c r="EQ12" s="169"/>
      <c r="ER12" s="169"/>
      <c r="ES12" s="169"/>
      <c r="ET12" s="169"/>
      <c r="EU12" s="169"/>
      <c r="EV12" s="169"/>
      <c r="EW12" s="169"/>
      <c r="EX12" s="169"/>
      <c r="EY12" s="169"/>
      <c r="EZ12" s="169"/>
      <c r="FA12" s="169"/>
      <c r="FB12" s="169"/>
      <c r="FC12" s="169"/>
      <c r="FD12" s="169"/>
      <c r="FE12" s="169"/>
      <c r="FF12" s="169"/>
      <c r="FG12" s="169"/>
      <c r="FH12" s="169"/>
      <c r="FI12" s="169"/>
      <c r="FJ12" s="169"/>
      <c r="FK12" s="169"/>
      <c r="FL12" s="169"/>
      <c r="FM12" s="169"/>
      <c r="FN12" s="169"/>
      <c r="FO12" s="169"/>
      <c r="FP12" s="169"/>
      <c r="FQ12" s="169"/>
      <c r="FR12" s="169"/>
      <c r="FS12" s="169"/>
      <c r="FT12" s="169"/>
      <c r="FU12" s="169"/>
      <c r="FV12" s="169"/>
      <c r="FW12" s="169"/>
      <c r="FX12" s="169"/>
      <c r="FY12" s="169"/>
      <c r="FZ12" s="169"/>
      <c r="GA12" s="169"/>
      <c r="GB12" s="169"/>
      <c r="GC12" s="169"/>
      <c r="GD12" s="169"/>
      <c r="GE12" s="169"/>
      <c r="GF12" s="169"/>
      <c r="GG12" s="169"/>
      <c r="GH12" s="169"/>
      <c r="GI12" s="169"/>
      <c r="GJ12" s="169"/>
      <c r="GK12" s="169"/>
      <c r="GL12" s="169"/>
      <c r="GM12" s="169"/>
      <c r="GN12" s="169"/>
      <c r="GO12" s="169"/>
      <c r="GP12" s="169"/>
      <c r="GQ12" s="169"/>
      <c r="GR12" s="169"/>
      <c r="GS12" s="169"/>
      <c r="GT12" s="169"/>
      <c r="GU12" s="169"/>
      <c r="GV12" s="169"/>
      <c r="GW12" s="169"/>
      <c r="GX12" s="169"/>
      <c r="GY12" s="169"/>
      <c r="GZ12" s="169"/>
      <c r="HA12" s="169"/>
      <c r="HB12" s="169"/>
      <c r="HC12" s="169"/>
      <c r="HD12" s="169"/>
      <c r="HE12" s="169"/>
      <c r="HF12" s="169"/>
      <c r="HG12" s="169"/>
      <c r="HH12" s="169"/>
      <c r="HI12" s="169"/>
      <c r="HJ12" s="169"/>
      <c r="HK12" s="169"/>
      <c r="HL12" s="169"/>
      <c r="HM12" s="169"/>
      <c r="HN12" s="169"/>
      <c r="HO12" s="169"/>
      <c r="HP12" s="169"/>
      <c r="HQ12" s="169"/>
      <c r="HR12" s="169"/>
      <c r="HS12" s="169"/>
      <c r="HT12" s="169"/>
      <c r="HU12" s="169"/>
      <c r="HV12" s="169"/>
      <c r="HW12" s="169"/>
      <c r="HX12" s="169"/>
      <c r="HY12" s="169"/>
      <c r="HZ12" s="169"/>
      <c r="IA12" s="169"/>
      <c r="IB12" s="169"/>
      <c r="IC12" s="169"/>
      <c r="ID12" s="169"/>
      <c r="IE12" s="169"/>
      <c r="IF12" s="169"/>
      <c r="IG12" s="169"/>
      <c r="IH12" s="169"/>
      <c r="II12" s="169"/>
      <c r="IJ12" s="169"/>
      <c r="IK12" s="169"/>
      <c r="IL12" s="169"/>
      <c r="IM12" s="169"/>
      <c r="IN12" s="169"/>
      <c r="IO12" s="169"/>
      <c r="IP12" s="169"/>
      <c r="IQ12" s="169"/>
      <c r="IR12" s="169"/>
      <c r="IS12" s="169"/>
      <c r="IT12" s="169"/>
      <c r="IU12" s="169"/>
      <c r="IV12" s="169"/>
      <c r="IW12" s="169"/>
      <c r="IX12" s="169"/>
      <c r="IY12" s="29">
        <v>2</v>
      </c>
      <c r="IZ12" s="40">
        <f>(TEXT(K12,"[m]")/60)*VLOOKUP(IY12,'Income Person-hours'!A$2:C$5,3,FALSE)</f>
        <v>0</v>
      </c>
      <c r="JA12" s="112"/>
      <c r="JB12" s="112"/>
      <c r="JC12" s="112"/>
      <c r="JD12" s="192">
        <f>SUM((TEXT(JA12,"[M]")/60)*'Income Person-hours'!$D$3,(TEXT(JB12,"[M]")/60)*'Income Person-hours'!$D$4,(TEXT(JC12,"[M]")/60)*'Income Person-hours'!$D$5)</f>
        <v>0</v>
      </c>
    </row>
    <row r="13" spans="1:264" s="191" customFormat="1" ht="13.5">
      <c r="A13" s="262">
        <v>1.4</v>
      </c>
      <c r="B13" s="277" t="s">
        <v>139</v>
      </c>
      <c r="C13" s="263" t="s">
        <v>110</v>
      </c>
      <c r="D13" s="271" t="str">
        <f>IF(OR(j_WEEKDAY(J_ADDDAY(VLOOKUP(I13,A:F,6,FALSE),H13,1),0)=6,SUMIFS(Holieday[ok],Holieday[date],J_ADDDAY(VLOOKUP(I13,A:F,6,FALSE),H13,1)))=FALSE(),J_ADDDAY(VLOOKUP(I13,A:F,6,FALSE),H13,1),IF(OR(j_WEEKDAY(J_ADDDAY(VLOOKUP(I13,A:F,6,FALSE),H13+1,1),0)=6,SUMIFS(Holieday[ok],Holieday[date],J_ADDDAY(VLOOKUP(I13,A:F,6,FALSE),H13+1,1)))=FALSE(),J_ADDDAY(VLOOKUP(I13,A:F,6,FALSE),H13+1,1),IF(OR(j_WEEKDAY(J_ADDDAY(VLOOKUP(I13,A:F,6,FALSE),H13+2,1),0)=6,SUMIFS(Holieday[ok],Holieday[date],J_ADDDAY(VLOOKUP(I13,A:F,6,FALSE),H13+2,1)))=FALSE(),J_ADDDAY(VLOOKUP(I13,A:F,6,FALSE),H13+2,1),IF(OR(j_WEEKDAY(J_ADDDAY(VLOOKUP(I13,A:F,6,FALSE),H13+3,1),0)=6,SUMIFS(Holieday[ok],Holieday[date],J_ADDDAY(VLOOKUP(I13,A:F,6,FALSE),H13+3,1)))=FALSE(),J_ADDDAY(VLOOKUP(I13,A:F,6,FALSE),H13+3,1),IF(OR(j_WEEKDAY(J_ADDDAY(VLOOKUP(I13,A:F,6,FALSE),H13+4,1),0)=6,SUMIFS(Holieday[ok],Holieday[date],J_ADDDAY(VLOOKUP(I13,A:F,6,FALSE),H13+4,1)))=FALSE(),J_ADDDAY(VLOOKUP(I13,A:F,6,FALSE),H13+4,1),J_ADDDAY(VLOOKUP(I13,A:F,6,FALSE),H13+5,1))))))</f>
        <v>1398/07/06</v>
      </c>
      <c r="E13" s="160">
        <f t="shared" si="4"/>
        <v>13980706</v>
      </c>
      <c r="F13" s="280" t="str">
        <f>IF(N13=0,J_SUBDAY(D13,1,1),IF((N13-(NETWORKDAYS.INTL(J_GregorianDate(D13,1),J_GregorianDate(J_SUBDAY(J_ADDDAY(D13,N13,1),1,1),1),16,1)))+SUMIFS(Holieday[ok],Holieday[date],CONCATENATE("&gt;","=",D13),Holieday[date],CONCATENATE("&lt;","=",J_SUBDAY(J_ADDDAY(D13,N13,1),1,1)))-SUMIFS(Holieday[Friday],Holieday[date],CONCATENATE("&gt;","=",D13),Holieday[date],CONCATENATE("&lt;","=",J_SUBDAY(J_ADDDAY(D13,N13,1),1,1)))=0,J_SUBDAY(J_ADDDAY(D13,N13,1),1,1),IF((N13+1-(NETWORKDAYS.INTL(J_GregorianDate(D13,1),J_GregorianDate(J_SUBDAY(J_ADDDAY(D13,N13+1,1),1,1),1),16,1)))+SUMIFS(Holieday[ok],Holieday[date],CONCATENATE("&gt;","=",D13),Holieday[date],CONCATENATE("&lt;","=",J_SUBDAY(J_ADDDAY(D13,N13+1,1),1,1)))-SUMIFS(Holieday[Friday],Holieday[date],CONCATENATE("&gt;","=",D13),Holieday[date],CONCATENATE("&lt;","=",J_SUBDAY(J_ADDDAY(D13,N13+1,1),1,1)))=1,J_SUBDAY(J_ADDDAY(D13,N13+1,1),1,1),IF((N13+2-(NETWORKDAYS.INTL(J_GregorianDate(D13,1),J_GregorianDate(J_SUBDAY(J_ADDDAY(D13,N13+2,1),1,1),1),16,1)))+SUMIFS(Holieday[ok],Holieday[date],CONCATENATE("&gt;","=",D13),Holieday[date],CONCATENATE("&lt;","=",J_SUBDAY(J_ADDDAY(D13,N13+2,1),1,1)))-SUMIFS(Holieday[Friday],Holieday[date],CONCATENATE("&gt;","=",D13),Holieday[date],CONCATENATE("&lt;","=",J_SUBDAY(J_ADDDAY(D13,N13+2,1),1,1)))=2,J_SUBDAY(J_ADDDAY(D13,N13+2,1),1,1),IF((N13+3-(NETWORKDAYS.INTL(J_GregorianDate(D13,1),J_GregorianDate(J_SUBDAY(J_ADDDAY(D13,N13+3,1),1,1),1),16,1)))+SUMIFS(Holieday[ok],Holieday[date],CONCATENATE("&gt;","=",D13),Holieday[date],CONCATENATE("&lt;","=",J_SUBDAY(J_ADDDAY(D13,N13+3,1),1,1)))-SUMIFS(Holieday[Friday],Holieday[date],CONCATENATE("&gt;","=",D13),Holieday[date],CONCATENATE("&lt;","=",J_SUBDAY(J_ADDDAY(D13,N13+3,1),1,1)))=3,J_SUBDAY(J_ADDDAY(D13,N13+3,1),1,1),IF((N13+4-(NETWORKDAYS.INTL(J_GregorianDate(D13,1),J_GregorianDate(J_SUBDAY(J_ADDDAY(D13,N13+4,1),1,1),1),16,1)))+SUMIFS(Holieday[ok],Holieday[date],CONCATENATE("&gt;","=",D13),Holieday[date],CONCATENATE("&lt;","=",J_SUBDAY(J_ADDDAY(D13,N13+4,1),1,1)))-SUMIFS(Holieday[Friday],Holieday[date],CONCATENATE("&gt;","=",D13),Holieday[date],CONCATENATE("&lt;","=",J_SUBDAY(J_ADDDAY(D13,N13+4,1),1,1)))=4,J_SUBDAY(J_ADDDAY(D13,N13+4,1),1,1),IF((N13+5-(NETWORKDAYS.INTL(J_GregorianDate(D13,1),J_GregorianDate(J_SUBDAY(J_ADDDAY(D13,N13+5,1),1,1),1),16,1)))+SUMIFS(Holieday[ok],Holieday[date],CONCATENATE("&gt;","=",D13),Holieday[date],CONCATENATE("&lt;","=",J_SUBDAY(J_ADDDAY(D13,N13+5,1),1,1)))-SUMIFS(Holieday[Friday],Holieday[date],CONCATENATE("&gt;","=",D13),Holieday[date],CONCATENATE("&lt;","=",J_SUBDAY(J_ADDDAY(D13,N13+5,1),1,1)))=5,J_SUBDAY(J_ADDDAY(D13,N13+5,1),1,1),J_SUBDAY(J_ADDDAY(D13,N13+6,1),1,1))))))))</f>
        <v>1398/07/06</v>
      </c>
      <c r="G13" s="163">
        <f t="shared" si="5"/>
        <v>13980706</v>
      </c>
      <c r="H13" s="266">
        <v>5</v>
      </c>
      <c r="I13" s="267">
        <v>1.1000000000000001</v>
      </c>
      <c r="J13" s="265">
        <f>j_WEEKDAY(D13,2)</f>
        <v>0</v>
      </c>
      <c r="K13" s="173">
        <f t="shared" si="7"/>
        <v>0</v>
      </c>
      <c r="L13" s="268">
        <f t="shared" si="8"/>
        <v>1</v>
      </c>
      <c r="M13" s="269">
        <v>1</v>
      </c>
      <c r="N13" s="270">
        <v>1</v>
      </c>
      <c r="O13" s="175">
        <f>ROUNDDOWN(M13*L13,0)</f>
        <v>1</v>
      </c>
      <c r="P13" s="175">
        <f>VALUE(J_normdate(J_ADDDAY($D13,$O13,1)))</f>
        <v>13980707</v>
      </c>
      <c r="Q13" s="171">
        <f t="shared" si="6"/>
        <v>0</v>
      </c>
      <c r="R13" s="169"/>
      <c r="S13" s="169"/>
      <c r="T13" s="169"/>
      <c r="U13" s="169"/>
      <c r="V13" s="169"/>
      <c r="W13" s="169"/>
      <c r="X13" s="169"/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69"/>
      <c r="AJ13" s="169"/>
      <c r="AK13" s="169"/>
      <c r="AL13" s="169"/>
      <c r="AM13" s="169"/>
      <c r="AN13" s="169"/>
      <c r="AO13" s="169"/>
      <c r="AP13" s="169"/>
      <c r="AQ13" s="169"/>
      <c r="AR13" s="169"/>
      <c r="AS13" s="169"/>
      <c r="AT13" s="169"/>
      <c r="AU13" s="169"/>
      <c r="AV13" s="169"/>
      <c r="AW13" s="169"/>
      <c r="AX13" s="169"/>
      <c r="AY13" s="169"/>
      <c r="AZ13" s="169"/>
      <c r="BA13" s="169"/>
      <c r="BB13" s="169"/>
      <c r="BC13" s="169"/>
      <c r="BD13" s="169"/>
      <c r="BE13" s="169"/>
      <c r="BF13" s="169"/>
      <c r="BG13" s="169"/>
      <c r="BH13" s="169"/>
      <c r="BI13" s="169"/>
      <c r="BJ13" s="169"/>
      <c r="BK13" s="169"/>
      <c r="BL13" s="169"/>
      <c r="BM13" s="169"/>
      <c r="BN13" s="169"/>
      <c r="BO13" s="169"/>
      <c r="BP13" s="169"/>
      <c r="BQ13" s="169"/>
      <c r="BR13" s="169"/>
      <c r="BS13" s="169"/>
      <c r="BT13" s="169"/>
      <c r="BU13" s="169"/>
      <c r="BV13" s="169"/>
      <c r="BW13" s="169"/>
      <c r="BX13" s="169"/>
      <c r="BY13" s="169"/>
      <c r="BZ13" s="169"/>
      <c r="CA13" s="169"/>
      <c r="CB13" s="169"/>
      <c r="CC13" s="169"/>
      <c r="CD13" s="169"/>
      <c r="CE13" s="169"/>
      <c r="CF13" s="169"/>
      <c r="CG13" s="169"/>
      <c r="CH13" s="169"/>
      <c r="CI13" s="169"/>
      <c r="CJ13" s="169"/>
      <c r="CK13" s="169"/>
      <c r="CL13" s="169"/>
      <c r="CM13" s="169"/>
      <c r="CN13" s="169"/>
      <c r="CO13" s="169"/>
      <c r="CP13" s="169"/>
      <c r="CQ13" s="169"/>
      <c r="CR13" s="169"/>
      <c r="CS13" s="169"/>
      <c r="CT13" s="169"/>
      <c r="CU13" s="169"/>
      <c r="CV13" s="169"/>
      <c r="CW13" s="169"/>
      <c r="CX13" s="169"/>
      <c r="CY13" s="169"/>
      <c r="CZ13" s="169"/>
      <c r="DA13" s="169"/>
      <c r="DB13" s="169"/>
      <c r="DC13" s="169"/>
      <c r="DD13" s="169"/>
      <c r="DE13" s="169"/>
      <c r="DF13" s="169"/>
      <c r="DG13" s="169"/>
      <c r="DH13" s="169"/>
      <c r="DI13" s="169"/>
      <c r="DJ13" s="169"/>
      <c r="DK13" s="169"/>
      <c r="DL13" s="169"/>
      <c r="DM13" s="169"/>
      <c r="DN13" s="169"/>
      <c r="DO13" s="169"/>
      <c r="DP13" s="169"/>
      <c r="DQ13" s="169"/>
      <c r="DR13" s="169"/>
      <c r="DS13" s="169"/>
      <c r="DT13" s="169"/>
      <c r="DU13" s="169"/>
      <c r="DV13" s="169"/>
      <c r="DW13" s="169"/>
      <c r="DX13" s="169"/>
      <c r="DY13" s="169"/>
      <c r="DZ13" s="169"/>
      <c r="EA13" s="169"/>
      <c r="EB13" s="169"/>
      <c r="EC13" s="169"/>
      <c r="ED13" s="169"/>
      <c r="EE13" s="169"/>
      <c r="EF13" s="169"/>
      <c r="EG13" s="169"/>
      <c r="EH13" s="169"/>
      <c r="EI13" s="169"/>
      <c r="EJ13" s="169"/>
      <c r="EK13" s="169"/>
      <c r="EL13" s="169"/>
      <c r="EM13" s="169"/>
      <c r="EN13" s="169"/>
      <c r="EO13" s="169"/>
      <c r="EP13" s="169"/>
      <c r="EQ13" s="169"/>
      <c r="ER13" s="169"/>
      <c r="ES13" s="169"/>
      <c r="ET13" s="169"/>
      <c r="EU13" s="169"/>
      <c r="EV13" s="169"/>
      <c r="EW13" s="169"/>
      <c r="EX13" s="169"/>
      <c r="EY13" s="169"/>
      <c r="EZ13" s="169"/>
      <c r="FA13" s="169"/>
      <c r="FB13" s="169"/>
      <c r="FC13" s="169"/>
      <c r="FD13" s="169"/>
      <c r="FE13" s="169"/>
      <c r="FF13" s="169"/>
      <c r="FG13" s="169"/>
      <c r="FH13" s="169"/>
      <c r="FI13" s="169"/>
      <c r="FJ13" s="169"/>
      <c r="FK13" s="169"/>
      <c r="FL13" s="169"/>
      <c r="FM13" s="169"/>
      <c r="FN13" s="169"/>
      <c r="FO13" s="169"/>
      <c r="FP13" s="169"/>
      <c r="FQ13" s="169"/>
      <c r="FR13" s="169"/>
      <c r="FS13" s="169"/>
      <c r="FT13" s="169"/>
      <c r="FU13" s="169"/>
      <c r="FV13" s="169"/>
      <c r="FW13" s="169"/>
      <c r="FX13" s="169"/>
      <c r="FY13" s="169"/>
      <c r="FZ13" s="169"/>
      <c r="GA13" s="169"/>
      <c r="GB13" s="169"/>
      <c r="GC13" s="169"/>
      <c r="GD13" s="169"/>
      <c r="GE13" s="169"/>
      <c r="GF13" s="169"/>
      <c r="GG13" s="169"/>
      <c r="GH13" s="169"/>
      <c r="GI13" s="169"/>
      <c r="GJ13" s="169"/>
      <c r="GK13" s="169"/>
      <c r="GL13" s="169"/>
      <c r="GM13" s="169"/>
      <c r="GN13" s="169"/>
      <c r="GO13" s="169"/>
      <c r="GP13" s="169"/>
      <c r="GQ13" s="169"/>
      <c r="GR13" s="169"/>
      <c r="GS13" s="169"/>
      <c r="GT13" s="169"/>
      <c r="GU13" s="169"/>
      <c r="GV13" s="169"/>
      <c r="GW13" s="169"/>
      <c r="GX13" s="169"/>
      <c r="GY13" s="169"/>
      <c r="GZ13" s="169"/>
      <c r="HA13" s="169"/>
      <c r="HB13" s="169"/>
      <c r="HC13" s="169"/>
      <c r="HD13" s="169"/>
      <c r="HE13" s="169"/>
      <c r="HF13" s="169"/>
      <c r="HG13" s="169"/>
      <c r="HH13" s="169"/>
      <c r="HI13" s="169"/>
      <c r="HJ13" s="169"/>
      <c r="HK13" s="169"/>
      <c r="HL13" s="169"/>
      <c r="HM13" s="169"/>
      <c r="HN13" s="169"/>
      <c r="HO13" s="169"/>
      <c r="HP13" s="169"/>
      <c r="HQ13" s="169"/>
      <c r="HR13" s="169"/>
      <c r="HS13" s="169"/>
      <c r="HT13" s="169"/>
      <c r="HU13" s="169"/>
      <c r="HV13" s="169"/>
      <c r="HW13" s="169"/>
      <c r="HX13" s="169"/>
      <c r="HY13" s="169"/>
      <c r="HZ13" s="169"/>
      <c r="IA13" s="169"/>
      <c r="IB13" s="169"/>
      <c r="IC13" s="169"/>
      <c r="ID13" s="169"/>
      <c r="IE13" s="169"/>
      <c r="IF13" s="169"/>
      <c r="IG13" s="169"/>
      <c r="IH13" s="169"/>
      <c r="II13" s="169"/>
      <c r="IJ13" s="169"/>
      <c r="IK13" s="169"/>
      <c r="IL13" s="169"/>
      <c r="IM13" s="169"/>
      <c r="IN13" s="169"/>
      <c r="IO13" s="169"/>
      <c r="IP13" s="169"/>
      <c r="IQ13" s="169"/>
      <c r="IR13" s="169"/>
      <c r="IS13" s="169"/>
      <c r="IT13" s="169"/>
      <c r="IU13" s="169"/>
      <c r="IV13" s="169"/>
      <c r="IW13" s="169"/>
      <c r="IX13" s="169"/>
      <c r="IY13" s="29">
        <v>1</v>
      </c>
      <c r="IZ13" s="40">
        <f>(TEXT(K13,"[m]")/60)*VLOOKUP(IY13,'Income Person-hours'!A$2:C$5,3,FALSE)</f>
        <v>0</v>
      </c>
      <c r="JA13" s="112"/>
      <c r="JB13" s="112"/>
      <c r="JC13" s="112"/>
      <c r="JD13" s="192">
        <f>SUM((TEXT(JA13,"[M]")/60)*'Income Person-hours'!$D$3,(TEXT(JB13,"[M]")/60)*'Income Person-hours'!$D$4,(TEXT(JC13,"[M]")/60)*'Income Person-hours'!$D$5)</f>
        <v>0</v>
      </c>
    </row>
    <row r="14" spans="1:264" s="191" customFormat="1" ht="13.5">
      <c r="A14" s="262">
        <v>1.5</v>
      </c>
      <c r="B14" s="277" t="s">
        <v>120</v>
      </c>
      <c r="C14" s="263" t="s">
        <v>79</v>
      </c>
      <c r="D14" s="271" t="str">
        <f>IF(OR(j_WEEKDAY(J_ADDDAY(VLOOKUP(I14,A:F,6,FALSE),H14,1),0)=6,SUMIFS(Holieday[ok],Holieday[date],J_ADDDAY(VLOOKUP(I14,A:F,6,FALSE),H14,1)))=FALSE(),J_ADDDAY(VLOOKUP(I14,A:F,6,FALSE),H14,1),IF(OR(j_WEEKDAY(J_ADDDAY(VLOOKUP(I14,A:F,6,FALSE),H14+1,1),0)=6,SUMIFS(Holieday[ok],Holieday[date],J_ADDDAY(VLOOKUP(I14,A:F,6,FALSE),H14+1,1)))=FALSE(),J_ADDDAY(VLOOKUP(I14,A:F,6,FALSE),H14+1,1),IF(OR(j_WEEKDAY(J_ADDDAY(VLOOKUP(I14,A:F,6,FALSE),H14+2,1),0)=6,SUMIFS(Holieday[ok],Holieday[date],J_ADDDAY(VLOOKUP(I14,A:F,6,FALSE),H14+2,1)))=FALSE(),J_ADDDAY(VLOOKUP(I14,A:F,6,FALSE),H14+2,1),IF(OR(j_WEEKDAY(J_ADDDAY(VLOOKUP(I14,A:F,6,FALSE),H14+3,1),0)=6,SUMIFS(Holieday[ok],Holieday[date],J_ADDDAY(VLOOKUP(I14,A:F,6,FALSE),H14+3,1)))=FALSE(),J_ADDDAY(VLOOKUP(I14,A:F,6,FALSE),H14+3,1),IF(OR(j_WEEKDAY(J_ADDDAY(VLOOKUP(I14,A:F,6,FALSE),H14+4,1),0)=6,SUMIFS(Holieday[ok],Holieday[date],J_ADDDAY(VLOOKUP(I14,A:F,6,FALSE),H14+4,1)))=FALSE(),J_ADDDAY(VLOOKUP(I14,A:F,6,FALSE),H14+4,1),J_ADDDAY(VLOOKUP(I14,A:F,6,FALSE),H14+5,1))))))</f>
        <v>1398/07/10</v>
      </c>
      <c r="E14" s="160">
        <f t="shared" si="4"/>
        <v>13980710</v>
      </c>
      <c r="F14" s="280" t="str">
        <f>IF(N14=0,J_SUBDAY(D14,1,1),IF((N14-(NETWORKDAYS.INTL(J_GregorianDate(D14,1),J_GregorianDate(J_SUBDAY(J_ADDDAY(D14,N14,1),1,1),1),16,1)))+SUMIFS(Holieday[ok],Holieday[date],CONCATENATE("&gt;","=",D14),Holieday[date],CONCATENATE("&lt;","=",J_SUBDAY(J_ADDDAY(D14,N14,1),1,1)))-SUMIFS(Holieday[Friday],Holieday[date],CONCATENATE("&gt;","=",D14),Holieday[date],CONCATENATE("&lt;","=",J_SUBDAY(J_ADDDAY(D14,N14,1),1,1)))=0,J_SUBDAY(J_ADDDAY(D14,N14,1),1,1),IF((N14+1-(NETWORKDAYS.INTL(J_GregorianDate(D14,1),J_GregorianDate(J_SUBDAY(J_ADDDAY(D14,N14+1,1),1,1),1),16,1)))+SUMIFS(Holieday[ok],Holieday[date],CONCATENATE("&gt;","=",D14),Holieday[date],CONCATENATE("&lt;","=",J_SUBDAY(J_ADDDAY(D14,N14+1,1),1,1)))-SUMIFS(Holieday[Friday],Holieday[date],CONCATENATE("&gt;","=",D14),Holieday[date],CONCATENATE("&lt;","=",J_SUBDAY(J_ADDDAY(D14,N14+1,1),1,1)))=1,J_SUBDAY(J_ADDDAY(D14,N14+1,1),1,1),IF((N14+2-(NETWORKDAYS.INTL(J_GregorianDate(D14,1),J_GregorianDate(J_SUBDAY(J_ADDDAY(D14,N14+2,1),1,1),1),16,1)))+SUMIFS(Holieday[ok],Holieday[date],CONCATENATE("&gt;","=",D14),Holieday[date],CONCATENATE("&lt;","=",J_SUBDAY(J_ADDDAY(D14,N14+2,1),1,1)))-SUMIFS(Holieday[Friday],Holieday[date],CONCATENATE("&gt;","=",D14),Holieday[date],CONCATENATE("&lt;","=",J_SUBDAY(J_ADDDAY(D14,N14+2,1),1,1)))=2,J_SUBDAY(J_ADDDAY(D14,N14+2,1),1,1),IF((N14+3-(NETWORKDAYS.INTL(J_GregorianDate(D14,1),J_GregorianDate(J_SUBDAY(J_ADDDAY(D14,N14+3,1),1,1),1),16,1)))+SUMIFS(Holieday[ok],Holieday[date],CONCATENATE("&gt;","=",D14),Holieday[date],CONCATENATE("&lt;","=",J_SUBDAY(J_ADDDAY(D14,N14+3,1),1,1)))-SUMIFS(Holieday[Friday],Holieday[date],CONCATENATE("&gt;","=",D14),Holieday[date],CONCATENATE("&lt;","=",J_SUBDAY(J_ADDDAY(D14,N14+3,1),1,1)))=3,J_SUBDAY(J_ADDDAY(D14,N14+3,1),1,1),IF((N14+4-(NETWORKDAYS.INTL(J_GregorianDate(D14,1),J_GregorianDate(J_SUBDAY(J_ADDDAY(D14,N14+4,1),1,1),1),16,1)))+SUMIFS(Holieday[ok],Holieday[date],CONCATENATE("&gt;","=",D14),Holieday[date],CONCATENATE("&lt;","=",J_SUBDAY(J_ADDDAY(D14,N14+4,1),1,1)))-SUMIFS(Holieday[Friday],Holieday[date],CONCATENATE("&gt;","=",D14),Holieday[date],CONCATENATE("&lt;","=",J_SUBDAY(J_ADDDAY(D14,N14+4,1),1,1)))=4,J_SUBDAY(J_ADDDAY(D14,N14+4,1),1,1),IF((N14+5-(NETWORKDAYS.INTL(J_GregorianDate(D14,1),J_GregorianDate(J_SUBDAY(J_ADDDAY(D14,N14+5,1),1,1),1),16,1)))+SUMIFS(Holieday[ok],Holieday[date],CONCATENATE("&gt;","=",D14),Holieday[date],CONCATENATE("&lt;","=",J_SUBDAY(J_ADDDAY(D14,N14+5,1),1,1)))-SUMIFS(Holieday[Friday],Holieday[date],CONCATENATE("&gt;","=",D14),Holieday[date],CONCATENATE("&lt;","=",J_SUBDAY(J_ADDDAY(D14,N14+5,1),1,1)))=5,J_SUBDAY(J_ADDDAY(D14,N14+5,1),1,1),J_SUBDAY(J_ADDDAY(D14,N14+6,1),1,1))))))))</f>
        <v>1398/07/15</v>
      </c>
      <c r="G14" s="163">
        <f t="shared" si="5"/>
        <v>13980715</v>
      </c>
      <c r="H14" s="266">
        <v>4</v>
      </c>
      <c r="I14" s="267">
        <v>1.4</v>
      </c>
      <c r="J14" s="265">
        <f>j_WEEKDAY(D14,2)</f>
        <v>4</v>
      </c>
      <c r="K14" s="173">
        <f t="shared" si="7"/>
        <v>0</v>
      </c>
      <c r="L14" s="268">
        <f t="shared" si="8"/>
        <v>6</v>
      </c>
      <c r="M14" s="269">
        <v>0</v>
      </c>
      <c r="N14" s="270">
        <v>5</v>
      </c>
      <c r="O14" s="175">
        <f t="shared" ref="O14:O30" si="9">ROUNDDOWN(M14*L14,0)</f>
        <v>0</v>
      </c>
      <c r="P14" s="175">
        <f>VALUE(J_normdate(J_ADDDAY($D14,$O14,1)))</f>
        <v>13980710</v>
      </c>
      <c r="Q14" s="171">
        <f t="shared" ref="Q14:Q30" si="10">L14-O14</f>
        <v>6</v>
      </c>
      <c r="R14" s="169"/>
      <c r="S14" s="169"/>
      <c r="T14" s="169"/>
      <c r="U14" s="169"/>
      <c r="V14" s="169"/>
      <c r="W14" s="169"/>
      <c r="X14" s="169"/>
      <c r="Y14" s="169"/>
      <c r="Z14" s="169"/>
      <c r="AA14" s="169"/>
      <c r="AB14" s="169"/>
      <c r="AC14" s="169"/>
      <c r="AD14" s="169"/>
      <c r="AE14" s="169"/>
      <c r="AF14" s="169"/>
      <c r="AG14" s="169"/>
      <c r="AH14" s="169"/>
      <c r="AI14" s="169"/>
      <c r="AJ14" s="169"/>
      <c r="AK14" s="169"/>
      <c r="AL14" s="169"/>
      <c r="AM14" s="169"/>
      <c r="AN14" s="169"/>
      <c r="AO14" s="169"/>
      <c r="AP14" s="169"/>
      <c r="AQ14" s="169"/>
      <c r="AR14" s="169"/>
      <c r="AS14" s="169"/>
      <c r="AT14" s="169"/>
      <c r="AU14" s="169"/>
      <c r="AV14" s="169"/>
      <c r="AW14" s="169"/>
      <c r="AX14" s="169"/>
      <c r="AY14" s="169"/>
      <c r="AZ14" s="169"/>
      <c r="BA14" s="169"/>
      <c r="BB14" s="169"/>
      <c r="BC14" s="169"/>
      <c r="BD14" s="169"/>
      <c r="BE14" s="169"/>
      <c r="BF14" s="169"/>
      <c r="BG14" s="169"/>
      <c r="BH14" s="169"/>
      <c r="BI14" s="169"/>
      <c r="BJ14" s="169"/>
      <c r="BK14" s="169"/>
      <c r="BL14" s="169"/>
      <c r="BM14" s="169"/>
      <c r="BN14" s="169"/>
      <c r="BO14" s="169"/>
      <c r="BP14" s="169"/>
      <c r="BQ14" s="169"/>
      <c r="BR14" s="169"/>
      <c r="BS14" s="169"/>
      <c r="BT14" s="169"/>
      <c r="BU14" s="169"/>
      <c r="BV14" s="169"/>
      <c r="BW14" s="169"/>
      <c r="BX14" s="169"/>
      <c r="BY14" s="169"/>
      <c r="BZ14" s="169"/>
      <c r="CA14" s="169"/>
      <c r="CB14" s="169"/>
      <c r="CC14" s="169"/>
      <c r="CD14" s="169"/>
      <c r="CE14" s="169"/>
      <c r="CF14" s="169"/>
      <c r="CG14" s="169"/>
      <c r="CH14" s="169"/>
      <c r="CI14" s="169"/>
      <c r="CJ14" s="169"/>
      <c r="CK14" s="169"/>
      <c r="CL14" s="169"/>
      <c r="CM14" s="169"/>
      <c r="CN14" s="169"/>
      <c r="CO14" s="169"/>
      <c r="CP14" s="169"/>
      <c r="CQ14" s="169"/>
      <c r="CR14" s="169"/>
      <c r="CS14" s="169"/>
      <c r="CT14" s="169"/>
      <c r="CU14" s="169"/>
      <c r="CV14" s="169"/>
      <c r="CW14" s="169"/>
      <c r="CX14" s="169"/>
      <c r="CY14" s="169"/>
      <c r="CZ14" s="169"/>
      <c r="DA14" s="169"/>
      <c r="DB14" s="169"/>
      <c r="DC14" s="169"/>
      <c r="DD14" s="169"/>
      <c r="DE14" s="169"/>
      <c r="DF14" s="169"/>
      <c r="DG14" s="169"/>
      <c r="DH14" s="169"/>
      <c r="DI14" s="169"/>
      <c r="DJ14" s="169"/>
      <c r="DK14" s="169"/>
      <c r="DL14" s="169"/>
      <c r="DM14" s="169"/>
      <c r="DN14" s="169"/>
      <c r="DO14" s="169"/>
      <c r="DP14" s="169"/>
      <c r="DQ14" s="169"/>
      <c r="DR14" s="169"/>
      <c r="DS14" s="169"/>
      <c r="DT14" s="169"/>
      <c r="DU14" s="169"/>
      <c r="DV14" s="169"/>
      <c r="DW14" s="169"/>
      <c r="DX14" s="169"/>
      <c r="DY14" s="169"/>
      <c r="DZ14" s="169"/>
      <c r="EA14" s="169"/>
      <c r="EB14" s="169"/>
      <c r="EC14" s="169"/>
      <c r="ED14" s="169"/>
      <c r="EE14" s="169"/>
      <c r="EF14" s="169"/>
      <c r="EG14" s="169"/>
      <c r="EH14" s="169"/>
      <c r="EI14" s="169"/>
      <c r="EJ14" s="169"/>
      <c r="EK14" s="169"/>
      <c r="EL14" s="169"/>
      <c r="EM14" s="169"/>
      <c r="EN14" s="169"/>
      <c r="EO14" s="169"/>
      <c r="EP14" s="169"/>
      <c r="EQ14" s="169"/>
      <c r="ER14" s="169"/>
      <c r="ES14" s="169"/>
      <c r="ET14" s="169"/>
      <c r="EU14" s="169"/>
      <c r="EV14" s="169"/>
      <c r="EW14" s="169"/>
      <c r="EX14" s="169"/>
      <c r="EY14" s="169"/>
      <c r="EZ14" s="169"/>
      <c r="FA14" s="169"/>
      <c r="FB14" s="169"/>
      <c r="FC14" s="169"/>
      <c r="FD14" s="169"/>
      <c r="FE14" s="169"/>
      <c r="FF14" s="169"/>
      <c r="FG14" s="169"/>
      <c r="FH14" s="169"/>
      <c r="FI14" s="169"/>
      <c r="FJ14" s="169"/>
      <c r="FK14" s="169"/>
      <c r="FL14" s="169"/>
      <c r="FM14" s="169"/>
      <c r="FN14" s="169"/>
      <c r="FO14" s="169"/>
      <c r="FP14" s="169"/>
      <c r="FQ14" s="169"/>
      <c r="FR14" s="169"/>
      <c r="FS14" s="169"/>
      <c r="FT14" s="169"/>
      <c r="FU14" s="169"/>
      <c r="FV14" s="169"/>
      <c r="FW14" s="169"/>
      <c r="FX14" s="169"/>
      <c r="FY14" s="169"/>
      <c r="FZ14" s="169"/>
      <c r="GA14" s="169"/>
      <c r="GB14" s="169"/>
      <c r="GC14" s="169"/>
      <c r="GD14" s="169"/>
      <c r="GE14" s="169"/>
      <c r="GF14" s="169"/>
      <c r="GG14" s="169"/>
      <c r="GH14" s="169"/>
      <c r="GI14" s="169"/>
      <c r="GJ14" s="169"/>
      <c r="GK14" s="169"/>
      <c r="GL14" s="169"/>
      <c r="GM14" s="169"/>
      <c r="GN14" s="169"/>
      <c r="GO14" s="169"/>
      <c r="GP14" s="169"/>
      <c r="GQ14" s="169"/>
      <c r="GR14" s="169"/>
      <c r="GS14" s="169"/>
      <c r="GT14" s="169"/>
      <c r="GU14" s="169"/>
      <c r="GV14" s="169"/>
      <c r="GW14" s="169"/>
      <c r="GX14" s="169"/>
      <c r="GY14" s="169"/>
      <c r="GZ14" s="169"/>
      <c r="HA14" s="169"/>
      <c r="HB14" s="169"/>
      <c r="HC14" s="169"/>
      <c r="HD14" s="169"/>
      <c r="HE14" s="169"/>
      <c r="HF14" s="169"/>
      <c r="HG14" s="169"/>
      <c r="HH14" s="169"/>
      <c r="HI14" s="169"/>
      <c r="HJ14" s="169"/>
      <c r="HK14" s="169"/>
      <c r="HL14" s="169"/>
      <c r="HM14" s="169"/>
      <c r="HN14" s="169"/>
      <c r="HO14" s="169"/>
      <c r="HP14" s="169"/>
      <c r="HQ14" s="169"/>
      <c r="HR14" s="169"/>
      <c r="HS14" s="169"/>
      <c r="HT14" s="169"/>
      <c r="HU14" s="169"/>
      <c r="HV14" s="169"/>
      <c r="HW14" s="169"/>
      <c r="HX14" s="169"/>
      <c r="HY14" s="169"/>
      <c r="HZ14" s="169"/>
      <c r="IA14" s="169"/>
      <c r="IB14" s="169"/>
      <c r="IC14" s="169"/>
      <c r="ID14" s="169"/>
      <c r="IE14" s="169"/>
      <c r="IF14" s="169"/>
      <c r="IG14" s="169"/>
      <c r="IH14" s="169"/>
      <c r="II14" s="169"/>
      <c r="IJ14" s="169"/>
      <c r="IK14" s="169"/>
      <c r="IL14" s="169"/>
      <c r="IM14" s="169"/>
      <c r="IN14" s="169"/>
      <c r="IO14" s="169"/>
      <c r="IP14" s="169"/>
      <c r="IQ14" s="169"/>
      <c r="IR14" s="169"/>
      <c r="IS14" s="169"/>
      <c r="IT14" s="169"/>
      <c r="IU14" s="169"/>
      <c r="IV14" s="169"/>
      <c r="IW14" s="169"/>
      <c r="IX14" s="169"/>
      <c r="IY14" s="29">
        <v>1</v>
      </c>
      <c r="IZ14" s="40">
        <f>(TEXT(K14,"[m]")/60)*VLOOKUP(IY14,'Income Person-hours'!A$2:C$5,3,FALSE)</f>
        <v>0</v>
      </c>
      <c r="JA14" s="112"/>
      <c r="JB14" s="112"/>
      <c r="JC14" s="112"/>
      <c r="JD14" s="192">
        <f>SUM((TEXT(JA14,"[M]")/60)*'Income Person-hours'!$D$3,(TEXT(JB14,"[M]")/60)*'Income Person-hours'!$D$4,(TEXT(JC14,"[M]")/60)*'Income Person-hours'!$D$5)</f>
        <v>0</v>
      </c>
    </row>
    <row r="15" spans="1:264" s="191" customFormat="1" ht="11.25" hidden="1">
      <c r="A15" s="168">
        <v>1.6</v>
      </c>
      <c r="B15" s="106"/>
      <c r="C15" s="107"/>
      <c r="D15" s="169" t="str">
        <f>IF(OR(j_WEEKDAY(J_ADDDAY(VLOOKUP(I15,A:F,6,FALSE),H15,1),0)=6,SUMIFS(Holieday[ok],Holieday[date],J_ADDDAY(VLOOKUP(I15,A:F,6,FALSE),H15,1)))=FALSE(),J_ADDDAY(VLOOKUP(I15,A:F,6,FALSE),H15,1),IF(OR(j_WEEKDAY(J_ADDDAY(VLOOKUP(I15,A:F,6,FALSE),H15+1,1),0)=6,SUMIFS(Holieday[ok],Holieday[date],J_ADDDAY(VLOOKUP(I15,A:F,6,FALSE),H15+1,1)))=FALSE(),J_ADDDAY(VLOOKUP(I15,A:F,6,FALSE),H15+1,1),IF(OR(j_WEEKDAY(J_ADDDAY(VLOOKUP(I15,A:F,6,FALSE),H15+2,1),0)=6,SUMIFS(Holieday[ok],Holieday[date],J_ADDDAY(VLOOKUP(I15,A:F,6,FALSE),H15+2,1)))=FALSE(),J_ADDDAY(VLOOKUP(I15,A:F,6,FALSE),H15+2,1),IF(OR(j_WEEKDAY(J_ADDDAY(VLOOKUP(I15,A:F,6,FALSE),H15+3,1),0)=6,SUMIFS(Holieday[ok],Holieday[date],J_ADDDAY(VLOOKUP(I15,A:F,6,FALSE),H15+3,1)))=FALSE(),J_ADDDAY(VLOOKUP(I15,A:F,6,FALSE),H15+3,1),IF(OR(j_WEEKDAY(J_ADDDAY(VLOOKUP(I15,A:F,6,FALSE),H15+4,1),0)=6,SUMIFS(Holieday[ok],Holieday[date],J_ADDDAY(VLOOKUP(I15,A:F,6,FALSE),H15+4,1)))=FALSE(),J_ADDDAY(VLOOKUP(I15,A:F,6,FALSE),H15+4,1),J_ADDDAY(VLOOKUP(I15,A:F,6,FALSE),H15+5,1))))))</f>
        <v>1398/06/31</v>
      </c>
      <c r="E15" s="160">
        <f t="shared" si="4"/>
        <v>13980631</v>
      </c>
      <c r="F15" s="172" t="str">
        <f>IF(N15=0,J_SUBDAY(D15,1,1),IF((N15-(NETWORKDAYS.INTL(J_GregorianDate(D15,1),J_GregorianDate(J_SUBDAY(J_ADDDAY(D15,N15,1),1,1),1),16,1)))+SUMIFS(Holieday[ok],Holieday[date],CONCATENATE("&gt;","=",D15),Holieday[date],CONCATENATE("&lt;","=",J_SUBDAY(J_ADDDAY(D15,N15,1),1,1)))-SUMIFS(Holieday[Friday],Holieday[date],CONCATENATE("&gt;","=",D15),Holieday[date],CONCATENATE("&lt;","=",J_SUBDAY(J_ADDDAY(D15,N15,1),1,1)))=0,J_SUBDAY(J_ADDDAY(D15,N15,1),1,1),IF((N15+1-(NETWORKDAYS.INTL(J_GregorianDate(D15,1),J_GregorianDate(J_SUBDAY(J_ADDDAY(D15,N15+1,1),1,1),1),16,1)))+SUMIFS(Holieday[ok],Holieday[date],CONCATENATE("&gt;","=",D15),Holieday[date],CONCATENATE("&lt;","=",J_SUBDAY(J_ADDDAY(D15,N15+1,1),1,1)))-SUMIFS(Holieday[Friday],Holieday[date],CONCATENATE("&gt;","=",D15),Holieday[date],CONCATENATE("&lt;","=",J_SUBDAY(J_ADDDAY(D15,N15+1,1),1,1)))=1,J_SUBDAY(J_ADDDAY(D15,N15+1,1),1,1),IF((N15+2-(NETWORKDAYS.INTL(J_GregorianDate(D15,1),J_GregorianDate(J_SUBDAY(J_ADDDAY(D15,N15+2,1),1,1),1),16,1)))+SUMIFS(Holieday[ok],Holieday[date],CONCATENATE("&gt;","=",D15),Holieday[date],CONCATENATE("&lt;","=",J_SUBDAY(J_ADDDAY(D15,N15+2,1),1,1)))-SUMIFS(Holieday[Friday],Holieday[date],CONCATENATE("&gt;","=",D15),Holieday[date],CONCATENATE("&lt;","=",J_SUBDAY(J_ADDDAY(D15,N15+2,1),1,1)))=2,J_SUBDAY(J_ADDDAY(D15,N15+2,1),1,1),IF((N15+3-(NETWORKDAYS.INTL(J_GregorianDate(D15,1),J_GregorianDate(J_SUBDAY(J_ADDDAY(D15,N15+3,1),1,1),1),16,1)))+SUMIFS(Holieday[ok],Holieday[date],CONCATENATE("&gt;","=",D15),Holieday[date],CONCATENATE("&lt;","=",J_SUBDAY(J_ADDDAY(D15,N15+3,1),1,1)))-SUMIFS(Holieday[Friday],Holieday[date],CONCATENATE("&gt;","=",D15),Holieday[date],CONCATENATE("&lt;","=",J_SUBDAY(J_ADDDAY(D15,N15+3,1),1,1)))=3,J_SUBDAY(J_ADDDAY(D15,N15+3,1),1,1),IF((N15+4-(NETWORKDAYS.INTL(J_GregorianDate(D15,1),J_GregorianDate(J_SUBDAY(J_ADDDAY(D15,N15+4,1),1,1),1),16,1)))+SUMIFS(Holieday[ok],Holieday[date],CONCATENATE("&gt;","=",D15),Holieday[date],CONCATENATE("&lt;","=",J_SUBDAY(J_ADDDAY(D15,N15+4,1),1,1)))-SUMIFS(Holieday[Friday],Holieday[date],CONCATENATE("&gt;","=",D15),Holieday[date],CONCATENATE("&lt;","=",J_SUBDAY(J_ADDDAY(D15,N15+4,1),1,1)))=4,J_SUBDAY(J_ADDDAY(D15,N15+4,1),1,1),IF((N15+5-(NETWORKDAYS.INTL(J_GregorianDate(D15,1),J_GregorianDate(J_SUBDAY(J_ADDDAY(D15,N15+5,1),1,1),1),16,1)))+SUMIFS(Holieday[ok],Holieday[date],CONCATENATE("&gt;","=",D15),Holieday[date],CONCATENATE("&lt;","=",J_SUBDAY(J_ADDDAY(D15,N15+5,1),1,1)))-SUMIFS(Holieday[Friday],Holieday[date],CONCATENATE("&gt;","=",D15),Holieday[date],CONCATENATE("&lt;","=",J_SUBDAY(J_ADDDAY(D15,N15+5,1),1,1)))=5,J_SUBDAY(J_ADDDAY(D15,N15+5,1),1,1),J_SUBDAY(J_ADDDAY(D15,N15+6,1),1,1))))))))</f>
        <v>1398/06/30</v>
      </c>
      <c r="G15" s="163">
        <f t="shared" si="5"/>
        <v>13980630</v>
      </c>
      <c r="H15" s="109"/>
      <c r="I15" s="110">
        <v>1.1000000000000001</v>
      </c>
      <c r="J15" s="171">
        <f>j_WEEKDAY(D15,2)</f>
        <v>1</v>
      </c>
      <c r="K15" s="173">
        <f t="shared" si="7"/>
        <v>0</v>
      </c>
      <c r="L15" s="174">
        <f t="shared" si="8"/>
        <v>0</v>
      </c>
      <c r="M15" s="111">
        <v>1</v>
      </c>
      <c r="N15" s="108">
        <v>0</v>
      </c>
      <c r="O15" s="175">
        <f t="shared" si="9"/>
        <v>0</v>
      </c>
      <c r="P15" s="175">
        <f>VALUE(J_normdate(J_ADDDAY($D15,$O15,1)))</f>
        <v>13980631</v>
      </c>
      <c r="Q15" s="171">
        <f t="shared" si="10"/>
        <v>0</v>
      </c>
      <c r="R15" s="169"/>
      <c r="S15" s="169"/>
      <c r="T15" s="169"/>
      <c r="U15" s="169"/>
      <c r="V15" s="169"/>
      <c r="W15" s="169"/>
      <c r="X15" s="169"/>
      <c r="Y15" s="169"/>
      <c r="Z15" s="169"/>
      <c r="AA15" s="169"/>
      <c r="AB15" s="169"/>
      <c r="AC15" s="169"/>
      <c r="AD15" s="169"/>
      <c r="AE15" s="169"/>
      <c r="AF15" s="169"/>
      <c r="AG15" s="169"/>
      <c r="AH15" s="169"/>
      <c r="AI15" s="169"/>
      <c r="AJ15" s="169"/>
      <c r="AK15" s="169"/>
      <c r="AL15" s="169"/>
      <c r="AM15" s="169"/>
      <c r="AN15" s="169"/>
      <c r="AO15" s="169"/>
      <c r="AP15" s="169"/>
      <c r="AQ15" s="169"/>
      <c r="AR15" s="169"/>
      <c r="AS15" s="169"/>
      <c r="AT15" s="169"/>
      <c r="AU15" s="169"/>
      <c r="AV15" s="169"/>
      <c r="AW15" s="169"/>
      <c r="AX15" s="169"/>
      <c r="AY15" s="169"/>
      <c r="AZ15" s="169"/>
      <c r="BA15" s="169"/>
      <c r="BB15" s="169"/>
      <c r="BC15" s="169"/>
      <c r="BD15" s="169"/>
      <c r="BE15" s="169"/>
      <c r="BF15" s="169"/>
      <c r="BG15" s="169"/>
      <c r="BH15" s="169"/>
      <c r="BI15" s="169"/>
      <c r="BJ15" s="169"/>
      <c r="BK15" s="169"/>
      <c r="BL15" s="169"/>
      <c r="BM15" s="169"/>
      <c r="BN15" s="169"/>
      <c r="BO15" s="169"/>
      <c r="BP15" s="169"/>
      <c r="BQ15" s="169"/>
      <c r="BR15" s="169"/>
      <c r="BS15" s="169"/>
      <c r="BT15" s="169"/>
      <c r="BU15" s="169"/>
      <c r="BV15" s="169"/>
      <c r="BW15" s="169"/>
      <c r="BX15" s="169"/>
      <c r="BY15" s="169"/>
      <c r="BZ15" s="169"/>
      <c r="CA15" s="169"/>
      <c r="CB15" s="169"/>
      <c r="CC15" s="169"/>
      <c r="CD15" s="169"/>
      <c r="CE15" s="169"/>
      <c r="CF15" s="169"/>
      <c r="CG15" s="169"/>
      <c r="CH15" s="169"/>
      <c r="CI15" s="169"/>
      <c r="CJ15" s="169"/>
      <c r="CK15" s="169"/>
      <c r="CL15" s="169"/>
      <c r="CM15" s="169"/>
      <c r="CN15" s="169"/>
      <c r="CO15" s="169"/>
      <c r="CP15" s="169"/>
      <c r="CQ15" s="169"/>
      <c r="CR15" s="169"/>
      <c r="CS15" s="169"/>
      <c r="CT15" s="169"/>
      <c r="CU15" s="169"/>
      <c r="CV15" s="169"/>
      <c r="CW15" s="169"/>
      <c r="CX15" s="169"/>
      <c r="CY15" s="169"/>
      <c r="CZ15" s="169"/>
      <c r="DA15" s="169"/>
      <c r="DB15" s="169"/>
      <c r="DC15" s="169"/>
      <c r="DD15" s="169"/>
      <c r="DE15" s="169"/>
      <c r="DF15" s="169"/>
      <c r="DG15" s="169"/>
      <c r="DH15" s="169"/>
      <c r="DI15" s="169"/>
      <c r="DJ15" s="169"/>
      <c r="DK15" s="169"/>
      <c r="DL15" s="169"/>
      <c r="DM15" s="169"/>
      <c r="DN15" s="169"/>
      <c r="DO15" s="169"/>
      <c r="DP15" s="169"/>
      <c r="DQ15" s="169"/>
      <c r="DR15" s="169"/>
      <c r="DS15" s="169"/>
      <c r="DT15" s="169"/>
      <c r="DU15" s="169"/>
      <c r="DV15" s="169"/>
      <c r="DW15" s="169"/>
      <c r="DX15" s="169"/>
      <c r="DY15" s="169"/>
      <c r="DZ15" s="169"/>
      <c r="EA15" s="169"/>
      <c r="EB15" s="169"/>
      <c r="EC15" s="169"/>
      <c r="ED15" s="169"/>
      <c r="EE15" s="169"/>
      <c r="EF15" s="169"/>
      <c r="EG15" s="169"/>
      <c r="EH15" s="169"/>
      <c r="EI15" s="169"/>
      <c r="EJ15" s="169"/>
      <c r="EK15" s="169"/>
      <c r="EL15" s="169"/>
      <c r="EM15" s="169"/>
      <c r="EN15" s="169"/>
      <c r="EO15" s="169"/>
      <c r="EP15" s="169"/>
      <c r="EQ15" s="169"/>
      <c r="ER15" s="169"/>
      <c r="ES15" s="169"/>
      <c r="ET15" s="169"/>
      <c r="EU15" s="169"/>
      <c r="EV15" s="169"/>
      <c r="EW15" s="169"/>
      <c r="EX15" s="169"/>
      <c r="EY15" s="169"/>
      <c r="EZ15" s="169"/>
      <c r="FA15" s="169"/>
      <c r="FB15" s="169"/>
      <c r="FC15" s="169"/>
      <c r="FD15" s="169"/>
      <c r="FE15" s="169"/>
      <c r="FF15" s="169"/>
      <c r="FG15" s="169"/>
      <c r="FH15" s="169"/>
      <c r="FI15" s="169"/>
      <c r="FJ15" s="169"/>
      <c r="FK15" s="169"/>
      <c r="FL15" s="169"/>
      <c r="FM15" s="169"/>
      <c r="FN15" s="169"/>
      <c r="FO15" s="169"/>
      <c r="FP15" s="169"/>
      <c r="FQ15" s="169"/>
      <c r="FR15" s="169"/>
      <c r="FS15" s="169"/>
      <c r="FT15" s="169"/>
      <c r="FU15" s="169"/>
      <c r="FV15" s="169"/>
      <c r="FW15" s="169"/>
      <c r="FX15" s="169"/>
      <c r="FY15" s="169"/>
      <c r="FZ15" s="169"/>
      <c r="GA15" s="169"/>
      <c r="GB15" s="169"/>
      <c r="GC15" s="169"/>
      <c r="GD15" s="169"/>
      <c r="GE15" s="169"/>
      <c r="GF15" s="169"/>
      <c r="GG15" s="169"/>
      <c r="GH15" s="169"/>
      <c r="GI15" s="169"/>
      <c r="GJ15" s="169"/>
      <c r="GK15" s="169"/>
      <c r="GL15" s="169"/>
      <c r="GM15" s="169"/>
      <c r="GN15" s="169"/>
      <c r="GO15" s="169"/>
      <c r="GP15" s="169"/>
      <c r="GQ15" s="169"/>
      <c r="GR15" s="169"/>
      <c r="GS15" s="169"/>
      <c r="GT15" s="169"/>
      <c r="GU15" s="169"/>
      <c r="GV15" s="169"/>
      <c r="GW15" s="169"/>
      <c r="GX15" s="169"/>
      <c r="GY15" s="169"/>
      <c r="GZ15" s="169"/>
      <c r="HA15" s="169"/>
      <c r="HB15" s="169"/>
      <c r="HC15" s="169"/>
      <c r="HD15" s="169"/>
      <c r="HE15" s="169"/>
      <c r="HF15" s="169"/>
      <c r="HG15" s="169"/>
      <c r="HH15" s="169"/>
      <c r="HI15" s="169"/>
      <c r="HJ15" s="169"/>
      <c r="HK15" s="169"/>
      <c r="HL15" s="169"/>
      <c r="HM15" s="169"/>
      <c r="HN15" s="169"/>
      <c r="HO15" s="169"/>
      <c r="HP15" s="169"/>
      <c r="HQ15" s="169"/>
      <c r="HR15" s="169"/>
      <c r="HS15" s="169"/>
      <c r="HT15" s="169"/>
      <c r="HU15" s="169"/>
      <c r="HV15" s="169"/>
      <c r="HW15" s="169"/>
      <c r="HX15" s="169"/>
      <c r="HY15" s="169"/>
      <c r="HZ15" s="169"/>
      <c r="IA15" s="169"/>
      <c r="IB15" s="169"/>
      <c r="IC15" s="169"/>
      <c r="ID15" s="169"/>
      <c r="IE15" s="169"/>
      <c r="IF15" s="169"/>
      <c r="IG15" s="169"/>
      <c r="IH15" s="169"/>
      <c r="II15" s="169"/>
      <c r="IJ15" s="169"/>
      <c r="IK15" s="169"/>
      <c r="IL15" s="169"/>
      <c r="IM15" s="169"/>
      <c r="IN15" s="169"/>
      <c r="IO15" s="169"/>
      <c r="IP15" s="169"/>
      <c r="IQ15" s="169"/>
      <c r="IR15" s="169"/>
      <c r="IS15" s="169"/>
      <c r="IT15" s="169"/>
      <c r="IU15" s="169"/>
      <c r="IV15" s="169"/>
      <c r="IW15" s="169"/>
      <c r="IX15" s="169"/>
      <c r="IY15" s="29">
        <v>1</v>
      </c>
      <c r="IZ15" s="40">
        <f>(TEXT(K15,"[m]")/60)*VLOOKUP(IY15,'Income Person-hours'!A$2:C$5,3,FALSE)</f>
        <v>0</v>
      </c>
      <c r="JA15" s="112"/>
      <c r="JB15" s="112"/>
      <c r="JC15" s="112"/>
      <c r="JD15" s="192">
        <f>SUM((TEXT(JA15,"[M]")/60)*'Income Person-hours'!$D$3,(TEXT(JB15,"[M]")/60)*'Income Person-hours'!$D$4,(TEXT(JC15,"[M]")/60)*'Income Person-hours'!$D$5)</f>
        <v>0</v>
      </c>
    </row>
    <row r="16" spans="1:264" s="191" customFormat="1" ht="11.25" hidden="1">
      <c r="A16" s="176">
        <v>1.7</v>
      </c>
      <c r="B16" s="106"/>
      <c r="C16" s="107"/>
      <c r="D16" s="170" t="str">
        <f>IF(OR(j_WEEKDAY(J_ADDDAY(VLOOKUP(I16,A:F,6,FALSE),H16,1),0)=6,SUMIFS(Holieday[ok],Holieday[date],J_ADDDAY(VLOOKUP(I16,A:F,6,FALSE),H16,1)))=FALSE(),J_ADDDAY(VLOOKUP(I16,A:F,6,FALSE),H16,1),IF(OR(j_WEEKDAY(J_ADDDAY(VLOOKUP(I16,A:F,6,FALSE),H16+1,1),0)=6,SUMIFS(Holieday[ok],Holieday[date],J_ADDDAY(VLOOKUP(I16,A:F,6,FALSE),H16+1,1)))=FALSE(),J_ADDDAY(VLOOKUP(I16,A:F,6,FALSE),H16+1,1),IF(OR(j_WEEKDAY(J_ADDDAY(VLOOKUP(I16,A:F,6,FALSE),H16+2,1),0)=6,SUMIFS(Holieday[ok],Holieday[date],J_ADDDAY(VLOOKUP(I16,A:F,6,FALSE),H16+2,1)))=FALSE(),J_ADDDAY(VLOOKUP(I16,A:F,6,FALSE),H16+2,1),IF(OR(j_WEEKDAY(J_ADDDAY(VLOOKUP(I16,A:F,6,FALSE),H16+3,1),0)=6,SUMIFS(Holieday[ok],Holieday[date],J_ADDDAY(VLOOKUP(I16,A:F,6,FALSE),H16+3,1)))=FALSE(),J_ADDDAY(VLOOKUP(I16,A:F,6,FALSE),H16+3,1),IF(OR(j_WEEKDAY(J_ADDDAY(VLOOKUP(I16,A:F,6,FALSE),H16+4,1),0)=6,SUMIFS(Holieday[ok],Holieday[date],J_ADDDAY(VLOOKUP(I16,A:F,6,FALSE),H16+4,1)))=FALSE(),J_ADDDAY(VLOOKUP(I16,A:F,6,FALSE),H16+4,1),J_ADDDAY(VLOOKUP(I16,A:F,6,FALSE),H16+5,1))))))</f>
        <v>1398/06/31</v>
      </c>
      <c r="E16" s="160">
        <f t="shared" si="4"/>
        <v>13980631</v>
      </c>
      <c r="F16" s="171" t="str">
        <f>IF(N16=0,J_SUBDAY(D16,1,1),IF((N16-(NETWORKDAYS.INTL(J_GregorianDate(D16,1),J_GregorianDate(J_SUBDAY(J_ADDDAY(D16,N16,1),1,1),1),16,1)))+SUMIFS(Holieday[ok],Holieday[date],CONCATENATE("&gt;","=",D16),Holieday[date],CONCATENATE("&lt;","=",J_SUBDAY(J_ADDDAY(D16,N16,1),1,1)))-SUMIFS(Holieday[Friday],Holieday[date],CONCATENATE("&gt;","=",D16),Holieday[date],CONCATENATE("&lt;","=",J_SUBDAY(J_ADDDAY(D16,N16,1),1,1)))=0,J_SUBDAY(J_ADDDAY(D16,N16,1),1,1),IF((N16+1-(NETWORKDAYS.INTL(J_GregorianDate(D16,1),J_GregorianDate(J_SUBDAY(J_ADDDAY(D16,N16+1,1),1,1),1),16,1)))+SUMIFS(Holieday[ok],Holieday[date],CONCATENATE("&gt;","=",D16),Holieday[date],CONCATENATE("&lt;","=",J_SUBDAY(J_ADDDAY(D16,N16+1,1),1,1)))-SUMIFS(Holieday[Friday],Holieday[date],CONCATENATE("&gt;","=",D16),Holieday[date],CONCATENATE("&lt;","=",J_SUBDAY(J_ADDDAY(D16,N16+1,1),1,1)))=1,J_SUBDAY(J_ADDDAY(D16,N16+1,1),1,1),IF((N16+2-(NETWORKDAYS.INTL(J_GregorianDate(D16,1),J_GregorianDate(J_SUBDAY(J_ADDDAY(D16,N16+2,1),1,1),1),16,1)))+SUMIFS(Holieday[ok],Holieday[date],CONCATENATE("&gt;","=",D16),Holieday[date],CONCATENATE("&lt;","=",J_SUBDAY(J_ADDDAY(D16,N16+2,1),1,1)))-SUMIFS(Holieday[Friday],Holieday[date],CONCATENATE("&gt;","=",D16),Holieday[date],CONCATENATE("&lt;","=",J_SUBDAY(J_ADDDAY(D16,N16+2,1),1,1)))=2,J_SUBDAY(J_ADDDAY(D16,N16+2,1),1,1),IF((N16+3-(NETWORKDAYS.INTL(J_GregorianDate(D16,1),J_GregorianDate(J_SUBDAY(J_ADDDAY(D16,N16+3,1),1,1),1),16,1)))+SUMIFS(Holieday[ok],Holieday[date],CONCATENATE("&gt;","=",D16),Holieday[date],CONCATENATE("&lt;","=",J_SUBDAY(J_ADDDAY(D16,N16+3,1),1,1)))-SUMIFS(Holieday[Friday],Holieday[date],CONCATENATE("&gt;","=",D16),Holieday[date],CONCATENATE("&lt;","=",J_SUBDAY(J_ADDDAY(D16,N16+3,1),1,1)))=3,J_SUBDAY(J_ADDDAY(D16,N16+3,1),1,1),IF((N16+4-(NETWORKDAYS.INTL(J_GregorianDate(D16,1),J_GregorianDate(J_SUBDAY(J_ADDDAY(D16,N16+4,1),1,1),1),16,1)))+SUMIFS(Holieday[ok],Holieday[date],CONCATENATE("&gt;","=",D16),Holieday[date],CONCATENATE("&lt;","=",J_SUBDAY(J_ADDDAY(D16,N16+4,1),1,1)))-SUMIFS(Holieday[Friday],Holieday[date],CONCATENATE("&gt;","=",D16),Holieday[date],CONCATENATE("&lt;","=",J_SUBDAY(J_ADDDAY(D16,N16+4,1),1,1)))=4,J_SUBDAY(J_ADDDAY(D16,N16+4,1),1,1),IF((N16+5-(NETWORKDAYS.INTL(J_GregorianDate(D16,1),J_GregorianDate(J_SUBDAY(J_ADDDAY(D16,N16+5,1),1,1),1),16,1)))+SUMIFS(Holieday[ok],Holieday[date],CONCATENATE("&gt;","=",D16),Holieday[date],CONCATENATE("&lt;","=",J_SUBDAY(J_ADDDAY(D16,N16+5,1),1,1)))-SUMIFS(Holieday[Friday],Holieday[date],CONCATENATE("&gt;","=",D16),Holieday[date],CONCATENATE("&lt;","=",J_SUBDAY(J_ADDDAY(D16,N16+5,1),1,1)))=5,J_SUBDAY(J_ADDDAY(D16,N16+5,1),1,1),J_SUBDAY(J_ADDDAY(D16,N16+6,1),1,1))))))))</f>
        <v>1398/06/30</v>
      </c>
      <c r="G16" s="163">
        <f t="shared" si="5"/>
        <v>13980630</v>
      </c>
      <c r="H16" s="109"/>
      <c r="I16" s="110">
        <v>1.1000000000000001</v>
      </c>
      <c r="J16" s="171">
        <f>j_WEEKDAY(D16,2)</f>
        <v>1</v>
      </c>
      <c r="K16" s="173">
        <f t="shared" si="7"/>
        <v>0</v>
      </c>
      <c r="L16" s="174">
        <f t="shared" si="8"/>
        <v>0</v>
      </c>
      <c r="M16" s="111">
        <v>1</v>
      </c>
      <c r="N16" s="108">
        <v>0</v>
      </c>
      <c r="O16" s="175">
        <f t="shared" si="9"/>
        <v>0</v>
      </c>
      <c r="P16" s="175">
        <f>VALUE(J_normdate(J_ADDDAY($D16,$O16,1)))</f>
        <v>13980631</v>
      </c>
      <c r="Q16" s="171">
        <f t="shared" si="10"/>
        <v>0</v>
      </c>
      <c r="R16" s="169"/>
      <c r="S16" s="169"/>
      <c r="T16" s="169"/>
      <c r="U16" s="169"/>
      <c r="V16" s="169"/>
      <c r="W16" s="169"/>
      <c r="X16" s="169"/>
      <c r="Y16" s="169"/>
      <c r="Z16" s="169"/>
      <c r="AA16" s="169"/>
      <c r="AB16" s="169"/>
      <c r="AC16" s="169"/>
      <c r="AD16" s="169"/>
      <c r="AE16" s="169"/>
      <c r="AF16" s="169"/>
      <c r="AG16" s="169"/>
      <c r="AH16" s="169"/>
      <c r="AI16" s="169"/>
      <c r="AJ16" s="169"/>
      <c r="AK16" s="169"/>
      <c r="AL16" s="169"/>
      <c r="AM16" s="169"/>
      <c r="AN16" s="169"/>
      <c r="AO16" s="169"/>
      <c r="AP16" s="169"/>
      <c r="AQ16" s="169"/>
      <c r="AR16" s="169"/>
      <c r="AS16" s="169"/>
      <c r="AT16" s="169"/>
      <c r="AU16" s="169"/>
      <c r="AV16" s="169"/>
      <c r="AW16" s="169"/>
      <c r="AX16" s="169"/>
      <c r="AY16" s="169"/>
      <c r="AZ16" s="169"/>
      <c r="BA16" s="169"/>
      <c r="BB16" s="169"/>
      <c r="BC16" s="169"/>
      <c r="BD16" s="169"/>
      <c r="BE16" s="169"/>
      <c r="BF16" s="169"/>
      <c r="BG16" s="169"/>
      <c r="BH16" s="169"/>
      <c r="BI16" s="169"/>
      <c r="BJ16" s="169"/>
      <c r="BK16" s="169"/>
      <c r="BL16" s="169"/>
      <c r="BM16" s="169"/>
      <c r="BN16" s="169"/>
      <c r="BO16" s="169"/>
      <c r="BP16" s="169"/>
      <c r="BQ16" s="169"/>
      <c r="BR16" s="169"/>
      <c r="BS16" s="169"/>
      <c r="BT16" s="169"/>
      <c r="BU16" s="169"/>
      <c r="BV16" s="169"/>
      <c r="BW16" s="169"/>
      <c r="BX16" s="169"/>
      <c r="BY16" s="169"/>
      <c r="BZ16" s="169"/>
      <c r="CA16" s="169"/>
      <c r="CB16" s="169"/>
      <c r="CC16" s="169"/>
      <c r="CD16" s="169"/>
      <c r="CE16" s="169"/>
      <c r="CF16" s="169"/>
      <c r="CG16" s="169"/>
      <c r="CH16" s="169"/>
      <c r="CI16" s="169"/>
      <c r="CJ16" s="169"/>
      <c r="CK16" s="169"/>
      <c r="CL16" s="169"/>
      <c r="CM16" s="169"/>
      <c r="CN16" s="169"/>
      <c r="CO16" s="169"/>
      <c r="CP16" s="169"/>
      <c r="CQ16" s="169"/>
      <c r="CR16" s="169"/>
      <c r="CS16" s="169"/>
      <c r="CT16" s="169"/>
      <c r="CU16" s="169"/>
      <c r="CV16" s="169"/>
      <c r="CW16" s="169"/>
      <c r="CX16" s="169"/>
      <c r="CY16" s="169"/>
      <c r="CZ16" s="169"/>
      <c r="DA16" s="169"/>
      <c r="DB16" s="169"/>
      <c r="DC16" s="169"/>
      <c r="DD16" s="169"/>
      <c r="DE16" s="169"/>
      <c r="DF16" s="169"/>
      <c r="DG16" s="169"/>
      <c r="DH16" s="169"/>
      <c r="DI16" s="169"/>
      <c r="DJ16" s="169"/>
      <c r="DK16" s="169"/>
      <c r="DL16" s="169"/>
      <c r="DM16" s="169"/>
      <c r="DN16" s="169"/>
      <c r="DO16" s="169"/>
      <c r="DP16" s="169"/>
      <c r="DQ16" s="169"/>
      <c r="DR16" s="169"/>
      <c r="DS16" s="169"/>
      <c r="DT16" s="169"/>
      <c r="DU16" s="169"/>
      <c r="DV16" s="169"/>
      <c r="DW16" s="169"/>
      <c r="DX16" s="169"/>
      <c r="DY16" s="169"/>
      <c r="DZ16" s="169"/>
      <c r="EA16" s="169"/>
      <c r="EB16" s="169"/>
      <c r="EC16" s="169"/>
      <c r="ED16" s="169"/>
      <c r="EE16" s="169"/>
      <c r="EF16" s="169"/>
      <c r="EG16" s="169"/>
      <c r="EH16" s="169"/>
      <c r="EI16" s="169"/>
      <c r="EJ16" s="169"/>
      <c r="EK16" s="169"/>
      <c r="EL16" s="169"/>
      <c r="EM16" s="169"/>
      <c r="EN16" s="169"/>
      <c r="EO16" s="169"/>
      <c r="EP16" s="169"/>
      <c r="EQ16" s="169"/>
      <c r="ER16" s="169"/>
      <c r="ES16" s="169"/>
      <c r="ET16" s="169"/>
      <c r="EU16" s="169"/>
      <c r="EV16" s="169"/>
      <c r="EW16" s="169"/>
      <c r="EX16" s="169"/>
      <c r="EY16" s="169"/>
      <c r="EZ16" s="169"/>
      <c r="FA16" s="169"/>
      <c r="FB16" s="169"/>
      <c r="FC16" s="169"/>
      <c r="FD16" s="169"/>
      <c r="FE16" s="169"/>
      <c r="FF16" s="169"/>
      <c r="FG16" s="169"/>
      <c r="FH16" s="169"/>
      <c r="FI16" s="169"/>
      <c r="FJ16" s="169"/>
      <c r="FK16" s="169"/>
      <c r="FL16" s="169"/>
      <c r="FM16" s="169"/>
      <c r="FN16" s="169"/>
      <c r="FO16" s="169"/>
      <c r="FP16" s="169"/>
      <c r="FQ16" s="169"/>
      <c r="FR16" s="169"/>
      <c r="FS16" s="169"/>
      <c r="FT16" s="169"/>
      <c r="FU16" s="169"/>
      <c r="FV16" s="169"/>
      <c r="FW16" s="169"/>
      <c r="FX16" s="169"/>
      <c r="FY16" s="169"/>
      <c r="FZ16" s="169"/>
      <c r="GA16" s="169"/>
      <c r="GB16" s="169"/>
      <c r="GC16" s="169"/>
      <c r="GD16" s="169"/>
      <c r="GE16" s="169"/>
      <c r="GF16" s="169"/>
      <c r="GG16" s="169"/>
      <c r="GH16" s="169"/>
      <c r="GI16" s="169"/>
      <c r="GJ16" s="169"/>
      <c r="GK16" s="169"/>
      <c r="GL16" s="169"/>
      <c r="GM16" s="169"/>
      <c r="GN16" s="169"/>
      <c r="GO16" s="169"/>
      <c r="GP16" s="169"/>
      <c r="GQ16" s="169"/>
      <c r="GR16" s="169"/>
      <c r="GS16" s="169"/>
      <c r="GT16" s="169"/>
      <c r="GU16" s="169"/>
      <c r="GV16" s="169"/>
      <c r="GW16" s="169"/>
      <c r="GX16" s="169"/>
      <c r="GY16" s="169"/>
      <c r="GZ16" s="169"/>
      <c r="HA16" s="169"/>
      <c r="HB16" s="169"/>
      <c r="HC16" s="169"/>
      <c r="HD16" s="169"/>
      <c r="HE16" s="169"/>
      <c r="HF16" s="169"/>
      <c r="HG16" s="169"/>
      <c r="HH16" s="169"/>
      <c r="HI16" s="169"/>
      <c r="HJ16" s="169"/>
      <c r="HK16" s="169"/>
      <c r="HL16" s="169"/>
      <c r="HM16" s="169"/>
      <c r="HN16" s="169"/>
      <c r="HO16" s="169"/>
      <c r="HP16" s="169"/>
      <c r="HQ16" s="169"/>
      <c r="HR16" s="169"/>
      <c r="HS16" s="169"/>
      <c r="HT16" s="169"/>
      <c r="HU16" s="169"/>
      <c r="HV16" s="169"/>
      <c r="HW16" s="169"/>
      <c r="HX16" s="169"/>
      <c r="HY16" s="169"/>
      <c r="HZ16" s="169"/>
      <c r="IA16" s="169"/>
      <c r="IB16" s="169"/>
      <c r="IC16" s="169"/>
      <c r="ID16" s="169"/>
      <c r="IE16" s="169"/>
      <c r="IF16" s="169"/>
      <c r="IG16" s="169"/>
      <c r="IH16" s="169"/>
      <c r="II16" s="169"/>
      <c r="IJ16" s="169"/>
      <c r="IK16" s="169"/>
      <c r="IL16" s="169"/>
      <c r="IM16" s="169"/>
      <c r="IN16" s="169"/>
      <c r="IO16" s="169"/>
      <c r="IP16" s="169"/>
      <c r="IQ16" s="169"/>
      <c r="IR16" s="169"/>
      <c r="IS16" s="169"/>
      <c r="IT16" s="169"/>
      <c r="IU16" s="169"/>
      <c r="IV16" s="169"/>
      <c r="IW16" s="169"/>
      <c r="IX16" s="169"/>
      <c r="IY16" s="29">
        <v>1</v>
      </c>
      <c r="IZ16" s="40">
        <f>(TEXT(K16,"[m]")/60)*VLOOKUP(IY16,'Income Person-hours'!A$2:C$5,3,FALSE)</f>
        <v>0</v>
      </c>
      <c r="JA16" s="112"/>
      <c r="JB16" s="112"/>
      <c r="JC16" s="112"/>
      <c r="JD16" s="192">
        <f>SUM((TEXT(JA16,"[M]")/60)*'Income Person-hours'!$D$3,(TEXT(JB16,"[M]")/60)*'Income Person-hours'!$D$4,(TEXT(JC16,"[M]")/60)*'Income Person-hours'!$D$5)</f>
        <v>0</v>
      </c>
    </row>
    <row r="17" spans="1:264" s="191" customFormat="1" ht="11.25" hidden="1">
      <c r="A17" s="176">
        <v>1.8</v>
      </c>
      <c r="B17" s="106"/>
      <c r="C17" s="107"/>
      <c r="D17" s="170" t="str">
        <f>IF(OR(j_WEEKDAY(J_ADDDAY(VLOOKUP(I17,A:F,6,FALSE),H17,1),0)=6,SUMIFS(Holieday[ok],Holieday[date],J_ADDDAY(VLOOKUP(I17,A:F,6,FALSE),H17,1)))=FALSE(),J_ADDDAY(VLOOKUP(I17,A:F,6,FALSE),H17,1),IF(OR(j_WEEKDAY(J_ADDDAY(VLOOKUP(I17,A:F,6,FALSE),H17+1,1),0)=6,SUMIFS(Holieday[ok],Holieday[date],J_ADDDAY(VLOOKUP(I17,A:F,6,FALSE),H17+1,1)))=FALSE(),J_ADDDAY(VLOOKUP(I17,A:F,6,FALSE),H17+1,1),IF(OR(j_WEEKDAY(J_ADDDAY(VLOOKUP(I17,A:F,6,FALSE),H17+2,1),0)=6,SUMIFS(Holieday[ok],Holieday[date],J_ADDDAY(VLOOKUP(I17,A:F,6,FALSE),H17+2,1)))=FALSE(),J_ADDDAY(VLOOKUP(I17,A:F,6,FALSE),H17+2,1),IF(OR(j_WEEKDAY(J_ADDDAY(VLOOKUP(I17,A:F,6,FALSE),H17+3,1),0)=6,SUMIFS(Holieday[ok],Holieday[date],J_ADDDAY(VLOOKUP(I17,A:F,6,FALSE),H17+3,1)))=FALSE(),J_ADDDAY(VLOOKUP(I17,A:F,6,FALSE),H17+3,1),IF(OR(j_WEEKDAY(J_ADDDAY(VLOOKUP(I17,A:F,6,FALSE),H17+4,1),0)=6,SUMIFS(Holieday[ok],Holieday[date],J_ADDDAY(VLOOKUP(I17,A:F,6,FALSE),H17+4,1)))=FALSE(),J_ADDDAY(VLOOKUP(I17,A:F,6,FALSE),H17+4,1),J_ADDDAY(VLOOKUP(I17,A:F,6,FALSE),H17+5,1))))))</f>
        <v>1398/06/31</v>
      </c>
      <c r="E17" s="160">
        <f t="shared" si="4"/>
        <v>13980631</v>
      </c>
      <c r="F17" s="171" t="str">
        <f>IF(N17=0,J_SUBDAY(D17,1,1),IF((N17-(NETWORKDAYS.INTL(J_GregorianDate(D17,1),J_GregorianDate(J_SUBDAY(J_ADDDAY(D17,N17,1),1,1),1),16,1)))+SUMIFS(Holieday[ok],Holieday[date],CONCATENATE("&gt;","=",D17),Holieday[date],CONCATENATE("&lt;","=",J_SUBDAY(J_ADDDAY(D17,N17,1),1,1)))-SUMIFS(Holieday[Friday],Holieday[date],CONCATENATE("&gt;","=",D17),Holieday[date],CONCATENATE("&lt;","=",J_SUBDAY(J_ADDDAY(D17,N17,1),1,1)))=0,J_SUBDAY(J_ADDDAY(D17,N17,1),1,1),IF((N17+1-(NETWORKDAYS.INTL(J_GregorianDate(D17,1),J_GregorianDate(J_SUBDAY(J_ADDDAY(D17,N17+1,1),1,1),1),16,1)))+SUMIFS(Holieday[ok],Holieday[date],CONCATENATE("&gt;","=",D17),Holieday[date],CONCATENATE("&lt;","=",J_SUBDAY(J_ADDDAY(D17,N17+1,1),1,1)))-SUMIFS(Holieday[Friday],Holieday[date],CONCATENATE("&gt;","=",D17),Holieday[date],CONCATENATE("&lt;","=",J_SUBDAY(J_ADDDAY(D17,N17+1,1),1,1)))=1,J_SUBDAY(J_ADDDAY(D17,N17+1,1),1,1),IF((N17+2-(NETWORKDAYS.INTL(J_GregorianDate(D17,1),J_GregorianDate(J_SUBDAY(J_ADDDAY(D17,N17+2,1),1,1),1),16,1)))+SUMIFS(Holieday[ok],Holieday[date],CONCATENATE("&gt;","=",D17),Holieday[date],CONCATENATE("&lt;","=",J_SUBDAY(J_ADDDAY(D17,N17+2,1),1,1)))-SUMIFS(Holieday[Friday],Holieday[date],CONCATENATE("&gt;","=",D17),Holieday[date],CONCATENATE("&lt;","=",J_SUBDAY(J_ADDDAY(D17,N17+2,1),1,1)))=2,J_SUBDAY(J_ADDDAY(D17,N17+2,1),1,1),IF((N17+3-(NETWORKDAYS.INTL(J_GregorianDate(D17,1),J_GregorianDate(J_SUBDAY(J_ADDDAY(D17,N17+3,1),1,1),1),16,1)))+SUMIFS(Holieday[ok],Holieday[date],CONCATENATE("&gt;","=",D17),Holieday[date],CONCATENATE("&lt;","=",J_SUBDAY(J_ADDDAY(D17,N17+3,1),1,1)))-SUMIFS(Holieday[Friday],Holieday[date],CONCATENATE("&gt;","=",D17),Holieday[date],CONCATENATE("&lt;","=",J_SUBDAY(J_ADDDAY(D17,N17+3,1),1,1)))=3,J_SUBDAY(J_ADDDAY(D17,N17+3,1),1,1),IF((N17+4-(NETWORKDAYS.INTL(J_GregorianDate(D17,1),J_GregorianDate(J_SUBDAY(J_ADDDAY(D17,N17+4,1),1,1),1),16,1)))+SUMIFS(Holieday[ok],Holieday[date],CONCATENATE("&gt;","=",D17),Holieday[date],CONCATENATE("&lt;","=",J_SUBDAY(J_ADDDAY(D17,N17+4,1),1,1)))-SUMIFS(Holieday[Friday],Holieday[date],CONCATENATE("&gt;","=",D17),Holieday[date],CONCATENATE("&lt;","=",J_SUBDAY(J_ADDDAY(D17,N17+4,1),1,1)))=4,J_SUBDAY(J_ADDDAY(D17,N17+4,1),1,1),IF((N17+5-(NETWORKDAYS.INTL(J_GregorianDate(D17,1),J_GregorianDate(J_SUBDAY(J_ADDDAY(D17,N17+5,1),1,1),1),16,1)))+SUMIFS(Holieday[ok],Holieday[date],CONCATENATE("&gt;","=",D17),Holieday[date],CONCATENATE("&lt;","=",J_SUBDAY(J_ADDDAY(D17,N17+5,1),1,1)))-SUMIFS(Holieday[Friday],Holieday[date],CONCATENATE("&gt;","=",D17),Holieday[date],CONCATENATE("&lt;","=",J_SUBDAY(J_ADDDAY(D17,N17+5,1),1,1)))=5,J_SUBDAY(J_ADDDAY(D17,N17+5,1),1,1),J_SUBDAY(J_ADDDAY(D17,N17+6,1),1,1))))))))</f>
        <v>1398/06/30</v>
      </c>
      <c r="G17" s="163">
        <f t="shared" si="5"/>
        <v>13980630</v>
      </c>
      <c r="H17" s="109"/>
      <c r="I17" s="110">
        <v>1.1000000000000001</v>
      </c>
      <c r="J17" s="171">
        <f>j_WEEKDAY(D17,2)</f>
        <v>1</v>
      </c>
      <c r="K17" s="173">
        <f t="shared" si="7"/>
        <v>0</v>
      </c>
      <c r="L17" s="174">
        <f t="shared" si="8"/>
        <v>0</v>
      </c>
      <c r="M17" s="111">
        <v>1</v>
      </c>
      <c r="N17" s="108">
        <v>0</v>
      </c>
      <c r="O17" s="175">
        <f t="shared" si="9"/>
        <v>0</v>
      </c>
      <c r="P17" s="175">
        <f>VALUE(J_normdate(J_ADDDAY($D17,$O17,1)))</f>
        <v>13980631</v>
      </c>
      <c r="Q17" s="171">
        <f t="shared" si="10"/>
        <v>0</v>
      </c>
      <c r="R17" s="169"/>
      <c r="S17" s="169"/>
      <c r="T17" s="169"/>
      <c r="U17" s="169"/>
      <c r="V17" s="169"/>
      <c r="W17" s="169"/>
      <c r="X17" s="169"/>
      <c r="Y17" s="169"/>
      <c r="Z17" s="169"/>
      <c r="AA17" s="169"/>
      <c r="AB17" s="169"/>
      <c r="AC17" s="169"/>
      <c r="AD17" s="169"/>
      <c r="AE17" s="169"/>
      <c r="AF17" s="169"/>
      <c r="AG17" s="169"/>
      <c r="AH17" s="169"/>
      <c r="AI17" s="169"/>
      <c r="AJ17" s="169"/>
      <c r="AK17" s="169"/>
      <c r="AL17" s="169"/>
      <c r="AM17" s="169"/>
      <c r="AN17" s="169"/>
      <c r="AO17" s="169"/>
      <c r="AP17" s="169"/>
      <c r="AQ17" s="169"/>
      <c r="AR17" s="169"/>
      <c r="AS17" s="169"/>
      <c r="AT17" s="169"/>
      <c r="AU17" s="169"/>
      <c r="AV17" s="169"/>
      <c r="AW17" s="169"/>
      <c r="AX17" s="169"/>
      <c r="AY17" s="169"/>
      <c r="AZ17" s="169"/>
      <c r="BA17" s="169"/>
      <c r="BB17" s="169"/>
      <c r="BC17" s="169"/>
      <c r="BD17" s="169"/>
      <c r="BE17" s="169"/>
      <c r="BF17" s="169"/>
      <c r="BG17" s="169"/>
      <c r="BH17" s="169"/>
      <c r="BI17" s="169"/>
      <c r="BJ17" s="169"/>
      <c r="BK17" s="169"/>
      <c r="BL17" s="169"/>
      <c r="BM17" s="169"/>
      <c r="BN17" s="169"/>
      <c r="BO17" s="169"/>
      <c r="BP17" s="169"/>
      <c r="BQ17" s="169"/>
      <c r="BR17" s="169"/>
      <c r="BS17" s="169"/>
      <c r="BT17" s="169"/>
      <c r="BU17" s="169"/>
      <c r="BV17" s="169"/>
      <c r="BW17" s="169"/>
      <c r="BX17" s="169"/>
      <c r="BY17" s="169"/>
      <c r="BZ17" s="169"/>
      <c r="CA17" s="169"/>
      <c r="CB17" s="169"/>
      <c r="CC17" s="169"/>
      <c r="CD17" s="169"/>
      <c r="CE17" s="169"/>
      <c r="CF17" s="169"/>
      <c r="CG17" s="169"/>
      <c r="CH17" s="169"/>
      <c r="CI17" s="169"/>
      <c r="CJ17" s="169"/>
      <c r="CK17" s="169"/>
      <c r="CL17" s="169"/>
      <c r="CM17" s="169"/>
      <c r="CN17" s="169"/>
      <c r="CO17" s="169"/>
      <c r="CP17" s="169"/>
      <c r="CQ17" s="169"/>
      <c r="CR17" s="169"/>
      <c r="CS17" s="169"/>
      <c r="CT17" s="169"/>
      <c r="CU17" s="169"/>
      <c r="CV17" s="169"/>
      <c r="CW17" s="169"/>
      <c r="CX17" s="169"/>
      <c r="CY17" s="169"/>
      <c r="CZ17" s="169"/>
      <c r="DA17" s="169"/>
      <c r="DB17" s="169"/>
      <c r="DC17" s="169"/>
      <c r="DD17" s="169"/>
      <c r="DE17" s="169"/>
      <c r="DF17" s="169"/>
      <c r="DG17" s="169"/>
      <c r="DH17" s="169"/>
      <c r="DI17" s="169"/>
      <c r="DJ17" s="169"/>
      <c r="DK17" s="169"/>
      <c r="DL17" s="169"/>
      <c r="DM17" s="169"/>
      <c r="DN17" s="169"/>
      <c r="DO17" s="169"/>
      <c r="DP17" s="169"/>
      <c r="DQ17" s="169"/>
      <c r="DR17" s="169"/>
      <c r="DS17" s="169"/>
      <c r="DT17" s="169"/>
      <c r="DU17" s="169"/>
      <c r="DV17" s="169"/>
      <c r="DW17" s="169"/>
      <c r="DX17" s="169"/>
      <c r="DY17" s="169"/>
      <c r="DZ17" s="169"/>
      <c r="EA17" s="169"/>
      <c r="EB17" s="169"/>
      <c r="EC17" s="169"/>
      <c r="ED17" s="169"/>
      <c r="EE17" s="169"/>
      <c r="EF17" s="169"/>
      <c r="EG17" s="169"/>
      <c r="EH17" s="169"/>
      <c r="EI17" s="169"/>
      <c r="EJ17" s="169"/>
      <c r="EK17" s="169"/>
      <c r="EL17" s="169"/>
      <c r="EM17" s="169"/>
      <c r="EN17" s="169"/>
      <c r="EO17" s="169"/>
      <c r="EP17" s="169"/>
      <c r="EQ17" s="169"/>
      <c r="ER17" s="169"/>
      <c r="ES17" s="169"/>
      <c r="ET17" s="169"/>
      <c r="EU17" s="169"/>
      <c r="EV17" s="169"/>
      <c r="EW17" s="169"/>
      <c r="EX17" s="169"/>
      <c r="EY17" s="169"/>
      <c r="EZ17" s="169"/>
      <c r="FA17" s="169"/>
      <c r="FB17" s="169"/>
      <c r="FC17" s="169"/>
      <c r="FD17" s="169"/>
      <c r="FE17" s="169"/>
      <c r="FF17" s="169"/>
      <c r="FG17" s="169"/>
      <c r="FH17" s="169"/>
      <c r="FI17" s="169"/>
      <c r="FJ17" s="169"/>
      <c r="FK17" s="169"/>
      <c r="FL17" s="169"/>
      <c r="FM17" s="169"/>
      <c r="FN17" s="169"/>
      <c r="FO17" s="169"/>
      <c r="FP17" s="169"/>
      <c r="FQ17" s="169"/>
      <c r="FR17" s="169"/>
      <c r="FS17" s="169"/>
      <c r="FT17" s="169"/>
      <c r="FU17" s="169"/>
      <c r="FV17" s="169"/>
      <c r="FW17" s="169"/>
      <c r="FX17" s="169"/>
      <c r="FY17" s="169"/>
      <c r="FZ17" s="169"/>
      <c r="GA17" s="169"/>
      <c r="GB17" s="169"/>
      <c r="GC17" s="169"/>
      <c r="GD17" s="169"/>
      <c r="GE17" s="169"/>
      <c r="GF17" s="169"/>
      <c r="GG17" s="169"/>
      <c r="GH17" s="169"/>
      <c r="GI17" s="169"/>
      <c r="GJ17" s="169"/>
      <c r="GK17" s="169"/>
      <c r="GL17" s="169"/>
      <c r="GM17" s="169"/>
      <c r="GN17" s="169"/>
      <c r="GO17" s="169"/>
      <c r="GP17" s="169"/>
      <c r="GQ17" s="169"/>
      <c r="GR17" s="169"/>
      <c r="GS17" s="169"/>
      <c r="GT17" s="169"/>
      <c r="GU17" s="169"/>
      <c r="GV17" s="169"/>
      <c r="GW17" s="169"/>
      <c r="GX17" s="169"/>
      <c r="GY17" s="169"/>
      <c r="GZ17" s="169"/>
      <c r="HA17" s="169"/>
      <c r="HB17" s="169"/>
      <c r="HC17" s="169"/>
      <c r="HD17" s="169"/>
      <c r="HE17" s="169"/>
      <c r="HF17" s="169"/>
      <c r="HG17" s="169"/>
      <c r="HH17" s="169"/>
      <c r="HI17" s="169"/>
      <c r="HJ17" s="169"/>
      <c r="HK17" s="169"/>
      <c r="HL17" s="169"/>
      <c r="HM17" s="169"/>
      <c r="HN17" s="169"/>
      <c r="HO17" s="169"/>
      <c r="HP17" s="169"/>
      <c r="HQ17" s="169"/>
      <c r="HR17" s="169"/>
      <c r="HS17" s="169"/>
      <c r="HT17" s="169"/>
      <c r="HU17" s="169"/>
      <c r="HV17" s="169"/>
      <c r="HW17" s="169"/>
      <c r="HX17" s="169"/>
      <c r="HY17" s="169"/>
      <c r="HZ17" s="169"/>
      <c r="IA17" s="169"/>
      <c r="IB17" s="169"/>
      <c r="IC17" s="169"/>
      <c r="ID17" s="169"/>
      <c r="IE17" s="169"/>
      <c r="IF17" s="169"/>
      <c r="IG17" s="169"/>
      <c r="IH17" s="169"/>
      <c r="II17" s="169"/>
      <c r="IJ17" s="169"/>
      <c r="IK17" s="169"/>
      <c r="IL17" s="169"/>
      <c r="IM17" s="169"/>
      <c r="IN17" s="169"/>
      <c r="IO17" s="169"/>
      <c r="IP17" s="169"/>
      <c r="IQ17" s="169"/>
      <c r="IR17" s="169"/>
      <c r="IS17" s="169"/>
      <c r="IT17" s="169"/>
      <c r="IU17" s="169"/>
      <c r="IV17" s="169"/>
      <c r="IW17" s="169"/>
      <c r="IX17" s="169"/>
      <c r="IY17" s="29">
        <v>1</v>
      </c>
      <c r="IZ17" s="40">
        <f>(TEXT(K17,"[m]")/60)*VLOOKUP(IY17,'Income Person-hours'!A$2:C$5,3,FALSE)</f>
        <v>0</v>
      </c>
      <c r="JA17" s="112"/>
      <c r="JB17" s="112"/>
      <c r="JC17" s="112"/>
      <c r="JD17" s="192">
        <f>SUM((TEXT(JA17,"[M]")/60)*'Income Person-hours'!$D$3,(TEXT(JB17,"[M]")/60)*'Income Person-hours'!$D$4,(TEXT(JC17,"[M]")/60)*'Income Person-hours'!$D$5)</f>
        <v>0</v>
      </c>
    </row>
    <row r="18" spans="1:264" s="11" customFormat="1" ht="11.25" hidden="1">
      <c r="A18" s="30">
        <v>1.9</v>
      </c>
      <c r="B18" s="106"/>
      <c r="C18" s="107"/>
      <c r="D18" s="7" t="str">
        <f>IF(OR(j_WEEKDAY(J_ADDDAY(VLOOKUP(I18,A:F,6,FALSE),H18,1),0)=6,SUMIFS(Holieday[ok],Holieday[date],J_ADDDAY(VLOOKUP(I18,A:F,6,FALSE),H18,1)))=FALSE(),J_ADDDAY(VLOOKUP(I18,A:F,6,FALSE),H18,1),IF(OR(j_WEEKDAY(J_ADDDAY(VLOOKUP(I18,A:F,6,FALSE),H18+1,1),0)=6,SUMIFS(Holieday[ok],Holieday[date],J_ADDDAY(VLOOKUP(I18,A:F,6,FALSE),H18+1,1)))=FALSE(),J_ADDDAY(VLOOKUP(I18,A:F,6,FALSE),H18+1,1),IF(OR(j_WEEKDAY(J_ADDDAY(VLOOKUP(I18,A:F,6,FALSE),H18+2,1),0)=6,SUMIFS(Holieday[ok],Holieday[date],J_ADDDAY(VLOOKUP(I18,A:F,6,FALSE),H18+2,1)))=FALSE(),J_ADDDAY(VLOOKUP(I18,A:F,6,FALSE),H18+2,1),IF(OR(j_WEEKDAY(J_ADDDAY(VLOOKUP(I18,A:F,6,FALSE),H18+3,1),0)=6,SUMIFS(Holieday[ok],Holieday[date],J_ADDDAY(VLOOKUP(I18,A:F,6,FALSE),H18+3,1)))=FALSE(),J_ADDDAY(VLOOKUP(I18,A:F,6,FALSE),H18+3,1),IF(OR(j_WEEKDAY(J_ADDDAY(VLOOKUP(I18,A:F,6,FALSE),H18+4,1),0)=6,SUMIFS(Holieday[ok],Holieday[date],J_ADDDAY(VLOOKUP(I18,A:F,6,FALSE),H18+4,1)))=FALSE(),J_ADDDAY(VLOOKUP(I18,A:F,6,FALSE),H18+4,1),J_ADDDAY(VLOOKUP(I18,A:F,6,FALSE),H18+5,1))))))</f>
        <v>1398/06/31</v>
      </c>
      <c r="E18" s="1">
        <f t="shared" si="4"/>
        <v>13980631</v>
      </c>
      <c r="F18" s="12" t="str">
        <f>IF(N18=0,J_SUBDAY(D18,1,1),IF((N18-(NETWORKDAYS.INTL(J_GregorianDate(D18,1),J_GregorianDate(J_SUBDAY(J_ADDDAY(D18,N18,1),1,1),1),16,1)))+SUMIFS(Holieday[ok],Holieday[date],CONCATENATE("&gt;","=",D18),Holieday[date],CONCATENATE("&lt;","=",J_SUBDAY(J_ADDDAY(D18,N18,1),1,1)))-SUMIFS(Holieday[Friday],Holieday[date],CONCATENATE("&gt;","=",D18),Holieday[date],CONCATENATE("&lt;","=",J_SUBDAY(J_ADDDAY(D18,N18,1),1,1)))=0,J_SUBDAY(J_ADDDAY(D18,N18,1),1,1),IF((N18+1-(NETWORKDAYS.INTL(J_GregorianDate(D18,1),J_GregorianDate(J_SUBDAY(J_ADDDAY(D18,N18+1,1),1,1),1),16,1)))+SUMIFS(Holieday[ok],Holieday[date],CONCATENATE("&gt;","=",D18),Holieday[date],CONCATENATE("&lt;","=",J_SUBDAY(J_ADDDAY(D18,N18+1,1),1,1)))-SUMIFS(Holieday[Friday],Holieday[date],CONCATENATE("&gt;","=",D18),Holieday[date],CONCATENATE("&lt;","=",J_SUBDAY(J_ADDDAY(D18,N18+1,1),1,1)))=1,J_SUBDAY(J_ADDDAY(D18,N18+1,1),1,1),IF((N18+2-(NETWORKDAYS.INTL(J_GregorianDate(D18,1),J_GregorianDate(J_SUBDAY(J_ADDDAY(D18,N18+2,1),1,1),1),16,1)))+SUMIFS(Holieday[ok],Holieday[date],CONCATENATE("&gt;","=",D18),Holieday[date],CONCATENATE("&lt;","=",J_SUBDAY(J_ADDDAY(D18,N18+2,1),1,1)))-SUMIFS(Holieday[Friday],Holieday[date],CONCATENATE("&gt;","=",D18),Holieday[date],CONCATENATE("&lt;","=",J_SUBDAY(J_ADDDAY(D18,N18+2,1),1,1)))=2,J_SUBDAY(J_ADDDAY(D18,N18+2,1),1,1),IF((N18+3-(NETWORKDAYS.INTL(J_GregorianDate(D18,1),J_GregorianDate(J_SUBDAY(J_ADDDAY(D18,N18+3,1),1,1),1),16,1)))+SUMIFS(Holieday[ok],Holieday[date],CONCATENATE("&gt;","=",D18),Holieday[date],CONCATENATE("&lt;","=",J_SUBDAY(J_ADDDAY(D18,N18+3,1),1,1)))-SUMIFS(Holieday[Friday],Holieday[date],CONCATENATE("&gt;","=",D18),Holieday[date],CONCATENATE("&lt;","=",J_SUBDAY(J_ADDDAY(D18,N18+3,1),1,1)))=3,J_SUBDAY(J_ADDDAY(D18,N18+3,1),1,1),IF((N18+4-(NETWORKDAYS.INTL(J_GregorianDate(D18,1),J_GregorianDate(J_SUBDAY(J_ADDDAY(D18,N18+4,1),1,1),1),16,1)))+SUMIFS(Holieday[ok],Holieday[date],CONCATENATE("&gt;","=",D18),Holieday[date],CONCATENATE("&lt;","=",J_SUBDAY(J_ADDDAY(D18,N18+4,1),1,1)))-SUMIFS(Holieday[Friday],Holieday[date],CONCATENATE("&gt;","=",D18),Holieday[date],CONCATENATE("&lt;","=",J_SUBDAY(J_ADDDAY(D18,N18+4,1),1,1)))=4,J_SUBDAY(J_ADDDAY(D18,N18+4,1),1,1),IF((N18+5-(NETWORKDAYS.INTL(J_GregorianDate(D18,1),J_GregorianDate(J_SUBDAY(J_ADDDAY(D18,N18+5,1),1,1),1),16,1)))+SUMIFS(Holieday[ok],Holieday[date],CONCATENATE("&gt;","=",D18),Holieday[date],CONCATENATE("&lt;","=",J_SUBDAY(J_ADDDAY(D18,N18+5,1),1,1)))-SUMIFS(Holieday[Friday],Holieday[date],CONCATENATE("&gt;","=",D18),Holieday[date],CONCATENATE("&lt;","=",J_SUBDAY(J_ADDDAY(D18,N18+5,1),1,1)))=5,J_SUBDAY(J_ADDDAY(D18,N18+5,1),1,1),J_SUBDAY(J_ADDDAY(D18,N18+6,1),1,1))))))))</f>
        <v>1398/06/30</v>
      </c>
      <c r="G18" s="2">
        <f t="shared" si="5"/>
        <v>13980630</v>
      </c>
      <c r="H18" s="109"/>
      <c r="I18" s="110">
        <v>1.1000000000000001</v>
      </c>
      <c r="J18" s="9">
        <f>j_WEEKDAY(D18,2)</f>
        <v>1</v>
      </c>
      <c r="K18" s="21">
        <f t="shared" si="7"/>
        <v>0</v>
      </c>
      <c r="L18" s="8">
        <f t="shared" si="8"/>
        <v>0</v>
      </c>
      <c r="M18" s="111">
        <v>1</v>
      </c>
      <c r="N18" s="108">
        <v>0</v>
      </c>
      <c r="O18" s="10">
        <f t="shared" si="9"/>
        <v>0</v>
      </c>
      <c r="P18" s="10">
        <f>VALUE(J_normdate(J_ADDDAY($D18,$O18,1)))</f>
        <v>13980631</v>
      </c>
      <c r="Q18" s="9">
        <f t="shared" si="10"/>
        <v>0</v>
      </c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29">
        <v>1</v>
      </c>
      <c r="IZ18" s="40">
        <f>(TEXT(K18,"[m]")/60)*VLOOKUP(IY18,'Income Person-hours'!A$2:C$5,3,FALSE)</f>
        <v>0</v>
      </c>
      <c r="JA18" s="113"/>
      <c r="JB18" s="113"/>
      <c r="JC18" s="113"/>
      <c r="JD18" s="66">
        <f>SUM((TEXT(JA18,"[M]")/60)*'Income Person-hours'!$D$3,(TEXT(JB18,"[M]")/60)*'Income Person-hours'!$D$4,(TEXT(JC18,"[M]")/60)*'Income Person-hours'!$D$5)</f>
        <v>0</v>
      </c>
    </row>
    <row r="19" spans="1:264" s="11" customFormat="1" ht="11.25" hidden="1">
      <c r="A19" s="30">
        <v>1.1100000000000001</v>
      </c>
      <c r="B19" s="106"/>
      <c r="C19" s="107"/>
      <c r="D19" s="7" t="str">
        <f>IF(OR(j_WEEKDAY(J_ADDDAY(VLOOKUP(I19,A:F,6,FALSE),H19,1),0)=6,SUMIFS(Holieday[ok],Holieday[date],J_ADDDAY(VLOOKUP(I19,A:F,6,FALSE),H19,1)))=FALSE(),J_ADDDAY(VLOOKUP(I19,A:F,6,FALSE),H19,1),IF(OR(j_WEEKDAY(J_ADDDAY(VLOOKUP(I19,A:F,6,FALSE),H19+1,1),0)=6,SUMIFS(Holieday[ok],Holieday[date],J_ADDDAY(VLOOKUP(I19,A:F,6,FALSE),H19+1,1)))=FALSE(),J_ADDDAY(VLOOKUP(I19,A:F,6,FALSE),H19+1,1),IF(OR(j_WEEKDAY(J_ADDDAY(VLOOKUP(I19,A:F,6,FALSE),H19+2,1),0)=6,SUMIFS(Holieday[ok],Holieday[date],J_ADDDAY(VLOOKUP(I19,A:F,6,FALSE),H19+2,1)))=FALSE(),J_ADDDAY(VLOOKUP(I19,A:F,6,FALSE),H19+2,1),IF(OR(j_WEEKDAY(J_ADDDAY(VLOOKUP(I19,A:F,6,FALSE),H19+3,1),0)=6,SUMIFS(Holieday[ok],Holieday[date],J_ADDDAY(VLOOKUP(I19,A:F,6,FALSE),H19+3,1)))=FALSE(),J_ADDDAY(VLOOKUP(I19,A:F,6,FALSE),H19+3,1),IF(OR(j_WEEKDAY(J_ADDDAY(VLOOKUP(I19,A:F,6,FALSE),H19+4,1),0)=6,SUMIFS(Holieday[ok],Holieday[date],J_ADDDAY(VLOOKUP(I19,A:F,6,FALSE),H19+4,1)))=FALSE(),J_ADDDAY(VLOOKUP(I19,A:F,6,FALSE),H19+4,1),J_ADDDAY(VLOOKUP(I19,A:F,6,FALSE),H19+5,1))))))</f>
        <v>1398/06/31</v>
      </c>
      <c r="E19" s="1">
        <f t="shared" si="4"/>
        <v>13980631</v>
      </c>
      <c r="F19" s="12" t="str">
        <f>IF(N19=0,J_SUBDAY(D19,1,1),IF((N19-(NETWORKDAYS.INTL(J_GregorianDate(D19,1),J_GregorianDate(J_SUBDAY(J_ADDDAY(D19,N19,1),1,1),1),16,1)))+SUMIFS(Holieday[ok],Holieday[date],CONCATENATE("&gt;","=",D19),Holieday[date],CONCATENATE("&lt;","=",J_SUBDAY(J_ADDDAY(D19,N19,1),1,1)))-SUMIFS(Holieday[Friday],Holieday[date],CONCATENATE("&gt;","=",D19),Holieday[date],CONCATENATE("&lt;","=",J_SUBDAY(J_ADDDAY(D19,N19,1),1,1)))=0,J_SUBDAY(J_ADDDAY(D19,N19,1),1,1),IF((N19+1-(NETWORKDAYS.INTL(J_GregorianDate(D19,1),J_GregorianDate(J_SUBDAY(J_ADDDAY(D19,N19+1,1),1,1),1),16,1)))+SUMIFS(Holieday[ok],Holieday[date],CONCATENATE("&gt;","=",D19),Holieday[date],CONCATENATE("&lt;","=",J_SUBDAY(J_ADDDAY(D19,N19+1,1),1,1)))-SUMIFS(Holieday[Friday],Holieday[date],CONCATENATE("&gt;","=",D19),Holieday[date],CONCATENATE("&lt;","=",J_SUBDAY(J_ADDDAY(D19,N19+1,1),1,1)))=1,J_SUBDAY(J_ADDDAY(D19,N19+1,1),1,1),IF((N19+2-(NETWORKDAYS.INTL(J_GregorianDate(D19,1),J_GregorianDate(J_SUBDAY(J_ADDDAY(D19,N19+2,1),1,1),1),16,1)))+SUMIFS(Holieday[ok],Holieday[date],CONCATENATE("&gt;","=",D19),Holieday[date],CONCATENATE("&lt;","=",J_SUBDAY(J_ADDDAY(D19,N19+2,1),1,1)))-SUMIFS(Holieday[Friday],Holieday[date],CONCATENATE("&gt;","=",D19),Holieday[date],CONCATENATE("&lt;","=",J_SUBDAY(J_ADDDAY(D19,N19+2,1),1,1)))=2,J_SUBDAY(J_ADDDAY(D19,N19+2,1),1,1),IF((N19+3-(NETWORKDAYS.INTL(J_GregorianDate(D19,1),J_GregorianDate(J_SUBDAY(J_ADDDAY(D19,N19+3,1),1,1),1),16,1)))+SUMIFS(Holieday[ok],Holieday[date],CONCATENATE("&gt;","=",D19),Holieday[date],CONCATENATE("&lt;","=",J_SUBDAY(J_ADDDAY(D19,N19+3,1),1,1)))-SUMIFS(Holieday[Friday],Holieday[date],CONCATENATE("&gt;","=",D19),Holieday[date],CONCATENATE("&lt;","=",J_SUBDAY(J_ADDDAY(D19,N19+3,1),1,1)))=3,J_SUBDAY(J_ADDDAY(D19,N19+3,1),1,1),IF((N19+4-(NETWORKDAYS.INTL(J_GregorianDate(D19,1),J_GregorianDate(J_SUBDAY(J_ADDDAY(D19,N19+4,1),1,1),1),16,1)))+SUMIFS(Holieday[ok],Holieday[date],CONCATENATE("&gt;","=",D19),Holieday[date],CONCATENATE("&lt;","=",J_SUBDAY(J_ADDDAY(D19,N19+4,1),1,1)))-SUMIFS(Holieday[Friday],Holieday[date],CONCATENATE("&gt;","=",D19),Holieday[date],CONCATENATE("&lt;","=",J_SUBDAY(J_ADDDAY(D19,N19+4,1),1,1)))=4,J_SUBDAY(J_ADDDAY(D19,N19+4,1),1,1),IF((N19+5-(NETWORKDAYS.INTL(J_GregorianDate(D19,1),J_GregorianDate(J_SUBDAY(J_ADDDAY(D19,N19+5,1),1,1),1),16,1)))+SUMIFS(Holieday[ok],Holieday[date],CONCATENATE("&gt;","=",D19),Holieday[date],CONCATENATE("&lt;","=",J_SUBDAY(J_ADDDAY(D19,N19+5,1),1,1)))-SUMIFS(Holieday[Friday],Holieday[date],CONCATENATE("&gt;","=",D19),Holieday[date],CONCATENATE("&lt;","=",J_SUBDAY(J_ADDDAY(D19,N19+5,1),1,1)))=5,J_SUBDAY(J_ADDDAY(D19,N19+5,1),1,1),J_SUBDAY(J_ADDDAY(D19,N19+6,1),1,1))))))))</f>
        <v>1398/06/30</v>
      </c>
      <c r="G19" s="2">
        <f t="shared" si="5"/>
        <v>13980630</v>
      </c>
      <c r="H19" s="109"/>
      <c r="I19" s="110">
        <v>1.1000000000000001</v>
      </c>
      <c r="J19" s="9">
        <f>j_WEEKDAY(D19,2)</f>
        <v>1</v>
      </c>
      <c r="K19" s="21">
        <f t="shared" si="7"/>
        <v>0</v>
      </c>
      <c r="L19" s="8">
        <f t="shared" si="8"/>
        <v>0</v>
      </c>
      <c r="M19" s="111">
        <v>1</v>
      </c>
      <c r="N19" s="108">
        <v>0</v>
      </c>
      <c r="O19" s="10">
        <f t="shared" si="9"/>
        <v>0</v>
      </c>
      <c r="P19" s="10">
        <f>VALUE(J_normdate(J_ADDDAY($D19,$O19,1)))</f>
        <v>13980631</v>
      </c>
      <c r="Q19" s="9">
        <f t="shared" si="10"/>
        <v>0</v>
      </c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29">
        <v>1</v>
      </c>
      <c r="IZ19" s="29"/>
      <c r="JA19" s="113"/>
      <c r="JB19" s="113"/>
      <c r="JC19" s="113"/>
      <c r="JD19" s="66">
        <f>SUM((TEXT(JA19,"[M]")/60)*'Income Person-hours'!$D$3,(TEXT(JB19,"[M]")/60)*'Income Person-hours'!$D$4,(TEXT(JC19,"[M]")/60)*'Income Person-hours'!$D$5)</f>
        <v>0</v>
      </c>
    </row>
    <row r="20" spans="1:264" s="11" customFormat="1" ht="11.25" hidden="1">
      <c r="A20" s="30">
        <v>1.1200000000000001</v>
      </c>
      <c r="B20" s="106"/>
      <c r="C20" s="107"/>
      <c r="D20" s="7" t="str">
        <f>IF(OR(j_WEEKDAY(J_ADDDAY(VLOOKUP(I20,A:F,6,FALSE),H20,1),0)=6,SUMIFS(Holieday[ok],Holieday[date],J_ADDDAY(VLOOKUP(I20,A:F,6,FALSE),H20,1)))=FALSE(),J_ADDDAY(VLOOKUP(I20,A:F,6,FALSE),H20,1),IF(OR(j_WEEKDAY(J_ADDDAY(VLOOKUP(I20,A:F,6,FALSE),H20+1,1),0)=6,SUMIFS(Holieday[ok],Holieday[date],J_ADDDAY(VLOOKUP(I20,A:F,6,FALSE),H20+1,1)))=FALSE(),J_ADDDAY(VLOOKUP(I20,A:F,6,FALSE),H20+1,1),IF(OR(j_WEEKDAY(J_ADDDAY(VLOOKUP(I20,A:F,6,FALSE),H20+2,1),0)=6,SUMIFS(Holieday[ok],Holieday[date],J_ADDDAY(VLOOKUP(I20,A:F,6,FALSE),H20+2,1)))=FALSE(),J_ADDDAY(VLOOKUP(I20,A:F,6,FALSE),H20+2,1),IF(OR(j_WEEKDAY(J_ADDDAY(VLOOKUP(I20,A:F,6,FALSE),H20+3,1),0)=6,SUMIFS(Holieday[ok],Holieday[date],J_ADDDAY(VLOOKUP(I20,A:F,6,FALSE),H20+3,1)))=FALSE(),J_ADDDAY(VLOOKUP(I20,A:F,6,FALSE),H20+3,1),IF(OR(j_WEEKDAY(J_ADDDAY(VLOOKUP(I20,A:F,6,FALSE),H20+4,1),0)=6,SUMIFS(Holieday[ok],Holieday[date],J_ADDDAY(VLOOKUP(I20,A:F,6,FALSE),H20+4,1)))=FALSE(),J_ADDDAY(VLOOKUP(I20,A:F,6,FALSE),H20+4,1),J_ADDDAY(VLOOKUP(I20,A:F,6,FALSE),H20+5,1))))))</f>
        <v>1398/06/31</v>
      </c>
      <c r="E20" s="1">
        <f t="shared" si="4"/>
        <v>13980631</v>
      </c>
      <c r="F20" s="12" t="str">
        <f>IF(N20=0,J_SUBDAY(D20,1,1),IF((N20-(NETWORKDAYS.INTL(J_GregorianDate(D20,1),J_GregorianDate(J_SUBDAY(J_ADDDAY(D20,N20,1),1,1),1),16,1)))+SUMIFS(Holieday[ok],Holieday[date],CONCATENATE("&gt;","=",D20),Holieday[date],CONCATENATE("&lt;","=",J_SUBDAY(J_ADDDAY(D20,N20,1),1,1)))-SUMIFS(Holieday[Friday],Holieday[date],CONCATENATE("&gt;","=",D20),Holieday[date],CONCATENATE("&lt;","=",J_SUBDAY(J_ADDDAY(D20,N20,1),1,1)))=0,J_SUBDAY(J_ADDDAY(D20,N20,1),1,1),IF((N20+1-(NETWORKDAYS.INTL(J_GregorianDate(D20,1),J_GregorianDate(J_SUBDAY(J_ADDDAY(D20,N20+1,1),1,1),1),16,1)))+SUMIFS(Holieday[ok],Holieday[date],CONCATENATE("&gt;","=",D20),Holieday[date],CONCATENATE("&lt;","=",J_SUBDAY(J_ADDDAY(D20,N20+1,1),1,1)))-SUMIFS(Holieday[Friday],Holieday[date],CONCATENATE("&gt;","=",D20),Holieday[date],CONCATENATE("&lt;","=",J_SUBDAY(J_ADDDAY(D20,N20+1,1),1,1)))=1,J_SUBDAY(J_ADDDAY(D20,N20+1,1),1,1),IF((N20+2-(NETWORKDAYS.INTL(J_GregorianDate(D20,1),J_GregorianDate(J_SUBDAY(J_ADDDAY(D20,N20+2,1),1,1),1),16,1)))+SUMIFS(Holieday[ok],Holieday[date],CONCATENATE("&gt;","=",D20),Holieday[date],CONCATENATE("&lt;","=",J_SUBDAY(J_ADDDAY(D20,N20+2,1),1,1)))-SUMIFS(Holieday[Friday],Holieday[date],CONCATENATE("&gt;","=",D20),Holieday[date],CONCATENATE("&lt;","=",J_SUBDAY(J_ADDDAY(D20,N20+2,1),1,1)))=2,J_SUBDAY(J_ADDDAY(D20,N20+2,1),1,1),IF((N20+3-(NETWORKDAYS.INTL(J_GregorianDate(D20,1),J_GregorianDate(J_SUBDAY(J_ADDDAY(D20,N20+3,1),1,1),1),16,1)))+SUMIFS(Holieday[ok],Holieday[date],CONCATENATE("&gt;","=",D20),Holieday[date],CONCATENATE("&lt;","=",J_SUBDAY(J_ADDDAY(D20,N20+3,1),1,1)))-SUMIFS(Holieday[Friday],Holieday[date],CONCATENATE("&gt;","=",D20),Holieday[date],CONCATENATE("&lt;","=",J_SUBDAY(J_ADDDAY(D20,N20+3,1),1,1)))=3,J_SUBDAY(J_ADDDAY(D20,N20+3,1),1,1),IF((N20+4-(NETWORKDAYS.INTL(J_GregorianDate(D20,1),J_GregorianDate(J_SUBDAY(J_ADDDAY(D20,N20+4,1),1,1),1),16,1)))+SUMIFS(Holieday[ok],Holieday[date],CONCATENATE("&gt;","=",D20),Holieday[date],CONCATENATE("&lt;","=",J_SUBDAY(J_ADDDAY(D20,N20+4,1),1,1)))-SUMIFS(Holieday[Friday],Holieday[date],CONCATENATE("&gt;","=",D20),Holieday[date],CONCATENATE("&lt;","=",J_SUBDAY(J_ADDDAY(D20,N20+4,1),1,1)))=4,J_SUBDAY(J_ADDDAY(D20,N20+4,1),1,1),IF((N20+5-(NETWORKDAYS.INTL(J_GregorianDate(D20,1),J_GregorianDate(J_SUBDAY(J_ADDDAY(D20,N20+5,1),1,1),1),16,1)))+SUMIFS(Holieday[ok],Holieday[date],CONCATENATE("&gt;","=",D20),Holieday[date],CONCATENATE("&lt;","=",J_SUBDAY(J_ADDDAY(D20,N20+5,1),1,1)))-SUMIFS(Holieday[Friday],Holieday[date],CONCATENATE("&gt;","=",D20),Holieday[date],CONCATENATE("&lt;","=",J_SUBDAY(J_ADDDAY(D20,N20+5,1),1,1)))=5,J_SUBDAY(J_ADDDAY(D20,N20+5,1),1,1),J_SUBDAY(J_ADDDAY(D20,N20+6,1),1,1))))))))</f>
        <v>1398/06/30</v>
      </c>
      <c r="G20" s="2">
        <f t="shared" si="5"/>
        <v>13980630</v>
      </c>
      <c r="H20" s="109"/>
      <c r="I20" s="110">
        <v>1.1000000000000001</v>
      </c>
      <c r="J20" s="9">
        <f>j_WEEKDAY(D20,2)</f>
        <v>1</v>
      </c>
      <c r="K20" s="21">
        <f t="shared" si="7"/>
        <v>0</v>
      </c>
      <c r="L20" s="8">
        <f t="shared" si="8"/>
        <v>0</v>
      </c>
      <c r="M20" s="111">
        <v>0</v>
      </c>
      <c r="N20" s="108">
        <v>0</v>
      </c>
      <c r="O20" s="10">
        <f t="shared" si="9"/>
        <v>0</v>
      </c>
      <c r="P20" s="10">
        <f>VALUE(J_normdate(J_ADDDAY($D20,$O20,1)))</f>
        <v>13980631</v>
      </c>
      <c r="Q20" s="9">
        <f t="shared" si="10"/>
        <v>0</v>
      </c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29">
        <v>1</v>
      </c>
      <c r="IZ20" s="29"/>
      <c r="JA20" s="113"/>
      <c r="JB20" s="113"/>
      <c r="JC20" s="113"/>
      <c r="JD20" s="66">
        <f>SUM((TEXT(JA20,"[M]")/60)*'Income Person-hours'!$D$3,(TEXT(JB20,"[M]")/60)*'Income Person-hours'!$D$4,(TEXT(JC20,"[M]")/60)*'Income Person-hours'!$D$5)</f>
        <v>0</v>
      </c>
    </row>
    <row r="21" spans="1:264" s="11" customFormat="1" ht="11.25" hidden="1">
      <c r="A21" s="30">
        <v>1.1299999999999999</v>
      </c>
      <c r="B21" s="106"/>
      <c r="C21" s="107"/>
      <c r="D21" s="7" t="str">
        <f>IF(OR(j_WEEKDAY(J_ADDDAY(VLOOKUP(I21,A:F,6,FALSE),H21,1),0)=6,SUMIFS(Holieday[ok],Holieday[date],J_ADDDAY(VLOOKUP(I21,A:F,6,FALSE),H21,1)))=FALSE(),J_ADDDAY(VLOOKUP(I21,A:F,6,FALSE),H21,1),IF(OR(j_WEEKDAY(J_ADDDAY(VLOOKUP(I21,A:F,6,FALSE),H21+1,1),0)=6,SUMIFS(Holieday[ok],Holieday[date],J_ADDDAY(VLOOKUP(I21,A:F,6,FALSE),H21+1,1)))=FALSE(),J_ADDDAY(VLOOKUP(I21,A:F,6,FALSE),H21+1,1),IF(OR(j_WEEKDAY(J_ADDDAY(VLOOKUP(I21,A:F,6,FALSE),H21+2,1),0)=6,SUMIFS(Holieday[ok],Holieday[date],J_ADDDAY(VLOOKUP(I21,A:F,6,FALSE),H21+2,1)))=FALSE(),J_ADDDAY(VLOOKUP(I21,A:F,6,FALSE),H21+2,1),IF(OR(j_WEEKDAY(J_ADDDAY(VLOOKUP(I21,A:F,6,FALSE),H21+3,1),0)=6,SUMIFS(Holieday[ok],Holieday[date],J_ADDDAY(VLOOKUP(I21,A:F,6,FALSE),H21+3,1)))=FALSE(),J_ADDDAY(VLOOKUP(I21,A:F,6,FALSE),H21+3,1),IF(OR(j_WEEKDAY(J_ADDDAY(VLOOKUP(I21,A:F,6,FALSE),H21+4,1),0)=6,SUMIFS(Holieday[ok],Holieday[date],J_ADDDAY(VLOOKUP(I21,A:F,6,FALSE),H21+4,1)))=FALSE(),J_ADDDAY(VLOOKUP(I21,A:F,6,FALSE),H21+4,1),J_ADDDAY(VLOOKUP(I21,A:F,6,FALSE),H21+5,1))))))</f>
        <v>1398/06/31</v>
      </c>
      <c r="E21" s="1">
        <f t="shared" si="4"/>
        <v>13980631</v>
      </c>
      <c r="F21" s="12" t="str">
        <f>IF(N21=0,J_SUBDAY(D21,1,1),IF((N21-(NETWORKDAYS.INTL(J_GregorianDate(D21,1),J_GregorianDate(J_SUBDAY(J_ADDDAY(D21,N21,1),1,1),1),16,1)))+SUMIFS(Holieday[ok],Holieday[date],CONCATENATE("&gt;","=",D21),Holieday[date],CONCATENATE("&lt;","=",J_SUBDAY(J_ADDDAY(D21,N21,1),1,1)))-SUMIFS(Holieday[Friday],Holieday[date],CONCATENATE("&gt;","=",D21),Holieday[date],CONCATENATE("&lt;","=",J_SUBDAY(J_ADDDAY(D21,N21,1),1,1)))=0,J_SUBDAY(J_ADDDAY(D21,N21,1),1,1),IF((N21+1-(NETWORKDAYS.INTL(J_GregorianDate(D21,1),J_GregorianDate(J_SUBDAY(J_ADDDAY(D21,N21+1,1),1,1),1),16,1)))+SUMIFS(Holieday[ok],Holieday[date],CONCATENATE("&gt;","=",D21),Holieday[date],CONCATENATE("&lt;","=",J_SUBDAY(J_ADDDAY(D21,N21+1,1),1,1)))-SUMIFS(Holieday[Friday],Holieday[date],CONCATENATE("&gt;","=",D21),Holieday[date],CONCATENATE("&lt;","=",J_SUBDAY(J_ADDDAY(D21,N21+1,1),1,1)))=1,J_SUBDAY(J_ADDDAY(D21,N21+1,1),1,1),IF((N21+2-(NETWORKDAYS.INTL(J_GregorianDate(D21,1),J_GregorianDate(J_SUBDAY(J_ADDDAY(D21,N21+2,1),1,1),1),16,1)))+SUMIFS(Holieday[ok],Holieday[date],CONCATENATE("&gt;","=",D21),Holieday[date],CONCATENATE("&lt;","=",J_SUBDAY(J_ADDDAY(D21,N21+2,1),1,1)))-SUMIFS(Holieday[Friday],Holieday[date],CONCATENATE("&gt;","=",D21),Holieday[date],CONCATENATE("&lt;","=",J_SUBDAY(J_ADDDAY(D21,N21+2,1),1,1)))=2,J_SUBDAY(J_ADDDAY(D21,N21+2,1),1,1),IF((N21+3-(NETWORKDAYS.INTL(J_GregorianDate(D21,1),J_GregorianDate(J_SUBDAY(J_ADDDAY(D21,N21+3,1),1,1),1),16,1)))+SUMIFS(Holieday[ok],Holieday[date],CONCATENATE("&gt;","=",D21),Holieday[date],CONCATENATE("&lt;","=",J_SUBDAY(J_ADDDAY(D21,N21+3,1),1,1)))-SUMIFS(Holieday[Friday],Holieday[date],CONCATENATE("&gt;","=",D21),Holieday[date],CONCATENATE("&lt;","=",J_SUBDAY(J_ADDDAY(D21,N21+3,1),1,1)))=3,J_SUBDAY(J_ADDDAY(D21,N21+3,1),1,1),IF((N21+4-(NETWORKDAYS.INTL(J_GregorianDate(D21,1),J_GregorianDate(J_SUBDAY(J_ADDDAY(D21,N21+4,1),1,1),1),16,1)))+SUMIFS(Holieday[ok],Holieday[date],CONCATENATE("&gt;","=",D21),Holieday[date],CONCATENATE("&lt;","=",J_SUBDAY(J_ADDDAY(D21,N21+4,1),1,1)))-SUMIFS(Holieday[Friday],Holieday[date],CONCATENATE("&gt;","=",D21),Holieday[date],CONCATENATE("&lt;","=",J_SUBDAY(J_ADDDAY(D21,N21+4,1),1,1)))=4,J_SUBDAY(J_ADDDAY(D21,N21+4,1),1,1),IF((N21+5-(NETWORKDAYS.INTL(J_GregorianDate(D21,1),J_GregorianDate(J_SUBDAY(J_ADDDAY(D21,N21+5,1),1,1),1),16,1)))+SUMIFS(Holieday[ok],Holieday[date],CONCATENATE("&gt;","=",D21),Holieday[date],CONCATENATE("&lt;","=",J_SUBDAY(J_ADDDAY(D21,N21+5,1),1,1)))-SUMIFS(Holieday[Friday],Holieday[date],CONCATENATE("&gt;","=",D21),Holieday[date],CONCATENATE("&lt;","=",J_SUBDAY(J_ADDDAY(D21,N21+5,1),1,1)))=5,J_SUBDAY(J_ADDDAY(D21,N21+5,1),1,1),J_SUBDAY(J_ADDDAY(D21,N21+6,1),1,1))))))))</f>
        <v>1398/06/30</v>
      </c>
      <c r="G21" s="2">
        <f t="shared" si="5"/>
        <v>13980630</v>
      </c>
      <c r="H21" s="109"/>
      <c r="I21" s="110">
        <v>1.1000000000000001</v>
      </c>
      <c r="J21" s="9">
        <f>j_WEEKDAY(D21,2)</f>
        <v>1</v>
      </c>
      <c r="K21" s="21">
        <f t="shared" si="7"/>
        <v>0</v>
      </c>
      <c r="L21" s="8">
        <f t="shared" si="8"/>
        <v>0</v>
      </c>
      <c r="M21" s="111">
        <v>0</v>
      </c>
      <c r="N21" s="108">
        <v>0</v>
      </c>
      <c r="O21" s="10">
        <f t="shared" si="9"/>
        <v>0</v>
      </c>
      <c r="P21" s="10">
        <f>VALUE(J_normdate(J_ADDDAY($D21,$O21,1)))</f>
        <v>13980631</v>
      </c>
      <c r="Q21" s="9">
        <f t="shared" si="10"/>
        <v>0</v>
      </c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29">
        <v>1</v>
      </c>
      <c r="IZ21" s="29"/>
      <c r="JA21" s="113"/>
      <c r="JB21" s="113"/>
      <c r="JC21" s="113"/>
      <c r="JD21" s="66">
        <f>SUM((TEXT(JA21,"[M]")/60)*'Income Person-hours'!$D$3,(TEXT(JB21,"[M]")/60)*'Income Person-hours'!$D$4,(TEXT(JC21,"[M]")/60)*'Income Person-hours'!$D$5)</f>
        <v>0</v>
      </c>
    </row>
    <row r="22" spans="1:264" s="11" customFormat="1" ht="11.25" hidden="1">
      <c r="A22" s="30">
        <v>1.1399999999999999</v>
      </c>
      <c r="B22" s="106"/>
      <c r="C22" s="107"/>
      <c r="D22" s="7" t="str">
        <f>IF(OR(j_WEEKDAY(J_ADDDAY(VLOOKUP(I22,A:F,6,FALSE),H22,1),0)=6,SUMIFS(Holieday[ok],Holieday[date],J_ADDDAY(VLOOKUP(I22,A:F,6,FALSE),H22,1)))=FALSE(),J_ADDDAY(VLOOKUP(I22,A:F,6,FALSE),H22,1),IF(OR(j_WEEKDAY(J_ADDDAY(VLOOKUP(I22,A:F,6,FALSE),H22+1,1),0)=6,SUMIFS(Holieday[ok],Holieday[date],J_ADDDAY(VLOOKUP(I22,A:F,6,FALSE),H22+1,1)))=FALSE(),J_ADDDAY(VLOOKUP(I22,A:F,6,FALSE),H22+1,1),IF(OR(j_WEEKDAY(J_ADDDAY(VLOOKUP(I22,A:F,6,FALSE),H22+2,1),0)=6,SUMIFS(Holieday[ok],Holieday[date],J_ADDDAY(VLOOKUP(I22,A:F,6,FALSE),H22+2,1)))=FALSE(),J_ADDDAY(VLOOKUP(I22,A:F,6,FALSE),H22+2,1),IF(OR(j_WEEKDAY(J_ADDDAY(VLOOKUP(I22,A:F,6,FALSE),H22+3,1),0)=6,SUMIFS(Holieday[ok],Holieday[date],J_ADDDAY(VLOOKUP(I22,A:F,6,FALSE),H22+3,1)))=FALSE(),J_ADDDAY(VLOOKUP(I22,A:F,6,FALSE),H22+3,1),IF(OR(j_WEEKDAY(J_ADDDAY(VLOOKUP(I22,A:F,6,FALSE),H22+4,1),0)=6,SUMIFS(Holieday[ok],Holieday[date],J_ADDDAY(VLOOKUP(I22,A:F,6,FALSE),H22+4,1)))=FALSE(),J_ADDDAY(VLOOKUP(I22,A:F,6,FALSE),H22+4,1),J_ADDDAY(VLOOKUP(I22,A:F,6,FALSE),H22+5,1))))))</f>
        <v>1398/06/31</v>
      </c>
      <c r="E22" s="1">
        <f t="shared" si="4"/>
        <v>13980631</v>
      </c>
      <c r="F22" s="12" t="str">
        <f>IF(N22=0,J_SUBDAY(D22,1,1),IF((N22-(NETWORKDAYS.INTL(J_GregorianDate(D22,1),J_GregorianDate(J_SUBDAY(J_ADDDAY(D22,N22,1),1,1),1),16,1)))+SUMIFS(Holieday[ok],Holieday[date],CONCATENATE("&gt;","=",D22),Holieday[date],CONCATENATE("&lt;","=",J_SUBDAY(J_ADDDAY(D22,N22,1),1,1)))-SUMIFS(Holieday[Friday],Holieday[date],CONCATENATE("&gt;","=",D22),Holieday[date],CONCATENATE("&lt;","=",J_SUBDAY(J_ADDDAY(D22,N22,1),1,1)))=0,J_SUBDAY(J_ADDDAY(D22,N22,1),1,1),IF((N22+1-(NETWORKDAYS.INTL(J_GregorianDate(D22,1),J_GregorianDate(J_SUBDAY(J_ADDDAY(D22,N22+1,1),1,1),1),16,1)))+SUMIFS(Holieday[ok],Holieday[date],CONCATENATE("&gt;","=",D22),Holieday[date],CONCATENATE("&lt;","=",J_SUBDAY(J_ADDDAY(D22,N22+1,1),1,1)))-SUMIFS(Holieday[Friday],Holieday[date],CONCATENATE("&gt;","=",D22),Holieday[date],CONCATENATE("&lt;","=",J_SUBDAY(J_ADDDAY(D22,N22+1,1),1,1)))=1,J_SUBDAY(J_ADDDAY(D22,N22+1,1),1,1),IF((N22+2-(NETWORKDAYS.INTL(J_GregorianDate(D22,1),J_GregorianDate(J_SUBDAY(J_ADDDAY(D22,N22+2,1),1,1),1),16,1)))+SUMIFS(Holieday[ok],Holieday[date],CONCATENATE("&gt;","=",D22),Holieday[date],CONCATENATE("&lt;","=",J_SUBDAY(J_ADDDAY(D22,N22+2,1),1,1)))-SUMIFS(Holieday[Friday],Holieday[date],CONCATENATE("&gt;","=",D22),Holieday[date],CONCATENATE("&lt;","=",J_SUBDAY(J_ADDDAY(D22,N22+2,1),1,1)))=2,J_SUBDAY(J_ADDDAY(D22,N22+2,1),1,1),IF((N22+3-(NETWORKDAYS.INTL(J_GregorianDate(D22,1),J_GregorianDate(J_SUBDAY(J_ADDDAY(D22,N22+3,1),1,1),1),16,1)))+SUMIFS(Holieday[ok],Holieday[date],CONCATENATE("&gt;","=",D22),Holieday[date],CONCATENATE("&lt;","=",J_SUBDAY(J_ADDDAY(D22,N22+3,1),1,1)))-SUMIFS(Holieday[Friday],Holieday[date],CONCATENATE("&gt;","=",D22),Holieday[date],CONCATENATE("&lt;","=",J_SUBDAY(J_ADDDAY(D22,N22+3,1),1,1)))=3,J_SUBDAY(J_ADDDAY(D22,N22+3,1),1,1),IF((N22+4-(NETWORKDAYS.INTL(J_GregorianDate(D22,1),J_GregorianDate(J_SUBDAY(J_ADDDAY(D22,N22+4,1),1,1),1),16,1)))+SUMIFS(Holieday[ok],Holieday[date],CONCATENATE("&gt;","=",D22),Holieday[date],CONCATENATE("&lt;","=",J_SUBDAY(J_ADDDAY(D22,N22+4,1),1,1)))-SUMIFS(Holieday[Friday],Holieday[date],CONCATENATE("&gt;","=",D22),Holieday[date],CONCATENATE("&lt;","=",J_SUBDAY(J_ADDDAY(D22,N22+4,1),1,1)))=4,J_SUBDAY(J_ADDDAY(D22,N22+4,1),1,1),IF((N22+5-(NETWORKDAYS.INTL(J_GregorianDate(D22,1),J_GregorianDate(J_SUBDAY(J_ADDDAY(D22,N22+5,1),1,1),1),16,1)))+SUMIFS(Holieday[ok],Holieday[date],CONCATENATE("&gt;","=",D22),Holieday[date],CONCATENATE("&lt;","=",J_SUBDAY(J_ADDDAY(D22,N22+5,1),1,1)))-SUMIFS(Holieday[Friday],Holieday[date],CONCATENATE("&gt;","=",D22),Holieday[date],CONCATENATE("&lt;","=",J_SUBDAY(J_ADDDAY(D22,N22+5,1),1,1)))=5,J_SUBDAY(J_ADDDAY(D22,N22+5,1),1,1),J_SUBDAY(J_ADDDAY(D22,N22+6,1),1,1))))))))</f>
        <v>1398/06/30</v>
      </c>
      <c r="G22" s="2">
        <f t="shared" si="5"/>
        <v>13980630</v>
      </c>
      <c r="H22" s="109"/>
      <c r="I22" s="110">
        <v>1.1000000000000001</v>
      </c>
      <c r="J22" s="9">
        <f>j_WEEKDAY(D22,2)</f>
        <v>1</v>
      </c>
      <c r="K22" s="21">
        <f t="shared" si="7"/>
        <v>0</v>
      </c>
      <c r="L22" s="8">
        <f t="shared" si="8"/>
        <v>0</v>
      </c>
      <c r="M22" s="111">
        <v>0</v>
      </c>
      <c r="N22" s="108">
        <v>0</v>
      </c>
      <c r="O22" s="10">
        <f t="shared" si="9"/>
        <v>0</v>
      </c>
      <c r="P22" s="10">
        <f>VALUE(J_normdate(J_ADDDAY($D22,$O22,1)))</f>
        <v>13980631</v>
      </c>
      <c r="Q22" s="9">
        <f t="shared" si="10"/>
        <v>0</v>
      </c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29">
        <v>1</v>
      </c>
      <c r="IZ22" s="29"/>
      <c r="JA22" s="113"/>
      <c r="JB22" s="113"/>
      <c r="JC22" s="113"/>
      <c r="JD22" s="66">
        <f>SUM((TEXT(JA22,"[M]")/60)*'Income Person-hours'!$D$3,(TEXT(JB22,"[M]")/60)*'Income Person-hours'!$D$4,(TEXT(JC22,"[M]")/60)*'Income Person-hours'!$D$5)</f>
        <v>0</v>
      </c>
    </row>
    <row r="23" spans="1:264" s="11" customFormat="1" ht="11.25" hidden="1">
      <c r="A23" s="30">
        <v>1.1499999999999999</v>
      </c>
      <c r="B23" s="106"/>
      <c r="C23" s="107"/>
      <c r="D23" s="7" t="str">
        <f>IF(OR(j_WEEKDAY(J_ADDDAY(VLOOKUP(I23,A:F,6,FALSE),H23,1),0)=6,SUMIFS(Holieday[ok],Holieday[date],J_ADDDAY(VLOOKUP(I23,A:F,6,FALSE),H23,1)))=FALSE(),J_ADDDAY(VLOOKUP(I23,A:F,6,FALSE),H23,1),IF(OR(j_WEEKDAY(J_ADDDAY(VLOOKUP(I23,A:F,6,FALSE),H23+1,1),0)=6,SUMIFS(Holieday[ok],Holieday[date],J_ADDDAY(VLOOKUP(I23,A:F,6,FALSE),H23+1,1)))=FALSE(),J_ADDDAY(VLOOKUP(I23,A:F,6,FALSE),H23+1,1),IF(OR(j_WEEKDAY(J_ADDDAY(VLOOKUP(I23,A:F,6,FALSE),H23+2,1),0)=6,SUMIFS(Holieday[ok],Holieday[date],J_ADDDAY(VLOOKUP(I23,A:F,6,FALSE),H23+2,1)))=FALSE(),J_ADDDAY(VLOOKUP(I23,A:F,6,FALSE),H23+2,1),IF(OR(j_WEEKDAY(J_ADDDAY(VLOOKUP(I23,A:F,6,FALSE),H23+3,1),0)=6,SUMIFS(Holieday[ok],Holieday[date],J_ADDDAY(VLOOKUP(I23,A:F,6,FALSE),H23+3,1)))=FALSE(),J_ADDDAY(VLOOKUP(I23,A:F,6,FALSE),H23+3,1),IF(OR(j_WEEKDAY(J_ADDDAY(VLOOKUP(I23,A:F,6,FALSE),H23+4,1),0)=6,SUMIFS(Holieday[ok],Holieday[date],J_ADDDAY(VLOOKUP(I23,A:F,6,FALSE),H23+4,1)))=FALSE(),J_ADDDAY(VLOOKUP(I23,A:F,6,FALSE),H23+4,1),J_ADDDAY(VLOOKUP(I23,A:F,6,FALSE),H23+5,1))))))</f>
        <v>1398/06/31</v>
      </c>
      <c r="E23" s="1">
        <f t="shared" si="4"/>
        <v>13980631</v>
      </c>
      <c r="F23" s="12" t="str">
        <f>IF(N23=0,J_SUBDAY(D23,1,1),IF((N23-(NETWORKDAYS.INTL(J_GregorianDate(D23,1),J_GregorianDate(J_SUBDAY(J_ADDDAY(D23,N23,1),1,1),1),16,1)))+SUMIFS(Holieday[ok],Holieday[date],CONCATENATE("&gt;","=",D23),Holieday[date],CONCATENATE("&lt;","=",J_SUBDAY(J_ADDDAY(D23,N23,1),1,1)))-SUMIFS(Holieday[Friday],Holieday[date],CONCATENATE("&gt;","=",D23),Holieday[date],CONCATENATE("&lt;","=",J_SUBDAY(J_ADDDAY(D23,N23,1),1,1)))=0,J_SUBDAY(J_ADDDAY(D23,N23,1),1,1),IF((N23+1-(NETWORKDAYS.INTL(J_GregorianDate(D23,1),J_GregorianDate(J_SUBDAY(J_ADDDAY(D23,N23+1,1),1,1),1),16,1)))+SUMIFS(Holieday[ok],Holieday[date],CONCATENATE("&gt;","=",D23),Holieday[date],CONCATENATE("&lt;","=",J_SUBDAY(J_ADDDAY(D23,N23+1,1),1,1)))-SUMIFS(Holieday[Friday],Holieday[date],CONCATENATE("&gt;","=",D23),Holieday[date],CONCATENATE("&lt;","=",J_SUBDAY(J_ADDDAY(D23,N23+1,1),1,1)))=1,J_SUBDAY(J_ADDDAY(D23,N23+1,1),1,1),IF((N23+2-(NETWORKDAYS.INTL(J_GregorianDate(D23,1),J_GregorianDate(J_SUBDAY(J_ADDDAY(D23,N23+2,1),1,1),1),16,1)))+SUMIFS(Holieday[ok],Holieday[date],CONCATENATE("&gt;","=",D23),Holieday[date],CONCATENATE("&lt;","=",J_SUBDAY(J_ADDDAY(D23,N23+2,1),1,1)))-SUMIFS(Holieday[Friday],Holieday[date],CONCATENATE("&gt;","=",D23),Holieday[date],CONCATENATE("&lt;","=",J_SUBDAY(J_ADDDAY(D23,N23+2,1),1,1)))=2,J_SUBDAY(J_ADDDAY(D23,N23+2,1),1,1),IF((N23+3-(NETWORKDAYS.INTL(J_GregorianDate(D23,1),J_GregorianDate(J_SUBDAY(J_ADDDAY(D23,N23+3,1),1,1),1),16,1)))+SUMIFS(Holieday[ok],Holieday[date],CONCATENATE("&gt;","=",D23),Holieday[date],CONCATENATE("&lt;","=",J_SUBDAY(J_ADDDAY(D23,N23+3,1),1,1)))-SUMIFS(Holieday[Friday],Holieday[date],CONCATENATE("&gt;","=",D23),Holieday[date],CONCATENATE("&lt;","=",J_SUBDAY(J_ADDDAY(D23,N23+3,1),1,1)))=3,J_SUBDAY(J_ADDDAY(D23,N23+3,1),1,1),IF((N23+4-(NETWORKDAYS.INTL(J_GregorianDate(D23,1),J_GregorianDate(J_SUBDAY(J_ADDDAY(D23,N23+4,1),1,1),1),16,1)))+SUMIFS(Holieday[ok],Holieday[date],CONCATENATE("&gt;","=",D23),Holieday[date],CONCATENATE("&lt;","=",J_SUBDAY(J_ADDDAY(D23,N23+4,1),1,1)))-SUMIFS(Holieday[Friday],Holieday[date],CONCATENATE("&gt;","=",D23),Holieday[date],CONCATENATE("&lt;","=",J_SUBDAY(J_ADDDAY(D23,N23+4,1),1,1)))=4,J_SUBDAY(J_ADDDAY(D23,N23+4,1),1,1),IF((N23+5-(NETWORKDAYS.INTL(J_GregorianDate(D23,1),J_GregorianDate(J_SUBDAY(J_ADDDAY(D23,N23+5,1),1,1),1),16,1)))+SUMIFS(Holieday[ok],Holieday[date],CONCATENATE("&gt;","=",D23),Holieday[date],CONCATENATE("&lt;","=",J_SUBDAY(J_ADDDAY(D23,N23+5,1),1,1)))-SUMIFS(Holieday[Friday],Holieday[date],CONCATENATE("&gt;","=",D23),Holieday[date],CONCATENATE("&lt;","=",J_SUBDAY(J_ADDDAY(D23,N23+5,1),1,1)))=5,J_SUBDAY(J_ADDDAY(D23,N23+5,1),1,1),J_SUBDAY(J_ADDDAY(D23,N23+6,1),1,1))))))))</f>
        <v>1398/06/30</v>
      </c>
      <c r="G23" s="2">
        <f t="shared" si="5"/>
        <v>13980630</v>
      </c>
      <c r="H23" s="109"/>
      <c r="I23" s="110">
        <v>1.1000000000000001</v>
      </c>
      <c r="J23" s="9">
        <f>j_WEEKDAY(D23,2)</f>
        <v>1</v>
      </c>
      <c r="K23" s="21">
        <f t="shared" si="7"/>
        <v>0</v>
      </c>
      <c r="L23" s="8">
        <f t="shared" si="8"/>
        <v>0</v>
      </c>
      <c r="M23" s="111">
        <v>0</v>
      </c>
      <c r="N23" s="108">
        <v>0</v>
      </c>
      <c r="O23" s="10">
        <f t="shared" si="9"/>
        <v>0</v>
      </c>
      <c r="P23" s="10">
        <f>VALUE(J_normdate(J_ADDDAY($D23,$O23,1)))</f>
        <v>13980631</v>
      </c>
      <c r="Q23" s="9">
        <f t="shared" si="10"/>
        <v>0</v>
      </c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29">
        <v>1</v>
      </c>
      <c r="IZ23" s="29"/>
      <c r="JA23" s="113"/>
      <c r="JB23" s="113"/>
      <c r="JC23" s="113"/>
      <c r="JD23" s="66">
        <f>SUM((TEXT(JA23,"[M]")/60)*'Income Person-hours'!$D$3,(TEXT(JB23,"[M]")/60)*'Income Person-hours'!$D$4,(TEXT(JC23,"[M]")/60)*'Income Person-hours'!$D$5)</f>
        <v>0</v>
      </c>
    </row>
    <row r="24" spans="1:264" s="11" customFormat="1" ht="11.25" hidden="1">
      <c r="A24" s="30">
        <v>1.1599999999999999</v>
      </c>
      <c r="B24" s="106"/>
      <c r="C24" s="107"/>
      <c r="D24" s="7" t="str">
        <f>IF(OR(j_WEEKDAY(J_ADDDAY(VLOOKUP(I24,A:F,6,FALSE),H24,1),0)=6,SUMIFS(Holieday[ok],Holieday[date],J_ADDDAY(VLOOKUP(I24,A:F,6,FALSE),H24,1)))=FALSE(),J_ADDDAY(VLOOKUP(I24,A:F,6,FALSE),H24,1),IF(OR(j_WEEKDAY(J_ADDDAY(VLOOKUP(I24,A:F,6,FALSE),H24+1,1),0)=6,SUMIFS(Holieday[ok],Holieday[date],J_ADDDAY(VLOOKUP(I24,A:F,6,FALSE),H24+1,1)))=FALSE(),J_ADDDAY(VLOOKUP(I24,A:F,6,FALSE),H24+1,1),IF(OR(j_WEEKDAY(J_ADDDAY(VLOOKUP(I24,A:F,6,FALSE),H24+2,1),0)=6,SUMIFS(Holieday[ok],Holieday[date],J_ADDDAY(VLOOKUP(I24,A:F,6,FALSE),H24+2,1)))=FALSE(),J_ADDDAY(VLOOKUP(I24,A:F,6,FALSE),H24+2,1),IF(OR(j_WEEKDAY(J_ADDDAY(VLOOKUP(I24,A:F,6,FALSE),H24+3,1),0)=6,SUMIFS(Holieday[ok],Holieday[date],J_ADDDAY(VLOOKUP(I24,A:F,6,FALSE),H24+3,1)))=FALSE(),J_ADDDAY(VLOOKUP(I24,A:F,6,FALSE),H24+3,1),IF(OR(j_WEEKDAY(J_ADDDAY(VLOOKUP(I24,A:F,6,FALSE),H24+4,1),0)=6,SUMIFS(Holieday[ok],Holieday[date],J_ADDDAY(VLOOKUP(I24,A:F,6,FALSE),H24+4,1)))=FALSE(),J_ADDDAY(VLOOKUP(I24,A:F,6,FALSE),H24+4,1),J_ADDDAY(VLOOKUP(I24,A:F,6,FALSE),H24+5,1))))))</f>
        <v>1398/06/31</v>
      </c>
      <c r="E24" s="1">
        <f t="shared" si="4"/>
        <v>13980631</v>
      </c>
      <c r="F24" s="12" t="str">
        <f>IF(N24=0,J_SUBDAY(D24,1,1),IF((N24-(NETWORKDAYS.INTL(J_GregorianDate(D24,1),J_GregorianDate(J_SUBDAY(J_ADDDAY(D24,N24,1),1,1),1),16,1)))+SUMIFS(Holieday[ok],Holieday[date],CONCATENATE("&gt;","=",D24),Holieday[date],CONCATENATE("&lt;","=",J_SUBDAY(J_ADDDAY(D24,N24,1),1,1)))-SUMIFS(Holieday[Friday],Holieday[date],CONCATENATE("&gt;","=",D24),Holieday[date],CONCATENATE("&lt;","=",J_SUBDAY(J_ADDDAY(D24,N24,1),1,1)))=0,J_SUBDAY(J_ADDDAY(D24,N24,1),1,1),IF((N24+1-(NETWORKDAYS.INTL(J_GregorianDate(D24,1),J_GregorianDate(J_SUBDAY(J_ADDDAY(D24,N24+1,1),1,1),1),16,1)))+SUMIFS(Holieday[ok],Holieday[date],CONCATENATE("&gt;","=",D24),Holieday[date],CONCATENATE("&lt;","=",J_SUBDAY(J_ADDDAY(D24,N24+1,1),1,1)))-SUMIFS(Holieday[Friday],Holieday[date],CONCATENATE("&gt;","=",D24),Holieday[date],CONCATENATE("&lt;","=",J_SUBDAY(J_ADDDAY(D24,N24+1,1),1,1)))=1,J_SUBDAY(J_ADDDAY(D24,N24+1,1),1,1),IF((N24+2-(NETWORKDAYS.INTL(J_GregorianDate(D24,1),J_GregorianDate(J_SUBDAY(J_ADDDAY(D24,N24+2,1),1,1),1),16,1)))+SUMIFS(Holieday[ok],Holieday[date],CONCATENATE("&gt;","=",D24),Holieday[date],CONCATENATE("&lt;","=",J_SUBDAY(J_ADDDAY(D24,N24+2,1),1,1)))-SUMIFS(Holieday[Friday],Holieday[date],CONCATENATE("&gt;","=",D24),Holieday[date],CONCATENATE("&lt;","=",J_SUBDAY(J_ADDDAY(D24,N24+2,1),1,1)))=2,J_SUBDAY(J_ADDDAY(D24,N24+2,1),1,1),IF((N24+3-(NETWORKDAYS.INTL(J_GregorianDate(D24,1),J_GregorianDate(J_SUBDAY(J_ADDDAY(D24,N24+3,1),1,1),1),16,1)))+SUMIFS(Holieday[ok],Holieday[date],CONCATENATE("&gt;","=",D24),Holieday[date],CONCATENATE("&lt;","=",J_SUBDAY(J_ADDDAY(D24,N24+3,1),1,1)))-SUMIFS(Holieday[Friday],Holieday[date],CONCATENATE("&gt;","=",D24),Holieday[date],CONCATENATE("&lt;","=",J_SUBDAY(J_ADDDAY(D24,N24+3,1),1,1)))=3,J_SUBDAY(J_ADDDAY(D24,N24+3,1),1,1),IF((N24+4-(NETWORKDAYS.INTL(J_GregorianDate(D24,1),J_GregorianDate(J_SUBDAY(J_ADDDAY(D24,N24+4,1),1,1),1),16,1)))+SUMIFS(Holieday[ok],Holieday[date],CONCATENATE("&gt;","=",D24),Holieday[date],CONCATENATE("&lt;","=",J_SUBDAY(J_ADDDAY(D24,N24+4,1),1,1)))-SUMIFS(Holieday[Friday],Holieday[date],CONCATENATE("&gt;","=",D24),Holieday[date],CONCATENATE("&lt;","=",J_SUBDAY(J_ADDDAY(D24,N24+4,1),1,1)))=4,J_SUBDAY(J_ADDDAY(D24,N24+4,1),1,1),IF((N24+5-(NETWORKDAYS.INTL(J_GregorianDate(D24,1),J_GregorianDate(J_SUBDAY(J_ADDDAY(D24,N24+5,1),1,1),1),16,1)))+SUMIFS(Holieday[ok],Holieday[date],CONCATENATE("&gt;","=",D24),Holieday[date],CONCATENATE("&lt;","=",J_SUBDAY(J_ADDDAY(D24,N24+5,1),1,1)))-SUMIFS(Holieday[Friday],Holieday[date],CONCATENATE("&gt;","=",D24),Holieday[date],CONCATENATE("&lt;","=",J_SUBDAY(J_ADDDAY(D24,N24+5,1),1,1)))=5,J_SUBDAY(J_ADDDAY(D24,N24+5,1),1,1),J_SUBDAY(J_ADDDAY(D24,N24+6,1),1,1))))))))</f>
        <v>1398/06/30</v>
      </c>
      <c r="G24" s="2">
        <f t="shared" si="5"/>
        <v>13980630</v>
      </c>
      <c r="H24" s="109"/>
      <c r="I24" s="110">
        <v>1.1000000000000001</v>
      </c>
      <c r="J24" s="9">
        <f>j_WEEKDAY(D24,2)</f>
        <v>1</v>
      </c>
      <c r="K24" s="21">
        <f t="shared" si="7"/>
        <v>0</v>
      </c>
      <c r="L24" s="8">
        <f t="shared" si="8"/>
        <v>0</v>
      </c>
      <c r="M24" s="111">
        <v>0</v>
      </c>
      <c r="N24" s="108">
        <v>0</v>
      </c>
      <c r="O24" s="10">
        <f t="shared" si="9"/>
        <v>0</v>
      </c>
      <c r="P24" s="10">
        <f>VALUE(J_normdate(J_ADDDAY($D24,$O24,1)))</f>
        <v>13980631</v>
      </c>
      <c r="Q24" s="9">
        <f t="shared" si="10"/>
        <v>0</v>
      </c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29">
        <v>1</v>
      </c>
      <c r="IZ24" s="29"/>
      <c r="JA24" s="113"/>
      <c r="JB24" s="113"/>
      <c r="JC24" s="113"/>
      <c r="JD24" s="66">
        <f>SUM((TEXT(JA24,"[M]")/60)*'Income Person-hours'!$D$3,(TEXT(JB24,"[M]")/60)*'Income Person-hours'!$D$4,(TEXT(JC24,"[M]")/60)*'Income Person-hours'!$D$5)</f>
        <v>0</v>
      </c>
    </row>
    <row r="25" spans="1:264" s="11" customFormat="1" ht="11.25" hidden="1">
      <c r="A25" s="30">
        <v>1.17</v>
      </c>
      <c r="B25" s="106"/>
      <c r="C25" s="107"/>
      <c r="D25" s="7" t="str">
        <f>IF(OR(j_WEEKDAY(J_ADDDAY(VLOOKUP(I25,A:F,6,FALSE),H25,1),0)=6,SUMIFS(Holieday[ok],Holieday[date],J_ADDDAY(VLOOKUP(I25,A:F,6,FALSE),H25,1)))=FALSE(),J_ADDDAY(VLOOKUP(I25,A:F,6,FALSE),H25,1),IF(OR(j_WEEKDAY(J_ADDDAY(VLOOKUP(I25,A:F,6,FALSE),H25+1,1),0)=6,SUMIFS(Holieday[ok],Holieday[date],J_ADDDAY(VLOOKUP(I25,A:F,6,FALSE),H25+1,1)))=FALSE(),J_ADDDAY(VLOOKUP(I25,A:F,6,FALSE),H25+1,1),IF(OR(j_WEEKDAY(J_ADDDAY(VLOOKUP(I25,A:F,6,FALSE),H25+2,1),0)=6,SUMIFS(Holieday[ok],Holieday[date],J_ADDDAY(VLOOKUP(I25,A:F,6,FALSE),H25+2,1)))=FALSE(),J_ADDDAY(VLOOKUP(I25,A:F,6,FALSE),H25+2,1),IF(OR(j_WEEKDAY(J_ADDDAY(VLOOKUP(I25,A:F,6,FALSE),H25+3,1),0)=6,SUMIFS(Holieday[ok],Holieday[date],J_ADDDAY(VLOOKUP(I25,A:F,6,FALSE),H25+3,1)))=FALSE(),J_ADDDAY(VLOOKUP(I25,A:F,6,FALSE),H25+3,1),IF(OR(j_WEEKDAY(J_ADDDAY(VLOOKUP(I25,A:F,6,FALSE),H25+4,1),0)=6,SUMIFS(Holieday[ok],Holieday[date],J_ADDDAY(VLOOKUP(I25,A:F,6,FALSE),H25+4,1)))=FALSE(),J_ADDDAY(VLOOKUP(I25,A:F,6,FALSE),H25+4,1),J_ADDDAY(VLOOKUP(I25,A:F,6,FALSE),H25+5,1))))))</f>
        <v>1398/06/31</v>
      </c>
      <c r="E25" s="1">
        <f t="shared" si="4"/>
        <v>13980631</v>
      </c>
      <c r="F25" s="12" t="str">
        <f>IF(N25=0,J_SUBDAY(D25,1,1),IF((N25-NETWORKDAYS.INTL(J_GregorianDate(D25,1),J_GregorianDate(J_SUBDAY(J_ADDDAY(D25,N25,1),1,1),1),16,1)-SUMIFS(Holieday[ok],Holieday[date],CONCATENATE("&gt;","=",D25),Holieday[date],CONCATENATE("&lt;","=",J_SUBDAY(J_ADDDAY(D25,N25,1),1,1)))+SUMIFS(Holieday[Friday],Holieday[date],CONCATENATE("&gt;","=",D25),Holieday[date],CONCATENATE("&lt;","=",J_SUBDAY(J_ADDDAY(D25,N25,1),1,1))))=0,J_SUBDAY(J_ADDDAY(D25,N25,1),1,1),IF((N25-NETWORKDAYS.INTL(J_GregorianDate(D25,1),J_GregorianDate(J_SUBDAY(J_ADDDAY(D25,N25,1),1,1),1),16,1)-SUMIFS(Holieday[ok],Holieday[date],CONCATENATE("&gt;","=",D25),Holieday[date],CONCATENATE("&lt;","=",J_SUBDAY(J_ADDDAY(D25,N25,1),1,1)))+SUMIFS(Holieday[Friday],Holieday[date],CONCATENATE("&gt;","=",D25),Holieday[date],CONCATENATE("&lt;","=",J_SUBDAY(J_ADDDAY(D25,N25,1),1,1))))=1,J_SUBDAY(J_ADDDAY(D25,N25+1,1),1,1),IF((N25-NETWORKDAYS.INTL(J_GregorianDate(D25,1),J_GregorianDate(J_SUBDAY(J_ADDDAY(D25,N25,1),1,1),1),16,1)-SUMIFS(Holieday[ok],Holieday[date],CONCATENATE("&gt;","=",D25),Holieday[date],CONCATENATE("&lt;","=",J_SUBDAY(J_ADDDAY(D25,N25,1),1,1)))+SUMIFS(Holieday[Friday],Holieday[date],CONCATENATE("&gt;","=",D25),Holieday[date],CONCATENATE("&lt;","=",J_SUBDAY(J_ADDDAY(D25,N25,1),1,1))))=2,J_SUBDAY(J_ADDDAY(D25,N25+2,1),1,1),J_SUBDAY(J_ADDDAY(D25,N25+3,1),1,1)))))</f>
        <v>1398/06/30</v>
      </c>
      <c r="G25" s="2">
        <f t="shared" si="5"/>
        <v>13980630</v>
      </c>
      <c r="H25" s="109"/>
      <c r="I25" s="110">
        <v>1.1000000000000001</v>
      </c>
      <c r="J25" s="19">
        <f>j_WEEKDAY(D25,2)</f>
        <v>1</v>
      </c>
      <c r="K25" s="21">
        <f t="shared" si="7"/>
        <v>0</v>
      </c>
      <c r="L25" s="8">
        <f t="shared" si="8"/>
        <v>0</v>
      </c>
      <c r="M25" s="111">
        <v>0</v>
      </c>
      <c r="N25" s="108">
        <v>0</v>
      </c>
      <c r="O25" s="10">
        <f t="shared" si="9"/>
        <v>0</v>
      </c>
      <c r="P25" s="10">
        <f>VALUE(J_normdate(J_ADDDAY($D25,$O25,1)))</f>
        <v>13980631</v>
      </c>
      <c r="Q25" s="9">
        <f t="shared" si="10"/>
        <v>0</v>
      </c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JA25" s="113"/>
      <c r="JB25" s="113"/>
      <c r="JC25" s="113"/>
      <c r="JD25" s="66">
        <f>SUM((TEXT(JA25,"[M]")/60)*'Income Person-hours'!$D$3,(TEXT(JB25,"[M]")/60)*'Income Person-hours'!$D$4,(TEXT(JC25,"[M]")/60)*'Income Person-hours'!$D$5)</f>
        <v>0</v>
      </c>
    </row>
    <row r="26" spans="1:264" s="11" customFormat="1" ht="11.25" hidden="1">
      <c r="A26" s="30">
        <v>1.18</v>
      </c>
      <c r="B26" s="106"/>
      <c r="C26" s="107"/>
      <c r="D26" s="7" t="str">
        <f>IF(OR(j_WEEKDAY(J_ADDDAY(VLOOKUP(I26,A:F,6,FALSE),H26,1),0)=6,SUMIFS(Holieday[ok],Holieday[date],J_ADDDAY(VLOOKUP(I26,A:F,6,FALSE),H26,1)))=FALSE(),J_ADDDAY(VLOOKUP(I26,A:F,6,FALSE),H26,1),IF(OR(j_WEEKDAY(J_ADDDAY(VLOOKUP(I26,A:F,6,FALSE),H26+1,1),0)=6,SUMIFS(Holieday[ok],Holieday[date],J_ADDDAY(VLOOKUP(I26,A:F,6,FALSE),H26+1,1)))=FALSE(),J_ADDDAY(VLOOKUP(I26,A:F,6,FALSE),H26+1,1),IF(OR(j_WEEKDAY(J_ADDDAY(VLOOKUP(I26,A:F,6,FALSE),H26+2,1),0)=6,SUMIFS(Holieday[ok],Holieday[date],J_ADDDAY(VLOOKUP(I26,A:F,6,FALSE),H26+2,1)))=FALSE(),J_ADDDAY(VLOOKUP(I26,A:F,6,FALSE),H26+2,1),IF(OR(j_WEEKDAY(J_ADDDAY(VLOOKUP(I26,A:F,6,FALSE),H26+3,1),0)=6,SUMIFS(Holieday[ok],Holieday[date],J_ADDDAY(VLOOKUP(I26,A:F,6,FALSE),H26+3,1)))=FALSE(),J_ADDDAY(VLOOKUP(I26,A:F,6,FALSE),H26+3,1),IF(OR(j_WEEKDAY(J_ADDDAY(VLOOKUP(I26,A:F,6,FALSE),H26+4,1),0)=6,SUMIFS(Holieday[ok],Holieday[date],J_ADDDAY(VLOOKUP(I26,A:F,6,FALSE),H26+4,1)))=FALSE(),J_ADDDAY(VLOOKUP(I26,A:F,6,FALSE),H26+4,1),J_ADDDAY(VLOOKUP(I26,A:F,6,FALSE),H26+5,1))))))</f>
        <v>1398/06/31</v>
      </c>
      <c r="E26" s="1">
        <f t="shared" si="4"/>
        <v>13980631</v>
      </c>
      <c r="F26" s="12" t="str">
        <f>IF(N26=0,J_SUBDAY(D26,1,1),IF((N26-NETWORKDAYS.INTL(J_GregorianDate(D26,1),J_GregorianDate(J_SUBDAY(J_ADDDAY(D26,N26,1),1,1),1),16,1)-SUMIFS(Holieday[ok],Holieday[date],CONCATENATE("&gt;","=",D26),Holieday[date],CONCATENATE("&lt;","=",J_SUBDAY(J_ADDDAY(D26,N26,1),1,1)))+SUMIFS(Holieday[Friday],Holieday[date],CONCATENATE("&gt;","=",D26),Holieday[date],CONCATENATE("&lt;","=",J_SUBDAY(J_ADDDAY(D26,N26,1),1,1))))=0,J_SUBDAY(J_ADDDAY(D26,N26,1),1,1),IF((N26-NETWORKDAYS.INTL(J_GregorianDate(D26,1),J_GregorianDate(J_SUBDAY(J_ADDDAY(D26,N26,1),1,1),1),16,1)-SUMIFS(Holieday[ok],Holieday[date],CONCATENATE("&gt;","=",D26),Holieday[date],CONCATENATE("&lt;","=",J_SUBDAY(J_ADDDAY(D26,N26,1),1,1)))+SUMIFS(Holieday[Friday],Holieday[date],CONCATENATE("&gt;","=",D26),Holieday[date],CONCATENATE("&lt;","=",J_SUBDAY(J_ADDDAY(D26,N26,1),1,1))))=1,J_SUBDAY(J_ADDDAY(D26,N26+1,1),1,1),IF((N26-NETWORKDAYS.INTL(J_GregorianDate(D26,1),J_GregorianDate(J_SUBDAY(J_ADDDAY(D26,N26,1),1,1),1),16,1)-SUMIFS(Holieday[ok],Holieday[date],CONCATENATE("&gt;","=",D26),Holieday[date],CONCATENATE("&lt;","=",J_SUBDAY(J_ADDDAY(D26,N26,1),1,1)))+SUMIFS(Holieday[Friday],Holieday[date],CONCATENATE("&gt;","=",D26),Holieday[date],CONCATENATE("&lt;","=",J_SUBDAY(J_ADDDAY(D26,N26,1),1,1))))=2,J_SUBDAY(J_ADDDAY(D26,N26+2,1),1,1),J_SUBDAY(J_ADDDAY(D26,N26+3,1),1,1)))))</f>
        <v>1398/06/30</v>
      </c>
      <c r="G26" s="2">
        <f t="shared" si="5"/>
        <v>13980630</v>
      </c>
      <c r="H26" s="109"/>
      <c r="I26" s="110">
        <v>1.1000000000000001</v>
      </c>
      <c r="J26" s="19">
        <f>j_WEEKDAY(D26,2)</f>
        <v>1</v>
      </c>
      <c r="K26" s="21">
        <f t="shared" si="7"/>
        <v>0</v>
      </c>
      <c r="L26" s="8">
        <f t="shared" si="8"/>
        <v>0</v>
      </c>
      <c r="M26" s="111">
        <v>0</v>
      </c>
      <c r="N26" s="108">
        <v>0</v>
      </c>
      <c r="O26" s="10">
        <f t="shared" si="9"/>
        <v>0</v>
      </c>
      <c r="P26" s="10">
        <f>VALUE(J_normdate(J_ADDDAY($D26,$O26,1)))</f>
        <v>13980631</v>
      </c>
      <c r="Q26" s="9">
        <f t="shared" si="10"/>
        <v>0</v>
      </c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JA26" s="113"/>
      <c r="JB26" s="113"/>
      <c r="JC26" s="113"/>
      <c r="JD26" s="66">
        <f>SUM((TEXT(JA26,"[M]")/60)*'Income Person-hours'!$D$3,(TEXT(JB26,"[M]")/60)*'Income Person-hours'!$D$4,(TEXT(JC26,"[M]")/60)*'Income Person-hours'!$D$5)</f>
        <v>0</v>
      </c>
    </row>
    <row r="27" spans="1:264" s="11" customFormat="1" ht="11.25" hidden="1">
      <c r="A27" s="30">
        <v>1.19</v>
      </c>
      <c r="B27" s="116"/>
      <c r="C27" s="107"/>
      <c r="D27" s="7" t="str">
        <f>IF(OR(j_WEEKDAY(J_ADDDAY(VLOOKUP(I27,A:F,6,FALSE),H27,1),0)=6,SUMIFS(Holieday[ok],Holieday[date],J_ADDDAY(VLOOKUP(I27,A:F,6,FALSE),H27,1)))=FALSE(),J_ADDDAY(VLOOKUP(I27,A:F,6,FALSE),H27,1),IF(OR(j_WEEKDAY(J_ADDDAY(VLOOKUP(I27,A:F,6,FALSE),H27+1,1),0)=6,SUMIFS(Holieday[ok],Holieday[date],J_ADDDAY(VLOOKUP(I27,A:F,6,FALSE),H27+1,1)))=FALSE(),J_ADDDAY(VLOOKUP(I27,A:F,6,FALSE),H27+1,1),IF(OR(j_WEEKDAY(J_ADDDAY(VLOOKUP(I27,A:F,6,FALSE),H27+2,1),0)=6,SUMIFS(Holieday[ok],Holieday[date],J_ADDDAY(VLOOKUP(I27,A:F,6,FALSE),H27+2,1)))=FALSE(),J_ADDDAY(VLOOKUP(I27,A:F,6,FALSE),H27+2,1),IF(OR(j_WEEKDAY(J_ADDDAY(VLOOKUP(I27,A:F,6,FALSE),H27+3,1),0)=6,SUMIFS(Holieday[ok],Holieday[date],J_ADDDAY(VLOOKUP(I27,A:F,6,FALSE),H27+3,1)))=FALSE(),J_ADDDAY(VLOOKUP(I27,A:F,6,FALSE),H27+3,1),IF(OR(j_WEEKDAY(J_ADDDAY(VLOOKUP(I27,A:F,6,FALSE),H27+4,1),0)=6,SUMIFS(Holieday[ok],Holieday[date],J_ADDDAY(VLOOKUP(I27,A:F,6,FALSE),H27+4,1)))=FALSE(),J_ADDDAY(VLOOKUP(I27,A:F,6,FALSE),H27+4,1),J_ADDDAY(VLOOKUP(I27,A:F,6,FALSE),H27+5,1))))))</f>
        <v>1398/06/31</v>
      </c>
      <c r="E27" s="1">
        <f t="shared" si="4"/>
        <v>13980631</v>
      </c>
      <c r="F27" s="12" t="str">
        <f>IF(N27=0,J_SUBDAY(D27,1,1),IF((N27-NETWORKDAYS.INTL(J_GregorianDate(D27,1),J_GregorianDate(J_SUBDAY(J_ADDDAY(D27,N27,1),1,1),1),16,1)-SUMIFS(Holieday[ok],Holieday[date],CONCATENATE("&gt;","=",D27),Holieday[date],CONCATENATE("&lt;","=",J_SUBDAY(J_ADDDAY(D27,N27,1),1,1)))+SUMIFS(Holieday[Friday],Holieday[date],CONCATENATE("&gt;","=",D27),Holieday[date],CONCATENATE("&lt;","=",J_SUBDAY(J_ADDDAY(D27,N27,1),1,1))))=0,J_SUBDAY(J_ADDDAY(D27,N27,1),1,1),IF((N27-NETWORKDAYS.INTL(J_GregorianDate(D27,1),J_GregorianDate(J_SUBDAY(J_ADDDAY(D27,N27,1),1,1),1),16,1)-SUMIFS(Holieday[ok],Holieday[date],CONCATENATE("&gt;","=",D27),Holieday[date],CONCATENATE("&lt;","=",J_SUBDAY(J_ADDDAY(D27,N27,1),1,1)))+SUMIFS(Holieday[Friday],Holieday[date],CONCATENATE("&gt;","=",D27),Holieday[date],CONCATENATE("&lt;","=",J_SUBDAY(J_ADDDAY(D27,N27,1),1,1))))=1,J_SUBDAY(J_ADDDAY(D27,N27+1,1),1,1),IF((N27-NETWORKDAYS.INTL(J_GregorianDate(D27,1),J_GregorianDate(J_SUBDAY(J_ADDDAY(D27,N27,1),1,1),1),16,1)-SUMIFS(Holieday[ok],Holieday[date],CONCATENATE("&gt;","=",D27),Holieday[date],CONCATENATE("&lt;","=",J_SUBDAY(J_ADDDAY(D27,N27,1),1,1)))+SUMIFS(Holieday[Friday],Holieday[date],CONCATENATE("&gt;","=",D27),Holieday[date],CONCATENATE("&lt;","=",J_SUBDAY(J_ADDDAY(D27,N27,1),1,1))))=2,J_SUBDAY(J_ADDDAY(D27,N27+2,1),1,1),J_SUBDAY(J_ADDDAY(D27,N27+3,1),1,1)))))</f>
        <v>1398/06/30</v>
      </c>
      <c r="G27" s="2">
        <f t="shared" si="5"/>
        <v>13980630</v>
      </c>
      <c r="H27" s="109"/>
      <c r="I27" s="110">
        <v>1.1000000000000001</v>
      </c>
      <c r="J27" s="19">
        <f>j_WEEKDAY(D27,2)</f>
        <v>1</v>
      </c>
      <c r="K27" s="21">
        <f t="shared" si="7"/>
        <v>0</v>
      </c>
      <c r="L27" s="8">
        <f t="shared" si="8"/>
        <v>0</v>
      </c>
      <c r="M27" s="111">
        <v>0</v>
      </c>
      <c r="N27" s="108">
        <v>0</v>
      </c>
      <c r="O27" s="10">
        <f t="shared" si="9"/>
        <v>0</v>
      </c>
      <c r="P27" s="10">
        <f>VALUE(J_normdate(J_ADDDAY($D27,$O27,1)))</f>
        <v>13980631</v>
      </c>
      <c r="Q27" s="9">
        <f t="shared" si="10"/>
        <v>0</v>
      </c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JA27" s="113"/>
      <c r="JB27" s="113"/>
      <c r="JC27" s="113"/>
      <c r="JD27" s="66">
        <f>SUM((TEXT(JA27,"[M]")/60)*'Income Person-hours'!$D$3,(TEXT(JB27,"[M]")/60)*'Income Person-hours'!$D$4,(TEXT(JC27,"[M]")/60)*'Income Person-hours'!$D$5)</f>
        <v>0</v>
      </c>
    </row>
    <row r="28" spans="1:264" s="11" customFormat="1" ht="11.25" hidden="1">
      <c r="A28" s="30">
        <v>1.21</v>
      </c>
      <c r="B28" s="116"/>
      <c r="C28" s="107"/>
      <c r="D28" s="7" t="str">
        <f>IF(OR(j_WEEKDAY(J_ADDDAY(VLOOKUP(I28,A:F,6,FALSE),H28,1),0)=6,SUMIFS(Holieday[ok],Holieday[date],J_ADDDAY(VLOOKUP(I28,A:F,6,FALSE),H28,1)))=FALSE(),J_ADDDAY(VLOOKUP(I28,A:F,6,FALSE),H28,1),IF(OR(j_WEEKDAY(J_ADDDAY(VLOOKUP(I28,A:F,6,FALSE),H28+1,1),0)=6,SUMIFS(Holieday[ok],Holieday[date],J_ADDDAY(VLOOKUP(I28,A:F,6,FALSE),H28+1,1)))=FALSE(),J_ADDDAY(VLOOKUP(I28,A:F,6,FALSE),H28+1,1),IF(OR(j_WEEKDAY(J_ADDDAY(VLOOKUP(I28,A:F,6,FALSE),H28+2,1),0)=6,SUMIFS(Holieday[ok],Holieday[date],J_ADDDAY(VLOOKUP(I28,A:F,6,FALSE),H28+2,1)))=FALSE(),J_ADDDAY(VLOOKUP(I28,A:F,6,FALSE),H28+2,1),IF(OR(j_WEEKDAY(J_ADDDAY(VLOOKUP(I28,A:F,6,FALSE),H28+3,1),0)=6,SUMIFS(Holieday[ok],Holieday[date],J_ADDDAY(VLOOKUP(I28,A:F,6,FALSE),H28+3,1)))=FALSE(),J_ADDDAY(VLOOKUP(I28,A:F,6,FALSE),H28+3,1),IF(OR(j_WEEKDAY(J_ADDDAY(VLOOKUP(I28,A:F,6,FALSE),H28+4,1),0)=6,SUMIFS(Holieday[ok],Holieday[date],J_ADDDAY(VLOOKUP(I28,A:F,6,FALSE),H28+4,1)))=FALSE(),J_ADDDAY(VLOOKUP(I28,A:F,6,FALSE),H28+4,1),J_ADDDAY(VLOOKUP(I28,A:F,6,FALSE),H28+5,1))))))</f>
        <v>1398/06/31</v>
      </c>
      <c r="E28" s="1">
        <f t="shared" si="4"/>
        <v>13980631</v>
      </c>
      <c r="F28" s="12" t="str">
        <f>IF(N28=0,J_SUBDAY(D28,1,1),IF((N28-NETWORKDAYS.INTL(J_GregorianDate(D28,1),J_GregorianDate(J_SUBDAY(J_ADDDAY(D28,N28,1),1,1),1),16,1)-SUMIFS(Holieday[ok],Holieday[date],CONCATENATE("&gt;","=",D28),Holieday[date],CONCATENATE("&lt;","=",J_SUBDAY(J_ADDDAY(D28,N28,1),1,1)))+SUMIFS(Holieday[Friday],Holieday[date],CONCATENATE("&gt;","=",D28),Holieday[date],CONCATENATE("&lt;","=",J_SUBDAY(J_ADDDAY(D28,N28,1),1,1))))=0,J_SUBDAY(J_ADDDAY(D28,N28,1),1,1),IF((N28-NETWORKDAYS.INTL(J_GregorianDate(D28,1),J_GregorianDate(J_SUBDAY(J_ADDDAY(D28,N28,1),1,1),1),16,1)-SUMIFS(Holieday[ok],Holieday[date],CONCATENATE("&gt;","=",D28),Holieday[date],CONCATENATE("&lt;","=",J_SUBDAY(J_ADDDAY(D28,N28,1),1,1)))+SUMIFS(Holieday[Friday],Holieday[date],CONCATENATE("&gt;","=",D28),Holieday[date],CONCATENATE("&lt;","=",J_SUBDAY(J_ADDDAY(D28,N28,1),1,1))))=1,J_SUBDAY(J_ADDDAY(D28,N28+1,1),1,1),IF((N28-NETWORKDAYS.INTL(J_GregorianDate(D28,1),J_GregorianDate(J_SUBDAY(J_ADDDAY(D28,N28,1),1,1),1),16,1)-SUMIFS(Holieday[ok],Holieday[date],CONCATENATE("&gt;","=",D28),Holieday[date],CONCATENATE("&lt;","=",J_SUBDAY(J_ADDDAY(D28,N28,1),1,1)))+SUMIFS(Holieday[Friday],Holieday[date],CONCATENATE("&gt;","=",D28),Holieday[date],CONCATENATE("&lt;","=",J_SUBDAY(J_ADDDAY(D28,N28,1),1,1))))=2,J_SUBDAY(J_ADDDAY(D28,N28+2,1),1,1),J_SUBDAY(J_ADDDAY(D28,N28+3,1),1,1)))))</f>
        <v>1398/06/30</v>
      </c>
      <c r="G28" s="2">
        <f t="shared" si="5"/>
        <v>13980630</v>
      </c>
      <c r="H28" s="109"/>
      <c r="I28" s="110">
        <v>1.1000000000000001</v>
      </c>
      <c r="J28" s="19">
        <f>j_WEEKDAY(D28,2)</f>
        <v>1</v>
      </c>
      <c r="K28" s="21">
        <f t="shared" si="7"/>
        <v>0</v>
      </c>
      <c r="L28" s="8">
        <f t="shared" si="8"/>
        <v>0</v>
      </c>
      <c r="M28" s="111">
        <v>0</v>
      </c>
      <c r="N28" s="108">
        <v>0</v>
      </c>
      <c r="O28" s="10">
        <f t="shared" si="9"/>
        <v>0</v>
      </c>
      <c r="P28" s="10">
        <f>VALUE(J_normdate(J_ADDDAY($D28,$O28,1)))</f>
        <v>13980631</v>
      </c>
      <c r="Q28" s="9">
        <f t="shared" si="10"/>
        <v>0</v>
      </c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JA28" s="113"/>
      <c r="JB28" s="113"/>
      <c r="JC28" s="113"/>
      <c r="JD28" s="66">
        <f>SUM((TEXT(JA28,"[M]")/60)*'Income Person-hours'!$D$3,(TEXT(JB28,"[M]")/60)*'Income Person-hours'!$D$4,(TEXT(JC28,"[M]")/60)*'Income Person-hours'!$D$5)</f>
        <v>0</v>
      </c>
    </row>
    <row r="29" spans="1:264" s="11" customFormat="1" ht="11.25" hidden="1">
      <c r="A29" s="30">
        <v>1.22</v>
      </c>
      <c r="B29" s="116"/>
      <c r="C29" s="107"/>
      <c r="D29" s="7" t="str">
        <f>IF(OR(j_WEEKDAY(J_ADDDAY(VLOOKUP(I29,A:F,6,FALSE),H29,1),0)=6,SUMIFS(Holieday[ok],Holieday[date],J_ADDDAY(VLOOKUP(I29,A:F,6,FALSE),H29,1)))=FALSE(),J_ADDDAY(VLOOKUP(I29,A:F,6,FALSE),H29,1),IF(OR(j_WEEKDAY(J_ADDDAY(VLOOKUP(I29,A:F,6,FALSE),H29+1,1),0)=6,SUMIFS(Holieday[ok],Holieday[date],J_ADDDAY(VLOOKUP(I29,A:F,6,FALSE),H29+1,1)))=FALSE(),J_ADDDAY(VLOOKUP(I29,A:F,6,FALSE),H29+1,1),IF(OR(j_WEEKDAY(J_ADDDAY(VLOOKUP(I29,A:F,6,FALSE),H29+2,1),0)=6,SUMIFS(Holieday[ok],Holieday[date],J_ADDDAY(VLOOKUP(I29,A:F,6,FALSE),H29+2,1)))=FALSE(),J_ADDDAY(VLOOKUP(I29,A:F,6,FALSE),H29+2,1),IF(OR(j_WEEKDAY(J_ADDDAY(VLOOKUP(I29,A:F,6,FALSE),H29+3,1),0)=6,SUMIFS(Holieday[ok],Holieday[date],J_ADDDAY(VLOOKUP(I29,A:F,6,FALSE),H29+3,1)))=FALSE(),J_ADDDAY(VLOOKUP(I29,A:F,6,FALSE),H29+3,1),IF(OR(j_WEEKDAY(J_ADDDAY(VLOOKUP(I29,A:F,6,FALSE),H29+4,1),0)=6,SUMIFS(Holieday[ok],Holieday[date],J_ADDDAY(VLOOKUP(I29,A:F,6,FALSE),H29+4,1)))=FALSE(),J_ADDDAY(VLOOKUP(I29,A:F,6,FALSE),H29+4,1),J_ADDDAY(VLOOKUP(I29,A:F,6,FALSE),H29+5,1))))))</f>
        <v>1398/06/31</v>
      </c>
      <c r="E29" s="1">
        <f t="shared" si="4"/>
        <v>13980631</v>
      </c>
      <c r="F29" s="12" t="str">
        <f>IF(N29=0,J_SUBDAY(D29,1,1),IF((N29-NETWORKDAYS.INTL(J_GregorianDate(D29,1),J_GregorianDate(J_SUBDAY(J_ADDDAY(D29,N29,1),1,1),1),16,1)-SUMIFS(Holieday[ok],Holieday[date],CONCATENATE("&gt;","=",D29),Holieday[date],CONCATENATE("&lt;","=",J_SUBDAY(J_ADDDAY(D29,N29,1),1,1)))+SUMIFS(Holieday[Friday],Holieday[date],CONCATENATE("&gt;","=",D29),Holieday[date],CONCATENATE("&lt;","=",J_SUBDAY(J_ADDDAY(D29,N29,1),1,1))))=0,J_SUBDAY(J_ADDDAY(D29,N29,1),1,1),IF((N29-NETWORKDAYS.INTL(J_GregorianDate(D29,1),J_GregorianDate(J_SUBDAY(J_ADDDAY(D29,N29,1),1,1),1),16,1)-SUMIFS(Holieday[ok],Holieday[date],CONCATENATE("&gt;","=",D29),Holieday[date],CONCATENATE("&lt;","=",J_SUBDAY(J_ADDDAY(D29,N29,1),1,1)))+SUMIFS(Holieday[Friday],Holieday[date],CONCATENATE("&gt;","=",D29),Holieday[date],CONCATENATE("&lt;","=",J_SUBDAY(J_ADDDAY(D29,N29,1),1,1))))=1,J_SUBDAY(J_ADDDAY(D29,N29+1,1),1,1),IF((N29-NETWORKDAYS.INTL(J_GregorianDate(D29,1),J_GregorianDate(J_SUBDAY(J_ADDDAY(D29,N29,1),1,1),1),16,1)-SUMIFS(Holieday[ok],Holieday[date],CONCATENATE("&gt;","=",D29),Holieday[date],CONCATENATE("&lt;","=",J_SUBDAY(J_ADDDAY(D29,N29,1),1,1)))+SUMIFS(Holieday[Friday],Holieday[date],CONCATENATE("&gt;","=",D29),Holieday[date],CONCATENATE("&lt;","=",J_SUBDAY(J_ADDDAY(D29,N29,1),1,1))))=2,J_SUBDAY(J_ADDDAY(D29,N29+2,1),1,1),J_SUBDAY(J_ADDDAY(D29,N29+3,1),1,1)))))</f>
        <v>1398/06/30</v>
      </c>
      <c r="G29" s="2">
        <f t="shared" si="5"/>
        <v>13980630</v>
      </c>
      <c r="H29" s="109"/>
      <c r="I29" s="110">
        <v>1.1000000000000001</v>
      </c>
      <c r="J29" s="19">
        <f>j_WEEKDAY(D29,2)</f>
        <v>1</v>
      </c>
      <c r="K29" s="21">
        <f t="shared" si="7"/>
        <v>0</v>
      </c>
      <c r="L29" s="8">
        <f t="shared" si="8"/>
        <v>0</v>
      </c>
      <c r="M29" s="111">
        <v>0</v>
      </c>
      <c r="N29" s="108">
        <v>0</v>
      </c>
      <c r="O29" s="10">
        <f t="shared" si="9"/>
        <v>0</v>
      </c>
      <c r="P29" s="10">
        <f>VALUE(J_normdate(J_ADDDAY($D29,$O29,1)))</f>
        <v>13980631</v>
      </c>
      <c r="Q29" s="9">
        <f t="shared" si="10"/>
        <v>0</v>
      </c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JA29" s="113"/>
      <c r="JB29" s="113"/>
      <c r="JC29" s="113"/>
      <c r="JD29" s="66">
        <f>SUM((TEXT(JA29,"[M]")/60)*'Income Person-hours'!$D$3,(TEXT(JB29,"[M]")/60)*'Income Person-hours'!$D$4,(TEXT(JC29,"[M]")/60)*'Income Person-hours'!$D$5)</f>
        <v>0</v>
      </c>
    </row>
    <row r="30" spans="1:264" s="11" customFormat="1" ht="11.25" hidden="1">
      <c r="A30" s="30">
        <v>1.23</v>
      </c>
      <c r="B30" s="116"/>
      <c r="C30" s="107"/>
      <c r="D30" s="7" t="str">
        <f>IF(OR(j_WEEKDAY(J_ADDDAY(VLOOKUP(I30,A:F,6,FALSE),H30,1),0)=6,SUMIFS(Holieday[ok],Holieday[date],J_ADDDAY(VLOOKUP(I30,A:F,6,FALSE),H30,1)))=FALSE(),J_ADDDAY(VLOOKUP(I30,A:F,6,FALSE),H30,1),IF(OR(j_WEEKDAY(J_ADDDAY(VLOOKUP(I30,A:F,6,FALSE),H30+1,1),0)=6,SUMIFS(Holieday[ok],Holieday[date],J_ADDDAY(VLOOKUP(I30,A:F,6,FALSE),H30+1,1)))=FALSE(),J_ADDDAY(VLOOKUP(I30,A:F,6,FALSE),H30+1,1),IF(OR(j_WEEKDAY(J_ADDDAY(VLOOKUP(I30,A:F,6,FALSE),H30+2,1),0)=6,SUMIFS(Holieday[ok],Holieday[date],J_ADDDAY(VLOOKUP(I30,A:F,6,FALSE),H30+2,1)))=FALSE(),J_ADDDAY(VLOOKUP(I30,A:F,6,FALSE),H30+2,1),IF(OR(j_WEEKDAY(J_ADDDAY(VLOOKUP(I30,A:F,6,FALSE),H30+3,1),0)=6,SUMIFS(Holieday[ok],Holieday[date],J_ADDDAY(VLOOKUP(I30,A:F,6,FALSE),H30+3,1)))=FALSE(),J_ADDDAY(VLOOKUP(I30,A:F,6,FALSE),H30+3,1),IF(OR(j_WEEKDAY(J_ADDDAY(VLOOKUP(I30,A:F,6,FALSE),H30+4,1),0)=6,SUMIFS(Holieday[ok],Holieday[date],J_ADDDAY(VLOOKUP(I30,A:F,6,FALSE),H30+4,1)))=FALSE(),J_ADDDAY(VLOOKUP(I30,A:F,6,FALSE),H30+4,1),J_ADDDAY(VLOOKUP(I30,A:F,6,FALSE),H30+5,1))))))</f>
        <v>1398/06/31</v>
      </c>
      <c r="E30" s="1">
        <f t="shared" si="4"/>
        <v>13980631</v>
      </c>
      <c r="F30" s="12" t="str">
        <f>IF(N30=0,J_SUBDAY(D30,1,1),IF((N30-NETWORKDAYS.INTL(J_GregorianDate(D30,1),J_GregorianDate(J_SUBDAY(J_ADDDAY(D30,N30,1),1,1),1),16,1)-SUMIFS(Holieday[ok],Holieday[date],CONCATENATE("&gt;","=",D30),Holieday[date],CONCATENATE("&lt;","=",J_SUBDAY(J_ADDDAY(D30,N30,1),1,1)))+SUMIFS(Holieday[Friday],Holieday[date],CONCATENATE("&gt;","=",D30),Holieday[date],CONCATENATE("&lt;","=",J_SUBDAY(J_ADDDAY(D30,N30,1),1,1))))=0,J_SUBDAY(J_ADDDAY(D30,N30,1),1,1),IF((N30-NETWORKDAYS.INTL(J_GregorianDate(D30,1),J_GregorianDate(J_SUBDAY(J_ADDDAY(D30,N30,1),1,1),1),16,1)-SUMIFS(Holieday[ok],Holieday[date],CONCATENATE("&gt;","=",D30),Holieday[date],CONCATENATE("&lt;","=",J_SUBDAY(J_ADDDAY(D30,N30,1),1,1)))+SUMIFS(Holieday[Friday],Holieday[date],CONCATENATE("&gt;","=",D30),Holieday[date],CONCATENATE("&lt;","=",J_SUBDAY(J_ADDDAY(D30,N30,1),1,1))))=1,J_SUBDAY(J_ADDDAY(D30,N30+1,1),1,1),IF((N30-NETWORKDAYS.INTL(J_GregorianDate(D30,1),J_GregorianDate(J_SUBDAY(J_ADDDAY(D30,N30,1),1,1),1),16,1)-SUMIFS(Holieday[ok],Holieday[date],CONCATENATE("&gt;","=",D30),Holieday[date],CONCATENATE("&lt;","=",J_SUBDAY(J_ADDDAY(D30,N30,1),1,1)))+SUMIFS(Holieday[Friday],Holieday[date],CONCATENATE("&gt;","=",D30),Holieday[date],CONCATENATE("&lt;","=",J_SUBDAY(J_ADDDAY(D30,N30,1),1,1))))=2,J_SUBDAY(J_ADDDAY(D30,N30+2,1),1,1),J_SUBDAY(J_ADDDAY(D30,N30+3,1),1,1)))))</f>
        <v>1398/06/30</v>
      </c>
      <c r="G30" s="2">
        <f t="shared" si="5"/>
        <v>13980630</v>
      </c>
      <c r="H30" s="109"/>
      <c r="I30" s="110">
        <v>1.1000000000000001</v>
      </c>
      <c r="J30" s="19">
        <f>j_WEEKDAY(D30,2)</f>
        <v>1</v>
      </c>
      <c r="K30" s="21">
        <f t="shared" si="7"/>
        <v>0</v>
      </c>
      <c r="L30" s="8">
        <f t="shared" si="8"/>
        <v>0</v>
      </c>
      <c r="M30" s="111">
        <v>0</v>
      </c>
      <c r="N30" s="108">
        <v>0</v>
      </c>
      <c r="O30" s="10">
        <f t="shared" si="9"/>
        <v>0</v>
      </c>
      <c r="P30" s="10">
        <f>VALUE(J_normdate(J_ADDDAY($D30,$O30,1)))</f>
        <v>13980631</v>
      </c>
      <c r="Q30" s="9">
        <f t="shared" si="10"/>
        <v>0</v>
      </c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JA30" s="113"/>
      <c r="JB30" s="113"/>
      <c r="JC30" s="113"/>
      <c r="JD30" s="66">
        <f>SUM((TEXT(JA30,"[M]")/60)*'Income Person-hours'!$D$3,(TEXT(JB30,"[M]")/60)*'Income Person-hours'!$D$4,(TEXT(JC30,"[M]")/60)*'Income Person-hours'!$D$5)</f>
        <v>0</v>
      </c>
    </row>
    <row r="31" spans="1:264" s="373" customFormat="1" ht="13.5">
      <c r="A31" s="378">
        <v>2</v>
      </c>
      <c r="B31" s="365" t="s">
        <v>121</v>
      </c>
      <c r="C31" s="366"/>
      <c r="D31" s="367" t="str">
        <f>FDate(MIN(E32:E52))</f>
        <v>1398/06/31</v>
      </c>
      <c r="E31" s="160">
        <f t="shared" si="4"/>
        <v>13980631</v>
      </c>
      <c r="F31" s="367" t="str">
        <f>J_SUBDAY(J_ADDDAY(D31,L31,1),1,1)</f>
        <v>1398/10/01</v>
      </c>
      <c r="G31" s="163">
        <f t="shared" si="5"/>
        <v>13981001</v>
      </c>
      <c r="H31" s="379"/>
      <c r="I31" s="380"/>
      <c r="J31" s="367">
        <f>j_WEEKDAY(D31,2)</f>
        <v>1</v>
      </c>
      <c r="K31" s="164">
        <f>SUM(K32:K52)</f>
        <v>0</v>
      </c>
      <c r="L31" s="370">
        <f>J_DIFF(D31,FDate(MAX(G32:G52)))+1</f>
        <v>92</v>
      </c>
      <c r="M31" s="371">
        <f>IF(SUM(L32:L52)&lt;&gt;0,SUMPRODUCT(L32:L52,M32:M52)/SUM(L32:L52),0)</f>
        <v>0.12676056338028169</v>
      </c>
      <c r="N31" s="372">
        <f>IF(F31&gt;=D31,NETWORKDAYS.INTL(J_GregorianDate(D31,1),J_GregorianDate(F31,1),16,1)-SUMIFS(Holieday[ok],Holieday[date],CONCATENATE("&gt;","=",D31),Holieday[date],CONCATENATE("&lt;","=",F31))+SUMIFS(Holieday[Friday],Holieday[date],CONCATENATE("&gt;","=",D31),Holieday[date],CONCATENATE("&lt;","=",F31)),0)</f>
        <v>75</v>
      </c>
      <c r="O31" s="159">
        <f>ROUNDDOWN(M31*L31,0)</f>
        <v>11</v>
      </c>
      <c r="P31" s="159">
        <f>VALUE(J_normdate(J_ADDDAY($D31,$O31,1)))</f>
        <v>13980711</v>
      </c>
      <c r="Q31" s="162">
        <f>L31-O31</f>
        <v>81</v>
      </c>
      <c r="IY31" s="374"/>
      <c r="IZ31" s="375"/>
      <c r="JA31" s="376"/>
      <c r="JB31" s="376"/>
      <c r="JC31" s="376"/>
      <c r="JD31" s="377"/>
    </row>
    <row r="32" spans="1:264" s="191" customFormat="1" ht="13.5">
      <c r="A32" s="288">
        <v>2.1</v>
      </c>
      <c r="B32" s="277" t="s">
        <v>81</v>
      </c>
      <c r="C32" s="263" t="s">
        <v>111</v>
      </c>
      <c r="D32" s="265" t="str">
        <f>IF(OR(j_WEEKDAY(J_ADDDAY(VLOOKUP(I32,A:F,6,FALSE),H32,1),0)=6,SUMIFS(Holieday[ok],Holieday[date],J_ADDDAY(VLOOKUP(I32,A:F,6,FALSE),H32,1)))=FALSE(),J_ADDDAY(VLOOKUP(I32,A:F,6,FALSE),H32,1),IF(OR(j_WEEKDAY(J_ADDDAY(VLOOKUP(I32,A:F,6,FALSE),H32+1,1),0)=6,SUMIFS(Holieday[ok],Holieday[date],J_ADDDAY(VLOOKUP(I32,A:F,6,FALSE),H32+1,1)))=FALSE(),J_ADDDAY(VLOOKUP(I32,A:F,6,FALSE),H32+1,1),IF(OR(j_WEEKDAY(J_ADDDAY(VLOOKUP(I32,A:F,6,FALSE),H32+2,1),0)=6,SUMIFS(Holieday[ok],Holieday[date],J_ADDDAY(VLOOKUP(I32,A:F,6,FALSE),H32+2,1)))=FALSE(),J_ADDDAY(VLOOKUP(I32,A:F,6,FALSE),H32+2,1),IF(OR(j_WEEKDAY(J_ADDDAY(VLOOKUP(I32,A:F,6,FALSE),H32+3,1),0)=6,SUMIFS(Holieday[ok],Holieday[date],J_ADDDAY(VLOOKUP(I32,A:F,6,FALSE),H32+3,1)))=FALSE(),J_ADDDAY(VLOOKUP(I32,A:F,6,FALSE),H32+3,1),IF(OR(j_WEEKDAY(J_ADDDAY(VLOOKUP(I32,A:F,6,FALSE),H32+4,1),0)=6,SUMIFS(Holieday[ok],Holieday[date],J_ADDDAY(VLOOKUP(I32,A:F,6,FALSE),H32+4,1)))=FALSE(),J_ADDDAY(VLOOKUP(I32,A:F,6,FALSE),H32+4,1),J_ADDDAY(VLOOKUP(I32,A:F,6,FALSE),H32+5,1))))))</f>
        <v>1398/06/31</v>
      </c>
      <c r="E32" s="160">
        <f t="shared" si="4"/>
        <v>13980631</v>
      </c>
      <c r="F32" s="265" t="str">
        <f>IF(N32=0,J_SUBDAY(D32,1,1),IF((N32-(NETWORKDAYS.INTL(J_GregorianDate(D32,1),J_GregorianDate(J_SUBDAY(J_ADDDAY(D32,N32,1),1,1),1),16,1)))+SUMIFS(Holieday[ok],Holieday[date],CONCATENATE("&gt;","=",D32),Holieday[date],CONCATENATE("&lt;","=",J_SUBDAY(J_ADDDAY(D32,N32,1),1,1)))-SUMIFS(Holieday[Friday],Holieday[date],CONCATENATE("&gt;","=",D32),Holieday[date],CONCATENATE("&lt;","=",J_SUBDAY(J_ADDDAY(D32,N32,1),1,1)))=0,J_SUBDAY(J_ADDDAY(D32,N32,1),1,1),IF((N32+1-(NETWORKDAYS.INTL(J_GregorianDate(D32,1),J_GregorianDate(J_SUBDAY(J_ADDDAY(D32,N32+1,1),1,1),1),16,1)))+SUMIFS(Holieday[ok],Holieday[date],CONCATENATE("&gt;","=",D32),Holieday[date],CONCATENATE("&lt;","=",J_SUBDAY(J_ADDDAY(D32,N32+1,1),1,1)))-SUMIFS(Holieday[Friday],Holieday[date],CONCATENATE("&gt;","=",D32),Holieday[date],CONCATENATE("&lt;","=",J_SUBDAY(J_ADDDAY(D32,N32+1,1),1,1)))=1,J_SUBDAY(J_ADDDAY(D32,N32+1,1),1,1),IF((N32+2-(NETWORKDAYS.INTL(J_GregorianDate(D32,1),J_GregorianDate(J_SUBDAY(J_ADDDAY(D32,N32+2,1),1,1),1),16,1)))+SUMIFS(Holieday[ok],Holieday[date],CONCATENATE("&gt;","=",D32),Holieday[date],CONCATENATE("&lt;","=",J_SUBDAY(J_ADDDAY(D32,N32+2,1),1,1)))-SUMIFS(Holieday[Friday],Holieday[date],CONCATENATE("&gt;","=",D32),Holieday[date],CONCATENATE("&lt;","=",J_SUBDAY(J_ADDDAY(D32,N32+2,1),1,1)))=2,J_SUBDAY(J_ADDDAY(D32,N32+2,1),1,1),IF((N32+3-(NETWORKDAYS.INTL(J_GregorianDate(D32,1),J_GregorianDate(J_SUBDAY(J_ADDDAY(D32,N32+3,1),1,1),1),16,1)))+SUMIFS(Holieday[ok],Holieday[date],CONCATENATE("&gt;","=",D32),Holieday[date],CONCATENATE("&lt;","=",J_SUBDAY(J_ADDDAY(D32,N32+3,1),1,1)))-SUMIFS(Holieday[Friday],Holieday[date],CONCATENATE("&gt;","=",D32),Holieday[date],CONCATENATE("&lt;","=",J_SUBDAY(J_ADDDAY(D32,N32+3,1),1,1)))=3,J_SUBDAY(J_ADDDAY(D32,N32+3,1),1,1),IF((N32+4-(NETWORKDAYS.INTL(J_GregorianDate(D32,1),J_GregorianDate(J_SUBDAY(J_ADDDAY(D32,N32+4,1),1,1),1),16,1)))+SUMIFS(Holieday[ok],Holieday[date],CONCATENATE("&gt;","=",D32),Holieday[date],CONCATENATE("&lt;","=",J_SUBDAY(J_ADDDAY(D32,N32+4,1),1,1)))-SUMIFS(Holieday[Friday],Holieday[date],CONCATENATE("&gt;","=",D32),Holieday[date],CONCATENATE("&lt;","=",J_SUBDAY(J_ADDDAY(D32,N32+4,1),1,1)))=4,J_SUBDAY(J_ADDDAY(D32,N32+4,1),1,1),IF((N32+5-(NETWORKDAYS.INTL(J_GregorianDate(D32,1),J_GregorianDate(J_SUBDAY(J_ADDDAY(D32,N32+5,1),1,1),1),16,1)))+SUMIFS(Holieday[ok],Holieday[date],CONCATENATE("&gt;","=",D32),Holieday[date],CONCATENATE("&lt;","=",J_SUBDAY(J_ADDDAY(D32,N32+5,1),1,1)))-SUMIFS(Holieday[Friday],Holieday[date],CONCATENATE("&gt;","=",D32),Holieday[date],CONCATENATE("&lt;","=",J_SUBDAY(J_ADDDAY(D32,N32+5,1),1,1)))=5,J_SUBDAY(J_ADDDAY(D32,N32+5,1),1,1),J_SUBDAY(J_ADDDAY(D32,N32+6,1),1,1))))))))</f>
        <v>1398/06/31</v>
      </c>
      <c r="G32" s="163">
        <f t="shared" si="5"/>
        <v>13980631</v>
      </c>
      <c r="H32" s="266"/>
      <c r="I32" s="267">
        <v>1.1000000000000001</v>
      </c>
      <c r="J32" s="265">
        <f>j_WEEKDAY(D32,2)</f>
        <v>1</v>
      </c>
      <c r="K32" s="173">
        <f t="shared" ref="K32:K52" si="11">SUM(JA32:JC32)</f>
        <v>0</v>
      </c>
      <c r="L32" s="268">
        <f t="shared" ref="L32:L52" si="12">J_DIFF(D32,F32)+1</f>
        <v>1</v>
      </c>
      <c r="M32" s="269">
        <v>1</v>
      </c>
      <c r="N32" s="270">
        <v>1</v>
      </c>
      <c r="O32" s="175">
        <f>ROUNDDOWN(M32*L32,0)</f>
        <v>1</v>
      </c>
      <c r="P32" s="175">
        <f>VALUE(J_normdate(J_ADDDAY($D32,$O32,1)))</f>
        <v>13980701</v>
      </c>
      <c r="Q32" s="171">
        <f>L32-O32</f>
        <v>0</v>
      </c>
      <c r="R32" s="169"/>
      <c r="S32" s="169"/>
      <c r="T32" s="169"/>
      <c r="U32" s="169"/>
      <c r="V32" s="169"/>
      <c r="W32" s="169"/>
      <c r="X32" s="169"/>
      <c r="Y32" s="169"/>
      <c r="Z32" s="169"/>
      <c r="AA32" s="169"/>
      <c r="AB32" s="169"/>
      <c r="AC32" s="169"/>
      <c r="AD32" s="169"/>
      <c r="AE32" s="169"/>
      <c r="AF32" s="169"/>
      <c r="AG32" s="169"/>
      <c r="AH32" s="169"/>
      <c r="AI32" s="169"/>
      <c r="AJ32" s="169"/>
      <c r="AK32" s="169"/>
      <c r="AL32" s="169"/>
      <c r="AM32" s="169"/>
      <c r="AN32" s="169"/>
      <c r="AO32" s="169"/>
      <c r="AP32" s="169"/>
      <c r="AQ32" s="169"/>
      <c r="AR32" s="169"/>
      <c r="AS32" s="169"/>
      <c r="AT32" s="169"/>
      <c r="AU32" s="169"/>
      <c r="AV32" s="169"/>
      <c r="AW32" s="169"/>
      <c r="AX32" s="169"/>
      <c r="AY32" s="169"/>
      <c r="AZ32" s="169"/>
      <c r="BA32" s="169"/>
      <c r="BB32" s="169"/>
      <c r="BC32" s="169"/>
      <c r="BD32" s="169"/>
      <c r="BE32" s="169"/>
      <c r="BF32" s="169"/>
      <c r="BG32" s="169"/>
      <c r="BH32" s="169"/>
      <c r="BI32" s="169"/>
      <c r="BJ32" s="169"/>
      <c r="BK32" s="169"/>
      <c r="BL32" s="169"/>
      <c r="BM32" s="169"/>
      <c r="BN32" s="169"/>
      <c r="BO32" s="169"/>
      <c r="BP32" s="169"/>
      <c r="BQ32" s="169"/>
      <c r="BR32" s="169"/>
      <c r="BS32" s="169"/>
      <c r="BT32" s="169"/>
      <c r="BU32" s="169"/>
      <c r="BV32" s="169"/>
      <c r="BW32" s="169"/>
      <c r="BX32" s="169"/>
      <c r="BY32" s="169"/>
      <c r="BZ32" s="169"/>
      <c r="CA32" s="169"/>
      <c r="CB32" s="169"/>
      <c r="CC32" s="169"/>
      <c r="CD32" s="169"/>
      <c r="CE32" s="169"/>
      <c r="CF32" s="169"/>
      <c r="CG32" s="169"/>
      <c r="CH32" s="169"/>
      <c r="CI32" s="169"/>
      <c r="CJ32" s="169"/>
      <c r="CK32" s="169"/>
      <c r="CL32" s="169"/>
      <c r="CM32" s="169"/>
      <c r="CN32" s="169"/>
      <c r="CO32" s="169"/>
      <c r="CP32" s="169"/>
      <c r="CQ32" s="169"/>
      <c r="CR32" s="169"/>
      <c r="CS32" s="169"/>
      <c r="CT32" s="169"/>
      <c r="CU32" s="169"/>
      <c r="CV32" s="169"/>
      <c r="CW32" s="169"/>
      <c r="CX32" s="169"/>
      <c r="CY32" s="169"/>
      <c r="CZ32" s="169"/>
      <c r="DA32" s="169"/>
      <c r="DB32" s="169"/>
      <c r="DC32" s="169"/>
      <c r="DD32" s="169"/>
      <c r="DE32" s="169"/>
      <c r="DF32" s="169"/>
      <c r="DG32" s="169"/>
      <c r="DH32" s="169"/>
      <c r="DI32" s="169"/>
      <c r="DJ32" s="169"/>
      <c r="DK32" s="169"/>
      <c r="DL32" s="169"/>
      <c r="DM32" s="169"/>
      <c r="DN32" s="169"/>
      <c r="DO32" s="169"/>
      <c r="DP32" s="169"/>
      <c r="DQ32" s="169"/>
      <c r="DR32" s="169"/>
      <c r="DS32" s="169"/>
      <c r="DT32" s="169"/>
      <c r="DU32" s="169"/>
      <c r="DV32" s="169"/>
      <c r="DW32" s="169"/>
      <c r="DX32" s="169"/>
      <c r="DY32" s="169"/>
      <c r="DZ32" s="169"/>
      <c r="EA32" s="169"/>
      <c r="EB32" s="169"/>
      <c r="EC32" s="169"/>
      <c r="ED32" s="169"/>
      <c r="EE32" s="169"/>
      <c r="EF32" s="169"/>
      <c r="EG32" s="169"/>
      <c r="EH32" s="169"/>
      <c r="EI32" s="169"/>
      <c r="EJ32" s="169"/>
      <c r="EK32" s="169"/>
      <c r="EL32" s="169"/>
      <c r="EM32" s="169"/>
      <c r="EN32" s="169"/>
      <c r="EO32" s="169"/>
      <c r="EP32" s="169"/>
      <c r="EQ32" s="169"/>
      <c r="ER32" s="169"/>
      <c r="ES32" s="169"/>
      <c r="ET32" s="169"/>
      <c r="EU32" s="169"/>
      <c r="EV32" s="169"/>
      <c r="EW32" s="169"/>
      <c r="EX32" s="169"/>
      <c r="EY32" s="169"/>
      <c r="EZ32" s="169"/>
      <c r="FA32" s="169"/>
      <c r="FB32" s="169"/>
      <c r="FC32" s="169"/>
      <c r="FD32" s="169"/>
      <c r="FE32" s="169"/>
      <c r="FF32" s="169"/>
      <c r="FG32" s="169"/>
      <c r="FH32" s="169"/>
      <c r="FI32" s="169"/>
      <c r="FJ32" s="169"/>
      <c r="FK32" s="169"/>
      <c r="FL32" s="169"/>
      <c r="FM32" s="169"/>
      <c r="FN32" s="169"/>
      <c r="FO32" s="169"/>
      <c r="FP32" s="169"/>
      <c r="FQ32" s="169"/>
      <c r="FR32" s="169"/>
      <c r="FS32" s="169"/>
      <c r="FT32" s="169"/>
      <c r="FU32" s="169"/>
      <c r="FV32" s="169"/>
      <c r="FW32" s="169"/>
      <c r="FX32" s="169"/>
      <c r="FY32" s="169"/>
      <c r="FZ32" s="169"/>
      <c r="GA32" s="169"/>
      <c r="GB32" s="169"/>
      <c r="GC32" s="169"/>
      <c r="GD32" s="169"/>
      <c r="GE32" s="169"/>
      <c r="GF32" s="169"/>
      <c r="GG32" s="169"/>
      <c r="GH32" s="169"/>
      <c r="GI32" s="169"/>
      <c r="GJ32" s="169"/>
      <c r="GK32" s="169"/>
      <c r="GL32" s="169"/>
      <c r="GM32" s="169"/>
      <c r="GN32" s="169"/>
      <c r="GO32" s="169"/>
      <c r="GP32" s="169"/>
      <c r="GQ32" s="169"/>
      <c r="GR32" s="169"/>
      <c r="GS32" s="169"/>
      <c r="GT32" s="169"/>
      <c r="GU32" s="169"/>
      <c r="GV32" s="169"/>
      <c r="GW32" s="169"/>
      <c r="GX32" s="169"/>
      <c r="GY32" s="169"/>
      <c r="GZ32" s="169"/>
      <c r="HA32" s="169"/>
      <c r="HB32" s="169"/>
      <c r="HC32" s="169"/>
      <c r="HD32" s="169"/>
      <c r="HE32" s="169"/>
      <c r="HF32" s="169"/>
      <c r="HG32" s="169"/>
      <c r="HH32" s="169"/>
      <c r="HI32" s="169"/>
      <c r="HJ32" s="169"/>
      <c r="HK32" s="169"/>
      <c r="HL32" s="169"/>
      <c r="HM32" s="169"/>
      <c r="HN32" s="169"/>
      <c r="HO32" s="169"/>
      <c r="HP32" s="169"/>
      <c r="HQ32" s="169"/>
      <c r="HR32" s="169"/>
      <c r="HS32" s="169"/>
      <c r="HT32" s="169"/>
      <c r="HU32" s="169"/>
      <c r="HV32" s="169"/>
      <c r="HW32" s="169"/>
      <c r="HX32" s="169"/>
      <c r="HY32" s="169"/>
      <c r="HZ32" s="169"/>
      <c r="IA32" s="169"/>
      <c r="IB32" s="169"/>
      <c r="IC32" s="169"/>
      <c r="ID32" s="169"/>
      <c r="IE32" s="169"/>
      <c r="IF32" s="169"/>
      <c r="IG32" s="169"/>
      <c r="IH32" s="169"/>
      <c r="II32" s="169"/>
      <c r="IJ32" s="169"/>
      <c r="IK32" s="169"/>
      <c r="IL32" s="169"/>
      <c r="IM32" s="169"/>
      <c r="IN32" s="169"/>
      <c r="IO32" s="169"/>
      <c r="IP32" s="169"/>
      <c r="IQ32" s="169"/>
      <c r="IR32" s="169"/>
      <c r="IS32" s="169"/>
      <c r="IT32" s="169"/>
      <c r="IU32" s="169"/>
      <c r="IV32" s="169"/>
      <c r="IW32" s="169"/>
      <c r="IX32" s="169"/>
      <c r="IY32" s="29">
        <v>1</v>
      </c>
      <c r="IZ32" s="40">
        <f>(TEXT(K32,"[m]")/60)*VLOOKUP(IY32,'Income Person-hours'!A$2:C$5,3,FALSE)</f>
        <v>0</v>
      </c>
      <c r="JA32" s="112"/>
      <c r="JB32" s="112"/>
      <c r="JC32" s="112"/>
      <c r="JD32" s="192">
        <f>SUM((TEXT(JA32,"[M]")/60)*'Income Person-hours'!$D$3,(TEXT(JB32,"[M]")/60)*'Income Person-hours'!$D$4,(TEXT(JC32,"[M]")/60)*'Income Person-hours'!$D$5)</f>
        <v>0</v>
      </c>
    </row>
    <row r="33" spans="1:264" s="191" customFormat="1" ht="13.5">
      <c r="A33" s="288">
        <v>2.2000000000000002</v>
      </c>
      <c r="B33" s="277" t="s">
        <v>119</v>
      </c>
      <c r="C33" s="263" t="s">
        <v>79</v>
      </c>
      <c r="D33" s="265" t="str">
        <f>IF(OR(j_WEEKDAY(J_ADDDAY(VLOOKUP(I33,A:F,6,FALSE),H33,1),0)=6,SUMIFS(Holieday[ok],Holieday[date],J_ADDDAY(VLOOKUP(I33,A:F,6,FALSE),H33,1)))=FALSE(),J_ADDDAY(VLOOKUP(I33,A:F,6,FALSE),H33,1),IF(OR(j_WEEKDAY(J_ADDDAY(VLOOKUP(I33,A:F,6,FALSE),H33+1,1),0)=6,SUMIFS(Holieday[ok],Holieday[date],J_ADDDAY(VLOOKUP(I33,A:F,6,FALSE),H33+1,1)))=FALSE(),J_ADDDAY(VLOOKUP(I33,A:F,6,FALSE),H33+1,1),IF(OR(j_WEEKDAY(J_ADDDAY(VLOOKUP(I33,A:F,6,FALSE),H33+2,1),0)=6,SUMIFS(Holieday[ok],Holieday[date],J_ADDDAY(VLOOKUP(I33,A:F,6,FALSE),H33+2,1)))=FALSE(),J_ADDDAY(VLOOKUP(I33,A:F,6,FALSE),H33+2,1),IF(OR(j_WEEKDAY(J_ADDDAY(VLOOKUP(I33,A:F,6,FALSE),H33+3,1),0)=6,SUMIFS(Holieday[ok],Holieday[date],J_ADDDAY(VLOOKUP(I33,A:F,6,FALSE),H33+3,1)))=FALSE(),J_ADDDAY(VLOOKUP(I33,A:F,6,FALSE),H33+3,1),IF(OR(j_WEEKDAY(J_ADDDAY(VLOOKUP(I33,A:F,6,FALSE),H33+4,1),0)=6,SUMIFS(Holieday[ok],Holieday[date],J_ADDDAY(VLOOKUP(I33,A:F,6,FALSE),H33+4,1)))=FALSE(),J_ADDDAY(VLOOKUP(I33,A:F,6,FALSE),H33+4,1),J_ADDDAY(VLOOKUP(I33,A:F,6,FALSE),H33+5,1))))))</f>
        <v>1398/06/31</v>
      </c>
      <c r="E33" s="160">
        <f t="shared" si="4"/>
        <v>13980631</v>
      </c>
      <c r="F33" s="265" t="str">
        <f>IF(N33=0,J_SUBDAY(D33,1,1),IF((N33-(NETWORKDAYS.INTL(J_GregorianDate(D33,1),J_GregorianDate(J_SUBDAY(J_ADDDAY(D33,N33,1),1,1),1),16,1)))+SUMIFS(Holieday[ok],Holieday[date],CONCATENATE("&gt;","=",D33),Holieday[date],CONCATENATE("&lt;","=",J_SUBDAY(J_ADDDAY(D33,N33,1),1,1)))-SUMIFS(Holieday[Friday],Holieday[date],CONCATENATE("&gt;","=",D33),Holieday[date],CONCATENATE("&lt;","=",J_SUBDAY(J_ADDDAY(D33,N33,1),1,1)))=0,J_SUBDAY(J_ADDDAY(D33,N33,1),1,1),IF((N33+1-(NETWORKDAYS.INTL(J_GregorianDate(D33,1),J_GregorianDate(J_SUBDAY(J_ADDDAY(D33,N33+1,1),1,1),1),16,1)))+SUMIFS(Holieday[ok],Holieday[date],CONCATENATE("&gt;","=",D33),Holieday[date],CONCATENATE("&lt;","=",J_SUBDAY(J_ADDDAY(D33,N33+1,1),1,1)))-SUMIFS(Holieday[Friday],Holieday[date],CONCATENATE("&gt;","=",D33),Holieday[date],CONCATENATE("&lt;","=",J_SUBDAY(J_ADDDAY(D33,N33+1,1),1,1)))=1,J_SUBDAY(J_ADDDAY(D33,N33+1,1),1,1),IF((N33+2-(NETWORKDAYS.INTL(J_GregorianDate(D33,1),J_GregorianDate(J_SUBDAY(J_ADDDAY(D33,N33+2,1),1,1),1),16,1)))+SUMIFS(Holieday[ok],Holieday[date],CONCATENATE("&gt;","=",D33),Holieday[date],CONCATENATE("&lt;","=",J_SUBDAY(J_ADDDAY(D33,N33+2,1),1,1)))-SUMIFS(Holieday[Friday],Holieday[date],CONCATENATE("&gt;","=",D33),Holieday[date],CONCATENATE("&lt;","=",J_SUBDAY(J_ADDDAY(D33,N33+2,1),1,1)))=2,J_SUBDAY(J_ADDDAY(D33,N33+2,1),1,1),IF((N33+3-(NETWORKDAYS.INTL(J_GregorianDate(D33,1),J_GregorianDate(J_SUBDAY(J_ADDDAY(D33,N33+3,1),1,1),1),16,1)))+SUMIFS(Holieday[ok],Holieday[date],CONCATENATE("&gt;","=",D33),Holieday[date],CONCATENATE("&lt;","=",J_SUBDAY(J_ADDDAY(D33,N33+3,1),1,1)))-SUMIFS(Holieday[Friday],Holieday[date],CONCATENATE("&gt;","=",D33),Holieday[date],CONCATENATE("&lt;","=",J_SUBDAY(J_ADDDAY(D33,N33+3,1),1,1)))=3,J_SUBDAY(J_ADDDAY(D33,N33+3,1),1,1),IF((N33+4-(NETWORKDAYS.INTL(J_GregorianDate(D33,1),J_GregorianDate(J_SUBDAY(J_ADDDAY(D33,N33+4,1),1,1),1),16,1)))+SUMIFS(Holieday[ok],Holieday[date],CONCATENATE("&gt;","=",D33),Holieday[date],CONCATENATE("&lt;","=",J_SUBDAY(J_ADDDAY(D33,N33+4,1),1,1)))-SUMIFS(Holieday[Friday],Holieday[date],CONCATENATE("&gt;","=",D33),Holieday[date],CONCATENATE("&lt;","=",J_SUBDAY(J_ADDDAY(D33,N33+4,1),1,1)))=4,J_SUBDAY(J_ADDDAY(D33,N33+4,1),1,1),IF((N33+5-(NETWORKDAYS.INTL(J_GregorianDate(D33,1),J_GregorianDate(J_SUBDAY(J_ADDDAY(D33,N33+5,1),1,1),1),16,1)))+SUMIFS(Holieday[ok],Holieday[date],CONCATENATE("&gt;","=",D33),Holieday[date],CONCATENATE("&lt;","=",J_SUBDAY(J_ADDDAY(D33,N33+5,1),1,1)))-SUMIFS(Holieday[Friday],Holieday[date],CONCATENATE("&gt;","=",D33),Holieday[date],CONCATENATE("&lt;","=",J_SUBDAY(J_ADDDAY(D33,N33+5,1),1,1)))=5,J_SUBDAY(J_ADDDAY(D33,N33+5,1),1,1),J_SUBDAY(J_ADDDAY(D33,N33+6,1),1,1))))))))</f>
        <v>1398/06/31</v>
      </c>
      <c r="G33" s="163">
        <f t="shared" si="5"/>
        <v>13980631</v>
      </c>
      <c r="H33" s="266"/>
      <c r="I33" s="267">
        <v>2.1</v>
      </c>
      <c r="J33" s="265">
        <v>1</v>
      </c>
      <c r="K33" s="173">
        <f t="shared" si="11"/>
        <v>0</v>
      </c>
      <c r="L33" s="268">
        <f t="shared" si="12"/>
        <v>1</v>
      </c>
      <c r="M33" s="269">
        <v>1</v>
      </c>
      <c r="N33" s="270">
        <v>1</v>
      </c>
      <c r="O33" s="175">
        <f t="shared" ref="O33:O52" si="13">ROUNDDOWN(M33*L33,0)</f>
        <v>1</v>
      </c>
      <c r="P33" s="175">
        <f>VALUE(J_normdate(J_ADDDAY($D33,$O33,1)))</f>
        <v>13980701</v>
      </c>
      <c r="Q33" s="171">
        <f t="shared" ref="Q33:Q79" si="14">L33-O33</f>
        <v>0</v>
      </c>
      <c r="R33" s="169"/>
      <c r="S33" s="169"/>
      <c r="T33" s="169"/>
      <c r="U33" s="169"/>
      <c r="V33" s="169"/>
      <c r="W33" s="169"/>
      <c r="X33" s="169"/>
      <c r="Y33" s="169"/>
      <c r="Z33" s="169"/>
      <c r="AA33" s="169"/>
      <c r="AB33" s="169"/>
      <c r="AC33" s="169"/>
      <c r="AD33" s="169"/>
      <c r="AE33" s="169"/>
      <c r="AF33" s="169"/>
      <c r="AG33" s="169"/>
      <c r="AH33" s="169"/>
      <c r="AI33" s="169"/>
      <c r="AJ33" s="169"/>
      <c r="AK33" s="169"/>
      <c r="AL33" s="169"/>
      <c r="AM33" s="169"/>
      <c r="AN33" s="169"/>
      <c r="AO33" s="169"/>
      <c r="AP33" s="169"/>
      <c r="AQ33" s="169"/>
      <c r="AR33" s="169"/>
      <c r="AS33" s="169"/>
      <c r="AT33" s="169"/>
      <c r="AU33" s="169"/>
      <c r="AV33" s="169"/>
      <c r="AW33" s="169"/>
      <c r="AX33" s="169"/>
      <c r="AY33" s="169"/>
      <c r="AZ33" s="169"/>
      <c r="BA33" s="169"/>
      <c r="BB33" s="169"/>
      <c r="BC33" s="169"/>
      <c r="BD33" s="169"/>
      <c r="BE33" s="169"/>
      <c r="BF33" s="169"/>
      <c r="BG33" s="169"/>
      <c r="BH33" s="169"/>
      <c r="BI33" s="169"/>
      <c r="BJ33" s="169"/>
      <c r="BK33" s="169"/>
      <c r="BL33" s="169"/>
      <c r="BM33" s="169"/>
      <c r="BN33" s="169"/>
      <c r="BO33" s="169"/>
      <c r="BP33" s="169"/>
      <c r="BQ33" s="169"/>
      <c r="BR33" s="169"/>
      <c r="BS33" s="169"/>
      <c r="BT33" s="169"/>
      <c r="BU33" s="169"/>
      <c r="BV33" s="169"/>
      <c r="BW33" s="169"/>
      <c r="BX33" s="169"/>
      <c r="BY33" s="169"/>
      <c r="BZ33" s="169"/>
      <c r="CA33" s="169"/>
      <c r="CB33" s="169"/>
      <c r="CC33" s="169"/>
      <c r="CD33" s="169"/>
      <c r="CE33" s="169"/>
      <c r="CF33" s="169"/>
      <c r="CG33" s="169"/>
      <c r="CH33" s="169"/>
      <c r="CI33" s="169"/>
      <c r="CJ33" s="169"/>
      <c r="CK33" s="169"/>
      <c r="CL33" s="169"/>
      <c r="CM33" s="169"/>
      <c r="CN33" s="169"/>
      <c r="CO33" s="169"/>
      <c r="CP33" s="169"/>
      <c r="CQ33" s="169"/>
      <c r="CR33" s="169"/>
      <c r="CS33" s="169"/>
      <c r="CT33" s="169"/>
      <c r="CU33" s="169"/>
      <c r="CV33" s="169"/>
      <c r="CW33" s="169"/>
      <c r="CX33" s="169"/>
      <c r="CY33" s="169"/>
      <c r="CZ33" s="169"/>
      <c r="DA33" s="169"/>
      <c r="DB33" s="169"/>
      <c r="DC33" s="169"/>
      <c r="DD33" s="169"/>
      <c r="DE33" s="169"/>
      <c r="DF33" s="169"/>
      <c r="DG33" s="169"/>
      <c r="DH33" s="169"/>
      <c r="DI33" s="169"/>
      <c r="DJ33" s="169"/>
      <c r="DK33" s="169"/>
      <c r="DL33" s="169"/>
      <c r="DM33" s="169"/>
      <c r="DN33" s="169"/>
      <c r="DO33" s="169"/>
      <c r="DP33" s="169"/>
      <c r="DQ33" s="169"/>
      <c r="DR33" s="169"/>
      <c r="DS33" s="169"/>
      <c r="DT33" s="169"/>
      <c r="DU33" s="169"/>
      <c r="DV33" s="169"/>
      <c r="DW33" s="169"/>
      <c r="DX33" s="169"/>
      <c r="DY33" s="169"/>
      <c r="DZ33" s="169"/>
      <c r="EA33" s="169"/>
      <c r="EB33" s="169"/>
      <c r="EC33" s="169"/>
      <c r="ED33" s="169"/>
      <c r="EE33" s="169"/>
      <c r="EF33" s="169"/>
      <c r="EG33" s="169"/>
      <c r="EH33" s="169"/>
      <c r="EI33" s="169"/>
      <c r="EJ33" s="169"/>
      <c r="EK33" s="169"/>
      <c r="EL33" s="169"/>
      <c r="EM33" s="169"/>
      <c r="EN33" s="169"/>
      <c r="EO33" s="169"/>
      <c r="EP33" s="169"/>
      <c r="EQ33" s="169"/>
      <c r="ER33" s="169"/>
      <c r="ES33" s="169"/>
      <c r="ET33" s="169"/>
      <c r="EU33" s="169"/>
      <c r="EV33" s="169"/>
      <c r="EW33" s="169"/>
      <c r="EX33" s="169"/>
      <c r="EY33" s="169"/>
      <c r="EZ33" s="169"/>
      <c r="FA33" s="169"/>
      <c r="FB33" s="169"/>
      <c r="FC33" s="169"/>
      <c r="FD33" s="169"/>
      <c r="FE33" s="169"/>
      <c r="FF33" s="169"/>
      <c r="FG33" s="169"/>
      <c r="FH33" s="169"/>
      <c r="FI33" s="169"/>
      <c r="FJ33" s="169"/>
      <c r="FK33" s="169"/>
      <c r="FL33" s="169"/>
      <c r="FM33" s="169"/>
      <c r="FN33" s="169"/>
      <c r="FO33" s="169"/>
      <c r="FP33" s="169"/>
      <c r="FQ33" s="169"/>
      <c r="FR33" s="169"/>
      <c r="FS33" s="169"/>
      <c r="FT33" s="169"/>
      <c r="FU33" s="169"/>
      <c r="FV33" s="169"/>
      <c r="FW33" s="169"/>
      <c r="FX33" s="169"/>
      <c r="FY33" s="169"/>
      <c r="FZ33" s="169"/>
      <c r="GA33" s="169"/>
      <c r="GB33" s="169"/>
      <c r="GC33" s="169"/>
      <c r="GD33" s="169"/>
      <c r="GE33" s="169"/>
      <c r="GF33" s="169"/>
      <c r="GG33" s="169"/>
      <c r="GH33" s="169"/>
      <c r="GI33" s="169"/>
      <c r="GJ33" s="169"/>
      <c r="GK33" s="169"/>
      <c r="GL33" s="169"/>
      <c r="GM33" s="169"/>
      <c r="GN33" s="169"/>
      <c r="GO33" s="169"/>
      <c r="GP33" s="169"/>
      <c r="GQ33" s="169"/>
      <c r="GR33" s="169"/>
      <c r="GS33" s="169"/>
      <c r="GT33" s="169"/>
      <c r="GU33" s="169"/>
      <c r="GV33" s="169"/>
      <c r="GW33" s="169"/>
      <c r="GX33" s="169"/>
      <c r="GY33" s="169"/>
      <c r="GZ33" s="169"/>
      <c r="HA33" s="169"/>
      <c r="HB33" s="169"/>
      <c r="HC33" s="169"/>
      <c r="HD33" s="169"/>
      <c r="HE33" s="169"/>
      <c r="HF33" s="169"/>
      <c r="HG33" s="169"/>
      <c r="HH33" s="169"/>
      <c r="HI33" s="169"/>
      <c r="HJ33" s="169"/>
      <c r="HK33" s="169"/>
      <c r="HL33" s="169"/>
      <c r="HM33" s="169"/>
      <c r="HN33" s="169"/>
      <c r="HO33" s="169"/>
      <c r="HP33" s="169"/>
      <c r="HQ33" s="169"/>
      <c r="HR33" s="169"/>
      <c r="HS33" s="169"/>
      <c r="HT33" s="169"/>
      <c r="HU33" s="169"/>
      <c r="HV33" s="169"/>
      <c r="HW33" s="169"/>
      <c r="HX33" s="169"/>
      <c r="HY33" s="169"/>
      <c r="HZ33" s="169"/>
      <c r="IA33" s="169"/>
      <c r="IB33" s="169"/>
      <c r="IC33" s="169"/>
      <c r="ID33" s="169"/>
      <c r="IE33" s="169"/>
      <c r="IF33" s="169"/>
      <c r="IG33" s="169"/>
      <c r="IH33" s="169"/>
      <c r="II33" s="169"/>
      <c r="IJ33" s="169"/>
      <c r="IK33" s="169"/>
      <c r="IL33" s="169"/>
      <c r="IM33" s="169"/>
      <c r="IN33" s="169"/>
      <c r="IO33" s="169"/>
      <c r="IP33" s="169"/>
      <c r="IQ33" s="169"/>
      <c r="IR33" s="169"/>
      <c r="IS33" s="169"/>
      <c r="IT33" s="169"/>
      <c r="IU33" s="169"/>
      <c r="IV33" s="169"/>
      <c r="IW33" s="169"/>
      <c r="IX33" s="169"/>
      <c r="IY33" s="29">
        <v>1</v>
      </c>
      <c r="IZ33" s="40">
        <f>(TEXT(K33,"[m]")/60)*VLOOKUP(IY33,'Income Person-hours'!A$2:C$5,3,FALSE)</f>
        <v>0</v>
      </c>
      <c r="JA33" s="112"/>
      <c r="JB33" s="112"/>
      <c r="JC33" s="112"/>
      <c r="JD33" s="192">
        <f>SUM((TEXT(JA33,"[M]")/60)*'Income Person-hours'!$D$3,(TEXT(JB33,"[M]")/60)*'Income Person-hours'!$D$4,(TEXT(JC33,"[M]")/60)*'Income Person-hours'!$D$5)</f>
        <v>0</v>
      </c>
    </row>
    <row r="34" spans="1:264" s="191" customFormat="1" ht="13.5">
      <c r="A34" s="288">
        <v>2.2999999999999998</v>
      </c>
      <c r="B34" s="277" t="s">
        <v>129</v>
      </c>
      <c r="C34" s="263" t="s">
        <v>79</v>
      </c>
      <c r="D34" s="264" t="str">
        <f>IF(OR(j_WEEKDAY(J_ADDDAY(VLOOKUP(I34,A:F,6,FALSE),H34,1),0)=6,SUMIFS(Holieday[ok],Holieday[date],J_ADDDAY(VLOOKUP(I34,A:F,6,FALSE),H34,1)))=FALSE(),J_ADDDAY(VLOOKUP(I34,A:F,6,FALSE),H34,1),IF(OR(j_WEEKDAY(J_ADDDAY(VLOOKUP(I34,A:F,6,FALSE),H34+1,1),0)=6,SUMIFS(Holieday[ok],Holieday[date],J_ADDDAY(VLOOKUP(I34,A:F,6,FALSE),H34+1,1)))=FALSE(),J_ADDDAY(VLOOKUP(I34,A:F,6,FALSE),H34+1,1),IF(OR(j_WEEKDAY(J_ADDDAY(VLOOKUP(I34,A:F,6,FALSE),H34+2,1),0)=6,SUMIFS(Holieday[ok],Holieday[date],J_ADDDAY(VLOOKUP(I34,A:F,6,FALSE),H34+2,1)))=FALSE(),J_ADDDAY(VLOOKUP(I34,A:F,6,FALSE),H34+2,1),IF(OR(j_WEEKDAY(J_ADDDAY(VLOOKUP(I34,A:F,6,FALSE),H34+3,1),0)=6,SUMIFS(Holieday[ok],Holieday[date],J_ADDDAY(VLOOKUP(I34,A:F,6,FALSE),H34+3,1)))=FALSE(),J_ADDDAY(VLOOKUP(I34,A:F,6,FALSE),H34+3,1),IF(OR(j_WEEKDAY(J_ADDDAY(VLOOKUP(I34,A:F,6,FALSE),H34+4,1),0)=6,SUMIFS(Holieday[ok],Holieday[date],J_ADDDAY(VLOOKUP(I34,A:F,6,FALSE),H34+4,1)))=FALSE(),J_ADDDAY(VLOOKUP(I34,A:F,6,FALSE),H34+4,1),J_ADDDAY(VLOOKUP(I34,A:F,6,FALSE),H34+5,1))))))</f>
        <v>1398/06/31</v>
      </c>
      <c r="E34" s="160">
        <f t="shared" si="4"/>
        <v>13980631</v>
      </c>
      <c r="F34" s="265" t="str">
        <f>IF(N34=0,J_SUBDAY(D34,1,1),IF((N34-(NETWORKDAYS.INTL(J_GregorianDate(D34,1),J_GregorianDate(J_SUBDAY(J_ADDDAY(D34,N34,1),1,1),1),16,1)))+SUMIFS(Holieday[ok],Holieday[date],CONCATENATE("&gt;","=",D34),Holieday[date],CONCATENATE("&lt;","=",J_SUBDAY(J_ADDDAY(D34,N34,1),1,1)))-SUMIFS(Holieday[Friday],Holieday[date],CONCATENATE("&gt;","=",D34),Holieday[date],CONCATENATE("&lt;","=",J_SUBDAY(J_ADDDAY(D34,N34,1),1,1)))=0,J_SUBDAY(J_ADDDAY(D34,N34,1),1,1),IF((N34+1-(NETWORKDAYS.INTL(J_GregorianDate(D34,1),J_GregorianDate(J_SUBDAY(J_ADDDAY(D34,N34+1,1),1,1),1),16,1)))+SUMIFS(Holieday[ok],Holieday[date],CONCATENATE("&gt;","=",D34),Holieday[date],CONCATENATE("&lt;","=",J_SUBDAY(J_ADDDAY(D34,N34+1,1),1,1)))-SUMIFS(Holieday[Friday],Holieday[date],CONCATENATE("&gt;","=",D34),Holieday[date],CONCATENATE("&lt;","=",J_SUBDAY(J_ADDDAY(D34,N34+1,1),1,1)))=1,J_SUBDAY(J_ADDDAY(D34,N34+1,1),1,1),IF((N34+2-(NETWORKDAYS.INTL(J_GregorianDate(D34,1),J_GregorianDate(J_SUBDAY(J_ADDDAY(D34,N34+2,1),1,1),1),16,1)))+SUMIFS(Holieday[ok],Holieday[date],CONCATENATE("&gt;","=",D34),Holieday[date],CONCATENATE("&lt;","=",J_SUBDAY(J_ADDDAY(D34,N34+2,1),1,1)))-SUMIFS(Holieday[Friday],Holieday[date],CONCATENATE("&gt;","=",D34),Holieday[date],CONCATENATE("&lt;","=",J_SUBDAY(J_ADDDAY(D34,N34+2,1),1,1)))=2,J_SUBDAY(J_ADDDAY(D34,N34+2,1),1,1),IF((N34+3-(NETWORKDAYS.INTL(J_GregorianDate(D34,1),J_GregorianDate(J_SUBDAY(J_ADDDAY(D34,N34+3,1),1,1),1),16,1)))+SUMIFS(Holieday[ok],Holieday[date],CONCATENATE("&gt;","=",D34),Holieday[date],CONCATENATE("&lt;","=",J_SUBDAY(J_ADDDAY(D34,N34+3,1),1,1)))-SUMIFS(Holieday[Friday],Holieday[date],CONCATENATE("&gt;","=",D34),Holieday[date],CONCATENATE("&lt;","=",J_SUBDAY(J_ADDDAY(D34,N34+3,1),1,1)))=3,J_SUBDAY(J_ADDDAY(D34,N34+3,1),1,1),IF((N34+4-(NETWORKDAYS.INTL(J_GregorianDate(D34,1),J_GregorianDate(J_SUBDAY(J_ADDDAY(D34,N34+4,1),1,1),1),16,1)))+SUMIFS(Holieday[ok],Holieday[date],CONCATENATE("&gt;","=",D34),Holieday[date],CONCATENATE("&lt;","=",J_SUBDAY(J_ADDDAY(D34,N34+4,1),1,1)))-SUMIFS(Holieday[Friday],Holieday[date],CONCATENATE("&gt;","=",D34),Holieday[date],CONCATENATE("&lt;","=",J_SUBDAY(J_ADDDAY(D34,N34+4,1),1,1)))=4,J_SUBDAY(J_ADDDAY(D34,N34+4,1),1,1),IF((N34+5-(NETWORKDAYS.INTL(J_GregorianDate(D34,1),J_GregorianDate(J_SUBDAY(J_ADDDAY(D34,N34+5,1),1,1),1),16,1)))+SUMIFS(Holieday[ok],Holieday[date],CONCATENATE("&gt;","=",D34),Holieday[date],CONCATENATE("&lt;","=",J_SUBDAY(J_ADDDAY(D34,N34+5,1),1,1)))-SUMIFS(Holieday[Friday],Holieday[date],CONCATENATE("&gt;","=",D34),Holieday[date],CONCATENATE("&lt;","=",J_SUBDAY(J_ADDDAY(D34,N34+5,1),1,1)))=5,J_SUBDAY(J_ADDDAY(D34,N34+5,1),1,1),J_SUBDAY(J_ADDDAY(D34,N34+6,1),1,1))))))))</f>
        <v>1398/06/31</v>
      </c>
      <c r="G34" s="163">
        <f t="shared" si="5"/>
        <v>13980631</v>
      </c>
      <c r="H34" s="266"/>
      <c r="I34" s="267">
        <v>2.2000000000000002</v>
      </c>
      <c r="J34" s="265">
        <f>j_WEEKDAY(D34,2)</f>
        <v>1</v>
      </c>
      <c r="K34" s="173">
        <f t="shared" si="11"/>
        <v>0</v>
      </c>
      <c r="L34" s="268">
        <f t="shared" si="12"/>
        <v>1</v>
      </c>
      <c r="M34" s="269">
        <v>1</v>
      </c>
      <c r="N34" s="270">
        <v>1</v>
      </c>
      <c r="O34" s="175">
        <f t="shared" si="13"/>
        <v>1</v>
      </c>
      <c r="P34" s="175">
        <f>VALUE(J_normdate(J_ADDDAY($D34,$O34,1)))</f>
        <v>13980701</v>
      </c>
      <c r="Q34" s="171">
        <f t="shared" si="14"/>
        <v>0</v>
      </c>
      <c r="R34" s="169"/>
      <c r="S34" s="169"/>
      <c r="T34" s="169"/>
      <c r="U34" s="169"/>
      <c r="V34" s="169"/>
      <c r="W34" s="169"/>
      <c r="X34" s="169"/>
      <c r="Y34" s="169"/>
      <c r="Z34" s="169"/>
      <c r="AA34" s="169"/>
      <c r="AB34" s="169"/>
      <c r="AC34" s="169"/>
      <c r="AD34" s="169"/>
      <c r="AE34" s="169"/>
      <c r="AF34" s="169"/>
      <c r="AG34" s="169"/>
      <c r="AH34" s="169"/>
      <c r="AI34" s="169"/>
      <c r="AJ34" s="169"/>
      <c r="AK34" s="169"/>
      <c r="AL34" s="169"/>
      <c r="AM34" s="169"/>
      <c r="AN34" s="169"/>
      <c r="AO34" s="169"/>
      <c r="AP34" s="169"/>
      <c r="AQ34" s="169"/>
      <c r="AR34" s="169"/>
      <c r="AS34" s="169"/>
      <c r="AT34" s="169"/>
      <c r="AU34" s="169"/>
      <c r="AV34" s="169"/>
      <c r="AW34" s="169"/>
      <c r="AX34" s="169"/>
      <c r="AY34" s="169"/>
      <c r="AZ34" s="169"/>
      <c r="BA34" s="169"/>
      <c r="BB34" s="169"/>
      <c r="BC34" s="169"/>
      <c r="BD34" s="169"/>
      <c r="BE34" s="169"/>
      <c r="BF34" s="169"/>
      <c r="BG34" s="169"/>
      <c r="BH34" s="169"/>
      <c r="BI34" s="169"/>
      <c r="BJ34" s="169"/>
      <c r="BK34" s="169"/>
      <c r="BL34" s="169"/>
      <c r="BM34" s="169"/>
      <c r="BN34" s="169"/>
      <c r="BO34" s="169"/>
      <c r="BP34" s="169"/>
      <c r="BQ34" s="169"/>
      <c r="BR34" s="169"/>
      <c r="BS34" s="169"/>
      <c r="BT34" s="169"/>
      <c r="BU34" s="169"/>
      <c r="BV34" s="169"/>
      <c r="BW34" s="169"/>
      <c r="BX34" s="169"/>
      <c r="BY34" s="169"/>
      <c r="BZ34" s="169"/>
      <c r="CA34" s="169"/>
      <c r="CB34" s="169"/>
      <c r="CC34" s="169"/>
      <c r="CD34" s="169"/>
      <c r="CE34" s="169"/>
      <c r="CF34" s="169"/>
      <c r="CG34" s="169"/>
      <c r="CH34" s="169"/>
      <c r="CI34" s="169"/>
      <c r="CJ34" s="169"/>
      <c r="CK34" s="169"/>
      <c r="CL34" s="169"/>
      <c r="CM34" s="169"/>
      <c r="CN34" s="169"/>
      <c r="CO34" s="169"/>
      <c r="CP34" s="169"/>
      <c r="CQ34" s="169"/>
      <c r="CR34" s="169"/>
      <c r="CS34" s="169"/>
      <c r="CT34" s="169"/>
      <c r="CU34" s="169"/>
      <c r="CV34" s="169"/>
      <c r="CW34" s="169"/>
      <c r="CX34" s="169"/>
      <c r="CY34" s="169"/>
      <c r="CZ34" s="169"/>
      <c r="DA34" s="169"/>
      <c r="DB34" s="169"/>
      <c r="DC34" s="169"/>
      <c r="DD34" s="169"/>
      <c r="DE34" s="169"/>
      <c r="DF34" s="169"/>
      <c r="DG34" s="169"/>
      <c r="DH34" s="169"/>
      <c r="DI34" s="169"/>
      <c r="DJ34" s="169"/>
      <c r="DK34" s="169"/>
      <c r="DL34" s="169"/>
      <c r="DM34" s="169"/>
      <c r="DN34" s="169"/>
      <c r="DO34" s="169"/>
      <c r="DP34" s="169"/>
      <c r="DQ34" s="169"/>
      <c r="DR34" s="169"/>
      <c r="DS34" s="169"/>
      <c r="DT34" s="169"/>
      <c r="DU34" s="169"/>
      <c r="DV34" s="169"/>
      <c r="DW34" s="169"/>
      <c r="DX34" s="169"/>
      <c r="DY34" s="169"/>
      <c r="DZ34" s="169"/>
      <c r="EA34" s="169"/>
      <c r="EB34" s="169"/>
      <c r="EC34" s="169"/>
      <c r="ED34" s="169"/>
      <c r="EE34" s="169"/>
      <c r="EF34" s="169"/>
      <c r="EG34" s="169"/>
      <c r="EH34" s="169"/>
      <c r="EI34" s="169"/>
      <c r="EJ34" s="169"/>
      <c r="EK34" s="169"/>
      <c r="EL34" s="169"/>
      <c r="EM34" s="169"/>
      <c r="EN34" s="169"/>
      <c r="EO34" s="169"/>
      <c r="EP34" s="169"/>
      <c r="EQ34" s="169"/>
      <c r="ER34" s="169"/>
      <c r="ES34" s="169"/>
      <c r="ET34" s="169"/>
      <c r="EU34" s="169"/>
      <c r="EV34" s="169"/>
      <c r="EW34" s="169"/>
      <c r="EX34" s="169"/>
      <c r="EY34" s="169"/>
      <c r="EZ34" s="169"/>
      <c r="FA34" s="169"/>
      <c r="FB34" s="169"/>
      <c r="FC34" s="169"/>
      <c r="FD34" s="169"/>
      <c r="FE34" s="169"/>
      <c r="FF34" s="169"/>
      <c r="FG34" s="169"/>
      <c r="FH34" s="169"/>
      <c r="FI34" s="169"/>
      <c r="FJ34" s="169"/>
      <c r="FK34" s="169"/>
      <c r="FL34" s="169"/>
      <c r="FM34" s="169"/>
      <c r="FN34" s="169"/>
      <c r="FO34" s="169"/>
      <c r="FP34" s="169"/>
      <c r="FQ34" s="169"/>
      <c r="FR34" s="169"/>
      <c r="FS34" s="169"/>
      <c r="FT34" s="169"/>
      <c r="FU34" s="169"/>
      <c r="FV34" s="169"/>
      <c r="FW34" s="169"/>
      <c r="FX34" s="169"/>
      <c r="FY34" s="169"/>
      <c r="FZ34" s="169"/>
      <c r="GA34" s="169"/>
      <c r="GB34" s="169"/>
      <c r="GC34" s="169"/>
      <c r="GD34" s="169"/>
      <c r="GE34" s="169"/>
      <c r="GF34" s="169"/>
      <c r="GG34" s="169"/>
      <c r="GH34" s="169"/>
      <c r="GI34" s="169"/>
      <c r="GJ34" s="169"/>
      <c r="GK34" s="169"/>
      <c r="GL34" s="169"/>
      <c r="GM34" s="169"/>
      <c r="GN34" s="169"/>
      <c r="GO34" s="169"/>
      <c r="GP34" s="169"/>
      <c r="GQ34" s="169"/>
      <c r="GR34" s="169"/>
      <c r="GS34" s="169"/>
      <c r="GT34" s="169"/>
      <c r="GU34" s="169"/>
      <c r="GV34" s="169"/>
      <c r="GW34" s="169"/>
      <c r="GX34" s="169"/>
      <c r="GY34" s="169"/>
      <c r="GZ34" s="169"/>
      <c r="HA34" s="169"/>
      <c r="HB34" s="169"/>
      <c r="HC34" s="169"/>
      <c r="HD34" s="169"/>
      <c r="HE34" s="169"/>
      <c r="HF34" s="169"/>
      <c r="HG34" s="169"/>
      <c r="HH34" s="169"/>
      <c r="HI34" s="169"/>
      <c r="HJ34" s="169"/>
      <c r="HK34" s="169"/>
      <c r="HL34" s="169"/>
      <c r="HM34" s="169"/>
      <c r="HN34" s="169"/>
      <c r="HO34" s="169"/>
      <c r="HP34" s="169"/>
      <c r="HQ34" s="169"/>
      <c r="HR34" s="169"/>
      <c r="HS34" s="169"/>
      <c r="HT34" s="169"/>
      <c r="HU34" s="169"/>
      <c r="HV34" s="169"/>
      <c r="HW34" s="169"/>
      <c r="HX34" s="169"/>
      <c r="HY34" s="169"/>
      <c r="HZ34" s="169"/>
      <c r="IA34" s="169"/>
      <c r="IB34" s="169"/>
      <c r="IC34" s="169"/>
      <c r="ID34" s="169"/>
      <c r="IE34" s="169"/>
      <c r="IF34" s="169"/>
      <c r="IG34" s="169"/>
      <c r="IH34" s="169"/>
      <c r="II34" s="169"/>
      <c r="IJ34" s="169"/>
      <c r="IK34" s="169"/>
      <c r="IL34" s="169"/>
      <c r="IM34" s="169"/>
      <c r="IN34" s="169"/>
      <c r="IO34" s="169"/>
      <c r="IP34" s="169"/>
      <c r="IQ34" s="169"/>
      <c r="IR34" s="169"/>
      <c r="IS34" s="169"/>
      <c r="IT34" s="169"/>
      <c r="IU34" s="169"/>
      <c r="IV34" s="169"/>
      <c r="IW34" s="169"/>
      <c r="IX34" s="169"/>
      <c r="IY34" s="29">
        <v>2</v>
      </c>
      <c r="IZ34" s="40">
        <f>(TEXT(K34,"[m]")/60)*VLOOKUP(IY34,'Income Person-hours'!A$2:C$5,3,FALSE)</f>
        <v>0</v>
      </c>
      <c r="JA34" s="112"/>
      <c r="JB34" s="112"/>
      <c r="JC34" s="112"/>
      <c r="JD34" s="192">
        <f>SUM((TEXT(JA34,"[M]")/60)*'Income Person-hours'!$D$3,(TEXT(JB34,"[M]")/60)*'Income Person-hours'!$D$4,(TEXT(JC34,"[M]")/60)*'Income Person-hours'!$D$5)</f>
        <v>0</v>
      </c>
    </row>
    <row r="35" spans="1:264" s="191" customFormat="1" ht="13.5">
      <c r="A35" s="288">
        <v>2.4</v>
      </c>
      <c r="B35" s="277" t="s">
        <v>130</v>
      </c>
      <c r="C35" s="263" t="s">
        <v>111</v>
      </c>
      <c r="D35" s="264" t="str">
        <f>IF(OR(j_WEEKDAY(J_ADDDAY(VLOOKUP(I35,A:F,6,FALSE),H35,1),0)=6,SUMIFS(Holieday[ok],Holieday[date],J_ADDDAY(VLOOKUP(I35,A:F,6,FALSE),H35,1)))=FALSE(),J_ADDDAY(VLOOKUP(I35,A:F,6,FALSE),H35,1),IF(OR(j_WEEKDAY(J_ADDDAY(VLOOKUP(I35,A:F,6,FALSE),H35+1,1),0)=6,SUMIFS(Holieday[ok],Holieday[date],J_ADDDAY(VLOOKUP(I35,A:F,6,FALSE),H35+1,1)))=FALSE(),J_ADDDAY(VLOOKUP(I35,A:F,6,FALSE),H35+1,1),IF(OR(j_WEEKDAY(J_ADDDAY(VLOOKUP(I35,A:F,6,FALSE),H35+2,1),0)=6,SUMIFS(Holieday[ok],Holieday[date],J_ADDDAY(VLOOKUP(I35,A:F,6,FALSE),H35+2,1)))=FALSE(),J_ADDDAY(VLOOKUP(I35,A:F,6,FALSE),H35+2,1),IF(OR(j_WEEKDAY(J_ADDDAY(VLOOKUP(I35,A:F,6,FALSE),H35+3,1),0)=6,SUMIFS(Holieday[ok],Holieday[date],J_ADDDAY(VLOOKUP(I35,A:F,6,FALSE),H35+3,1)))=FALSE(),J_ADDDAY(VLOOKUP(I35,A:F,6,FALSE),H35+3,1),IF(OR(j_WEEKDAY(J_ADDDAY(VLOOKUP(I35,A:F,6,FALSE),H35+4,1),0)=6,SUMIFS(Holieday[ok],Holieday[date],J_ADDDAY(VLOOKUP(I35,A:F,6,FALSE),H35+4,1)))=FALSE(),J_ADDDAY(VLOOKUP(I35,A:F,6,FALSE),H35+4,1),J_ADDDAY(VLOOKUP(I35,A:F,6,FALSE),H35+5,1))))))</f>
        <v>1398/07/01</v>
      </c>
      <c r="E35" s="160">
        <f t="shared" si="4"/>
        <v>13980701</v>
      </c>
      <c r="F35" s="265" t="str">
        <f>IF(N35=0,J_SUBDAY(D35,1,1),IF((N35-(NETWORKDAYS.INTL(J_GregorianDate(D35,1),J_GregorianDate(J_SUBDAY(J_ADDDAY(D35,N35,1),1,1),1),16,1)))+SUMIFS(Holieday[ok],Holieday[date],CONCATENATE("&gt;","=",D35),Holieday[date],CONCATENATE("&lt;","=",J_SUBDAY(J_ADDDAY(D35,N35,1),1,1)))-SUMIFS(Holieday[Friday],Holieday[date],CONCATENATE("&gt;","=",D35),Holieday[date],CONCATENATE("&lt;","=",J_SUBDAY(J_ADDDAY(D35,N35,1),1,1)))=0,J_SUBDAY(J_ADDDAY(D35,N35,1),1,1),IF((N35+1-(NETWORKDAYS.INTL(J_GregorianDate(D35,1),J_GregorianDate(J_SUBDAY(J_ADDDAY(D35,N35+1,1),1,1),1),16,1)))+SUMIFS(Holieday[ok],Holieday[date],CONCATENATE("&gt;","=",D35),Holieday[date],CONCATENATE("&lt;","=",J_SUBDAY(J_ADDDAY(D35,N35+1,1),1,1)))-SUMIFS(Holieday[Friday],Holieday[date],CONCATENATE("&gt;","=",D35),Holieday[date],CONCATENATE("&lt;","=",J_SUBDAY(J_ADDDAY(D35,N35+1,1),1,1)))=1,J_SUBDAY(J_ADDDAY(D35,N35+1,1),1,1),IF((N35+2-(NETWORKDAYS.INTL(J_GregorianDate(D35,1),J_GregorianDate(J_SUBDAY(J_ADDDAY(D35,N35+2,1),1,1),1),16,1)))+SUMIFS(Holieday[ok],Holieday[date],CONCATENATE("&gt;","=",D35),Holieday[date],CONCATENATE("&lt;","=",J_SUBDAY(J_ADDDAY(D35,N35+2,1),1,1)))-SUMIFS(Holieday[Friday],Holieday[date],CONCATENATE("&gt;","=",D35),Holieday[date],CONCATENATE("&lt;","=",J_SUBDAY(J_ADDDAY(D35,N35+2,1),1,1)))=2,J_SUBDAY(J_ADDDAY(D35,N35+2,1),1,1),IF((N35+3-(NETWORKDAYS.INTL(J_GregorianDate(D35,1),J_GregorianDate(J_SUBDAY(J_ADDDAY(D35,N35+3,1),1,1),1),16,1)))+SUMIFS(Holieday[ok],Holieday[date],CONCATENATE("&gt;","=",D35),Holieday[date],CONCATENATE("&lt;","=",J_SUBDAY(J_ADDDAY(D35,N35+3,1),1,1)))-SUMIFS(Holieday[Friday],Holieday[date],CONCATENATE("&gt;","=",D35),Holieday[date],CONCATENATE("&lt;","=",J_SUBDAY(J_ADDDAY(D35,N35+3,1),1,1)))=3,J_SUBDAY(J_ADDDAY(D35,N35+3,1),1,1),IF((N35+4-(NETWORKDAYS.INTL(J_GregorianDate(D35,1),J_GregorianDate(J_SUBDAY(J_ADDDAY(D35,N35+4,1),1,1),1),16,1)))+SUMIFS(Holieday[ok],Holieday[date],CONCATENATE("&gt;","=",D35),Holieday[date],CONCATENATE("&lt;","=",J_SUBDAY(J_ADDDAY(D35,N35+4,1),1,1)))-SUMIFS(Holieday[Friday],Holieday[date],CONCATENATE("&gt;","=",D35),Holieday[date],CONCATENATE("&lt;","=",J_SUBDAY(J_ADDDAY(D35,N35+4,1),1,1)))=4,J_SUBDAY(J_ADDDAY(D35,N35+4,1),1,1),IF((N35+5-(NETWORKDAYS.INTL(J_GregorianDate(D35,1),J_GregorianDate(J_SUBDAY(J_ADDDAY(D35,N35+5,1),1,1),1),16,1)))+SUMIFS(Holieday[ok],Holieday[date],CONCATENATE("&gt;","=",D35),Holieday[date],CONCATENATE("&lt;","=",J_SUBDAY(J_ADDDAY(D35,N35+5,1),1,1)))-SUMIFS(Holieday[Friday],Holieday[date],CONCATENATE("&gt;","=",D35),Holieday[date],CONCATENATE("&lt;","=",J_SUBDAY(J_ADDDAY(D35,N35+5,1),1,1)))=5,J_SUBDAY(J_ADDDAY(D35,N35+5,1),1,1),J_SUBDAY(J_ADDDAY(D35,N35+6,1),1,1))))))))</f>
        <v>1398/07/02</v>
      </c>
      <c r="G35" s="163">
        <f t="shared" si="5"/>
        <v>13980702</v>
      </c>
      <c r="H35" s="266">
        <v>1</v>
      </c>
      <c r="I35" s="267">
        <v>2.2999999999999998</v>
      </c>
      <c r="J35" s="265">
        <f>j_WEEKDAY(D35,2)</f>
        <v>2</v>
      </c>
      <c r="K35" s="173">
        <f t="shared" si="11"/>
        <v>0</v>
      </c>
      <c r="L35" s="268">
        <f t="shared" si="12"/>
        <v>2</v>
      </c>
      <c r="M35" s="269">
        <v>1</v>
      </c>
      <c r="N35" s="270">
        <v>2</v>
      </c>
      <c r="O35" s="175">
        <f t="shared" si="13"/>
        <v>2</v>
      </c>
      <c r="P35" s="175">
        <f>VALUE(J_normdate(J_ADDDAY($D35,$O35,1)))</f>
        <v>13980703</v>
      </c>
      <c r="Q35" s="171">
        <f t="shared" si="14"/>
        <v>0</v>
      </c>
      <c r="R35" s="169"/>
      <c r="S35" s="169"/>
      <c r="T35" s="169"/>
      <c r="U35" s="169"/>
      <c r="V35" s="169"/>
      <c r="W35" s="169"/>
      <c r="X35" s="169"/>
      <c r="Y35" s="169"/>
      <c r="Z35" s="169"/>
      <c r="AA35" s="169"/>
      <c r="AB35" s="169"/>
      <c r="AC35" s="169"/>
      <c r="AD35" s="169"/>
      <c r="AE35" s="169"/>
      <c r="AF35" s="169"/>
      <c r="AG35" s="169"/>
      <c r="AH35" s="169"/>
      <c r="AI35" s="169"/>
      <c r="AJ35" s="169"/>
      <c r="AK35" s="169"/>
      <c r="AL35" s="169"/>
      <c r="AM35" s="169"/>
      <c r="AN35" s="169"/>
      <c r="AO35" s="169"/>
      <c r="AP35" s="169"/>
      <c r="AQ35" s="169"/>
      <c r="AR35" s="169"/>
      <c r="AS35" s="169"/>
      <c r="AT35" s="169"/>
      <c r="AU35" s="169"/>
      <c r="AV35" s="169"/>
      <c r="AW35" s="169"/>
      <c r="AX35" s="169"/>
      <c r="AY35" s="169"/>
      <c r="AZ35" s="169"/>
      <c r="BA35" s="169"/>
      <c r="BB35" s="169"/>
      <c r="BC35" s="169"/>
      <c r="BD35" s="169"/>
      <c r="BE35" s="169"/>
      <c r="BF35" s="169"/>
      <c r="BG35" s="169"/>
      <c r="BH35" s="169"/>
      <c r="BI35" s="169"/>
      <c r="BJ35" s="169"/>
      <c r="BK35" s="169"/>
      <c r="BL35" s="169"/>
      <c r="BM35" s="169"/>
      <c r="BN35" s="169"/>
      <c r="BO35" s="169"/>
      <c r="BP35" s="169"/>
      <c r="BQ35" s="169"/>
      <c r="BR35" s="169"/>
      <c r="BS35" s="169"/>
      <c r="BT35" s="169"/>
      <c r="BU35" s="169"/>
      <c r="BV35" s="169"/>
      <c r="BW35" s="169"/>
      <c r="BX35" s="169"/>
      <c r="BY35" s="169"/>
      <c r="BZ35" s="169"/>
      <c r="CA35" s="169"/>
      <c r="CB35" s="169"/>
      <c r="CC35" s="169"/>
      <c r="CD35" s="169"/>
      <c r="CE35" s="169"/>
      <c r="CF35" s="169"/>
      <c r="CG35" s="169"/>
      <c r="CH35" s="169"/>
      <c r="CI35" s="169"/>
      <c r="CJ35" s="169"/>
      <c r="CK35" s="169"/>
      <c r="CL35" s="169"/>
      <c r="CM35" s="169"/>
      <c r="CN35" s="169"/>
      <c r="CO35" s="169"/>
      <c r="CP35" s="169"/>
      <c r="CQ35" s="169"/>
      <c r="CR35" s="169"/>
      <c r="CS35" s="169"/>
      <c r="CT35" s="169"/>
      <c r="CU35" s="169"/>
      <c r="CV35" s="169"/>
      <c r="CW35" s="169"/>
      <c r="CX35" s="169"/>
      <c r="CY35" s="169"/>
      <c r="CZ35" s="169"/>
      <c r="DA35" s="169"/>
      <c r="DB35" s="169"/>
      <c r="DC35" s="169"/>
      <c r="DD35" s="169"/>
      <c r="DE35" s="169"/>
      <c r="DF35" s="169"/>
      <c r="DG35" s="169"/>
      <c r="DH35" s="169"/>
      <c r="DI35" s="169"/>
      <c r="DJ35" s="169"/>
      <c r="DK35" s="169"/>
      <c r="DL35" s="169"/>
      <c r="DM35" s="169"/>
      <c r="DN35" s="169"/>
      <c r="DO35" s="169"/>
      <c r="DP35" s="169"/>
      <c r="DQ35" s="169"/>
      <c r="DR35" s="169"/>
      <c r="DS35" s="169"/>
      <c r="DT35" s="169"/>
      <c r="DU35" s="169"/>
      <c r="DV35" s="169"/>
      <c r="DW35" s="169"/>
      <c r="DX35" s="169"/>
      <c r="DY35" s="169"/>
      <c r="DZ35" s="169"/>
      <c r="EA35" s="169"/>
      <c r="EB35" s="169"/>
      <c r="EC35" s="169"/>
      <c r="ED35" s="169"/>
      <c r="EE35" s="169"/>
      <c r="EF35" s="169"/>
      <c r="EG35" s="169"/>
      <c r="EH35" s="169"/>
      <c r="EI35" s="169"/>
      <c r="EJ35" s="169"/>
      <c r="EK35" s="169"/>
      <c r="EL35" s="169"/>
      <c r="EM35" s="169"/>
      <c r="EN35" s="169"/>
      <c r="EO35" s="169"/>
      <c r="EP35" s="169"/>
      <c r="EQ35" s="169"/>
      <c r="ER35" s="169"/>
      <c r="ES35" s="169"/>
      <c r="ET35" s="169"/>
      <c r="EU35" s="169"/>
      <c r="EV35" s="169"/>
      <c r="EW35" s="169"/>
      <c r="EX35" s="169"/>
      <c r="EY35" s="169"/>
      <c r="EZ35" s="169"/>
      <c r="FA35" s="169"/>
      <c r="FB35" s="169"/>
      <c r="FC35" s="169"/>
      <c r="FD35" s="169"/>
      <c r="FE35" s="169"/>
      <c r="FF35" s="169"/>
      <c r="FG35" s="169"/>
      <c r="FH35" s="169"/>
      <c r="FI35" s="169"/>
      <c r="FJ35" s="169"/>
      <c r="FK35" s="169"/>
      <c r="FL35" s="169"/>
      <c r="FM35" s="169"/>
      <c r="FN35" s="169"/>
      <c r="FO35" s="169"/>
      <c r="FP35" s="169"/>
      <c r="FQ35" s="169"/>
      <c r="FR35" s="169"/>
      <c r="FS35" s="169"/>
      <c r="FT35" s="169"/>
      <c r="FU35" s="169"/>
      <c r="FV35" s="169"/>
      <c r="FW35" s="169"/>
      <c r="FX35" s="169"/>
      <c r="FY35" s="169"/>
      <c r="FZ35" s="169"/>
      <c r="GA35" s="169"/>
      <c r="GB35" s="169"/>
      <c r="GC35" s="169"/>
      <c r="GD35" s="169"/>
      <c r="GE35" s="169"/>
      <c r="GF35" s="169"/>
      <c r="GG35" s="169"/>
      <c r="GH35" s="169"/>
      <c r="GI35" s="169"/>
      <c r="GJ35" s="169"/>
      <c r="GK35" s="169"/>
      <c r="GL35" s="169"/>
      <c r="GM35" s="169"/>
      <c r="GN35" s="169"/>
      <c r="GO35" s="169"/>
      <c r="GP35" s="169"/>
      <c r="GQ35" s="169"/>
      <c r="GR35" s="169"/>
      <c r="GS35" s="169"/>
      <c r="GT35" s="169"/>
      <c r="GU35" s="169"/>
      <c r="GV35" s="169"/>
      <c r="GW35" s="169"/>
      <c r="GX35" s="169"/>
      <c r="GY35" s="169"/>
      <c r="GZ35" s="169"/>
      <c r="HA35" s="169"/>
      <c r="HB35" s="169"/>
      <c r="HC35" s="169"/>
      <c r="HD35" s="169"/>
      <c r="HE35" s="169"/>
      <c r="HF35" s="169"/>
      <c r="HG35" s="169"/>
      <c r="HH35" s="169"/>
      <c r="HI35" s="169"/>
      <c r="HJ35" s="169"/>
      <c r="HK35" s="169"/>
      <c r="HL35" s="169"/>
      <c r="HM35" s="169"/>
      <c r="HN35" s="169"/>
      <c r="HO35" s="169"/>
      <c r="HP35" s="169"/>
      <c r="HQ35" s="169"/>
      <c r="HR35" s="169"/>
      <c r="HS35" s="169"/>
      <c r="HT35" s="169"/>
      <c r="HU35" s="169"/>
      <c r="HV35" s="169"/>
      <c r="HW35" s="169"/>
      <c r="HX35" s="169"/>
      <c r="HY35" s="169"/>
      <c r="HZ35" s="169"/>
      <c r="IA35" s="169"/>
      <c r="IB35" s="169"/>
      <c r="IC35" s="169"/>
      <c r="ID35" s="169"/>
      <c r="IE35" s="169"/>
      <c r="IF35" s="169"/>
      <c r="IG35" s="169"/>
      <c r="IH35" s="169"/>
      <c r="II35" s="169"/>
      <c r="IJ35" s="169"/>
      <c r="IK35" s="169"/>
      <c r="IL35" s="169"/>
      <c r="IM35" s="169"/>
      <c r="IN35" s="169"/>
      <c r="IO35" s="169"/>
      <c r="IP35" s="169"/>
      <c r="IQ35" s="169"/>
      <c r="IR35" s="169"/>
      <c r="IS35" s="169"/>
      <c r="IT35" s="169"/>
      <c r="IU35" s="169"/>
      <c r="IV35" s="169"/>
      <c r="IW35" s="169"/>
      <c r="IX35" s="169"/>
      <c r="IY35" s="29">
        <v>1</v>
      </c>
      <c r="IZ35" s="40">
        <f>(TEXT(K35,"[m]")/60)*VLOOKUP(IY35,'Income Person-hours'!A$2:C$5,3,FALSE)</f>
        <v>0</v>
      </c>
      <c r="JA35" s="112"/>
      <c r="JB35" s="112"/>
      <c r="JC35" s="112"/>
      <c r="JD35" s="192">
        <f>SUM((TEXT(JA35,"[M]")/60)*'Income Person-hours'!$D$3,(TEXT(JB35,"[M]")/60)*'Income Person-hours'!$D$4,(TEXT(JC35,"[M]")/60)*'Income Person-hours'!$D$5)</f>
        <v>0</v>
      </c>
    </row>
    <row r="36" spans="1:264" s="191" customFormat="1" ht="13.5">
      <c r="A36" s="288">
        <v>2.5</v>
      </c>
      <c r="B36" s="277" t="s">
        <v>141</v>
      </c>
      <c r="C36" s="263" t="s">
        <v>111</v>
      </c>
      <c r="D36" s="264" t="str">
        <f>IF(OR(j_WEEKDAY(J_ADDDAY(VLOOKUP(I36,A:F,6,FALSE),H36,1),0)=6,SUMIFS(Holieday[ok],Holieday[date],J_ADDDAY(VLOOKUP(I36,A:F,6,FALSE),H36,1)))=FALSE(),J_ADDDAY(VLOOKUP(I36,A:F,6,FALSE),H36,1),IF(OR(j_WEEKDAY(J_ADDDAY(VLOOKUP(I36,A:F,6,FALSE),H36+1,1),0)=6,SUMIFS(Holieday[ok],Holieday[date],J_ADDDAY(VLOOKUP(I36,A:F,6,FALSE),H36+1,1)))=FALSE(),J_ADDDAY(VLOOKUP(I36,A:F,6,FALSE),H36+1,1),IF(OR(j_WEEKDAY(J_ADDDAY(VLOOKUP(I36,A:F,6,FALSE),H36+2,1),0)=6,SUMIFS(Holieday[ok],Holieday[date],J_ADDDAY(VLOOKUP(I36,A:F,6,FALSE),H36+2,1)))=FALSE(),J_ADDDAY(VLOOKUP(I36,A:F,6,FALSE),H36+2,1),IF(OR(j_WEEKDAY(J_ADDDAY(VLOOKUP(I36,A:F,6,FALSE),H36+3,1),0)=6,SUMIFS(Holieday[ok],Holieday[date],J_ADDDAY(VLOOKUP(I36,A:F,6,FALSE),H36+3,1)))=FALSE(),J_ADDDAY(VLOOKUP(I36,A:F,6,FALSE),H36+3,1),IF(OR(j_WEEKDAY(J_ADDDAY(VLOOKUP(I36,A:F,6,FALSE),H36+4,1),0)=6,SUMIFS(Holieday[ok],Holieday[date],J_ADDDAY(VLOOKUP(I36,A:F,6,FALSE),H36+4,1)))=FALSE(),J_ADDDAY(VLOOKUP(I36,A:F,6,FALSE),H36+4,1),J_ADDDAY(VLOOKUP(I36,A:F,6,FALSE),H36+5,1))))))</f>
        <v>1398/07/03</v>
      </c>
      <c r="E36" s="160">
        <f t="shared" si="4"/>
        <v>13980703</v>
      </c>
      <c r="F36" s="265" t="str">
        <f>IF(N36=0,J_SUBDAY(D36,1,1),IF((N36-(NETWORKDAYS.INTL(J_GregorianDate(D36,1),J_GregorianDate(J_SUBDAY(J_ADDDAY(D36,N36,1),1,1),1),16,1)))+SUMIFS(Holieday[ok],Holieday[date],CONCATENATE("&gt;","=",D36),Holieday[date],CONCATENATE("&lt;","=",J_SUBDAY(J_ADDDAY(D36,N36,1),1,1)))-SUMIFS(Holieday[Friday],Holieday[date],CONCATENATE("&gt;","=",D36),Holieday[date],CONCATENATE("&lt;","=",J_SUBDAY(J_ADDDAY(D36,N36,1),1,1)))=0,J_SUBDAY(J_ADDDAY(D36,N36,1),1,1),IF((N36+1-(NETWORKDAYS.INTL(J_GregorianDate(D36,1),J_GregorianDate(J_SUBDAY(J_ADDDAY(D36,N36+1,1),1,1),1),16,1)))+SUMIFS(Holieday[ok],Holieday[date],CONCATENATE("&gt;","=",D36),Holieday[date],CONCATENATE("&lt;","=",J_SUBDAY(J_ADDDAY(D36,N36+1,1),1,1)))-SUMIFS(Holieday[Friday],Holieday[date],CONCATENATE("&gt;","=",D36),Holieday[date],CONCATENATE("&lt;","=",J_SUBDAY(J_ADDDAY(D36,N36+1,1),1,1)))=1,J_SUBDAY(J_ADDDAY(D36,N36+1,1),1,1),IF((N36+2-(NETWORKDAYS.INTL(J_GregorianDate(D36,1),J_GregorianDate(J_SUBDAY(J_ADDDAY(D36,N36+2,1),1,1),1),16,1)))+SUMIFS(Holieday[ok],Holieday[date],CONCATENATE("&gt;","=",D36),Holieday[date],CONCATENATE("&lt;","=",J_SUBDAY(J_ADDDAY(D36,N36+2,1),1,1)))-SUMIFS(Holieday[Friday],Holieday[date],CONCATENATE("&gt;","=",D36),Holieday[date],CONCATENATE("&lt;","=",J_SUBDAY(J_ADDDAY(D36,N36+2,1),1,1)))=2,J_SUBDAY(J_ADDDAY(D36,N36+2,1),1,1),IF((N36+3-(NETWORKDAYS.INTL(J_GregorianDate(D36,1),J_GregorianDate(J_SUBDAY(J_ADDDAY(D36,N36+3,1),1,1),1),16,1)))+SUMIFS(Holieday[ok],Holieday[date],CONCATENATE("&gt;","=",D36),Holieday[date],CONCATENATE("&lt;","=",J_SUBDAY(J_ADDDAY(D36,N36+3,1),1,1)))-SUMIFS(Holieday[Friday],Holieday[date],CONCATENATE("&gt;","=",D36),Holieday[date],CONCATENATE("&lt;","=",J_SUBDAY(J_ADDDAY(D36,N36+3,1),1,1)))=3,J_SUBDAY(J_ADDDAY(D36,N36+3,1),1,1),IF((N36+4-(NETWORKDAYS.INTL(J_GregorianDate(D36,1),J_GregorianDate(J_SUBDAY(J_ADDDAY(D36,N36+4,1),1,1),1),16,1)))+SUMIFS(Holieday[ok],Holieday[date],CONCATENATE("&gt;","=",D36),Holieday[date],CONCATENATE("&lt;","=",J_SUBDAY(J_ADDDAY(D36,N36+4,1),1,1)))-SUMIFS(Holieday[Friday],Holieday[date],CONCATENATE("&gt;","=",D36),Holieday[date],CONCATENATE("&lt;","=",J_SUBDAY(J_ADDDAY(D36,N36+4,1),1,1)))=4,J_SUBDAY(J_ADDDAY(D36,N36+4,1),1,1),IF((N36+5-(NETWORKDAYS.INTL(J_GregorianDate(D36,1),J_GregorianDate(J_SUBDAY(J_ADDDAY(D36,N36+5,1),1,1),1),16,1)))+SUMIFS(Holieday[ok],Holieday[date],CONCATENATE("&gt;","=",D36),Holieday[date],CONCATENATE("&lt;","=",J_SUBDAY(J_ADDDAY(D36,N36+5,1),1,1)))-SUMIFS(Holieday[Friday],Holieday[date],CONCATENATE("&gt;","=",D36),Holieday[date],CONCATENATE("&lt;","=",J_SUBDAY(J_ADDDAY(D36,N36+5,1),1,1)))=5,J_SUBDAY(J_ADDDAY(D36,N36+5,1),1,1),J_SUBDAY(J_ADDDAY(D36,N36+6,1),1,1))))))))</f>
        <v>1398/07/04</v>
      </c>
      <c r="G36" s="163">
        <f t="shared" si="5"/>
        <v>13980704</v>
      </c>
      <c r="H36" s="266">
        <v>1</v>
      </c>
      <c r="I36" s="267">
        <v>2.4</v>
      </c>
      <c r="J36" s="265">
        <f>j_WEEKDAY(D36,2)</f>
        <v>4</v>
      </c>
      <c r="K36" s="173">
        <f t="shared" si="11"/>
        <v>0</v>
      </c>
      <c r="L36" s="268">
        <f t="shared" si="12"/>
        <v>2</v>
      </c>
      <c r="M36" s="269">
        <v>1</v>
      </c>
      <c r="N36" s="270">
        <v>2</v>
      </c>
      <c r="O36" s="175">
        <f t="shared" si="13"/>
        <v>2</v>
      </c>
      <c r="P36" s="175">
        <f>VALUE(J_normdate(J_ADDDAY($D36,$O36,1)))</f>
        <v>13980705</v>
      </c>
      <c r="Q36" s="171">
        <f t="shared" si="14"/>
        <v>0</v>
      </c>
      <c r="R36" s="169"/>
      <c r="S36" s="169"/>
      <c r="T36" s="169"/>
      <c r="U36" s="169"/>
      <c r="V36" s="169"/>
      <c r="W36" s="169"/>
      <c r="X36" s="169"/>
      <c r="Y36" s="169"/>
      <c r="Z36" s="169"/>
      <c r="AA36" s="169"/>
      <c r="AB36" s="169"/>
      <c r="AC36" s="169"/>
      <c r="AD36" s="169"/>
      <c r="AE36" s="169"/>
      <c r="AF36" s="169"/>
      <c r="AG36" s="169"/>
      <c r="AH36" s="169"/>
      <c r="AI36" s="169"/>
      <c r="AJ36" s="169"/>
      <c r="AK36" s="169"/>
      <c r="AL36" s="169"/>
      <c r="AM36" s="169"/>
      <c r="AN36" s="169"/>
      <c r="AO36" s="169"/>
      <c r="AP36" s="169"/>
      <c r="AQ36" s="169"/>
      <c r="AR36" s="169"/>
      <c r="AS36" s="169"/>
      <c r="AT36" s="169"/>
      <c r="AU36" s="169"/>
      <c r="AV36" s="169"/>
      <c r="AW36" s="169"/>
      <c r="AX36" s="169"/>
      <c r="AY36" s="169"/>
      <c r="AZ36" s="169"/>
      <c r="BA36" s="169"/>
      <c r="BB36" s="169"/>
      <c r="BC36" s="169"/>
      <c r="BD36" s="169"/>
      <c r="BE36" s="169"/>
      <c r="BF36" s="169"/>
      <c r="BG36" s="169"/>
      <c r="BH36" s="169"/>
      <c r="BI36" s="169"/>
      <c r="BJ36" s="169"/>
      <c r="BK36" s="169"/>
      <c r="BL36" s="169"/>
      <c r="BM36" s="169"/>
      <c r="BN36" s="169"/>
      <c r="BO36" s="169"/>
      <c r="BP36" s="169"/>
      <c r="BQ36" s="169"/>
      <c r="BR36" s="169"/>
      <c r="BS36" s="169"/>
      <c r="BT36" s="169"/>
      <c r="BU36" s="169"/>
      <c r="BV36" s="169"/>
      <c r="BW36" s="169"/>
      <c r="BX36" s="169"/>
      <c r="BY36" s="169"/>
      <c r="BZ36" s="169"/>
      <c r="CA36" s="169"/>
      <c r="CB36" s="169"/>
      <c r="CC36" s="169"/>
      <c r="CD36" s="169"/>
      <c r="CE36" s="169"/>
      <c r="CF36" s="169"/>
      <c r="CG36" s="169"/>
      <c r="CH36" s="169"/>
      <c r="CI36" s="169"/>
      <c r="CJ36" s="169"/>
      <c r="CK36" s="169"/>
      <c r="CL36" s="169"/>
      <c r="CM36" s="169"/>
      <c r="CN36" s="169"/>
      <c r="CO36" s="169"/>
      <c r="CP36" s="169"/>
      <c r="CQ36" s="169"/>
      <c r="CR36" s="169"/>
      <c r="CS36" s="169"/>
      <c r="CT36" s="169"/>
      <c r="CU36" s="169"/>
      <c r="CV36" s="169"/>
      <c r="CW36" s="169"/>
      <c r="CX36" s="169"/>
      <c r="CY36" s="169"/>
      <c r="CZ36" s="169"/>
      <c r="DA36" s="169"/>
      <c r="DB36" s="169"/>
      <c r="DC36" s="169"/>
      <c r="DD36" s="169"/>
      <c r="DE36" s="169"/>
      <c r="DF36" s="169"/>
      <c r="DG36" s="169"/>
      <c r="DH36" s="169"/>
      <c r="DI36" s="169"/>
      <c r="DJ36" s="169"/>
      <c r="DK36" s="169"/>
      <c r="DL36" s="169"/>
      <c r="DM36" s="169"/>
      <c r="DN36" s="169"/>
      <c r="DO36" s="169"/>
      <c r="DP36" s="169"/>
      <c r="DQ36" s="169"/>
      <c r="DR36" s="169"/>
      <c r="DS36" s="169"/>
      <c r="DT36" s="169"/>
      <c r="DU36" s="169"/>
      <c r="DV36" s="169"/>
      <c r="DW36" s="169"/>
      <c r="DX36" s="169"/>
      <c r="DY36" s="169"/>
      <c r="DZ36" s="169"/>
      <c r="EA36" s="169"/>
      <c r="EB36" s="169"/>
      <c r="EC36" s="169"/>
      <c r="ED36" s="169"/>
      <c r="EE36" s="169"/>
      <c r="EF36" s="169"/>
      <c r="EG36" s="169"/>
      <c r="EH36" s="169"/>
      <c r="EI36" s="169"/>
      <c r="EJ36" s="169"/>
      <c r="EK36" s="169"/>
      <c r="EL36" s="169"/>
      <c r="EM36" s="169"/>
      <c r="EN36" s="169"/>
      <c r="EO36" s="169"/>
      <c r="EP36" s="169"/>
      <c r="EQ36" s="169"/>
      <c r="ER36" s="169"/>
      <c r="ES36" s="169"/>
      <c r="ET36" s="169"/>
      <c r="EU36" s="169"/>
      <c r="EV36" s="169"/>
      <c r="EW36" s="169"/>
      <c r="EX36" s="169"/>
      <c r="EY36" s="169"/>
      <c r="EZ36" s="169"/>
      <c r="FA36" s="169"/>
      <c r="FB36" s="169"/>
      <c r="FC36" s="169"/>
      <c r="FD36" s="169"/>
      <c r="FE36" s="169"/>
      <c r="FF36" s="169"/>
      <c r="FG36" s="169"/>
      <c r="FH36" s="169"/>
      <c r="FI36" s="169"/>
      <c r="FJ36" s="169"/>
      <c r="FK36" s="169"/>
      <c r="FL36" s="169"/>
      <c r="FM36" s="169"/>
      <c r="FN36" s="169"/>
      <c r="FO36" s="169"/>
      <c r="FP36" s="169"/>
      <c r="FQ36" s="169"/>
      <c r="FR36" s="169"/>
      <c r="FS36" s="169"/>
      <c r="FT36" s="169"/>
      <c r="FU36" s="169"/>
      <c r="FV36" s="169"/>
      <c r="FW36" s="169"/>
      <c r="FX36" s="169"/>
      <c r="FY36" s="169"/>
      <c r="FZ36" s="169"/>
      <c r="GA36" s="169"/>
      <c r="GB36" s="169"/>
      <c r="GC36" s="169"/>
      <c r="GD36" s="169"/>
      <c r="GE36" s="169"/>
      <c r="GF36" s="169"/>
      <c r="GG36" s="169"/>
      <c r="GH36" s="169"/>
      <c r="GI36" s="169"/>
      <c r="GJ36" s="169"/>
      <c r="GK36" s="169"/>
      <c r="GL36" s="169"/>
      <c r="GM36" s="169"/>
      <c r="GN36" s="169"/>
      <c r="GO36" s="169"/>
      <c r="GP36" s="169"/>
      <c r="GQ36" s="169"/>
      <c r="GR36" s="169"/>
      <c r="GS36" s="169"/>
      <c r="GT36" s="169"/>
      <c r="GU36" s="169"/>
      <c r="GV36" s="169"/>
      <c r="GW36" s="169"/>
      <c r="GX36" s="169"/>
      <c r="GY36" s="169"/>
      <c r="GZ36" s="169"/>
      <c r="HA36" s="169"/>
      <c r="HB36" s="169"/>
      <c r="HC36" s="169"/>
      <c r="HD36" s="169"/>
      <c r="HE36" s="169"/>
      <c r="HF36" s="169"/>
      <c r="HG36" s="169"/>
      <c r="HH36" s="169"/>
      <c r="HI36" s="169"/>
      <c r="HJ36" s="169"/>
      <c r="HK36" s="169"/>
      <c r="HL36" s="169"/>
      <c r="HM36" s="169"/>
      <c r="HN36" s="169"/>
      <c r="HO36" s="169"/>
      <c r="HP36" s="169"/>
      <c r="HQ36" s="169"/>
      <c r="HR36" s="169"/>
      <c r="HS36" s="169"/>
      <c r="HT36" s="169"/>
      <c r="HU36" s="169"/>
      <c r="HV36" s="169"/>
      <c r="HW36" s="169"/>
      <c r="HX36" s="169"/>
      <c r="HY36" s="169"/>
      <c r="HZ36" s="169"/>
      <c r="IA36" s="169"/>
      <c r="IB36" s="169"/>
      <c r="IC36" s="169"/>
      <c r="ID36" s="169"/>
      <c r="IE36" s="169"/>
      <c r="IF36" s="169"/>
      <c r="IG36" s="169"/>
      <c r="IH36" s="169"/>
      <c r="II36" s="169"/>
      <c r="IJ36" s="169"/>
      <c r="IK36" s="169"/>
      <c r="IL36" s="169"/>
      <c r="IM36" s="169"/>
      <c r="IN36" s="169"/>
      <c r="IO36" s="169"/>
      <c r="IP36" s="169"/>
      <c r="IQ36" s="169"/>
      <c r="IR36" s="169"/>
      <c r="IS36" s="169"/>
      <c r="IT36" s="169"/>
      <c r="IU36" s="169"/>
      <c r="IV36" s="169"/>
      <c r="IW36" s="169"/>
      <c r="IX36" s="169"/>
      <c r="IY36" s="29">
        <v>1</v>
      </c>
      <c r="IZ36" s="40">
        <f>(TEXT(K36,"[m]")/60)*VLOOKUP(IY36,'Income Person-hours'!A$2:C$5,3,FALSE)</f>
        <v>0</v>
      </c>
      <c r="JA36" s="112"/>
      <c r="JB36" s="112"/>
      <c r="JC36" s="112"/>
      <c r="JD36" s="192">
        <f>SUM((TEXT(JA36,"[M]")/60)*'Income Person-hours'!$D$3,(TEXT(JB36,"[M]")/60)*'Income Person-hours'!$D$4,(TEXT(JC36,"[M]")/60)*'Income Person-hours'!$D$5)</f>
        <v>0</v>
      </c>
    </row>
    <row r="37" spans="1:264" s="191" customFormat="1" ht="13.5">
      <c r="A37" s="279">
        <v>2.6</v>
      </c>
      <c r="B37" s="277" t="s">
        <v>142</v>
      </c>
      <c r="C37" s="263" t="s">
        <v>111</v>
      </c>
      <c r="D37" s="264" t="str">
        <f>IF(OR(j_WEEKDAY(J_ADDDAY(VLOOKUP(I37,A:F,6,FALSE),H37,1),0)=6,SUMIFS(Holieday[ok],Holieday[date],J_ADDDAY(VLOOKUP(I37,A:F,6,FALSE),H37,1)))=FALSE(),J_ADDDAY(VLOOKUP(I37,A:F,6,FALSE),H37,1),IF(OR(j_WEEKDAY(J_ADDDAY(VLOOKUP(I37,A:F,6,FALSE),H37+1,1),0)=6,SUMIFS(Holieday[ok],Holieday[date],J_ADDDAY(VLOOKUP(I37,A:F,6,FALSE),H37+1,1)))=FALSE(),J_ADDDAY(VLOOKUP(I37,A:F,6,FALSE),H37+1,1),IF(OR(j_WEEKDAY(J_ADDDAY(VLOOKUP(I37,A:F,6,FALSE),H37+2,1),0)=6,SUMIFS(Holieday[ok],Holieday[date],J_ADDDAY(VLOOKUP(I37,A:F,6,FALSE),H37+2,1)))=FALSE(),J_ADDDAY(VLOOKUP(I37,A:F,6,FALSE),H37+2,1),IF(OR(j_WEEKDAY(J_ADDDAY(VLOOKUP(I37,A:F,6,FALSE),H37+3,1),0)=6,SUMIFS(Holieday[ok],Holieday[date],J_ADDDAY(VLOOKUP(I37,A:F,6,FALSE),H37+3,1)))=FALSE(),J_ADDDAY(VLOOKUP(I37,A:F,6,FALSE),H37+3,1),IF(OR(j_WEEKDAY(J_ADDDAY(VLOOKUP(I37,A:F,6,FALSE),H37+4,1),0)=6,SUMIFS(Holieday[ok],Holieday[date],J_ADDDAY(VLOOKUP(I37,A:F,6,FALSE),H37+4,1)))=FALSE(),J_ADDDAY(VLOOKUP(I37,A:F,6,FALSE),H37+4,1),J_ADDDAY(VLOOKUP(I37,A:F,6,FALSE),H37+5,1))))))</f>
        <v>1398/07/10</v>
      </c>
      <c r="E37" s="160">
        <f t="shared" si="4"/>
        <v>13980710</v>
      </c>
      <c r="F37" s="265" t="str">
        <f>IF(N37=0,J_SUBDAY(D37,1,1),IF((N37-(NETWORKDAYS.INTL(J_GregorianDate(D37,1),J_GregorianDate(J_SUBDAY(J_ADDDAY(D37,N37,1),1,1),1),16,1)))+SUMIFS(Holieday[ok],Holieday[date],CONCATENATE("&gt;","=",D37),Holieday[date],CONCATENATE("&lt;","=",J_SUBDAY(J_ADDDAY(D37,N37,1),1,1)))-SUMIFS(Holieday[Friday],Holieday[date],CONCATENATE("&gt;","=",D37),Holieday[date],CONCATENATE("&lt;","=",J_SUBDAY(J_ADDDAY(D37,N37,1),1,1)))=0,J_SUBDAY(J_ADDDAY(D37,N37,1),1,1),IF((N37+1-(NETWORKDAYS.INTL(J_GregorianDate(D37,1),J_GregorianDate(J_SUBDAY(J_ADDDAY(D37,N37+1,1),1,1),1),16,1)))+SUMIFS(Holieday[ok],Holieday[date],CONCATENATE("&gt;","=",D37),Holieday[date],CONCATENATE("&lt;","=",J_SUBDAY(J_ADDDAY(D37,N37+1,1),1,1)))-SUMIFS(Holieday[Friday],Holieday[date],CONCATENATE("&gt;","=",D37),Holieday[date],CONCATENATE("&lt;","=",J_SUBDAY(J_ADDDAY(D37,N37+1,1),1,1)))=1,J_SUBDAY(J_ADDDAY(D37,N37+1,1),1,1),IF((N37+2-(NETWORKDAYS.INTL(J_GregorianDate(D37,1),J_GregorianDate(J_SUBDAY(J_ADDDAY(D37,N37+2,1),1,1),1),16,1)))+SUMIFS(Holieday[ok],Holieday[date],CONCATENATE("&gt;","=",D37),Holieday[date],CONCATENATE("&lt;","=",J_SUBDAY(J_ADDDAY(D37,N37+2,1),1,1)))-SUMIFS(Holieday[Friday],Holieday[date],CONCATENATE("&gt;","=",D37),Holieday[date],CONCATENATE("&lt;","=",J_SUBDAY(J_ADDDAY(D37,N37+2,1),1,1)))=2,J_SUBDAY(J_ADDDAY(D37,N37+2,1),1,1),IF((N37+3-(NETWORKDAYS.INTL(J_GregorianDate(D37,1),J_GregorianDate(J_SUBDAY(J_ADDDAY(D37,N37+3,1),1,1),1),16,1)))+SUMIFS(Holieday[ok],Holieday[date],CONCATENATE("&gt;","=",D37),Holieday[date],CONCATENATE("&lt;","=",J_SUBDAY(J_ADDDAY(D37,N37+3,1),1,1)))-SUMIFS(Holieday[Friday],Holieday[date],CONCATENATE("&gt;","=",D37),Holieday[date],CONCATENATE("&lt;","=",J_SUBDAY(J_ADDDAY(D37,N37+3,1),1,1)))=3,J_SUBDAY(J_ADDDAY(D37,N37+3,1),1,1),IF((N37+4-(NETWORKDAYS.INTL(J_GregorianDate(D37,1),J_GregorianDate(J_SUBDAY(J_ADDDAY(D37,N37+4,1),1,1),1),16,1)))+SUMIFS(Holieday[ok],Holieday[date],CONCATENATE("&gt;","=",D37),Holieday[date],CONCATENATE("&lt;","=",J_SUBDAY(J_ADDDAY(D37,N37+4,1),1,1)))-SUMIFS(Holieday[Friday],Holieday[date],CONCATENATE("&gt;","=",D37),Holieday[date],CONCATENATE("&lt;","=",J_SUBDAY(J_ADDDAY(D37,N37+4,1),1,1)))=4,J_SUBDAY(J_ADDDAY(D37,N37+4,1),1,1),IF((N37+5-(NETWORKDAYS.INTL(J_GregorianDate(D37,1),J_GregorianDate(J_SUBDAY(J_ADDDAY(D37,N37+5,1),1,1),1),16,1)))+SUMIFS(Holieday[ok],Holieday[date],CONCATENATE("&gt;","=",D37),Holieday[date],CONCATENATE("&lt;","=",J_SUBDAY(J_ADDDAY(D37,N37+5,1),1,1)))-SUMIFS(Holieday[Friday],Holieday[date],CONCATENATE("&gt;","=",D37),Holieday[date],CONCATENATE("&lt;","=",J_SUBDAY(J_ADDDAY(D37,N37+5,1),1,1)))=5,J_SUBDAY(J_ADDDAY(D37,N37+5,1),1,1),J_SUBDAY(J_ADDDAY(D37,N37+6,1),1,1))))))))</f>
        <v>1398/07/10</v>
      </c>
      <c r="G37" s="163">
        <f t="shared" si="5"/>
        <v>13980710</v>
      </c>
      <c r="H37" s="266">
        <v>6</v>
      </c>
      <c r="I37" s="267">
        <v>2.5</v>
      </c>
      <c r="J37" s="265">
        <f>j_WEEKDAY(D37,2)</f>
        <v>4</v>
      </c>
      <c r="K37" s="173">
        <f t="shared" si="11"/>
        <v>0</v>
      </c>
      <c r="L37" s="268">
        <f t="shared" si="12"/>
        <v>1</v>
      </c>
      <c r="M37" s="269">
        <v>1</v>
      </c>
      <c r="N37" s="270">
        <v>1</v>
      </c>
      <c r="O37" s="175">
        <f t="shared" si="13"/>
        <v>1</v>
      </c>
      <c r="P37" s="175">
        <f>VALUE(J_normdate(J_ADDDAY($D37,$O37,1)))</f>
        <v>13980711</v>
      </c>
      <c r="Q37" s="171">
        <f t="shared" si="14"/>
        <v>0</v>
      </c>
      <c r="R37" s="169"/>
      <c r="S37" s="169"/>
      <c r="T37" s="169"/>
      <c r="U37" s="169"/>
      <c r="V37" s="169"/>
      <c r="W37" s="169"/>
      <c r="X37" s="169"/>
      <c r="Y37" s="169"/>
      <c r="Z37" s="169"/>
      <c r="AA37" s="169"/>
      <c r="AB37" s="169"/>
      <c r="AC37" s="169"/>
      <c r="AD37" s="169"/>
      <c r="AE37" s="169"/>
      <c r="AF37" s="169"/>
      <c r="AG37" s="169"/>
      <c r="AH37" s="169"/>
      <c r="AI37" s="169"/>
      <c r="AJ37" s="169"/>
      <c r="AK37" s="169"/>
      <c r="AL37" s="169"/>
      <c r="AM37" s="169"/>
      <c r="AN37" s="169"/>
      <c r="AO37" s="169"/>
      <c r="AP37" s="169"/>
      <c r="AQ37" s="169"/>
      <c r="AR37" s="169"/>
      <c r="AS37" s="169"/>
      <c r="AT37" s="169"/>
      <c r="AU37" s="169"/>
      <c r="AV37" s="169"/>
      <c r="AW37" s="169"/>
      <c r="AX37" s="169"/>
      <c r="AY37" s="169"/>
      <c r="AZ37" s="169"/>
      <c r="BA37" s="169"/>
      <c r="BB37" s="169"/>
      <c r="BC37" s="169"/>
      <c r="BD37" s="169"/>
      <c r="BE37" s="169"/>
      <c r="BF37" s="169"/>
      <c r="BG37" s="169"/>
      <c r="BH37" s="169"/>
      <c r="BI37" s="169"/>
      <c r="BJ37" s="169"/>
      <c r="BK37" s="169"/>
      <c r="BL37" s="169"/>
      <c r="BM37" s="169"/>
      <c r="BN37" s="169"/>
      <c r="BO37" s="169"/>
      <c r="BP37" s="169"/>
      <c r="BQ37" s="169"/>
      <c r="BR37" s="169"/>
      <c r="BS37" s="169"/>
      <c r="BT37" s="169"/>
      <c r="BU37" s="169"/>
      <c r="BV37" s="169"/>
      <c r="BW37" s="169"/>
      <c r="BX37" s="169"/>
      <c r="BY37" s="169"/>
      <c r="BZ37" s="169"/>
      <c r="CA37" s="169"/>
      <c r="CB37" s="169"/>
      <c r="CC37" s="169"/>
      <c r="CD37" s="169"/>
      <c r="CE37" s="169"/>
      <c r="CF37" s="169"/>
      <c r="CG37" s="169"/>
      <c r="CH37" s="169"/>
      <c r="CI37" s="169"/>
      <c r="CJ37" s="169"/>
      <c r="CK37" s="169"/>
      <c r="CL37" s="169"/>
      <c r="CM37" s="169"/>
      <c r="CN37" s="169"/>
      <c r="CO37" s="169"/>
      <c r="CP37" s="169"/>
      <c r="CQ37" s="169"/>
      <c r="CR37" s="169"/>
      <c r="CS37" s="169"/>
      <c r="CT37" s="169"/>
      <c r="CU37" s="169"/>
      <c r="CV37" s="169"/>
      <c r="CW37" s="169"/>
      <c r="CX37" s="169"/>
      <c r="CY37" s="169"/>
      <c r="CZ37" s="169"/>
      <c r="DA37" s="169"/>
      <c r="DB37" s="169"/>
      <c r="DC37" s="169"/>
      <c r="DD37" s="169"/>
      <c r="DE37" s="169"/>
      <c r="DF37" s="169"/>
      <c r="DG37" s="169"/>
      <c r="DH37" s="169"/>
      <c r="DI37" s="169"/>
      <c r="DJ37" s="169"/>
      <c r="DK37" s="169"/>
      <c r="DL37" s="169"/>
      <c r="DM37" s="169"/>
      <c r="DN37" s="169"/>
      <c r="DO37" s="169"/>
      <c r="DP37" s="169"/>
      <c r="DQ37" s="169"/>
      <c r="DR37" s="169"/>
      <c r="DS37" s="169"/>
      <c r="DT37" s="169"/>
      <c r="DU37" s="169"/>
      <c r="DV37" s="169"/>
      <c r="DW37" s="169"/>
      <c r="DX37" s="169"/>
      <c r="DY37" s="169"/>
      <c r="DZ37" s="169"/>
      <c r="EA37" s="169"/>
      <c r="EB37" s="169"/>
      <c r="EC37" s="169"/>
      <c r="ED37" s="169"/>
      <c r="EE37" s="169"/>
      <c r="EF37" s="169"/>
      <c r="EG37" s="169"/>
      <c r="EH37" s="169"/>
      <c r="EI37" s="169"/>
      <c r="EJ37" s="169"/>
      <c r="EK37" s="169"/>
      <c r="EL37" s="169"/>
      <c r="EM37" s="169"/>
      <c r="EN37" s="169"/>
      <c r="EO37" s="169"/>
      <c r="EP37" s="169"/>
      <c r="EQ37" s="169"/>
      <c r="ER37" s="169"/>
      <c r="ES37" s="169"/>
      <c r="ET37" s="169"/>
      <c r="EU37" s="169"/>
      <c r="EV37" s="169"/>
      <c r="EW37" s="169"/>
      <c r="EX37" s="169"/>
      <c r="EY37" s="169"/>
      <c r="EZ37" s="169"/>
      <c r="FA37" s="169"/>
      <c r="FB37" s="169"/>
      <c r="FC37" s="169"/>
      <c r="FD37" s="169"/>
      <c r="FE37" s="169"/>
      <c r="FF37" s="169"/>
      <c r="FG37" s="169"/>
      <c r="FH37" s="169"/>
      <c r="FI37" s="169"/>
      <c r="FJ37" s="169"/>
      <c r="FK37" s="169"/>
      <c r="FL37" s="169"/>
      <c r="FM37" s="169"/>
      <c r="FN37" s="169"/>
      <c r="FO37" s="169"/>
      <c r="FP37" s="169"/>
      <c r="FQ37" s="169"/>
      <c r="FR37" s="169"/>
      <c r="FS37" s="169"/>
      <c r="FT37" s="169"/>
      <c r="FU37" s="169"/>
      <c r="FV37" s="169"/>
      <c r="FW37" s="169"/>
      <c r="FX37" s="169"/>
      <c r="FY37" s="169"/>
      <c r="FZ37" s="169"/>
      <c r="GA37" s="169"/>
      <c r="GB37" s="169"/>
      <c r="GC37" s="169"/>
      <c r="GD37" s="169"/>
      <c r="GE37" s="169"/>
      <c r="GF37" s="169"/>
      <c r="GG37" s="169"/>
      <c r="GH37" s="169"/>
      <c r="GI37" s="169"/>
      <c r="GJ37" s="169"/>
      <c r="GK37" s="169"/>
      <c r="GL37" s="169"/>
      <c r="GM37" s="169"/>
      <c r="GN37" s="169"/>
      <c r="GO37" s="169"/>
      <c r="GP37" s="169"/>
      <c r="GQ37" s="169"/>
      <c r="GR37" s="169"/>
      <c r="GS37" s="169"/>
      <c r="GT37" s="169"/>
      <c r="GU37" s="169"/>
      <c r="GV37" s="169"/>
      <c r="GW37" s="169"/>
      <c r="GX37" s="169"/>
      <c r="GY37" s="169"/>
      <c r="GZ37" s="169"/>
      <c r="HA37" s="169"/>
      <c r="HB37" s="169"/>
      <c r="HC37" s="169"/>
      <c r="HD37" s="169"/>
      <c r="HE37" s="169"/>
      <c r="HF37" s="169"/>
      <c r="HG37" s="169"/>
      <c r="HH37" s="169"/>
      <c r="HI37" s="169"/>
      <c r="HJ37" s="169"/>
      <c r="HK37" s="169"/>
      <c r="HL37" s="169"/>
      <c r="HM37" s="169"/>
      <c r="HN37" s="169"/>
      <c r="HO37" s="169"/>
      <c r="HP37" s="169"/>
      <c r="HQ37" s="169"/>
      <c r="HR37" s="169"/>
      <c r="HS37" s="169"/>
      <c r="HT37" s="169"/>
      <c r="HU37" s="169"/>
      <c r="HV37" s="169"/>
      <c r="HW37" s="169"/>
      <c r="HX37" s="169"/>
      <c r="HY37" s="169"/>
      <c r="HZ37" s="169"/>
      <c r="IA37" s="169"/>
      <c r="IB37" s="169"/>
      <c r="IC37" s="169"/>
      <c r="ID37" s="169"/>
      <c r="IE37" s="169"/>
      <c r="IF37" s="169"/>
      <c r="IG37" s="169"/>
      <c r="IH37" s="169"/>
      <c r="II37" s="169"/>
      <c r="IJ37" s="169"/>
      <c r="IK37" s="169"/>
      <c r="IL37" s="169"/>
      <c r="IM37" s="169"/>
      <c r="IN37" s="169"/>
      <c r="IO37" s="169"/>
      <c r="IP37" s="169"/>
      <c r="IQ37" s="169"/>
      <c r="IR37" s="169"/>
      <c r="IS37" s="169"/>
      <c r="IT37" s="169"/>
      <c r="IU37" s="169"/>
      <c r="IV37" s="169"/>
      <c r="IW37" s="169"/>
      <c r="IX37" s="169"/>
      <c r="IY37" s="29">
        <v>1</v>
      </c>
      <c r="IZ37" s="33">
        <f>(TEXT(K37,"[m]")/60)*VLOOKUP(IY37,'Income Person-hours'!A$2:C$5,3,FALSE)</f>
        <v>0</v>
      </c>
      <c r="JA37" s="112"/>
      <c r="JB37" s="112"/>
      <c r="JC37" s="112"/>
      <c r="JD37" s="192">
        <f>SUM((TEXT(JA37,"[M]")/60)*'Income Person-hours'!$D$3,(TEXT(JB37,"[M]")/60)*'Income Person-hours'!$D$4,(TEXT(JC37,"[M]")/60)*'Income Person-hours'!$D$5)</f>
        <v>0</v>
      </c>
    </row>
    <row r="38" spans="1:264" s="11" customFormat="1" ht="13.5">
      <c r="A38" s="288">
        <v>2.7</v>
      </c>
      <c r="B38" s="277" t="s">
        <v>144</v>
      </c>
      <c r="C38" s="263" t="s">
        <v>110</v>
      </c>
      <c r="D38" s="315" t="str">
        <f>IF(OR(j_WEEKDAY(J_ADDDAY(VLOOKUP(I38,A:F,6,FALSE),H38,1),0)=6,SUMIFS(Holieday[ok],Holieday[date],J_ADDDAY(VLOOKUP(I38,A:F,6,FALSE),H38,1)))=FALSE(),J_ADDDAY(VLOOKUP(I38,A:F,6,FALSE),H38,1),IF(OR(j_WEEKDAY(J_ADDDAY(VLOOKUP(I38,A:F,6,FALSE),H38+1,1),0)=6,SUMIFS(Holieday[ok],Holieday[date],J_ADDDAY(VLOOKUP(I38,A:F,6,FALSE),H38+1,1)))=FALSE(),J_ADDDAY(VLOOKUP(I38,A:F,6,FALSE),H38+1,1),IF(OR(j_WEEKDAY(J_ADDDAY(VLOOKUP(I38,A:F,6,FALSE),H38+2,1),0)=6,SUMIFS(Holieday[ok],Holieday[date],J_ADDDAY(VLOOKUP(I38,A:F,6,FALSE),H38+2,1)))=FALSE(),J_ADDDAY(VLOOKUP(I38,A:F,6,FALSE),H38+2,1),IF(OR(j_WEEKDAY(J_ADDDAY(VLOOKUP(I38,A:F,6,FALSE),H38+3,1),0)=6,SUMIFS(Holieday[ok],Holieday[date],J_ADDDAY(VLOOKUP(I38,A:F,6,FALSE),H38+3,1)))=FALSE(),J_ADDDAY(VLOOKUP(I38,A:F,6,FALSE),H38+3,1),IF(OR(j_WEEKDAY(J_ADDDAY(VLOOKUP(I38,A:F,6,FALSE),H38+4,1),0)=6,SUMIFS(Holieday[ok],Holieday[date],J_ADDDAY(VLOOKUP(I38,A:F,6,FALSE),H38+4,1)))=FALSE(),J_ADDDAY(VLOOKUP(I38,A:F,6,FALSE),H38+4,1),J_ADDDAY(VLOOKUP(I38,A:F,6,FALSE),H38+5,1))))))</f>
        <v>1398/07/06</v>
      </c>
      <c r="E38" s="1">
        <f t="shared" si="4"/>
        <v>13980706</v>
      </c>
      <c r="F38" s="281" t="str">
        <f>IF(N38=0,J_SUBDAY(D38,1,1),IF((N38-(NETWORKDAYS.INTL(J_GregorianDate(D38,1),J_GregorianDate(J_SUBDAY(J_ADDDAY(D38,N38,1),1,1),1),16,1)))+SUMIFS(Holieday[ok],Holieday[date],CONCATENATE("&gt;","=",D38),Holieday[date],CONCATENATE("&lt;","=",J_SUBDAY(J_ADDDAY(D38,N38,1),1,1)))-SUMIFS(Holieday[Friday],Holieday[date],CONCATENATE("&gt;","=",D38),Holieday[date],CONCATENATE("&lt;","=",J_SUBDAY(J_ADDDAY(D38,N38,1),1,1)))=0,J_SUBDAY(J_ADDDAY(D38,N38,1),1,1),IF((N38+1-(NETWORKDAYS.INTL(J_GregorianDate(D38,1),J_GregorianDate(J_SUBDAY(J_ADDDAY(D38,N38+1,1),1,1),1),16,1)))+SUMIFS(Holieday[ok],Holieday[date],CONCATENATE("&gt;","=",D38),Holieday[date],CONCATENATE("&lt;","=",J_SUBDAY(J_ADDDAY(D38,N38+1,1),1,1)))-SUMIFS(Holieday[Friday],Holieday[date],CONCATENATE("&gt;","=",D38),Holieday[date],CONCATENATE("&lt;","=",J_SUBDAY(J_ADDDAY(D38,N38+1,1),1,1)))=1,J_SUBDAY(J_ADDDAY(D38,N38+1,1),1,1),IF((N38+2-(NETWORKDAYS.INTL(J_GregorianDate(D38,1),J_GregorianDate(J_SUBDAY(J_ADDDAY(D38,N38+2,1),1,1),1),16,1)))+SUMIFS(Holieday[ok],Holieday[date],CONCATENATE("&gt;","=",D38),Holieday[date],CONCATENATE("&lt;","=",J_SUBDAY(J_ADDDAY(D38,N38+2,1),1,1)))-SUMIFS(Holieday[Friday],Holieday[date],CONCATENATE("&gt;","=",D38),Holieday[date],CONCATENATE("&lt;","=",J_SUBDAY(J_ADDDAY(D38,N38+2,1),1,1)))=2,J_SUBDAY(J_ADDDAY(D38,N38+2,1),1,1),IF((N38+3-(NETWORKDAYS.INTL(J_GregorianDate(D38,1),J_GregorianDate(J_SUBDAY(J_ADDDAY(D38,N38+3,1),1,1),1),16,1)))+SUMIFS(Holieday[ok],Holieday[date],CONCATENATE("&gt;","=",D38),Holieday[date],CONCATENATE("&lt;","=",J_SUBDAY(J_ADDDAY(D38,N38+3,1),1,1)))-SUMIFS(Holieday[Friday],Holieday[date],CONCATENATE("&gt;","=",D38),Holieday[date],CONCATENATE("&lt;","=",J_SUBDAY(J_ADDDAY(D38,N38+3,1),1,1)))=3,J_SUBDAY(J_ADDDAY(D38,N38+3,1),1,1),IF((N38+4-(NETWORKDAYS.INTL(J_GregorianDate(D38,1),J_GregorianDate(J_SUBDAY(J_ADDDAY(D38,N38+4,1),1,1),1),16,1)))+SUMIFS(Holieday[ok],Holieday[date],CONCATENATE("&gt;","=",D38),Holieday[date],CONCATENATE("&lt;","=",J_SUBDAY(J_ADDDAY(D38,N38+4,1),1,1)))-SUMIFS(Holieday[Friday],Holieday[date],CONCATENATE("&gt;","=",D38),Holieday[date],CONCATENATE("&lt;","=",J_SUBDAY(J_ADDDAY(D38,N38+4,1),1,1)))=4,J_SUBDAY(J_ADDDAY(D38,N38+4,1),1,1),IF((N38+5-(NETWORKDAYS.INTL(J_GregorianDate(D38,1),J_GregorianDate(J_SUBDAY(J_ADDDAY(D38,N38+5,1),1,1),1),16,1)))+SUMIFS(Holieday[ok],Holieday[date],CONCATENATE("&gt;","=",D38),Holieday[date],CONCATENATE("&lt;","=",J_SUBDAY(J_ADDDAY(D38,N38+5,1),1,1)))-SUMIFS(Holieday[Friday],Holieday[date],CONCATENATE("&gt;","=",D38),Holieday[date],CONCATENATE("&lt;","=",J_SUBDAY(J_ADDDAY(D38,N38+5,1),1,1)))=5,J_SUBDAY(J_ADDDAY(D38,N38+5,1),1,1),J_SUBDAY(J_ADDDAY(D38,N38+6,1),1,1))))))))</f>
        <v>1398/07/06</v>
      </c>
      <c r="G38" s="2">
        <f t="shared" si="5"/>
        <v>13980706</v>
      </c>
      <c r="H38" s="266">
        <v>1</v>
      </c>
      <c r="I38" s="267">
        <v>2.5</v>
      </c>
      <c r="J38" s="281">
        <f>j_WEEKDAY(D38,2)</f>
        <v>0</v>
      </c>
      <c r="K38" s="21">
        <f t="shared" si="11"/>
        <v>0</v>
      </c>
      <c r="L38" s="282">
        <f t="shared" si="12"/>
        <v>1</v>
      </c>
      <c r="M38" s="269">
        <v>1</v>
      </c>
      <c r="N38" s="270">
        <v>1</v>
      </c>
      <c r="O38" s="10">
        <f t="shared" si="13"/>
        <v>1</v>
      </c>
      <c r="P38" s="10">
        <f>VALUE(J_normdate(J_ADDDAY($D38,$O38,1)))</f>
        <v>13980707</v>
      </c>
      <c r="Q38" s="9">
        <f t="shared" si="14"/>
        <v>0</v>
      </c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29">
        <v>1</v>
      </c>
      <c r="IZ38" s="33">
        <f>(TEXT(K38,"[m]")/60)*VLOOKUP(IY38,'Income Person-hours'!A$2:C$5,3,FALSE)</f>
        <v>0</v>
      </c>
      <c r="JA38" s="112"/>
      <c r="JB38" s="112"/>
      <c r="JC38" s="112"/>
      <c r="JD38" s="66">
        <f>SUM((TEXT(JA38,"[M]")/60)*'Income Person-hours'!$D$3,(TEXT(JB38,"[M]")/60)*'Income Person-hours'!$D$4,(TEXT(JC38,"[M]")/60)*'Income Person-hours'!$D$5)</f>
        <v>0</v>
      </c>
    </row>
    <row r="39" spans="1:264" s="11" customFormat="1" ht="13.5">
      <c r="A39" s="288">
        <v>2.8</v>
      </c>
      <c r="B39" s="277" t="s">
        <v>143</v>
      </c>
      <c r="C39" s="263" t="s">
        <v>79</v>
      </c>
      <c r="D39" s="315" t="str">
        <f>IF(OR(j_WEEKDAY(J_ADDDAY(VLOOKUP(I39,A:F,6,FALSE),H39,1),0)=6,SUMIFS(Holieday[ok],Holieday[date],J_ADDDAY(VLOOKUP(I39,A:F,6,FALSE),H39,1)))=FALSE(),J_ADDDAY(VLOOKUP(I39,A:F,6,FALSE),H39,1),IF(OR(j_WEEKDAY(J_ADDDAY(VLOOKUP(I39,A:F,6,FALSE),H39+1,1),0)=6,SUMIFS(Holieday[ok],Holieday[date],J_ADDDAY(VLOOKUP(I39,A:F,6,FALSE),H39+1,1)))=FALSE(),J_ADDDAY(VLOOKUP(I39,A:F,6,FALSE),H39+1,1),IF(OR(j_WEEKDAY(J_ADDDAY(VLOOKUP(I39,A:F,6,FALSE),H39+2,1),0)=6,SUMIFS(Holieday[ok],Holieday[date],J_ADDDAY(VLOOKUP(I39,A:F,6,FALSE),H39+2,1)))=FALSE(),J_ADDDAY(VLOOKUP(I39,A:F,6,FALSE),H39+2,1),IF(OR(j_WEEKDAY(J_ADDDAY(VLOOKUP(I39,A:F,6,FALSE),H39+3,1),0)=6,SUMIFS(Holieday[ok],Holieday[date],J_ADDDAY(VLOOKUP(I39,A:F,6,FALSE),H39+3,1)))=FALSE(),J_ADDDAY(VLOOKUP(I39,A:F,6,FALSE),H39+3,1),IF(OR(j_WEEKDAY(J_ADDDAY(VLOOKUP(I39,A:F,6,FALSE),H39+4,1),0)=6,SUMIFS(Holieday[ok],Holieday[date],J_ADDDAY(VLOOKUP(I39,A:F,6,FALSE),H39+4,1)))=FALSE(),J_ADDDAY(VLOOKUP(I39,A:F,6,FALSE),H39+4,1),J_ADDDAY(VLOOKUP(I39,A:F,6,FALSE),H39+5,1))))))</f>
        <v>1398/07/10</v>
      </c>
      <c r="E39" s="1">
        <f t="shared" si="4"/>
        <v>13980710</v>
      </c>
      <c r="F39" s="281" t="str">
        <f>IF(N39=0,J_SUBDAY(D39,1,1),IF((N39-(NETWORKDAYS.INTL(J_GregorianDate(D39,1),J_GregorianDate(J_SUBDAY(J_ADDDAY(D39,N39,1),1,1),1),16,1)))+SUMIFS(Holieday[ok],Holieday[date],CONCATENATE("&gt;","=",D39),Holieday[date],CONCATENATE("&lt;","=",J_SUBDAY(J_ADDDAY(D39,N39,1),1,1)))-SUMIFS(Holieday[Friday],Holieday[date],CONCATENATE("&gt;","=",D39),Holieday[date],CONCATENATE("&lt;","=",J_SUBDAY(J_ADDDAY(D39,N39,1),1,1)))=0,J_SUBDAY(J_ADDDAY(D39,N39,1),1,1),IF((N39+1-(NETWORKDAYS.INTL(J_GregorianDate(D39,1),J_GregorianDate(J_SUBDAY(J_ADDDAY(D39,N39+1,1),1,1),1),16,1)))+SUMIFS(Holieday[ok],Holieday[date],CONCATENATE("&gt;","=",D39),Holieday[date],CONCATENATE("&lt;","=",J_SUBDAY(J_ADDDAY(D39,N39+1,1),1,1)))-SUMIFS(Holieday[Friday],Holieday[date],CONCATENATE("&gt;","=",D39),Holieday[date],CONCATENATE("&lt;","=",J_SUBDAY(J_ADDDAY(D39,N39+1,1),1,1)))=1,J_SUBDAY(J_ADDDAY(D39,N39+1,1),1,1),IF((N39+2-(NETWORKDAYS.INTL(J_GregorianDate(D39,1),J_GregorianDate(J_SUBDAY(J_ADDDAY(D39,N39+2,1),1,1),1),16,1)))+SUMIFS(Holieday[ok],Holieday[date],CONCATENATE("&gt;","=",D39),Holieday[date],CONCATENATE("&lt;","=",J_SUBDAY(J_ADDDAY(D39,N39+2,1),1,1)))-SUMIFS(Holieday[Friday],Holieday[date],CONCATENATE("&gt;","=",D39),Holieday[date],CONCATENATE("&lt;","=",J_SUBDAY(J_ADDDAY(D39,N39+2,1),1,1)))=2,J_SUBDAY(J_ADDDAY(D39,N39+2,1),1,1),IF((N39+3-(NETWORKDAYS.INTL(J_GregorianDate(D39,1),J_GregorianDate(J_SUBDAY(J_ADDDAY(D39,N39+3,1),1,1),1),16,1)))+SUMIFS(Holieday[ok],Holieday[date],CONCATENATE("&gt;","=",D39),Holieday[date],CONCATENATE("&lt;","=",J_SUBDAY(J_ADDDAY(D39,N39+3,1),1,1)))-SUMIFS(Holieday[Friday],Holieday[date],CONCATENATE("&gt;","=",D39),Holieday[date],CONCATENATE("&lt;","=",J_SUBDAY(J_ADDDAY(D39,N39+3,1),1,1)))=3,J_SUBDAY(J_ADDDAY(D39,N39+3,1),1,1),IF((N39+4-(NETWORKDAYS.INTL(J_GregorianDate(D39,1),J_GregorianDate(J_SUBDAY(J_ADDDAY(D39,N39+4,1),1,1),1),16,1)))+SUMIFS(Holieday[ok],Holieday[date],CONCATENATE("&gt;","=",D39),Holieday[date],CONCATENATE("&lt;","=",J_SUBDAY(J_ADDDAY(D39,N39+4,1),1,1)))-SUMIFS(Holieday[Friday],Holieday[date],CONCATENATE("&gt;","=",D39),Holieday[date],CONCATENATE("&lt;","=",J_SUBDAY(J_ADDDAY(D39,N39+4,1),1,1)))=4,J_SUBDAY(J_ADDDAY(D39,N39+4,1),1,1),IF((N39+5-(NETWORKDAYS.INTL(J_GregorianDate(D39,1),J_GregorianDate(J_SUBDAY(J_ADDDAY(D39,N39+5,1),1,1),1),16,1)))+SUMIFS(Holieday[ok],Holieday[date],CONCATENATE("&gt;","=",D39),Holieday[date],CONCATENATE("&lt;","=",J_SUBDAY(J_ADDDAY(D39,N39+5,1),1,1)))-SUMIFS(Holieday[Friday],Holieday[date],CONCATENATE("&gt;","=",D39),Holieday[date],CONCATENATE("&lt;","=",J_SUBDAY(J_ADDDAY(D39,N39+5,1),1,1)))=5,J_SUBDAY(J_ADDDAY(D39,N39+5,1),1,1),J_SUBDAY(J_ADDDAY(D39,N39+6,1),1,1))))))))</f>
        <v>1398/09/10</v>
      </c>
      <c r="G39" s="2">
        <f t="shared" si="5"/>
        <v>13980910</v>
      </c>
      <c r="H39" s="266"/>
      <c r="I39" s="267">
        <v>2.6</v>
      </c>
      <c r="J39" s="281">
        <f>j_WEEKDAY(D39,2)</f>
        <v>4</v>
      </c>
      <c r="K39" s="21">
        <f t="shared" si="11"/>
        <v>0</v>
      </c>
      <c r="L39" s="282">
        <f t="shared" si="12"/>
        <v>61</v>
      </c>
      <c r="M39" s="269">
        <v>0</v>
      </c>
      <c r="N39" s="270">
        <v>55</v>
      </c>
      <c r="O39" s="10">
        <f t="shared" si="13"/>
        <v>0</v>
      </c>
      <c r="P39" s="10">
        <f>VALUE(J_normdate(J_ADDDAY($D39,$O39,1)))</f>
        <v>13980710</v>
      </c>
      <c r="Q39" s="9">
        <f t="shared" si="14"/>
        <v>61</v>
      </c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29">
        <v>1</v>
      </c>
      <c r="IZ39" s="33">
        <f>(TEXT(K39,"[m]")/60)*VLOOKUP(IY39,'Income Person-hours'!A$2:C$5,3,FALSE)</f>
        <v>0</v>
      </c>
      <c r="JA39" s="112"/>
      <c r="JB39" s="112"/>
      <c r="JC39" s="112"/>
      <c r="JD39" s="66">
        <f>SUM((TEXT(JA39,"[M]")/60)*'Income Person-hours'!$D$3,(TEXT(JB39,"[M]")/60)*'Income Person-hours'!$D$4,(TEXT(JC39,"[M]")/60)*'Income Person-hours'!$D$5)</f>
        <v>0</v>
      </c>
    </row>
    <row r="40" spans="1:264" s="11" customFormat="1" ht="13.5">
      <c r="A40" s="288">
        <v>2.9</v>
      </c>
      <c r="B40" s="277" t="s">
        <v>152</v>
      </c>
      <c r="C40" s="263" t="s">
        <v>110</v>
      </c>
      <c r="D40" s="315" t="str">
        <f>IF(OR(j_WEEKDAY(J_ADDDAY(VLOOKUP(I40,A:F,6,FALSE),H40,1),0)=6,SUMIFS(Holieday[ok],Holieday[date],J_ADDDAY(VLOOKUP(I40,A:F,6,FALSE),H40,1)))=FALSE(),J_ADDDAY(VLOOKUP(I40,A:F,6,FALSE),H40,1),IF(OR(j_WEEKDAY(J_ADDDAY(VLOOKUP(I40,A:F,6,FALSE),H40+1,1),0)=6,SUMIFS(Holieday[ok],Holieday[date],J_ADDDAY(VLOOKUP(I40,A:F,6,FALSE),H40+1,1)))=FALSE(),J_ADDDAY(VLOOKUP(I40,A:F,6,FALSE),H40+1,1),IF(OR(j_WEEKDAY(J_ADDDAY(VLOOKUP(I40,A:F,6,FALSE),H40+2,1),0)=6,SUMIFS(Holieday[ok],Holieday[date],J_ADDDAY(VLOOKUP(I40,A:F,6,FALSE),H40+2,1)))=FALSE(),J_ADDDAY(VLOOKUP(I40,A:F,6,FALSE),H40+2,1),IF(OR(j_WEEKDAY(J_ADDDAY(VLOOKUP(I40,A:F,6,FALSE),H40+3,1),0)=6,SUMIFS(Holieday[ok],Holieday[date],J_ADDDAY(VLOOKUP(I40,A:F,6,FALSE),H40+3,1)))=FALSE(),J_ADDDAY(VLOOKUP(I40,A:F,6,FALSE),H40+3,1),IF(OR(j_WEEKDAY(J_ADDDAY(VLOOKUP(I40,A:F,6,FALSE),H40+4,1),0)=6,SUMIFS(Holieday[ok],Holieday[date],J_ADDDAY(VLOOKUP(I40,A:F,6,FALSE),H40+4,1)))=FALSE(),J_ADDDAY(VLOOKUP(I40,A:F,6,FALSE),H40+4,1),J_ADDDAY(VLOOKUP(I40,A:F,6,FALSE),H40+5,1))))))</f>
        <v>1398/10/01</v>
      </c>
      <c r="E40" s="1">
        <f t="shared" ref="E40:E68" si="15">VALUE(J_normdate(D40))</f>
        <v>13981001</v>
      </c>
      <c r="F40" s="281" t="str">
        <f>IF(N40=0,J_SUBDAY(D40,1,1),IF((N40-(NETWORKDAYS.INTL(J_GregorianDate(D40,1),J_GregorianDate(J_SUBDAY(J_ADDDAY(D40,N40,1),1,1),1),16,1)))+SUMIFS(Holieday[ok],Holieday[date],CONCATENATE("&gt;","=",D40),Holieday[date],CONCATENATE("&lt;","=",J_SUBDAY(J_ADDDAY(D40,N40,1),1,1)))-SUMIFS(Holieday[Friday],Holieday[date],CONCATENATE("&gt;","=",D40),Holieday[date],CONCATENATE("&lt;","=",J_SUBDAY(J_ADDDAY(D40,N40,1),1,1)))=0,J_SUBDAY(J_ADDDAY(D40,N40,1),1,1),IF((N40+1-(NETWORKDAYS.INTL(J_GregorianDate(D40,1),J_GregorianDate(J_SUBDAY(J_ADDDAY(D40,N40+1,1),1,1),1),16,1)))+SUMIFS(Holieday[ok],Holieday[date],CONCATENATE("&gt;","=",D40),Holieday[date],CONCATENATE("&lt;","=",J_SUBDAY(J_ADDDAY(D40,N40+1,1),1,1)))-SUMIFS(Holieday[Friday],Holieday[date],CONCATENATE("&gt;","=",D40),Holieday[date],CONCATENATE("&lt;","=",J_SUBDAY(J_ADDDAY(D40,N40+1,1),1,1)))=1,J_SUBDAY(J_ADDDAY(D40,N40+1,1),1,1),IF((N40+2-(NETWORKDAYS.INTL(J_GregorianDate(D40,1),J_GregorianDate(J_SUBDAY(J_ADDDAY(D40,N40+2,1),1,1),1),16,1)))+SUMIFS(Holieday[ok],Holieday[date],CONCATENATE("&gt;","=",D40),Holieday[date],CONCATENATE("&lt;","=",J_SUBDAY(J_ADDDAY(D40,N40+2,1),1,1)))-SUMIFS(Holieday[Friday],Holieday[date],CONCATENATE("&gt;","=",D40),Holieday[date],CONCATENATE("&lt;","=",J_SUBDAY(J_ADDDAY(D40,N40+2,1),1,1)))=2,J_SUBDAY(J_ADDDAY(D40,N40+2,1),1,1),IF((N40+3-(NETWORKDAYS.INTL(J_GregorianDate(D40,1),J_GregorianDate(J_SUBDAY(J_ADDDAY(D40,N40+3,1),1,1),1),16,1)))+SUMIFS(Holieday[ok],Holieday[date],CONCATENATE("&gt;","=",D40),Holieday[date],CONCATENATE("&lt;","=",J_SUBDAY(J_ADDDAY(D40,N40+3,1),1,1)))-SUMIFS(Holieday[Friday],Holieday[date],CONCATENATE("&gt;","=",D40),Holieday[date],CONCATENATE("&lt;","=",J_SUBDAY(J_ADDDAY(D40,N40+3,1),1,1)))=3,J_SUBDAY(J_ADDDAY(D40,N40+3,1),1,1),IF((N40+4-(NETWORKDAYS.INTL(J_GregorianDate(D40,1),J_GregorianDate(J_SUBDAY(J_ADDDAY(D40,N40+4,1),1,1),1),16,1)))+SUMIFS(Holieday[ok],Holieday[date],CONCATENATE("&gt;","=",D40),Holieday[date],CONCATENATE("&lt;","=",J_SUBDAY(J_ADDDAY(D40,N40+4,1),1,1)))-SUMIFS(Holieday[Friday],Holieday[date],CONCATENATE("&gt;","=",D40),Holieday[date],CONCATENATE("&lt;","=",J_SUBDAY(J_ADDDAY(D40,N40+4,1),1,1)))=4,J_SUBDAY(J_ADDDAY(D40,N40+4,1),1,1),IF((N40+5-(NETWORKDAYS.INTL(J_GregorianDate(D40,1),J_GregorianDate(J_SUBDAY(J_ADDDAY(D40,N40+5,1),1,1),1),16,1)))+SUMIFS(Holieday[ok],Holieday[date],CONCATENATE("&gt;","=",D40),Holieday[date],CONCATENATE("&lt;","=",J_SUBDAY(J_ADDDAY(D40,N40+5,1),1,1)))-SUMIFS(Holieday[Friday],Holieday[date],CONCATENATE("&gt;","=",D40),Holieday[date],CONCATENATE("&lt;","=",J_SUBDAY(J_ADDDAY(D40,N40+5,1),1,1)))=5,J_SUBDAY(J_ADDDAY(D40,N40+5,1),1,1),J_SUBDAY(J_ADDDAY(D40,N40+6,1),1,1))))))))</f>
        <v>1398/10/01</v>
      </c>
      <c r="G40" s="2">
        <f t="shared" ref="G40:G68" si="16">VALUE(J_normdate(F40))</f>
        <v>13981001</v>
      </c>
      <c r="H40" s="266"/>
      <c r="I40" s="267">
        <v>7.2</v>
      </c>
      <c r="J40" s="281">
        <f>j_WEEKDAY(D40,2)</f>
        <v>1</v>
      </c>
      <c r="K40" s="21">
        <f t="shared" si="11"/>
        <v>0</v>
      </c>
      <c r="L40" s="282">
        <f t="shared" si="12"/>
        <v>1</v>
      </c>
      <c r="M40" s="269">
        <v>0</v>
      </c>
      <c r="N40" s="270">
        <v>1</v>
      </c>
      <c r="O40" s="10">
        <f t="shared" si="13"/>
        <v>0</v>
      </c>
      <c r="P40" s="10">
        <f>VALUE(J_normdate(J_ADDDAY($D40,$O40,1)))</f>
        <v>13981001</v>
      </c>
      <c r="Q40" s="9">
        <f t="shared" si="14"/>
        <v>1</v>
      </c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29">
        <v>1</v>
      </c>
      <c r="IZ40" s="33">
        <f>(TEXT(K40,"[m]")/60)*VLOOKUP(IY40,'Income Person-hours'!A$2:C$5,3,FALSE)</f>
        <v>0</v>
      </c>
      <c r="JA40" s="112"/>
      <c r="JB40" s="112"/>
      <c r="JC40" s="112"/>
      <c r="JD40" s="66">
        <f>SUM((TEXT(JA40,"[M]")/60)*'Income Person-hours'!$D$3,(TEXT(JB40,"[M]")/60)*'Income Person-hours'!$D$4,(TEXT(JC40,"[M]")/60)*'Income Person-hours'!$D$5)</f>
        <v>0</v>
      </c>
    </row>
    <row r="41" spans="1:264" s="11" customFormat="1" ht="11.25" hidden="1">
      <c r="A41" s="30">
        <v>2.11</v>
      </c>
      <c r="B41" s="106"/>
      <c r="C41" s="107"/>
      <c r="D41" s="41" t="str">
        <f>IF(OR(j_WEEKDAY(J_ADDDAY(VLOOKUP(I41,A:F,6,FALSE),H41,1),0)=6,SUMIFS(Holieday[ok],Holieday[date],J_ADDDAY(VLOOKUP(I41,A:F,6,FALSE),H41,1)))=FALSE(),J_ADDDAY(VLOOKUP(I41,A:F,6,FALSE),H41,1),IF(OR(j_WEEKDAY(J_ADDDAY(VLOOKUP(I41,A:F,6,FALSE),H41+1,1),0)=6,SUMIFS(Holieday[ok],Holieday[date],J_ADDDAY(VLOOKUP(I41,A:F,6,FALSE),H41+1,1)))=FALSE(),J_ADDDAY(VLOOKUP(I41,A:F,6,FALSE),H41+1,1),IF(OR(j_WEEKDAY(J_ADDDAY(VLOOKUP(I41,A:F,6,FALSE),H41+2,1),0)=6,SUMIFS(Holieday[ok],Holieday[date],J_ADDDAY(VLOOKUP(I41,A:F,6,FALSE),H41+2,1)))=FALSE(),J_ADDDAY(VLOOKUP(I41,A:F,6,FALSE),H41+2,1),IF(OR(j_WEEKDAY(J_ADDDAY(VLOOKUP(I41,A:F,6,FALSE),H41+3,1),0)=6,SUMIFS(Holieday[ok],Holieday[date],J_ADDDAY(VLOOKUP(I41,A:F,6,FALSE),H41+3,1)))=FALSE(),J_ADDDAY(VLOOKUP(I41,A:F,6,FALSE),H41+3,1),IF(OR(j_WEEKDAY(J_ADDDAY(VLOOKUP(I41,A:F,6,FALSE),H41+4,1),0)=6,SUMIFS(Holieday[ok],Holieday[date],J_ADDDAY(VLOOKUP(I41,A:F,6,FALSE),H41+4,1)))=FALSE(),J_ADDDAY(VLOOKUP(I41,A:F,6,FALSE),H41+4,1),J_ADDDAY(VLOOKUP(I41,A:F,6,FALSE),H41+5,1))))))</f>
        <v>1398/09/10</v>
      </c>
      <c r="E41" s="1">
        <f t="shared" si="15"/>
        <v>13980910</v>
      </c>
      <c r="F41" s="9" t="str">
        <f>IF(N41=0,J_SUBDAY(D41,1,1),IF((N41-NETWORKDAYS.INTL(J_GregorianDate(D41,1),J_GregorianDate(J_SUBDAY(J_ADDDAY(D41,N41,1),1,1),1),16,1)-SUMIFS(Holieday[ok],Holieday[date],CONCATENATE("&gt;","=",D41),Holieday[date],CONCATENATE("&lt;","=",J_SUBDAY(J_ADDDAY(D41,N41,1),1,1)))+SUMIFS(Holieday[Friday],Holieday[date],CONCATENATE("&gt;","=",D41),Holieday[date],CONCATENATE("&lt;","=",J_SUBDAY(J_ADDDAY(D41,N41,1),1,1))))=0,J_SUBDAY(J_ADDDAY(D41,N41,1),1,1),IF((N41-NETWORKDAYS.INTL(J_GregorianDate(D41,1),J_GregorianDate(J_SUBDAY(J_ADDDAY(D41,N41,1),1,1),1),16,1)-SUMIFS(Holieday[ok],Holieday[date],CONCATENATE("&gt;","=",D41),Holieday[date],CONCATENATE("&lt;","=",J_SUBDAY(J_ADDDAY(D41,N41,1),1,1)))+SUMIFS(Holieday[Friday],Holieday[date],CONCATENATE("&gt;","=",D41),Holieday[date],CONCATENATE("&lt;","=",J_SUBDAY(J_ADDDAY(D41,N41,1),1,1))))=1,J_SUBDAY(J_ADDDAY(D41,N41+1,1),1,1),IF((N41-NETWORKDAYS.INTL(J_GregorianDate(D41,1),J_GregorianDate(J_SUBDAY(J_ADDDAY(D41,N41,1),1,1),1),16,1)-SUMIFS(Holieday[ok],Holieday[date],CONCATENATE("&gt;","=",D41),Holieday[date],CONCATENATE("&lt;","=",J_SUBDAY(J_ADDDAY(D41,N41,1),1,1)))+SUMIFS(Holieday[Friday],Holieday[date],CONCATENATE("&gt;","=",D41),Holieday[date],CONCATENATE("&lt;","=",J_SUBDAY(J_ADDDAY(D41,N41,1),1,1))))=2,J_SUBDAY(J_ADDDAY(D41,N41+2,1),1,1),J_SUBDAY(J_ADDDAY(D41,N41+3,1),1,1)))))</f>
        <v>1398/09/09</v>
      </c>
      <c r="G41" s="2">
        <f t="shared" si="16"/>
        <v>13980909</v>
      </c>
      <c r="H41" s="109"/>
      <c r="I41" s="110">
        <v>2.8</v>
      </c>
      <c r="J41" s="9">
        <f>j_WEEKDAY(D41,2)</f>
        <v>1</v>
      </c>
      <c r="K41" s="21">
        <f t="shared" si="11"/>
        <v>0</v>
      </c>
      <c r="L41" s="8">
        <f t="shared" si="12"/>
        <v>0</v>
      </c>
      <c r="M41" s="111">
        <v>0</v>
      </c>
      <c r="N41" s="108">
        <v>0</v>
      </c>
      <c r="O41" s="10">
        <f t="shared" si="13"/>
        <v>0</v>
      </c>
      <c r="P41" s="10">
        <f>VALUE(J_normdate(J_ADDDAY($D41,$O41,1)))</f>
        <v>13980910</v>
      </c>
      <c r="Q41" s="9">
        <f t="shared" si="14"/>
        <v>0</v>
      </c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JA41" s="112"/>
      <c r="JB41" s="112"/>
      <c r="JC41" s="112"/>
      <c r="JD41" s="66">
        <f>SUM((TEXT(JA41,"[M]")/60)*'Income Person-hours'!$D$3,(TEXT(JB41,"[M]")/60)*'Income Person-hours'!$D$4,(TEXT(JC41,"[M]")/60)*'Income Person-hours'!$D$5)</f>
        <v>0</v>
      </c>
    </row>
    <row r="42" spans="1:264" s="11" customFormat="1" ht="11.25" hidden="1">
      <c r="A42" s="30">
        <v>2.12</v>
      </c>
      <c r="B42" s="106"/>
      <c r="C42" s="107"/>
      <c r="D42" s="7" t="str">
        <f>IF(OR(j_WEEKDAY(J_ADDDAY(VLOOKUP(I42,A:F,6,FALSE),H42,1),0)=6,SUMIFS(Holieday[ok],Holieday[date],J_ADDDAY(VLOOKUP(I42,A:F,6,FALSE),H42,1)))=FALSE(),J_ADDDAY(VLOOKUP(I42,A:F,6,FALSE),H42,1),IF(OR(j_WEEKDAY(J_ADDDAY(VLOOKUP(I42,A:F,6,FALSE),H42+1,1),0)=6,SUMIFS(Holieday[ok],Holieday[date],J_ADDDAY(VLOOKUP(I42,A:F,6,FALSE),H42+1,1)))=FALSE(),J_ADDDAY(VLOOKUP(I42,A:F,6,FALSE),H42+1,1),IF(OR(j_WEEKDAY(J_ADDDAY(VLOOKUP(I42,A:F,6,FALSE),H42+2,1),0)=6,SUMIFS(Holieday[ok],Holieday[date],J_ADDDAY(VLOOKUP(I42,A:F,6,FALSE),H42+2,1)))=FALSE(),J_ADDDAY(VLOOKUP(I42,A:F,6,FALSE),H42+2,1),IF(OR(j_WEEKDAY(J_ADDDAY(VLOOKUP(I42,A:F,6,FALSE),H42+3,1),0)=6,SUMIFS(Holieday[ok],Holieday[date],J_ADDDAY(VLOOKUP(I42,A:F,6,FALSE),H42+3,1)))=FALSE(),J_ADDDAY(VLOOKUP(I42,A:F,6,FALSE),H42+3,1),IF(OR(j_WEEKDAY(J_ADDDAY(VLOOKUP(I42,A:F,6,FALSE),H42+4,1),0)=6,SUMIFS(Holieday[ok],Holieday[date],J_ADDDAY(VLOOKUP(I42,A:F,6,FALSE),H42+4,1)))=FALSE(),J_ADDDAY(VLOOKUP(I42,A:F,6,FALSE),H42+4,1),J_ADDDAY(VLOOKUP(I42,A:F,6,FALSE),H42+5,1))))))</f>
        <v>1398/09/10</v>
      </c>
      <c r="E42" s="1">
        <f t="shared" si="15"/>
        <v>13980910</v>
      </c>
      <c r="F42" s="12" t="str">
        <f>IF(N42=0,J_SUBDAY(D42,1,1),IF((N42-NETWORKDAYS.INTL(J_GregorianDate(D42,1),J_GregorianDate(J_SUBDAY(J_ADDDAY(D42,N42,1),1,1),1),16,1)-SUMIFS(Holieday[ok],Holieday[date],CONCATENATE("&gt;","=",D42),Holieday[date],CONCATENATE("&lt;","=",J_SUBDAY(J_ADDDAY(D42,N42,1),1,1)))+SUMIFS(Holieday[Friday],Holieday[date],CONCATENATE("&gt;","=",D42),Holieday[date],CONCATENATE("&lt;","=",J_SUBDAY(J_ADDDAY(D42,N42,1),1,1))))=0,J_SUBDAY(J_ADDDAY(D42,N42,1),1,1),IF((N42-NETWORKDAYS.INTL(J_GregorianDate(D42,1),J_GregorianDate(J_SUBDAY(J_ADDDAY(D42,N42,1),1,1),1),16,1)-SUMIFS(Holieday[ok],Holieday[date],CONCATENATE("&gt;","=",D42),Holieday[date],CONCATENATE("&lt;","=",J_SUBDAY(J_ADDDAY(D42,N42,1),1,1)))+SUMIFS(Holieday[Friday],Holieday[date],CONCATENATE("&gt;","=",D42),Holieday[date],CONCATENATE("&lt;","=",J_SUBDAY(J_ADDDAY(D42,N42,1),1,1))))=1,J_SUBDAY(J_ADDDAY(D42,N42+1,1),1,1),IF((N42-NETWORKDAYS.INTL(J_GregorianDate(D42,1),J_GregorianDate(J_SUBDAY(J_ADDDAY(D42,N42,1),1,1),1),16,1)-SUMIFS(Holieday[ok],Holieday[date],CONCATENATE("&gt;","=",D42),Holieday[date],CONCATENATE("&lt;","=",J_SUBDAY(J_ADDDAY(D42,N42,1),1,1)))+SUMIFS(Holieday[Friday],Holieday[date],CONCATENATE("&gt;","=",D42),Holieday[date],CONCATENATE("&lt;","=",J_SUBDAY(J_ADDDAY(D42,N42,1),1,1))))=2,J_SUBDAY(J_ADDDAY(D42,N42+2,1),1,1),J_SUBDAY(J_ADDDAY(D42,N42+3,1),1,1)))))</f>
        <v>1398/09/09</v>
      </c>
      <c r="G42" s="2">
        <f t="shared" si="16"/>
        <v>13980909</v>
      </c>
      <c r="H42" s="109"/>
      <c r="I42" s="110">
        <v>2.8</v>
      </c>
      <c r="J42" s="9">
        <f>j_WEEKDAY(D42,2)</f>
        <v>1</v>
      </c>
      <c r="K42" s="21">
        <f t="shared" si="11"/>
        <v>0</v>
      </c>
      <c r="L42" s="8">
        <f t="shared" si="12"/>
        <v>0</v>
      </c>
      <c r="M42" s="111">
        <v>0</v>
      </c>
      <c r="N42" s="108">
        <v>0</v>
      </c>
      <c r="O42" s="10">
        <f t="shared" si="13"/>
        <v>0</v>
      </c>
      <c r="P42" s="10">
        <f>VALUE(J_normdate(J_ADDDAY($D42,$O42,1)))</f>
        <v>13980910</v>
      </c>
      <c r="Q42" s="9">
        <f t="shared" si="14"/>
        <v>0</v>
      </c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JA42" s="112"/>
      <c r="JB42" s="112"/>
      <c r="JC42" s="112"/>
      <c r="JD42" s="66">
        <f>SUM((TEXT(JA42,"[M]")/60)*'Income Person-hours'!$D$3,(TEXT(JB42,"[M]")/60)*'Income Person-hours'!$D$4,(TEXT(JC42,"[M]")/60)*'Income Person-hours'!$D$5)</f>
        <v>0</v>
      </c>
    </row>
    <row r="43" spans="1:264" s="11" customFormat="1" ht="11.25" hidden="1">
      <c r="A43" s="30">
        <v>2.13</v>
      </c>
      <c r="B43" s="207"/>
      <c r="C43" s="107"/>
      <c r="D43" s="7" t="str">
        <f>IF(OR(j_WEEKDAY(J_ADDDAY(VLOOKUP(I43,A:F,6,FALSE),H43,1),0)=6,SUMIFS(Holieday[ok],Holieday[date],J_ADDDAY(VLOOKUP(I43,A:F,6,FALSE),H43,1)))=FALSE(),J_ADDDAY(VLOOKUP(I43,A:F,6,FALSE),H43,1),IF(OR(j_WEEKDAY(J_ADDDAY(VLOOKUP(I43,A:F,6,FALSE),H43+1,1),0)=6,SUMIFS(Holieday[ok],Holieday[date],J_ADDDAY(VLOOKUP(I43,A:F,6,FALSE),H43+1,1)))=FALSE(),J_ADDDAY(VLOOKUP(I43,A:F,6,FALSE),H43+1,1),IF(OR(j_WEEKDAY(J_ADDDAY(VLOOKUP(I43,A:F,6,FALSE),H43+2,1),0)=6,SUMIFS(Holieday[ok],Holieday[date],J_ADDDAY(VLOOKUP(I43,A:F,6,FALSE),H43+2,1)))=FALSE(),J_ADDDAY(VLOOKUP(I43,A:F,6,FALSE),H43+2,1),IF(OR(j_WEEKDAY(J_ADDDAY(VLOOKUP(I43,A:F,6,FALSE),H43+3,1),0)=6,SUMIFS(Holieday[ok],Holieday[date],J_ADDDAY(VLOOKUP(I43,A:F,6,FALSE),H43+3,1)))=FALSE(),J_ADDDAY(VLOOKUP(I43,A:F,6,FALSE),H43+3,1),IF(OR(j_WEEKDAY(J_ADDDAY(VLOOKUP(I43,A:F,6,FALSE),H43+4,1),0)=6,SUMIFS(Holieday[ok],Holieday[date],J_ADDDAY(VLOOKUP(I43,A:F,6,FALSE),H43+4,1)))=FALSE(),J_ADDDAY(VLOOKUP(I43,A:F,6,FALSE),H43+4,1),J_ADDDAY(VLOOKUP(I43,A:F,6,FALSE),H43+5,1))))))</f>
        <v>1398/09/10</v>
      </c>
      <c r="E43" s="1">
        <f t="shared" si="15"/>
        <v>13980910</v>
      </c>
      <c r="F43" s="12" t="str">
        <f>IF(N43=0,J_SUBDAY(D43,1,1),IF((N43-NETWORKDAYS.INTL(J_GregorianDate(D43,1),J_GregorianDate(J_SUBDAY(J_ADDDAY(D43,N43,1),1,1),1),16,1)-SUMIFS(Holieday[ok],Holieday[date],CONCATENATE("&gt;","=",D43),Holieday[date],CONCATENATE("&lt;","=",J_SUBDAY(J_ADDDAY(D43,N43,1),1,1)))+SUMIFS(Holieday[Friday],Holieday[date],CONCATENATE("&gt;","=",D43),Holieday[date],CONCATENATE("&lt;","=",J_SUBDAY(J_ADDDAY(D43,N43,1),1,1))))=0,J_SUBDAY(J_ADDDAY(D43,N43,1),1,1),IF((N43-NETWORKDAYS.INTL(J_GregorianDate(D43,1),J_GregorianDate(J_SUBDAY(J_ADDDAY(D43,N43,1),1,1),1),16,1)-SUMIFS(Holieday[ok],Holieday[date],CONCATENATE("&gt;","=",D43),Holieday[date],CONCATENATE("&lt;","=",J_SUBDAY(J_ADDDAY(D43,N43,1),1,1)))+SUMIFS(Holieday[Friday],Holieday[date],CONCATENATE("&gt;","=",D43),Holieday[date],CONCATENATE("&lt;","=",J_SUBDAY(J_ADDDAY(D43,N43,1),1,1))))=1,J_SUBDAY(J_ADDDAY(D43,N43+1,1),1,1),IF((N43-NETWORKDAYS.INTL(J_GregorianDate(D43,1),J_GregorianDate(J_SUBDAY(J_ADDDAY(D43,N43,1),1,1),1),16,1)-SUMIFS(Holieday[ok],Holieday[date],CONCATENATE("&gt;","=",D43),Holieday[date],CONCATENATE("&lt;","=",J_SUBDAY(J_ADDDAY(D43,N43,1),1,1)))+SUMIFS(Holieday[Friday],Holieday[date],CONCATENATE("&gt;","=",D43),Holieday[date],CONCATENATE("&lt;","=",J_SUBDAY(J_ADDDAY(D43,N43,1),1,1))))=2,J_SUBDAY(J_ADDDAY(D43,N43+2,1),1,1),J_SUBDAY(J_ADDDAY(D43,N43+3,1),1,1)))))</f>
        <v>1398/09/09</v>
      </c>
      <c r="G43" s="2">
        <f t="shared" si="16"/>
        <v>13980909</v>
      </c>
      <c r="H43" s="109"/>
      <c r="I43" s="110">
        <v>2.8</v>
      </c>
      <c r="J43" s="9">
        <f>j_WEEKDAY(D43,2)</f>
        <v>1</v>
      </c>
      <c r="K43" s="21">
        <f t="shared" si="11"/>
        <v>0</v>
      </c>
      <c r="L43" s="8">
        <f t="shared" si="12"/>
        <v>0</v>
      </c>
      <c r="M43" s="111">
        <v>0</v>
      </c>
      <c r="N43" s="108">
        <v>0</v>
      </c>
      <c r="O43" s="10">
        <f t="shared" si="13"/>
        <v>0</v>
      </c>
      <c r="P43" s="10">
        <f>VALUE(J_normdate(J_ADDDAY($D43,$O43,1)))</f>
        <v>13980910</v>
      </c>
      <c r="Q43" s="9">
        <f t="shared" si="14"/>
        <v>0</v>
      </c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JA43" s="200"/>
      <c r="JB43" s="200"/>
      <c r="JC43" s="201"/>
      <c r="JD43" s="66">
        <f>SUM((TEXT(JA43,"[M]")/60)*'Income Person-hours'!$D$3,(TEXT(JB43,"[M]")/60)*'Income Person-hours'!$D$4,(TEXT(JC43,"[M]")/60)*'Income Person-hours'!$D$5)</f>
        <v>0</v>
      </c>
    </row>
    <row r="44" spans="1:264" s="11" customFormat="1" ht="11.25" hidden="1">
      <c r="A44" s="30">
        <v>2.14</v>
      </c>
      <c r="B44" s="207"/>
      <c r="C44" s="107"/>
      <c r="D44" s="41" t="str">
        <f>IF(OR(j_WEEKDAY(J_ADDDAY(VLOOKUP(I44,A:F,6,FALSE),H44,1),0)=6,SUMIFS(Holieday[ok],Holieday[date],J_ADDDAY(VLOOKUP(I44,A:F,6,FALSE),H44,1)))=FALSE(),J_ADDDAY(VLOOKUP(I44,A:F,6,FALSE),H44,1),IF(OR(j_WEEKDAY(J_ADDDAY(VLOOKUP(I44,A:F,6,FALSE),H44+1,1),0)=6,SUMIFS(Holieday[ok],Holieday[date],J_ADDDAY(VLOOKUP(I44,A:F,6,FALSE),H44+1,1)))=FALSE(),J_ADDDAY(VLOOKUP(I44,A:F,6,FALSE),H44+1,1),IF(OR(j_WEEKDAY(J_ADDDAY(VLOOKUP(I44,A:F,6,FALSE),H44+2,1),0)=6,SUMIFS(Holieday[ok],Holieday[date],J_ADDDAY(VLOOKUP(I44,A:F,6,FALSE),H44+2,1)))=FALSE(),J_ADDDAY(VLOOKUP(I44,A:F,6,FALSE),H44+2,1),IF(OR(j_WEEKDAY(J_ADDDAY(VLOOKUP(I44,A:F,6,FALSE),H44+3,1),0)=6,SUMIFS(Holieday[ok],Holieday[date],J_ADDDAY(VLOOKUP(I44,A:F,6,FALSE),H44+3,1)))=FALSE(),J_ADDDAY(VLOOKUP(I44,A:F,6,FALSE),H44+3,1),IF(OR(j_WEEKDAY(J_ADDDAY(VLOOKUP(I44,A:F,6,FALSE),H44+4,1),0)=6,SUMIFS(Holieday[ok],Holieday[date],J_ADDDAY(VLOOKUP(I44,A:F,6,FALSE),H44+4,1)))=FALSE(),J_ADDDAY(VLOOKUP(I44,A:F,6,FALSE),H44+4,1),J_ADDDAY(VLOOKUP(I44,A:F,6,FALSE),H44+5,1))))))</f>
        <v>1398/09/10</v>
      </c>
      <c r="E44" s="1">
        <f t="shared" si="15"/>
        <v>13980910</v>
      </c>
      <c r="F44" s="9" t="str">
        <f>IF(N44=0,J_SUBDAY(D44,1,1),IF((N44-NETWORKDAYS.INTL(J_GregorianDate(D44,1),J_GregorianDate(J_SUBDAY(J_ADDDAY(D44,N44,1),1,1),1),16,1)-SUMIFS(Holieday[ok],Holieday[date],CONCATENATE("&gt;","=",D44),Holieday[date],CONCATENATE("&lt;","=",J_SUBDAY(J_ADDDAY(D44,N44,1),1,1)))+SUMIFS(Holieday[Friday],Holieday[date],CONCATENATE("&gt;","=",D44),Holieday[date],CONCATENATE("&lt;","=",J_SUBDAY(J_ADDDAY(D44,N44,1),1,1))))=0,J_SUBDAY(J_ADDDAY(D44,N44,1),1,1),IF((N44-NETWORKDAYS.INTL(J_GregorianDate(D44,1),J_GregorianDate(J_SUBDAY(J_ADDDAY(D44,N44,1),1,1),1),16,1)-SUMIFS(Holieday[ok],Holieday[date],CONCATENATE("&gt;","=",D44),Holieday[date],CONCATENATE("&lt;","=",J_SUBDAY(J_ADDDAY(D44,N44,1),1,1)))+SUMIFS(Holieday[Friday],Holieday[date],CONCATENATE("&gt;","=",D44),Holieday[date],CONCATENATE("&lt;","=",J_SUBDAY(J_ADDDAY(D44,N44,1),1,1))))=1,J_SUBDAY(J_ADDDAY(D44,N44+1,1),1,1),IF((N44-NETWORKDAYS.INTL(J_GregorianDate(D44,1),J_GregorianDate(J_SUBDAY(J_ADDDAY(D44,N44,1),1,1),1),16,1)-SUMIFS(Holieday[ok],Holieday[date],CONCATENATE("&gt;","=",D44),Holieday[date],CONCATENATE("&lt;","=",J_SUBDAY(J_ADDDAY(D44,N44,1),1,1)))+SUMIFS(Holieday[Friday],Holieday[date],CONCATENATE("&gt;","=",D44),Holieday[date],CONCATENATE("&lt;","=",J_SUBDAY(J_ADDDAY(D44,N44,1),1,1))))=2,J_SUBDAY(J_ADDDAY(D44,N44+2,1),1,1),J_SUBDAY(J_ADDDAY(D44,N44+3,1),1,1)))))</f>
        <v>1398/09/09</v>
      </c>
      <c r="G44" s="2">
        <f t="shared" si="16"/>
        <v>13980909</v>
      </c>
      <c r="H44" s="109"/>
      <c r="I44" s="110">
        <v>2.8</v>
      </c>
      <c r="J44" s="9">
        <f>j_WEEKDAY(D44,2)</f>
        <v>1</v>
      </c>
      <c r="K44" s="21">
        <f t="shared" si="11"/>
        <v>0</v>
      </c>
      <c r="L44" s="8">
        <f t="shared" si="12"/>
        <v>0</v>
      </c>
      <c r="M44" s="111">
        <v>0</v>
      </c>
      <c r="N44" s="108">
        <v>0</v>
      </c>
      <c r="O44" s="10">
        <f t="shared" si="13"/>
        <v>0</v>
      </c>
      <c r="P44" s="10">
        <f>VALUE(J_normdate(J_ADDDAY($D44,$O44,1)))</f>
        <v>13980910</v>
      </c>
      <c r="Q44" s="9">
        <f t="shared" si="14"/>
        <v>0</v>
      </c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JA44" s="200"/>
      <c r="JB44" s="200"/>
      <c r="JC44" s="201"/>
      <c r="JD44" s="66">
        <f>SUM((TEXT(JA44,"[M]")/60)*'Income Person-hours'!$D$3,(TEXT(JB44,"[M]")/60)*'Income Person-hours'!$D$4,(TEXT(JC44,"[M]")/60)*'Income Person-hours'!$D$5)</f>
        <v>0</v>
      </c>
    </row>
    <row r="45" spans="1:264" s="11" customFormat="1" ht="11.25" hidden="1">
      <c r="A45" s="30">
        <v>2.15</v>
      </c>
      <c r="B45" s="106"/>
      <c r="C45" s="107"/>
      <c r="D45" s="7" t="str">
        <f>IF(OR(j_WEEKDAY(J_ADDDAY(VLOOKUP(I45,A:F,6,FALSE),H45,1),0)=6,SUMIFS(Holieday[ok],Holieday[date],J_ADDDAY(VLOOKUP(I45,A:F,6,FALSE),H45,1)))=FALSE(),J_ADDDAY(VLOOKUP(I45,A:F,6,FALSE),H45,1),IF(OR(j_WEEKDAY(J_ADDDAY(VLOOKUP(I45,A:F,6,FALSE),H45+1,1),0)=6,SUMIFS(Holieday[ok],Holieday[date],J_ADDDAY(VLOOKUP(I45,A:F,6,FALSE),H45+1,1)))=FALSE(),J_ADDDAY(VLOOKUP(I45,A:F,6,FALSE),H45+1,1),IF(OR(j_WEEKDAY(J_ADDDAY(VLOOKUP(I45,A:F,6,FALSE),H45+2,1),0)=6,SUMIFS(Holieday[ok],Holieday[date],J_ADDDAY(VLOOKUP(I45,A:F,6,FALSE),H45+2,1)))=FALSE(),J_ADDDAY(VLOOKUP(I45,A:F,6,FALSE),H45+2,1),IF(OR(j_WEEKDAY(J_ADDDAY(VLOOKUP(I45,A:F,6,FALSE),H45+3,1),0)=6,SUMIFS(Holieday[ok],Holieday[date],J_ADDDAY(VLOOKUP(I45,A:F,6,FALSE),H45+3,1)))=FALSE(),J_ADDDAY(VLOOKUP(I45,A:F,6,FALSE),H45+3,1),IF(OR(j_WEEKDAY(J_ADDDAY(VLOOKUP(I45,A:F,6,FALSE),H45+4,1),0)=6,SUMIFS(Holieday[ok],Holieday[date],J_ADDDAY(VLOOKUP(I45,A:F,6,FALSE),H45+4,1)))=FALSE(),J_ADDDAY(VLOOKUP(I45,A:F,6,FALSE),H45+4,1),J_ADDDAY(VLOOKUP(I45,A:F,6,FALSE),H45+5,1))))))</f>
        <v>1398/09/10</v>
      </c>
      <c r="E45" s="1">
        <f t="shared" si="15"/>
        <v>13980910</v>
      </c>
      <c r="F45" s="12" t="str">
        <f>IF(N45=0,J_SUBDAY(D45,1,1),IF((N45-NETWORKDAYS.INTL(J_GregorianDate(D45,1),J_GregorianDate(J_SUBDAY(J_ADDDAY(D45,N45,1),1,1),1),16,1)-SUMIFS(Holieday[ok],Holieday[date],CONCATENATE("&gt;","=",D45),Holieday[date],CONCATENATE("&lt;","=",J_SUBDAY(J_ADDDAY(D45,N45,1),1,1)))+SUMIFS(Holieday[Friday],Holieday[date],CONCATENATE("&gt;","=",D45),Holieday[date],CONCATENATE("&lt;","=",J_SUBDAY(J_ADDDAY(D45,N45,1),1,1))))=0,J_SUBDAY(J_ADDDAY(D45,N45,1),1,1),IF((N45-NETWORKDAYS.INTL(J_GregorianDate(D45,1),J_GregorianDate(J_SUBDAY(J_ADDDAY(D45,N45,1),1,1),1),16,1)-SUMIFS(Holieday[ok],Holieday[date],CONCATENATE("&gt;","=",D45),Holieday[date],CONCATENATE("&lt;","=",J_SUBDAY(J_ADDDAY(D45,N45,1),1,1)))+SUMIFS(Holieday[Friday],Holieday[date],CONCATENATE("&gt;","=",D45),Holieday[date],CONCATENATE("&lt;","=",J_SUBDAY(J_ADDDAY(D45,N45,1),1,1))))=1,J_SUBDAY(J_ADDDAY(D45,N45+1,1),1,1),IF((N45-NETWORKDAYS.INTL(J_GregorianDate(D45,1),J_GregorianDate(J_SUBDAY(J_ADDDAY(D45,N45,1),1,1),1),16,1)-SUMIFS(Holieday[ok],Holieday[date],CONCATENATE("&gt;","=",D45),Holieday[date],CONCATENATE("&lt;","=",J_SUBDAY(J_ADDDAY(D45,N45,1),1,1)))+SUMIFS(Holieday[Friday],Holieday[date],CONCATENATE("&gt;","=",D45),Holieday[date],CONCATENATE("&lt;","=",J_SUBDAY(J_ADDDAY(D45,N45,1),1,1))))=2,J_SUBDAY(J_ADDDAY(D45,N45+2,1),1,1),J_SUBDAY(J_ADDDAY(D45,N45+3,1),1,1)))))</f>
        <v>1398/09/09</v>
      </c>
      <c r="G45" s="2">
        <f t="shared" si="16"/>
        <v>13980909</v>
      </c>
      <c r="H45" s="109"/>
      <c r="I45" s="110">
        <v>2.8</v>
      </c>
      <c r="J45" s="9">
        <f>j_WEEKDAY(D45,2)</f>
        <v>1</v>
      </c>
      <c r="K45" s="21">
        <f t="shared" si="11"/>
        <v>0</v>
      </c>
      <c r="L45" s="8">
        <f t="shared" si="12"/>
        <v>0</v>
      </c>
      <c r="M45" s="111">
        <v>1</v>
      </c>
      <c r="N45" s="108">
        <v>0</v>
      </c>
      <c r="O45" s="10">
        <f t="shared" si="13"/>
        <v>0</v>
      </c>
      <c r="P45" s="10">
        <f>VALUE(J_normdate(J_ADDDAY($D45,$O45,1)))</f>
        <v>13980910</v>
      </c>
      <c r="Q45" s="9">
        <f t="shared" si="14"/>
        <v>0</v>
      </c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JA45" s="113"/>
      <c r="JB45" s="113"/>
      <c r="JC45" s="113"/>
      <c r="JD45" s="66">
        <f>SUM((TEXT(JA45,"[M]")/60)*'Income Person-hours'!$D$3,(TEXT(JB45,"[M]")/60)*'Income Person-hours'!$D$4,(TEXT(JC45,"[M]")/60)*'Income Person-hours'!$D$5)</f>
        <v>0</v>
      </c>
    </row>
    <row r="46" spans="1:264" s="11" customFormat="1" ht="11.25" hidden="1">
      <c r="A46" s="30">
        <v>2.16</v>
      </c>
      <c r="B46" s="106"/>
      <c r="C46" s="107"/>
      <c r="D46" s="7" t="str">
        <f>IF(OR(j_WEEKDAY(J_ADDDAY(VLOOKUP(I46,A:F,6,FALSE),H46,1),0)=6,SUMIFS(Holieday[ok],Holieday[date],J_ADDDAY(VLOOKUP(I46,A:F,6,FALSE),H46,1)))=FALSE(),J_ADDDAY(VLOOKUP(I46,A:F,6,FALSE),H46,1),IF(OR(j_WEEKDAY(J_ADDDAY(VLOOKUP(I46,A:F,6,FALSE),H46+1,1),0)=6,SUMIFS(Holieday[ok],Holieday[date],J_ADDDAY(VLOOKUP(I46,A:F,6,FALSE),H46+1,1)))=FALSE(),J_ADDDAY(VLOOKUP(I46,A:F,6,FALSE),H46+1,1),IF(OR(j_WEEKDAY(J_ADDDAY(VLOOKUP(I46,A:F,6,FALSE),H46+2,1),0)=6,SUMIFS(Holieday[ok],Holieday[date],J_ADDDAY(VLOOKUP(I46,A:F,6,FALSE),H46+2,1)))=FALSE(),J_ADDDAY(VLOOKUP(I46,A:F,6,FALSE),H46+2,1),IF(OR(j_WEEKDAY(J_ADDDAY(VLOOKUP(I46,A:F,6,FALSE),H46+3,1),0)=6,SUMIFS(Holieday[ok],Holieday[date],J_ADDDAY(VLOOKUP(I46,A:F,6,FALSE),H46+3,1)))=FALSE(),J_ADDDAY(VLOOKUP(I46,A:F,6,FALSE),H46+3,1),IF(OR(j_WEEKDAY(J_ADDDAY(VLOOKUP(I46,A:F,6,FALSE),H46+4,1),0)=6,SUMIFS(Holieday[ok],Holieday[date],J_ADDDAY(VLOOKUP(I46,A:F,6,FALSE),H46+4,1)))=FALSE(),J_ADDDAY(VLOOKUP(I46,A:F,6,FALSE),H46+4,1),J_ADDDAY(VLOOKUP(I46,A:F,6,FALSE),H46+5,1))))))</f>
        <v>1398/09/10</v>
      </c>
      <c r="E46" s="1">
        <f t="shared" si="15"/>
        <v>13980910</v>
      </c>
      <c r="F46" s="12" t="str">
        <f>IF(N46=0,J_SUBDAY(D46,1,1),IF((N46-NETWORKDAYS.INTL(J_GregorianDate(D46,1),J_GregorianDate(J_SUBDAY(J_ADDDAY(D46,N46,1),1,1),1),16,1)-SUMIFS(Holieday[ok],Holieday[date],CONCATENATE("&gt;","=",D46),Holieday[date],CONCATENATE("&lt;","=",J_SUBDAY(J_ADDDAY(D46,N46,1),1,1)))+SUMIFS(Holieday[Friday],Holieday[date],CONCATENATE("&gt;","=",D46),Holieday[date],CONCATENATE("&lt;","=",J_SUBDAY(J_ADDDAY(D46,N46,1),1,1))))=0,J_SUBDAY(J_ADDDAY(D46,N46,1),1,1),IF((N46-NETWORKDAYS.INTL(J_GregorianDate(D46,1),J_GregorianDate(J_SUBDAY(J_ADDDAY(D46,N46,1),1,1),1),16,1)-SUMIFS(Holieday[ok],Holieday[date],CONCATENATE("&gt;","=",D46),Holieday[date],CONCATENATE("&lt;","=",J_SUBDAY(J_ADDDAY(D46,N46,1),1,1)))+SUMIFS(Holieday[Friday],Holieday[date],CONCATENATE("&gt;","=",D46),Holieday[date],CONCATENATE("&lt;","=",J_SUBDAY(J_ADDDAY(D46,N46,1),1,1))))=1,J_SUBDAY(J_ADDDAY(D46,N46+1,1),1,1),IF((N46-NETWORKDAYS.INTL(J_GregorianDate(D46,1),J_GregorianDate(J_SUBDAY(J_ADDDAY(D46,N46,1),1,1),1),16,1)-SUMIFS(Holieday[ok],Holieday[date],CONCATENATE("&gt;","=",D46),Holieday[date],CONCATENATE("&lt;","=",J_SUBDAY(J_ADDDAY(D46,N46,1),1,1)))+SUMIFS(Holieday[Friday],Holieday[date],CONCATENATE("&gt;","=",D46),Holieday[date],CONCATENATE("&lt;","=",J_SUBDAY(J_ADDDAY(D46,N46,1),1,1))))=2,J_SUBDAY(J_ADDDAY(D46,N46+2,1),1,1),J_SUBDAY(J_ADDDAY(D46,N46+3,1),1,1)))))</f>
        <v>1398/09/09</v>
      </c>
      <c r="G46" s="2">
        <f t="shared" si="16"/>
        <v>13980909</v>
      </c>
      <c r="H46" s="109"/>
      <c r="I46" s="110">
        <v>2.8</v>
      </c>
      <c r="J46" s="9">
        <f>j_WEEKDAY(D46,2)</f>
        <v>1</v>
      </c>
      <c r="K46" s="21">
        <f t="shared" si="11"/>
        <v>0</v>
      </c>
      <c r="L46" s="8">
        <f t="shared" si="12"/>
        <v>0</v>
      </c>
      <c r="M46" s="111">
        <v>1</v>
      </c>
      <c r="N46" s="108">
        <v>0</v>
      </c>
      <c r="O46" s="10">
        <f t="shared" si="13"/>
        <v>0</v>
      </c>
      <c r="P46" s="10">
        <f>VALUE(J_normdate(J_ADDDAY($D46,$O46,1)))</f>
        <v>13980910</v>
      </c>
      <c r="Q46" s="9">
        <f t="shared" si="14"/>
        <v>0</v>
      </c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JA46" s="113"/>
      <c r="JB46" s="113"/>
      <c r="JC46" s="113"/>
      <c r="JD46" s="66">
        <f>SUM((TEXT(JA46,"[M]")/60)*'Income Person-hours'!$D$3,(TEXT(JB46,"[M]")/60)*'Income Person-hours'!$D$4,(TEXT(JC46,"[M]")/60)*'Income Person-hours'!$D$5)</f>
        <v>0</v>
      </c>
    </row>
    <row r="47" spans="1:264" s="11" customFormat="1" ht="11.25" hidden="1">
      <c r="A47" s="30">
        <v>2.17</v>
      </c>
      <c r="B47" s="106"/>
      <c r="C47" s="107"/>
      <c r="D47" s="7" t="str">
        <f>IF(OR(j_WEEKDAY(J_ADDDAY(VLOOKUP(I47,A:F,6,FALSE),H47,1),0)=6,SUMIFS(Holieday[ok],Holieday[date],J_ADDDAY(VLOOKUP(I47,A:F,6,FALSE),H47,1)))=FALSE(),J_ADDDAY(VLOOKUP(I47,A:F,6,FALSE),H47,1),IF(OR(j_WEEKDAY(J_ADDDAY(VLOOKUP(I47,A:F,6,FALSE),H47+1,1),0)=6,SUMIFS(Holieday[ok],Holieday[date],J_ADDDAY(VLOOKUP(I47,A:F,6,FALSE),H47+1,1)))=FALSE(),J_ADDDAY(VLOOKUP(I47,A:F,6,FALSE),H47+1,1),IF(OR(j_WEEKDAY(J_ADDDAY(VLOOKUP(I47,A:F,6,FALSE),H47+2,1),0)=6,SUMIFS(Holieday[ok],Holieday[date],J_ADDDAY(VLOOKUP(I47,A:F,6,FALSE),H47+2,1)))=FALSE(),J_ADDDAY(VLOOKUP(I47,A:F,6,FALSE),H47+2,1),IF(OR(j_WEEKDAY(J_ADDDAY(VLOOKUP(I47,A:F,6,FALSE),H47+3,1),0)=6,SUMIFS(Holieday[ok],Holieday[date],J_ADDDAY(VLOOKUP(I47,A:F,6,FALSE),H47+3,1)))=FALSE(),J_ADDDAY(VLOOKUP(I47,A:F,6,FALSE),H47+3,1),IF(OR(j_WEEKDAY(J_ADDDAY(VLOOKUP(I47,A:F,6,FALSE),H47+4,1),0)=6,SUMIFS(Holieday[ok],Holieday[date],J_ADDDAY(VLOOKUP(I47,A:F,6,FALSE),H47+4,1)))=FALSE(),J_ADDDAY(VLOOKUP(I47,A:F,6,FALSE),H47+4,1),J_ADDDAY(VLOOKUP(I47,A:F,6,FALSE),H47+5,1))))))</f>
        <v>1398/09/10</v>
      </c>
      <c r="E47" s="1">
        <f t="shared" si="15"/>
        <v>13980910</v>
      </c>
      <c r="F47" s="12" t="str">
        <f>IF(N47=0,J_SUBDAY(D47,1,1),IF((N47-NETWORKDAYS.INTL(J_GregorianDate(D47,1),J_GregorianDate(J_SUBDAY(J_ADDDAY(D47,N47,1),1,1),1),16,1)-SUMIFS(Holieday[ok],Holieday[date],CONCATENATE("&gt;","=",D47),Holieday[date],CONCATENATE("&lt;","=",J_SUBDAY(J_ADDDAY(D47,N47,1),1,1)))+SUMIFS(Holieday[Friday],Holieday[date],CONCATENATE("&gt;","=",D47),Holieday[date],CONCATENATE("&lt;","=",J_SUBDAY(J_ADDDAY(D47,N47,1),1,1))))=0,J_SUBDAY(J_ADDDAY(D47,N47,1),1,1),IF((N47-NETWORKDAYS.INTL(J_GregorianDate(D47,1),J_GregorianDate(J_SUBDAY(J_ADDDAY(D47,N47,1),1,1),1),16,1)-SUMIFS(Holieday[ok],Holieday[date],CONCATENATE("&gt;","=",D47),Holieday[date],CONCATENATE("&lt;","=",J_SUBDAY(J_ADDDAY(D47,N47,1),1,1)))+SUMIFS(Holieday[Friday],Holieday[date],CONCATENATE("&gt;","=",D47),Holieday[date],CONCATENATE("&lt;","=",J_SUBDAY(J_ADDDAY(D47,N47,1),1,1))))=1,J_SUBDAY(J_ADDDAY(D47,N47+1,1),1,1),IF((N47-NETWORKDAYS.INTL(J_GregorianDate(D47,1),J_GregorianDate(J_SUBDAY(J_ADDDAY(D47,N47,1),1,1),1),16,1)-SUMIFS(Holieday[ok],Holieday[date],CONCATENATE("&gt;","=",D47),Holieday[date],CONCATENATE("&lt;","=",J_SUBDAY(J_ADDDAY(D47,N47,1),1,1)))+SUMIFS(Holieday[Friday],Holieday[date],CONCATENATE("&gt;","=",D47),Holieday[date],CONCATENATE("&lt;","=",J_SUBDAY(J_ADDDAY(D47,N47,1),1,1))))=2,J_SUBDAY(J_ADDDAY(D47,N47+2,1),1,1),J_SUBDAY(J_ADDDAY(D47,N47+3,1),1,1)))))</f>
        <v>1398/09/09</v>
      </c>
      <c r="G47" s="2">
        <f t="shared" si="16"/>
        <v>13980909</v>
      </c>
      <c r="H47" s="109"/>
      <c r="I47" s="110">
        <v>2.8</v>
      </c>
      <c r="J47" s="9">
        <f>j_WEEKDAY(D47,2)</f>
        <v>1</v>
      </c>
      <c r="K47" s="21">
        <f t="shared" si="11"/>
        <v>0</v>
      </c>
      <c r="L47" s="8">
        <f t="shared" si="12"/>
        <v>0</v>
      </c>
      <c r="M47" s="111">
        <v>0</v>
      </c>
      <c r="N47" s="108">
        <v>0</v>
      </c>
      <c r="O47" s="10">
        <f t="shared" si="13"/>
        <v>0</v>
      </c>
      <c r="P47" s="10">
        <f>VALUE(J_normdate(J_ADDDAY($D47,$O47,1)))</f>
        <v>13980910</v>
      </c>
      <c r="Q47" s="9">
        <f t="shared" si="14"/>
        <v>0</v>
      </c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JA47" s="113"/>
      <c r="JB47" s="113"/>
      <c r="JC47" s="113"/>
      <c r="JD47" s="66">
        <f>SUM((TEXT(JA47,"[M]")/60)*'Income Person-hours'!$D$3,(TEXT(JB47,"[M]")/60)*'Income Person-hours'!$D$4,(TEXT(JC47,"[M]")/60)*'Income Person-hours'!$D$5)</f>
        <v>0</v>
      </c>
    </row>
    <row r="48" spans="1:264" s="11" customFormat="1" ht="11.25" hidden="1">
      <c r="A48" s="30">
        <v>2.1800000000000002</v>
      </c>
      <c r="B48" s="106"/>
      <c r="C48" s="107"/>
      <c r="D48" s="7" t="str">
        <f>IF(OR(j_WEEKDAY(J_ADDDAY(VLOOKUP(I48,A:F,6,FALSE),H48,1),0)=6,SUMIFS(Holieday[ok],Holieday[date],J_ADDDAY(VLOOKUP(I48,A:F,6,FALSE),H48,1)))=FALSE(),J_ADDDAY(VLOOKUP(I48,A:F,6,FALSE),H48,1),IF(OR(j_WEEKDAY(J_ADDDAY(VLOOKUP(I48,A:F,6,FALSE),H48+1,1),0)=6,SUMIFS(Holieday[ok],Holieday[date],J_ADDDAY(VLOOKUP(I48,A:F,6,FALSE),H48+1,1)))=FALSE(),J_ADDDAY(VLOOKUP(I48,A:F,6,FALSE),H48+1,1),IF(OR(j_WEEKDAY(J_ADDDAY(VLOOKUP(I48,A:F,6,FALSE),H48+2,1),0)=6,SUMIFS(Holieday[ok],Holieday[date],J_ADDDAY(VLOOKUP(I48,A:F,6,FALSE),H48+2,1)))=FALSE(),J_ADDDAY(VLOOKUP(I48,A:F,6,FALSE),H48+2,1),IF(OR(j_WEEKDAY(J_ADDDAY(VLOOKUP(I48,A:F,6,FALSE),H48+3,1),0)=6,SUMIFS(Holieday[ok],Holieday[date],J_ADDDAY(VLOOKUP(I48,A:F,6,FALSE),H48+3,1)))=FALSE(),J_ADDDAY(VLOOKUP(I48,A:F,6,FALSE),H48+3,1),IF(OR(j_WEEKDAY(J_ADDDAY(VLOOKUP(I48,A:F,6,FALSE),H48+4,1),0)=6,SUMIFS(Holieday[ok],Holieday[date],J_ADDDAY(VLOOKUP(I48,A:F,6,FALSE),H48+4,1)))=FALSE(),J_ADDDAY(VLOOKUP(I48,A:F,6,FALSE),H48+4,1),J_ADDDAY(VLOOKUP(I48,A:F,6,FALSE),H48+5,1))))))</f>
        <v>1398/09/10</v>
      </c>
      <c r="E48" s="1">
        <f t="shared" si="15"/>
        <v>13980910</v>
      </c>
      <c r="F48" s="12" t="str">
        <f>IF(N48=0,J_SUBDAY(D48,1,1),IF((N48-NETWORKDAYS.INTL(J_GregorianDate(D48,1),J_GregorianDate(J_SUBDAY(J_ADDDAY(D48,N48,1),1,1),1),16,1)-SUMIFS(Holieday[ok],Holieday[date],CONCATENATE("&gt;","=",D48),Holieday[date],CONCATENATE("&lt;","=",J_SUBDAY(J_ADDDAY(D48,N48,1),1,1)))+SUMIFS(Holieday[Friday],Holieday[date],CONCATENATE("&gt;","=",D48),Holieday[date],CONCATENATE("&lt;","=",J_SUBDAY(J_ADDDAY(D48,N48,1),1,1))))=0,J_SUBDAY(J_ADDDAY(D48,N48,1),1,1),IF((N48-NETWORKDAYS.INTL(J_GregorianDate(D48,1),J_GregorianDate(J_SUBDAY(J_ADDDAY(D48,N48,1),1,1),1),16,1)-SUMIFS(Holieday[ok],Holieday[date],CONCATENATE("&gt;","=",D48),Holieday[date],CONCATENATE("&lt;","=",J_SUBDAY(J_ADDDAY(D48,N48,1),1,1)))+SUMIFS(Holieday[Friday],Holieday[date],CONCATENATE("&gt;","=",D48),Holieday[date],CONCATENATE("&lt;","=",J_SUBDAY(J_ADDDAY(D48,N48,1),1,1))))=1,J_SUBDAY(J_ADDDAY(D48,N48+1,1),1,1),IF((N48-NETWORKDAYS.INTL(J_GregorianDate(D48,1),J_GregorianDate(J_SUBDAY(J_ADDDAY(D48,N48,1),1,1),1),16,1)-SUMIFS(Holieday[ok],Holieday[date],CONCATENATE("&gt;","=",D48),Holieday[date],CONCATENATE("&lt;","=",J_SUBDAY(J_ADDDAY(D48,N48,1),1,1)))+SUMIFS(Holieday[Friday],Holieday[date],CONCATENATE("&gt;","=",D48),Holieday[date],CONCATENATE("&lt;","=",J_SUBDAY(J_ADDDAY(D48,N48,1),1,1))))=2,J_SUBDAY(J_ADDDAY(D48,N48+2,1),1,1),J_SUBDAY(J_ADDDAY(D48,N48+3,1),1,1)))))</f>
        <v>1398/09/09</v>
      </c>
      <c r="G48" s="2">
        <f t="shared" si="16"/>
        <v>13980909</v>
      </c>
      <c r="H48" s="109"/>
      <c r="I48" s="110">
        <v>2.8</v>
      </c>
      <c r="J48" s="9">
        <f>j_WEEKDAY(D48,2)</f>
        <v>1</v>
      </c>
      <c r="K48" s="21">
        <f t="shared" si="11"/>
        <v>0</v>
      </c>
      <c r="L48" s="8">
        <f t="shared" si="12"/>
        <v>0</v>
      </c>
      <c r="M48" s="111">
        <v>0</v>
      </c>
      <c r="N48" s="108">
        <v>0</v>
      </c>
      <c r="O48" s="10">
        <f t="shared" si="13"/>
        <v>0</v>
      </c>
      <c r="P48" s="10">
        <f>VALUE(J_normdate(J_ADDDAY($D48,$O48,1)))</f>
        <v>13980910</v>
      </c>
      <c r="Q48" s="9">
        <f t="shared" si="14"/>
        <v>0</v>
      </c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JA48" s="113"/>
      <c r="JB48" s="113"/>
      <c r="JC48" s="113"/>
      <c r="JD48" s="66">
        <f>SUM((TEXT(JA48,"[M]")/60)*'Income Person-hours'!$D$3,(TEXT(JB48,"[M]")/60)*'Income Person-hours'!$D$4,(TEXT(JC48,"[M]")/60)*'Income Person-hours'!$D$5)</f>
        <v>0</v>
      </c>
    </row>
    <row r="49" spans="1:16384" s="11" customFormat="1" ht="11.25" hidden="1">
      <c r="A49" s="30">
        <v>2.19</v>
      </c>
      <c r="B49" s="106"/>
      <c r="C49" s="107"/>
      <c r="D49" s="7" t="str">
        <f>IF(OR(j_WEEKDAY(J_ADDDAY(VLOOKUP(I49,A:F,6,FALSE),H49,1),0)=6,SUMIFS(Holieday[ok],Holieday[date],J_ADDDAY(VLOOKUP(I49,A:F,6,FALSE),H49,1)))=FALSE(),J_ADDDAY(VLOOKUP(I49,A:F,6,FALSE),H49,1),IF(OR(j_WEEKDAY(J_ADDDAY(VLOOKUP(I49,A:F,6,FALSE),H49+1,1),0)=6,SUMIFS(Holieday[ok],Holieday[date],J_ADDDAY(VLOOKUP(I49,A:F,6,FALSE),H49+1,1)))=FALSE(),J_ADDDAY(VLOOKUP(I49,A:F,6,FALSE),H49+1,1),IF(OR(j_WEEKDAY(J_ADDDAY(VLOOKUP(I49,A:F,6,FALSE),H49+2,1),0)=6,SUMIFS(Holieday[ok],Holieday[date],J_ADDDAY(VLOOKUP(I49,A:F,6,FALSE),H49+2,1)))=FALSE(),J_ADDDAY(VLOOKUP(I49,A:F,6,FALSE),H49+2,1),IF(OR(j_WEEKDAY(J_ADDDAY(VLOOKUP(I49,A:F,6,FALSE),H49+3,1),0)=6,SUMIFS(Holieday[ok],Holieday[date],J_ADDDAY(VLOOKUP(I49,A:F,6,FALSE),H49+3,1)))=FALSE(),J_ADDDAY(VLOOKUP(I49,A:F,6,FALSE),H49+3,1),IF(OR(j_WEEKDAY(J_ADDDAY(VLOOKUP(I49,A:F,6,FALSE),H49+4,1),0)=6,SUMIFS(Holieday[ok],Holieday[date],J_ADDDAY(VLOOKUP(I49,A:F,6,FALSE),H49+4,1)))=FALSE(),J_ADDDAY(VLOOKUP(I49,A:F,6,FALSE),H49+4,1),J_ADDDAY(VLOOKUP(I49,A:F,6,FALSE),H49+5,1))))))</f>
        <v>1398/09/10</v>
      </c>
      <c r="E49" s="1">
        <f t="shared" si="15"/>
        <v>13980910</v>
      </c>
      <c r="F49" s="12" t="str">
        <f>IF(N49=0,J_SUBDAY(D49,1,1),IF((N49-NETWORKDAYS.INTL(J_GregorianDate(D49,1),J_GregorianDate(J_SUBDAY(J_ADDDAY(D49,N49,1),1,1),1),16,1)-SUMIFS(Holieday[ok],Holieday[date],CONCATENATE("&gt;","=",D49),Holieday[date],CONCATENATE("&lt;","=",J_SUBDAY(J_ADDDAY(D49,N49,1),1,1)))+SUMIFS(Holieday[Friday],Holieday[date],CONCATENATE("&gt;","=",D49),Holieday[date],CONCATENATE("&lt;","=",J_SUBDAY(J_ADDDAY(D49,N49,1),1,1))))=0,J_SUBDAY(J_ADDDAY(D49,N49,1),1,1),IF((N49-NETWORKDAYS.INTL(J_GregorianDate(D49,1),J_GregorianDate(J_SUBDAY(J_ADDDAY(D49,N49,1),1,1),1),16,1)-SUMIFS(Holieday[ok],Holieday[date],CONCATENATE("&gt;","=",D49),Holieday[date],CONCATENATE("&lt;","=",J_SUBDAY(J_ADDDAY(D49,N49,1),1,1)))+SUMIFS(Holieday[Friday],Holieday[date],CONCATENATE("&gt;","=",D49),Holieday[date],CONCATENATE("&lt;","=",J_SUBDAY(J_ADDDAY(D49,N49,1),1,1))))=1,J_SUBDAY(J_ADDDAY(D49,N49+1,1),1,1),IF((N49-NETWORKDAYS.INTL(J_GregorianDate(D49,1),J_GregorianDate(J_SUBDAY(J_ADDDAY(D49,N49,1),1,1),1),16,1)-SUMIFS(Holieday[ok],Holieday[date],CONCATENATE("&gt;","=",D49),Holieday[date],CONCATENATE("&lt;","=",J_SUBDAY(J_ADDDAY(D49,N49,1),1,1)))+SUMIFS(Holieday[Friday],Holieday[date],CONCATENATE("&gt;","=",D49),Holieday[date],CONCATENATE("&lt;","=",J_SUBDAY(J_ADDDAY(D49,N49,1),1,1))))=2,J_SUBDAY(J_ADDDAY(D49,N49+2,1),1,1),J_SUBDAY(J_ADDDAY(D49,N49+3,1),1,1)))))</f>
        <v>1398/09/09</v>
      </c>
      <c r="G49" s="2">
        <f t="shared" si="16"/>
        <v>13980909</v>
      </c>
      <c r="H49" s="109"/>
      <c r="I49" s="110">
        <v>2.8</v>
      </c>
      <c r="J49" s="9">
        <f>j_WEEKDAY(D49,2)</f>
        <v>1</v>
      </c>
      <c r="K49" s="21">
        <f t="shared" si="11"/>
        <v>0</v>
      </c>
      <c r="L49" s="8">
        <f t="shared" si="12"/>
        <v>0</v>
      </c>
      <c r="M49" s="111">
        <v>0</v>
      </c>
      <c r="N49" s="108">
        <v>0</v>
      </c>
      <c r="O49" s="10">
        <f t="shared" si="13"/>
        <v>0</v>
      </c>
      <c r="P49" s="10">
        <f>VALUE(J_normdate(J_ADDDAY($D49,$O49,1)))</f>
        <v>13980910</v>
      </c>
      <c r="Q49" s="9">
        <f t="shared" si="14"/>
        <v>0</v>
      </c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JA49" s="113"/>
      <c r="JB49" s="113"/>
      <c r="JC49" s="113"/>
      <c r="JD49" s="66">
        <f>SUM((TEXT(JA49,"[M]")/60)*'Income Person-hours'!$D$3,(TEXT(JB49,"[M]")/60)*'Income Person-hours'!$D$4,(TEXT(JC49,"[M]")/60)*'Income Person-hours'!$D$5)</f>
        <v>0</v>
      </c>
    </row>
    <row r="50" spans="1:16384" s="11" customFormat="1" ht="11.25" hidden="1">
      <c r="A50" s="5" t="s">
        <v>73</v>
      </c>
      <c r="B50" s="106"/>
      <c r="C50" s="107"/>
      <c r="D50" s="7" t="str">
        <f>IF(OR(j_WEEKDAY(J_ADDDAY(VLOOKUP(I50,A:F,6,FALSE),H50,1),0)=6,SUMIFS(Holieday[ok],Holieday[date],J_ADDDAY(VLOOKUP(I50,A:F,6,FALSE),H50,1)))=FALSE(),J_ADDDAY(VLOOKUP(I50,A:F,6,FALSE),H50,1),IF(OR(j_WEEKDAY(J_ADDDAY(VLOOKUP(I50,A:F,6,FALSE),H50+1,1),0)=6,SUMIFS(Holieday[ok],Holieday[date],J_ADDDAY(VLOOKUP(I50,A:F,6,FALSE),H50+1,1)))=FALSE(),J_ADDDAY(VLOOKUP(I50,A:F,6,FALSE),H50+1,1),IF(OR(j_WEEKDAY(J_ADDDAY(VLOOKUP(I50,A:F,6,FALSE),H50+2,1),0)=6,SUMIFS(Holieday[ok],Holieday[date],J_ADDDAY(VLOOKUP(I50,A:F,6,FALSE),H50+2,1)))=FALSE(),J_ADDDAY(VLOOKUP(I50,A:F,6,FALSE),H50+2,1),IF(OR(j_WEEKDAY(J_ADDDAY(VLOOKUP(I50,A:F,6,FALSE),H50+3,1),0)=6,SUMIFS(Holieday[ok],Holieday[date],J_ADDDAY(VLOOKUP(I50,A:F,6,FALSE),H50+3,1)))=FALSE(),J_ADDDAY(VLOOKUP(I50,A:F,6,FALSE),H50+3,1),IF(OR(j_WEEKDAY(J_ADDDAY(VLOOKUP(I50,A:F,6,FALSE),H50+4,1),0)=6,SUMIFS(Holieday[ok],Holieday[date],J_ADDDAY(VLOOKUP(I50,A:F,6,FALSE),H50+4,1)))=FALSE(),J_ADDDAY(VLOOKUP(I50,A:F,6,FALSE),H50+4,1),J_ADDDAY(VLOOKUP(I50,A:F,6,FALSE),H50+5,1))))))</f>
        <v>1398/09/10</v>
      </c>
      <c r="E50" s="1">
        <f t="shared" si="15"/>
        <v>13980910</v>
      </c>
      <c r="F50" s="12" t="str">
        <f>IF(N50=0,J_SUBDAY(D50,1,1),IF((N50-NETWORKDAYS.INTL(J_GregorianDate(D50,1),J_GregorianDate(J_SUBDAY(J_ADDDAY(D50,N50,1),1,1),1),16,1)-SUMIFS(Holieday[ok],Holieday[date],CONCATENATE("&gt;","=",D50),Holieday[date],CONCATENATE("&lt;","=",J_SUBDAY(J_ADDDAY(D50,N50,1),1,1)))+SUMIFS(Holieday[Friday],Holieday[date],CONCATENATE("&gt;","=",D50),Holieday[date],CONCATENATE("&lt;","=",J_SUBDAY(J_ADDDAY(D50,N50,1),1,1))))=0,J_SUBDAY(J_ADDDAY(D50,N50,1),1,1),IF((N50-NETWORKDAYS.INTL(J_GregorianDate(D50,1),J_GregorianDate(J_SUBDAY(J_ADDDAY(D50,N50,1),1,1),1),16,1)-SUMIFS(Holieday[ok],Holieday[date],CONCATENATE("&gt;","=",D50),Holieday[date],CONCATENATE("&lt;","=",J_SUBDAY(J_ADDDAY(D50,N50,1),1,1)))+SUMIFS(Holieday[Friday],Holieday[date],CONCATENATE("&gt;","=",D50),Holieday[date],CONCATENATE("&lt;","=",J_SUBDAY(J_ADDDAY(D50,N50,1),1,1))))=1,J_SUBDAY(J_ADDDAY(D50,N50+1,1),1,1),IF((N50-NETWORKDAYS.INTL(J_GregorianDate(D50,1),J_GregorianDate(J_SUBDAY(J_ADDDAY(D50,N50,1),1,1),1),16,1)-SUMIFS(Holieday[ok],Holieday[date],CONCATENATE("&gt;","=",D50),Holieday[date],CONCATENATE("&lt;","=",J_SUBDAY(J_ADDDAY(D50,N50,1),1,1)))+SUMIFS(Holieday[Friday],Holieday[date],CONCATENATE("&gt;","=",D50),Holieday[date],CONCATENATE("&lt;","=",J_SUBDAY(J_ADDDAY(D50,N50,1),1,1))))=2,J_SUBDAY(J_ADDDAY(D50,N50+2,1),1,1),J_SUBDAY(J_ADDDAY(D50,N50+3,1),1,1)))))</f>
        <v>1398/09/09</v>
      </c>
      <c r="G50" s="2">
        <f t="shared" si="16"/>
        <v>13980909</v>
      </c>
      <c r="H50" s="109"/>
      <c r="I50" s="110">
        <v>2.8</v>
      </c>
      <c r="J50" s="9">
        <f>j_WEEKDAY(D50,2)</f>
        <v>1</v>
      </c>
      <c r="K50" s="21">
        <f t="shared" si="11"/>
        <v>0</v>
      </c>
      <c r="L50" s="8">
        <f t="shared" si="12"/>
        <v>0</v>
      </c>
      <c r="M50" s="111">
        <v>0</v>
      </c>
      <c r="N50" s="108">
        <v>0</v>
      </c>
      <c r="O50" s="10">
        <f t="shared" si="13"/>
        <v>0</v>
      </c>
      <c r="P50" s="10">
        <f>VALUE(J_normdate(J_ADDDAY($D50,$O50,1)))</f>
        <v>13980910</v>
      </c>
      <c r="Q50" s="9">
        <f t="shared" si="14"/>
        <v>0</v>
      </c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JA50" s="113"/>
      <c r="JB50" s="113"/>
      <c r="JC50" s="113"/>
      <c r="JD50" s="66">
        <f>SUM((TEXT(JA50,"[M]")/60)*'Income Person-hours'!$D$3,(TEXT(JB50,"[M]")/60)*'Income Person-hours'!$D$4,(TEXT(JC50,"[M]")/60)*'Income Person-hours'!$D$5)</f>
        <v>0</v>
      </c>
    </row>
    <row r="51" spans="1:16384" s="11" customFormat="1" ht="11.25" hidden="1">
      <c r="A51" s="5" t="s">
        <v>74</v>
      </c>
      <c r="B51" s="116"/>
      <c r="C51" s="107"/>
      <c r="D51" s="7" t="str">
        <f>IF(OR(j_WEEKDAY(J_ADDDAY(VLOOKUP(I51,A:F,6,FALSE),H51,1),0)=6,SUMIFS(Holieday[ok],Holieday[date],J_ADDDAY(VLOOKUP(I51,A:F,6,FALSE),H51,1)))=FALSE(),J_ADDDAY(VLOOKUP(I51,A:F,6,FALSE),H51,1),IF(OR(j_WEEKDAY(J_ADDDAY(VLOOKUP(I51,A:F,6,FALSE),H51+1,1),0)=6,SUMIFS(Holieday[ok],Holieday[date],J_ADDDAY(VLOOKUP(I51,A:F,6,FALSE),H51+1,1)))=FALSE(),J_ADDDAY(VLOOKUP(I51,A:F,6,FALSE),H51+1,1),IF(OR(j_WEEKDAY(J_ADDDAY(VLOOKUP(I51,A:F,6,FALSE),H51+2,1),0)=6,SUMIFS(Holieday[ok],Holieday[date],J_ADDDAY(VLOOKUP(I51,A:F,6,FALSE),H51+2,1)))=FALSE(),J_ADDDAY(VLOOKUP(I51,A:F,6,FALSE),H51+2,1),IF(OR(j_WEEKDAY(J_ADDDAY(VLOOKUP(I51,A:F,6,FALSE),H51+3,1),0)=6,SUMIFS(Holieday[ok],Holieday[date],J_ADDDAY(VLOOKUP(I51,A:F,6,FALSE),H51+3,1)))=FALSE(),J_ADDDAY(VLOOKUP(I51,A:F,6,FALSE),H51+3,1),IF(OR(j_WEEKDAY(J_ADDDAY(VLOOKUP(I51,A:F,6,FALSE),H51+4,1),0)=6,SUMIFS(Holieday[ok],Holieday[date],J_ADDDAY(VLOOKUP(I51,A:F,6,FALSE),H51+4,1)))=FALSE(),J_ADDDAY(VLOOKUP(I51,A:F,6,FALSE),H51+4,1),J_ADDDAY(VLOOKUP(I51,A:F,6,FALSE),H51+5,1))))))</f>
        <v>1398/09/10</v>
      </c>
      <c r="E51" s="1">
        <f t="shared" si="15"/>
        <v>13980910</v>
      </c>
      <c r="F51" s="12" t="str">
        <f>IF(N51=0,J_SUBDAY(D51,1,1),IF((N51-NETWORKDAYS.INTL(J_GregorianDate(D51,1),J_GregorianDate(J_SUBDAY(J_ADDDAY(D51,N51,1),1,1),1),16,1)-SUMIFS(Holieday[ok],Holieday[date],CONCATENATE("&gt;","=",D51),Holieday[date],CONCATENATE("&lt;","=",J_SUBDAY(J_ADDDAY(D51,N51,1),1,1)))+SUMIFS(Holieday[Friday],Holieday[date],CONCATENATE("&gt;","=",D51),Holieday[date],CONCATENATE("&lt;","=",J_SUBDAY(J_ADDDAY(D51,N51,1),1,1))))=0,J_SUBDAY(J_ADDDAY(D51,N51,1),1,1),IF((N51-NETWORKDAYS.INTL(J_GregorianDate(D51,1),J_GregorianDate(J_SUBDAY(J_ADDDAY(D51,N51,1),1,1),1),16,1)-SUMIFS(Holieday[ok],Holieday[date],CONCATENATE("&gt;","=",D51),Holieday[date],CONCATENATE("&lt;","=",J_SUBDAY(J_ADDDAY(D51,N51,1),1,1)))+SUMIFS(Holieday[Friday],Holieday[date],CONCATENATE("&gt;","=",D51),Holieday[date],CONCATENATE("&lt;","=",J_SUBDAY(J_ADDDAY(D51,N51,1),1,1))))=1,J_SUBDAY(J_ADDDAY(D51,N51+1,1),1,1),IF((N51-NETWORKDAYS.INTL(J_GregorianDate(D51,1),J_GregorianDate(J_SUBDAY(J_ADDDAY(D51,N51,1),1,1),1),16,1)-SUMIFS(Holieday[ok],Holieday[date],CONCATENATE("&gt;","=",D51),Holieday[date],CONCATENATE("&lt;","=",J_SUBDAY(J_ADDDAY(D51,N51,1),1,1)))+SUMIFS(Holieday[Friday],Holieday[date],CONCATENATE("&gt;","=",D51),Holieday[date],CONCATENATE("&lt;","=",J_SUBDAY(J_ADDDAY(D51,N51,1),1,1))))=2,J_SUBDAY(J_ADDDAY(D51,N51+2,1),1,1),J_SUBDAY(J_ADDDAY(D51,N51+3,1),1,1)))))</f>
        <v>1398/09/09</v>
      </c>
      <c r="G51" s="2">
        <f t="shared" si="16"/>
        <v>13980909</v>
      </c>
      <c r="H51" s="109"/>
      <c r="I51" s="110">
        <v>2.8</v>
      </c>
      <c r="J51" s="9">
        <f>j_WEEKDAY(D51,2)</f>
        <v>1</v>
      </c>
      <c r="K51" s="21">
        <f t="shared" si="11"/>
        <v>0</v>
      </c>
      <c r="L51" s="8">
        <f t="shared" si="12"/>
        <v>0</v>
      </c>
      <c r="M51" s="111">
        <v>0</v>
      </c>
      <c r="N51" s="108">
        <v>0</v>
      </c>
      <c r="O51" s="10">
        <f t="shared" si="13"/>
        <v>0</v>
      </c>
      <c r="P51" s="10">
        <f>VALUE(J_normdate(J_ADDDAY($D51,$O51,1)))</f>
        <v>13980910</v>
      </c>
      <c r="Q51" s="9">
        <f t="shared" si="14"/>
        <v>0</v>
      </c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JA51" s="113"/>
      <c r="JB51" s="113"/>
      <c r="JC51" s="113"/>
      <c r="JD51" s="66">
        <f>SUM((TEXT(JA51,"[M]")/60)*'Income Person-hours'!$D$3,(TEXT(JB51,"[M]")/60)*'Income Person-hours'!$D$4,(TEXT(JC51,"[M]")/60)*'Income Person-hours'!$D$5)</f>
        <v>0</v>
      </c>
    </row>
    <row r="52" spans="1:16384" s="11" customFormat="1" ht="11.25" hidden="1">
      <c r="A52" s="5" t="s">
        <v>75</v>
      </c>
      <c r="B52" s="116"/>
      <c r="C52" s="107"/>
      <c r="D52" s="7" t="str">
        <f>IF(OR(j_WEEKDAY(J_ADDDAY(VLOOKUP(I52,A:F,6,FALSE),H52,1),0)=6,SUMIFS(Holieday[ok],Holieday[date],J_ADDDAY(VLOOKUP(I52,A:F,6,FALSE),H52,1)))=FALSE(),J_ADDDAY(VLOOKUP(I52,A:F,6,FALSE),H52,1),IF(OR(j_WEEKDAY(J_ADDDAY(VLOOKUP(I52,A:F,6,FALSE),H52+1,1),0)=6,SUMIFS(Holieday[ok],Holieday[date],J_ADDDAY(VLOOKUP(I52,A:F,6,FALSE),H52+1,1)))=FALSE(),J_ADDDAY(VLOOKUP(I52,A:F,6,FALSE),H52+1,1),IF(OR(j_WEEKDAY(J_ADDDAY(VLOOKUP(I52,A:F,6,FALSE),H52+2,1),0)=6,SUMIFS(Holieday[ok],Holieday[date],J_ADDDAY(VLOOKUP(I52,A:F,6,FALSE),H52+2,1)))=FALSE(),J_ADDDAY(VLOOKUP(I52,A:F,6,FALSE),H52+2,1),IF(OR(j_WEEKDAY(J_ADDDAY(VLOOKUP(I52,A:F,6,FALSE),H52+3,1),0)=6,SUMIFS(Holieday[ok],Holieday[date],J_ADDDAY(VLOOKUP(I52,A:F,6,FALSE),H52+3,1)))=FALSE(),J_ADDDAY(VLOOKUP(I52,A:F,6,FALSE),H52+3,1),IF(OR(j_WEEKDAY(J_ADDDAY(VLOOKUP(I52,A:F,6,FALSE),H52+4,1),0)=6,SUMIFS(Holieday[ok],Holieday[date],J_ADDDAY(VLOOKUP(I52,A:F,6,FALSE),H52+4,1)))=FALSE(),J_ADDDAY(VLOOKUP(I52,A:F,6,FALSE),H52+4,1),J_ADDDAY(VLOOKUP(I52,A:F,6,FALSE),H52+5,1))))))</f>
        <v>1398/09/10</v>
      </c>
      <c r="E52" s="1">
        <f t="shared" si="15"/>
        <v>13980910</v>
      </c>
      <c r="F52" s="12" t="str">
        <f>IF(N52=0,J_SUBDAY(D52,1,1),IF((N52-NETWORKDAYS.INTL(J_GregorianDate(D52,1),J_GregorianDate(J_SUBDAY(J_ADDDAY(D52,N52,1),1,1),1),16,1)-SUMIFS(Holieday[ok],Holieday[date],CONCATENATE("&gt;","=",D52),Holieday[date],CONCATENATE("&lt;","=",J_SUBDAY(J_ADDDAY(D52,N52,1),1,1)))+SUMIFS(Holieday[Friday],Holieday[date],CONCATENATE("&gt;","=",D52),Holieday[date],CONCATENATE("&lt;","=",J_SUBDAY(J_ADDDAY(D52,N52,1),1,1))))=0,J_SUBDAY(J_ADDDAY(D52,N52,1),1,1),IF((N52-NETWORKDAYS.INTL(J_GregorianDate(D52,1),J_GregorianDate(J_SUBDAY(J_ADDDAY(D52,N52,1),1,1),1),16,1)-SUMIFS(Holieday[ok],Holieday[date],CONCATENATE("&gt;","=",D52),Holieday[date],CONCATENATE("&lt;","=",J_SUBDAY(J_ADDDAY(D52,N52,1),1,1)))+SUMIFS(Holieday[Friday],Holieday[date],CONCATENATE("&gt;","=",D52),Holieday[date],CONCATENATE("&lt;","=",J_SUBDAY(J_ADDDAY(D52,N52,1),1,1))))=1,J_SUBDAY(J_ADDDAY(D52,N52+1,1),1,1),IF((N52-NETWORKDAYS.INTL(J_GregorianDate(D52,1),J_GregorianDate(J_SUBDAY(J_ADDDAY(D52,N52,1),1,1),1),16,1)-SUMIFS(Holieday[ok],Holieday[date],CONCATENATE("&gt;","=",D52),Holieday[date],CONCATENATE("&lt;","=",J_SUBDAY(J_ADDDAY(D52,N52,1),1,1)))+SUMIFS(Holieday[Friday],Holieday[date],CONCATENATE("&gt;","=",D52),Holieday[date],CONCATENATE("&lt;","=",J_SUBDAY(J_ADDDAY(D52,N52,1),1,1))))=2,J_SUBDAY(J_ADDDAY(D52,N52+2,1),1,1),J_SUBDAY(J_ADDDAY(D52,N52+3,1),1,1)))))</f>
        <v>1398/09/09</v>
      </c>
      <c r="G52" s="2">
        <f t="shared" si="16"/>
        <v>13980909</v>
      </c>
      <c r="H52" s="109"/>
      <c r="I52" s="110">
        <v>2.8</v>
      </c>
      <c r="J52" s="9">
        <f>j_WEEKDAY(D52,2)</f>
        <v>1</v>
      </c>
      <c r="K52" s="21">
        <f t="shared" si="11"/>
        <v>0</v>
      </c>
      <c r="L52" s="8">
        <f t="shared" si="12"/>
        <v>0</v>
      </c>
      <c r="M52" s="111">
        <v>0</v>
      </c>
      <c r="N52" s="108">
        <v>0</v>
      </c>
      <c r="O52" s="10">
        <f t="shared" si="13"/>
        <v>0</v>
      </c>
      <c r="P52" s="10">
        <f>VALUE(J_normdate(J_ADDDAY($D52,$O52,1)))</f>
        <v>13980910</v>
      </c>
      <c r="Q52" s="9">
        <f t="shared" si="14"/>
        <v>0</v>
      </c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JA52" s="113"/>
      <c r="JB52" s="113"/>
      <c r="JC52" s="113"/>
      <c r="JD52" s="66">
        <f>SUM((TEXT(JA52,"[M]")/60)*'Income Person-hours'!$D$3,(TEXT(JB52,"[M]")/60)*'Income Person-hours'!$D$4,(TEXT(JC52,"[M]")/60)*'Income Person-hours'!$D$5)</f>
        <v>0</v>
      </c>
    </row>
    <row r="53" spans="1:16384" s="278" customFormat="1" ht="13.5">
      <c r="A53" s="364">
        <v>3</v>
      </c>
      <c r="B53" s="365" t="s">
        <v>145</v>
      </c>
      <c r="C53" s="366"/>
      <c r="D53" s="367" t="str">
        <f>FDate(MIN(E54:E90))</f>
        <v>1398/06/31</v>
      </c>
      <c r="E53" s="160">
        <f t="shared" si="15"/>
        <v>13980631</v>
      </c>
      <c r="F53" s="367" t="str">
        <f>J_SUBDAY(J_ADDDAY(D53,L53,1),1,1)</f>
        <v>1398/10/02</v>
      </c>
      <c r="G53" s="163">
        <f t="shared" si="16"/>
        <v>13981002</v>
      </c>
      <c r="H53" s="368"/>
      <c r="I53" s="369"/>
      <c r="J53" s="367">
        <f>j_WEEKDAY(D53,2)</f>
        <v>1</v>
      </c>
      <c r="K53" s="164">
        <f>SUM(K54:K90)</f>
        <v>0</v>
      </c>
      <c r="L53" s="370">
        <f>J_DIFF(D53,FDate(MAX(G54:G90)))+1</f>
        <v>93</v>
      </c>
      <c r="M53" s="371">
        <f>IF(SUM(L54:L90)&lt;&gt;0,SUMPRODUCT(L54:L90,M54:M90)/SUM(L54:L90),0)</f>
        <v>5.0761421319796954E-2</v>
      </c>
      <c r="N53" s="372">
        <f>IF(F53&gt;=D53,NETWORKDAYS.INTL(J_GregorianDate(D53,1),J_GregorianDate(F53,1),16,1)-SUMIFS(Holieday[ok],Holieday[date],CONCATENATE("&gt;","=",D53),Holieday[date],CONCATENATE("&lt;","=",F53))+SUMIFS(Holieday[Friday],Holieday[date],CONCATENATE("&gt;","=",D53),Holieday[date],CONCATENATE("&lt;","=",F53)),0)</f>
        <v>76</v>
      </c>
      <c r="O53" s="159">
        <f t="shared" ref="O53:O68" si="17">ROUNDDOWN(M53*L53,0)</f>
        <v>4</v>
      </c>
      <c r="P53" s="162">
        <f>VALUE(J_normdate(J_ADDDAY($D53,$O53,1)))</f>
        <v>13980704</v>
      </c>
      <c r="Q53" s="161">
        <f>L53-O53</f>
        <v>89</v>
      </c>
      <c r="R53" s="373"/>
      <c r="S53" s="373"/>
      <c r="T53" s="373"/>
      <c r="U53" s="373"/>
      <c r="V53" s="373"/>
      <c r="W53" s="373"/>
      <c r="X53" s="373"/>
      <c r="Y53" s="373"/>
      <c r="Z53" s="373"/>
      <c r="AA53" s="373"/>
      <c r="AB53" s="373"/>
      <c r="AC53" s="373"/>
      <c r="AD53" s="373"/>
      <c r="AE53" s="373"/>
      <c r="AF53" s="373"/>
      <c r="AG53" s="373"/>
      <c r="AH53" s="373"/>
      <c r="AI53" s="373"/>
      <c r="AJ53" s="373"/>
      <c r="AK53" s="373"/>
      <c r="AL53" s="373"/>
      <c r="AM53" s="373"/>
      <c r="AN53" s="373"/>
      <c r="AO53" s="373"/>
      <c r="AP53" s="373"/>
      <c r="AQ53" s="373"/>
      <c r="AR53" s="373"/>
      <c r="AS53" s="373"/>
      <c r="AT53" s="373"/>
      <c r="AU53" s="373"/>
      <c r="AV53" s="373"/>
      <c r="AW53" s="373"/>
      <c r="AX53" s="373"/>
      <c r="AY53" s="373"/>
      <c r="AZ53" s="373"/>
      <c r="BA53" s="373"/>
      <c r="BB53" s="373"/>
      <c r="BC53" s="373"/>
      <c r="BD53" s="373"/>
      <c r="BE53" s="373"/>
      <c r="BF53" s="373"/>
      <c r="BG53" s="373"/>
      <c r="BH53" s="373"/>
      <c r="BI53" s="373"/>
      <c r="BJ53" s="373"/>
      <c r="BK53" s="373"/>
      <c r="BL53" s="373"/>
      <c r="BM53" s="373"/>
      <c r="BN53" s="373"/>
      <c r="BO53" s="373"/>
      <c r="BP53" s="373"/>
      <c r="BQ53" s="373"/>
      <c r="BR53" s="373"/>
      <c r="BS53" s="373"/>
      <c r="BT53" s="373"/>
      <c r="BU53" s="373"/>
      <c r="BV53" s="373"/>
      <c r="BW53" s="373"/>
      <c r="BX53" s="373"/>
      <c r="BY53" s="373"/>
      <c r="BZ53" s="373"/>
      <c r="CA53" s="373"/>
      <c r="CB53" s="373"/>
      <c r="CC53" s="373"/>
      <c r="CD53" s="373"/>
      <c r="CE53" s="373"/>
      <c r="CF53" s="373"/>
      <c r="CG53" s="373"/>
      <c r="CH53" s="373"/>
      <c r="CI53" s="373"/>
      <c r="CJ53" s="373"/>
      <c r="CK53" s="373"/>
      <c r="CL53" s="373"/>
      <c r="CM53" s="373"/>
      <c r="CN53" s="373"/>
      <c r="CO53" s="373"/>
      <c r="CP53" s="373"/>
      <c r="CQ53" s="373"/>
      <c r="CR53" s="373"/>
      <c r="CS53" s="373"/>
      <c r="CT53" s="373"/>
      <c r="CU53" s="373"/>
      <c r="CV53" s="373"/>
      <c r="CW53" s="373"/>
      <c r="CX53" s="373"/>
      <c r="CY53" s="373"/>
      <c r="CZ53" s="373"/>
      <c r="DA53" s="373"/>
      <c r="DB53" s="373"/>
      <c r="DC53" s="373"/>
      <c r="DD53" s="373"/>
      <c r="DE53" s="373"/>
      <c r="DF53" s="373"/>
      <c r="DG53" s="373"/>
      <c r="DH53" s="373"/>
      <c r="DI53" s="373"/>
      <c r="DJ53" s="373"/>
      <c r="DK53" s="373"/>
      <c r="DL53" s="373"/>
      <c r="DM53" s="373"/>
      <c r="DN53" s="373"/>
      <c r="DO53" s="373"/>
      <c r="DP53" s="373"/>
      <c r="DQ53" s="373"/>
      <c r="DR53" s="373"/>
      <c r="DS53" s="373"/>
      <c r="DT53" s="373"/>
      <c r="DU53" s="373"/>
      <c r="DV53" s="373"/>
      <c r="DW53" s="373"/>
      <c r="DX53" s="373"/>
      <c r="DY53" s="373"/>
      <c r="DZ53" s="373"/>
      <c r="EA53" s="373"/>
      <c r="EB53" s="373"/>
      <c r="EC53" s="373"/>
      <c r="ED53" s="373"/>
      <c r="EE53" s="373"/>
      <c r="EF53" s="373"/>
      <c r="EG53" s="373"/>
      <c r="EH53" s="373"/>
      <c r="EI53" s="373"/>
      <c r="EJ53" s="373"/>
      <c r="EK53" s="373"/>
      <c r="EL53" s="373"/>
      <c r="EM53" s="373"/>
      <c r="EN53" s="373"/>
      <c r="EO53" s="373"/>
      <c r="EP53" s="373"/>
      <c r="EQ53" s="373"/>
      <c r="ER53" s="373"/>
      <c r="ES53" s="373"/>
      <c r="ET53" s="373"/>
      <c r="EU53" s="373"/>
      <c r="EV53" s="373"/>
      <c r="EW53" s="373"/>
      <c r="EX53" s="373"/>
      <c r="EY53" s="373"/>
      <c r="EZ53" s="373"/>
      <c r="FA53" s="373"/>
      <c r="FB53" s="373"/>
      <c r="FC53" s="373"/>
      <c r="FD53" s="373"/>
      <c r="FE53" s="373"/>
      <c r="FF53" s="373"/>
      <c r="FG53" s="373"/>
      <c r="FH53" s="373"/>
      <c r="FI53" s="373"/>
      <c r="FJ53" s="373"/>
      <c r="FK53" s="373"/>
      <c r="FL53" s="373"/>
      <c r="FM53" s="373"/>
      <c r="FN53" s="373"/>
      <c r="FO53" s="373"/>
      <c r="FP53" s="373"/>
      <c r="FQ53" s="373"/>
      <c r="FR53" s="373"/>
      <c r="FS53" s="373"/>
      <c r="FT53" s="373"/>
      <c r="FU53" s="373"/>
      <c r="FV53" s="373"/>
      <c r="FW53" s="373"/>
      <c r="FX53" s="373"/>
      <c r="FY53" s="373"/>
      <c r="FZ53" s="373"/>
      <c r="GA53" s="373"/>
      <c r="GB53" s="373"/>
      <c r="GC53" s="373"/>
      <c r="GD53" s="373"/>
      <c r="GE53" s="373"/>
      <c r="GF53" s="373"/>
      <c r="GG53" s="373"/>
      <c r="GH53" s="373"/>
      <c r="GI53" s="373"/>
      <c r="GJ53" s="373"/>
      <c r="GK53" s="373"/>
      <c r="GL53" s="373"/>
      <c r="GM53" s="373"/>
      <c r="GN53" s="373"/>
      <c r="GO53" s="373"/>
      <c r="GP53" s="373"/>
      <c r="GQ53" s="373"/>
      <c r="GR53" s="373"/>
      <c r="GS53" s="373"/>
      <c r="GT53" s="373"/>
      <c r="GU53" s="373"/>
      <c r="GV53" s="373"/>
      <c r="GW53" s="373"/>
      <c r="GX53" s="373"/>
      <c r="GY53" s="373"/>
      <c r="GZ53" s="373"/>
      <c r="HA53" s="373"/>
      <c r="HB53" s="373"/>
      <c r="HC53" s="373"/>
      <c r="HD53" s="373"/>
      <c r="HE53" s="373"/>
      <c r="HF53" s="373"/>
      <c r="HG53" s="373"/>
      <c r="HH53" s="373"/>
      <c r="HI53" s="373"/>
      <c r="HJ53" s="373"/>
      <c r="HK53" s="373"/>
      <c r="HL53" s="373"/>
      <c r="HM53" s="373"/>
      <c r="HN53" s="373"/>
      <c r="HO53" s="373"/>
      <c r="HP53" s="373"/>
      <c r="HQ53" s="373"/>
      <c r="HR53" s="373"/>
      <c r="HS53" s="373"/>
      <c r="HT53" s="373"/>
      <c r="HU53" s="373"/>
      <c r="HV53" s="373"/>
      <c r="HW53" s="373"/>
      <c r="HX53" s="373"/>
      <c r="HY53" s="373"/>
      <c r="HZ53" s="373"/>
      <c r="IA53" s="373"/>
      <c r="IB53" s="373"/>
      <c r="IC53" s="373"/>
      <c r="ID53" s="373"/>
      <c r="IE53" s="373"/>
      <c r="IF53" s="373"/>
      <c r="IG53" s="373"/>
      <c r="IH53" s="373"/>
      <c r="II53" s="373"/>
      <c r="IJ53" s="373"/>
      <c r="IK53" s="373"/>
      <c r="IL53" s="373"/>
      <c r="IM53" s="373"/>
      <c r="IN53" s="373"/>
      <c r="IO53" s="373"/>
      <c r="IP53" s="373"/>
      <c r="IQ53" s="373"/>
      <c r="IR53" s="373"/>
      <c r="IS53" s="373"/>
      <c r="IT53" s="373"/>
      <c r="IU53" s="373"/>
      <c r="IV53" s="373"/>
      <c r="IW53" s="373"/>
      <c r="IX53" s="373"/>
      <c r="IY53" s="374"/>
      <c r="IZ53" s="375"/>
      <c r="JA53" s="376"/>
      <c r="JB53" s="376"/>
      <c r="JC53" s="376"/>
      <c r="JD53" s="377"/>
      <c r="JE53" s="373"/>
      <c r="JF53" s="373"/>
      <c r="JG53" s="373"/>
      <c r="JH53" s="373"/>
      <c r="JI53" s="373"/>
      <c r="JJ53" s="373"/>
      <c r="JK53" s="373"/>
      <c r="JL53" s="373"/>
      <c r="JM53" s="373"/>
      <c r="JN53" s="373"/>
      <c r="JO53" s="373"/>
      <c r="JP53" s="373"/>
      <c r="JQ53" s="373"/>
      <c r="JR53" s="373"/>
      <c r="JS53" s="373"/>
      <c r="JT53" s="373"/>
      <c r="JU53" s="373"/>
      <c r="JV53" s="373"/>
      <c r="JW53" s="373"/>
      <c r="JX53" s="373"/>
      <c r="JY53" s="373"/>
      <c r="JZ53" s="373"/>
      <c r="KA53" s="373"/>
      <c r="KB53" s="373"/>
      <c r="KC53" s="373"/>
      <c r="KD53" s="373"/>
      <c r="KE53" s="373"/>
      <c r="KF53" s="373"/>
      <c r="KG53" s="373"/>
      <c r="KH53" s="373"/>
      <c r="KI53" s="373"/>
      <c r="KJ53" s="373"/>
      <c r="KK53" s="373"/>
      <c r="KL53" s="373"/>
      <c r="KM53" s="373"/>
      <c r="KN53" s="373"/>
      <c r="KO53" s="373"/>
      <c r="KP53" s="373"/>
      <c r="KQ53" s="373"/>
      <c r="KR53" s="373"/>
      <c r="KS53" s="373"/>
      <c r="KT53" s="373"/>
      <c r="KU53" s="373"/>
      <c r="KV53" s="373"/>
      <c r="KW53" s="373"/>
      <c r="KX53" s="373"/>
      <c r="KY53" s="373"/>
      <c r="KZ53" s="373"/>
      <c r="LA53" s="373"/>
      <c r="LB53" s="373"/>
      <c r="LC53" s="373"/>
      <c r="LD53" s="373"/>
      <c r="LE53" s="373"/>
      <c r="LF53" s="373"/>
      <c r="LG53" s="373"/>
      <c r="LH53" s="373"/>
      <c r="LI53" s="373"/>
      <c r="LJ53" s="373"/>
      <c r="LK53" s="373"/>
      <c r="LL53" s="373"/>
      <c r="LM53" s="373"/>
      <c r="LN53" s="373"/>
      <c r="LO53" s="373"/>
      <c r="LP53" s="373"/>
      <c r="LQ53" s="373"/>
      <c r="LR53" s="373"/>
      <c r="LS53" s="373"/>
      <c r="LT53" s="373"/>
      <c r="LU53" s="373"/>
      <c r="LV53" s="373"/>
      <c r="LW53" s="373"/>
      <c r="LX53" s="373"/>
      <c r="LY53" s="373"/>
      <c r="LZ53" s="373"/>
      <c r="MA53" s="373"/>
      <c r="MB53" s="373"/>
      <c r="MC53" s="373"/>
      <c r="MD53" s="373"/>
      <c r="ME53" s="373"/>
      <c r="MF53" s="373"/>
      <c r="MG53" s="373"/>
      <c r="MH53" s="373"/>
      <c r="MI53" s="373"/>
      <c r="MJ53" s="373"/>
      <c r="MK53" s="373"/>
      <c r="ML53" s="373"/>
      <c r="MM53" s="373"/>
      <c r="MN53" s="373"/>
      <c r="MO53" s="373"/>
      <c r="MP53" s="373"/>
      <c r="MQ53" s="373"/>
      <c r="MR53" s="373"/>
      <c r="MS53" s="373"/>
      <c r="MT53" s="373"/>
      <c r="MU53" s="373"/>
      <c r="MV53" s="373"/>
      <c r="MW53" s="373"/>
      <c r="MX53" s="373"/>
      <c r="MY53" s="373"/>
      <c r="MZ53" s="373"/>
      <c r="NA53" s="373"/>
      <c r="NB53" s="373"/>
      <c r="NC53" s="373"/>
      <c r="ND53" s="373"/>
      <c r="NE53" s="373"/>
      <c r="NF53" s="373"/>
      <c r="NG53" s="373"/>
      <c r="NH53" s="373"/>
      <c r="NI53" s="373"/>
      <c r="NJ53" s="373"/>
      <c r="NK53" s="373"/>
      <c r="NL53" s="373"/>
      <c r="NM53" s="373"/>
      <c r="NN53" s="373"/>
      <c r="NO53" s="373"/>
      <c r="NP53" s="373"/>
      <c r="NQ53" s="373"/>
      <c r="NR53" s="373"/>
      <c r="NS53" s="373"/>
      <c r="NT53" s="373"/>
      <c r="NU53" s="373"/>
      <c r="NV53" s="373"/>
      <c r="NW53" s="373"/>
      <c r="NX53" s="373"/>
      <c r="NY53" s="373"/>
      <c r="NZ53" s="373"/>
      <c r="OA53" s="373"/>
      <c r="OB53" s="373"/>
      <c r="OC53" s="373"/>
      <c r="OD53" s="373"/>
      <c r="OE53" s="373"/>
      <c r="OF53" s="373"/>
      <c r="OG53" s="373"/>
      <c r="OH53" s="373"/>
      <c r="OI53" s="373"/>
      <c r="OJ53" s="373"/>
      <c r="OK53" s="373"/>
      <c r="OL53" s="373"/>
      <c r="OM53" s="373"/>
      <c r="ON53" s="373"/>
      <c r="OO53" s="373"/>
      <c r="OP53" s="373"/>
      <c r="OQ53" s="373"/>
      <c r="OR53" s="373"/>
      <c r="OS53" s="373"/>
      <c r="OT53" s="373"/>
      <c r="OU53" s="373"/>
      <c r="OV53" s="373"/>
      <c r="OW53" s="373"/>
      <c r="OX53" s="373"/>
      <c r="OY53" s="373"/>
      <c r="OZ53" s="373"/>
      <c r="PA53" s="373"/>
      <c r="PB53" s="373"/>
      <c r="PC53" s="373"/>
      <c r="PD53" s="373"/>
      <c r="PE53" s="373"/>
      <c r="PF53" s="373"/>
      <c r="PG53" s="373"/>
      <c r="PH53" s="373"/>
      <c r="PI53" s="373"/>
      <c r="PJ53" s="373"/>
      <c r="PK53" s="373"/>
      <c r="PL53" s="373"/>
      <c r="PM53" s="373"/>
      <c r="PN53" s="373"/>
      <c r="PO53" s="373"/>
      <c r="PP53" s="373"/>
      <c r="PQ53" s="373"/>
      <c r="PR53" s="373"/>
      <c r="PS53" s="373"/>
      <c r="PT53" s="373"/>
      <c r="PU53" s="373"/>
      <c r="PV53" s="373"/>
      <c r="PW53" s="373"/>
      <c r="PX53" s="373"/>
      <c r="PY53" s="373"/>
      <c r="PZ53" s="373"/>
      <c r="QA53" s="373"/>
      <c r="QB53" s="373"/>
      <c r="QC53" s="373"/>
      <c r="QD53" s="373"/>
      <c r="QE53" s="373"/>
      <c r="QF53" s="373"/>
      <c r="QG53" s="373"/>
      <c r="QH53" s="373"/>
      <c r="QI53" s="373"/>
      <c r="QJ53" s="373"/>
      <c r="QK53" s="373"/>
      <c r="QL53" s="373"/>
      <c r="QM53" s="373"/>
      <c r="QN53" s="373"/>
      <c r="QO53" s="373"/>
      <c r="QP53" s="373"/>
      <c r="QQ53" s="373"/>
      <c r="QR53" s="373"/>
      <c r="QS53" s="373"/>
      <c r="QT53" s="373"/>
      <c r="QU53" s="373"/>
      <c r="QV53" s="373"/>
      <c r="QW53" s="373"/>
      <c r="QX53" s="373"/>
      <c r="QY53" s="373"/>
      <c r="QZ53" s="373"/>
      <c r="RA53" s="373"/>
      <c r="RB53" s="373"/>
      <c r="RC53" s="373"/>
      <c r="RD53" s="373"/>
      <c r="RE53" s="373"/>
      <c r="RF53" s="373"/>
      <c r="RG53" s="373"/>
      <c r="RH53" s="373"/>
      <c r="RI53" s="373"/>
      <c r="RJ53" s="373"/>
      <c r="RK53" s="373"/>
      <c r="RL53" s="373"/>
      <c r="RM53" s="373"/>
      <c r="RN53" s="373"/>
      <c r="RO53" s="373"/>
      <c r="RP53" s="373"/>
      <c r="RQ53" s="373"/>
      <c r="RR53" s="373"/>
      <c r="RS53" s="373"/>
      <c r="RT53" s="373"/>
      <c r="RU53" s="373"/>
      <c r="RV53" s="373"/>
      <c r="RW53" s="373"/>
      <c r="RX53" s="373"/>
      <c r="RY53" s="373"/>
      <c r="RZ53" s="373"/>
      <c r="SA53" s="373"/>
      <c r="SB53" s="373"/>
      <c r="SC53" s="373"/>
      <c r="SD53" s="373"/>
      <c r="SE53" s="373"/>
      <c r="SF53" s="373"/>
      <c r="SG53" s="373"/>
      <c r="SH53" s="373"/>
      <c r="SI53" s="373"/>
      <c r="SJ53" s="373"/>
      <c r="SK53" s="373"/>
      <c r="SL53" s="373"/>
      <c r="SM53" s="373"/>
      <c r="SN53" s="373"/>
      <c r="SO53" s="373"/>
      <c r="SP53" s="373"/>
      <c r="SQ53" s="373"/>
      <c r="SR53" s="373"/>
      <c r="SS53" s="373"/>
      <c r="ST53" s="373"/>
      <c r="SU53" s="373"/>
      <c r="SV53" s="373"/>
      <c r="SW53" s="373"/>
      <c r="SX53" s="373"/>
      <c r="SY53" s="373"/>
      <c r="SZ53" s="373"/>
      <c r="TA53" s="373"/>
      <c r="TB53" s="373"/>
      <c r="TC53" s="373"/>
      <c r="TD53" s="373"/>
      <c r="TE53" s="373"/>
      <c r="TF53" s="373"/>
      <c r="TG53" s="373"/>
      <c r="TH53" s="373"/>
      <c r="TI53" s="373"/>
      <c r="TJ53" s="373"/>
      <c r="TK53" s="373"/>
      <c r="TL53" s="373"/>
      <c r="TM53" s="373"/>
      <c r="TN53" s="373"/>
      <c r="TO53" s="373"/>
      <c r="TP53" s="373"/>
      <c r="TQ53" s="373"/>
      <c r="TR53" s="373"/>
      <c r="TS53" s="373"/>
      <c r="TT53" s="373"/>
      <c r="TU53" s="373"/>
      <c r="TV53" s="373"/>
      <c r="TW53" s="373"/>
      <c r="TX53" s="373"/>
      <c r="TY53" s="373"/>
      <c r="TZ53" s="373"/>
      <c r="UA53" s="373"/>
      <c r="UB53" s="373"/>
      <c r="UC53" s="373"/>
      <c r="UD53" s="373"/>
      <c r="UE53" s="373"/>
      <c r="UF53" s="373"/>
      <c r="UG53" s="373"/>
      <c r="UH53" s="373"/>
      <c r="UI53" s="373"/>
      <c r="UJ53" s="373"/>
      <c r="UK53" s="373"/>
      <c r="UL53" s="373"/>
      <c r="UM53" s="373"/>
      <c r="UN53" s="373"/>
      <c r="UO53" s="373"/>
      <c r="UP53" s="373"/>
      <c r="UQ53" s="373"/>
      <c r="UR53" s="373"/>
      <c r="US53" s="373"/>
      <c r="UT53" s="373"/>
      <c r="UU53" s="373"/>
      <c r="UV53" s="373"/>
      <c r="UW53" s="373"/>
      <c r="UX53" s="373"/>
      <c r="UY53" s="373"/>
      <c r="UZ53" s="373"/>
      <c r="VA53" s="373"/>
      <c r="VB53" s="373"/>
      <c r="VC53" s="373"/>
      <c r="VD53" s="373"/>
      <c r="VE53" s="373"/>
      <c r="VF53" s="373"/>
      <c r="VG53" s="373"/>
      <c r="VH53" s="373"/>
      <c r="VI53" s="373"/>
      <c r="VJ53" s="373"/>
      <c r="VK53" s="373"/>
      <c r="VL53" s="373"/>
      <c r="VM53" s="373"/>
      <c r="VN53" s="373"/>
      <c r="VO53" s="373"/>
      <c r="VP53" s="373"/>
      <c r="VQ53" s="373"/>
      <c r="VR53" s="373"/>
      <c r="VS53" s="373"/>
      <c r="VT53" s="373"/>
      <c r="VU53" s="373"/>
      <c r="VV53" s="373"/>
      <c r="VW53" s="373"/>
      <c r="VX53" s="373"/>
      <c r="VY53" s="373"/>
      <c r="VZ53" s="373"/>
      <c r="WA53" s="373"/>
      <c r="WB53" s="373"/>
      <c r="WC53" s="373"/>
      <c r="WD53" s="373"/>
      <c r="WE53" s="373"/>
      <c r="WF53" s="373"/>
      <c r="WG53" s="373"/>
      <c r="WH53" s="373"/>
      <c r="WI53" s="373"/>
      <c r="WJ53" s="373"/>
      <c r="WK53" s="373"/>
      <c r="WL53" s="373"/>
      <c r="WM53" s="373"/>
      <c r="WN53" s="373"/>
      <c r="WO53" s="373"/>
      <c r="WP53" s="373"/>
      <c r="WQ53" s="373"/>
      <c r="WR53" s="373"/>
      <c r="WS53" s="373"/>
      <c r="WT53" s="373"/>
      <c r="WU53" s="373"/>
      <c r="WV53" s="373"/>
      <c r="WW53" s="373"/>
      <c r="WX53" s="373"/>
      <c r="WY53" s="373"/>
      <c r="WZ53" s="373"/>
      <c r="XA53" s="373"/>
      <c r="XB53" s="373"/>
      <c r="XC53" s="373"/>
      <c r="XD53" s="373"/>
      <c r="XE53" s="373"/>
      <c r="XF53" s="373"/>
      <c r="XG53" s="373"/>
      <c r="XH53" s="373"/>
      <c r="XI53" s="373"/>
      <c r="XJ53" s="373"/>
      <c r="XK53" s="373"/>
      <c r="XL53" s="373"/>
      <c r="XM53" s="373"/>
      <c r="XN53" s="373"/>
      <c r="XO53" s="373"/>
      <c r="XP53" s="373"/>
      <c r="XQ53" s="373"/>
      <c r="XR53" s="373"/>
      <c r="XS53" s="373"/>
      <c r="XT53" s="373"/>
      <c r="XU53" s="373"/>
      <c r="XV53" s="373"/>
      <c r="XW53" s="373"/>
      <c r="XX53" s="373"/>
      <c r="XY53" s="373"/>
      <c r="XZ53" s="373"/>
      <c r="YA53" s="373"/>
      <c r="YB53" s="373"/>
      <c r="YC53" s="373"/>
      <c r="YD53" s="373"/>
      <c r="YE53" s="373"/>
      <c r="YF53" s="373"/>
      <c r="YG53" s="373"/>
      <c r="YH53" s="373"/>
      <c r="YI53" s="373"/>
      <c r="YJ53" s="373"/>
      <c r="YK53" s="373"/>
      <c r="YL53" s="373"/>
      <c r="YM53" s="373"/>
      <c r="YN53" s="373"/>
      <c r="YO53" s="373"/>
      <c r="YP53" s="373"/>
      <c r="YQ53" s="373"/>
      <c r="YR53" s="373"/>
      <c r="YS53" s="373"/>
      <c r="YT53" s="373"/>
      <c r="YU53" s="373"/>
      <c r="YV53" s="373"/>
      <c r="YW53" s="373"/>
      <c r="YX53" s="373"/>
      <c r="YY53" s="373"/>
      <c r="YZ53" s="373"/>
      <c r="ZA53" s="373"/>
      <c r="ZB53" s="373"/>
      <c r="ZC53" s="373"/>
      <c r="ZD53" s="373"/>
      <c r="ZE53" s="373"/>
      <c r="ZF53" s="373"/>
      <c r="ZG53" s="373"/>
      <c r="ZH53" s="373"/>
      <c r="ZI53" s="373"/>
      <c r="ZJ53" s="373"/>
      <c r="ZK53" s="373"/>
      <c r="ZL53" s="373"/>
      <c r="ZM53" s="373"/>
      <c r="ZN53" s="373"/>
      <c r="ZO53" s="373"/>
      <c r="ZP53" s="373"/>
      <c r="ZQ53" s="373"/>
      <c r="ZR53" s="373"/>
      <c r="ZS53" s="373"/>
      <c r="ZT53" s="373"/>
      <c r="ZU53" s="373"/>
      <c r="ZV53" s="373"/>
      <c r="ZW53" s="373"/>
      <c r="ZX53" s="373"/>
      <c r="ZY53" s="373"/>
      <c r="ZZ53" s="373"/>
      <c r="AAA53" s="373"/>
      <c r="AAB53" s="373"/>
      <c r="AAC53" s="373"/>
      <c r="AAD53" s="373"/>
      <c r="AAE53" s="373"/>
      <c r="AAF53" s="373"/>
      <c r="AAG53" s="373"/>
      <c r="AAH53" s="373"/>
      <c r="AAI53" s="373"/>
      <c r="AAJ53" s="373"/>
      <c r="AAK53" s="373"/>
      <c r="AAL53" s="373"/>
      <c r="AAM53" s="373"/>
      <c r="AAN53" s="373"/>
      <c r="AAO53" s="373"/>
      <c r="AAP53" s="373"/>
      <c r="AAQ53" s="373"/>
      <c r="AAR53" s="373"/>
      <c r="AAS53" s="373"/>
      <c r="AAT53" s="373"/>
      <c r="AAU53" s="373"/>
      <c r="AAV53" s="373"/>
      <c r="AAW53" s="373"/>
      <c r="AAX53" s="373"/>
      <c r="AAY53" s="373"/>
      <c r="AAZ53" s="373"/>
      <c r="ABA53" s="373"/>
      <c r="ABB53" s="373"/>
      <c r="ABC53" s="373"/>
      <c r="ABD53" s="373"/>
      <c r="ABE53" s="373"/>
      <c r="ABF53" s="373"/>
      <c r="ABG53" s="373"/>
      <c r="ABH53" s="373"/>
      <c r="ABI53" s="373"/>
      <c r="ABJ53" s="373"/>
      <c r="ABK53" s="373"/>
      <c r="ABL53" s="373"/>
      <c r="ABM53" s="373"/>
      <c r="ABN53" s="373"/>
      <c r="ABO53" s="373"/>
      <c r="ABP53" s="373"/>
      <c r="ABQ53" s="373"/>
      <c r="ABR53" s="373"/>
      <c r="ABS53" s="373"/>
      <c r="ABT53" s="373"/>
      <c r="ABU53" s="373"/>
      <c r="ABV53" s="373"/>
      <c r="ABW53" s="373"/>
      <c r="ABX53" s="373"/>
      <c r="ABY53" s="373"/>
      <c r="ABZ53" s="373"/>
      <c r="ACA53" s="373"/>
      <c r="ACB53" s="373"/>
      <c r="ACC53" s="373"/>
      <c r="ACD53" s="373"/>
      <c r="ACE53" s="373"/>
      <c r="ACF53" s="373"/>
      <c r="ACG53" s="373"/>
      <c r="ACH53" s="373"/>
      <c r="ACI53" s="373"/>
      <c r="ACJ53" s="373"/>
      <c r="ACK53" s="373"/>
      <c r="ACL53" s="373"/>
      <c r="ACM53" s="373"/>
      <c r="ACN53" s="373"/>
      <c r="ACO53" s="373"/>
      <c r="ACP53" s="373"/>
      <c r="ACQ53" s="373"/>
      <c r="ACR53" s="373"/>
      <c r="ACS53" s="373"/>
      <c r="ACT53" s="373"/>
      <c r="ACU53" s="373"/>
      <c r="ACV53" s="373"/>
      <c r="ACW53" s="373"/>
      <c r="ACX53" s="373"/>
      <c r="ACY53" s="373"/>
      <c r="ACZ53" s="373"/>
      <c r="ADA53" s="373"/>
      <c r="ADB53" s="373"/>
      <c r="ADC53" s="373"/>
      <c r="ADD53" s="373"/>
      <c r="ADE53" s="373"/>
      <c r="ADF53" s="373"/>
      <c r="ADG53" s="373"/>
      <c r="ADH53" s="373"/>
      <c r="ADI53" s="373"/>
      <c r="ADJ53" s="373"/>
      <c r="ADK53" s="373"/>
      <c r="ADL53" s="373"/>
      <c r="ADM53" s="373"/>
      <c r="ADN53" s="373"/>
      <c r="ADO53" s="373"/>
      <c r="ADP53" s="373"/>
      <c r="ADQ53" s="373"/>
      <c r="ADR53" s="373"/>
      <c r="ADS53" s="373"/>
      <c r="ADT53" s="373"/>
      <c r="ADU53" s="373"/>
      <c r="ADV53" s="373"/>
      <c r="ADW53" s="373"/>
      <c r="ADX53" s="373"/>
      <c r="ADY53" s="373"/>
      <c r="ADZ53" s="373"/>
      <c r="AEA53" s="373"/>
      <c r="AEB53" s="373"/>
      <c r="AEC53" s="373"/>
      <c r="AED53" s="373"/>
      <c r="AEE53" s="373"/>
      <c r="AEF53" s="373"/>
      <c r="AEG53" s="373"/>
      <c r="AEH53" s="373"/>
      <c r="AEI53" s="373"/>
      <c r="AEJ53" s="373"/>
      <c r="AEK53" s="373"/>
      <c r="AEL53" s="373"/>
      <c r="AEM53" s="373"/>
      <c r="AEN53" s="373"/>
      <c r="AEO53" s="373"/>
      <c r="AEP53" s="373"/>
      <c r="AEQ53" s="373"/>
      <c r="AER53" s="373"/>
      <c r="AES53" s="373"/>
      <c r="AET53" s="373"/>
      <c r="AEU53" s="373"/>
      <c r="AEV53" s="373"/>
      <c r="AEW53" s="373"/>
      <c r="AEX53" s="373"/>
      <c r="AEY53" s="373"/>
      <c r="AEZ53" s="373"/>
      <c r="AFA53" s="373"/>
      <c r="AFB53" s="373"/>
      <c r="AFC53" s="373"/>
      <c r="AFD53" s="373"/>
      <c r="AFE53" s="373"/>
      <c r="AFF53" s="373"/>
      <c r="AFG53" s="373"/>
      <c r="AFH53" s="373"/>
      <c r="AFI53" s="373"/>
      <c r="AFJ53" s="373"/>
      <c r="AFK53" s="373"/>
      <c r="AFL53" s="373"/>
      <c r="AFM53" s="373"/>
      <c r="AFN53" s="373"/>
      <c r="AFO53" s="373"/>
      <c r="AFP53" s="373"/>
      <c r="AFQ53" s="373"/>
      <c r="AFR53" s="373"/>
      <c r="AFS53" s="373"/>
      <c r="AFT53" s="373"/>
      <c r="AFU53" s="373"/>
      <c r="AFV53" s="373"/>
      <c r="AFW53" s="373"/>
      <c r="AFX53" s="373"/>
      <c r="AFY53" s="373"/>
      <c r="AFZ53" s="373"/>
      <c r="AGA53" s="373"/>
      <c r="AGB53" s="373"/>
      <c r="AGC53" s="373"/>
      <c r="AGD53" s="373"/>
      <c r="AGE53" s="373"/>
      <c r="AGF53" s="373"/>
      <c r="AGG53" s="373"/>
      <c r="AGH53" s="373"/>
      <c r="AGI53" s="373"/>
      <c r="AGJ53" s="373"/>
      <c r="AGK53" s="373"/>
      <c r="AGL53" s="373"/>
      <c r="AGM53" s="373"/>
      <c r="AGN53" s="373"/>
      <c r="AGO53" s="373"/>
      <c r="AGP53" s="373"/>
      <c r="AGQ53" s="373"/>
      <c r="AGR53" s="373"/>
      <c r="AGS53" s="373"/>
      <c r="AGT53" s="373"/>
      <c r="AGU53" s="373"/>
      <c r="AGV53" s="373"/>
      <c r="AGW53" s="373"/>
      <c r="AGX53" s="373"/>
      <c r="AGY53" s="373"/>
      <c r="AGZ53" s="373"/>
      <c r="AHA53" s="373"/>
      <c r="AHB53" s="373"/>
      <c r="AHC53" s="373"/>
      <c r="AHD53" s="373"/>
      <c r="AHE53" s="373"/>
      <c r="AHF53" s="373"/>
      <c r="AHG53" s="373"/>
      <c r="AHH53" s="373"/>
      <c r="AHI53" s="373"/>
      <c r="AHJ53" s="373"/>
      <c r="AHK53" s="373"/>
      <c r="AHL53" s="373"/>
      <c r="AHM53" s="373"/>
      <c r="AHN53" s="373"/>
      <c r="AHO53" s="373"/>
      <c r="AHP53" s="373"/>
      <c r="AHQ53" s="373"/>
      <c r="AHR53" s="373"/>
      <c r="AHS53" s="373"/>
      <c r="AHT53" s="373"/>
      <c r="AHU53" s="373"/>
      <c r="AHV53" s="373"/>
      <c r="AHW53" s="373"/>
      <c r="AHX53" s="373"/>
      <c r="AHY53" s="373"/>
      <c r="AHZ53" s="373"/>
      <c r="AIA53" s="373"/>
      <c r="AIB53" s="373"/>
      <c r="AIC53" s="373"/>
      <c r="AID53" s="373"/>
      <c r="AIE53" s="373"/>
      <c r="AIF53" s="373"/>
      <c r="AIG53" s="373"/>
      <c r="AIH53" s="373"/>
      <c r="AII53" s="373"/>
      <c r="AIJ53" s="373"/>
      <c r="AIK53" s="373"/>
      <c r="AIL53" s="373"/>
      <c r="AIM53" s="373"/>
      <c r="AIN53" s="373"/>
      <c r="AIO53" s="373"/>
      <c r="AIP53" s="373"/>
      <c r="AIQ53" s="373"/>
      <c r="AIR53" s="373"/>
      <c r="AIS53" s="373"/>
      <c r="AIT53" s="373"/>
      <c r="AIU53" s="373"/>
      <c r="AIV53" s="373"/>
      <c r="AIW53" s="373"/>
      <c r="AIX53" s="373"/>
      <c r="AIY53" s="373"/>
      <c r="AIZ53" s="373"/>
      <c r="AJA53" s="373"/>
      <c r="AJB53" s="373"/>
      <c r="AJC53" s="373"/>
      <c r="AJD53" s="373"/>
      <c r="AJE53" s="373"/>
      <c r="AJF53" s="373"/>
      <c r="AJG53" s="373"/>
      <c r="AJH53" s="373"/>
      <c r="AJI53" s="373"/>
      <c r="AJJ53" s="373"/>
      <c r="AJK53" s="373"/>
      <c r="AJL53" s="373"/>
      <c r="AJM53" s="373"/>
      <c r="AJN53" s="373"/>
      <c r="AJO53" s="373"/>
      <c r="AJP53" s="373"/>
      <c r="AJQ53" s="373"/>
      <c r="AJR53" s="373"/>
      <c r="AJS53" s="373"/>
      <c r="AJT53" s="373"/>
      <c r="AJU53" s="373"/>
      <c r="AJV53" s="373"/>
      <c r="AJW53" s="373"/>
      <c r="AJX53" s="373"/>
      <c r="AJY53" s="373"/>
      <c r="AJZ53" s="373"/>
      <c r="AKA53" s="373"/>
      <c r="AKB53" s="373"/>
      <c r="AKC53" s="373"/>
      <c r="AKD53" s="373"/>
      <c r="AKE53" s="373"/>
      <c r="AKF53" s="373"/>
      <c r="AKG53" s="373"/>
      <c r="AKH53" s="373"/>
      <c r="AKI53" s="373"/>
      <c r="AKJ53" s="373"/>
      <c r="AKK53" s="373"/>
      <c r="AKL53" s="373"/>
      <c r="AKM53" s="373"/>
      <c r="AKN53" s="373"/>
      <c r="AKO53" s="373"/>
      <c r="AKP53" s="373"/>
      <c r="AKQ53" s="373"/>
      <c r="AKR53" s="373"/>
      <c r="AKS53" s="373"/>
      <c r="AKT53" s="373"/>
      <c r="AKU53" s="373"/>
      <c r="AKV53" s="373"/>
      <c r="AKW53" s="373"/>
      <c r="AKX53" s="373"/>
      <c r="AKY53" s="373"/>
      <c r="AKZ53" s="373"/>
      <c r="ALA53" s="373"/>
      <c r="ALB53" s="373"/>
      <c r="ALC53" s="373"/>
      <c r="ALD53" s="373"/>
      <c r="ALE53" s="373"/>
      <c r="ALF53" s="373"/>
      <c r="ALG53" s="373"/>
      <c r="ALH53" s="373"/>
      <c r="ALI53" s="373"/>
      <c r="ALJ53" s="373"/>
      <c r="ALK53" s="373"/>
      <c r="ALL53" s="373"/>
      <c r="ALM53" s="373"/>
      <c r="ALN53" s="373"/>
      <c r="ALO53" s="373"/>
      <c r="ALP53" s="373"/>
      <c r="ALQ53" s="373"/>
      <c r="ALR53" s="373"/>
      <c r="ALS53" s="373"/>
      <c r="ALT53" s="373"/>
      <c r="ALU53" s="373"/>
      <c r="ALV53" s="373"/>
      <c r="ALW53" s="373"/>
      <c r="ALX53" s="373"/>
      <c r="ALY53" s="373"/>
      <c r="ALZ53" s="373"/>
      <c r="AMA53" s="373"/>
      <c r="AMB53" s="373"/>
      <c r="AMC53" s="373"/>
      <c r="AMD53" s="373"/>
      <c r="AME53" s="373"/>
      <c r="AMF53" s="373"/>
      <c r="AMG53" s="373"/>
      <c r="AMH53" s="373"/>
      <c r="AMI53" s="373"/>
      <c r="AMJ53" s="373"/>
      <c r="AMK53" s="373"/>
      <c r="AML53" s="373"/>
      <c r="AMM53" s="373"/>
      <c r="AMN53" s="373"/>
      <c r="AMO53" s="373"/>
      <c r="AMP53" s="373"/>
      <c r="AMQ53" s="373"/>
      <c r="AMR53" s="373"/>
      <c r="AMS53" s="373"/>
      <c r="AMT53" s="373"/>
      <c r="AMU53" s="373"/>
      <c r="AMV53" s="373"/>
      <c r="AMW53" s="373"/>
      <c r="AMX53" s="373"/>
      <c r="AMY53" s="373"/>
      <c r="AMZ53" s="373"/>
      <c r="ANA53" s="373"/>
      <c r="ANB53" s="373"/>
      <c r="ANC53" s="373"/>
      <c r="AND53" s="373"/>
      <c r="ANE53" s="373"/>
      <c r="ANF53" s="373"/>
      <c r="ANG53" s="373"/>
      <c r="ANH53" s="373"/>
      <c r="ANI53" s="373"/>
      <c r="ANJ53" s="373"/>
      <c r="ANK53" s="373"/>
      <c r="ANL53" s="373"/>
      <c r="ANM53" s="373"/>
      <c r="ANN53" s="373"/>
      <c r="ANO53" s="373"/>
      <c r="ANP53" s="373"/>
      <c r="ANQ53" s="373"/>
      <c r="ANR53" s="373"/>
      <c r="ANS53" s="373"/>
      <c r="ANT53" s="373"/>
      <c r="ANU53" s="373"/>
      <c r="ANV53" s="373"/>
      <c r="ANW53" s="373"/>
      <c r="ANX53" s="373"/>
      <c r="ANY53" s="373"/>
      <c r="ANZ53" s="373"/>
      <c r="AOA53" s="373"/>
      <c r="AOB53" s="373"/>
      <c r="AOC53" s="373"/>
      <c r="AOD53" s="373"/>
      <c r="AOE53" s="373"/>
      <c r="AOF53" s="373"/>
      <c r="AOG53" s="373"/>
      <c r="AOH53" s="373"/>
      <c r="AOI53" s="373"/>
      <c r="AOJ53" s="373"/>
      <c r="AOK53" s="373"/>
      <c r="AOL53" s="373"/>
      <c r="AOM53" s="373"/>
      <c r="AON53" s="373"/>
      <c r="AOO53" s="373"/>
      <c r="AOP53" s="373"/>
      <c r="AOQ53" s="373"/>
      <c r="AOR53" s="373"/>
      <c r="AOS53" s="373"/>
      <c r="AOT53" s="373"/>
      <c r="AOU53" s="373"/>
      <c r="AOV53" s="373"/>
      <c r="AOW53" s="373"/>
      <c r="AOX53" s="373"/>
      <c r="AOY53" s="373"/>
      <c r="AOZ53" s="373"/>
      <c r="APA53" s="373"/>
      <c r="APB53" s="373"/>
      <c r="APC53" s="373"/>
      <c r="APD53" s="373"/>
      <c r="APE53" s="373"/>
      <c r="APF53" s="373"/>
      <c r="APG53" s="373"/>
      <c r="APH53" s="373"/>
      <c r="API53" s="373"/>
      <c r="APJ53" s="373"/>
      <c r="APK53" s="373"/>
      <c r="APL53" s="373"/>
      <c r="APM53" s="373"/>
      <c r="APN53" s="373"/>
      <c r="APO53" s="373"/>
      <c r="APP53" s="373"/>
      <c r="APQ53" s="373"/>
      <c r="APR53" s="373"/>
      <c r="APS53" s="373"/>
      <c r="APT53" s="373"/>
      <c r="APU53" s="373"/>
      <c r="APV53" s="373"/>
      <c r="APW53" s="373"/>
      <c r="APX53" s="373"/>
      <c r="APY53" s="373"/>
      <c r="APZ53" s="373"/>
      <c r="AQA53" s="373"/>
      <c r="AQB53" s="373"/>
      <c r="AQC53" s="373"/>
      <c r="AQD53" s="373"/>
      <c r="AQE53" s="373"/>
      <c r="AQF53" s="373"/>
      <c r="AQG53" s="373"/>
      <c r="AQH53" s="373"/>
      <c r="AQI53" s="373"/>
      <c r="AQJ53" s="373"/>
      <c r="AQK53" s="373"/>
      <c r="AQL53" s="373"/>
      <c r="AQM53" s="373"/>
      <c r="AQN53" s="373"/>
      <c r="AQO53" s="373"/>
      <c r="AQP53" s="373"/>
      <c r="AQQ53" s="373"/>
      <c r="AQR53" s="373"/>
      <c r="AQS53" s="373"/>
      <c r="AQT53" s="373"/>
      <c r="AQU53" s="373"/>
      <c r="AQV53" s="373"/>
      <c r="AQW53" s="373"/>
      <c r="AQX53" s="373"/>
      <c r="AQY53" s="373"/>
      <c r="AQZ53" s="373"/>
      <c r="ARA53" s="373"/>
      <c r="ARB53" s="373"/>
      <c r="ARC53" s="373"/>
      <c r="ARD53" s="373"/>
      <c r="ARE53" s="373"/>
      <c r="ARF53" s="373"/>
      <c r="ARG53" s="373"/>
      <c r="ARH53" s="373"/>
      <c r="ARI53" s="373"/>
      <c r="ARJ53" s="373"/>
      <c r="ARK53" s="373"/>
      <c r="ARL53" s="373"/>
      <c r="ARM53" s="373"/>
      <c r="ARN53" s="373"/>
      <c r="ARO53" s="373"/>
      <c r="ARP53" s="373"/>
      <c r="ARQ53" s="373"/>
      <c r="ARR53" s="373"/>
      <c r="ARS53" s="373"/>
      <c r="ART53" s="373"/>
      <c r="ARU53" s="373"/>
      <c r="ARV53" s="373"/>
      <c r="ARW53" s="373"/>
      <c r="ARX53" s="373"/>
      <c r="ARY53" s="373"/>
      <c r="ARZ53" s="373"/>
      <c r="ASA53" s="373"/>
      <c r="ASB53" s="373"/>
      <c r="ASC53" s="373"/>
      <c r="ASD53" s="373"/>
      <c r="ASE53" s="373"/>
      <c r="ASF53" s="373"/>
      <c r="ASG53" s="373"/>
      <c r="ASH53" s="373"/>
      <c r="ASI53" s="373"/>
      <c r="ASJ53" s="373"/>
      <c r="ASK53" s="373"/>
      <c r="ASL53" s="373"/>
      <c r="ASM53" s="373"/>
      <c r="ASN53" s="373"/>
      <c r="ASO53" s="373"/>
      <c r="ASP53" s="373"/>
      <c r="ASQ53" s="373"/>
      <c r="ASR53" s="373"/>
      <c r="ASS53" s="373"/>
      <c r="AST53" s="373"/>
      <c r="ASU53" s="373"/>
      <c r="ASV53" s="373"/>
      <c r="ASW53" s="373"/>
      <c r="ASX53" s="373"/>
      <c r="ASY53" s="373"/>
      <c r="ASZ53" s="373"/>
      <c r="ATA53" s="373"/>
      <c r="ATB53" s="373"/>
      <c r="ATC53" s="373"/>
      <c r="ATD53" s="373"/>
      <c r="ATE53" s="373"/>
      <c r="ATF53" s="373"/>
      <c r="ATG53" s="373"/>
      <c r="ATH53" s="373"/>
      <c r="ATI53" s="373"/>
      <c r="ATJ53" s="373"/>
      <c r="ATK53" s="373"/>
      <c r="ATL53" s="373"/>
      <c r="ATM53" s="373"/>
      <c r="ATN53" s="373"/>
      <c r="ATO53" s="373"/>
      <c r="ATP53" s="373"/>
      <c r="ATQ53" s="373"/>
      <c r="ATR53" s="373"/>
      <c r="ATS53" s="373"/>
      <c r="ATT53" s="373"/>
      <c r="ATU53" s="373"/>
      <c r="ATV53" s="373"/>
      <c r="ATW53" s="373"/>
      <c r="ATX53" s="373"/>
      <c r="ATY53" s="373"/>
      <c r="ATZ53" s="373"/>
      <c r="AUA53" s="373"/>
      <c r="AUB53" s="373"/>
      <c r="AUC53" s="373"/>
      <c r="AUD53" s="373"/>
      <c r="AUE53" s="373"/>
      <c r="AUF53" s="373"/>
      <c r="AUG53" s="373"/>
      <c r="AUH53" s="373"/>
      <c r="AUI53" s="373"/>
      <c r="AUJ53" s="373"/>
      <c r="AUK53" s="373"/>
      <c r="AUL53" s="373"/>
      <c r="AUM53" s="373"/>
      <c r="AUN53" s="373"/>
      <c r="AUO53" s="373"/>
      <c r="AUP53" s="373"/>
      <c r="AUQ53" s="373"/>
      <c r="AUR53" s="373"/>
      <c r="AUS53" s="373"/>
      <c r="AUT53" s="373"/>
      <c r="AUU53" s="373"/>
      <c r="AUV53" s="373"/>
      <c r="AUW53" s="373"/>
      <c r="AUX53" s="373"/>
      <c r="AUY53" s="373"/>
      <c r="AUZ53" s="373"/>
      <c r="AVA53" s="373"/>
      <c r="AVB53" s="373"/>
      <c r="AVC53" s="373"/>
      <c r="AVD53" s="373"/>
      <c r="AVE53" s="373"/>
      <c r="AVF53" s="373"/>
      <c r="AVG53" s="373"/>
      <c r="AVH53" s="373"/>
      <c r="AVI53" s="373"/>
      <c r="AVJ53" s="373"/>
      <c r="AVK53" s="373"/>
      <c r="AVL53" s="373"/>
      <c r="AVM53" s="373"/>
      <c r="AVN53" s="373"/>
      <c r="AVO53" s="373"/>
      <c r="AVP53" s="373"/>
      <c r="AVQ53" s="373"/>
      <c r="AVR53" s="373"/>
      <c r="AVS53" s="373"/>
      <c r="AVT53" s="373"/>
      <c r="AVU53" s="373"/>
      <c r="AVV53" s="373"/>
      <c r="AVW53" s="373"/>
      <c r="AVX53" s="373"/>
      <c r="AVY53" s="373"/>
      <c r="AVZ53" s="373"/>
      <c r="AWA53" s="373"/>
      <c r="AWB53" s="373"/>
      <c r="AWC53" s="373"/>
      <c r="AWD53" s="373"/>
      <c r="AWE53" s="373"/>
      <c r="AWF53" s="373"/>
      <c r="AWG53" s="373"/>
      <c r="AWH53" s="373"/>
      <c r="AWI53" s="373"/>
      <c r="AWJ53" s="373"/>
      <c r="AWK53" s="373"/>
      <c r="AWL53" s="373"/>
      <c r="AWM53" s="373"/>
      <c r="AWN53" s="373"/>
      <c r="AWO53" s="373"/>
      <c r="AWP53" s="373"/>
      <c r="AWQ53" s="373"/>
      <c r="AWR53" s="373"/>
      <c r="AWS53" s="373"/>
      <c r="AWT53" s="373"/>
      <c r="AWU53" s="373"/>
      <c r="AWV53" s="373"/>
      <c r="AWW53" s="373"/>
      <c r="AWX53" s="373"/>
      <c r="AWY53" s="373"/>
      <c r="AWZ53" s="373"/>
      <c r="AXA53" s="373"/>
      <c r="AXB53" s="373"/>
      <c r="AXC53" s="373"/>
      <c r="AXD53" s="373"/>
      <c r="AXE53" s="373"/>
      <c r="AXF53" s="373"/>
      <c r="AXG53" s="373"/>
      <c r="AXH53" s="373"/>
      <c r="AXI53" s="373"/>
      <c r="AXJ53" s="373"/>
      <c r="AXK53" s="373"/>
      <c r="AXL53" s="373"/>
      <c r="AXM53" s="373"/>
      <c r="AXN53" s="373"/>
      <c r="AXO53" s="373"/>
      <c r="AXP53" s="373"/>
      <c r="AXQ53" s="373"/>
      <c r="AXR53" s="373"/>
      <c r="AXS53" s="373"/>
      <c r="AXT53" s="373"/>
      <c r="AXU53" s="373"/>
      <c r="AXV53" s="373"/>
      <c r="AXW53" s="373"/>
      <c r="AXX53" s="373"/>
      <c r="AXY53" s="373"/>
      <c r="AXZ53" s="373"/>
      <c r="AYA53" s="373"/>
      <c r="AYB53" s="373"/>
      <c r="AYC53" s="373"/>
      <c r="AYD53" s="373"/>
      <c r="AYE53" s="373"/>
      <c r="AYF53" s="373"/>
      <c r="AYG53" s="373"/>
      <c r="AYH53" s="373"/>
      <c r="AYI53" s="373"/>
      <c r="AYJ53" s="373"/>
      <c r="AYK53" s="373"/>
      <c r="AYL53" s="373"/>
      <c r="AYM53" s="373"/>
      <c r="AYN53" s="373"/>
      <c r="AYO53" s="373"/>
      <c r="AYP53" s="373"/>
      <c r="AYQ53" s="373"/>
      <c r="AYR53" s="373"/>
      <c r="AYS53" s="373"/>
      <c r="AYT53" s="373"/>
      <c r="AYU53" s="373"/>
      <c r="AYV53" s="373"/>
      <c r="AYW53" s="373"/>
      <c r="AYX53" s="373"/>
      <c r="AYY53" s="373"/>
      <c r="AYZ53" s="373"/>
      <c r="AZA53" s="373"/>
      <c r="AZB53" s="373"/>
      <c r="AZC53" s="373"/>
      <c r="AZD53" s="373"/>
      <c r="AZE53" s="373"/>
      <c r="AZF53" s="373"/>
      <c r="AZG53" s="373"/>
      <c r="AZH53" s="373"/>
      <c r="AZI53" s="373"/>
      <c r="AZJ53" s="373"/>
      <c r="AZK53" s="373"/>
      <c r="AZL53" s="373"/>
      <c r="AZM53" s="373"/>
      <c r="AZN53" s="373"/>
      <c r="AZO53" s="373"/>
      <c r="AZP53" s="373"/>
      <c r="AZQ53" s="373"/>
      <c r="AZR53" s="373"/>
      <c r="AZS53" s="373"/>
      <c r="AZT53" s="373"/>
      <c r="AZU53" s="373"/>
      <c r="AZV53" s="373"/>
      <c r="AZW53" s="373"/>
      <c r="AZX53" s="373"/>
      <c r="AZY53" s="373"/>
      <c r="AZZ53" s="373"/>
      <c r="BAA53" s="373"/>
      <c r="BAB53" s="373"/>
      <c r="BAC53" s="373"/>
      <c r="BAD53" s="373"/>
      <c r="BAE53" s="373"/>
      <c r="BAF53" s="373"/>
      <c r="BAG53" s="373"/>
      <c r="BAH53" s="373"/>
      <c r="BAI53" s="373"/>
      <c r="BAJ53" s="373"/>
      <c r="BAK53" s="373"/>
      <c r="BAL53" s="373"/>
      <c r="BAM53" s="373"/>
      <c r="BAN53" s="373"/>
      <c r="BAO53" s="373"/>
      <c r="BAP53" s="373"/>
      <c r="BAQ53" s="373"/>
      <c r="BAR53" s="373"/>
      <c r="BAS53" s="373"/>
      <c r="BAT53" s="373"/>
      <c r="BAU53" s="373"/>
      <c r="BAV53" s="373"/>
      <c r="BAW53" s="373"/>
      <c r="BAX53" s="373"/>
      <c r="BAY53" s="373"/>
      <c r="BAZ53" s="373"/>
      <c r="BBA53" s="373"/>
      <c r="BBB53" s="373"/>
      <c r="BBC53" s="373"/>
      <c r="BBD53" s="373"/>
      <c r="BBE53" s="373"/>
      <c r="BBF53" s="373"/>
      <c r="BBG53" s="373"/>
      <c r="BBH53" s="373"/>
      <c r="BBI53" s="373"/>
      <c r="BBJ53" s="373"/>
      <c r="BBK53" s="373"/>
      <c r="BBL53" s="373"/>
      <c r="BBM53" s="373"/>
      <c r="BBN53" s="373"/>
      <c r="BBO53" s="373"/>
      <c r="BBP53" s="373"/>
      <c r="BBQ53" s="373"/>
      <c r="BBR53" s="373"/>
      <c r="BBS53" s="373"/>
      <c r="BBT53" s="373"/>
      <c r="BBU53" s="373"/>
      <c r="BBV53" s="373"/>
      <c r="BBW53" s="373"/>
      <c r="BBX53" s="373"/>
      <c r="BBY53" s="373"/>
      <c r="BBZ53" s="373"/>
      <c r="BCA53" s="373"/>
      <c r="BCB53" s="373"/>
      <c r="BCC53" s="373"/>
      <c r="BCD53" s="373"/>
      <c r="BCE53" s="373"/>
      <c r="BCF53" s="373"/>
      <c r="BCG53" s="373"/>
      <c r="BCH53" s="373"/>
      <c r="BCI53" s="373"/>
      <c r="BCJ53" s="373"/>
      <c r="BCK53" s="373"/>
      <c r="BCL53" s="373"/>
      <c r="BCM53" s="373"/>
      <c r="BCN53" s="373"/>
      <c r="BCO53" s="373"/>
      <c r="BCP53" s="373"/>
      <c r="BCQ53" s="373"/>
      <c r="BCR53" s="373"/>
      <c r="BCS53" s="373"/>
      <c r="BCT53" s="373"/>
      <c r="BCU53" s="373"/>
      <c r="BCV53" s="373"/>
      <c r="BCW53" s="373"/>
      <c r="BCX53" s="373"/>
      <c r="BCY53" s="373"/>
      <c r="BCZ53" s="373"/>
      <c r="BDA53" s="373"/>
      <c r="BDB53" s="373"/>
      <c r="BDC53" s="373"/>
      <c r="BDD53" s="373"/>
      <c r="BDE53" s="373"/>
      <c r="BDF53" s="373"/>
      <c r="BDG53" s="373"/>
      <c r="BDH53" s="373"/>
      <c r="BDI53" s="373"/>
      <c r="BDJ53" s="373"/>
      <c r="BDK53" s="373"/>
      <c r="BDL53" s="373"/>
      <c r="BDM53" s="373"/>
      <c r="BDN53" s="373"/>
      <c r="BDO53" s="373"/>
      <c r="BDP53" s="373"/>
      <c r="BDQ53" s="373"/>
      <c r="BDR53" s="373"/>
      <c r="BDS53" s="373"/>
      <c r="BDT53" s="373"/>
      <c r="BDU53" s="373"/>
      <c r="BDV53" s="373"/>
      <c r="BDW53" s="373"/>
      <c r="BDX53" s="373"/>
      <c r="BDY53" s="373"/>
      <c r="BDZ53" s="373"/>
      <c r="BEA53" s="373"/>
      <c r="BEB53" s="373"/>
      <c r="BEC53" s="373"/>
      <c r="BED53" s="373"/>
      <c r="BEE53" s="373"/>
      <c r="BEF53" s="373"/>
      <c r="BEG53" s="373"/>
      <c r="BEH53" s="373"/>
      <c r="BEI53" s="373"/>
      <c r="BEJ53" s="373"/>
      <c r="BEK53" s="373"/>
      <c r="BEL53" s="373"/>
      <c r="BEM53" s="373"/>
      <c r="BEN53" s="373"/>
      <c r="BEO53" s="373"/>
      <c r="BEP53" s="373"/>
      <c r="BEQ53" s="373"/>
      <c r="BER53" s="373"/>
      <c r="BES53" s="373"/>
      <c r="BET53" s="373"/>
      <c r="BEU53" s="373"/>
      <c r="BEV53" s="373"/>
      <c r="BEW53" s="373"/>
      <c r="BEX53" s="373"/>
      <c r="BEY53" s="373"/>
      <c r="BEZ53" s="373"/>
      <c r="BFA53" s="373"/>
      <c r="BFB53" s="373"/>
      <c r="BFC53" s="373"/>
      <c r="BFD53" s="373"/>
      <c r="BFE53" s="373"/>
      <c r="BFF53" s="373"/>
      <c r="BFG53" s="373"/>
      <c r="BFH53" s="373"/>
      <c r="BFI53" s="373"/>
      <c r="BFJ53" s="373"/>
      <c r="BFK53" s="373"/>
      <c r="BFL53" s="373"/>
      <c r="BFM53" s="373"/>
      <c r="BFN53" s="373"/>
      <c r="BFO53" s="373"/>
      <c r="BFP53" s="373"/>
      <c r="BFQ53" s="373"/>
      <c r="BFR53" s="373"/>
      <c r="BFS53" s="373"/>
      <c r="BFT53" s="373"/>
      <c r="BFU53" s="373"/>
      <c r="BFV53" s="373"/>
      <c r="BFW53" s="373"/>
      <c r="BFX53" s="373"/>
      <c r="BFY53" s="373"/>
      <c r="BFZ53" s="373"/>
      <c r="BGA53" s="373"/>
      <c r="BGB53" s="373"/>
      <c r="BGC53" s="373"/>
      <c r="BGD53" s="373"/>
      <c r="BGE53" s="373"/>
      <c r="BGF53" s="373"/>
      <c r="BGG53" s="373"/>
      <c r="BGH53" s="373"/>
      <c r="BGI53" s="373"/>
      <c r="BGJ53" s="373"/>
      <c r="BGK53" s="373"/>
      <c r="BGL53" s="373"/>
      <c r="BGM53" s="373"/>
      <c r="BGN53" s="373"/>
      <c r="BGO53" s="373"/>
      <c r="BGP53" s="373"/>
      <c r="BGQ53" s="373"/>
      <c r="BGR53" s="373"/>
      <c r="BGS53" s="373"/>
      <c r="BGT53" s="373"/>
      <c r="BGU53" s="373"/>
      <c r="BGV53" s="373"/>
      <c r="BGW53" s="373"/>
      <c r="BGX53" s="373"/>
      <c r="BGY53" s="373"/>
      <c r="BGZ53" s="373"/>
      <c r="BHA53" s="373"/>
      <c r="BHB53" s="373"/>
      <c r="BHC53" s="373"/>
      <c r="BHD53" s="373"/>
      <c r="BHE53" s="373"/>
      <c r="BHF53" s="373"/>
      <c r="BHG53" s="373"/>
      <c r="BHH53" s="373"/>
      <c r="BHI53" s="373"/>
      <c r="BHJ53" s="373"/>
      <c r="BHK53" s="373"/>
      <c r="BHL53" s="373"/>
      <c r="BHM53" s="373"/>
      <c r="BHN53" s="373"/>
      <c r="BHO53" s="373"/>
      <c r="BHP53" s="373"/>
      <c r="BHQ53" s="373"/>
      <c r="BHR53" s="373"/>
      <c r="BHS53" s="373"/>
      <c r="BHT53" s="373"/>
      <c r="BHU53" s="373"/>
      <c r="BHV53" s="373"/>
      <c r="BHW53" s="373"/>
      <c r="BHX53" s="373"/>
      <c r="BHY53" s="373"/>
      <c r="BHZ53" s="373"/>
      <c r="BIA53" s="373"/>
      <c r="BIB53" s="373"/>
      <c r="BIC53" s="373"/>
      <c r="BID53" s="373"/>
      <c r="BIE53" s="373"/>
      <c r="BIF53" s="373"/>
      <c r="BIG53" s="373"/>
      <c r="BIH53" s="373"/>
      <c r="BII53" s="373"/>
      <c r="BIJ53" s="373"/>
      <c r="BIK53" s="373"/>
      <c r="BIL53" s="373"/>
      <c r="BIM53" s="373"/>
      <c r="BIN53" s="373"/>
      <c r="BIO53" s="373"/>
      <c r="BIP53" s="373"/>
      <c r="BIQ53" s="373"/>
      <c r="BIR53" s="373"/>
      <c r="BIS53" s="373"/>
      <c r="BIT53" s="373"/>
      <c r="BIU53" s="373"/>
      <c r="BIV53" s="373"/>
      <c r="BIW53" s="373"/>
      <c r="BIX53" s="373"/>
      <c r="BIY53" s="373"/>
      <c r="BIZ53" s="373"/>
      <c r="BJA53" s="373"/>
      <c r="BJB53" s="373"/>
      <c r="BJC53" s="373"/>
      <c r="BJD53" s="373"/>
      <c r="BJE53" s="373"/>
      <c r="BJF53" s="373"/>
      <c r="BJG53" s="373"/>
      <c r="BJH53" s="373"/>
      <c r="BJI53" s="373"/>
      <c r="BJJ53" s="373"/>
      <c r="BJK53" s="373"/>
      <c r="BJL53" s="373"/>
      <c r="BJM53" s="373"/>
      <c r="BJN53" s="373"/>
      <c r="BJO53" s="373"/>
      <c r="BJP53" s="373"/>
      <c r="BJQ53" s="373"/>
      <c r="BJR53" s="373"/>
      <c r="BJS53" s="373"/>
      <c r="BJT53" s="373"/>
      <c r="BJU53" s="373"/>
      <c r="BJV53" s="373"/>
      <c r="BJW53" s="373"/>
      <c r="BJX53" s="373"/>
      <c r="BJY53" s="373"/>
      <c r="BJZ53" s="373"/>
      <c r="BKA53" s="373"/>
      <c r="BKB53" s="373"/>
      <c r="BKC53" s="373"/>
      <c r="BKD53" s="373"/>
      <c r="BKE53" s="373"/>
      <c r="BKF53" s="373"/>
      <c r="BKG53" s="373"/>
      <c r="BKH53" s="373"/>
      <c r="BKI53" s="373"/>
      <c r="BKJ53" s="373"/>
      <c r="BKK53" s="373"/>
      <c r="BKL53" s="373"/>
      <c r="BKM53" s="373"/>
      <c r="BKN53" s="373"/>
      <c r="BKO53" s="373"/>
      <c r="BKP53" s="373"/>
      <c r="BKQ53" s="373"/>
      <c r="BKR53" s="373"/>
      <c r="BKS53" s="373"/>
      <c r="BKT53" s="373"/>
      <c r="BKU53" s="373"/>
      <c r="BKV53" s="373"/>
      <c r="BKW53" s="373"/>
      <c r="BKX53" s="373"/>
      <c r="BKY53" s="373"/>
      <c r="BKZ53" s="373"/>
      <c r="BLA53" s="373"/>
      <c r="BLB53" s="373"/>
      <c r="BLC53" s="373"/>
      <c r="BLD53" s="373"/>
      <c r="BLE53" s="373"/>
      <c r="BLF53" s="373"/>
      <c r="BLG53" s="373"/>
      <c r="BLH53" s="373"/>
      <c r="BLI53" s="373"/>
      <c r="BLJ53" s="373"/>
      <c r="BLK53" s="373"/>
      <c r="BLL53" s="373"/>
      <c r="BLM53" s="373"/>
      <c r="BLN53" s="373"/>
      <c r="BLO53" s="373"/>
      <c r="BLP53" s="373"/>
      <c r="BLQ53" s="373"/>
      <c r="BLR53" s="373"/>
      <c r="BLS53" s="373"/>
      <c r="BLT53" s="373"/>
      <c r="BLU53" s="373"/>
      <c r="BLV53" s="373"/>
      <c r="BLW53" s="373"/>
      <c r="BLX53" s="373"/>
      <c r="BLY53" s="373"/>
      <c r="BLZ53" s="373"/>
      <c r="BMA53" s="373"/>
      <c r="BMB53" s="373"/>
      <c r="BMC53" s="373"/>
      <c r="BMD53" s="373"/>
      <c r="BME53" s="373"/>
      <c r="BMF53" s="373"/>
      <c r="BMG53" s="373"/>
      <c r="BMH53" s="373"/>
      <c r="BMI53" s="373"/>
      <c r="BMJ53" s="373"/>
      <c r="BMK53" s="373"/>
      <c r="BML53" s="373"/>
      <c r="BMM53" s="373"/>
      <c r="BMN53" s="373"/>
      <c r="BMO53" s="373"/>
      <c r="BMP53" s="373"/>
      <c r="BMQ53" s="373"/>
      <c r="BMR53" s="373"/>
      <c r="BMS53" s="373"/>
      <c r="BMT53" s="373"/>
      <c r="BMU53" s="373"/>
      <c r="BMV53" s="373"/>
      <c r="BMW53" s="373"/>
      <c r="BMX53" s="373"/>
      <c r="BMY53" s="373"/>
      <c r="BMZ53" s="373"/>
      <c r="BNA53" s="373"/>
      <c r="BNB53" s="373"/>
      <c r="BNC53" s="373"/>
      <c r="BND53" s="373"/>
      <c r="BNE53" s="373"/>
      <c r="BNF53" s="373"/>
      <c r="BNG53" s="373"/>
      <c r="BNH53" s="373"/>
      <c r="BNI53" s="373"/>
      <c r="BNJ53" s="373"/>
      <c r="BNK53" s="373"/>
      <c r="BNL53" s="373"/>
      <c r="BNM53" s="373"/>
      <c r="BNN53" s="373"/>
      <c r="BNO53" s="373"/>
      <c r="BNP53" s="373"/>
      <c r="BNQ53" s="373"/>
      <c r="BNR53" s="373"/>
      <c r="BNS53" s="373"/>
      <c r="BNT53" s="373"/>
      <c r="BNU53" s="373"/>
      <c r="BNV53" s="373"/>
      <c r="BNW53" s="373"/>
      <c r="BNX53" s="373"/>
      <c r="BNY53" s="373"/>
      <c r="BNZ53" s="373"/>
      <c r="BOA53" s="373"/>
      <c r="BOB53" s="373"/>
      <c r="BOC53" s="373"/>
      <c r="BOD53" s="373"/>
      <c r="BOE53" s="373"/>
      <c r="BOF53" s="373"/>
      <c r="BOG53" s="373"/>
      <c r="BOH53" s="373"/>
      <c r="BOI53" s="373"/>
      <c r="BOJ53" s="373"/>
      <c r="BOK53" s="373"/>
      <c r="BOL53" s="373"/>
      <c r="BOM53" s="373"/>
      <c r="BON53" s="373"/>
      <c r="BOO53" s="373"/>
      <c r="BOP53" s="373"/>
      <c r="BOQ53" s="373"/>
      <c r="BOR53" s="373"/>
      <c r="BOS53" s="373"/>
      <c r="BOT53" s="373"/>
      <c r="BOU53" s="373"/>
      <c r="BOV53" s="373"/>
      <c r="BOW53" s="373"/>
      <c r="BOX53" s="373"/>
      <c r="BOY53" s="373"/>
      <c r="BOZ53" s="373"/>
      <c r="BPA53" s="373"/>
      <c r="BPB53" s="373"/>
      <c r="BPC53" s="373"/>
      <c r="BPD53" s="373"/>
      <c r="BPE53" s="373"/>
      <c r="BPF53" s="373"/>
      <c r="BPG53" s="373"/>
      <c r="BPH53" s="373"/>
      <c r="BPI53" s="373"/>
      <c r="BPJ53" s="373"/>
      <c r="BPK53" s="373"/>
      <c r="BPL53" s="373"/>
      <c r="BPM53" s="373"/>
      <c r="BPN53" s="373"/>
      <c r="BPO53" s="373"/>
      <c r="BPP53" s="373"/>
      <c r="BPQ53" s="373"/>
      <c r="BPR53" s="373"/>
      <c r="BPS53" s="373"/>
      <c r="BPT53" s="373"/>
      <c r="BPU53" s="373"/>
      <c r="BPV53" s="373"/>
      <c r="BPW53" s="373"/>
      <c r="BPX53" s="373"/>
      <c r="BPY53" s="373"/>
      <c r="BPZ53" s="373"/>
      <c r="BQA53" s="373"/>
      <c r="BQB53" s="373"/>
      <c r="BQC53" s="373"/>
      <c r="BQD53" s="373"/>
      <c r="BQE53" s="373"/>
      <c r="BQF53" s="373"/>
      <c r="BQG53" s="373"/>
      <c r="BQH53" s="373"/>
      <c r="BQI53" s="373"/>
      <c r="BQJ53" s="373"/>
      <c r="BQK53" s="373"/>
      <c r="BQL53" s="373"/>
      <c r="BQM53" s="373"/>
      <c r="BQN53" s="373"/>
      <c r="BQO53" s="373"/>
      <c r="BQP53" s="373"/>
      <c r="BQQ53" s="373"/>
      <c r="BQR53" s="373"/>
      <c r="BQS53" s="373"/>
      <c r="BQT53" s="373"/>
      <c r="BQU53" s="373"/>
      <c r="BQV53" s="373"/>
      <c r="BQW53" s="373"/>
      <c r="BQX53" s="373"/>
      <c r="BQY53" s="373"/>
      <c r="BQZ53" s="373"/>
      <c r="BRA53" s="373"/>
      <c r="BRB53" s="373"/>
      <c r="BRC53" s="373"/>
      <c r="BRD53" s="373"/>
      <c r="BRE53" s="373"/>
      <c r="BRF53" s="373"/>
      <c r="BRG53" s="373"/>
      <c r="BRH53" s="373"/>
      <c r="BRI53" s="373"/>
      <c r="BRJ53" s="373"/>
      <c r="BRK53" s="373"/>
      <c r="BRL53" s="373"/>
      <c r="BRM53" s="373"/>
      <c r="BRN53" s="373"/>
      <c r="BRO53" s="373"/>
      <c r="BRP53" s="373"/>
      <c r="BRQ53" s="373"/>
      <c r="BRR53" s="373"/>
      <c r="BRS53" s="373"/>
      <c r="BRT53" s="373"/>
      <c r="BRU53" s="373"/>
      <c r="BRV53" s="373"/>
      <c r="BRW53" s="373"/>
      <c r="BRX53" s="373"/>
      <c r="BRY53" s="373"/>
      <c r="BRZ53" s="373"/>
      <c r="BSA53" s="373"/>
      <c r="BSB53" s="373"/>
      <c r="BSC53" s="373"/>
      <c r="BSD53" s="373"/>
      <c r="BSE53" s="373"/>
      <c r="BSF53" s="373"/>
      <c r="BSG53" s="373"/>
      <c r="BSH53" s="373"/>
      <c r="BSI53" s="373"/>
      <c r="BSJ53" s="373"/>
      <c r="BSK53" s="373"/>
      <c r="BSL53" s="373"/>
      <c r="BSM53" s="373"/>
      <c r="BSN53" s="373"/>
      <c r="BSO53" s="373"/>
      <c r="BSP53" s="373"/>
      <c r="BSQ53" s="373"/>
      <c r="BSR53" s="373"/>
      <c r="BSS53" s="373"/>
      <c r="BST53" s="373"/>
      <c r="BSU53" s="373"/>
      <c r="BSV53" s="373"/>
      <c r="BSW53" s="373"/>
      <c r="BSX53" s="373"/>
      <c r="BSY53" s="373"/>
      <c r="BSZ53" s="373"/>
      <c r="BTA53" s="373"/>
      <c r="BTB53" s="373"/>
      <c r="BTC53" s="373"/>
      <c r="BTD53" s="373"/>
      <c r="BTE53" s="373"/>
      <c r="BTF53" s="373"/>
      <c r="BTG53" s="373"/>
      <c r="BTH53" s="373"/>
      <c r="BTI53" s="373"/>
      <c r="BTJ53" s="373"/>
      <c r="BTK53" s="373"/>
      <c r="BTL53" s="373"/>
      <c r="BTM53" s="373"/>
      <c r="BTN53" s="373"/>
      <c r="BTO53" s="373"/>
      <c r="BTP53" s="373"/>
      <c r="BTQ53" s="373"/>
      <c r="BTR53" s="373"/>
      <c r="BTS53" s="373"/>
      <c r="BTT53" s="373"/>
      <c r="BTU53" s="373"/>
      <c r="BTV53" s="373"/>
      <c r="BTW53" s="373"/>
      <c r="BTX53" s="373"/>
      <c r="BTY53" s="373"/>
      <c r="BTZ53" s="373"/>
      <c r="BUA53" s="373"/>
      <c r="BUB53" s="373"/>
      <c r="BUC53" s="373"/>
      <c r="BUD53" s="373"/>
      <c r="BUE53" s="373"/>
      <c r="BUF53" s="373"/>
      <c r="BUG53" s="373"/>
      <c r="BUH53" s="373"/>
      <c r="BUI53" s="373"/>
      <c r="BUJ53" s="373"/>
      <c r="BUK53" s="373"/>
      <c r="BUL53" s="373"/>
      <c r="BUM53" s="373"/>
      <c r="BUN53" s="373"/>
      <c r="BUO53" s="373"/>
      <c r="BUP53" s="373"/>
      <c r="BUQ53" s="373"/>
      <c r="BUR53" s="373"/>
      <c r="BUS53" s="373"/>
      <c r="BUT53" s="373"/>
      <c r="BUU53" s="373"/>
      <c r="BUV53" s="373"/>
      <c r="BUW53" s="373"/>
      <c r="BUX53" s="373"/>
      <c r="BUY53" s="373"/>
      <c r="BUZ53" s="373"/>
      <c r="BVA53" s="373"/>
      <c r="BVB53" s="373"/>
      <c r="BVC53" s="373"/>
      <c r="BVD53" s="373"/>
      <c r="BVE53" s="373"/>
      <c r="BVF53" s="373"/>
      <c r="BVG53" s="373"/>
      <c r="BVH53" s="373"/>
      <c r="BVI53" s="373"/>
      <c r="BVJ53" s="373"/>
      <c r="BVK53" s="373"/>
      <c r="BVL53" s="373"/>
      <c r="BVM53" s="373"/>
      <c r="BVN53" s="373"/>
      <c r="BVO53" s="373"/>
      <c r="BVP53" s="373"/>
      <c r="BVQ53" s="373"/>
      <c r="BVR53" s="373"/>
      <c r="BVS53" s="373"/>
      <c r="BVT53" s="373"/>
      <c r="BVU53" s="373"/>
      <c r="BVV53" s="373"/>
      <c r="BVW53" s="373"/>
      <c r="BVX53" s="373"/>
      <c r="BVY53" s="373"/>
      <c r="BVZ53" s="373"/>
      <c r="BWA53" s="373"/>
      <c r="BWB53" s="373"/>
      <c r="BWC53" s="373"/>
      <c r="BWD53" s="373"/>
      <c r="BWE53" s="373"/>
      <c r="BWF53" s="373"/>
      <c r="BWG53" s="373"/>
      <c r="BWH53" s="373"/>
      <c r="BWI53" s="373"/>
      <c r="BWJ53" s="373"/>
      <c r="BWK53" s="373"/>
      <c r="BWL53" s="373"/>
      <c r="BWM53" s="373"/>
      <c r="BWN53" s="373"/>
      <c r="BWO53" s="373"/>
      <c r="BWP53" s="373"/>
      <c r="BWQ53" s="373"/>
      <c r="BWR53" s="373"/>
      <c r="BWS53" s="373"/>
      <c r="BWT53" s="373"/>
      <c r="BWU53" s="373"/>
      <c r="BWV53" s="373"/>
      <c r="BWW53" s="373"/>
      <c r="BWX53" s="373"/>
      <c r="BWY53" s="373"/>
      <c r="BWZ53" s="373"/>
      <c r="BXA53" s="373"/>
      <c r="BXB53" s="373"/>
      <c r="BXC53" s="373"/>
      <c r="BXD53" s="373"/>
      <c r="BXE53" s="373"/>
      <c r="BXF53" s="373"/>
      <c r="BXG53" s="373"/>
      <c r="BXH53" s="373"/>
      <c r="BXI53" s="373"/>
      <c r="BXJ53" s="373"/>
      <c r="BXK53" s="373"/>
      <c r="BXL53" s="373"/>
      <c r="BXM53" s="373"/>
      <c r="BXN53" s="373"/>
      <c r="BXO53" s="373"/>
      <c r="BXP53" s="373"/>
      <c r="BXQ53" s="373"/>
      <c r="BXR53" s="373"/>
      <c r="BXS53" s="373"/>
      <c r="BXT53" s="373"/>
      <c r="BXU53" s="373"/>
      <c r="BXV53" s="373"/>
      <c r="BXW53" s="373"/>
      <c r="BXX53" s="373"/>
      <c r="BXY53" s="373"/>
      <c r="BXZ53" s="373"/>
      <c r="BYA53" s="373"/>
      <c r="BYB53" s="373"/>
      <c r="BYC53" s="373"/>
      <c r="BYD53" s="373"/>
      <c r="BYE53" s="373"/>
      <c r="BYF53" s="373"/>
      <c r="BYG53" s="373"/>
      <c r="BYH53" s="373"/>
      <c r="BYI53" s="373"/>
      <c r="BYJ53" s="373"/>
      <c r="BYK53" s="373"/>
      <c r="BYL53" s="373"/>
      <c r="BYM53" s="373"/>
      <c r="BYN53" s="373"/>
      <c r="BYO53" s="373"/>
      <c r="BYP53" s="373"/>
      <c r="BYQ53" s="373"/>
      <c r="BYR53" s="373"/>
      <c r="BYS53" s="373"/>
      <c r="BYT53" s="373"/>
      <c r="BYU53" s="373"/>
      <c r="BYV53" s="373"/>
      <c r="BYW53" s="373"/>
      <c r="BYX53" s="373"/>
      <c r="BYY53" s="373"/>
      <c r="BYZ53" s="373"/>
      <c r="BZA53" s="373"/>
      <c r="BZB53" s="373"/>
      <c r="BZC53" s="373"/>
      <c r="BZD53" s="373"/>
      <c r="BZE53" s="373"/>
      <c r="BZF53" s="373"/>
      <c r="BZG53" s="373"/>
      <c r="BZH53" s="373"/>
      <c r="BZI53" s="373"/>
      <c r="BZJ53" s="373"/>
      <c r="BZK53" s="373"/>
      <c r="BZL53" s="373"/>
      <c r="BZM53" s="373"/>
      <c r="BZN53" s="373"/>
      <c r="BZO53" s="373"/>
      <c r="BZP53" s="373"/>
      <c r="BZQ53" s="373"/>
      <c r="BZR53" s="373"/>
      <c r="BZS53" s="373"/>
      <c r="BZT53" s="373"/>
      <c r="BZU53" s="373"/>
      <c r="BZV53" s="373"/>
      <c r="BZW53" s="373"/>
      <c r="BZX53" s="373"/>
      <c r="BZY53" s="373"/>
      <c r="BZZ53" s="373"/>
      <c r="CAA53" s="373"/>
      <c r="CAB53" s="373"/>
      <c r="CAC53" s="373"/>
      <c r="CAD53" s="373"/>
      <c r="CAE53" s="373"/>
      <c r="CAF53" s="373"/>
      <c r="CAG53" s="373"/>
      <c r="CAH53" s="373"/>
      <c r="CAI53" s="373"/>
      <c r="CAJ53" s="373"/>
      <c r="CAK53" s="373"/>
      <c r="CAL53" s="373"/>
      <c r="CAM53" s="373"/>
      <c r="CAN53" s="373"/>
      <c r="CAO53" s="373"/>
      <c r="CAP53" s="373"/>
      <c r="CAQ53" s="373"/>
      <c r="CAR53" s="373"/>
      <c r="CAS53" s="373"/>
      <c r="CAT53" s="373"/>
      <c r="CAU53" s="373"/>
      <c r="CAV53" s="373"/>
      <c r="CAW53" s="373"/>
      <c r="CAX53" s="373"/>
      <c r="CAY53" s="373"/>
      <c r="CAZ53" s="373"/>
      <c r="CBA53" s="373"/>
      <c r="CBB53" s="373"/>
      <c r="CBC53" s="373"/>
      <c r="CBD53" s="373"/>
      <c r="CBE53" s="373"/>
      <c r="CBF53" s="373"/>
      <c r="CBG53" s="373"/>
      <c r="CBH53" s="373"/>
      <c r="CBI53" s="373"/>
      <c r="CBJ53" s="373"/>
      <c r="CBK53" s="373"/>
      <c r="CBL53" s="373"/>
      <c r="CBM53" s="373"/>
      <c r="CBN53" s="373"/>
      <c r="CBO53" s="373"/>
      <c r="CBP53" s="373"/>
      <c r="CBQ53" s="373"/>
      <c r="CBR53" s="373"/>
      <c r="CBS53" s="373"/>
      <c r="CBT53" s="373"/>
      <c r="CBU53" s="373"/>
      <c r="CBV53" s="373"/>
      <c r="CBW53" s="373"/>
      <c r="CBX53" s="373"/>
      <c r="CBY53" s="373"/>
      <c r="CBZ53" s="373"/>
      <c r="CCA53" s="373"/>
      <c r="CCB53" s="373"/>
      <c r="CCC53" s="373"/>
      <c r="CCD53" s="373"/>
      <c r="CCE53" s="373"/>
      <c r="CCF53" s="373"/>
      <c r="CCG53" s="373"/>
      <c r="CCH53" s="373"/>
      <c r="CCI53" s="373"/>
      <c r="CCJ53" s="373"/>
      <c r="CCK53" s="373"/>
      <c r="CCL53" s="373"/>
      <c r="CCM53" s="373"/>
      <c r="CCN53" s="373"/>
      <c r="CCO53" s="373"/>
      <c r="CCP53" s="373"/>
      <c r="CCQ53" s="373"/>
      <c r="CCR53" s="373"/>
      <c r="CCS53" s="373"/>
      <c r="CCT53" s="373"/>
      <c r="CCU53" s="373"/>
      <c r="CCV53" s="373"/>
      <c r="CCW53" s="373"/>
      <c r="CCX53" s="373"/>
      <c r="CCY53" s="373"/>
      <c r="CCZ53" s="373"/>
      <c r="CDA53" s="373"/>
      <c r="CDB53" s="373"/>
      <c r="CDC53" s="373"/>
      <c r="CDD53" s="373"/>
      <c r="CDE53" s="373"/>
      <c r="CDF53" s="373"/>
      <c r="CDG53" s="373"/>
      <c r="CDH53" s="373"/>
      <c r="CDI53" s="373"/>
      <c r="CDJ53" s="373"/>
      <c r="CDK53" s="373"/>
      <c r="CDL53" s="373"/>
      <c r="CDM53" s="373"/>
      <c r="CDN53" s="373"/>
      <c r="CDO53" s="373"/>
      <c r="CDP53" s="373"/>
      <c r="CDQ53" s="373"/>
      <c r="CDR53" s="373"/>
      <c r="CDS53" s="373"/>
      <c r="CDT53" s="373"/>
      <c r="CDU53" s="373"/>
      <c r="CDV53" s="373"/>
      <c r="CDW53" s="373"/>
      <c r="CDX53" s="373"/>
      <c r="CDY53" s="373"/>
      <c r="CDZ53" s="373"/>
      <c r="CEA53" s="373"/>
      <c r="CEB53" s="373"/>
      <c r="CEC53" s="373"/>
      <c r="CED53" s="373"/>
      <c r="CEE53" s="373"/>
      <c r="CEF53" s="373"/>
      <c r="CEG53" s="373"/>
      <c r="CEH53" s="373"/>
      <c r="CEI53" s="373"/>
      <c r="CEJ53" s="373"/>
      <c r="CEK53" s="373"/>
      <c r="CEL53" s="373"/>
      <c r="CEM53" s="373"/>
      <c r="CEN53" s="373"/>
      <c r="CEO53" s="373"/>
      <c r="CEP53" s="373"/>
      <c r="CEQ53" s="373"/>
      <c r="CER53" s="373"/>
      <c r="CES53" s="373"/>
      <c r="CET53" s="373"/>
      <c r="CEU53" s="373"/>
      <c r="CEV53" s="373"/>
      <c r="CEW53" s="373"/>
      <c r="CEX53" s="373"/>
      <c r="CEY53" s="373"/>
      <c r="CEZ53" s="373"/>
      <c r="CFA53" s="373"/>
      <c r="CFB53" s="373"/>
      <c r="CFC53" s="373"/>
      <c r="CFD53" s="373"/>
      <c r="CFE53" s="373"/>
      <c r="CFF53" s="373"/>
      <c r="CFG53" s="373"/>
      <c r="CFH53" s="373"/>
      <c r="CFI53" s="373"/>
      <c r="CFJ53" s="373"/>
      <c r="CFK53" s="373"/>
      <c r="CFL53" s="373"/>
      <c r="CFM53" s="373"/>
      <c r="CFN53" s="373"/>
      <c r="CFO53" s="373"/>
      <c r="CFP53" s="373"/>
      <c r="CFQ53" s="373"/>
      <c r="CFR53" s="373"/>
      <c r="CFS53" s="373"/>
      <c r="CFT53" s="373"/>
      <c r="CFU53" s="373"/>
      <c r="CFV53" s="373"/>
      <c r="CFW53" s="373"/>
      <c r="CFX53" s="373"/>
      <c r="CFY53" s="373"/>
      <c r="CFZ53" s="373"/>
      <c r="CGA53" s="373"/>
      <c r="CGB53" s="373"/>
      <c r="CGC53" s="373"/>
      <c r="CGD53" s="373"/>
      <c r="CGE53" s="373"/>
      <c r="CGF53" s="373"/>
      <c r="CGG53" s="373"/>
      <c r="CGH53" s="373"/>
      <c r="CGI53" s="373"/>
      <c r="CGJ53" s="373"/>
      <c r="CGK53" s="373"/>
      <c r="CGL53" s="373"/>
      <c r="CGM53" s="373"/>
      <c r="CGN53" s="373"/>
      <c r="CGO53" s="373"/>
      <c r="CGP53" s="373"/>
      <c r="CGQ53" s="373"/>
      <c r="CGR53" s="373"/>
      <c r="CGS53" s="373"/>
      <c r="CGT53" s="373"/>
      <c r="CGU53" s="373"/>
      <c r="CGV53" s="373"/>
      <c r="CGW53" s="373"/>
      <c r="CGX53" s="373"/>
      <c r="CGY53" s="373"/>
      <c r="CGZ53" s="373"/>
      <c r="CHA53" s="373"/>
      <c r="CHB53" s="373"/>
      <c r="CHC53" s="373"/>
      <c r="CHD53" s="373"/>
      <c r="CHE53" s="373"/>
      <c r="CHF53" s="373"/>
      <c r="CHG53" s="373"/>
      <c r="CHH53" s="373"/>
      <c r="CHI53" s="373"/>
      <c r="CHJ53" s="373"/>
      <c r="CHK53" s="373"/>
      <c r="CHL53" s="373"/>
      <c r="CHM53" s="373"/>
      <c r="CHN53" s="373"/>
      <c r="CHO53" s="373"/>
      <c r="CHP53" s="373"/>
      <c r="CHQ53" s="373"/>
      <c r="CHR53" s="373"/>
      <c r="CHS53" s="373"/>
      <c r="CHT53" s="373"/>
      <c r="CHU53" s="373"/>
      <c r="CHV53" s="373"/>
      <c r="CHW53" s="373"/>
      <c r="CHX53" s="373"/>
      <c r="CHY53" s="373"/>
      <c r="CHZ53" s="373"/>
      <c r="CIA53" s="373"/>
      <c r="CIB53" s="373"/>
      <c r="CIC53" s="373"/>
      <c r="CID53" s="373"/>
      <c r="CIE53" s="373"/>
      <c r="CIF53" s="373"/>
      <c r="CIG53" s="373"/>
      <c r="CIH53" s="373"/>
      <c r="CII53" s="373"/>
      <c r="CIJ53" s="373"/>
      <c r="CIK53" s="373"/>
      <c r="CIL53" s="373"/>
      <c r="CIM53" s="373"/>
      <c r="CIN53" s="373"/>
      <c r="CIO53" s="373"/>
      <c r="CIP53" s="373"/>
      <c r="CIQ53" s="373"/>
      <c r="CIR53" s="373"/>
      <c r="CIS53" s="373"/>
      <c r="CIT53" s="373"/>
      <c r="CIU53" s="373"/>
      <c r="CIV53" s="373"/>
      <c r="CIW53" s="373"/>
      <c r="CIX53" s="373"/>
      <c r="CIY53" s="373"/>
      <c r="CIZ53" s="373"/>
      <c r="CJA53" s="373"/>
      <c r="CJB53" s="373"/>
      <c r="CJC53" s="373"/>
      <c r="CJD53" s="373"/>
      <c r="CJE53" s="373"/>
      <c r="CJF53" s="373"/>
      <c r="CJG53" s="373"/>
      <c r="CJH53" s="373"/>
      <c r="CJI53" s="373"/>
      <c r="CJJ53" s="373"/>
      <c r="CJK53" s="373"/>
      <c r="CJL53" s="373"/>
      <c r="CJM53" s="373"/>
      <c r="CJN53" s="373"/>
      <c r="CJO53" s="373"/>
      <c r="CJP53" s="373"/>
      <c r="CJQ53" s="373"/>
      <c r="CJR53" s="373"/>
      <c r="CJS53" s="373"/>
      <c r="CJT53" s="373"/>
      <c r="CJU53" s="373"/>
      <c r="CJV53" s="373"/>
      <c r="CJW53" s="373"/>
      <c r="CJX53" s="373"/>
      <c r="CJY53" s="373"/>
      <c r="CJZ53" s="373"/>
      <c r="CKA53" s="373"/>
      <c r="CKB53" s="373"/>
      <c r="CKC53" s="373"/>
      <c r="CKD53" s="373"/>
      <c r="CKE53" s="373"/>
      <c r="CKF53" s="373"/>
      <c r="CKG53" s="373"/>
      <c r="CKH53" s="373"/>
      <c r="CKI53" s="373"/>
      <c r="CKJ53" s="373"/>
      <c r="CKK53" s="373"/>
      <c r="CKL53" s="373"/>
      <c r="CKM53" s="373"/>
      <c r="CKN53" s="373"/>
      <c r="CKO53" s="373"/>
      <c r="CKP53" s="373"/>
      <c r="CKQ53" s="373"/>
      <c r="CKR53" s="373"/>
      <c r="CKS53" s="373"/>
      <c r="CKT53" s="373"/>
      <c r="CKU53" s="373"/>
      <c r="CKV53" s="373"/>
      <c r="CKW53" s="373"/>
      <c r="CKX53" s="373"/>
      <c r="CKY53" s="373"/>
      <c r="CKZ53" s="373"/>
      <c r="CLA53" s="373"/>
      <c r="CLB53" s="373"/>
      <c r="CLC53" s="373"/>
      <c r="CLD53" s="373"/>
      <c r="CLE53" s="373"/>
      <c r="CLF53" s="373"/>
      <c r="CLG53" s="373"/>
      <c r="CLH53" s="373"/>
      <c r="CLI53" s="373"/>
      <c r="CLJ53" s="373"/>
      <c r="CLK53" s="373"/>
      <c r="CLL53" s="373"/>
      <c r="CLM53" s="373"/>
      <c r="CLN53" s="373"/>
      <c r="CLO53" s="373"/>
      <c r="CLP53" s="373"/>
      <c r="CLQ53" s="373"/>
      <c r="CLR53" s="373"/>
      <c r="CLS53" s="373"/>
      <c r="CLT53" s="373"/>
      <c r="CLU53" s="373"/>
      <c r="CLV53" s="373"/>
      <c r="CLW53" s="373"/>
      <c r="CLX53" s="373"/>
      <c r="CLY53" s="373"/>
      <c r="CLZ53" s="373"/>
      <c r="CMA53" s="373"/>
      <c r="CMB53" s="373"/>
      <c r="CMC53" s="373"/>
      <c r="CMD53" s="373"/>
      <c r="CME53" s="373"/>
      <c r="CMF53" s="373"/>
      <c r="CMG53" s="373"/>
      <c r="CMH53" s="373"/>
      <c r="CMI53" s="373"/>
      <c r="CMJ53" s="373"/>
      <c r="CMK53" s="373"/>
      <c r="CML53" s="373"/>
      <c r="CMM53" s="373"/>
      <c r="CMN53" s="373"/>
      <c r="CMO53" s="373"/>
      <c r="CMP53" s="373"/>
      <c r="CMQ53" s="373"/>
      <c r="CMR53" s="373"/>
      <c r="CMS53" s="373"/>
      <c r="CMT53" s="373"/>
      <c r="CMU53" s="373"/>
      <c r="CMV53" s="373"/>
      <c r="CMW53" s="373"/>
      <c r="CMX53" s="373"/>
      <c r="CMY53" s="373"/>
      <c r="CMZ53" s="373"/>
      <c r="CNA53" s="373"/>
      <c r="CNB53" s="373"/>
      <c r="CNC53" s="373"/>
      <c r="CND53" s="373"/>
      <c r="CNE53" s="373"/>
      <c r="CNF53" s="373"/>
      <c r="CNG53" s="373"/>
      <c r="CNH53" s="373"/>
      <c r="CNI53" s="373"/>
      <c r="CNJ53" s="373"/>
      <c r="CNK53" s="373"/>
      <c r="CNL53" s="373"/>
      <c r="CNM53" s="373"/>
      <c r="CNN53" s="373"/>
      <c r="CNO53" s="373"/>
      <c r="CNP53" s="373"/>
      <c r="CNQ53" s="373"/>
      <c r="CNR53" s="373"/>
      <c r="CNS53" s="373"/>
      <c r="CNT53" s="373"/>
      <c r="CNU53" s="373"/>
      <c r="CNV53" s="373"/>
      <c r="CNW53" s="373"/>
      <c r="CNX53" s="373"/>
      <c r="CNY53" s="373"/>
      <c r="CNZ53" s="373"/>
      <c r="COA53" s="373"/>
      <c r="COB53" s="373"/>
      <c r="COC53" s="373"/>
      <c r="COD53" s="373"/>
      <c r="COE53" s="373"/>
      <c r="COF53" s="373"/>
      <c r="COG53" s="373"/>
      <c r="COH53" s="373"/>
      <c r="COI53" s="373"/>
      <c r="COJ53" s="373"/>
      <c r="COK53" s="373"/>
      <c r="COL53" s="373"/>
      <c r="COM53" s="373"/>
      <c r="CON53" s="373"/>
      <c r="COO53" s="373"/>
      <c r="COP53" s="373"/>
      <c r="COQ53" s="373"/>
      <c r="COR53" s="373"/>
      <c r="COS53" s="373"/>
      <c r="COT53" s="373"/>
      <c r="COU53" s="373"/>
      <c r="COV53" s="373"/>
      <c r="COW53" s="373"/>
      <c r="COX53" s="373"/>
      <c r="COY53" s="373"/>
      <c r="COZ53" s="373"/>
      <c r="CPA53" s="373"/>
      <c r="CPB53" s="373"/>
      <c r="CPC53" s="373"/>
      <c r="CPD53" s="373"/>
      <c r="CPE53" s="373"/>
      <c r="CPF53" s="373"/>
      <c r="CPG53" s="373"/>
      <c r="CPH53" s="373"/>
      <c r="CPI53" s="373"/>
      <c r="CPJ53" s="373"/>
      <c r="CPK53" s="373"/>
      <c r="CPL53" s="373"/>
      <c r="CPM53" s="373"/>
      <c r="CPN53" s="373"/>
      <c r="CPO53" s="373"/>
      <c r="CPP53" s="373"/>
      <c r="CPQ53" s="373"/>
      <c r="CPR53" s="373"/>
      <c r="CPS53" s="373"/>
      <c r="CPT53" s="373"/>
      <c r="CPU53" s="373"/>
      <c r="CPV53" s="373"/>
      <c r="CPW53" s="373"/>
      <c r="CPX53" s="373"/>
      <c r="CPY53" s="373"/>
      <c r="CPZ53" s="373"/>
      <c r="CQA53" s="373"/>
      <c r="CQB53" s="373"/>
      <c r="CQC53" s="373"/>
      <c r="CQD53" s="373"/>
      <c r="CQE53" s="373"/>
      <c r="CQF53" s="373"/>
      <c r="CQG53" s="373"/>
      <c r="CQH53" s="373"/>
      <c r="CQI53" s="373"/>
      <c r="CQJ53" s="373"/>
      <c r="CQK53" s="373"/>
      <c r="CQL53" s="373"/>
      <c r="CQM53" s="373"/>
      <c r="CQN53" s="373"/>
      <c r="CQO53" s="373"/>
      <c r="CQP53" s="373"/>
      <c r="CQQ53" s="373"/>
      <c r="CQR53" s="373"/>
      <c r="CQS53" s="373"/>
      <c r="CQT53" s="373"/>
      <c r="CQU53" s="373"/>
      <c r="CQV53" s="373"/>
      <c r="CQW53" s="373"/>
      <c r="CQX53" s="373"/>
      <c r="CQY53" s="373"/>
      <c r="CQZ53" s="373"/>
      <c r="CRA53" s="373"/>
      <c r="CRB53" s="373"/>
      <c r="CRC53" s="373"/>
      <c r="CRD53" s="373"/>
      <c r="CRE53" s="373"/>
      <c r="CRF53" s="373"/>
      <c r="CRG53" s="373"/>
      <c r="CRH53" s="373"/>
      <c r="CRI53" s="373"/>
      <c r="CRJ53" s="373"/>
      <c r="CRK53" s="373"/>
      <c r="CRL53" s="373"/>
      <c r="CRM53" s="373"/>
      <c r="CRN53" s="373"/>
      <c r="CRO53" s="373"/>
      <c r="CRP53" s="373"/>
      <c r="CRQ53" s="373"/>
      <c r="CRR53" s="373"/>
      <c r="CRS53" s="373"/>
      <c r="CRT53" s="373"/>
      <c r="CRU53" s="373"/>
      <c r="CRV53" s="373"/>
      <c r="CRW53" s="373"/>
      <c r="CRX53" s="373"/>
      <c r="CRY53" s="373"/>
      <c r="CRZ53" s="373"/>
      <c r="CSA53" s="373"/>
      <c r="CSB53" s="373"/>
      <c r="CSC53" s="373"/>
      <c r="CSD53" s="373"/>
      <c r="CSE53" s="373"/>
      <c r="CSF53" s="373"/>
      <c r="CSG53" s="373"/>
      <c r="CSH53" s="373"/>
      <c r="CSI53" s="373"/>
      <c r="CSJ53" s="373"/>
      <c r="CSK53" s="373"/>
      <c r="CSL53" s="373"/>
      <c r="CSM53" s="373"/>
      <c r="CSN53" s="373"/>
      <c r="CSO53" s="373"/>
      <c r="CSP53" s="373"/>
      <c r="CSQ53" s="373"/>
      <c r="CSR53" s="373"/>
      <c r="CSS53" s="373"/>
      <c r="CST53" s="373"/>
      <c r="CSU53" s="373"/>
      <c r="CSV53" s="373"/>
      <c r="CSW53" s="373"/>
      <c r="CSX53" s="373"/>
      <c r="CSY53" s="373"/>
      <c r="CSZ53" s="373"/>
      <c r="CTA53" s="373"/>
      <c r="CTB53" s="373"/>
      <c r="CTC53" s="373"/>
      <c r="CTD53" s="373"/>
      <c r="CTE53" s="373"/>
      <c r="CTF53" s="373"/>
      <c r="CTG53" s="373"/>
      <c r="CTH53" s="373"/>
      <c r="CTI53" s="373"/>
      <c r="CTJ53" s="373"/>
      <c r="CTK53" s="373"/>
      <c r="CTL53" s="373"/>
      <c r="CTM53" s="373"/>
      <c r="CTN53" s="373"/>
      <c r="CTO53" s="373"/>
      <c r="CTP53" s="373"/>
      <c r="CTQ53" s="373"/>
      <c r="CTR53" s="373"/>
      <c r="CTS53" s="373"/>
      <c r="CTT53" s="373"/>
      <c r="CTU53" s="373"/>
      <c r="CTV53" s="373"/>
      <c r="CTW53" s="373"/>
      <c r="CTX53" s="373"/>
      <c r="CTY53" s="373"/>
      <c r="CTZ53" s="373"/>
      <c r="CUA53" s="373"/>
      <c r="CUB53" s="373"/>
      <c r="CUC53" s="373"/>
      <c r="CUD53" s="373"/>
      <c r="CUE53" s="373"/>
      <c r="CUF53" s="373"/>
      <c r="CUG53" s="373"/>
      <c r="CUH53" s="373"/>
      <c r="CUI53" s="373"/>
      <c r="CUJ53" s="373"/>
      <c r="CUK53" s="373"/>
      <c r="CUL53" s="373"/>
      <c r="CUM53" s="373"/>
      <c r="CUN53" s="373"/>
      <c r="CUO53" s="373"/>
      <c r="CUP53" s="373"/>
      <c r="CUQ53" s="373"/>
      <c r="CUR53" s="373"/>
      <c r="CUS53" s="373"/>
      <c r="CUT53" s="373"/>
      <c r="CUU53" s="373"/>
      <c r="CUV53" s="373"/>
      <c r="CUW53" s="373"/>
      <c r="CUX53" s="373"/>
      <c r="CUY53" s="373"/>
      <c r="CUZ53" s="373"/>
      <c r="CVA53" s="373"/>
      <c r="CVB53" s="373"/>
      <c r="CVC53" s="373"/>
      <c r="CVD53" s="373"/>
      <c r="CVE53" s="373"/>
      <c r="CVF53" s="373"/>
      <c r="CVG53" s="373"/>
      <c r="CVH53" s="373"/>
      <c r="CVI53" s="373"/>
      <c r="CVJ53" s="373"/>
      <c r="CVK53" s="373"/>
      <c r="CVL53" s="373"/>
      <c r="CVM53" s="373"/>
      <c r="CVN53" s="373"/>
      <c r="CVO53" s="373"/>
      <c r="CVP53" s="373"/>
      <c r="CVQ53" s="373"/>
      <c r="CVR53" s="373"/>
      <c r="CVS53" s="373"/>
      <c r="CVT53" s="373"/>
      <c r="CVU53" s="373"/>
      <c r="CVV53" s="373"/>
      <c r="CVW53" s="373"/>
      <c r="CVX53" s="373"/>
      <c r="CVY53" s="373"/>
      <c r="CVZ53" s="373"/>
      <c r="CWA53" s="373"/>
      <c r="CWB53" s="373"/>
      <c r="CWC53" s="373"/>
      <c r="CWD53" s="373"/>
      <c r="CWE53" s="373"/>
      <c r="CWF53" s="373"/>
      <c r="CWG53" s="373"/>
      <c r="CWH53" s="373"/>
      <c r="CWI53" s="373"/>
      <c r="CWJ53" s="373"/>
      <c r="CWK53" s="373"/>
      <c r="CWL53" s="373"/>
      <c r="CWM53" s="373"/>
      <c r="CWN53" s="373"/>
      <c r="CWO53" s="373"/>
      <c r="CWP53" s="373"/>
      <c r="CWQ53" s="373"/>
      <c r="CWR53" s="373"/>
      <c r="CWS53" s="373"/>
      <c r="CWT53" s="373"/>
      <c r="CWU53" s="373"/>
      <c r="CWV53" s="373"/>
      <c r="CWW53" s="373"/>
      <c r="CWX53" s="373"/>
      <c r="CWY53" s="373"/>
      <c r="CWZ53" s="373"/>
      <c r="CXA53" s="373"/>
      <c r="CXB53" s="373"/>
      <c r="CXC53" s="373"/>
      <c r="CXD53" s="373"/>
      <c r="CXE53" s="373"/>
      <c r="CXF53" s="373"/>
      <c r="CXG53" s="373"/>
      <c r="CXH53" s="373"/>
      <c r="CXI53" s="373"/>
      <c r="CXJ53" s="373"/>
      <c r="CXK53" s="373"/>
      <c r="CXL53" s="373"/>
      <c r="CXM53" s="373"/>
      <c r="CXN53" s="373"/>
      <c r="CXO53" s="373"/>
      <c r="CXP53" s="373"/>
      <c r="CXQ53" s="373"/>
      <c r="CXR53" s="373"/>
      <c r="CXS53" s="373"/>
      <c r="CXT53" s="373"/>
      <c r="CXU53" s="373"/>
      <c r="CXV53" s="373"/>
      <c r="CXW53" s="373"/>
      <c r="CXX53" s="373"/>
      <c r="CXY53" s="373"/>
      <c r="CXZ53" s="373"/>
      <c r="CYA53" s="373"/>
      <c r="CYB53" s="373"/>
      <c r="CYC53" s="373"/>
      <c r="CYD53" s="373"/>
      <c r="CYE53" s="373"/>
      <c r="CYF53" s="373"/>
      <c r="CYG53" s="373"/>
      <c r="CYH53" s="373"/>
      <c r="CYI53" s="373"/>
      <c r="CYJ53" s="373"/>
      <c r="CYK53" s="373"/>
      <c r="CYL53" s="373"/>
      <c r="CYM53" s="373"/>
      <c r="CYN53" s="373"/>
      <c r="CYO53" s="373"/>
      <c r="CYP53" s="373"/>
      <c r="CYQ53" s="373"/>
      <c r="CYR53" s="373"/>
      <c r="CYS53" s="373"/>
      <c r="CYT53" s="373"/>
      <c r="CYU53" s="373"/>
      <c r="CYV53" s="373"/>
      <c r="CYW53" s="373"/>
      <c r="CYX53" s="373"/>
      <c r="CYY53" s="373"/>
      <c r="CYZ53" s="373"/>
      <c r="CZA53" s="373"/>
      <c r="CZB53" s="373"/>
      <c r="CZC53" s="373"/>
      <c r="CZD53" s="373"/>
      <c r="CZE53" s="373"/>
      <c r="CZF53" s="373"/>
      <c r="CZG53" s="373"/>
      <c r="CZH53" s="373"/>
      <c r="CZI53" s="373"/>
      <c r="CZJ53" s="373"/>
      <c r="CZK53" s="373"/>
      <c r="CZL53" s="373"/>
      <c r="CZM53" s="373"/>
      <c r="CZN53" s="373"/>
      <c r="CZO53" s="373"/>
      <c r="CZP53" s="373"/>
      <c r="CZQ53" s="373"/>
      <c r="CZR53" s="373"/>
      <c r="CZS53" s="373"/>
      <c r="CZT53" s="373"/>
      <c r="CZU53" s="373"/>
      <c r="CZV53" s="373"/>
      <c r="CZW53" s="373"/>
      <c r="CZX53" s="373"/>
      <c r="CZY53" s="373"/>
      <c r="CZZ53" s="373"/>
      <c r="DAA53" s="373"/>
      <c r="DAB53" s="373"/>
      <c r="DAC53" s="373"/>
      <c r="DAD53" s="373"/>
      <c r="DAE53" s="373"/>
      <c r="DAF53" s="373"/>
      <c r="DAG53" s="373"/>
      <c r="DAH53" s="373"/>
      <c r="DAI53" s="373"/>
      <c r="DAJ53" s="373"/>
      <c r="DAK53" s="373"/>
      <c r="DAL53" s="373"/>
      <c r="DAM53" s="373"/>
      <c r="DAN53" s="373"/>
      <c r="DAO53" s="373"/>
      <c r="DAP53" s="373"/>
      <c r="DAQ53" s="373"/>
      <c r="DAR53" s="373"/>
      <c r="DAS53" s="373"/>
      <c r="DAT53" s="373"/>
      <c r="DAU53" s="373"/>
      <c r="DAV53" s="373"/>
      <c r="DAW53" s="373"/>
      <c r="DAX53" s="373"/>
      <c r="DAY53" s="373"/>
      <c r="DAZ53" s="373"/>
      <c r="DBA53" s="373"/>
      <c r="DBB53" s="373"/>
      <c r="DBC53" s="373"/>
      <c r="DBD53" s="373"/>
      <c r="DBE53" s="373"/>
      <c r="DBF53" s="373"/>
      <c r="DBG53" s="373"/>
      <c r="DBH53" s="373"/>
      <c r="DBI53" s="373"/>
      <c r="DBJ53" s="373"/>
      <c r="DBK53" s="373"/>
      <c r="DBL53" s="373"/>
      <c r="DBM53" s="373"/>
      <c r="DBN53" s="373"/>
      <c r="DBO53" s="373"/>
      <c r="DBP53" s="373"/>
      <c r="DBQ53" s="373"/>
      <c r="DBR53" s="373"/>
      <c r="DBS53" s="373"/>
      <c r="DBT53" s="373"/>
      <c r="DBU53" s="373"/>
      <c r="DBV53" s="373"/>
      <c r="DBW53" s="373"/>
      <c r="DBX53" s="373"/>
      <c r="DBY53" s="373"/>
      <c r="DBZ53" s="373"/>
      <c r="DCA53" s="373"/>
      <c r="DCB53" s="373"/>
      <c r="DCC53" s="373"/>
      <c r="DCD53" s="373"/>
      <c r="DCE53" s="373"/>
      <c r="DCF53" s="373"/>
      <c r="DCG53" s="373"/>
      <c r="DCH53" s="373"/>
      <c r="DCI53" s="373"/>
      <c r="DCJ53" s="373"/>
      <c r="DCK53" s="373"/>
      <c r="DCL53" s="373"/>
      <c r="DCM53" s="373"/>
      <c r="DCN53" s="373"/>
      <c r="DCO53" s="373"/>
      <c r="DCP53" s="373"/>
      <c r="DCQ53" s="373"/>
      <c r="DCR53" s="373"/>
      <c r="DCS53" s="373"/>
      <c r="DCT53" s="373"/>
      <c r="DCU53" s="373"/>
      <c r="DCV53" s="373"/>
      <c r="DCW53" s="373"/>
      <c r="DCX53" s="373"/>
      <c r="DCY53" s="373"/>
      <c r="DCZ53" s="373"/>
      <c r="DDA53" s="373"/>
      <c r="DDB53" s="373"/>
      <c r="DDC53" s="373"/>
      <c r="DDD53" s="373"/>
      <c r="DDE53" s="373"/>
      <c r="DDF53" s="373"/>
      <c r="DDG53" s="373"/>
      <c r="DDH53" s="373"/>
      <c r="DDI53" s="373"/>
      <c r="DDJ53" s="373"/>
      <c r="DDK53" s="373"/>
      <c r="DDL53" s="373"/>
      <c r="DDM53" s="373"/>
      <c r="DDN53" s="373"/>
      <c r="DDO53" s="373"/>
      <c r="DDP53" s="373"/>
      <c r="DDQ53" s="373"/>
      <c r="DDR53" s="373"/>
      <c r="DDS53" s="373"/>
      <c r="DDT53" s="373"/>
      <c r="DDU53" s="373"/>
      <c r="DDV53" s="373"/>
      <c r="DDW53" s="373"/>
      <c r="DDX53" s="373"/>
      <c r="DDY53" s="373"/>
      <c r="DDZ53" s="373"/>
      <c r="DEA53" s="373"/>
      <c r="DEB53" s="373"/>
      <c r="DEC53" s="373"/>
      <c r="DED53" s="373"/>
      <c r="DEE53" s="373"/>
      <c r="DEF53" s="373"/>
      <c r="DEG53" s="373"/>
      <c r="DEH53" s="373"/>
      <c r="DEI53" s="373"/>
      <c r="DEJ53" s="373"/>
      <c r="DEK53" s="373"/>
      <c r="DEL53" s="373"/>
      <c r="DEM53" s="373"/>
      <c r="DEN53" s="373"/>
      <c r="DEO53" s="373"/>
      <c r="DEP53" s="373"/>
      <c r="DEQ53" s="373"/>
      <c r="DER53" s="373"/>
      <c r="DES53" s="373"/>
      <c r="DET53" s="373"/>
      <c r="DEU53" s="373"/>
      <c r="DEV53" s="373"/>
      <c r="DEW53" s="373"/>
      <c r="DEX53" s="373"/>
      <c r="DEY53" s="373"/>
      <c r="DEZ53" s="373"/>
      <c r="DFA53" s="373"/>
      <c r="DFB53" s="373"/>
      <c r="DFC53" s="373"/>
      <c r="DFD53" s="373"/>
      <c r="DFE53" s="373"/>
      <c r="DFF53" s="373"/>
      <c r="DFG53" s="373"/>
      <c r="DFH53" s="373"/>
      <c r="DFI53" s="373"/>
      <c r="DFJ53" s="373"/>
      <c r="DFK53" s="373"/>
      <c r="DFL53" s="373"/>
      <c r="DFM53" s="373"/>
      <c r="DFN53" s="373"/>
      <c r="DFO53" s="373"/>
      <c r="DFP53" s="373"/>
      <c r="DFQ53" s="373"/>
      <c r="DFR53" s="373"/>
      <c r="DFS53" s="373"/>
      <c r="DFT53" s="373"/>
      <c r="DFU53" s="373"/>
      <c r="DFV53" s="373"/>
      <c r="DFW53" s="373"/>
      <c r="DFX53" s="373"/>
      <c r="DFY53" s="373"/>
      <c r="DFZ53" s="373"/>
      <c r="DGA53" s="373"/>
      <c r="DGB53" s="373"/>
      <c r="DGC53" s="373"/>
      <c r="DGD53" s="373"/>
      <c r="DGE53" s="373"/>
      <c r="DGF53" s="373"/>
      <c r="DGG53" s="373"/>
      <c r="DGH53" s="373"/>
      <c r="DGI53" s="373"/>
      <c r="DGJ53" s="373"/>
      <c r="DGK53" s="373"/>
      <c r="DGL53" s="373"/>
      <c r="DGM53" s="373"/>
      <c r="DGN53" s="373"/>
      <c r="DGO53" s="373"/>
      <c r="DGP53" s="373"/>
      <c r="DGQ53" s="373"/>
      <c r="DGR53" s="373"/>
      <c r="DGS53" s="373"/>
      <c r="DGT53" s="373"/>
      <c r="DGU53" s="373"/>
      <c r="DGV53" s="373"/>
      <c r="DGW53" s="373"/>
      <c r="DGX53" s="373"/>
      <c r="DGY53" s="373"/>
      <c r="DGZ53" s="373"/>
      <c r="DHA53" s="373"/>
      <c r="DHB53" s="373"/>
      <c r="DHC53" s="373"/>
      <c r="DHD53" s="373"/>
      <c r="DHE53" s="373"/>
      <c r="DHF53" s="373"/>
      <c r="DHG53" s="373"/>
      <c r="DHH53" s="373"/>
      <c r="DHI53" s="373"/>
      <c r="DHJ53" s="373"/>
      <c r="DHK53" s="373"/>
      <c r="DHL53" s="373"/>
      <c r="DHM53" s="373"/>
      <c r="DHN53" s="373"/>
      <c r="DHO53" s="373"/>
      <c r="DHP53" s="373"/>
      <c r="DHQ53" s="373"/>
      <c r="DHR53" s="373"/>
      <c r="DHS53" s="373"/>
      <c r="DHT53" s="373"/>
      <c r="DHU53" s="373"/>
      <c r="DHV53" s="373"/>
      <c r="DHW53" s="373"/>
      <c r="DHX53" s="373"/>
      <c r="DHY53" s="373"/>
      <c r="DHZ53" s="373"/>
      <c r="DIA53" s="373"/>
      <c r="DIB53" s="373"/>
      <c r="DIC53" s="373"/>
      <c r="DID53" s="373"/>
      <c r="DIE53" s="373"/>
      <c r="DIF53" s="373"/>
      <c r="DIG53" s="373"/>
      <c r="DIH53" s="373"/>
      <c r="DII53" s="373"/>
      <c r="DIJ53" s="373"/>
      <c r="DIK53" s="373"/>
      <c r="DIL53" s="373"/>
      <c r="DIM53" s="373"/>
      <c r="DIN53" s="373"/>
      <c r="DIO53" s="373"/>
      <c r="DIP53" s="373"/>
      <c r="DIQ53" s="373"/>
      <c r="DIR53" s="373"/>
      <c r="DIS53" s="373"/>
      <c r="DIT53" s="373"/>
      <c r="DIU53" s="373"/>
      <c r="DIV53" s="373"/>
      <c r="DIW53" s="373"/>
      <c r="DIX53" s="373"/>
      <c r="DIY53" s="373"/>
      <c r="DIZ53" s="373"/>
      <c r="DJA53" s="373"/>
      <c r="DJB53" s="373"/>
      <c r="DJC53" s="373"/>
      <c r="DJD53" s="373"/>
      <c r="DJE53" s="373"/>
      <c r="DJF53" s="373"/>
      <c r="DJG53" s="373"/>
      <c r="DJH53" s="373"/>
      <c r="DJI53" s="373"/>
      <c r="DJJ53" s="373"/>
      <c r="DJK53" s="373"/>
      <c r="DJL53" s="373"/>
      <c r="DJM53" s="373"/>
      <c r="DJN53" s="373"/>
      <c r="DJO53" s="373"/>
      <c r="DJP53" s="373"/>
      <c r="DJQ53" s="373"/>
      <c r="DJR53" s="373"/>
      <c r="DJS53" s="373"/>
      <c r="DJT53" s="373"/>
      <c r="DJU53" s="373"/>
      <c r="DJV53" s="373"/>
      <c r="DJW53" s="373"/>
      <c r="DJX53" s="373"/>
      <c r="DJY53" s="373"/>
      <c r="DJZ53" s="373"/>
      <c r="DKA53" s="373"/>
      <c r="DKB53" s="373"/>
      <c r="DKC53" s="373"/>
      <c r="DKD53" s="373"/>
      <c r="DKE53" s="373"/>
      <c r="DKF53" s="373"/>
      <c r="DKG53" s="373"/>
      <c r="DKH53" s="373"/>
      <c r="DKI53" s="373"/>
      <c r="DKJ53" s="373"/>
      <c r="DKK53" s="373"/>
      <c r="DKL53" s="373"/>
      <c r="DKM53" s="373"/>
      <c r="DKN53" s="373"/>
      <c r="DKO53" s="373"/>
      <c r="DKP53" s="373"/>
      <c r="DKQ53" s="373"/>
      <c r="DKR53" s="373"/>
      <c r="DKS53" s="373"/>
      <c r="DKT53" s="373"/>
      <c r="DKU53" s="373"/>
      <c r="DKV53" s="373"/>
      <c r="DKW53" s="373"/>
      <c r="DKX53" s="373"/>
      <c r="DKY53" s="373"/>
      <c r="DKZ53" s="373"/>
      <c r="DLA53" s="373"/>
      <c r="DLB53" s="373"/>
      <c r="DLC53" s="373"/>
      <c r="DLD53" s="373"/>
      <c r="DLE53" s="373"/>
      <c r="DLF53" s="373"/>
      <c r="DLG53" s="373"/>
      <c r="DLH53" s="373"/>
      <c r="DLI53" s="373"/>
      <c r="DLJ53" s="373"/>
      <c r="DLK53" s="373"/>
      <c r="DLL53" s="373"/>
      <c r="DLM53" s="373"/>
      <c r="DLN53" s="373"/>
      <c r="DLO53" s="373"/>
      <c r="DLP53" s="373"/>
      <c r="DLQ53" s="373"/>
      <c r="DLR53" s="373"/>
      <c r="DLS53" s="373"/>
      <c r="DLT53" s="373"/>
      <c r="DLU53" s="373"/>
      <c r="DLV53" s="373"/>
      <c r="DLW53" s="373"/>
      <c r="DLX53" s="373"/>
      <c r="DLY53" s="373"/>
      <c r="DLZ53" s="373"/>
      <c r="DMA53" s="373"/>
      <c r="DMB53" s="373"/>
      <c r="DMC53" s="373"/>
      <c r="DMD53" s="373"/>
      <c r="DME53" s="373"/>
      <c r="DMF53" s="373"/>
      <c r="DMG53" s="373"/>
      <c r="DMH53" s="373"/>
      <c r="DMI53" s="373"/>
      <c r="DMJ53" s="373"/>
      <c r="DMK53" s="373"/>
      <c r="DML53" s="373"/>
      <c r="DMM53" s="373"/>
      <c r="DMN53" s="373"/>
      <c r="DMO53" s="373"/>
      <c r="DMP53" s="373"/>
      <c r="DMQ53" s="373"/>
      <c r="DMR53" s="373"/>
      <c r="DMS53" s="373"/>
      <c r="DMT53" s="373"/>
      <c r="DMU53" s="373"/>
      <c r="DMV53" s="373"/>
      <c r="DMW53" s="373"/>
      <c r="DMX53" s="373"/>
      <c r="DMY53" s="373"/>
      <c r="DMZ53" s="373"/>
      <c r="DNA53" s="373"/>
      <c r="DNB53" s="373"/>
      <c r="DNC53" s="373"/>
      <c r="DND53" s="373"/>
      <c r="DNE53" s="373"/>
      <c r="DNF53" s="373"/>
      <c r="DNG53" s="373"/>
      <c r="DNH53" s="373"/>
      <c r="DNI53" s="373"/>
      <c r="DNJ53" s="373"/>
      <c r="DNK53" s="373"/>
      <c r="DNL53" s="373"/>
      <c r="DNM53" s="373"/>
      <c r="DNN53" s="373"/>
      <c r="DNO53" s="373"/>
      <c r="DNP53" s="373"/>
      <c r="DNQ53" s="373"/>
      <c r="DNR53" s="373"/>
      <c r="DNS53" s="373"/>
      <c r="DNT53" s="373"/>
      <c r="DNU53" s="373"/>
      <c r="DNV53" s="373"/>
      <c r="DNW53" s="373"/>
      <c r="DNX53" s="373"/>
      <c r="DNY53" s="373"/>
      <c r="DNZ53" s="373"/>
      <c r="DOA53" s="373"/>
      <c r="DOB53" s="373"/>
      <c r="DOC53" s="373"/>
      <c r="DOD53" s="373"/>
      <c r="DOE53" s="373"/>
      <c r="DOF53" s="373"/>
      <c r="DOG53" s="373"/>
      <c r="DOH53" s="373"/>
      <c r="DOI53" s="373"/>
      <c r="DOJ53" s="373"/>
      <c r="DOK53" s="373"/>
      <c r="DOL53" s="373"/>
      <c r="DOM53" s="373"/>
      <c r="DON53" s="373"/>
      <c r="DOO53" s="373"/>
      <c r="DOP53" s="373"/>
      <c r="DOQ53" s="373"/>
      <c r="DOR53" s="373"/>
      <c r="DOS53" s="373"/>
      <c r="DOT53" s="373"/>
      <c r="DOU53" s="373"/>
      <c r="DOV53" s="373"/>
      <c r="DOW53" s="373"/>
      <c r="DOX53" s="373"/>
      <c r="DOY53" s="373"/>
      <c r="DOZ53" s="373"/>
      <c r="DPA53" s="373"/>
      <c r="DPB53" s="373"/>
      <c r="DPC53" s="373"/>
      <c r="DPD53" s="373"/>
      <c r="DPE53" s="373"/>
      <c r="DPF53" s="373"/>
      <c r="DPG53" s="373"/>
      <c r="DPH53" s="373"/>
      <c r="DPI53" s="373"/>
      <c r="DPJ53" s="373"/>
      <c r="DPK53" s="373"/>
      <c r="DPL53" s="373"/>
      <c r="DPM53" s="373"/>
      <c r="DPN53" s="373"/>
      <c r="DPO53" s="373"/>
      <c r="DPP53" s="373"/>
      <c r="DPQ53" s="373"/>
      <c r="DPR53" s="373"/>
      <c r="DPS53" s="373"/>
      <c r="DPT53" s="373"/>
      <c r="DPU53" s="373"/>
      <c r="DPV53" s="373"/>
      <c r="DPW53" s="373"/>
      <c r="DPX53" s="373"/>
      <c r="DPY53" s="373"/>
      <c r="DPZ53" s="373"/>
      <c r="DQA53" s="373"/>
      <c r="DQB53" s="373"/>
      <c r="DQC53" s="373"/>
      <c r="DQD53" s="373"/>
      <c r="DQE53" s="373"/>
      <c r="DQF53" s="373"/>
      <c r="DQG53" s="373"/>
      <c r="DQH53" s="373"/>
      <c r="DQI53" s="373"/>
      <c r="DQJ53" s="373"/>
      <c r="DQK53" s="373"/>
      <c r="DQL53" s="373"/>
      <c r="DQM53" s="373"/>
      <c r="DQN53" s="373"/>
      <c r="DQO53" s="373"/>
      <c r="DQP53" s="373"/>
      <c r="DQQ53" s="373"/>
      <c r="DQR53" s="373"/>
      <c r="DQS53" s="373"/>
      <c r="DQT53" s="373"/>
      <c r="DQU53" s="373"/>
      <c r="DQV53" s="373"/>
      <c r="DQW53" s="373"/>
      <c r="DQX53" s="373"/>
      <c r="DQY53" s="373"/>
      <c r="DQZ53" s="373"/>
      <c r="DRA53" s="373"/>
      <c r="DRB53" s="373"/>
      <c r="DRC53" s="373"/>
      <c r="DRD53" s="373"/>
      <c r="DRE53" s="373"/>
      <c r="DRF53" s="373"/>
      <c r="DRG53" s="373"/>
      <c r="DRH53" s="373"/>
      <c r="DRI53" s="373"/>
      <c r="DRJ53" s="373"/>
      <c r="DRK53" s="373"/>
      <c r="DRL53" s="373"/>
      <c r="DRM53" s="373"/>
      <c r="DRN53" s="373"/>
      <c r="DRO53" s="373"/>
      <c r="DRP53" s="373"/>
      <c r="DRQ53" s="373"/>
      <c r="DRR53" s="373"/>
      <c r="DRS53" s="373"/>
      <c r="DRT53" s="373"/>
      <c r="DRU53" s="373"/>
      <c r="DRV53" s="373"/>
      <c r="DRW53" s="373"/>
      <c r="DRX53" s="373"/>
      <c r="DRY53" s="373"/>
      <c r="DRZ53" s="373"/>
      <c r="DSA53" s="373"/>
      <c r="DSB53" s="373"/>
      <c r="DSC53" s="373"/>
      <c r="DSD53" s="373"/>
      <c r="DSE53" s="373"/>
      <c r="DSF53" s="373"/>
      <c r="DSG53" s="373"/>
      <c r="DSH53" s="373"/>
      <c r="DSI53" s="373"/>
      <c r="DSJ53" s="373"/>
      <c r="DSK53" s="373"/>
      <c r="DSL53" s="373"/>
      <c r="DSM53" s="373"/>
      <c r="DSN53" s="373"/>
      <c r="DSO53" s="373"/>
      <c r="DSP53" s="373"/>
      <c r="DSQ53" s="373"/>
      <c r="DSR53" s="373"/>
      <c r="DSS53" s="373"/>
      <c r="DST53" s="373"/>
      <c r="DSU53" s="373"/>
      <c r="DSV53" s="373"/>
      <c r="DSW53" s="373"/>
      <c r="DSX53" s="373"/>
      <c r="DSY53" s="373"/>
      <c r="DSZ53" s="373"/>
      <c r="DTA53" s="373"/>
      <c r="DTB53" s="373"/>
      <c r="DTC53" s="373"/>
      <c r="DTD53" s="373"/>
      <c r="DTE53" s="373"/>
      <c r="DTF53" s="373"/>
      <c r="DTG53" s="373"/>
      <c r="DTH53" s="373"/>
      <c r="DTI53" s="373"/>
      <c r="DTJ53" s="373"/>
      <c r="DTK53" s="373"/>
      <c r="DTL53" s="373"/>
      <c r="DTM53" s="373"/>
      <c r="DTN53" s="373"/>
      <c r="DTO53" s="373"/>
      <c r="DTP53" s="373"/>
      <c r="DTQ53" s="373"/>
      <c r="DTR53" s="373"/>
      <c r="DTS53" s="373"/>
      <c r="DTT53" s="373"/>
      <c r="DTU53" s="373"/>
      <c r="DTV53" s="373"/>
      <c r="DTW53" s="373"/>
      <c r="DTX53" s="373"/>
      <c r="DTY53" s="373"/>
      <c r="DTZ53" s="373"/>
      <c r="DUA53" s="373"/>
      <c r="DUB53" s="373"/>
      <c r="DUC53" s="373"/>
      <c r="DUD53" s="373"/>
      <c r="DUE53" s="373"/>
      <c r="DUF53" s="373"/>
      <c r="DUG53" s="373"/>
      <c r="DUH53" s="373"/>
      <c r="DUI53" s="373"/>
      <c r="DUJ53" s="373"/>
      <c r="DUK53" s="373"/>
      <c r="DUL53" s="373"/>
      <c r="DUM53" s="373"/>
      <c r="DUN53" s="373"/>
      <c r="DUO53" s="373"/>
      <c r="DUP53" s="373"/>
      <c r="DUQ53" s="373"/>
      <c r="DUR53" s="373"/>
      <c r="DUS53" s="373"/>
      <c r="DUT53" s="373"/>
      <c r="DUU53" s="373"/>
      <c r="DUV53" s="373"/>
      <c r="DUW53" s="373"/>
      <c r="DUX53" s="373"/>
      <c r="DUY53" s="373"/>
      <c r="DUZ53" s="373"/>
      <c r="DVA53" s="373"/>
      <c r="DVB53" s="373"/>
      <c r="DVC53" s="373"/>
      <c r="DVD53" s="373"/>
      <c r="DVE53" s="373"/>
      <c r="DVF53" s="373"/>
      <c r="DVG53" s="373"/>
      <c r="DVH53" s="373"/>
      <c r="DVI53" s="373"/>
      <c r="DVJ53" s="373"/>
      <c r="DVK53" s="373"/>
      <c r="DVL53" s="373"/>
      <c r="DVM53" s="373"/>
      <c r="DVN53" s="373"/>
      <c r="DVO53" s="373"/>
      <c r="DVP53" s="373"/>
      <c r="DVQ53" s="373"/>
      <c r="DVR53" s="373"/>
      <c r="DVS53" s="373"/>
      <c r="DVT53" s="373"/>
      <c r="DVU53" s="373"/>
      <c r="DVV53" s="373"/>
      <c r="DVW53" s="373"/>
      <c r="DVX53" s="373"/>
      <c r="DVY53" s="373"/>
      <c r="DVZ53" s="373"/>
      <c r="DWA53" s="373"/>
      <c r="DWB53" s="373"/>
      <c r="DWC53" s="373"/>
      <c r="DWD53" s="373"/>
      <c r="DWE53" s="373"/>
      <c r="DWF53" s="373"/>
      <c r="DWG53" s="373"/>
      <c r="DWH53" s="373"/>
      <c r="DWI53" s="373"/>
      <c r="DWJ53" s="373"/>
      <c r="DWK53" s="373"/>
      <c r="DWL53" s="373"/>
      <c r="DWM53" s="373"/>
      <c r="DWN53" s="373"/>
      <c r="DWO53" s="373"/>
      <c r="DWP53" s="373"/>
      <c r="DWQ53" s="373"/>
      <c r="DWR53" s="373"/>
      <c r="DWS53" s="373"/>
      <c r="DWT53" s="373"/>
      <c r="DWU53" s="373"/>
      <c r="DWV53" s="373"/>
      <c r="DWW53" s="373"/>
      <c r="DWX53" s="373"/>
      <c r="DWY53" s="373"/>
      <c r="DWZ53" s="373"/>
      <c r="DXA53" s="373"/>
      <c r="DXB53" s="373"/>
      <c r="DXC53" s="373"/>
      <c r="DXD53" s="373"/>
      <c r="DXE53" s="373"/>
      <c r="DXF53" s="373"/>
      <c r="DXG53" s="373"/>
      <c r="DXH53" s="373"/>
      <c r="DXI53" s="373"/>
      <c r="DXJ53" s="373"/>
      <c r="DXK53" s="373"/>
      <c r="DXL53" s="373"/>
      <c r="DXM53" s="373"/>
      <c r="DXN53" s="373"/>
      <c r="DXO53" s="373"/>
      <c r="DXP53" s="373"/>
      <c r="DXQ53" s="373"/>
      <c r="DXR53" s="373"/>
      <c r="DXS53" s="373"/>
      <c r="DXT53" s="373"/>
      <c r="DXU53" s="373"/>
      <c r="DXV53" s="373"/>
      <c r="DXW53" s="373"/>
      <c r="DXX53" s="373"/>
      <c r="DXY53" s="373"/>
      <c r="DXZ53" s="373"/>
      <c r="DYA53" s="373"/>
      <c r="DYB53" s="373"/>
      <c r="DYC53" s="373"/>
      <c r="DYD53" s="373"/>
      <c r="DYE53" s="373"/>
      <c r="DYF53" s="373"/>
      <c r="DYG53" s="373"/>
      <c r="DYH53" s="373"/>
      <c r="DYI53" s="373"/>
      <c r="DYJ53" s="373"/>
      <c r="DYK53" s="373"/>
      <c r="DYL53" s="373"/>
      <c r="DYM53" s="373"/>
      <c r="DYN53" s="373"/>
      <c r="DYO53" s="373"/>
      <c r="DYP53" s="373"/>
      <c r="DYQ53" s="373"/>
      <c r="DYR53" s="373"/>
      <c r="DYS53" s="373"/>
      <c r="DYT53" s="373"/>
      <c r="DYU53" s="373"/>
      <c r="DYV53" s="373"/>
      <c r="DYW53" s="373"/>
      <c r="DYX53" s="373"/>
      <c r="DYY53" s="373"/>
      <c r="DYZ53" s="373"/>
      <c r="DZA53" s="373"/>
      <c r="DZB53" s="373"/>
      <c r="DZC53" s="373"/>
      <c r="DZD53" s="373"/>
      <c r="DZE53" s="373"/>
      <c r="DZF53" s="373"/>
      <c r="DZG53" s="373"/>
      <c r="DZH53" s="373"/>
      <c r="DZI53" s="373"/>
      <c r="DZJ53" s="373"/>
      <c r="DZK53" s="373"/>
      <c r="DZL53" s="373"/>
      <c r="DZM53" s="373"/>
      <c r="DZN53" s="373"/>
      <c r="DZO53" s="373"/>
      <c r="DZP53" s="373"/>
      <c r="DZQ53" s="373"/>
      <c r="DZR53" s="373"/>
      <c r="DZS53" s="373"/>
      <c r="DZT53" s="373"/>
      <c r="DZU53" s="373"/>
      <c r="DZV53" s="373"/>
      <c r="DZW53" s="373"/>
      <c r="DZX53" s="373"/>
      <c r="DZY53" s="373"/>
      <c r="DZZ53" s="373"/>
      <c r="EAA53" s="373"/>
      <c r="EAB53" s="373"/>
      <c r="EAC53" s="373"/>
      <c r="EAD53" s="373"/>
      <c r="EAE53" s="373"/>
      <c r="EAF53" s="373"/>
      <c r="EAG53" s="373"/>
      <c r="EAH53" s="373"/>
      <c r="EAI53" s="373"/>
      <c r="EAJ53" s="373"/>
      <c r="EAK53" s="373"/>
      <c r="EAL53" s="373"/>
      <c r="EAM53" s="373"/>
      <c r="EAN53" s="373"/>
      <c r="EAO53" s="373"/>
      <c r="EAP53" s="373"/>
      <c r="EAQ53" s="373"/>
      <c r="EAR53" s="373"/>
      <c r="EAS53" s="373"/>
      <c r="EAT53" s="373"/>
      <c r="EAU53" s="373"/>
      <c r="EAV53" s="373"/>
      <c r="EAW53" s="373"/>
      <c r="EAX53" s="373"/>
      <c r="EAY53" s="373"/>
      <c r="EAZ53" s="373"/>
      <c r="EBA53" s="373"/>
      <c r="EBB53" s="373"/>
      <c r="EBC53" s="373"/>
      <c r="EBD53" s="373"/>
      <c r="EBE53" s="373"/>
      <c r="EBF53" s="373"/>
      <c r="EBG53" s="373"/>
      <c r="EBH53" s="373"/>
      <c r="EBI53" s="373"/>
      <c r="EBJ53" s="373"/>
      <c r="EBK53" s="373"/>
      <c r="EBL53" s="373"/>
      <c r="EBM53" s="373"/>
      <c r="EBN53" s="373"/>
      <c r="EBO53" s="373"/>
      <c r="EBP53" s="373"/>
      <c r="EBQ53" s="373"/>
      <c r="EBR53" s="373"/>
      <c r="EBS53" s="373"/>
      <c r="EBT53" s="373"/>
      <c r="EBU53" s="373"/>
      <c r="EBV53" s="373"/>
      <c r="EBW53" s="373"/>
      <c r="EBX53" s="373"/>
      <c r="EBY53" s="373"/>
      <c r="EBZ53" s="373"/>
      <c r="ECA53" s="373"/>
      <c r="ECB53" s="373"/>
      <c r="ECC53" s="373"/>
      <c r="ECD53" s="373"/>
      <c r="ECE53" s="373"/>
      <c r="ECF53" s="373"/>
      <c r="ECG53" s="373"/>
      <c r="ECH53" s="373"/>
      <c r="ECI53" s="373"/>
      <c r="ECJ53" s="373"/>
      <c r="ECK53" s="373"/>
      <c r="ECL53" s="373"/>
      <c r="ECM53" s="373"/>
      <c r="ECN53" s="373"/>
      <c r="ECO53" s="373"/>
      <c r="ECP53" s="373"/>
      <c r="ECQ53" s="373"/>
      <c r="ECR53" s="373"/>
      <c r="ECS53" s="373"/>
      <c r="ECT53" s="373"/>
      <c r="ECU53" s="373"/>
      <c r="ECV53" s="373"/>
      <c r="ECW53" s="373"/>
      <c r="ECX53" s="373"/>
      <c r="ECY53" s="373"/>
      <c r="ECZ53" s="373"/>
      <c r="EDA53" s="373"/>
      <c r="EDB53" s="373"/>
      <c r="EDC53" s="373"/>
      <c r="EDD53" s="373"/>
      <c r="EDE53" s="373"/>
      <c r="EDF53" s="373"/>
      <c r="EDG53" s="373"/>
      <c r="EDH53" s="373"/>
      <c r="EDI53" s="373"/>
      <c r="EDJ53" s="373"/>
      <c r="EDK53" s="373"/>
      <c r="EDL53" s="373"/>
      <c r="EDM53" s="373"/>
      <c r="EDN53" s="373"/>
      <c r="EDO53" s="373"/>
      <c r="EDP53" s="373"/>
      <c r="EDQ53" s="373"/>
      <c r="EDR53" s="373"/>
      <c r="EDS53" s="373"/>
      <c r="EDT53" s="373"/>
      <c r="EDU53" s="373"/>
      <c r="EDV53" s="373"/>
      <c r="EDW53" s="373"/>
      <c r="EDX53" s="373"/>
      <c r="EDY53" s="373"/>
      <c r="EDZ53" s="373"/>
      <c r="EEA53" s="373"/>
      <c r="EEB53" s="373"/>
      <c r="EEC53" s="373"/>
      <c r="EED53" s="373"/>
      <c r="EEE53" s="373"/>
      <c r="EEF53" s="373"/>
      <c r="EEG53" s="373"/>
      <c r="EEH53" s="373"/>
      <c r="EEI53" s="373"/>
      <c r="EEJ53" s="373"/>
      <c r="EEK53" s="373"/>
      <c r="EEL53" s="373"/>
      <c r="EEM53" s="373"/>
      <c r="EEN53" s="373"/>
      <c r="EEO53" s="373"/>
      <c r="EEP53" s="373"/>
      <c r="EEQ53" s="373"/>
      <c r="EER53" s="373"/>
      <c r="EES53" s="373"/>
      <c r="EET53" s="373"/>
      <c r="EEU53" s="373"/>
      <c r="EEV53" s="373"/>
      <c r="EEW53" s="373"/>
      <c r="EEX53" s="373"/>
      <c r="EEY53" s="373"/>
      <c r="EEZ53" s="373"/>
      <c r="EFA53" s="373"/>
      <c r="EFB53" s="373"/>
      <c r="EFC53" s="373"/>
      <c r="EFD53" s="373"/>
      <c r="EFE53" s="373"/>
      <c r="EFF53" s="373"/>
      <c r="EFG53" s="373"/>
      <c r="EFH53" s="373"/>
      <c r="EFI53" s="373"/>
      <c r="EFJ53" s="373"/>
      <c r="EFK53" s="373"/>
      <c r="EFL53" s="373"/>
      <c r="EFM53" s="373"/>
      <c r="EFN53" s="373"/>
      <c r="EFO53" s="373"/>
      <c r="EFP53" s="373"/>
      <c r="EFQ53" s="373"/>
      <c r="EFR53" s="373"/>
      <c r="EFS53" s="373"/>
      <c r="EFT53" s="373"/>
      <c r="EFU53" s="373"/>
      <c r="EFV53" s="373"/>
      <c r="EFW53" s="373"/>
      <c r="EFX53" s="373"/>
      <c r="EFY53" s="373"/>
      <c r="EFZ53" s="373"/>
      <c r="EGA53" s="373"/>
      <c r="EGB53" s="373"/>
      <c r="EGC53" s="373"/>
      <c r="EGD53" s="373"/>
      <c r="EGE53" s="373"/>
      <c r="EGF53" s="373"/>
      <c r="EGG53" s="373"/>
      <c r="EGH53" s="373"/>
      <c r="EGI53" s="373"/>
      <c r="EGJ53" s="373"/>
      <c r="EGK53" s="373"/>
      <c r="EGL53" s="373"/>
      <c r="EGM53" s="373"/>
      <c r="EGN53" s="373"/>
      <c r="EGO53" s="373"/>
      <c r="EGP53" s="373"/>
      <c r="EGQ53" s="373"/>
      <c r="EGR53" s="373"/>
      <c r="EGS53" s="373"/>
      <c r="EGT53" s="373"/>
      <c r="EGU53" s="373"/>
      <c r="EGV53" s="373"/>
      <c r="EGW53" s="373"/>
      <c r="EGX53" s="373"/>
      <c r="EGY53" s="373"/>
      <c r="EGZ53" s="373"/>
      <c r="EHA53" s="373"/>
      <c r="EHB53" s="373"/>
      <c r="EHC53" s="373"/>
      <c r="EHD53" s="373"/>
      <c r="EHE53" s="373"/>
      <c r="EHF53" s="373"/>
      <c r="EHG53" s="373"/>
      <c r="EHH53" s="373"/>
      <c r="EHI53" s="373"/>
      <c r="EHJ53" s="373"/>
      <c r="EHK53" s="373"/>
      <c r="EHL53" s="373"/>
      <c r="EHM53" s="373"/>
      <c r="EHN53" s="373"/>
      <c r="EHO53" s="373"/>
      <c r="EHP53" s="373"/>
      <c r="EHQ53" s="373"/>
      <c r="EHR53" s="373"/>
      <c r="EHS53" s="373"/>
      <c r="EHT53" s="373"/>
      <c r="EHU53" s="373"/>
      <c r="EHV53" s="373"/>
      <c r="EHW53" s="373"/>
      <c r="EHX53" s="373"/>
      <c r="EHY53" s="373"/>
      <c r="EHZ53" s="373"/>
      <c r="EIA53" s="373"/>
      <c r="EIB53" s="373"/>
      <c r="EIC53" s="373"/>
      <c r="EID53" s="373"/>
      <c r="EIE53" s="373"/>
      <c r="EIF53" s="373"/>
      <c r="EIG53" s="373"/>
      <c r="EIH53" s="373"/>
      <c r="EII53" s="373"/>
      <c r="EIJ53" s="373"/>
      <c r="EIK53" s="373"/>
      <c r="EIL53" s="373"/>
      <c r="EIM53" s="373"/>
      <c r="EIN53" s="373"/>
      <c r="EIO53" s="373"/>
      <c r="EIP53" s="373"/>
      <c r="EIQ53" s="373"/>
      <c r="EIR53" s="373"/>
      <c r="EIS53" s="373"/>
      <c r="EIT53" s="373"/>
      <c r="EIU53" s="373"/>
      <c r="EIV53" s="373"/>
      <c r="EIW53" s="373"/>
      <c r="EIX53" s="373"/>
      <c r="EIY53" s="373"/>
      <c r="EIZ53" s="373"/>
      <c r="EJA53" s="373"/>
      <c r="EJB53" s="373"/>
      <c r="EJC53" s="373"/>
      <c r="EJD53" s="373"/>
      <c r="EJE53" s="373"/>
      <c r="EJF53" s="373"/>
      <c r="EJG53" s="373"/>
      <c r="EJH53" s="373"/>
      <c r="EJI53" s="373"/>
      <c r="EJJ53" s="373"/>
      <c r="EJK53" s="373"/>
      <c r="EJL53" s="373"/>
      <c r="EJM53" s="373"/>
      <c r="EJN53" s="373"/>
      <c r="EJO53" s="373"/>
      <c r="EJP53" s="373"/>
      <c r="EJQ53" s="373"/>
      <c r="EJR53" s="373"/>
      <c r="EJS53" s="373"/>
      <c r="EJT53" s="373"/>
      <c r="EJU53" s="373"/>
      <c r="EJV53" s="373"/>
      <c r="EJW53" s="373"/>
      <c r="EJX53" s="373"/>
      <c r="EJY53" s="373"/>
      <c r="EJZ53" s="373"/>
      <c r="EKA53" s="373"/>
      <c r="EKB53" s="373"/>
      <c r="EKC53" s="373"/>
      <c r="EKD53" s="373"/>
      <c r="EKE53" s="373"/>
      <c r="EKF53" s="373"/>
      <c r="EKG53" s="373"/>
      <c r="EKH53" s="373"/>
      <c r="EKI53" s="373"/>
      <c r="EKJ53" s="373"/>
      <c r="EKK53" s="373"/>
      <c r="EKL53" s="373"/>
      <c r="EKM53" s="373"/>
      <c r="EKN53" s="373"/>
      <c r="EKO53" s="373"/>
      <c r="EKP53" s="373"/>
      <c r="EKQ53" s="373"/>
      <c r="EKR53" s="373"/>
      <c r="EKS53" s="373"/>
      <c r="EKT53" s="373"/>
      <c r="EKU53" s="373"/>
      <c r="EKV53" s="373"/>
      <c r="EKW53" s="373"/>
      <c r="EKX53" s="373"/>
      <c r="EKY53" s="373"/>
      <c r="EKZ53" s="373"/>
      <c r="ELA53" s="373"/>
      <c r="ELB53" s="373"/>
      <c r="ELC53" s="373"/>
      <c r="ELD53" s="373"/>
      <c r="ELE53" s="373"/>
      <c r="ELF53" s="373"/>
      <c r="ELG53" s="373"/>
      <c r="ELH53" s="373"/>
      <c r="ELI53" s="373"/>
      <c r="ELJ53" s="373"/>
      <c r="ELK53" s="373"/>
      <c r="ELL53" s="373"/>
      <c r="ELM53" s="373"/>
      <c r="ELN53" s="373"/>
      <c r="ELO53" s="373"/>
      <c r="ELP53" s="373"/>
      <c r="ELQ53" s="373"/>
      <c r="ELR53" s="373"/>
      <c r="ELS53" s="373"/>
      <c r="ELT53" s="373"/>
      <c r="ELU53" s="373"/>
      <c r="ELV53" s="373"/>
      <c r="ELW53" s="373"/>
      <c r="ELX53" s="373"/>
      <c r="ELY53" s="373"/>
      <c r="ELZ53" s="373"/>
      <c r="EMA53" s="373"/>
      <c r="EMB53" s="373"/>
      <c r="EMC53" s="373"/>
      <c r="EMD53" s="373"/>
      <c r="EME53" s="373"/>
      <c r="EMF53" s="373"/>
      <c r="EMG53" s="373"/>
      <c r="EMH53" s="373"/>
      <c r="EMI53" s="373"/>
      <c r="EMJ53" s="373"/>
      <c r="EMK53" s="373"/>
      <c r="EML53" s="373"/>
      <c r="EMM53" s="373"/>
      <c r="EMN53" s="373"/>
      <c r="EMO53" s="373"/>
      <c r="EMP53" s="373"/>
      <c r="EMQ53" s="373"/>
      <c r="EMR53" s="373"/>
      <c r="EMS53" s="373"/>
      <c r="EMT53" s="373"/>
      <c r="EMU53" s="373"/>
      <c r="EMV53" s="373"/>
      <c r="EMW53" s="373"/>
      <c r="EMX53" s="373"/>
      <c r="EMY53" s="373"/>
      <c r="EMZ53" s="373"/>
      <c r="ENA53" s="373"/>
      <c r="ENB53" s="373"/>
      <c r="ENC53" s="373"/>
      <c r="END53" s="373"/>
      <c r="ENE53" s="373"/>
      <c r="ENF53" s="373"/>
      <c r="ENG53" s="373"/>
      <c r="ENH53" s="373"/>
      <c r="ENI53" s="373"/>
      <c r="ENJ53" s="373"/>
      <c r="ENK53" s="373"/>
      <c r="ENL53" s="373"/>
      <c r="ENM53" s="373"/>
      <c r="ENN53" s="373"/>
      <c r="ENO53" s="373"/>
      <c r="ENP53" s="373"/>
      <c r="ENQ53" s="373"/>
      <c r="ENR53" s="373"/>
      <c r="ENS53" s="373"/>
      <c r="ENT53" s="373"/>
      <c r="ENU53" s="373"/>
      <c r="ENV53" s="373"/>
      <c r="ENW53" s="373"/>
      <c r="ENX53" s="373"/>
      <c r="ENY53" s="373"/>
      <c r="ENZ53" s="373"/>
      <c r="EOA53" s="373"/>
      <c r="EOB53" s="373"/>
      <c r="EOC53" s="373"/>
      <c r="EOD53" s="373"/>
      <c r="EOE53" s="373"/>
      <c r="EOF53" s="373"/>
      <c r="EOG53" s="373"/>
      <c r="EOH53" s="373"/>
      <c r="EOI53" s="373"/>
      <c r="EOJ53" s="373"/>
      <c r="EOK53" s="373"/>
      <c r="EOL53" s="373"/>
      <c r="EOM53" s="373"/>
      <c r="EON53" s="373"/>
      <c r="EOO53" s="373"/>
      <c r="EOP53" s="373"/>
      <c r="EOQ53" s="373"/>
      <c r="EOR53" s="373"/>
      <c r="EOS53" s="373"/>
      <c r="EOT53" s="373"/>
      <c r="EOU53" s="373"/>
      <c r="EOV53" s="373"/>
      <c r="EOW53" s="373"/>
      <c r="EOX53" s="373"/>
      <c r="EOY53" s="373"/>
      <c r="EOZ53" s="373"/>
      <c r="EPA53" s="373"/>
      <c r="EPB53" s="373"/>
      <c r="EPC53" s="373"/>
      <c r="EPD53" s="373"/>
      <c r="EPE53" s="373"/>
      <c r="EPF53" s="373"/>
      <c r="EPG53" s="373"/>
      <c r="EPH53" s="373"/>
      <c r="EPI53" s="373"/>
      <c r="EPJ53" s="373"/>
      <c r="EPK53" s="373"/>
      <c r="EPL53" s="373"/>
      <c r="EPM53" s="373"/>
      <c r="EPN53" s="373"/>
      <c r="EPO53" s="373"/>
      <c r="EPP53" s="373"/>
      <c r="EPQ53" s="373"/>
      <c r="EPR53" s="373"/>
      <c r="EPS53" s="373"/>
      <c r="EPT53" s="373"/>
      <c r="EPU53" s="373"/>
      <c r="EPV53" s="373"/>
      <c r="EPW53" s="373"/>
      <c r="EPX53" s="373"/>
      <c r="EPY53" s="373"/>
      <c r="EPZ53" s="373"/>
      <c r="EQA53" s="373"/>
      <c r="EQB53" s="373"/>
      <c r="EQC53" s="373"/>
      <c r="EQD53" s="373"/>
      <c r="EQE53" s="373"/>
      <c r="EQF53" s="373"/>
      <c r="EQG53" s="373"/>
      <c r="EQH53" s="373"/>
      <c r="EQI53" s="373"/>
      <c r="EQJ53" s="373"/>
      <c r="EQK53" s="373"/>
      <c r="EQL53" s="373"/>
      <c r="EQM53" s="373"/>
      <c r="EQN53" s="373"/>
      <c r="EQO53" s="373"/>
      <c r="EQP53" s="373"/>
      <c r="EQQ53" s="373"/>
      <c r="EQR53" s="373"/>
      <c r="EQS53" s="373"/>
      <c r="EQT53" s="373"/>
      <c r="EQU53" s="373"/>
      <c r="EQV53" s="373"/>
      <c r="EQW53" s="373"/>
      <c r="EQX53" s="373"/>
      <c r="EQY53" s="373"/>
      <c r="EQZ53" s="373"/>
      <c r="ERA53" s="373"/>
      <c r="ERB53" s="373"/>
      <c r="ERC53" s="373"/>
      <c r="ERD53" s="373"/>
      <c r="ERE53" s="373"/>
      <c r="ERF53" s="373"/>
      <c r="ERG53" s="373"/>
      <c r="ERH53" s="373"/>
      <c r="ERI53" s="373"/>
      <c r="ERJ53" s="373"/>
      <c r="ERK53" s="373"/>
      <c r="ERL53" s="373"/>
      <c r="ERM53" s="373"/>
      <c r="ERN53" s="373"/>
      <c r="ERO53" s="373"/>
      <c r="ERP53" s="373"/>
      <c r="ERQ53" s="373"/>
      <c r="ERR53" s="373"/>
      <c r="ERS53" s="373"/>
      <c r="ERT53" s="373"/>
      <c r="ERU53" s="373"/>
      <c r="ERV53" s="373"/>
      <c r="ERW53" s="373"/>
      <c r="ERX53" s="373"/>
      <c r="ERY53" s="373"/>
      <c r="ERZ53" s="373"/>
      <c r="ESA53" s="373"/>
      <c r="ESB53" s="373"/>
      <c r="ESC53" s="373"/>
      <c r="ESD53" s="373"/>
      <c r="ESE53" s="373"/>
      <c r="ESF53" s="373"/>
      <c r="ESG53" s="373"/>
      <c r="ESH53" s="373"/>
      <c r="ESI53" s="373"/>
      <c r="ESJ53" s="373"/>
      <c r="ESK53" s="373"/>
      <c r="ESL53" s="373"/>
      <c r="ESM53" s="373"/>
      <c r="ESN53" s="373"/>
      <c r="ESO53" s="373"/>
      <c r="ESP53" s="373"/>
      <c r="ESQ53" s="373"/>
      <c r="ESR53" s="373"/>
      <c r="ESS53" s="373"/>
      <c r="EST53" s="373"/>
      <c r="ESU53" s="373"/>
      <c r="ESV53" s="373"/>
      <c r="ESW53" s="373"/>
      <c r="ESX53" s="373"/>
      <c r="ESY53" s="373"/>
      <c r="ESZ53" s="373"/>
      <c r="ETA53" s="373"/>
      <c r="ETB53" s="373"/>
      <c r="ETC53" s="373"/>
      <c r="ETD53" s="373"/>
      <c r="ETE53" s="373"/>
      <c r="ETF53" s="373"/>
      <c r="ETG53" s="373"/>
      <c r="ETH53" s="373"/>
      <c r="ETI53" s="373"/>
      <c r="ETJ53" s="373"/>
      <c r="ETK53" s="373"/>
      <c r="ETL53" s="373"/>
      <c r="ETM53" s="373"/>
      <c r="ETN53" s="373"/>
      <c r="ETO53" s="373"/>
      <c r="ETP53" s="373"/>
      <c r="ETQ53" s="373"/>
      <c r="ETR53" s="373"/>
      <c r="ETS53" s="373"/>
      <c r="ETT53" s="373"/>
      <c r="ETU53" s="373"/>
      <c r="ETV53" s="373"/>
      <c r="ETW53" s="373"/>
      <c r="ETX53" s="373"/>
      <c r="ETY53" s="373"/>
      <c r="ETZ53" s="373"/>
      <c r="EUA53" s="373"/>
      <c r="EUB53" s="373"/>
      <c r="EUC53" s="373"/>
      <c r="EUD53" s="373"/>
      <c r="EUE53" s="373"/>
      <c r="EUF53" s="373"/>
      <c r="EUG53" s="373"/>
      <c r="EUH53" s="373"/>
      <c r="EUI53" s="373"/>
      <c r="EUJ53" s="373"/>
      <c r="EUK53" s="373"/>
      <c r="EUL53" s="373"/>
      <c r="EUM53" s="373"/>
      <c r="EUN53" s="373"/>
      <c r="EUO53" s="373"/>
      <c r="EUP53" s="373"/>
      <c r="EUQ53" s="373"/>
      <c r="EUR53" s="373"/>
      <c r="EUS53" s="373"/>
      <c r="EUT53" s="373"/>
      <c r="EUU53" s="373"/>
      <c r="EUV53" s="373"/>
      <c r="EUW53" s="373"/>
      <c r="EUX53" s="373"/>
      <c r="EUY53" s="373"/>
      <c r="EUZ53" s="373"/>
      <c r="EVA53" s="373"/>
      <c r="EVB53" s="373"/>
      <c r="EVC53" s="373"/>
      <c r="EVD53" s="373"/>
      <c r="EVE53" s="373"/>
      <c r="EVF53" s="373"/>
      <c r="EVG53" s="373"/>
      <c r="EVH53" s="373"/>
      <c r="EVI53" s="373"/>
      <c r="EVJ53" s="373"/>
      <c r="EVK53" s="373"/>
      <c r="EVL53" s="373"/>
      <c r="EVM53" s="373"/>
      <c r="EVN53" s="373"/>
      <c r="EVO53" s="373"/>
      <c r="EVP53" s="373"/>
      <c r="EVQ53" s="373"/>
      <c r="EVR53" s="373"/>
      <c r="EVS53" s="373"/>
      <c r="EVT53" s="373"/>
      <c r="EVU53" s="373"/>
      <c r="EVV53" s="373"/>
      <c r="EVW53" s="373"/>
      <c r="EVX53" s="373"/>
      <c r="EVY53" s="373"/>
      <c r="EVZ53" s="373"/>
      <c r="EWA53" s="373"/>
      <c r="EWB53" s="373"/>
      <c r="EWC53" s="373"/>
      <c r="EWD53" s="373"/>
      <c r="EWE53" s="373"/>
      <c r="EWF53" s="373"/>
      <c r="EWG53" s="373"/>
      <c r="EWH53" s="373"/>
      <c r="EWI53" s="373"/>
      <c r="EWJ53" s="373"/>
      <c r="EWK53" s="373"/>
      <c r="EWL53" s="373"/>
      <c r="EWM53" s="373"/>
      <c r="EWN53" s="373"/>
      <c r="EWO53" s="373"/>
      <c r="EWP53" s="373"/>
      <c r="EWQ53" s="373"/>
      <c r="EWR53" s="373"/>
      <c r="EWS53" s="373"/>
      <c r="EWT53" s="373"/>
      <c r="EWU53" s="373"/>
      <c r="EWV53" s="373"/>
      <c r="EWW53" s="373"/>
      <c r="EWX53" s="373"/>
      <c r="EWY53" s="373"/>
      <c r="EWZ53" s="373"/>
      <c r="EXA53" s="373"/>
      <c r="EXB53" s="373"/>
      <c r="EXC53" s="373"/>
      <c r="EXD53" s="373"/>
      <c r="EXE53" s="373"/>
      <c r="EXF53" s="373"/>
      <c r="EXG53" s="373"/>
      <c r="EXH53" s="373"/>
      <c r="EXI53" s="373"/>
      <c r="EXJ53" s="373"/>
      <c r="EXK53" s="373"/>
      <c r="EXL53" s="373"/>
      <c r="EXM53" s="373"/>
      <c r="EXN53" s="373"/>
      <c r="EXO53" s="373"/>
      <c r="EXP53" s="373"/>
      <c r="EXQ53" s="373"/>
      <c r="EXR53" s="373"/>
      <c r="EXS53" s="373"/>
      <c r="EXT53" s="373"/>
      <c r="EXU53" s="373"/>
      <c r="EXV53" s="373"/>
      <c r="EXW53" s="373"/>
      <c r="EXX53" s="373"/>
      <c r="EXY53" s="373"/>
      <c r="EXZ53" s="373"/>
      <c r="EYA53" s="373"/>
      <c r="EYB53" s="373"/>
      <c r="EYC53" s="373"/>
      <c r="EYD53" s="373"/>
      <c r="EYE53" s="373"/>
      <c r="EYF53" s="373"/>
      <c r="EYG53" s="373"/>
      <c r="EYH53" s="373"/>
      <c r="EYI53" s="373"/>
      <c r="EYJ53" s="373"/>
      <c r="EYK53" s="373"/>
      <c r="EYL53" s="373"/>
      <c r="EYM53" s="373"/>
      <c r="EYN53" s="373"/>
      <c r="EYO53" s="373"/>
      <c r="EYP53" s="373"/>
      <c r="EYQ53" s="373"/>
      <c r="EYR53" s="373"/>
      <c r="EYS53" s="373"/>
      <c r="EYT53" s="373"/>
      <c r="EYU53" s="373"/>
      <c r="EYV53" s="373"/>
      <c r="EYW53" s="373"/>
      <c r="EYX53" s="373"/>
      <c r="EYY53" s="373"/>
      <c r="EYZ53" s="373"/>
      <c r="EZA53" s="373"/>
      <c r="EZB53" s="373"/>
      <c r="EZC53" s="373"/>
      <c r="EZD53" s="373"/>
      <c r="EZE53" s="373"/>
      <c r="EZF53" s="373"/>
      <c r="EZG53" s="373"/>
      <c r="EZH53" s="373"/>
      <c r="EZI53" s="373"/>
      <c r="EZJ53" s="373"/>
      <c r="EZK53" s="373"/>
      <c r="EZL53" s="373"/>
      <c r="EZM53" s="373"/>
      <c r="EZN53" s="373"/>
      <c r="EZO53" s="373"/>
      <c r="EZP53" s="373"/>
      <c r="EZQ53" s="373"/>
      <c r="EZR53" s="373"/>
      <c r="EZS53" s="373"/>
      <c r="EZT53" s="373"/>
      <c r="EZU53" s="373"/>
      <c r="EZV53" s="373"/>
      <c r="EZW53" s="373"/>
      <c r="EZX53" s="373"/>
      <c r="EZY53" s="373"/>
      <c r="EZZ53" s="373"/>
      <c r="FAA53" s="373"/>
      <c r="FAB53" s="373"/>
      <c r="FAC53" s="373"/>
      <c r="FAD53" s="373"/>
      <c r="FAE53" s="373"/>
      <c r="FAF53" s="373"/>
      <c r="FAG53" s="373"/>
      <c r="FAH53" s="373"/>
      <c r="FAI53" s="373"/>
      <c r="FAJ53" s="373"/>
      <c r="FAK53" s="373"/>
      <c r="FAL53" s="373"/>
      <c r="FAM53" s="373"/>
      <c r="FAN53" s="373"/>
      <c r="FAO53" s="373"/>
      <c r="FAP53" s="373"/>
      <c r="FAQ53" s="373"/>
      <c r="FAR53" s="373"/>
      <c r="FAS53" s="373"/>
      <c r="FAT53" s="373"/>
      <c r="FAU53" s="373"/>
      <c r="FAV53" s="373"/>
      <c r="FAW53" s="373"/>
      <c r="FAX53" s="373"/>
      <c r="FAY53" s="373"/>
      <c r="FAZ53" s="373"/>
      <c r="FBA53" s="373"/>
      <c r="FBB53" s="373"/>
      <c r="FBC53" s="373"/>
      <c r="FBD53" s="373"/>
      <c r="FBE53" s="373"/>
      <c r="FBF53" s="373"/>
      <c r="FBG53" s="373"/>
      <c r="FBH53" s="373"/>
      <c r="FBI53" s="373"/>
      <c r="FBJ53" s="373"/>
      <c r="FBK53" s="373"/>
      <c r="FBL53" s="373"/>
      <c r="FBM53" s="373"/>
      <c r="FBN53" s="373"/>
      <c r="FBO53" s="373"/>
      <c r="FBP53" s="373"/>
      <c r="FBQ53" s="373"/>
      <c r="FBR53" s="373"/>
      <c r="FBS53" s="373"/>
      <c r="FBT53" s="373"/>
      <c r="FBU53" s="373"/>
      <c r="FBV53" s="373"/>
      <c r="FBW53" s="373"/>
      <c r="FBX53" s="373"/>
      <c r="FBY53" s="373"/>
      <c r="FBZ53" s="373"/>
      <c r="FCA53" s="373"/>
      <c r="FCB53" s="373"/>
      <c r="FCC53" s="373"/>
      <c r="FCD53" s="373"/>
      <c r="FCE53" s="373"/>
      <c r="FCF53" s="373"/>
      <c r="FCG53" s="373"/>
      <c r="FCH53" s="373"/>
      <c r="FCI53" s="373"/>
      <c r="FCJ53" s="373"/>
      <c r="FCK53" s="373"/>
      <c r="FCL53" s="373"/>
      <c r="FCM53" s="373"/>
      <c r="FCN53" s="373"/>
      <c r="FCO53" s="373"/>
      <c r="FCP53" s="373"/>
      <c r="FCQ53" s="373"/>
      <c r="FCR53" s="373"/>
      <c r="FCS53" s="373"/>
      <c r="FCT53" s="373"/>
      <c r="FCU53" s="373"/>
      <c r="FCV53" s="373"/>
      <c r="FCW53" s="373"/>
      <c r="FCX53" s="373"/>
      <c r="FCY53" s="373"/>
      <c r="FCZ53" s="373"/>
      <c r="FDA53" s="373"/>
      <c r="FDB53" s="373"/>
      <c r="FDC53" s="373"/>
      <c r="FDD53" s="373"/>
      <c r="FDE53" s="373"/>
      <c r="FDF53" s="373"/>
      <c r="FDG53" s="373"/>
      <c r="FDH53" s="373"/>
      <c r="FDI53" s="373"/>
      <c r="FDJ53" s="373"/>
      <c r="FDK53" s="373"/>
      <c r="FDL53" s="373"/>
      <c r="FDM53" s="373"/>
      <c r="FDN53" s="373"/>
      <c r="FDO53" s="373"/>
      <c r="FDP53" s="373"/>
      <c r="FDQ53" s="373"/>
      <c r="FDR53" s="373"/>
      <c r="FDS53" s="373"/>
      <c r="FDT53" s="373"/>
      <c r="FDU53" s="373"/>
      <c r="FDV53" s="373"/>
      <c r="FDW53" s="373"/>
      <c r="FDX53" s="373"/>
      <c r="FDY53" s="373"/>
      <c r="FDZ53" s="373"/>
      <c r="FEA53" s="373"/>
      <c r="FEB53" s="373"/>
      <c r="FEC53" s="373"/>
      <c r="FED53" s="373"/>
      <c r="FEE53" s="373"/>
      <c r="FEF53" s="373"/>
      <c r="FEG53" s="373"/>
      <c r="FEH53" s="373"/>
      <c r="FEI53" s="373"/>
      <c r="FEJ53" s="373"/>
      <c r="FEK53" s="373"/>
      <c r="FEL53" s="373"/>
      <c r="FEM53" s="373"/>
      <c r="FEN53" s="373"/>
      <c r="FEO53" s="373"/>
      <c r="FEP53" s="373"/>
      <c r="FEQ53" s="373"/>
      <c r="FER53" s="373"/>
      <c r="FES53" s="373"/>
      <c r="FET53" s="373"/>
      <c r="FEU53" s="373"/>
      <c r="FEV53" s="373"/>
      <c r="FEW53" s="373"/>
      <c r="FEX53" s="373"/>
      <c r="FEY53" s="373"/>
      <c r="FEZ53" s="373"/>
      <c r="FFA53" s="373"/>
      <c r="FFB53" s="373"/>
      <c r="FFC53" s="373"/>
      <c r="FFD53" s="373"/>
      <c r="FFE53" s="373"/>
      <c r="FFF53" s="373"/>
      <c r="FFG53" s="373"/>
      <c r="FFH53" s="373"/>
      <c r="FFI53" s="373"/>
      <c r="FFJ53" s="373"/>
      <c r="FFK53" s="373"/>
      <c r="FFL53" s="373"/>
      <c r="FFM53" s="373"/>
      <c r="FFN53" s="373"/>
      <c r="FFO53" s="373"/>
      <c r="FFP53" s="373"/>
      <c r="FFQ53" s="373"/>
      <c r="FFR53" s="373"/>
      <c r="FFS53" s="373"/>
      <c r="FFT53" s="373"/>
      <c r="FFU53" s="373"/>
      <c r="FFV53" s="373"/>
      <c r="FFW53" s="373"/>
      <c r="FFX53" s="373"/>
      <c r="FFY53" s="373"/>
      <c r="FFZ53" s="373"/>
      <c r="FGA53" s="373"/>
      <c r="FGB53" s="373"/>
      <c r="FGC53" s="373"/>
      <c r="FGD53" s="373"/>
      <c r="FGE53" s="373"/>
      <c r="FGF53" s="373"/>
      <c r="FGG53" s="373"/>
      <c r="FGH53" s="373"/>
      <c r="FGI53" s="373"/>
      <c r="FGJ53" s="373"/>
      <c r="FGK53" s="373"/>
      <c r="FGL53" s="373"/>
      <c r="FGM53" s="373"/>
      <c r="FGN53" s="373"/>
      <c r="FGO53" s="373"/>
      <c r="FGP53" s="373"/>
      <c r="FGQ53" s="373"/>
      <c r="FGR53" s="373"/>
      <c r="FGS53" s="373"/>
      <c r="FGT53" s="373"/>
      <c r="FGU53" s="373"/>
      <c r="FGV53" s="373"/>
      <c r="FGW53" s="373"/>
      <c r="FGX53" s="373"/>
      <c r="FGY53" s="373"/>
      <c r="FGZ53" s="373"/>
      <c r="FHA53" s="373"/>
      <c r="FHB53" s="373"/>
      <c r="FHC53" s="373"/>
      <c r="FHD53" s="373"/>
      <c r="FHE53" s="373"/>
      <c r="FHF53" s="373"/>
      <c r="FHG53" s="373"/>
      <c r="FHH53" s="373"/>
      <c r="FHI53" s="373"/>
      <c r="FHJ53" s="373"/>
      <c r="FHK53" s="373"/>
      <c r="FHL53" s="373"/>
      <c r="FHM53" s="373"/>
      <c r="FHN53" s="373"/>
      <c r="FHO53" s="373"/>
      <c r="FHP53" s="373"/>
      <c r="FHQ53" s="373"/>
      <c r="FHR53" s="373"/>
      <c r="FHS53" s="373"/>
      <c r="FHT53" s="373"/>
      <c r="FHU53" s="373"/>
      <c r="FHV53" s="373"/>
      <c r="FHW53" s="373"/>
      <c r="FHX53" s="373"/>
      <c r="FHY53" s="373"/>
      <c r="FHZ53" s="373"/>
      <c r="FIA53" s="373"/>
      <c r="FIB53" s="373"/>
      <c r="FIC53" s="373"/>
      <c r="FID53" s="373"/>
      <c r="FIE53" s="373"/>
      <c r="FIF53" s="373"/>
      <c r="FIG53" s="373"/>
      <c r="FIH53" s="373"/>
      <c r="FII53" s="373"/>
      <c r="FIJ53" s="373"/>
      <c r="FIK53" s="373"/>
      <c r="FIL53" s="373"/>
      <c r="FIM53" s="373"/>
      <c r="FIN53" s="373"/>
      <c r="FIO53" s="373"/>
      <c r="FIP53" s="373"/>
      <c r="FIQ53" s="373"/>
      <c r="FIR53" s="373"/>
      <c r="FIS53" s="373"/>
      <c r="FIT53" s="373"/>
      <c r="FIU53" s="373"/>
      <c r="FIV53" s="373"/>
      <c r="FIW53" s="373"/>
      <c r="FIX53" s="373"/>
      <c r="FIY53" s="373"/>
      <c r="FIZ53" s="373"/>
      <c r="FJA53" s="373"/>
      <c r="FJB53" s="373"/>
      <c r="FJC53" s="373"/>
      <c r="FJD53" s="373"/>
      <c r="FJE53" s="373"/>
      <c r="FJF53" s="373"/>
      <c r="FJG53" s="373"/>
      <c r="FJH53" s="373"/>
      <c r="FJI53" s="373"/>
      <c r="FJJ53" s="373"/>
      <c r="FJK53" s="373"/>
      <c r="FJL53" s="373"/>
      <c r="FJM53" s="373"/>
      <c r="FJN53" s="373"/>
      <c r="FJO53" s="373"/>
      <c r="FJP53" s="373"/>
      <c r="FJQ53" s="373"/>
      <c r="FJR53" s="373"/>
      <c r="FJS53" s="373"/>
      <c r="FJT53" s="373"/>
      <c r="FJU53" s="373"/>
      <c r="FJV53" s="373"/>
      <c r="FJW53" s="373"/>
      <c r="FJX53" s="373"/>
      <c r="FJY53" s="373"/>
      <c r="FJZ53" s="373"/>
      <c r="FKA53" s="373"/>
      <c r="FKB53" s="373"/>
      <c r="FKC53" s="373"/>
      <c r="FKD53" s="373"/>
      <c r="FKE53" s="373"/>
      <c r="FKF53" s="373"/>
      <c r="FKG53" s="373"/>
      <c r="FKH53" s="373"/>
      <c r="FKI53" s="373"/>
      <c r="FKJ53" s="373"/>
      <c r="FKK53" s="373"/>
      <c r="FKL53" s="373"/>
      <c r="FKM53" s="373"/>
      <c r="FKN53" s="373"/>
      <c r="FKO53" s="373"/>
      <c r="FKP53" s="373"/>
      <c r="FKQ53" s="373"/>
      <c r="FKR53" s="373"/>
      <c r="FKS53" s="373"/>
      <c r="FKT53" s="373"/>
      <c r="FKU53" s="373"/>
      <c r="FKV53" s="373"/>
      <c r="FKW53" s="373"/>
      <c r="FKX53" s="373"/>
      <c r="FKY53" s="373"/>
      <c r="FKZ53" s="373"/>
      <c r="FLA53" s="373"/>
      <c r="FLB53" s="373"/>
      <c r="FLC53" s="373"/>
      <c r="FLD53" s="373"/>
      <c r="FLE53" s="373"/>
      <c r="FLF53" s="373"/>
      <c r="FLG53" s="373"/>
      <c r="FLH53" s="373"/>
      <c r="FLI53" s="373"/>
      <c r="FLJ53" s="373"/>
      <c r="FLK53" s="373"/>
      <c r="FLL53" s="373"/>
      <c r="FLM53" s="373"/>
      <c r="FLN53" s="373"/>
      <c r="FLO53" s="373"/>
      <c r="FLP53" s="373"/>
      <c r="FLQ53" s="373"/>
      <c r="FLR53" s="373"/>
      <c r="FLS53" s="373"/>
      <c r="FLT53" s="373"/>
      <c r="FLU53" s="373"/>
      <c r="FLV53" s="373"/>
      <c r="FLW53" s="373"/>
      <c r="FLX53" s="373"/>
      <c r="FLY53" s="373"/>
      <c r="FLZ53" s="373"/>
      <c r="FMA53" s="373"/>
      <c r="FMB53" s="373"/>
      <c r="FMC53" s="373"/>
      <c r="FMD53" s="373"/>
      <c r="FME53" s="373"/>
      <c r="FMF53" s="373"/>
      <c r="FMG53" s="373"/>
      <c r="FMH53" s="373"/>
      <c r="FMI53" s="373"/>
      <c r="FMJ53" s="373"/>
      <c r="FMK53" s="373"/>
      <c r="FML53" s="373"/>
      <c r="FMM53" s="373"/>
      <c r="FMN53" s="373"/>
      <c r="FMO53" s="373"/>
      <c r="FMP53" s="373"/>
      <c r="FMQ53" s="373"/>
      <c r="FMR53" s="373"/>
      <c r="FMS53" s="373"/>
      <c r="FMT53" s="373"/>
      <c r="FMU53" s="373"/>
      <c r="FMV53" s="373"/>
      <c r="FMW53" s="373"/>
      <c r="FMX53" s="373"/>
      <c r="FMY53" s="373"/>
      <c r="FMZ53" s="373"/>
      <c r="FNA53" s="373"/>
      <c r="FNB53" s="373"/>
      <c r="FNC53" s="373"/>
      <c r="FND53" s="373"/>
      <c r="FNE53" s="373"/>
      <c r="FNF53" s="373"/>
      <c r="FNG53" s="373"/>
      <c r="FNH53" s="373"/>
      <c r="FNI53" s="373"/>
      <c r="FNJ53" s="373"/>
      <c r="FNK53" s="373"/>
      <c r="FNL53" s="373"/>
      <c r="FNM53" s="373"/>
      <c r="FNN53" s="373"/>
      <c r="FNO53" s="373"/>
      <c r="FNP53" s="373"/>
      <c r="FNQ53" s="373"/>
      <c r="FNR53" s="373"/>
      <c r="FNS53" s="373"/>
      <c r="FNT53" s="373"/>
      <c r="FNU53" s="373"/>
      <c r="FNV53" s="373"/>
      <c r="FNW53" s="373"/>
      <c r="FNX53" s="373"/>
      <c r="FNY53" s="373"/>
      <c r="FNZ53" s="373"/>
      <c r="FOA53" s="373"/>
      <c r="FOB53" s="373"/>
      <c r="FOC53" s="373"/>
      <c r="FOD53" s="373"/>
      <c r="FOE53" s="373"/>
      <c r="FOF53" s="373"/>
      <c r="FOG53" s="373"/>
      <c r="FOH53" s="373"/>
      <c r="FOI53" s="373"/>
      <c r="FOJ53" s="373"/>
      <c r="FOK53" s="373"/>
      <c r="FOL53" s="373"/>
      <c r="FOM53" s="373"/>
      <c r="FON53" s="373"/>
      <c r="FOO53" s="373"/>
      <c r="FOP53" s="373"/>
      <c r="FOQ53" s="373"/>
      <c r="FOR53" s="373"/>
      <c r="FOS53" s="373"/>
      <c r="FOT53" s="373"/>
      <c r="FOU53" s="373"/>
      <c r="FOV53" s="373"/>
      <c r="FOW53" s="373"/>
      <c r="FOX53" s="373"/>
      <c r="FOY53" s="373"/>
      <c r="FOZ53" s="373"/>
      <c r="FPA53" s="373"/>
      <c r="FPB53" s="373"/>
      <c r="FPC53" s="373"/>
      <c r="FPD53" s="373"/>
      <c r="FPE53" s="373"/>
      <c r="FPF53" s="373"/>
      <c r="FPG53" s="373"/>
      <c r="FPH53" s="373"/>
      <c r="FPI53" s="373"/>
      <c r="FPJ53" s="373"/>
      <c r="FPK53" s="373"/>
      <c r="FPL53" s="373"/>
      <c r="FPM53" s="373"/>
      <c r="FPN53" s="373"/>
      <c r="FPO53" s="373"/>
      <c r="FPP53" s="373"/>
      <c r="FPQ53" s="373"/>
      <c r="FPR53" s="373"/>
      <c r="FPS53" s="373"/>
      <c r="FPT53" s="373"/>
      <c r="FPU53" s="373"/>
      <c r="FPV53" s="373"/>
      <c r="FPW53" s="373"/>
      <c r="FPX53" s="373"/>
      <c r="FPY53" s="373"/>
      <c r="FPZ53" s="373"/>
      <c r="FQA53" s="373"/>
      <c r="FQB53" s="373"/>
      <c r="FQC53" s="373"/>
      <c r="FQD53" s="373"/>
      <c r="FQE53" s="373"/>
      <c r="FQF53" s="373"/>
      <c r="FQG53" s="373"/>
      <c r="FQH53" s="373"/>
      <c r="FQI53" s="373"/>
      <c r="FQJ53" s="373"/>
      <c r="FQK53" s="373"/>
      <c r="FQL53" s="373"/>
      <c r="FQM53" s="373"/>
      <c r="FQN53" s="373"/>
      <c r="FQO53" s="373"/>
      <c r="FQP53" s="373"/>
      <c r="FQQ53" s="373"/>
      <c r="FQR53" s="373"/>
      <c r="FQS53" s="373"/>
      <c r="FQT53" s="373"/>
      <c r="FQU53" s="373"/>
      <c r="FQV53" s="373"/>
      <c r="FQW53" s="373"/>
      <c r="FQX53" s="373"/>
      <c r="FQY53" s="373"/>
      <c r="FQZ53" s="373"/>
      <c r="FRA53" s="373"/>
      <c r="FRB53" s="373"/>
      <c r="FRC53" s="373"/>
      <c r="FRD53" s="373"/>
      <c r="FRE53" s="373"/>
      <c r="FRF53" s="373"/>
      <c r="FRG53" s="373"/>
      <c r="FRH53" s="373"/>
      <c r="FRI53" s="373"/>
      <c r="FRJ53" s="373"/>
      <c r="FRK53" s="373"/>
      <c r="FRL53" s="373"/>
      <c r="FRM53" s="373"/>
      <c r="FRN53" s="373"/>
      <c r="FRO53" s="373"/>
      <c r="FRP53" s="373"/>
      <c r="FRQ53" s="373"/>
      <c r="FRR53" s="373"/>
      <c r="FRS53" s="373"/>
      <c r="FRT53" s="373"/>
      <c r="FRU53" s="373"/>
      <c r="FRV53" s="373"/>
      <c r="FRW53" s="373"/>
      <c r="FRX53" s="373"/>
      <c r="FRY53" s="373"/>
      <c r="FRZ53" s="373"/>
      <c r="FSA53" s="373"/>
      <c r="FSB53" s="373"/>
      <c r="FSC53" s="373"/>
      <c r="FSD53" s="373"/>
      <c r="FSE53" s="373"/>
      <c r="FSF53" s="373"/>
      <c r="FSG53" s="373"/>
      <c r="FSH53" s="373"/>
      <c r="FSI53" s="373"/>
      <c r="FSJ53" s="373"/>
      <c r="FSK53" s="373"/>
      <c r="FSL53" s="373"/>
      <c r="FSM53" s="373"/>
      <c r="FSN53" s="373"/>
      <c r="FSO53" s="373"/>
      <c r="FSP53" s="373"/>
      <c r="FSQ53" s="373"/>
      <c r="FSR53" s="373"/>
      <c r="FSS53" s="373"/>
      <c r="FST53" s="373"/>
      <c r="FSU53" s="373"/>
      <c r="FSV53" s="373"/>
      <c r="FSW53" s="373"/>
      <c r="FSX53" s="373"/>
      <c r="FSY53" s="373"/>
      <c r="FSZ53" s="373"/>
      <c r="FTA53" s="373"/>
      <c r="FTB53" s="373"/>
      <c r="FTC53" s="373"/>
      <c r="FTD53" s="373"/>
      <c r="FTE53" s="373"/>
      <c r="FTF53" s="373"/>
      <c r="FTG53" s="373"/>
      <c r="FTH53" s="373"/>
      <c r="FTI53" s="373"/>
      <c r="FTJ53" s="373"/>
      <c r="FTK53" s="373"/>
      <c r="FTL53" s="373"/>
      <c r="FTM53" s="373"/>
      <c r="FTN53" s="373"/>
      <c r="FTO53" s="373"/>
      <c r="FTP53" s="373"/>
      <c r="FTQ53" s="373"/>
      <c r="FTR53" s="373"/>
      <c r="FTS53" s="373"/>
      <c r="FTT53" s="373"/>
      <c r="FTU53" s="373"/>
      <c r="FTV53" s="373"/>
      <c r="FTW53" s="373"/>
      <c r="FTX53" s="373"/>
      <c r="FTY53" s="373"/>
      <c r="FTZ53" s="373"/>
      <c r="FUA53" s="373"/>
      <c r="FUB53" s="373"/>
      <c r="FUC53" s="373"/>
      <c r="FUD53" s="373"/>
      <c r="FUE53" s="373"/>
      <c r="FUF53" s="373"/>
      <c r="FUG53" s="373"/>
      <c r="FUH53" s="373"/>
      <c r="FUI53" s="373"/>
      <c r="FUJ53" s="373"/>
      <c r="FUK53" s="373"/>
      <c r="FUL53" s="373"/>
      <c r="FUM53" s="373"/>
      <c r="FUN53" s="373"/>
      <c r="FUO53" s="373"/>
      <c r="FUP53" s="373"/>
      <c r="FUQ53" s="373"/>
      <c r="FUR53" s="373"/>
      <c r="FUS53" s="373"/>
      <c r="FUT53" s="373"/>
      <c r="FUU53" s="373"/>
      <c r="FUV53" s="373"/>
      <c r="FUW53" s="373"/>
      <c r="FUX53" s="373"/>
      <c r="FUY53" s="373"/>
      <c r="FUZ53" s="373"/>
      <c r="FVA53" s="373"/>
      <c r="FVB53" s="373"/>
      <c r="FVC53" s="373"/>
      <c r="FVD53" s="373"/>
      <c r="FVE53" s="373"/>
      <c r="FVF53" s="373"/>
      <c r="FVG53" s="373"/>
      <c r="FVH53" s="373"/>
      <c r="FVI53" s="373"/>
      <c r="FVJ53" s="373"/>
      <c r="FVK53" s="373"/>
      <c r="FVL53" s="373"/>
      <c r="FVM53" s="373"/>
      <c r="FVN53" s="373"/>
      <c r="FVO53" s="373"/>
      <c r="FVP53" s="373"/>
      <c r="FVQ53" s="373"/>
      <c r="FVR53" s="373"/>
      <c r="FVS53" s="373"/>
      <c r="FVT53" s="373"/>
      <c r="FVU53" s="373"/>
      <c r="FVV53" s="373"/>
      <c r="FVW53" s="373"/>
      <c r="FVX53" s="373"/>
      <c r="FVY53" s="373"/>
      <c r="FVZ53" s="373"/>
      <c r="FWA53" s="373"/>
      <c r="FWB53" s="373"/>
      <c r="FWC53" s="373"/>
      <c r="FWD53" s="373"/>
      <c r="FWE53" s="373"/>
      <c r="FWF53" s="373"/>
      <c r="FWG53" s="373"/>
      <c r="FWH53" s="373"/>
      <c r="FWI53" s="373"/>
      <c r="FWJ53" s="373"/>
      <c r="FWK53" s="373"/>
      <c r="FWL53" s="373"/>
      <c r="FWM53" s="373"/>
      <c r="FWN53" s="373"/>
      <c r="FWO53" s="373"/>
      <c r="FWP53" s="373"/>
      <c r="FWQ53" s="373"/>
      <c r="FWR53" s="373"/>
      <c r="FWS53" s="373"/>
      <c r="FWT53" s="373"/>
      <c r="FWU53" s="373"/>
      <c r="FWV53" s="373"/>
      <c r="FWW53" s="373"/>
      <c r="FWX53" s="373"/>
      <c r="FWY53" s="373"/>
      <c r="FWZ53" s="373"/>
      <c r="FXA53" s="373"/>
      <c r="FXB53" s="373"/>
      <c r="FXC53" s="373"/>
      <c r="FXD53" s="373"/>
      <c r="FXE53" s="373"/>
      <c r="FXF53" s="373"/>
      <c r="FXG53" s="373"/>
      <c r="FXH53" s="373"/>
      <c r="FXI53" s="373"/>
      <c r="FXJ53" s="373"/>
      <c r="FXK53" s="373"/>
      <c r="FXL53" s="373"/>
      <c r="FXM53" s="373"/>
      <c r="FXN53" s="373"/>
      <c r="FXO53" s="373"/>
      <c r="FXP53" s="373"/>
      <c r="FXQ53" s="373"/>
      <c r="FXR53" s="373"/>
      <c r="FXS53" s="373"/>
      <c r="FXT53" s="373"/>
      <c r="FXU53" s="373"/>
      <c r="FXV53" s="373"/>
      <c r="FXW53" s="373"/>
      <c r="FXX53" s="373"/>
      <c r="FXY53" s="373"/>
      <c r="FXZ53" s="373"/>
      <c r="FYA53" s="373"/>
      <c r="FYB53" s="373"/>
      <c r="FYC53" s="373"/>
      <c r="FYD53" s="373"/>
      <c r="FYE53" s="373"/>
      <c r="FYF53" s="373"/>
      <c r="FYG53" s="373"/>
      <c r="FYH53" s="373"/>
      <c r="FYI53" s="373"/>
      <c r="FYJ53" s="373"/>
      <c r="FYK53" s="373"/>
      <c r="FYL53" s="373"/>
      <c r="FYM53" s="373"/>
      <c r="FYN53" s="373"/>
      <c r="FYO53" s="373"/>
      <c r="FYP53" s="373"/>
      <c r="FYQ53" s="373"/>
      <c r="FYR53" s="373"/>
      <c r="FYS53" s="373"/>
      <c r="FYT53" s="373"/>
      <c r="FYU53" s="373"/>
      <c r="FYV53" s="373"/>
      <c r="FYW53" s="373"/>
      <c r="FYX53" s="373"/>
      <c r="FYY53" s="373"/>
      <c r="FYZ53" s="373"/>
      <c r="FZA53" s="373"/>
      <c r="FZB53" s="373"/>
      <c r="FZC53" s="373"/>
      <c r="FZD53" s="373"/>
      <c r="FZE53" s="373"/>
      <c r="FZF53" s="373"/>
      <c r="FZG53" s="373"/>
      <c r="FZH53" s="373"/>
      <c r="FZI53" s="373"/>
      <c r="FZJ53" s="373"/>
      <c r="FZK53" s="373"/>
      <c r="FZL53" s="373"/>
      <c r="FZM53" s="373"/>
      <c r="FZN53" s="373"/>
      <c r="FZO53" s="373"/>
      <c r="FZP53" s="373"/>
      <c r="FZQ53" s="373"/>
      <c r="FZR53" s="373"/>
      <c r="FZS53" s="373"/>
      <c r="FZT53" s="373"/>
      <c r="FZU53" s="373"/>
      <c r="FZV53" s="373"/>
      <c r="FZW53" s="373"/>
      <c r="FZX53" s="373"/>
      <c r="FZY53" s="373"/>
      <c r="FZZ53" s="373"/>
      <c r="GAA53" s="373"/>
      <c r="GAB53" s="373"/>
      <c r="GAC53" s="373"/>
      <c r="GAD53" s="373"/>
      <c r="GAE53" s="373"/>
      <c r="GAF53" s="373"/>
      <c r="GAG53" s="373"/>
      <c r="GAH53" s="373"/>
      <c r="GAI53" s="373"/>
      <c r="GAJ53" s="373"/>
      <c r="GAK53" s="373"/>
      <c r="GAL53" s="373"/>
      <c r="GAM53" s="373"/>
      <c r="GAN53" s="373"/>
      <c r="GAO53" s="373"/>
      <c r="GAP53" s="373"/>
      <c r="GAQ53" s="373"/>
      <c r="GAR53" s="373"/>
      <c r="GAS53" s="373"/>
      <c r="GAT53" s="373"/>
      <c r="GAU53" s="373"/>
      <c r="GAV53" s="373"/>
      <c r="GAW53" s="373"/>
      <c r="GAX53" s="373"/>
      <c r="GAY53" s="373"/>
      <c r="GAZ53" s="373"/>
      <c r="GBA53" s="373"/>
      <c r="GBB53" s="373"/>
      <c r="GBC53" s="373"/>
      <c r="GBD53" s="373"/>
      <c r="GBE53" s="373"/>
      <c r="GBF53" s="373"/>
      <c r="GBG53" s="373"/>
      <c r="GBH53" s="373"/>
      <c r="GBI53" s="373"/>
      <c r="GBJ53" s="373"/>
      <c r="GBK53" s="373"/>
      <c r="GBL53" s="373"/>
      <c r="GBM53" s="373"/>
      <c r="GBN53" s="373"/>
      <c r="GBO53" s="373"/>
      <c r="GBP53" s="373"/>
      <c r="GBQ53" s="373"/>
      <c r="GBR53" s="373"/>
      <c r="GBS53" s="373"/>
      <c r="GBT53" s="373"/>
      <c r="GBU53" s="373"/>
      <c r="GBV53" s="373"/>
      <c r="GBW53" s="373"/>
      <c r="GBX53" s="373"/>
      <c r="GBY53" s="373"/>
      <c r="GBZ53" s="373"/>
      <c r="GCA53" s="373"/>
      <c r="GCB53" s="373"/>
      <c r="GCC53" s="373"/>
      <c r="GCD53" s="373"/>
      <c r="GCE53" s="373"/>
      <c r="GCF53" s="373"/>
      <c r="GCG53" s="373"/>
      <c r="GCH53" s="373"/>
      <c r="GCI53" s="373"/>
      <c r="GCJ53" s="373"/>
      <c r="GCK53" s="373"/>
      <c r="GCL53" s="373"/>
      <c r="GCM53" s="373"/>
      <c r="GCN53" s="373"/>
      <c r="GCO53" s="373"/>
      <c r="GCP53" s="373"/>
      <c r="GCQ53" s="373"/>
      <c r="GCR53" s="373"/>
      <c r="GCS53" s="373"/>
      <c r="GCT53" s="373"/>
      <c r="GCU53" s="373"/>
      <c r="GCV53" s="373"/>
      <c r="GCW53" s="373"/>
      <c r="GCX53" s="373"/>
      <c r="GCY53" s="373"/>
      <c r="GCZ53" s="373"/>
      <c r="GDA53" s="373"/>
      <c r="GDB53" s="373"/>
      <c r="GDC53" s="373"/>
      <c r="GDD53" s="373"/>
      <c r="GDE53" s="373"/>
      <c r="GDF53" s="373"/>
      <c r="GDG53" s="373"/>
      <c r="GDH53" s="373"/>
      <c r="GDI53" s="373"/>
      <c r="GDJ53" s="373"/>
      <c r="GDK53" s="373"/>
      <c r="GDL53" s="373"/>
      <c r="GDM53" s="373"/>
      <c r="GDN53" s="373"/>
      <c r="GDO53" s="373"/>
      <c r="GDP53" s="373"/>
      <c r="GDQ53" s="373"/>
      <c r="GDR53" s="373"/>
      <c r="GDS53" s="373"/>
      <c r="GDT53" s="373"/>
      <c r="GDU53" s="373"/>
      <c r="GDV53" s="373"/>
      <c r="GDW53" s="373"/>
      <c r="GDX53" s="373"/>
      <c r="GDY53" s="373"/>
      <c r="GDZ53" s="373"/>
      <c r="GEA53" s="373"/>
      <c r="GEB53" s="373"/>
      <c r="GEC53" s="373"/>
      <c r="GED53" s="373"/>
      <c r="GEE53" s="373"/>
      <c r="GEF53" s="373"/>
      <c r="GEG53" s="373"/>
      <c r="GEH53" s="373"/>
      <c r="GEI53" s="373"/>
      <c r="GEJ53" s="373"/>
      <c r="GEK53" s="373"/>
      <c r="GEL53" s="373"/>
      <c r="GEM53" s="373"/>
      <c r="GEN53" s="373"/>
      <c r="GEO53" s="373"/>
      <c r="GEP53" s="373"/>
      <c r="GEQ53" s="373"/>
      <c r="GER53" s="373"/>
      <c r="GES53" s="373"/>
      <c r="GET53" s="373"/>
      <c r="GEU53" s="373"/>
      <c r="GEV53" s="373"/>
      <c r="GEW53" s="373"/>
      <c r="GEX53" s="373"/>
      <c r="GEY53" s="373"/>
      <c r="GEZ53" s="373"/>
      <c r="GFA53" s="373"/>
      <c r="GFB53" s="373"/>
      <c r="GFC53" s="373"/>
      <c r="GFD53" s="373"/>
      <c r="GFE53" s="373"/>
      <c r="GFF53" s="373"/>
      <c r="GFG53" s="373"/>
      <c r="GFH53" s="373"/>
      <c r="GFI53" s="373"/>
      <c r="GFJ53" s="373"/>
      <c r="GFK53" s="373"/>
      <c r="GFL53" s="373"/>
      <c r="GFM53" s="373"/>
      <c r="GFN53" s="373"/>
      <c r="GFO53" s="373"/>
      <c r="GFP53" s="373"/>
      <c r="GFQ53" s="373"/>
      <c r="GFR53" s="373"/>
      <c r="GFS53" s="373"/>
      <c r="GFT53" s="373"/>
      <c r="GFU53" s="373"/>
      <c r="GFV53" s="373"/>
      <c r="GFW53" s="373"/>
      <c r="GFX53" s="373"/>
      <c r="GFY53" s="373"/>
      <c r="GFZ53" s="373"/>
      <c r="GGA53" s="373"/>
      <c r="GGB53" s="373"/>
      <c r="GGC53" s="373"/>
      <c r="GGD53" s="373"/>
      <c r="GGE53" s="373"/>
      <c r="GGF53" s="373"/>
      <c r="GGG53" s="373"/>
      <c r="GGH53" s="373"/>
      <c r="GGI53" s="373"/>
      <c r="GGJ53" s="373"/>
      <c r="GGK53" s="373"/>
      <c r="GGL53" s="373"/>
      <c r="GGM53" s="373"/>
      <c r="GGN53" s="373"/>
      <c r="GGO53" s="373"/>
      <c r="GGP53" s="373"/>
      <c r="GGQ53" s="373"/>
      <c r="GGR53" s="373"/>
      <c r="GGS53" s="373"/>
      <c r="GGT53" s="373"/>
      <c r="GGU53" s="373"/>
      <c r="GGV53" s="373"/>
      <c r="GGW53" s="373"/>
      <c r="GGX53" s="373"/>
      <c r="GGY53" s="373"/>
      <c r="GGZ53" s="373"/>
      <c r="GHA53" s="373"/>
      <c r="GHB53" s="373"/>
      <c r="GHC53" s="373"/>
      <c r="GHD53" s="373"/>
      <c r="GHE53" s="373"/>
      <c r="GHF53" s="373"/>
      <c r="GHG53" s="373"/>
      <c r="GHH53" s="373"/>
      <c r="GHI53" s="373"/>
      <c r="GHJ53" s="373"/>
      <c r="GHK53" s="373"/>
      <c r="GHL53" s="373"/>
      <c r="GHM53" s="373"/>
      <c r="GHN53" s="373"/>
      <c r="GHO53" s="373"/>
      <c r="GHP53" s="373"/>
      <c r="GHQ53" s="373"/>
      <c r="GHR53" s="373"/>
      <c r="GHS53" s="373"/>
      <c r="GHT53" s="373"/>
      <c r="GHU53" s="373"/>
      <c r="GHV53" s="373"/>
      <c r="GHW53" s="373"/>
      <c r="GHX53" s="373"/>
      <c r="GHY53" s="373"/>
      <c r="GHZ53" s="373"/>
      <c r="GIA53" s="373"/>
      <c r="GIB53" s="373"/>
      <c r="GIC53" s="373"/>
      <c r="GID53" s="373"/>
      <c r="GIE53" s="373"/>
      <c r="GIF53" s="373"/>
      <c r="GIG53" s="373"/>
      <c r="GIH53" s="373"/>
      <c r="GII53" s="373"/>
      <c r="GIJ53" s="373"/>
      <c r="GIK53" s="373"/>
      <c r="GIL53" s="373"/>
      <c r="GIM53" s="373"/>
      <c r="GIN53" s="373"/>
      <c r="GIO53" s="373"/>
      <c r="GIP53" s="373"/>
      <c r="GIQ53" s="373"/>
      <c r="GIR53" s="373"/>
      <c r="GIS53" s="373"/>
      <c r="GIT53" s="373"/>
      <c r="GIU53" s="373"/>
      <c r="GIV53" s="373"/>
      <c r="GIW53" s="373"/>
      <c r="GIX53" s="373"/>
      <c r="GIY53" s="373"/>
      <c r="GIZ53" s="373"/>
      <c r="GJA53" s="373"/>
      <c r="GJB53" s="373"/>
      <c r="GJC53" s="373"/>
      <c r="GJD53" s="373"/>
      <c r="GJE53" s="373"/>
      <c r="GJF53" s="373"/>
      <c r="GJG53" s="373"/>
      <c r="GJH53" s="373"/>
      <c r="GJI53" s="373"/>
      <c r="GJJ53" s="373"/>
      <c r="GJK53" s="373"/>
      <c r="GJL53" s="373"/>
      <c r="GJM53" s="373"/>
      <c r="GJN53" s="373"/>
      <c r="GJO53" s="373"/>
      <c r="GJP53" s="373"/>
      <c r="GJQ53" s="373"/>
      <c r="GJR53" s="373"/>
      <c r="GJS53" s="373"/>
      <c r="GJT53" s="373"/>
      <c r="GJU53" s="373"/>
      <c r="GJV53" s="373"/>
      <c r="GJW53" s="373"/>
      <c r="GJX53" s="373"/>
      <c r="GJY53" s="373"/>
      <c r="GJZ53" s="373"/>
      <c r="GKA53" s="373"/>
      <c r="GKB53" s="373"/>
      <c r="GKC53" s="373"/>
      <c r="GKD53" s="373"/>
      <c r="GKE53" s="373"/>
      <c r="GKF53" s="373"/>
      <c r="GKG53" s="373"/>
      <c r="GKH53" s="373"/>
      <c r="GKI53" s="373"/>
      <c r="GKJ53" s="373"/>
      <c r="GKK53" s="373"/>
      <c r="GKL53" s="373"/>
      <c r="GKM53" s="373"/>
      <c r="GKN53" s="373"/>
      <c r="GKO53" s="373"/>
      <c r="GKP53" s="373"/>
      <c r="GKQ53" s="373"/>
      <c r="GKR53" s="373"/>
      <c r="GKS53" s="373"/>
      <c r="GKT53" s="373"/>
      <c r="GKU53" s="373"/>
      <c r="GKV53" s="373"/>
      <c r="GKW53" s="373"/>
      <c r="GKX53" s="373"/>
      <c r="GKY53" s="373"/>
      <c r="GKZ53" s="373"/>
      <c r="GLA53" s="373"/>
      <c r="GLB53" s="373"/>
      <c r="GLC53" s="373"/>
      <c r="GLD53" s="373"/>
      <c r="GLE53" s="373"/>
      <c r="GLF53" s="373"/>
      <c r="GLG53" s="373"/>
      <c r="GLH53" s="373"/>
      <c r="GLI53" s="373"/>
      <c r="GLJ53" s="373"/>
      <c r="GLK53" s="373"/>
      <c r="GLL53" s="373"/>
      <c r="GLM53" s="373"/>
      <c r="GLN53" s="373"/>
      <c r="GLO53" s="373"/>
      <c r="GLP53" s="373"/>
      <c r="GLQ53" s="373"/>
      <c r="GLR53" s="373"/>
      <c r="GLS53" s="373"/>
      <c r="GLT53" s="373"/>
      <c r="GLU53" s="373"/>
      <c r="GLV53" s="373"/>
      <c r="GLW53" s="373"/>
      <c r="GLX53" s="373"/>
      <c r="GLY53" s="373"/>
      <c r="GLZ53" s="373"/>
      <c r="GMA53" s="373"/>
      <c r="GMB53" s="373"/>
      <c r="GMC53" s="373"/>
      <c r="GMD53" s="373"/>
      <c r="GME53" s="373"/>
      <c r="GMF53" s="373"/>
      <c r="GMG53" s="373"/>
      <c r="GMH53" s="373"/>
      <c r="GMI53" s="373"/>
      <c r="GMJ53" s="373"/>
      <c r="GMK53" s="373"/>
      <c r="GML53" s="373"/>
      <c r="GMM53" s="373"/>
      <c r="GMN53" s="373"/>
      <c r="GMO53" s="373"/>
      <c r="GMP53" s="373"/>
      <c r="GMQ53" s="373"/>
      <c r="GMR53" s="373"/>
      <c r="GMS53" s="373"/>
      <c r="GMT53" s="373"/>
      <c r="GMU53" s="373"/>
      <c r="GMV53" s="373"/>
      <c r="GMW53" s="373"/>
      <c r="GMX53" s="373"/>
      <c r="GMY53" s="373"/>
      <c r="GMZ53" s="373"/>
      <c r="GNA53" s="373"/>
      <c r="GNB53" s="373"/>
      <c r="GNC53" s="373"/>
      <c r="GND53" s="373"/>
      <c r="GNE53" s="373"/>
      <c r="GNF53" s="373"/>
      <c r="GNG53" s="373"/>
      <c r="GNH53" s="373"/>
      <c r="GNI53" s="373"/>
      <c r="GNJ53" s="373"/>
      <c r="GNK53" s="373"/>
      <c r="GNL53" s="373"/>
      <c r="GNM53" s="373"/>
      <c r="GNN53" s="373"/>
      <c r="GNO53" s="373"/>
      <c r="GNP53" s="373"/>
      <c r="GNQ53" s="373"/>
      <c r="GNR53" s="373"/>
      <c r="GNS53" s="373"/>
      <c r="GNT53" s="373"/>
      <c r="GNU53" s="373"/>
      <c r="GNV53" s="373"/>
      <c r="GNW53" s="373"/>
      <c r="GNX53" s="373"/>
      <c r="GNY53" s="373"/>
      <c r="GNZ53" s="373"/>
      <c r="GOA53" s="373"/>
      <c r="GOB53" s="373"/>
      <c r="GOC53" s="373"/>
      <c r="GOD53" s="373"/>
      <c r="GOE53" s="373"/>
      <c r="GOF53" s="373"/>
      <c r="GOG53" s="373"/>
      <c r="GOH53" s="373"/>
      <c r="GOI53" s="373"/>
      <c r="GOJ53" s="373"/>
      <c r="GOK53" s="373"/>
      <c r="GOL53" s="373"/>
      <c r="GOM53" s="373"/>
      <c r="GON53" s="373"/>
      <c r="GOO53" s="373"/>
      <c r="GOP53" s="373"/>
      <c r="GOQ53" s="373"/>
      <c r="GOR53" s="373"/>
      <c r="GOS53" s="373"/>
      <c r="GOT53" s="373"/>
      <c r="GOU53" s="373"/>
      <c r="GOV53" s="373"/>
      <c r="GOW53" s="373"/>
      <c r="GOX53" s="373"/>
      <c r="GOY53" s="373"/>
      <c r="GOZ53" s="373"/>
      <c r="GPA53" s="373"/>
      <c r="GPB53" s="373"/>
      <c r="GPC53" s="373"/>
      <c r="GPD53" s="373"/>
      <c r="GPE53" s="373"/>
      <c r="GPF53" s="373"/>
      <c r="GPG53" s="373"/>
      <c r="GPH53" s="373"/>
      <c r="GPI53" s="373"/>
      <c r="GPJ53" s="373"/>
      <c r="GPK53" s="373"/>
      <c r="GPL53" s="373"/>
      <c r="GPM53" s="373"/>
      <c r="GPN53" s="373"/>
      <c r="GPO53" s="373"/>
      <c r="GPP53" s="373"/>
      <c r="GPQ53" s="373"/>
      <c r="GPR53" s="373"/>
      <c r="GPS53" s="373"/>
      <c r="GPT53" s="373"/>
      <c r="GPU53" s="373"/>
      <c r="GPV53" s="373"/>
      <c r="GPW53" s="373"/>
      <c r="GPX53" s="373"/>
      <c r="GPY53" s="373"/>
      <c r="GPZ53" s="373"/>
      <c r="GQA53" s="373"/>
      <c r="GQB53" s="373"/>
      <c r="GQC53" s="373"/>
      <c r="GQD53" s="373"/>
      <c r="GQE53" s="373"/>
      <c r="GQF53" s="373"/>
      <c r="GQG53" s="373"/>
      <c r="GQH53" s="373"/>
      <c r="GQI53" s="373"/>
      <c r="GQJ53" s="373"/>
      <c r="GQK53" s="373"/>
      <c r="GQL53" s="373"/>
      <c r="GQM53" s="373"/>
      <c r="GQN53" s="373"/>
      <c r="GQO53" s="373"/>
      <c r="GQP53" s="373"/>
      <c r="GQQ53" s="373"/>
      <c r="GQR53" s="373"/>
      <c r="GQS53" s="373"/>
      <c r="GQT53" s="373"/>
      <c r="GQU53" s="373"/>
      <c r="GQV53" s="373"/>
      <c r="GQW53" s="373"/>
      <c r="GQX53" s="373"/>
      <c r="GQY53" s="373"/>
      <c r="GQZ53" s="373"/>
      <c r="GRA53" s="373"/>
      <c r="GRB53" s="373"/>
      <c r="GRC53" s="373"/>
      <c r="GRD53" s="373"/>
      <c r="GRE53" s="373"/>
      <c r="GRF53" s="373"/>
      <c r="GRG53" s="373"/>
      <c r="GRH53" s="373"/>
      <c r="GRI53" s="373"/>
      <c r="GRJ53" s="373"/>
      <c r="GRK53" s="373"/>
      <c r="GRL53" s="373"/>
      <c r="GRM53" s="373"/>
      <c r="GRN53" s="373"/>
      <c r="GRO53" s="373"/>
      <c r="GRP53" s="373"/>
      <c r="GRQ53" s="373"/>
      <c r="GRR53" s="373"/>
      <c r="GRS53" s="373"/>
      <c r="GRT53" s="373"/>
      <c r="GRU53" s="373"/>
      <c r="GRV53" s="373"/>
      <c r="GRW53" s="373"/>
      <c r="GRX53" s="373"/>
      <c r="GRY53" s="373"/>
      <c r="GRZ53" s="373"/>
      <c r="GSA53" s="373"/>
      <c r="GSB53" s="373"/>
      <c r="GSC53" s="373"/>
      <c r="GSD53" s="373"/>
      <c r="GSE53" s="373"/>
      <c r="GSF53" s="373"/>
      <c r="GSG53" s="373"/>
      <c r="GSH53" s="373"/>
      <c r="GSI53" s="373"/>
      <c r="GSJ53" s="373"/>
      <c r="GSK53" s="373"/>
      <c r="GSL53" s="373"/>
      <c r="GSM53" s="373"/>
      <c r="GSN53" s="373"/>
      <c r="GSO53" s="373"/>
      <c r="GSP53" s="373"/>
      <c r="GSQ53" s="373"/>
      <c r="GSR53" s="373"/>
      <c r="GSS53" s="373"/>
      <c r="GST53" s="373"/>
      <c r="GSU53" s="373"/>
      <c r="GSV53" s="373"/>
      <c r="GSW53" s="373"/>
      <c r="GSX53" s="373"/>
      <c r="GSY53" s="373"/>
      <c r="GSZ53" s="373"/>
      <c r="GTA53" s="373"/>
      <c r="GTB53" s="373"/>
      <c r="GTC53" s="373"/>
      <c r="GTD53" s="373"/>
      <c r="GTE53" s="373"/>
      <c r="GTF53" s="373"/>
      <c r="GTG53" s="373"/>
      <c r="GTH53" s="373"/>
      <c r="GTI53" s="373"/>
      <c r="GTJ53" s="373"/>
      <c r="GTK53" s="373"/>
      <c r="GTL53" s="373"/>
      <c r="GTM53" s="373"/>
      <c r="GTN53" s="373"/>
      <c r="GTO53" s="373"/>
      <c r="GTP53" s="373"/>
      <c r="GTQ53" s="373"/>
      <c r="GTR53" s="373"/>
      <c r="GTS53" s="373"/>
      <c r="GTT53" s="373"/>
      <c r="GTU53" s="373"/>
      <c r="GTV53" s="373"/>
      <c r="GTW53" s="373"/>
      <c r="GTX53" s="373"/>
      <c r="GTY53" s="373"/>
      <c r="GTZ53" s="373"/>
      <c r="GUA53" s="373"/>
      <c r="GUB53" s="373"/>
      <c r="GUC53" s="373"/>
      <c r="GUD53" s="373"/>
      <c r="GUE53" s="373"/>
      <c r="GUF53" s="373"/>
      <c r="GUG53" s="373"/>
      <c r="GUH53" s="373"/>
      <c r="GUI53" s="373"/>
      <c r="GUJ53" s="373"/>
      <c r="GUK53" s="373"/>
      <c r="GUL53" s="373"/>
      <c r="GUM53" s="373"/>
      <c r="GUN53" s="373"/>
      <c r="GUO53" s="373"/>
      <c r="GUP53" s="373"/>
      <c r="GUQ53" s="373"/>
      <c r="GUR53" s="373"/>
      <c r="GUS53" s="373"/>
      <c r="GUT53" s="373"/>
      <c r="GUU53" s="373"/>
      <c r="GUV53" s="373"/>
      <c r="GUW53" s="373"/>
      <c r="GUX53" s="373"/>
      <c r="GUY53" s="373"/>
      <c r="GUZ53" s="373"/>
      <c r="GVA53" s="373"/>
      <c r="GVB53" s="373"/>
      <c r="GVC53" s="373"/>
      <c r="GVD53" s="373"/>
      <c r="GVE53" s="373"/>
      <c r="GVF53" s="373"/>
      <c r="GVG53" s="373"/>
      <c r="GVH53" s="373"/>
      <c r="GVI53" s="373"/>
      <c r="GVJ53" s="373"/>
      <c r="GVK53" s="373"/>
      <c r="GVL53" s="373"/>
      <c r="GVM53" s="373"/>
      <c r="GVN53" s="373"/>
      <c r="GVO53" s="373"/>
      <c r="GVP53" s="373"/>
      <c r="GVQ53" s="373"/>
      <c r="GVR53" s="373"/>
      <c r="GVS53" s="373"/>
      <c r="GVT53" s="373"/>
      <c r="GVU53" s="373"/>
      <c r="GVV53" s="373"/>
      <c r="GVW53" s="373"/>
      <c r="GVX53" s="373"/>
      <c r="GVY53" s="373"/>
      <c r="GVZ53" s="373"/>
      <c r="GWA53" s="373"/>
      <c r="GWB53" s="373"/>
      <c r="GWC53" s="373"/>
      <c r="GWD53" s="373"/>
      <c r="GWE53" s="373"/>
      <c r="GWF53" s="373"/>
      <c r="GWG53" s="373"/>
      <c r="GWH53" s="373"/>
      <c r="GWI53" s="373"/>
      <c r="GWJ53" s="373"/>
      <c r="GWK53" s="373"/>
      <c r="GWL53" s="373"/>
      <c r="GWM53" s="373"/>
      <c r="GWN53" s="373"/>
      <c r="GWO53" s="373"/>
      <c r="GWP53" s="373"/>
      <c r="GWQ53" s="373"/>
      <c r="GWR53" s="373"/>
      <c r="GWS53" s="373"/>
      <c r="GWT53" s="373"/>
      <c r="GWU53" s="373"/>
      <c r="GWV53" s="373"/>
      <c r="GWW53" s="373"/>
      <c r="GWX53" s="373"/>
      <c r="GWY53" s="373"/>
      <c r="GWZ53" s="373"/>
      <c r="GXA53" s="373"/>
      <c r="GXB53" s="373"/>
      <c r="GXC53" s="373"/>
      <c r="GXD53" s="373"/>
      <c r="GXE53" s="373"/>
      <c r="GXF53" s="373"/>
      <c r="GXG53" s="373"/>
      <c r="GXH53" s="373"/>
      <c r="GXI53" s="373"/>
      <c r="GXJ53" s="373"/>
      <c r="GXK53" s="373"/>
      <c r="GXL53" s="373"/>
      <c r="GXM53" s="373"/>
      <c r="GXN53" s="373"/>
      <c r="GXO53" s="373"/>
      <c r="GXP53" s="373"/>
      <c r="GXQ53" s="373"/>
      <c r="GXR53" s="373"/>
      <c r="GXS53" s="373"/>
      <c r="GXT53" s="373"/>
      <c r="GXU53" s="373"/>
      <c r="GXV53" s="373"/>
      <c r="GXW53" s="373"/>
      <c r="GXX53" s="373"/>
      <c r="GXY53" s="373"/>
      <c r="GXZ53" s="373"/>
      <c r="GYA53" s="373"/>
      <c r="GYB53" s="373"/>
      <c r="GYC53" s="373"/>
      <c r="GYD53" s="373"/>
      <c r="GYE53" s="373"/>
      <c r="GYF53" s="373"/>
      <c r="GYG53" s="373"/>
      <c r="GYH53" s="373"/>
      <c r="GYI53" s="373"/>
      <c r="GYJ53" s="373"/>
      <c r="GYK53" s="373"/>
      <c r="GYL53" s="373"/>
      <c r="GYM53" s="373"/>
      <c r="GYN53" s="373"/>
      <c r="GYO53" s="373"/>
      <c r="GYP53" s="373"/>
      <c r="GYQ53" s="373"/>
      <c r="GYR53" s="373"/>
      <c r="GYS53" s="373"/>
      <c r="GYT53" s="373"/>
      <c r="GYU53" s="373"/>
      <c r="GYV53" s="373"/>
      <c r="GYW53" s="373"/>
      <c r="GYX53" s="373"/>
      <c r="GYY53" s="373"/>
      <c r="GYZ53" s="373"/>
      <c r="GZA53" s="373"/>
      <c r="GZB53" s="373"/>
      <c r="GZC53" s="373"/>
      <c r="GZD53" s="373"/>
      <c r="GZE53" s="373"/>
      <c r="GZF53" s="373"/>
      <c r="GZG53" s="373"/>
      <c r="GZH53" s="373"/>
      <c r="GZI53" s="373"/>
      <c r="GZJ53" s="373"/>
      <c r="GZK53" s="373"/>
      <c r="GZL53" s="373"/>
      <c r="GZM53" s="373"/>
      <c r="GZN53" s="373"/>
      <c r="GZO53" s="373"/>
      <c r="GZP53" s="373"/>
      <c r="GZQ53" s="373"/>
      <c r="GZR53" s="373"/>
      <c r="GZS53" s="373"/>
      <c r="GZT53" s="373"/>
      <c r="GZU53" s="373"/>
      <c r="GZV53" s="373"/>
      <c r="GZW53" s="373"/>
      <c r="GZX53" s="373"/>
      <c r="GZY53" s="373"/>
      <c r="GZZ53" s="373"/>
      <c r="HAA53" s="373"/>
      <c r="HAB53" s="373"/>
      <c r="HAC53" s="373"/>
      <c r="HAD53" s="373"/>
      <c r="HAE53" s="373"/>
      <c r="HAF53" s="373"/>
      <c r="HAG53" s="373"/>
      <c r="HAH53" s="373"/>
      <c r="HAI53" s="373"/>
      <c r="HAJ53" s="373"/>
      <c r="HAK53" s="373"/>
      <c r="HAL53" s="373"/>
      <c r="HAM53" s="373"/>
      <c r="HAN53" s="373"/>
      <c r="HAO53" s="373"/>
      <c r="HAP53" s="373"/>
      <c r="HAQ53" s="373"/>
      <c r="HAR53" s="373"/>
      <c r="HAS53" s="373"/>
      <c r="HAT53" s="373"/>
      <c r="HAU53" s="373"/>
      <c r="HAV53" s="373"/>
      <c r="HAW53" s="373"/>
      <c r="HAX53" s="373"/>
      <c r="HAY53" s="373"/>
      <c r="HAZ53" s="373"/>
      <c r="HBA53" s="373"/>
      <c r="HBB53" s="373"/>
      <c r="HBC53" s="373"/>
      <c r="HBD53" s="373"/>
      <c r="HBE53" s="373"/>
      <c r="HBF53" s="373"/>
      <c r="HBG53" s="373"/>
      <c r="HBH53" s="373"/>
      <c r="HBI53" s="373"/>
      <c r="HBJ53" s="373"/>
      <c r="HBK53" s="373"/>
      <c r="HBL53" s="373"/>
      <c r="HBM53" s="373"/>
      <c r="HBN53" s="373"/>
      <c r="HBO53" s="373"/>
      <c r="HBP53" s="373"/>
      <c r="HBQ53" s="373"/>
      <c r="HBR53" s="373"/>
      <c r="HBS53" s="373"/>
      <c r="HBT53" s="373"/>
      <c r="HBU53" s="373"/>
      <c r="HBV53" s="373"/>
      <c r="HBW53" s="373"/>
      <c r="HBX53" s="373"/>
      <c r="HBY53" s="373"/>
      <c r="HBZ53" s="373"/>
      <c r="HCA53" s="373"/>
      <c r="HCB53" s="373"/>
      <c r="HCC53" s="373"/>
      <c r="HCD53" s="373"/>
      <c r="HCE53" s="373"/>
      <c r="HCF53" s="373"/>
      <c r="HCG53" s="373"/>
      <c r="HCH53" s="373"/>
      <c r="HCI53" s="373"/>
      <c r="HCJ53" s="373"/>
      <c r="HCK53" s="373"/>
      <c r="HCL53" s="373"/>
      <c r="HCM53" s="373"/>
      <c r="HCN53" s="373"/>
      <c r="HCO53" s="373"/>
      <c r="HCP53" s="373"/>
      <c r="HCQ53" s="373"/>
      <c r="HCR53" s="373"/>
      <c r="HCS53" s="373"/>
      <c r="HCT53" s="373"/>
      <c r="HCU53" s="373"/>
      <c r="HCV53" s="373"/>
      <c r="HCW53" s="373"/>
      <c r="HCX53" s="373"/>
      <c r="HCY53" s="373"/>
      <c r="HCZ53" s="373"/>
      <c r="HDA53" s="373"/>
      <c r="HDB53" s="373"/>
      <c r="HDC53" s="373"/>
      <c r="HDD53" s="373"/>
      <c r="HDE53" s="373"/>
      <c r="HDF53" s="373"/>
      <c r="HDG53" s="373"/>
      <c r="HDH53" s="373"/>
      <c r="HDI53" s="373"/>
      <c r="HDJ53" s="373"/>
      <c r="HDK53" s="373"/>
      <c r="HDL53" s="373"/>
      <c r="HDM53" s="373"/>
      <c r="HDN53" s="373"/>
      <c r="HDO53" s="373"/>
      <c r="HDP53" s="373"/>
      <c r="HDQ53" s="373"/>
      <c r="HDR53" s="373"/>
      <c r="HDS53" s="373"/>
      <c r="HDT53" s="373"/>
      <c r="HDU53" s="373"/>
      <c r="HDV53" s="373"/>
      <c r="HDW53" s="373"/>
      <c r="HDX53" s="373"/>
      <c r="HDY53" s="373"/>
      <c r="HDZ53" s="373"/>
      <c r="HEA53" s="373"/>
      <c r="HEB53" s="373"/>
      <c r="HEC53" s="373"/>
      <c r="HED53" s="373"/>
      <c r="HEE53" s="373"/>
      <c r="HEF53" s="373"/>
      <c r="HEG53" s="373"/>
      <c r="HEH53" s="373"/>
      <c r="HEI53" s="373"/>
      <c r="HEJ53" s="373"/>
      <c r="HEK53" s="373"/>
      <c r="HEL53" s="373"/>
      <c r="HEM53" s="373"/>
      <c r="HEN53" s="373"/>
      <c r="HEO53" s="373"/>
      <c r="HEP53" s="373"/>
      <c r="HEQ53" s="373"/>
      <c r="HER53" s="373"/>
      <c r="HES53" s="373"/>
      <c r="HET53" s="373"/>
      <c r="HEU53" s="373"/>
      <c r="HEV53" s="373"/>
      <c r="HEW53" s="373"/>
      <c r="HEX53" s="373"/>
      <c r="HEY53" s="373"/>
      <c r="HEZ53" s="373"/>
      <c r="HFA53" s="373"/>
      <c r="HFB53" s="373"/>
      <c r="HFC53" s="373"/>
      <c r="HFD53" s="373"/>
      <c r="HFE53" s="373"/>
      <c r="HFF53" s="373"/>
      <c r="HFG53" s="373"/>
      <c r="HFH53" s="373"/>
      <c r="HFI53" s="373"/>
      <c r="HFJ53" s="373"/>
      <c r="HFK53" s="373"/>
      <c r="HFL53" s="373"/>
      <c r="HFM53" s="373"/>
      <c r="HFN53" s="373"/>
      <c r="HFO53" s="373"/>
      <c r="HFP53" s="373"/>
      <c r="HFQ53" s="373"/>
      <c r="HFR53" s="373"/>
      <c r="HFS53" s="373"/>
      <c r="HFT53" s="373"/>
      <c r="HFU53" s="373"/>
      <c r="HFV53" s="373"/>
      <c r="HFW53" s="373"/>
      <c r="HFX53" s="373"/>
      <c r="HFY53" s="373"/>
      <c r="HFZ53" s="373"/>
      <c r="HGA53" s="373"/>
      <c r="HGB53" s="373"/>
      <c r="HGC53" s="373"/>
      <c r="HGD53" s="373"/>
      <c r="HGE53" s="373"/>
      <c r="HGF53" s="373"/>
      <c r="HGG53" s="373"/>
      <c r="HGH53" s="373"/>
      <c r="HGI53" s="373"/>
      <c r="HGJ53" s="373"/>
      <c r="HGK53" s="373"/>
      <c r="HGL53" s="373"/>
      <c r="HGM53" s="373"/>
      <c r="HGN53" s="373"/>
      <c r="HGO53" s="373"/>
      <c r="HGP53" s="373"/>
      <c r="HGQ53" s="373"/>
      <c r="HGR53" s="373"/>
      <c r="HGS53" s="373"/>
      <c r="HGT53" s="373"/>
      <c r="HGU53" s="373"/>
      <c r="HGV53" s="373"/>
      <c r="HGW53" s="373"/>
      <c r="HGX53" s="373"/>
      <c r="HGY53" s="373"/>
      <c r="HGZ53" s="373"/>
      <c r="HHA53" s="373"/>
      <c r="HHB53" s="373"/>
      <c r="HHC53" s="373"/>
      <c r="HHD53" s="373"/>
      <c r="HHE53" s="373"/>
      <c r="HHF53" s="373"/>
      <c r="HHG53" s="373"/>
      <c r="HHH53" s="373"/>
      <c r="HHI53" s="373"/>
      <c r="HHJ53" s="373"/>
      <c r="HHK53" s="373"/>
      <c r="HHL53" s="373"/>
      <c r="HHM53" s="373"/>
      <c r="HHN53" s="373"/>
      <c r="HHO53" s="373"/>
      <c r="HHP53" s="373"/>
      <c r="HHQ53" s="373"/>
      <c r="HHR53" s="373"/>
      <c r="HHS53" s="373"/>
      <c r="HHT53" s="373"/>
      <c r="HHU53" s="373"/>
      <c r="HHV53" s="373"/>
      <c r="HHW53" s="373"/>
      <c r="HHX53" s="373"/>
      <c r="HHY53" s="373"/>
      <c r="HHZ53" s="373"/>
      <c r="HIA53" s="373"/>
      <c r="HIB53" s="373"/>
      <c r="HIC53" s="373"/>
      <c r="HID53" s="373"/>
      <c r="HIE53" s="373"/>
      <c r="HIF53" s="373"/>
      <c r="HIG53" s="373"/>
      <c r="HIH53" s="373"/>
      <c r="HII53" s="373"/>
      <c r="HIJ53" s="373"/>
      <c r="HIK53" s="373"/>
      <c r="HIL53" s="373"/>
      <c r="HIM53" s="373"/>
      <c r="HIN53" s="373"/>
      <c r="HIO53" s="373"/>
      <c r="HIP53" s="373"/>
      <c r="HIQ53" s="373"/>
      <c r="HIR53" s="373"/>
      <c r="HIS53" s="373"/>
      <c r="HIT53" s="373"/>
      <c r="HIU53" s="373"/>
      <c r="HIV53" s="373"/>
      <c r="HIW53" s="373"/>
      <c r="HIX53" s="373"/>
      <c r="HIY53" s="373"/>
      <c r="HIZ53" s="373"/>
      <c r="HJA53" s="373"/>
      <c r="HJB53" s="373"/>
      <c r="HJC53" s="373"/>
      <c r="HJD53" s="373"/>
      <c r="HJE53" s="373"/>
      <c r="HJF53" s="373"/>
      <c r="HJG53" s="373"/>
      <c r="HJH53" s="373"/>
      <c r="HJI53" s="373"/>
      <c r="HJJ53" s="373"/>
      <c r="HJK53" s="373"/>
      <c r="HJL53" s="373"/>
      <c r="HJM53" s="373"/>
      <c r="HJN53" s="373"/>
      <c r="HJO53" s="373"/>
      <c r="HJP53" s="373"/>
      <c r="HJQ53" s="373"/>
      <c r="HJR53" s="373"/>
      <c r="HJS53" s="373"/>
      <c r="HJT53" s="373"/>
      <c r="HJU53" s="373"/>
      <c r="HJV53" s="373"/>
      <c r="HJW53" s="373"/>
      <c r="HJX53" s="373"/>
      <c r="HJY53" s="373"/>
      <c r="HJZ53" s="373"/>
      <c r="HKA53" s="373"/>
      <c r="HKB53" s="373"/>
      <c r="HKC53" s="373"/>
      <c r="HKD53" s="373"/>
      <c r="HKE53" s="373"/>
      <c r="HKF53" s="373"/>
      <c r="HKG53" s="373"/>
      <c r="HKH53" s="373"/>
      <c r="HKI53" s="373"/>
      <c r="HKJ53" s="373"/>
      <c r="HKK53" s="373"/>
      <c r="HKL53" s="373"/>
      <c r="HKM53" s="373"/>
      <c r="HKN53" s="373"/>
      <c r="HKO53" s="373"/>
      <c r="HKP53" s="373"/>
      <c r="HKQ53" s="373"/>
      <c r="HKR53" s="373"/>
      <c r="HKS53" s="373"/>
      <c r="HKT53" s="373"/>
      <c r="HKU53" s="373"/>
      <c r="HKV53" s="373"/>
      <c r="HKW53" s="373"/>
      <c r="HKX53" s="373"/>
      <c r="HKY53" s="373"/>
      <c r="HKZ53" s="373"/>
      <c r="HLA53" s="373"/>
      <c r="HLB53" s="373"/>
      <c r="HLC53" s="373"/>
      <c r="HLD53" s="373"/>
      <c r="HLE53" s="373"/>
      <c r="HLF53" s="373"/>
      <c r="HLG53" s="373"/>
      <c r="HLH53" s="373"/>
      <c r="HLI53" s="373"/>
      <c r="HLJ53" s="373"/>
      <c r="HLK53" s="373"/>
      <c r="HLL53" s="373"/>
      <c r="HLM53" s="373"/>
      <c r="HLN53" s="373"/>
      <c r="HLO53" s="373"/>
      <c r="HLP53" s="373"/>
      <c r="HLQ53" s="373"/>
      <c r="HLR53" s="373"/>
      <c r="HLS53" s="373"/>
      <c r="HLT53" s="373"/>
      <c r="HLU53" s="373"/>
      <c r="HLV53" s="373"/>
      <c r="HLW53" s="373"/>
      <c r="HLX53" s="373"/>
      <c r="HLY53" s="373"/>
      <c r="HLZ53" s="373"/>
      <c r="HMA53" s="373"/>
      <c r="HMB53" s="373"/>
      <c r="HMC53" s="373"/>
      <c r="HMD53" s="373"/>
      <c r="HME53" s="373"/>
      <c r="HMF53" s="373"/>
      <c r="HMG53" s="373"/>
      <c r="HMH53" s="373"/>
      <c r="HMI53" s="373"/>
      <c r="HMJ53" s="373"/>
      <c r="HMK53" s="373"/>
      <c r="HML53" s="373"/>
      <c r="HMM53" s="373"/>
      <c r="HMN53" s="373"/>
      <c r="HMO53" s="373"/>
      <c r="HMP53" s="373"/>
      <c r="HMQ53" s="373"/>
      <c r="HMR53" s="373"/>
      <c r="HMS53" s="373"/>
      <c r="HMT53" s="373"/>
      <c r="HMU53" s="373"/>
      <c r="HMV53" s="373"/>
      <c r="HMW53" s="373"/>
      <c r="HMX53" s="373"/>
      <c r="HMY53" s="373"/>
      <c r="HMZ53" s="373"/>
      <c r="HNA53" s="373"/>
      <c r="HNB53" s="373"/>
      <c r="HNC53" s="373"/>
      <c r="HND53" s="373"/>
      <c r="HNE53" s="373"/>
      <c r="HNF53" s="373"/>
      <c r="HNG53" s="373"/>
      <c r="HNH53" s="373"/>
      <c r="HNI53" s="373"/>
      <c r="HNJ53" s="373"/>
      <c r="HNK53" s="373"/>
      <c r="HNL53" s="373"/>
      <c r="HNM53" s="373"/>
      <c r="HNN53" s="373"/>
      <c r="HNO53" s="373"/>
      <c r="HNP53" s="373"/>
      <c r="HNQ53" s="373"/>
      <c r="HNR53" s="373"/>
      <c r="HNS53" s="373"/>
      <c r="HNT53" s="373"/>
      <c r="HNU53" s="373"/>
      <c r="HNV53" s="373"/>
      <c r="HNW53" s="373"/>
      <c r="HNX53" s="373"/>
      <c r="HNY53" s="373"/>
      <c r="HNZ53" s="373"/>
      <c r="HOA53" s="373"/>
      <c r="HOB53" s="373"/>
      <c r="HOC53" s="373"/>
      <c r="HOD53" s="373"/>
      <c r="HOE53" s="373"/>
      <c r="HOF53" s="373"/>
      <c r="HOG53" s="373"/>
      <c r="HOH53" s="373"/>
      <c r="HOI53" s="373"/>
      <c r="HOJ53" s="373"/>
      <c r="HOK53" s="373"/>
      <c r="HOL53" s="373"/>
      <c r="HOM53" s="373"/>
      <c r="HON53" s="373"/>
      <c r="HOO53" s="373"/>
      <c r="HOP53" s="373"/>
      <c r="HOQ53" s="373"/>
      <c r="HOR53" s="373"/>
      <c r="HOS53" s="373"/>
      <c r="HOT53" s="373"/>
      <c r="HOU53" s="373"/>
      <c r="HOV53" s="373"/>
      <c r="HOW53" s="373"/>
      <c r="HOX53" s="373"/>
      <c r="HOY53" s="373"/>
      <c r="HOZ53" s="373"/>
      <c r="HPA53" s="373"/>
      <c r="HPB53" s="373"/>
      <c r="HPC53" s="373"/>
      <c r="HPD53" s="373"/>
      <c r="HPE53" s="373"/>
      <c r="HPF53" s="373"/>
      <c r="HPG53" s="373"/>
      <c r="HPH53" s="373"/>
      <c r="HPI53" s="373"/>
      <c r="HPJ53" s="373"/>
      <c r="HPK53" s="373"/>
      <c r="HPL53" s="373"/>
      <c r="HPM53" s="373"/>
      <c r="HPN53" s="373"/>
      <c r="HPO53" s="373"/>
      <c r="HPP53" s="373"/>
      <c r="HPQ53" s="373"/>
      <c r="HPR53" s="373"/>
      <c r="HPS53" s="373"/>
      <c r="HPT53" s="373"/>
      <c r="HPU53" s="373"/>
      <c r="HPV53" s="373"/>
      <c r="HPW53" s="373"/>
      <c r="HPX53" s="373"/>
      <c r="HPY53" s="373"/>
      <c r="HPZ53" s="373"/>
      <c r="HQA53" s="373"/>
      <c r="HQB53" s="373"/>
      <c r="HQC53" s="373"/>
      <c r="HQD53" s="373"/>
      <c r="HQE53" s="373"/>
      <c r="HQF53" s="373"/>
      <c r="HQG53" s="373"/>
      <c r="HQH53" s="373"/>
      <c r="HQI53" s="373"/>
      <c r="HQJ53" s="373"/>
      <c r="HQK53" s="373"/>
      <c r="HQL53" s="373"/>
      <c r="HQM53" s="373"/>
      <c r="HQN53" s="373"/>
      <c r="HQO53" s="373"/>
      <c r="HQP53" s="373"/>
      <c r="HQQ53" s="373"/>
      <c r="HQR53" s="373"/>
      <c r="HQS53" s="373"/>
      <c r="HQT53" s="373"/>
      <c r="HQU53" s="373"/>
      <c r="HQV53" s="373"/>
      <c r="HQW53" s="373"/>
      <c r="HQX53" s="373"/>
      <c r="HQY53" s="373"/>
      <c r="HQZ53" s="373"/>
      <c r="HRA53" s="373"/>
      <c r="HRB53" s="373"/>
      <c r="HRC53" s="373"/>
      <c r="HRD53" s="373"/>
      <c r="HRE53" s="373"/>
      <c r="HRF53" s="373"/>
      <c r="HRG53" s="373"/>
      <c r="HRH53" s="373"/>
      <c r="HRI53" s="373"/>
      <c r="HRJ53" s="373"/>
      <c r="HRK53" s="373"/>
      <c r="HRL53" s="373"/>
      <c r="HRM53" s="373"/>
      <c r="HRN53" s="373"/>
      <c r="HRO53" s="373"/>
      <c r="HRP53" s="373"/>
      <c r="HRQ53" s="373"/>
      <c r="HRR53" s="373"/>
      <c r="HRS53" s="373"/>
      <c r="HRT53" s="373"/>
      <c r="HRU53" s="373"/>
      <c r="HRV53" s="373"/>
      <c r="HRW53" s="373"/>
      <c r="HRX53" s="373"/>
      <c r="HRY53" s="373"/>
      <c r="HRZ53" s="373"/>
      <c r="HSA53" s="373"/>
      <c r="HSB53" s="373"/>
      <c r="HSC53" s="373"/>
      <c r="HSD53" s="373"/>
      <c r="HSE53" s="373"/>
      <c r="HSF53" s="373"/>
      <c r="HSG53" s="373"/>
      <c r="HSH53" s="373"/>
      <c r="HSI53" s="373"/>
      <c r="HSJ53" s="373"/>
      <c r="HSK53" s="373"/>
      <c r="HSL53" s="373"/>
      <c r="HSM53" s="373"/>
      <c r="HSN53" s="373"/>
      <c r="HSO53" s="373"/>
      <c r="HSP53" s="373"/>
      <c r="HSQ53" s="373"/>
      <c r="HSR53" s="373"/>
      <c r="HSS53" s="373"/>
      <c r="HST53" s="373"/>
      <c r="HSU53" s="373"/>
      <c r="HSV53" s="373"/>
      <c r="HSW53" s="373"/>
      <c r="HSX53" s="373"/>
      <c r="HSY53" s="373"/>
      <c r="HSZ53" s="373"/>
      <c r="HTA53" s="373"/>
      <c r="HTB53" s="373"/>
      <c r="HTC53" s="373"/>
      <c r="HTD53" s="373"/>
      <c r="HTE53" s="373"/>
      <c r="HTF53" s="373"/>
      <c r="HTG53" s="373"/>
      <c r="HTH53" s="373"/>
      <c r="HTI53" s="373"/>
      <c r="HTJ53" s="373"/>
      <c r="HTK53" s="373"/>
      <c r="HTL53" s="373"/>
      <c r="HTM53" s="373"/>
      <c r="HTN53" s="373"/>
      <c r="HTO53" s="373"/>
      <c r="HTP53" s="373"/>
      <c r="HTQ53" s="373"/>
      <c r="HTR53" s="373"/>
      <c r="HTS53" s="373"/>
      <c r="HTT53" s="373"/>
      <c r="HTU53" s="373"/>
      <c r="HTV53" s="373"/>
      <c r="HTW53" s="373"/>
      <c r="HTX53" s="373"/>
      <c r="HTY53" s="373"/>
      <c r="HTZ53" s="373"/>
      <c r="HUA53" s="373"/>
      <c r="HUB53" s="373"/>
      <c r="HUC53" s="373"/>
      <c r="HUD53" s="373"/>
      <c r="HUE53" s="373"/>
      <c r="HUF53" s="373"/>
      <c r="HUG53" s="373"/>
      <c r="HUH53" s="373"/>
      <c r="HUI53" s="373"/>
      <c r="HUJ53" s="373"/>
      <c r="HUK53" s="373"/>
      <c r="HUL53" s="373"/>
      <c r="HUM53" s="373"/>
      <c r="HUN53" s="373"/>
      <c r="HUO53" s="373"/>
      <c r="HUP53" s="373"/>
      <c r="HUQ53" s="373"/>
      <c r="HUR53" s="373"/>
      <c r="HUS53" s="373"/>
      <c r="HUT53" s="373"/>
      <c r="HUU53" s="373"/>
      <c r="HUV53" s="373"/>
      <c r="HUW53" s="373"/>
      <c r="HUX53" s="373"/>
      <c r="HUY53" s="373"/>
      <c r="HUZ53" s="373"/>
      <c r="HVA53" s="373"/>
      <c r="HVB53" s="373"/>
      <c r="HVC53" s="373"/>
      <c r="HVD53" s="373"/>
      <c r="HVE53" s="373"/>
      <c r="HVF53" s="373"/>
      <c r="HVG53" s="373"/>
      <c r="HVH53" s="373"/>
      <c r="HVI53" s="373"/>
      <c r="HVJ53" s="373"/>
      <c r="HVK53" s="373"/>
      <c r="HVL53" s="373"/>
      <c r="HVM53" s="373"/>
      <c r="HVN53" s="373"/>
      <c r="HVO53" s="373"/>
      <c r="HVP53" s="373"/>
      <c r="HVQ53" s="373"/>
      <c r="HVR53" s="373"/>
      <c r="HVS53" s="373"/>
      <c r="HVT53" s="373"/>
      <c r="HVU53" s="373"/>
      <c r="HVV53" s="373"/>
      <c r="HVW53" s="373"/>
      <c r="HVX53" s="373"/>
      <c r="HVY53" s="373"/>
      <c r="HVZ53" s="373"/>
      <c r="HWA53" s="373"/>
      <c r="HWB53" s="373"/>
      <c r="HWC53" s="373"/>
      <c r="HWD53" s="373"/>
      <c r="HWE53" s="373"/>
      <c r="HWF53" s="373"/>
      <c r="HWG53" s="373"/>
      <c r="HWH53" s="373"/>
      <c r="HWI53" s="373"/>
      <c r="HWJ53" s="373"/>
      <c r="HWK53" s="373"/>
      <c r="HWL53" s="373"/>
      <c r="HWM53" s="373"/>
      <c r="HWN53" s="373"/>
      <c r="HWO53" s="373"/>
      <c r="HWP53" s="373"/>
      <c r="HWQ53" s="373"/>
      <c r="HWR53" s="373"/>
      <c r="HWS53" s="373"/>
      <c r="HWT53" s="373"/>
      <c r="HWU53" s="373"/>
      <c r="HWV53" s="373"/>
      <c r="HWW53" s="373"/>
      <c r="HWX53" s="373"/>
      <c r="HWY53" s="373"/>
      <c r="HWZ53" s="373"/>
      <c r="HXA53" s="373"/>
      <c r="HXB53" s="373"/>
      <c r="HXC53" s="373"/>
      <c r="HXD53" s="373"/>
      <c r="HXE53" s="373"/>
      <c r="HXF53" s="373"/>
      <c r="HXG53" s="373"/>
      <c r="HXH53" s="373"/>
      <c r="HXI53" s="373"/>
      <c r="HXJ53" s="373"/>
      <c r="HXK53" s="373"/>
      <c r="HXL53" s="373"/>
      <c r="HXM53" s="373"/>
      <c r="HXN53" s="373"/>
      <c r="HXO53" s="373"/>
      <c r="HXP53" s="373"/>
      <c r="HXQ53" s="373"/>
      <c r="HXR53" s="373"/>
      <c r="HXS53" s="373"/>
      <c r="HXT53" s="373"/>
      <c r="HXU53" s="373"/>
      <c r="HXV53" s="373"/>
      <c r="HXW53" s="373"/>
      <c r="HXX53" s="373"/>
      <c r="HXY53" s="373"/>
      <c r="HXZ53" s="373"/>
      <c r="HYA53" s="373"/>
      <c r="HYB53" s="373"/>
      <c r="HYC53" s="373"/>
      <c r="HYD53" s="373"/>
      <c r="HYE53" s="373"/>
      <c r="HYF53" s="373"/>
      <c r="HYG53" s="373"/>
      <c r="HYH53" s="373"/>
      <c r="HYI53" s="373"/>
      <c r="HYJ53" s="373"/>
      <c r="HYK53" s="373"/>
      <c r="HYL53" s="373"/>
      <c r="HYM53" s="373"/>
      <c r="HYN53" s="373"/>
      <c r="HYO53" s="373"/>
      <c r="HYP53" s="373"/>
      <c r="HYQ53" s="373"/>
      <c r="HYR53" s="373"/>
      <c r="HYS53" s="373"/>
      <c r="HYT53" s="373"/>
      <c r="HYU53" s="373"/>
      <c r="HYV53" s="373"/>
      <c r="HYW53" s="373"/>
      <c r="HYX53" s="373"/>
      <c r="HYY53" s="373"/>
      <c r="HYZ53" s="373"/>
      <c r="HZA53" s="373"/>
      <c r="HZB53" s="373"/>
      <c r="HZC53" s="373"/>
      <c r="HZD53" s="373"/>
      <c r="HZE53" s="373"/>
      <c r="HZF53" s="373"/>
      <c r="HZG53" s="373"/>
      <c r="HZH53" s="373"/>
      <c r="HZI53" s="373"/>
      <c r="HZJ53" s="373"/>
      <c r="HZK53" s="373"/>
      <c r="HZL53" s="373"/>
      <c r="HZM53" s="373"/>
      <c r="HZN53" s="373"/>
      <c r="HZO53" s="373"/>
      <c r="HZP53" s="373"/>
      <c r="HZQ53" s="373"/>
      <c r="HZR53" s="373"/>
      <c r="HZS53" s="373"/>
      <c r="HZT53" s="373"/>
      <c r="HZU53" s="373"/>
      <c r="HZV53" s="373"/>
      <c r="HZW53" s="373"/>
      <c r="HZX53" s="373"/>
      <c r="HZY53" s="373"/>
      <c r="HZZ53" s="373"/>
      <c r="IAA53" s="373"/>
      <c r="IAB53" s="373"/>
      <c r="IAC53" s="373"/>
      <c r="IAD53" s="373"/>
      <c r="IAE53" s="373"/>
      <c r="IAF53" s="373"/>
      <c r="IAG53" s="373"/>
      <c r="IAH53" s="373"/>
      <c r="IAI53" s="373"/>
      <c r="IAJ53" s="373"/>
      <c r="IAK53" s="373"/>
      <c r="IAL53" s="373"/>
      <c r="IAM53" s="373"/>
      <c r="IAN53" s="373"/>
      <c r="IAO53" s="373"/>
      <c r="IAP53" s="373"/>
      <c r="IAQ53" s="373"/>
      <c r="IAR53" s="373"/>
      <c r="IAS53" s="373"/>
      <c r="IAT53" s="373"/>
      <c r="IAU53" s="373"/>
      <c r="IAV53" s="373"/>
      <c r="IAW53" s="373"/>
      <c r="IAX53" s="373"/>
      <c r="IAY53" s="373"/>
      <c r="IAZ53" s="373"/>
      <c r="IBA53" s="373"/>
      <c r="IBB53" s="373"/>
      <c r="IBC53" s="373"/>
      <c r="IBD53" s="373"/>
      <c r="IBE53" s="373"/>
      <c r="IBF53" s="373"/>
      <c r="IBG53" s="373"/>
      <c r="IBH53" s="373"/>
      <c r="IBI53" s="373"/>
      <c r="IBJ53" s="373"/>
      <c r="IBK53" s="373"/>
      <c r="IBL53" s="373"/>
      <c r="IBM53" s="373"/>
      <c r="IBN53" s="373"/>
      <c r="IBO53" s="373"/>
      <c r="IBP53" s="373"/>
      <c r="IBQ53" s="373"/>
      <c r="IBR53" s="373"/>
      <c r="IBS53" s="373"/>
      <c r="IBT53" s="373"/>
      <c r="IBU53" s="373"/>
      <c r="IBV53" s="373"/>
      <c r="IBW53" s="373"/>
      <c r="IBX53" s="373"/>
      <c r="IBY53" s="373"/>
      <c r="IBZ53" s="373"/>
      <c r="ICA53" s="373"/>
      <c r="ICB53" s="373"/>
      <c r="ICC53" s="373"/>
      <c r="ICD53" s="373"/>
      <c r="ICE53" s="373"/>
      <c r="ICF53" s="373"/>
      <c r="ICG53" s="373"/>
      <c r="ICH53" s="373"/>
      <c r="ICI53" s="373"/>
      <c r="ICJ53" s="373"/>
      <c r="ICK53" s="373"/>
      <c r="ICL53" s="373"/>
      <c r="ICM53" s="373"/>
      <c r="ICN53" s="373"/>
      <c r="ICO53" s="373"/>
      <c r="ICP53" s="373"/>
      <c r="ICQ53" s="373"/>
      <c r="ICR53" s="373"/>
      <c r="ICS53" s="373"/>
      <c r="ICT53" s="373"/>
      <c r="ICU53" s="373"/>
      <c r="ICV53" s="373"/>
      <c r="ICW53" s="373"/>
      <c r="ICX53" s="373"/>
      <c r="ICY53" s="373"/>
      <c r="ICZ53" s="373"/>
      <c r="IDA53" s="373"/>
      <c r="IDB53" s="373"/>
      <c r="IDC53" s="373"/>
      <c r="IDD53" s="373"/>
      <c r="IDE53" s="373"/>
      <c r="IDF53" s="373"/>
      <c r="IDG53" s="373"/>
      <c r="IDH53" s="373"/>
      <c r="IDI53" s="373"/>
      <c r="IDJ53" s="373"/>
      <c r="IDK53" s="373"/>
      <c r="IDL53" s="373"/>
      <c r="IDM53" s="373"/>
      <c r="IDN53" s="373"/>
      <c r="IDO53" s="373"/>
      <c r="IDP53" s="373"/>
      <c r="IDQ53" s="373"/>
      <c r="IDR53" s="373"/>
      <c r="IDS53" s="373"/>
      <c r="IDT53" s="373"/>
      <c r="IDU53" s="373"/>
      <c r="IDV53" s="373"/>
      <c r="IDW53" s="373"/>
      <c r="IDX53" s="373"/>
      <c r="IDY53" s="373"/>
      <c r="IDZ53" s="373"/>
      <c r="IEA53" s="373"/>
      <c r="IEB53" s="373"/>
      <c r="IEC53" s="373"/>
      <c r="IED53" s="373"/>
      <c r="IEE53" s="373"/>
      <c r="IEF53" s="373"/>
      <c r="IEG53" s="373"/>
      <c r="IEH53" s="373"/>
      <c r="IEI53" s="373"/>
      <c r="IEJ53" s="373"/>
      <c r="IEK53" s="373"/>
      <c r="IEL53" s="373"/>
      <c r="IEM53" s="373"/>
      <c r="IEN53" s="373"/>
      <c r="IEO53" s="373"/>
      <c r="IEP53" s="373"/>
      <c r="IEQ53" s="373"/>
      <c r="IER53" s="373"/>
      <c r="IES53" s="373"/>
      <c r="IET53" s="373"/>
      <c r="IEU53" s="373"/>
      <c r="IEV53" s="373"/>
      <c r="IEW53" s="373"/>
      <c r="IEX53" s="373"/>
      <c r="IEY53" s="373"/>
      <c r="IEZ53" s="373"/>
      <c r="IFA53" s="373"/>
      <c r="IFB53" s="373"/>
      <c r="IFC53" s="373"/>
      <c r="IFD53" s="373"/>
      <c r="IFE53" s="373"/>
      <c r="IFF53" s="373"/>
      <c r="IFG53" s="373"/>
      <c r="IFH53" s="373"/>
      <c r="IFI53" s="373"/>
      <c r="IFJ53" s="373"/>
      <c r="IFK53" s="373"/>
      <c r="IFL53" s="373"/>
      <c r="IFM53" s="373"/>
      <c r="IFN53" s="373"/>
      <c r="IFO53" s="373"/>
      <c r="IFP53" s="373"/>
      <c r="IFQ53" s="373"/>
      <c r="IFR53" s="373"/>
      <c r="IFS53" s="373"/>
      <c r="IFT53" s="373"/>
      <c r="IFU53" s="373"/>
      <c r="IFV53" s="373"/>
      <c r="IFW53" s="373"/>
      <c r="IFX53" s="373"/>
      <c r="IFY53" s="373"/>
      <c r="IFZ53" s="373"/>
      <c r="IGA53" s="373"/>
      <c r="IGB53" s="373"/>
      <c r="IGC53" s="373"/>
      <c r="IGD53" s="373"/>
      <c r="IGE53" s="373"/>
      <c r="IGF53" s="373"/>
      <c r="IGG53" s="373"/>
      <c r="IGH53" s="373"/>
      <c r="IGI53" s="373"/>
      <c r="IGJ53" s="373"/>
      <c r="IGK53" s="373"/>
      <c r="IGL53" s="373"/>
      <c r="IGM53" s="373"/>
      <c r="IGN53" s="373"/>
      <c r="IGO53" s="373"/>
      <c r="IGP53" s="373"/>
      <c r="IGQ53" s="373"/>
      <c r="IGR53" s="373"/>
      <c r="IGS53" s="373"/>
      <c r="IGT53" s="373"/>
      <c r="IGU53" s="373"/>
      <c r="IGV53" s="373"/>
      <c r="IGW53" s="373"/>
      <c r="IGX53" s="373"/>
      <c r="IGY53" s="373"/>
      <c r="IGZ53" s="373"/>
      <c r="IHA53" s="373"/>
      <c r="IHB53" s="373"/>
      <c r="IHC53" s="373"/>
      <c r="IHD53" s="373"/>
      <c r="IHE53" s="373"/>
      <c r="IHF53" s="373"/>
      <c r="IHG53" s="373"/>
      <c r="IHH53" s="373"/>
      <c r="IHI53" s="373"/>
      <c r="IHJ53" s="373"/>
      <c r="IHK53" s="373"/>
      <c r="IHL53" s="373"/>
      <c r="IHM53" s="373"/>
      <c r="IHN53" s="373"/>
      <c r="IHO53" s="373"/>
      <c r="IHP53" s="373"/>
      <c r="IHQ53" s="373"/>
      <c r="IHR53" s="373"/>
      <c r="IHS53" s="373"/>
      <c r="IHT53" s="373"/>
      <c r="IHU53" s="373"/>
      <c r="IHV53" s="373"/>
      <c r="IHW53" s="373"/>
      <c r="IHX53" s="373"/>
      <c r="IHY53" s="373"/>
      <c r="IHZ53" s="373"/>
      <c r="IIA53" s="373"/>
      <c r="IIB53" s="373"/>
      <c r="IIC53" s="373"/>
      <c r="IID53" s="373"/>
      <c r="IIE53" s="373"/>
      <c r="IIF53" s="373"/>
      <c r="IIG53" s="373"/>
      <c r="IIH53" s="373"/>
      <c r="III53" s="373"/>
      <c r="IIJ53" s="373"/>
      <c r="IIK53" s="373"/>
      <c r="IIL53" s="373"/>
      <c r="IIM53" s="373"/>
      <c r="IIN53" s="373"/>
      <c r="IIO53" s="373"/>
      <c r="IIP53" s="373"/>
      <c r="IIQ53" s="373"/>
      <c r="IIR53" s="373"/>
      <c r="IIS53" s="373"/>
      <c r="IIT53" s="373"/>
      <c r="IIU53" s="373"/>
      <c r="IIV53" s="373"/>
      <c r="IIW53" s="373"/>
      <c r="IIX53" s="373"/>
      <c r="IIY53" s="373"/>
      <c r="IIZ53" s="373"/>
      <c r="IJA53" s="373"/>
      <c r="IJB53" s="373"/>
      <c r="IJC53" s="373"/>
      <c r="IJD53" s="373"/>
      <c r="IJE53" s="373"/>
      <c r="IJF53" s="373"/>
      <c r="IJG53" s="373"/>
      <c r="IJH53" s="373"/>
      <c r="IJI53" s="373"/>
      <c r="IJJ53" s="373"/>
      <c r="IJK53" s="373"/>
      <c r="IJL53" s="373"/>
      <c r="IJM53" s="373"/>
      <c r="IJN53" s="373"/>
      <c r="IJO53" s="373"/>
      <c r="IJP53" s="373"/>
      <c r="IJQ53" s="373"/>
      <c r="IJR53" s="373"/>
      <c r="IJS53" s="373"/>
      <c r="IJT53" s="373"/>
      <c r="IJU53" s="373"/>
      <c r="IJV53" s="373"/>
      <c r="IJW53" s="373"/>
      <c r="IJX53" s="373"/>
      <c r="IJY53" s="373"/>
      <c r="IJZ53" s="373"/>
      <c r="IKA53" s="373"/>
      <c r="IKB53" s="373"/>
      <c r="IKC53" s="373"/>
      <c r="IKD53" s="373"/>
      <c r="IKE53" s="373"/>
      <c r="IKF53" s="373"/>
      <c r="IKG53" s="373"/>
      <c r="IKH53" s="373"/>
      <c r="IKI53" s="373"/>
      <c r="IKJ53" s="373"/>
      <c r="IKK53" s="373"/>
      <c r="IKL53" s="373"/>
      <c r="IKM53" s="373"/>
      <c r="IKN53" s="373"/>
      <c r="IKO53" s="373"/>
      <c r="IKP53" s="373"/>
      <c r="IKQ53" s="373"/>
      <c r="IKR53" s="373"/>
      <c r="IKS53" s="373"/>
      <c r="IKT53" s="373"/>
      <c r="IKU53" s="373"/>
      <c r="IKV53" s="373"/>
      <c r="IKW53" s="373"/>
      <c r="IKX53" s="373"/>
      <c r="IKY53" s="373"/>
      <c r="IKZ53" s="373"/>
      <c r="ILA53" s="373"/>
      <c r="ILB53" s="373"/>
      <c r="ILC53" s="373"/>
      <c r="ILD53" s="373"/>
      <c r="ILE53" s="373"/>
      <c r="ILF53" s="373"/>
      <c r="ILG53" s="373"/>
      <c r="ILH53" s="373"/>
      <c r="ILI53" s="373"/>
      <c r="ILJ53" s="373"/>
      <c r="ILK53" s="373"/>
      <c r="ILL53" s="373"/>
      <c r="ILM53" s="373"/>
      <c r="ILN53" s="373"/>
      <c r="ILO53" s="373"/>
      <c r="ILP53" s="373"/>
      <c r="ILQ53" s="373"/>
      <c r="ILR53" s="373"/>
      <c r="ILS53" s="373"/>
      <c r="ILT53" s="373"/>
      <c r="ILU53" s="373"/>
      <c r="ILV53" s="373"/>
      <c r="ILW53" s="373"/>
      <c r="ILX53" s="373"/>
      <c r="ILY53" s="373"/>
      <c r="ILZ53" s="373"/>
      <c r="IMA53" s="373"/>
      <c r="IMB53" s="373"/>
      <c r="IMC53" s="373"/>
      <c r="IMD53" s="373"/>
      <c r="IME53" s="373"/>
      <c r="IMF53" s="373"/>
      <c r="IMG53" s="373"/>
      <c r="IMH53" s="373"/>
      <c r="IMI53" s="373"/>
      <c r="IMJ53" s="373"/>
      <c r="IMK53" s="373"/>
      <c r="IML53" s="373"/>
      <c r="IMM53" s="373"/>
      <c r="IMN53" s="373"/>
      <c r="IMO53" s="373"/>
      <c r="IMP53" s="373"/>
      <c r="IMQ53" s="373"/>
      <c r="IMR53" s="373"/>
      <c r="IMS53" s="373"/>
      <c r="IMT53" s="373"/>
      <c r="IMU53" s="373"/>
      <c r="IMV53" s="373"/>
      <c r="IMW53" s="373"/>
      <c r="IMX53" s="373"/>
      <c r="IMY53" s="373"/>
      <c r="IMZ53" s="373"/>
      <c r="INA53" s="373"/>
      <c r="INB53" s="373"/>
      <c r="INC53" s="373"/>
      <c r="IND53" s="373"/>
      <c r="INE53" s="373"/>
      <c r="INF53" s="373"/>
      <c r="ING53" s="373"/>
      <c r="INH53" s="373"/>
      <c r="INI53" s="373"/>
      <c r="INJ53" s="373"/>
      <c r="INK53" s="373"/>
      <c r="INL53" s="373"/>
      <c r="INM53" s="373"/>
      <c r="INN53" s="373"/>
      <c r="INO53" s="373"/>
      <c r="INP53" s="373"/>
      <c r="INQ53" s="373"/>
      <c r="INR53" s="373"/>
      <c r="INS53" s="373"/>
      <c r="INT53" s="373"/>
      <c r="INU53" s="373"/>
      <c r="INV53" s="373"/>
      <c r="INW53" s="373"/>
      <c r="INX53" s="373"/>
      <c r="INY53" s="373"/>
      <c r="INZ53" s="373"/>
      <c r="IOA53" s="373"/>
      <c r="IOB53" s="373"/>
      <c r="IOC53" s="373"/>
      <c r="IOD53" s="373"/>
      <c r="IOE53" s="373"/>
      <c r="IOF53" s="373"/>
      <c r="IOG53" s="373"/>
      <c r="IOH53" s="373"/>
      <c r="IOI53" s="373"/>
      <c r="IOJ53" s="373"/>
      <c r="IOK53" s="373"/>
      <c r="IOL53" s="373"/>
      <c r="IOM53" s="373"/>
      <c r="ION53" s="373"/>
      <c r="IOO53" s="373"/>
      <c r="IOP53" s="373"/>
      <c r="IOQ53" s="373"/>
      <c r="IOR53" s="373"/>
      <c r="IOS53" s="373"/>
      <c r="IOT53" s="373"/>
      <c r="IOU53" s="373"/>
      <c r="IOV53" s="373"/>
      <c r="IOW53" s="373"/>
      <c r="IOX53" s="373"/>
      <c r="IOY53" s="373"/>
      <c r="IOZ53" s="373"/>
      <c r="IPA53" s="373"/>
      <c r="IPB53" s="373"/>
      <c r="IPC53" s="373"/>
      <c r="IPD53" s="373"/>
      <c r="IPE53" s="373"/>
      <c r="IPF53" s="373"/>
      <c r="IPG53" s="373"/>
      <c r="IPH53" s="373"/>
      <c r="IPI53" s="373"/>
      <c r="IPJ53" s="373"/>
      <c r="IPK53" s="373"/>
      <c r="IPL53" s="373"/>
      <c r="IPM53" s="373"/>
      <c r="IPN53" s="373"/>
      <c r="IPO53" s="373"/>
      <c r="IPP53" s="373"/>
      <c r="IPQ53" s="373"/>
      <c r="IPR53" s="373"/>
      <c r="IPS53" s="373"/>
      <c r="IPT53" s="373"/>
      <c r="IPU53" s="373"/>
      <c r="IPV53" s="373"/>
      <c r="IPW53" s="373"/>
      <c r="IPX53" s="373"/>
      <c r="IPY53" s="373"/>
      <c r="IPZ53" s="373"/>
      <c r="IQA53" s="373"/>
      <c r="IQB53" s="373"/>
      <c r="IQC53" s="373"/>
      <c r="IQD53" s="373"/>
      <c r="IQE53" s="373"/>
      <c r="IQF53" s="373"/>
      <c r="IQG53" s="373"/>
      <c r="IQH53" s="373"/>
      <c r="IQI53" s="373"/>
      <c r="IQJ53" s="373"/>
      <c r="IQK53" s="373"/>
      <c r="IQL53" s="373"/>
      <c r="IQM53" s="373"/>
      <c r="IQN53" s="373"/>
      <c r="IQO53" s="373"/>
      <c r="IQP53" s="373"/>
      <c r="IQQ53" s="373"/>
      <c r="IQR53" s="373"/>
      <c r="IQS53" s="373"/>
      <c r="IQT53" s="373"/>
      <c r="IQU53" s="373"/>
      <c r="IQV53" s="373"/>
      <c r="IQW53" s="373"/>
      <c r="IQX53" s="373"/>
      <c r="IQY53" s="373"/>
      <c r="IQZ53" s="373"/>
      <c r="IRA53" s="373"/>
      <c r="IRB53" s="373"/>
      <c r="IRC53" s="373"/>
      <c r="IRD53" s="373"/>
      <c r="IRE53" s="373"/>
      <c r="IRF53" s="373"/>
      <c r="IRG53" s="373"/>
      <c r="IRH53" s="373"/>
      <c r="IRI53" s="373"/>
      <c r="IRJ53" s="373"/>
      <c r="IRK53" s="373"/>
      <c r="IRL53" s="373"/>
      <c r="IRM53" s="373"/>
      <c r="IRN53" s="373"/>
      <c r="IRO53" s="373"/>
      <c r="IRP53" s="373"/>
      <c r="IRQ53" s="373"/>
      <c r="IRR53" s="373"/>
      <c r="IRS53" s="373"/>
      <c r="IRT53" s="373"/>
      <c r="IRU53" s="373"/>
      <c r="IRV53" s="373"/>
      <c r="IRW53" s="373"/>
      <c r="IRX53" s="373"/>
      <c r="IRY53" s="373"/>
      <c r="IRZ53" s="373"/>
      <c r="ISA53" s="373"/>
      <c r="ISB53" s="373"/>
      <c r="ISC53" s="373"/>
      <c r="ISD53" s="373"/>
      <c r="ISE53" s="373"/>
      <c r="ISF53" s="373"/>
      <c r="ISG53" s="373"/>
      <c r="ISH53" s="373"/>
      <c r="ISI53" s="373"/>
      <c r="ISJ53" s="373"/>
      <c r="ISK53" s="373"/>
      <c r="ISL53" s="373"/>
      <c r="ISM53" s="373"/>
      <c r="ISN53" s="373"/>
      <c r="ISO53" s="373"/>
      <c r="ISP53" s="373"/>
      <c r="ISQ53" s="373"/>
      <c r="ISR53" s="373"/>
      <c r="ISS53" s="373"/>
      <c r="IST53" s="373"/>
      <c r="ISU53" s="373"/>
      <c r="ISV53" s="373"/>
      <c r="ISW53" s="373"/>
      <c r="ISX53" s="373"/>
      <c r="ISY53" s="373"/>
      <c r="ISZ53" s="373"/>
      <c r="ITA53" s="373"/>
      <c r="ITB53" s="373"/>
      <c r="ITC53" s="373"/>
      <c r="ITD53" s="373"/>
      <c r="ITE53" s="373"/>
      <c r="ITF53" s="373"/>
      <c r="ITG53" s="373"/>
      <c r="ITH53" s="373"/>
      <c r="ITI53" s="373"/>
      <c r="ITJ53" s="373"/>
      <c r="ITK53" s="373"/>
      <c r="ITL53" s="373"/>
      <c r="ITM53" s="373"/>
      <c r="ITN53" s="373"/>
      <c r="ITO53" s="373"/>
      <c r="ITP53" s="373"/>
      <c r="ITQ53" s="373"/>
      <c r="ITR53" s="373"/>
      <c r="ITS53" s="373"/>
      <c r="ITT53" s="373"/>
      <c r="ITU53" s="373"/>
      <c r="ITV53" s="373"/>
      <c r="ITW53" s="373"/>
      <c r="ITX53" s="373"/>
      <c r="ITY53" s="373"/>
      <c r="ITZ53" s="373"/>
      <c r="IUA53" s="373"/>
      <c r="IUB53" s="373"/>
      <c r="IUC53" s="373"/>
      <c r="IUD53" s="373"/>
      <c r="IUE53" s="373"/>
      <c r="IUF53" s="373"/>
      <c r="IUG53" s="373"/>
      <c r="IUH53" s="373"/>
      <c r="IUI53" s="373"/>
      <c r="IUJ53" s="373"/>
      <c r="IUK53" s="373"/>
      <c r="IUL53" s="373"/>
      <c r="IUM53" s="373"/>
      <c r="IUN53" s="373"/>
      <c r="IUO53" s="373"/>
      <c r="IUP53" s="373"/>
      <c r="IUQ53" s="373"/>
      <c r="IUR53" s="373"/>
      <c r="IUS53" s="373"/>
      <c r="IUT53" s="373"/>
      <c r="IUU53" s="373"/>
      <c r="IUV53" s="373"/>
      <c r="IUW53" s="373"/>
      <c r="IUX53" s="373"/>
      <c r="IUY53" s="373"/>
      <c r="IUZ53" s="373"/>
      <c r="IVA53" s="373"/>
      <c r="IVB53" s="373"/>
      <c r="IVC53" s="373"/>
      <c r="IVD53" s="373"/>
      <c r="IVE53" s="373"/>
      <c r="IVF53" s="373"/>
      <c r="IVG53" s="373"/>
      <c r="IVH53" s="373"/>
      <c r="IVI53" s="373"/>
      <c r="IVJ53" s="373"/>
      <c r="IVK53" s="373"/>
      <c r="IVL53" s="373"/>
      <c r="IVM53" s="373"/>
      <c r="IVN53" s="373"/>
      <c r="IVO53" s="373"/>
      <c r="IVP53" s="373"/>
      <c r="IVQ53" s="373"/>
      <c r="IVR53" s="373"/>
      <c r="IVS53" s="373"/>
      <c r="IVT53" s="373"/>
      <c r="IVU53" s="373"/>
      <c r="IVV53" s="373"/>
      <c r="IVW53" s="373"/>
      <c r="IVX53" s="373"/>
      <c r="IVY53" s="373"/>
      <c r="IVZ53" s="373"/>
      <c r="IWA53" s="373"/>
      <c r="IWB53" s="373"/>
      <c r="IWC53" s="373"/>
      <c r="IWD53" s="373"/>
      <c r="IWE53" s="373"/>
      <c r="IWF53" s="373"/>
      <c r="IWG53" s="373"/>
      <c r="IWH53" s="373"/>
      <c r="IWI53" s="373"/>
      <c r="IWJ53" s="373"/>
      <c r="IWK53" s="373"/>
      <c r="IWL53" s="373"/>
      <c r="IWM53" s="373"/>
      <c r="IWN53" s="373"/>
      <c r="IWO53" s="373"/>
      <c r="IWP53" s="373"/>
      <c r="IWQ53" s="373"/>
      <c r="IWR53" s="373"/>
      <c r="IWS53" s="373"/>
      <c r="IWT53" s="373"/>
      <c r="IWU53" s="373"/>
      <c r="IWV53" s="373"/>
      <c r="IWW53" s="373"/>
      <c r="IWX53" s="373"/>
      <c r="IWY53" s="373"/>
      <c r="IWZ53" s="373"/>
      <c r="IXA53" s="373"/>
      <c r="IXB53" s="373"/>
      <c r="IXC53" s="373"/>
      <c r="IXD53" s="373"/>
      <c r="IXE53" s="373"/>
      <c r="IXF53" s="373"/>
      <c r="IXG53" s="373"/>
      <c r="IXH53" s="373"/>
      <c r="IXI53" s="373"/>
      <c r="IXJ53" s="373"/>
      <c r="IXK53" s="373"/>
      <c r="IXL53" s="373"/>
      <c r="IXM53" s="373"/>
      <c r="IXN53" s="373"/>
      <c r="IXO53" s="373"/>
      <c r="IXP53" s="373"/>
      <c r="IXQ53" s="373"/>
      <c r="IXR53" s="373"/>
      <c r="IXS53" s="373"/>
      <c r="IXT53" s="373"/>
      <c r="IXU53" s="373"/>
      <c r="IXV53" s="373"/>
      <c r="IXW53" s="373"/>
      <c r="IXX53" s="373"/>
      <c r="IXY53" s="373"/>
      <c r="IXZ53" s="373"/>
      <c r="IYA53" s="373"/>
      <c r="IYB53" s="373"/>
      <c r="IYC53" s="373"/>
      <c r="IYD53" s="373"/>
      <c r="IYE53" s="373"/>
      <c r="IYF53" s="373"/>
      <c r="IYG53" s="373"/>
      <c r="IYH53" s="373"/>
      <c r="IYI53" s="373"/>
      <c r="IYJ53" s="373"/>
      <c r="IYK53" s="373"/>
      <c r="IYL53" s="373"/>
      <c r="IYM53" s="373"/>
      <c r="IYN53" s="373"/>
      <c r="IYO53" s="373"/>
      <c r="IYP53" s="373"/>
      <c r="IYQ53" s="373"/>
      <c r="IYR53" s="373"/>
      <c r="IYS53" s="373"/>
      <c r="IYT53" s="373"/>
      <c r="IYU53" s="373"/>
      <c r="IYV53" s="373"/>
      <c r="IYW53" s="373"/>
      <c r="IYX53" s="373"/>
      <c r="IYY53" s="373"/>
      <c r="IYZ53" s="373"/>
      <c r="IZA53" s="373"/>
      <c r="IZB53" s="373"/>
      <c r="IZC53" s="373"/>
      <c r="IZD53" s="373"/>
      <c r="IZE53" s="373"/>
      <c r="IZF53" s="373"/>
      <c r="IZG53" s="373"/>
      <c r="IZH53" s="373"/>
      <c r="IZI53" s="373"/>
      <c r="IZJ53" s="373"/>
      <c r="IZK53" s="373"/>
      <c r="IZL53" s="373"/>
      <c r="IZM53" s="373"/>
      <c r="IZN53" s="373"/>
      <c r="IZO53" s="373"/>
      <c r="IZP53" s="373"/>
      <c r="IZQ53" s="373"/>
      <c r="IZR53" s="373"/>
      <c r="IZS53" s="373"/>
      <c r="IZT53" s="373"/>
      <c r="IZU53" s="373"/>
      <c r="IZV53" s="373"/>
      <c r="IZW53" s="373"/>
      <c r="IZX53" s="373"/>
      <c r="IZY53" s="373"/>
      <c r="IZZ53" s="373"/>
      <c r="JAA53" s="373"/>
      <c r="JAB53" s="373"/>
      <c r="JAC53" s="373"/>
      <c r="JAD53" s="373"/>
      <c r="JAE53" s="373"/>
      <c r="JAF53" s="373"/>
      <c r="JAG53" s="373"/>
      <c r="JAH53" s="373"/>
      <c r="JAI53" s="373"/>
      <c r="JAJ53" s="373"/>
      <c r="JAK53" s="373"/>
      <c r="JAL53" s="373"/>
      <c r="JAM53" s="373"/>
      <c r="JAN53" s="373"/>
      <c r="JAO53" s="373"/>
      <c r="JAP53" s="373"/>
      <c r="JAQ53" s="373"/>
      <c r="JAR53" s="373"/>
      <c r="JAS53" s="373"/>
      <c r="JAT53" s="373"/>
      <c r="JAU53" s="373"/>
      <c r="JAV53" s="373"/>
      <c r="JAW53" s="373"/>
      <c r="JAX53" s="373"/>
      <c r="JAY53" s="373"/>
      <c r="JAZ53" s="373"/>
      <c r="JBA53" s="373"/>
      <c r="JBB53" s="373"/>
      <c r="JBC53" s="373"/>
      <c r="JBD53" s="373"/>
      <c r="JBE53" s="373"/>
      <c r="JBF53" s="373"/>
      <c r="JBG53" s="373"/>
      <c r="JBH53" s="373"/>
      <c r="JBI53" s="373"/>
      <c r="JBJ53" s="373"/>
      <c r="JBK53" s="373"/>
      <c r="JBL53" s="373"/>
      <c r="JBM53" s="373"/>
      <c r="JBN53" s="373"/>
      <c r="JBO53" s="373"/>
      <c r="JBP53" s="373"/>
      <c r="JBQ53" s="373"/>
      <c r="JBR53" s="373"/>
      <c r="JBS53" s="373"/>
      <c r="JBT53" s="373"/>
      <c r="JBU53" s="373"/>
      <c r="JBV53" s="373"/>
      <c r="JBW53" s="373"/>
      <c r="JBX53" s="373"/>
      <c r="JBY53" s="373"/>
      <c r="JBZ53" s="373"/>
      <c r="JCA53" s="373"/>
      <c r="JCB53" s="373"/>
      <c r="JCC53" s="373"/>
      <c r="JCD53" s="373"/>
      <c r="JCE53" s="373"/>
      <c r="JCF53" s="373"/>
      <c r="JCG53" s="373"/>
      <c r="JCH53" s="373"/>
      <c r="JCI53" s="373"/>
      <c r="JCJ53" s="373"/>
      <c r="JCK53" s="373"/>
      <c r="JCL53" s="373"/>
      <c r="JCM53" s="373"/>
      <c r="JCN53" s="373"/>
      <c r="JCO53" s="373"/>
      <c r="JCP53" s="373"/>
      <c r="JCQ53" s="373"/>
      <c r="JCR53" s="373"/>
      <c r="JCS53" s="373"/>
      <c r="JCT53" s="373"/>
      <c r="JCU53" s="373"/>
      <c r="JCV53" s="373"/>
      <c r="JCW53" s="373"/>
      <c r="JCX53" s="373"/>
      <c r="JCY53" s="373"/>
      <c r="JCZ53" s="373"/>
      <c r="JDA53" s="373"/>
      <c r="JDB53" s="373"/>
      <c r="JDC53" s="373"/>
      <c r="JDD53" s="373"/>
      <c r="JDE53" s="373"/>
      <c r="JDF53" s="373"/>
      <c r="JDG53" s="373"/>
      <c r="JDH53" s="373"/>
      <c r="JDI53" s="373"/>
      <c r="JDJ53" s="373"/>
      <c r="JDK53" s="373"/>
      <c r="JDL53" s="373"/>
      <c r="JDM53" s="373"/>
      <c r="JDN53" s="373"/>
      <c r="JDO53" s="373"/>
      <c r="JDP53" s="373"/>
      <c r="JDQ53" s="373"/>
      <c r="JDR53" s="373"/>
      <c r="JDS53" s="373"/>
      <c r="JDT53" s="373"/>
      <c r="JDU53" s="373"/>
      <c r="JDV53" s="373"/>
      <c r="JDW53" s="373"/>
      <c r="JDX53" s="373"/>
      <c r="JDY53" s="373"/>
      <c r="JDZ53" s="373"/>
      <c r="JEA53" s="373"/>
      <c r="JEB53" s="373"/>
      <c r="JEC53" s="373"/>
      <c r="JED53" s="373"/>
      <c r="JEE53" s="373"/>
      <c r="JEF53" s="373"/>
      <c r="JEG53" s="373"/>
      <c r="JEH53" s="373"/>
      <c r="JEI53" s="373"/>
      <c r="JEJ53" s="373"/>
      <c r="JEK53" s="373"/>
      <c r="JEL53" s="373"/>
      <c r="JEM53" s="373"/>
      <c r="JEN53" s="373"/>
      <c r="JEO53" s="373"/>
      <c r="JEP53" s="373"/>
      <c r="JEQ53" s="373"/>
      <c r="JER53" s="373"/>
      <c r="JES53" s="373"/>
      <c r="JET53" s="373"/>
      <c r="JEU53" s="373"/>
      <c r="JEV53" s="373"/>
      <c r="JEW53" s="373"/>
      <c r="JEX53" s="373"/>
      <c r="JEY53" s="373"/>
      <c r="JEZ53" s="373"/>
      <c r="JFA53" s="373"/>
      <c r="JFB53" s="373"/>
      <c r="JFC53" s="373"/>
      <c r="JFD53" s="373"/>
      <c r="JFE53" s="373"/>
      <c r="JFF53" s="373"/>
      <c r="JFG53" s="373"/>
      <c r="JFH53" s="373"/>
      <c r="JFI53" s="373"/>
      <c r="JFJ53" s="373"/>
      <c r="JFK53" s="373"/>
      <c r="JFL53" s="373"/>
      <c r="JFM53" s="373"/>
      <c r="JFN53" s="373"/>
      <c r="JFO53" s="373"/>
      <c r="JFP53" s="373"/>
      <c r="JFQ53" s="373"/>
      <c r="JFR53" s="373"/>
      <c r="JFS53" s="373"/>
      <c r="JFT53" s="373"/>
      <c r="JFU53" s="373"/>
      <c r="JFV53" s="373"/>
      <c r="JFW53" s="373"/>
      <c r="JFX53" s="373"/>
      <c r="JFY53" s="373"/>
      <c r="JFZ53" s="373"/>
      <c r="JGA53" s="373"/>
      <c r="JGB53" s="373"/>
      <c r="JGC53" s="373"/>
      <c r="JGD53" s="373"/>
      <c r="JGE53" s="373"/>
      <c r="JGF53" s="373"/>
      <c r="JGG53" s="373"/>
      <c r="JGH53" s="373"/>
      <c r="JGI53" s="373"/>
      <c r="JGJ53" s="373"/>
      <c r="JGK53" s="373"/>
      <c r="JGL53" s="373"/>
      <c r="JGM53" s="373"/>
      <c r="JGN53" s="373"/>
      <c r="JGO53" s="373"/>
      <c r="JGP53" s="373"/>
      <c r="JGQ53" s="373"/>
      <c r="JGR53" s="373"/>
      <c r="JGS53" s="373"/>
      <c r="JGT53" s="373"/>
      <c r="JGU53" s="373"/>
      <c r="JGV53" s="373"/>
      <c r="JGW53" s="373"/>
      <c r="JGX53" s="373"/>
      <c r="JGY53" s="373"/>
      <c r="JGZ53" s="373"/>
      <c r="JHA53" s="373"/>
      <c r="JHB53" s="373"/>
      <c r="JHC53" s="373"/>
      <c r="JHD53" s="373"/>
      <c r="JHE53" s="373"/>
      <c r="JHF53" s="373"/>
      <c r="JHG53" s="373"/>
      <c r="JHH53" s="373"/>
      <c r="JHI53" s="373"/>
      <c r="JHJ53" s="373"/>
      <c r="JHK53" s="373"/>
      <c r="JHL53" s="373"/>
      <c r="JHM53" s="373"/>
      <c r="JHN53" s="373"/>
      <c r="JHO53" s="373"/>
      <c r="JHP53" s="373"/>
      <c r="JHQ53" s="373"/>
      <c r="JHR53" s="373"/>
      <c r="JHS53" s="373"/>
      <c r="JHT53" s="373"/>
      <c r="JHU53" s="373"/>
      <c r="JHV53" s="373"/>
      <c r="JHW53" s="373"/>
      <c r="JHX53" s="373"/>
      <c r="JHY53" s="373"/>
      <c r="JHZ53" s="373"/>
      <c r="JIA53" s="373"/>
      <c r="JIB53" s="373"/>
      <c r="JIC53" s="373"/>
      <c r="JID53" s="373"/>
      <c r="JIE53" s="373"/>
      <c r="JIF53" s="373"/>
      <c r="JIG53" s="373"/>
      <c r="JIH53" s="373"/>
      <c r="JII53" s="373"/>
      <c r="JIJ53" s="373"/>
      <c r="JIK53" s="373"/>
      <c r="JIL53" s="373"/>
      <c r="JIM53" s="373"/>
      <c r="JIN53" s="373"/>
      <c r="JIO53" s="373"/>
      <c r="JIP53" s="373"/>
      <c r="JIQ53" s="373"/>
      <c r="JIR53" s="373"/>
      <c r="JIS53" s="373"/>
      <c r="JIT53" s="373"/>
      <c r="JIU53" s="373"/>
      <c r="JIV53" s="373"/>
      <c r="JIW53" s="373"/>
      <c r="JIX53" s="373"/>
      <c r="JIY53" s="373"/>
      <c r="JIZ53" s="373"/>
      <c r="JJA53" s="373"/>
      <c r="JJB53" s="373"/>
      <c r="JJC53" s="373"/>
      <c r="JJD53" s="373"/>
      <c r="JJE53" s="373"/>
      <c r="JJF53" s="373"/>
      <c r="JJG53" s="373"/>
      <c r="JJH53" s="373"/>
      <c r="JJI53" s="373"/>
      <c r="JJJ53" s="373"/>
      <c r="JJK53" s="373"/>
      <c r="JJL53" s="373"/>
      <c r="JJM53" s="373"/>
      <c r="JJN53" s="373"/>
      <c r="JJO53" s="373"/>
      <c r="JJP53" s="373"/>
      <c r="JJQ53" s="373"/>
      <c r="JJR53" s="373"/>
      <c r="JJS53" s="373"/>
      <c r="JJT53" s="373"/>
      <c r="JJU53" s="373"/>
      <c r="JJV53" s="373"/>
      <c r="JJW53" s="373"/>
      <c r="JJX53" s="373"/>
      <c r="JJY53" s="373"/>
      <c r="JJZ53" s="373"/>
      <c r="JKA53" s="373"/>
      <c r="JKB53" s="373"/>
      <c r="JKC53" s="373"/>
      <c r="JKD53" s="373"/>
      <c r="JKE53" s="373"/>
      <c r="JKF53" s="373"/>
      <c r="JKG53" s="373"/>
      <c r="JKH53" s="373"/>
      <c r="JKI53" s="373"/>
      <c r="JKJ53" s="373"/>
      <c r="JKK53" s="373"/>
      <c r="JKL53" s="373"/>
      <c r="JKM53" s="373"/>
      <c r="JKN53" s="373"/>
      <c r="JKO53" s="373"/>
      <c r="JKP53" s="373"/>
      <c r="JKQ53" s="373"/>
      <c r="JKR53" s="373"/>
      <c r="JKS53" s="373"/>
      <c r="JKT53" s="373"/>
      <c r="JKU53" s="373"/>
      <c r="JKV53" s="373"/>
      <c r="JKW53" s="373"/>
      <c r="JKX53" s="373"/>
      <c r="JKY53" s="373"/>
      <c r="JKZ53" s="373"/>
      <c r="JLA53" s="373"/>
      <c r="JLB53" s="373"/>
      <c r="JLC53" s="373"/>
      <c r="JLD53" s="373"/>
      <c r="JLE53" s="373"/>
      <c r="JLF53" s="373"/>
      <c r="JLG53" s="373"/>
      <c r="JLH53" s="373"/>
      <c r="JLI53" s="373"/>
      <c r="JLJ53" s="373"/>
      <c r="JLK53" s="373"/>
      <c r="JLL53" s="373"/>
      <c r="JLM53" s="373"/>
      <c r="JLN53" s="373"/>
      <c r="JLO53" s="373"/>
      <c r="JLP53" s="373"/>
      <c r="JLQ53" s="373"/>
      <c r="JLR53" s="373"/>
      <c r="JLS53" s="373"/>
      <c r="JLT53" s="373"/>
      <c r="JLU53" s="373"/>
      <c r="JLV53" s="373"/>
      <c r="JLW53" s="373"/>
      <c r="JLX53" s="373"/>
      <c r="JLY53" s="373"/>
      <c r="JLZ53" s="373"/>
      <c r="JMA53" s="373"/>
      <c r="JMB53" s="373"/>
      <c r="JMC53" s="373"/>
      <c r="JMD53" s="373"/>
      <c r="JME53" s="373"/>
      <c r="JMF53" s="373"/>
      <c r="JMG53" s="373"/>
      <c r="JMH53" s="373"/>
      <c r="JMI53" s="373"/>
      <c r="JMJ53" s="373"/>
      <c r="JMK53" s="373"/>
      <c r="JML53" s="373"/>
      <c r="JMM53" s="373"/>
      <c r="JMN53" s="373"/>
      <c r="JMO53" s="373"/>
      <c r="JMP53" s="373"/>
      <c r="JMQ53" s="373"/>
      <c r="JMR53" s="373"/>
      <c r="JMS53" s="373"/>
      <c r="JMT53" s="373"/>
      <c r="JMU53" s="373"/>
      <c r="JMV53" s="373"/>
      <c r="JMW53" s="373"/>
      <c r="JMX53" s="373"/>
      <c r="JMY53" s="373"/>
      <c r="JMZ53" s="373"/>
      <c r="JNA53" s="373"/>
      <c r="JNB53" s="373"/>
      <c r="JNC53" s="373"/>
      <c r="JND53" s="373"/>
      <c r="JNE53" s="373"/>
      <c r="JNF53" s="373"/>
      <c r="JNG53" s="373"/>
      <c r="JNH53" s="373"/>
      <c r="JNI53" s="373"/>
      <c r="JNJ53" s="373"/>
      <c r="JNK53" s="373"/>
      <c r="JNL53" s="373"/>
      <c r="JNM53" s="373"/>
      <c r="JNN53" s="373"/>
      <c r="JNO53" s="373"/>
      <c r="JNP53" s="373"/>
      <c r="JNQ53" s="373"/>
      <c r="JNR53" s="373"/>
      <c r="JNS53" s="373"/>
      <c r="JNT53" s="373"/>
      <c r="JNU53" s="373"/>
      <c r="JNV53" s="373"/>
      <c r="JNW53" s="373"/>
      <c r="JNX53" s="373"/>
      <c r="JNY53" s="373"/>
      <c r="JNZ53" s="373"/>
      <c r="JOA53" s="373"/>
      <c r="JOB53" s="373"/>
      <c r="JOC53" s="373"/>
      <c r="JOD53" s="373"/>
      <c r="JOE53" s="373"/>
      <c r="JOF53" s="373"/>
      <c r="JOG53" s="373"/>
      <c r="JOH53" s="373"/>
      <c r="JOI53" s="373"/>
      <c r="JOJ53" s="373"/>
      <c r="JOK53" s="373"/>
      <c r="JOL53" s="373"/>
      <c r="JOM53" s="373"/>
      <c r="JON53" s="373"/>
      <c r="JOO53" s="373"/>
      <c r="JOP53" s="373"/>
      <c r="JOQ53" s="373"/>
      <c r="JOR53" s="373"/>
      <c r="JOS53" s="373"/>
      <c r="JOT53" s="373"/>
      <c r="JOU53" s="373"/>
      <c r="JOV53" s="373"/>
      <c r="JOW53" s="373"/>
      <c r="JOX53" s="373"/>
      <c r="JOY53" s="373"/>
      <c r="JOZ53" s="373"/>
      <c r="JPA53" s="373"/>
      <c r="JPB53" s="373"/>
      <c r="JPC53" s="373"/>
      <c r="JPD53" s="373"/>
      <c r="JPE53" s="373"/>
      <c r="JPF53" s="373"/>
      <c r="JPG53" s="373"/>
      <c r="JPH53" s="373"/>
      <c r="JPI53" s="373"/>
      <c r="JPJ53" s="373"/>
      <c r="JPK53" s="373"/>
      <c r="JPL53" s="373"/>
      <c r="JPM53" s="373"/>
      <c r="JPN53" s="373"/>
      <c r="JPO53" s="373"/>
      <c r="JPP53" s="373"/>
      <c r="JPQ53" s="373"/>
      <c r="JPR53" s="373"/>
      <c r="JPS53" s="373"/>
      <c r="JPT53" s="373"/>
      <c r="JPU53" s="373"/>
      <c r="JPV53" s="373"/>
      <c r="JPW53" s="373"/>
      <c r="JPX53" s="373"/>
      <c r="JPY53" s="373"/>
      <c r="JPZ53" s="373"/>
      <c r="JQA53" s="373"/>
      <c r="JQB53" s="373"/>
      <c r="JQC53" s="373"/>
      <c r="JQD53" s="373"/>
      <c r="JQE53" s="373"/>
      <c r="JQF53" s="373"/>
      <c r="JQG53" s="373"/>
      <c r="JQH53" s="373"/>
      <c r="JQI53" s="373"/>
      <c r="JQJ53" s="373"/>
      <c r="JQK53" s="373"/>
      <c r="JQL53" s="373"/>
      <c r="JQM53" s="373"/>
      <c r="JQN53" s="373"/>
      <c r="JQO53" s="373"/>
      <c r="JQP53" s="373"/>
      <c r="JQQ53" s="373"/>
      <c r="JQR53" s="373"/>
      <c r="JQS53" s="373"/>
      <c r="JQT53" s="373"/>
      <c r="JQU53" s="373"/>
      <c r="JQV53" s="373"/>
      <c r="JQW53" s="373"/>
      <c r="JQX53" s="373"/>
      <c r="JQY53" s="373"/>
      <c r="JQZ53" s="373"/>
      <c r="JRA53" s="373"/>
      <c r="JRB53" s="373"/>
      <c r="JRC53" s="373"/>
      <c r="JRD53" s="373"/>
      <c r="JRE53" s="373"/>
      <c r="JRF53" s="373"/>
      <c r="JRG53" s="373"/>
      <c r="JRH53" s="373"/>
      <c r="JRI53" s="373"/>
      <c r="JRJ53" s="373"/>
      <c r="JRK53" s="373"/>
      <c r="JRL53" s="373"/>
      <c r="JRM53" s="373"/>
      <c r="JRN53" s="373"/>
      <c r="JRO53" s="373"/>
      <c r="JRP53" s="373"/>
      <c r="JRQ53" s="373"/>
      <c r="JRR53" s="373"/>
      <c r="JRS53" s="373"/>
      <c r="JRT53" s="373"/>
      <c r="JRU53" s="373"/>
      <c r="JRV53" s="373"/>
      <c r="JRW53" s="373"/>
      <c r="JRX53" s="373"/>
      <c r="JRY53" s="373"/>
      <c r="JRZ53" s="373"/>
      <c r="JSA53" s="373"/>
      <c r="JSB53" s="373"/>
      <c r="JSC53" s="373"/>
      <c r="JSD53" s="373"/>
      <c r="JSE53" s="373"/>
      <c r="JSF53" s="373"/>
      <c r="JSG53" s="373"/>
      <c r="JSH53" s="373"/>
      <c r="JSI53" s="373"/>
      <c r="JSJ53" s="373"/>
      <c r="JSK53" s="373"/>
      <c r="JSL53" s="373"/>
      <c r="JSM53" s="373"/>
      <c r="JSN53" s="373"/>
      <c r="JSO53" s="373"/>
      <c r="JSP53" s="373"/>
      <c r="JSQ53" s="373"/>
      <c r="JSR53" s="373"/>
      <c r="JSS53" s="373"/>
      <c r="JST53" s="373"/>
      <c r="JSU53" s="373"/>
      <c r="JSV53" s="373"/>
      <c r="JSW53" s="373"/>
      <c r="JSX53" s="373"/>
      <c r="JSY53" s="373"/>
      <c r="JSZ53" s="373"/>
      <c r="JTA53" s="373"/>
      <c r="JTB53" s="373"/>
      <c r="JTC53" s="373"/>
      <c r="JTD53" s="373"/>
      <c r="JTE53" s="373"/>
      <c r="JTF53" s="373"/>
      <c r="JTG53" s="373"/>
      <c r="JTH53" s="373"/>
      <c r="JTI53" s="373"/>
      <c r="JTJ53" s="373"/>
      <c r="JTK53" s="373"/>
      <c r="JTL53" s="373"/>
      <c r="JTM53" s="373"/>
      <c r="JTN53" s="373"/>
      <c r="JTO53" s="373"/>
      <c r="JTP53" s="373"/>
      <c r="JTQ53" s="373"/>
      <c r="JTR53" s="373"/>
      <c r="JTS53" s="373"/>
      <c r="JTT53" s="373"/>
      <c r="JTU53" s="373"/>
      <c r="JTV53" s="373"/>
      <c r="JTW53" s="373"/>
      <c r="JTX53" s="373"/>
      <c r="JTY53" s="373"/>
      <c r="JTZ53" s="373"/>
      <c r="JUA53" s="373"/>
      <c r="JUB53" s="373"/>
      <c r="JUC53" s="373"/>
      <c r="JUD53" s="373"/>
      <c r="JUE53" s="373"/>
      <c r="JUF53" s="373"/>
      <c r="JUG53" s="373"/>
      <c r="JUH53" s="373"/>
      <c r="JUI53" s="373"/>
      <c r="JUJ53" s="373"/>
      <c r="JUK53" s="373"/>
      <c r="JUL53" s="373"/>
      <c r="JUM53" s="373"/>
      <c r="JUN53" s="373"/>
      <c r="JUO53" s="373"/>
      <c r="JUP53" s="373"/>
      <c r="JUQ53" s="373"/>
      <c r="JUR53" s="373"/>
      <c r="JUS53" s="373"/>
      <c r="JUT53" s="373"/>
      <c r="JUU53" s="373"/>
      <c r="JUV53" s="373"/>
      <c r="JUW53" s="373"/>
      <c r="JUX53" s="373"/>
      <c r="JUY53" s="373"/>
      <c r="JUZ53" s="373"/>
      <c r="JVA53" s="373"/>
      <c r="JVB53" s="373"/>
      <c r="JVC53" s="373"/>
      <c r="JVD53" s="373"/>
      <c r="JVE53" s="373"/>
      <c r="JVF53" s="373"/>
      <c r="JVG53" s="373"/>
      <c r="JVH53" s="373"/>
      <c r="JVI53" s="373"/>
      <c r="JVJ53" s="373"/>
      <c r="JVK53" s="373"/>
      <c r="JVL53" s="373"/>
      <c r="JVM53" s="373"/>
      <c r="JVN53" s="373"/>
      <c r="JVO53" s="373"/>
      <c r="JVP53" s="373"/>
      <c r="JVQ53" s="373"/>
      <c r="JVR53" s="373"/>
      <c r="JVS53" s="373"/>
      <c r="JVT53" s="373"/>
      <c r="JVU53" s="373"/>
      <c r="JVV53" s="373"/>
      <c r="JVW53" s="373"/>
      <c r="JVX53" s="373"/>
      <c r="JVY53" s="373"/>
      <c r="JVZ53" s="373"/>
      <c r="JWA53" s="373"/>
      <c r="JWB53" s="373"/>
      <c r="JWC53" s="373"/>
      <c r="JWD53" s="373"/>
      <c r="JWE53" s="373"/>
      <c r="JWF53" s="373"/>
      <c r="JWG53" s="373"/>
      <c r="JWH53" s="373"/>
      <c r="JWI53" s="373"/>
      <c r="JWJ53" s="373"/>
      <c r="JWK53" s="373"/>
      <c r="JWL53" s="373"/>
      <c r="JWM53" s="373"/>
      <c r="JWN53" s="373"/>
      <c r="JWO53" s="373"/>
      <c r="JWP53" s="373"/>
      <c r="JWQ53" s="373"/>
      <c r="JWR53" s="373"/>
      <c r="JWS53" s="373"/>
      <c r="JWT53" s="373"/>
      <c r="JWU53" s="373"/>
      <c r="JWV53" s="373"/>
      <c r="JWW53" s="373"/>
      <c r="JWX53" s="373"/>
      <c r="JWY53" s="373"/>
      <c r="JWZ53" s="373"/>
      <c r="JXA53" s="373"/>
      <c r="JXB53" s="373"/>
      <c r="JXC53" s="373"/>
      <c r="JXD53" s="373"/>
      <c r="JXE53" s="373"/>
      <c r="JXF53" s="373"/>
      <c r="JXG53" s="373"/>
      <c r="JXH53" s="373"/>
      <c r="JXI53" s="373"/>
      <c r="JXJ53" s="373"/>
      <c r="JXK53" s="373"/>
      <c r="JXL53" s="373"/>
      <c r="JXM53" s="373"/>
      <c r="JXN53" s="373"/>
      <c r="JXO53" s="373"/>
      <c r="JXP53" s="373"/>
      <c r="JXQ53" s="373"/>
      <c r="JXR53" s="373"/>
      <c r="JXS53" s="373"/>
      <c r="JXT53" s="373"/>
      <c r="JXU53" s="373"/>
      <c r="JXV53" s="373"/>
      <c r="JXW53" s="373"/>
      <c r="JXX53" s="373"/>
      <c r="JXY53" s="373"/>
      <c r="JXZ53" s="373"/>
      <c r="JYA53" s="373"/>
      <c r="JYB53" s="373"/>
      <c r="JYC53" s="373"/>
      <c r="JYD53" s="373"/>
      <c r="JYE53" s="373"/>
      <c r="JYF53" s="373"/>
      <c r="JYG53" s="373"/>
      <c r="JYH53" s="373"/>
      <c r="JYI53" s="373"/>
      <c r="JYJ53" s="373"/>
      <c r="JYK53" s="373"/>
      <c r="JYL53" s="373"/>
      <c r="JYM53" s="373"/>
      <c r="JYN53" s="373"/>
      <c r="JYO53" s="373"/>
      <c r="JYP53" s="373"/>
      <c r="JYQ53" s="373"/>
      <c r="JYR53" s="373"/>
      <c r="JYS53" s="373"/>
      <c r="JYT53" s="373"/>
      <c r="JYU53" s="373"/>
      <c r="JYV53" s="373"/>
      <c r="JYW53" s="373"/>
      <c r="JYX53" s="373"/>
      <c r="JYY53" s="373"/>
      <c r="JYZ53" s="373"/>
      <c r="JZA53" s="373"/>
      <c r="JZB53" s="373"/>
      <c r="JZC53" s="373"/>
      <c r="JZD53" s="373"/>
      <c r="JZE53" s="373"/>
      <c r="JZF53" s="373"/>
      <c r="JZG53" s="373"/>
      <c r="JZH53" s="373"/>
      <c r="JZI53" s="373"/>
      <c r="JZJ53" s="373"/>
      <c r="JZK53" s="373"/>
      <c r="JZL53" s="373"/>
      <c r="JZM53" s="373"/>
      <c r="JZN53" s="373"/>
      <c r="JZO53" s="373"/>
      <c r="JZP53" s="373"/>
      <c r="JZQ53" s="373"/>
      <c r="JZR53" s="373"/>
      <c r="JZS53" s="373"/>
      <c r="JZT53" s="373"/>
      <c r="JZU53" s="373"/>
      <c r="JZV53" s="373"/>
      <c r="JZW53" s="373"/>
      <c r="JZX53" s="373"/>
      <c r="JZY53" s="373"/>
      <c r="JZZ53" s="373"/>
      <c r="KAA53" s="373"/>
      <c r="KAB53" s="373"/>
      <c r="KAC53" s="373"/>
      <c r="KAD53" s="373"/>
      <c r="KAE53" s="373"/>
      <c r="KAF53" s="373"/>
      <c r="KAG53" s="373"/>
      <c r="KAH53" s="373"/>
      <c r="KAI53" s="373"/>
      <c r="KAJ53" s="373"/>
      <c r="KAK53" s="373"/>
      <c r="KAL53" s="373"/>
      <c r="KAM53" s="373"/>
      <c r="KAN53" s="373"/>
      <c r="KAO53" s="373"/>
      <c r="KAP53" s="373"/>
      <c r="KAQ53" s="373"/>
      <c r="KAR53" s="373"/>
      <c r="KAS53" s="373"/>
      <c r="KAT53" s="373"/>
      <c r="KAU53" s="373"/>
      <c r="KAV53" s="373"/>
      <c r="KAW53" s="373"/>
      <c r="KAX53" s="373"/>
      <c r="KAY53" s="373"/>
      <c r="KAZ53" s="373"/>
      <c r="KBA53" s="373"/>
      <c r="KBB53" s="373"/>
      <c r="KBC53" s="373"/>
      <c r="KBD53" s="373"/>
      <c r="KBE53" s="373"/>
      <c r="KBF53" s="373"/>
      <c r="KBG53" s="373"/>
      <c r="KBH53" s="373"/>
      <c r="KBI53" s="373"/>
      <c r="KBJ53" s="373"/>
      <c r="KBK53" s="373"/>
      <c r="KBL53" s="373"/>
      <c r="KBM53" s="373"/>
      <c r="KBN53" s="373"/>
      <c r="KBO53" s="373"/>
      <c r="KBP53" s="373"/>
      <c r="KBQ53" s="373"/>
      <c r="KBR53" s="373"/>
      <c r="KBS53" s="373"/>
      <c r="KBT53" s="373"/>
      <c r="KBU53" s="373"/>
      <c r="KBV53" s="373"/>
      <c r="KBW53" s="373"/>
      <c r="KBX53" s="373"/>
      <c r="KBY53" s="373"/>
      <c r="KBZ53" s="373"/>
      <c r="KCA53" s="373"/>
      <c r="KCB53" s="373"/>
      <c r="KCC53" s="373"/>
      <c r="KCD53" s="373"/>
      <c r="KCE53" s="373"/>
      <c r="KCF53" s="373"/>
      <c r="KCG53" s="373"/>
      <c r="KCH53" s="373"/>
      <c r="KCI53" s="373"/>
      <c r="KCJ53" s="373"/>
      <c r="KCK53" s="373"/>
      <c r="KCL53" s="373"/>
      <c r="KCM53" s="373"/>
      <c r="KCN53" s="373"/>
      <c r="KCO53" s="373"/>
      <c r="KCP53" s="373"/>
      <c r="KCQ53" s="373"/>
      <c r="KCR53" s="373"/>
      <c r="KCS53" s="373"/>
      <c r="KCT53" s="373"/>
      <c r="KCU53" s="373"/>
      <c r="KCV53" s="373"/>
      <c r="KCW53" s="373"/>
      <c r="KCX53" s="373"/>
      <c r="KCY53" s="373"/>
      <c r="KCZ53" s="373"/>
      <c r="KDA53" s="373"/>
      <c r="KDB53" s="373"/>
      <c r="KDC53" s="373"/>
      <c r="KDD53" s="373"/>
      <c r="KDE53" s="373"/>
      <c r="KDF53" s="373"/>
      <c r="KDG53" s="373"/>
      <c r="KDH53" s="373"/>
      <c r="KDI53" s="373"/>
      <c r="KDJ53" s="373"/>
      <c r="KDK53" s="373"/>
      <c r="KDL53" s="373"/>
      <c r="KDM53" s="373"/>
      <c r="KDN53" s="373"/>
      <c r="KDO53" s="373"/>
      <c r="KDP53" s="373"/>
      <c r="KDQ53" s="373"/>
      <c r="KDR53" s="373"/>
      <c r="KDS53" s="373"/>
      <c r="KDT53" s="373"/>
      <c r="KDU53" s="373"/>
      <c r="KDV53" s="373"/>
      <c r="KDW53" s="373"/>
      <c r="KDX53" s="373"/>
      <c r="KDY53" s="373"/>
      <c r="KDZ53" s="373"/>
      <c r="KEA53" s="373"/>
      <c r="KEB53" s="373"/>
      <c r="KEC53" s="373"/>
      <c r="KED53" s="373"/>
      <c r="KEE53" s="373"/>
      <c r="KEF53" s="373"/>
      <c r="KEG53" s="373"/>
      <c r="KEH53" s="373"/>
      <c r="KEI53" s="373"/>
      <c r="KEJ53" s="373"/>
      <c r="KEK53" s="373"/>
      <c r="KEL53" s="373"/>
      <c r="KEM53" s="373"/>
      <c r="KEN53" s="373"/>
      <c r="KEO53" s="373"/>
      <c r="KEP53" s="373"/>
      <c r="KEQ53" s="373"/>
      <c r="KER53" s="373"/>
      <c r="KES53" s="373"/>
      <c r="KET53" s="373"/>
      <c r="KEU53" s="373"/>
      <c r="KEV53" s="373"/>
      <c r="KEW53" s="373"/>
      <c r="KEX53" s="373"/>
      <c r="KEY53" s="373"/>
      <c r="KEZ53" s="373"/>
      <c r="KFA53" s="373"/>
      <c r="KFB53" s="373"/>
      <c r="KFC53" s="373"/>
      <c r="KFD53" s="373"/>
      <c r="KFE53" s="373"/>
      <c r="KFF53" s="373"/>
      <c r="KFG53" s="373"/>
      <c r="KFH53" s="373"/>
      <c r="KFI53" s="373"/>
      <c r="KFJ53" s="373"/>
      <c r="KFK53" s="373"/>
      <c r="KFL53" s="373"/>
      <c r="KFM53" s="373"/>
      <c r="KFN53" s="373"/>
      <c r="KFO53" s="373"/>
      <c r="KFP53" s="373"/>
      <c r="KFQ53" s="373"/>
      <c r="KFR53" s="373"/>
      <c r="KFS53" s="373"/>
      <c r="KFT53" s="373"/>
      <c r="KFU53" s="373"/>
      <c r="KFV53" s="373"/>
      <c r="KFW53" s="373"/>
      <c r="KFX53" s="373"/>
      <c r="KFY53" s="373"/>
      <c r="KFZ53" s="373"/>
      <c r="KGA53" s="373"/>
      <c r="KGB53" s="373"/>
      <c r="KGC53" s="373"/>
      <c r="KGD53" s="373"/>
      <c r="KGE53" s="373"/>
      <c r="KGF53" s="373"/>
      <c r="KGG53" s="373"/>
      <c r="KGH53" s="373"/>
      <c r="KGI53" s="373"/>
      <c r="KGJ53" s="373"/>
      <c r="KGK53" s="373"/>
      <c r="KGL53" s="373"/>
      <c r="KGM53" s="373"/>
      <c r="KGN53" s="373"/>
      <c r="KGO53" s="373"/>
      <c r="KGP53" s="373"/>
      <c r="KGQ53" s="373"/>
      <c r="KGR53" s="373"/>
      <c r="KGS53" s="373"/>
      <c r="KGT53" s="373"/>
      <c r="KGU53" s="373"/>
      <c r="KGV53" s="373"/>
      <c r="KGW53" s="373"/>
      <c r="KGX53" s="373"/>
      <c r="KGY53" s="373"/>
      <c r="KGZ53" s="373"/>
      <c r="KHA53" s="373"/>
      <c r="KHB53" s="373"/>
      <c r="KHC53" s="373"/>
      <c r="KHD53" s="373"/>
      <c r="KHE53" s="373"/>
      <c r="KHF53" s="373"/>
      <c r="KHG53" s="373"/>
      <c r="KHH53" s="373"/>
      <c r="KHI53" s="373"/>
      <c r="KHJ53" s="373"/>
      <c r="KHK53" s="373"/>
      <c r="KHL53" s="373"/>
      <c r="KHM53" s="373"/>
      <c r="KHN53" s="373"/>
      <c r="KHO53" s="373"/>
      <c r="KHP53" s="373"/>
      <c r="KHQ53" s="373"/>
      <c r="KHR53" s="373"/>
      <c r="KHS53" s="373"/>
      <c r="KHT53" s="373"/>
      <c r="KHU53" s="373"/>
      <c r="KHV53" s="373"/>
      <c r="KHW53" s="373"/>
      <c r="KHX53" s="373"/>
      <c r="KHY53" s="373"/>
      <c r="KHZ53" s="373"/>
      <c r="KIA53" s="373"/>
      <c r="KIB53" s="373"/>
      <c r="KIC53" s="373"/>
      <c r="KID53" s="373"/>
      <c r="KIE53" s="373"/>
      <c r="KIF53" s="373"/>
      <c r="KIG53" s="373"/>
      <c r="KIH53" s="373"/>
      <c r="KII53" s="373"/>
      <c r="KIJ53" s="373"/>
      <c r="KIK53" s="373"/>
      <c r="KIL53" s="373"/>
      <c r="KIM53" s="373"/>
      <c r="KIN53" s="373"/>
      <c r="KIO53" s="373"/>
      <c r="KIP53" s="373"/>
      <c r="KIQ53" s="373"/>
      <c r="KIR53" s="373"/>
      <c r="KIS53" s="373"/>
      <c r="KIT53" s="373"/>
      <c r="KIU53" s="373"/>
      <c r="KIV53" s="373"/>
      <c r="KIW53" s="373"/>
      <c r="KIX53" s="373"/>
      <c r="KIY53" s="373"/>
      <c r="KIZ53" s="373"/>
      <c r="KJA53" s="373"/>
      <c r="KJB53" s="373"/>
      <c r="KJC53" s="373"/>
      <c r="KJD53" s="373"/>
      <c r="KJE53" s="373"/>
      <c r="KJF53" s="373"/>
      <c r="KJG53" s="373"/>
      <c r="KJH53" s="373"/>
      <c r="KJI53" s="373"/>
      <c r="KJJ53" s="373"/>
      <c r="KJK53" s="373"/>
      <c r="KJL53" s="373"/>
      <c r="KJM53" s="373"/>
      <c r="KJN53" s="373"/>
      <c r="KJO53" s="373"/>
      <c r="KJP53" s="373"/>
      <c r="KJQ53" s="373"/>
      <c r="KJR53" s="373"/>
      <c r="KJS53" s="373"/>
      <c r="KJT53" s="373"/>
      <c r="KJU53" s="373"/>
      <c r="KJV53" s="373"/>
      <c r="KJW53" s="373"/>
      <c r="KJX53" s="373"/>
      <c r="KJY53" s="373"/>
      <c r="KJZ53" s="373"/>
      <c r="KKA53" s="373"/>
      <c r="KKB53" s="373"/>
      <c r="KKC53" s="373"/>
      <c r="KKD53" s="373"/>
      <c r="KKE53" s="373"/>
      <c r="KKF53" s="373"/>
      <c r="KKG53" s="373"/>
      <c r="KKH53" s="373"/>
      <c r="KKI53" s="373"/>
      <c r="KKJ53" s="373"/>
      <c r="KKK53" s="373"/>
      <c r="KKL53" s="373"/>
      <c r="KKM53" s="373"/>
      <c r="KKN53" s="373"/>
      <c r="KKO53" s="373"/>
      <c r="KKP53" s="373"/>
      <c r="KKQ53" s="373"/>
      <c r="KKR53" s="373"/>
      <c r="KKS53" s="373"/>
      <c r="KKT53" s="373"/>
      <c r="KKU53" s="373"/>
      <c r="KKV53" s="373"/>
      <c r="KKW53" s="373"/>
      <c r="KKX53" s="373"/>
      <c r="KKY53" s="373"/>
      <c r="KKZ53" s="373"/>
      <c r="KLA53" s="373"/>
      <c r="KLB53" s="373"/>
      <c r="KLC53" s="373"/>
      <c r="KLD53" s="373"/>
      <c r="KLE53" s="373"/>
      <c r="KLF53" s="373"/>
      <c r="KLG53" s="373"/>
      <c r="KLH53" s="373"/>
      <c r="KLI53" s="373"/>
      <c r="KLJ53" s="373"/>
      <c r="KLK53" s="373"/>
      <c r="KLL53" s="373"/>
      <c r="KLM53" s="373"/>
      <c r="KLN53" s="373"/>
      <c r="KLO53" s="373"/>
      <c r="KLP53" s="373"/>
      <c r="KLQ53" s="373"/>
      <c r="KLR53" s="373"/>
      <c r="KLS53" s="373"/>
      <c r="KLT53" s="373"/>
      <c r="KLU53" s="373"/>
      <c r="KLV53" s="373"/>
      <c r="KLW53" s="373"/>
      <c r="KLX53" s="373"/>
      <c r="KLY53" s="373"/>
      <c r="KLZ53" s="373"/>
      <c r="KMA53" s="373"/>
      <c r="KMB53" s="373"/>
      <c r="KMC53" s="373"/>
      <c r="KMD53" s="373"/>
      <c r="KME53" s="373"/>
      <c r="KMF53" s="373"/>
      <c r="KMG53" s="373"/>
      <c r="KMH53" s="373"/>
      <c r="KMI53" s="373"/>
      <c r="KMJ53" s="373"/>
      <c r="KMK53" s="373"/>
      <c r="KML53" s="373"/>
      <c r="KMM53" s="373"/>
      <c r="KMN53" s="373"/>
      <c r="KMO53" s="373"/>
      <c r="KMP53" s="373"/>
      <c r="KMQ53" s="373"/>
      <c r="KMR53" s="373"/>
      <c r="KMS53" s="373"/>
      <c r="KMT53" s="373"/>
      <c r="KMU53" s="373"/>
      <c r="KMV53" s="373"/>
      <c r="KMW53" s="373"/>
      <c r="KMX53" s="373"/>
      <c r="KMY53" s="373"/>
      <c r="KMZ53" s="373"/>
      <c r="KNA53" s="373"/>
      <c r="KNB53" s="373"/>
      <c r="KNC53" s="373"/>
      <c r="KND53" s="373"/>
      <c r="KNE53" s="373"/>
      <c r="KNF53" s="373"/>
      <c r="KNG53" s="373"/>
      <c r="KNH53" s="373"/>
      <c r="KNI53" s="373"/>
      <c r="KNJ53" s="373"/>
      <c r="KNK53" s="373"/>
      <c r="KNL53" s="373"/>
      <c r="KNM53" s="373"/>
      <c r="KNN53" s="373"/>
      <c r="KNO53" s="373"/>
      <c r="KNP53" s="373"/>
      <c r="KNQ53" s="373"/>
      <c r="KNR53" s="373"/>
      <c r="KNS53" s="373"/>
      <c r="KNT53" s="373"/>
      <c r="KNU53" s="373"/>
      <c r="KNV53" s="373"/>
      <c r="KNW53" s="373"/>
      <c r="KNX53" s="373"/>
      <c r="KNY53" s="373"/>
      <c r="KNZ53" s="373"/>
      <c r="KOA53" s="373"/>
      <c r="KOB53" s="373"/>
      <c r="KOC53" s="373"/>
      <c r="KOD53" s="373"/>
      <c r="KOE53" s="373"/>
      <c r="KOF53" s="373"/>
      <c r="KOG53" s="373"/>
      <c r="KOH53" s="373"/>
      <c r="KOI53" s="373"/>
      <c r="KOJ53" s="373"/>
      <c r="KOK53" s="373"/>
      <c r="KOL53" s="373"/>
      <c r="KOM53" s="373"/>
      <c r="KON53" s="373"/>
      <c r="KOO53" s="373"/>
      <c r="KOP53" s="373"/>
      <c r="KOQ53" s="373"/>
      <c r="KOR53" s="373"/>
      <c r="KOS53" s="373"/>
      <c r="KOT53" s="373"/>
      <c r="KOU53" s="373"/>
      <c r="KOV53" s="373"/>
      <c r="KOW53" s="373"/>
      <c r="KOX53" s="373"/>
      <c r="KOY53" s="373"/>
      <c r="KOZ53" s="373"/>
      <c r="KPA53" s="373"/>
      <c r="KPB53" s="373"/>
      <c r="KPC53" s="373"/>
      <c r="KPD53" s="373"/>
      <c r="KPE53" s="373"/>
      <c r="KPF53" s="373"/>
      <c r="KPG53" s="373"/>
      <c r="KPH53" s="373"/>
      <c r="KPI53" s="373"/>
      <c r="KPJ53" s="373"/>
      <c r="KPK53" s="373"/>
      <c r="KPL53" s="373"/>
      <c r="KPM53" s="373"/>
      <c r="KPN53" s="373"/>
      <c r="KPO53" s="373"/>
      <c r="KPP53" s="373"/>
      <c r="KPQ53" s="373"/>
      <c r="KPR53" s="373"/>
      <c r="KPS53" s="373"/>
      <c r="KPT53" s="373"/>
      <c r="KPU53" s="373"/>
      <c r="KPV53" s="373"/>
      <c r="KPW53" s="373"/>
      <c r="KPX53" s="373"/>
      <c r="KPY53" s="373"/>
      <c r="KPZ53" s="373"/>
      <c r="KQA53" s="373"/>
      <c r="KQB53" s="373"/>
      <c r="KQC53" s="373"/>
      <c r="KQD53" s="373"/>
      <c r="KQE53" s="373"/>
      <c r="KQF53" s="373"/>
      <c r="KQG53" s="373"/>
      <c r="KQH53" s="373"/>
      <c r="KQI53" s="373"/>
      <c r="KQJ53" s="373"/>
      <c r="KQK53" s="373"/>
      <c r="KQL53" s="373"/>
      <c r="KQM53" s="373"/>
      <c r="KQN53" s="373"/>
      <c r="KQO53" s="373"/>
      <c r="KQP53" s="373"/>
      <c r="KQQ53" s="373"/>
      <c r="KQR53" s="373"/>
      <c r="KQS53" s="373"/>
      <c r="KQT53" s="373"/>
      <c r="KQU53" s="373"/>
      <c r="KQV53" s="373"/>
      <c r="KQW53" s="373"/>
      <c r="KQX53" s="373"/>
      <c r="KQY53" s="373"/>
      <c r="KQZ53" s="373"/>
      <c r="KRA53" s="373"/>
      <c r="KRB53" s="373"/>
      <c r="KRC53" s="373"/>
      <c r="KRD53" s="373"/>
      <c r="KRE53" s="373"/>
      <c r="KRF53" s="373"/>
      <c r="KRG53" s="373"/>
      <c r="KRH53" s="373"/>
      <c r="KRI53" s="373"/>
      <c r="KRJ53" s="373"/>
      <c r="KRK53" s="373"/>
      <c r="KRL53" s="373"/>
      <c r="KRM53" s="373"/>
      <c r="KRN53" s="373"/>
      <c r="KRO53" s="373"/>
      <c r="KRP53" s="373"/>
      <c r="KRQ53" s="373"/>
      <c r="KRR53" s="373"/>
      <c r="KRS53" s="373"/>
      <c r="KRT53" s="373"/>
      <c r="KRU53" s="373"/>
      <c r="KRV53" s="373"/>
      <c r="KRW53" s="373"/>
      <c r="KRX53" s="373"/>
      <c r="KRY53" s="373"/>
      <c r="KRZ53" s="373"/>
      <c r="KSA53" s="373"/>
      <c r="KSB53" s="373"/>
      <c r="KSC53" s="373"/>
      <c r="KSD53" s="373"/>
      <c r="KSE53" s="373"/>
      <c r="KSF53" s="373"/>
      <c r="KSG53" s="373"/>
      <c r="KSH53" s="373"/>
      <c r="KSI53" s="373"/>
      <c r="KSJ53" s="373"/>
      <c r="KSK53" s="373"/>
      <c r="KSL53" s="373"/>
      <c r="KSM53" s="373"/>
      <c r="KSN53" s="373"/>
      <c r="KSO53" s="373"/>
      <c r="KSP53" s="373"/>
      <c r="KSQ53" s="373"/>
      <c r="KSR53" s="373"/>
      <c r="KSS53" s="373"/>
      <c r="KST53" s="373"/>
      <c r="KSU53" s="373"/>
      <c r="KSV53" s="373"/>
      <c r="KSW53" s="373"/>
      <c r="KSX53" s="373"/>
      <c r="KSY53" s="373"/>
      <c r="KSZ53" s="373"/>
      <c r="KTA53" s="373"/>
      <c r="KTB53" s="373"/>
      <c r="KTC53" s="373"/>
      <c r="KTD53" s="373"/>
      <c r="KTE53" s="373"/>
      <c r="KTF53" s="373"/>
      <c r="KTG53" s="373"/>
      <c r="KTH53" s="373"/>
      <c r="KTI53" s="373"/>
      <c r="KTJ53" s="373"/>
      <c r="KTK53" s="373"/>
      <c r="KTL53" s="373"/>
      <c r="KTM53" s="373"/>
      <c r="KTN53" s="373"/>
      <c r="KTO53" s="373"/>
      <c r="KTP53" s="373"/>
      <c r="KTQ53" s="373"/>
      <c r="KTR53" s="373"/>
      <c r="KTS53" s="373"/>
      <c r="KTT53" s="373"/>
      <c r="KTU53" s="373"/>
      <c r="KTV53" s="373"/>
      <c r="KTW53" s="373"/>
      <c r="KTX53" s="373"/>
      <c r="KTY53" s="373"/>
      <c r="KTZ53" s="373"/>
      <c r="KUA53" s="373"/>
      <c r="KUB53" s="373"/>
      <c r="KUC53" s="373"/>
      <c r="KUD53" s="373"/>
      <c r="KUE53" s="373"/>
      <c r="KUF53" s="373"/>
      <c r="KUG53" s="373"/>
      <c r="KUH53" s="373"/>
      <c r="KUI53" s="373"/>
      <c r="KUJ53" s="373"/>
      <c r="KUK53" s="373"/>
      <c r="KUL53" s="373"/>
      <c r="KUM53" s="373"/>
      <c r="KUN53" s="373"/>
      <c r="KUO53" s="373"/>
      <c r="KUP53" s="373"/>
      <c r="KUQ53" s="373"/>
      <c r="KUR53" s="373"/>
      <c r="KUS53" s="373"/>
      <c r="KUT53" s="373"/>
      <c r="KUU53" s="373"/>
      <c r="KUV53" s="373"/>
      <c r="KUW53" s="373"/>
      <c r="KUX53" s="373"/>
      <c r="KUY53" s="373"/>
      <c r="KUZ53" s="373"/>
      <c r="KVA53" s="373"/>
      <c r="KVB53" s="373"/>
      <c r="KVC53" s="373"/>
      <c r="KVD53" s="373"/>
      <c r="KVE53" s="373"/>
      <c r="KVF53" s="373"/>
      <c r="KVG53" s="373"/>
      <c r="KVH53" s="373"/>
      <c r="KVI53" s="373"/>
      <c r="KVJ53" s="373"/>
      <c r="KVK53" s="373"/>
      <c r="KVL53" s="373"/>
      <c r="KVM53" s="373"/>
      <c r="KVN53" s="373"/>
      <c r="KVO53" s="373"/>
      <c r="KVP53" s="373"/>
      <c r="KVQ53" s="373"/>
      <c r="KVR53" s="373"/>
      <c r="KVS53" s="373"/>
      <c r="KVT53" s="373"/>
      <c r="KVU53" s="373"/>
      <c r="KVV53" s="373"/>
      <c r="KVW53" s="373"/>
      <c r="KVX53" s="373"/>
      <c r="KVY53" s="373"/>
      <c r="KVZ53" s="373"/>
      <c r="KWA53" s="373"/>
      <c r="KWB53" s="373"/>
      <c r="KWC53" s="373"/>
      <c r="KWD53" s="373"/>
      <c r="KWE53" s="373"/>
      <c r="KWF53" s="373"/>
      <c r="KWG53" s="373"/>
      <c r="KWH53" s="373"/>
      <c r="KWI53" s="373"/>
      <c r="KWJ53" s="373"/>
      <c r="KWK53" s="373"/>
      <c r="KWL53" s="373"/>
      <c r="KWM53" s="373"/>
      <c r="KWN53" s="373"/>
      <c r="KWO53" s="373"/>
      <c r="KWP53" s="373"/>
      <c r="KWQ53" s="373"/>
      <c r="KWR53" s="373"/>
      <c r="KWS53" s="373"/>
      <c r="KWT53" s="373"/>
      <c r="KWU53" s="373"/>
      <c r="KWV53" s="373"/>
      <c r="KWW53" s="373"/>
      <c r="KWX53" s="373"/>
      <c r="KWY53" s="373"/>
      <c r="KWZ53" s="373"/>
      <c r="KXA53" s="373"/>
      <c r="KXB53" s="373"/>
      <c r="KXC53" s="373"/>
      <c r="KXD53" s="373"/>
      <c r="KXE53" s="373"/>
      <c r="KXF53" s="373"/>
      <c r="KXG53" s="373"/>
      <c r="KXH53" s="373"/>
      <c r="KXI53" s="373"/>
      <c r="KXJ53" s="373"/>
      <c r="KXK53" s="373"/>
      <c r="KXL53" s="373"/>
      <c r="KXM53" s="373"/>
      <c r="KXN53" s="373"/>
      <c r="KXO53" s="373"/>
      <c r="KXP53" s="373"/>
      <c r="KXQ53" s="373"/>
      <c r="KXR53" s="373"/>
      <c r="KXS53" s="373"/>
      <c r="KXT53" s="373"/>
      <c r="KXU53" s="373"/>
      <c r="KXV53" s="373"/>
      <c r="KXW53" s="373"/>
      <c r="KXX53" s="373"/>
      <c r="KXY53" s="373"/>
      <c r="KXZ53" s="373"/>
      <c r="KYA53" s="373"/>
      <c r="KYB53" s="373"/>
      <c r="KYC53" s="373"/>
      <c r="KYD53" s="373"/>
      <c r="KYE53" s="373"/>
      <c r="KYF53" s="373"/>
      <c r="KYG53" s="373"/>
      <c r="KYH53" s="373"/>
      <c r="KYI53" s="373"/>
      <c r="KYJ53" s="373"/>
      <c r="KYK53" s="373"/>
      <c r="KYL53" s="373"/>
      <c r="KYM53" s="373"/>
      <c r="KYN53" s="373"/>
      <c r="KYO53" s="373"/>
      <c r="KYP53" s="373"/>
      <c r="KYQ53" s="373"/>
      <c r="KYR53" s="373"/>
      <c r="KYS53" s="373"/>
      <c r="KYT53" s="373"/>
      <c r="KYU53" s="373"/>
      <c r="KYV53" s="373"/>
      <c r="KYW53" s="373"/>
      <c r="KYX53" s="373"/>
      <c r="KYY53" s="373"/>
      <c r="KYZ53" s="373"/>
      <c r="KZA53" s="373"/>
      <c r="KZB53" s="373"/>
      <c r="KZC53" s="373"/>
      <c r="KZD53" s="373"/>
      <c r="KZE53" s="373"/>
      <c r="KZF53" s="373"/>
      <c r="KZG53" s="373"/>
      <c r="KZH53" s="373"/>
      <c r="KZI53" s="373"/>
      <c r="KZJ53" s="373"/>
      <c r="KZK53" s="373"/>
      <c r="KZL53" s="373"/>
      <c r="KZM53" s="373"/>
      <c r="KZN53" s="373"/>
      <c r="KZO53" s="373"/>
      <c r="KZP53" s="373"/>
      <c r="KZQ53" s="373"/>
      <c r="KZR53" s="373"/>
      <c r="KZS53" s="373"/>
      <c r="KZT53" s="373"/>
      <c r="KZU53" s="373"/>
      <c r="KZV53" s="373"/>
      <c r="KZW53" s="373"/>
      <c r="KZX53" s="373"/>
      <c r="KZY53" s="373"/>
      <c r="KZZ53" s="373"/>
      <c r="LAA53" s="373"/>
      <c r="LAB53" s="373"/>
      <c r="LAC53" s="373"/>
      <c r="LAD53" s="373"/>
      <c r="LAE53" s="373"/>
      <c r="LAF53" s="373"/>
      <c r="LAG53" s="373"/>
      <c r="LAH53" s="373"/>
      <c r="LAI53" s="373"/>
      <c r="LAJ53" s="373"/>
      <c r="LAK53" s="373"/>
      <c r="LAL53" s="373"/>
      <c r="LAM53" s="373"/>
      <c r="LAN53" s="373"/>
      <c r="LAO53" s="373"/>
      <c r="LAP53" s="373"/>
      <c r="LAQ53" s="373"/>
      <c r="LAR53" s="373"/>
      <c r="LAS53" s="373"/>
      <c r="LAT53" s="373"/>
      <c r="LAU53" s="373"/>
      <c r="LAV53" s="373"/>
      <c r="LAW53" s="373"/>
      <c r="LAX53" s="373"/>
      <c r="LAY53" s="373"/>
      <c r="LAZ53" s="373"/>
      <c r="LBA53" s="373"/>
      <c r="LBB53" s="373"/>
      <c r="LBC53" s="373"/>
      <c r="LBD53" s="373"/>
      <c r="LBE53" s="373"/>
      <c r="LBF53" s="373"/>
      <c r="LBG53" s="373"/>
      <c r="LBH53" s="373"/>
      <c r="LBI53" s="373"/>
      <c r="LBJ53" s="373"/>
      <c r="LBK53" s="373"/>
      <c r="LBL53" s="373"/>
      <c r="LBM53" s="373"/>
      <c r="LBN53" s="373"/>
      <c r="LBO53" s="373"/>
      <c r="LBP53" s="373"/>
      <c r="LBQ53" s="373"/>
      <c r="LBR53" s="373"/>
      <c r="LBS53" s="373"/>
      <c r="LBT53" s="373"/>
      <c r="LBU53" s="373"/>
      <c r="LBV53" s="373"/>
      <c r="LBW53" s="373"/>
      <c r="LBX53" s="373"/>
      <c r="LBY53" s="373"/>
      <c r="LBZ53" s="373"/>
      <c r="LCA53" s="373"/>
      <c r="LCB53" s="373"/>
      <c r="LCC53" s="373"/>
      <c r="LCD53" s="373"/>
      <c r="LCE53" s="373"/>
      <c r="LCF53" s="373"/>
      <c r="LCG53" s="373"/>
      <c r="LCH53" s="373"/>
      <c r="LCI53" s="373"/>
      <c r="LCJ53" s="373"/>
      <c r="LCK53" s="373"/>
      <c r="LCL53" s="373"/>
      <c r="LCM53" s="373"/>
      <c r="LCN53" s="373"/>
      <c r="LCO53" s="373"/>
      <c r="LCP53" s="373"/>
      <c r="LCQ53" s="373"/>
      <c r="LCR53" s="373"/>
      <c r="LCS53" s="373"/>
      <c r="LCT53" s="373"/>
      <c r="LCU53" s="373"/>
      <c r="LCV53" s="373"/>
      <c r="LCW53" s="373"/>
      <c r="LCX53" s="373"/>
      <c r="LCY53" s="373"/>
      <c r="LCZ53" s="373"/>
      <c r="LDA53" s="373"/>
      <c r="LDB53" s="373"/>
      <c r="LDC53" s="373"/>
      <c r="LDD53" s="373"/>
      <c r="LDE53" s="373"/>
      <c r="LDF53" s="373"/>
      <c r="LDG53" s="373"/>
      <c r="LDH53" s="373"/>
      <c r="LDI53" s="373"/>
      <c r="LDJ53" s="373"/>
      <c r="LDK53" s="373"/>
      <c r="LDL53" s="373"/>
      <c r="LDM53" s="373"/>
      <c r="LDN53" s="373"/>
      <c r="LDO53" s="373"/>
      <c r="LDP53" s="373"/>
      <c r="LDQ53" s="373"/>
      <c r="LDR53" s="373"/>
      <c r="LDS53" s="373"/>
      <c r="LDT53" s="373"/>
      <c r="LDU53" s="373"/>
      <c r="LDV53" s="373"/>
      <c r="LDW53" s="373"/>
      <c r="LDX53" s="373"/>
      <c r="LDY53" s="373"/>
      <c r="LDZ53" s="373"/>
      <c r="LEA53" s="373"/>
      <c r="LEB53" s="373"/>
      <c r="LEC53" s="373"/>
      <c r="LED53" s="373"/>
      <c r="LEE53" s="373"/>
      <c r="LEF53" s="373"/>
      <c r="LEG53" s="373"/>
      <c r="LEH53" s="373"/>
      <c r="LEI53" s="373"/>
      <c r="LEJ53" s="373"/>
      <c r="LEK53" s="373"/>
      <c r="LEL53" s="373"/>
      <c r="LEM53" s="373"/>
      <c r="LEN53" s="373"/>
      <c r="LEO53" s="373"/>
      <c r="LEP53" s="373"/>
      <c r="LEQ53" s="373"/>
      <c r="LER53" s="373"/>
      <c r="LES53" s="373"/>
      <c r="LET53" s="373"/>
      <c r="LEU53" s="373"/>
      <c r="LEV53" s="373"/>
      <c r="LEW53" s="373"/>
      <c r="LEX53" s="373"/>
      <c r="LEY53" s="373"/>
      <c r="LEZ53" s="373"/>
      <c r="LFA53" s="373"/>
      <c r="LFB53" s="373"/>
      <c r="LFC53" s="373"/>
      <c r="LFD53" s="373"/>
      <c r="LFE53" s="373"/>
      <c r="LFF53" s="373"/>
      <c r="LFG53" s="373"/>
      <c r="LFH53" s="373"/>
      <c r="LFI53" s="373"/>
      <c r="LFJ53" s="373"/>
      <c r="LFK53" s="373"/>
      <c r="LFL53" s="373"/>
      <c r="LFM53" s="373"/>
      <c r="LFN53" s="373"/>
      <c r="LFO53" s="373"/>
      <c r="LFP53" s="373"/>
      <c r="LFQ53" s="373"/>
      <c r="LFR53" s="373"/>
      <c r="LFS53" s="373"/>
      <c r="LFT53" s="373"/>
      <c r="LFU53" s="373"/>
      <c r="LFV53" s="373"/>
      <c r="LFW53" s="373"/>
      <c r="LFX53" s="373"/>
      <c r="LFY53" s="373"/>
      <c r="LFZ53" s="373"/>
      <c r="LGA53" s="373"/>
      <c r="LGB53" s="373"/>
      <c r="LGC53" s="373"/>
      <c r="LGD53" s="373"/>
      <c r="LGE53" s="373"/>
      <c r="LGF53" s="373"/>
      <c r="LGG53" s="373"/>
      <c r="LGH53" s="373"/>
      <c r="LGI53" s="373"/>
      <c r="LGJ53" s="373"/>
      <c r="LGK53" s="373"/>
      <c r="LGL53" s="373"/>
      <c r="LGM53" s="373"/>
      <c r="LGN53" s="373"/>
      <c r="LGO53" s="373"/>
      <c r="LGP53" s="373"/>
      <c r="LGQ53" s="373"/>
      <c r="LGR53" s="373"/>
      <c r="LGS53" s="373"/>
      <c r="LGT53" s="373"/>
      <c r="LGU53" s="373"/>
      <c r="LGV53" s="373"/>
      <c r="LGW53" s="373"/>
      <c r="LGX53" s="373"/>
      <c r="LGY53" s="373"/>
      <c r="LGZ53" s="373"/>
      <c r="LHA53" s="373"/>
      <c r="LHB53" s="373"/>
      <c r="LHC53" s="373"/>
      <c r="LHD53" s="373"/>
      <c r="LHE53" s="373"/>
      <c r="LHF53" s="373"/>
      <c r="LHG53" s="373"/>
      <c r="LHH53" s="373"/>
      <c r="LHI53" s="373"/>
      <c r="LHJ53" s="373"/>
      <c r="LHK53" s="373"/>
      <c r="LHL53" s="373"/>
      <c r="LHM53" s="373"/>
      <c r="LHN53" s="373"/>
      <c r="LHO53" s="373"/>
      <c r="LHP53" s="373"/>
      <c r="LHQ53" s="373"/>
      <c r="LHR53" s="373"/>
      <c r="LHS53" s="373"/>
      <c r="LHT53" s="373"/>
      <c r="LHU53" s="373"/>
      <c r="LHV53" s="373"/>
      <c r="LHW53" s="373"/>
      <c r="LHX53" s="373"/>
      <c r="LHY53" s="373"/>
      <c r="LHZ53" s="373"/>
      <c r="LIA53" s="373"/>
      <c r="LIB53" s="373"/>
      <c r="LIC53" s="373"/>
      <c r="LID53" s="373"/>
      <c r="LIE53" s="373"/>
      <c r="LIF53" s="373"/>
      <c r="LIG53" s="373"/>
      <c r="LIH53" s="373"/>
      <c r="LII53" s="373"/>
      <c r="LIJ53" s="373"/>
      <c r="LIK53" s="373"/>
      <c r="LIL53" s="373"/>
      <c r="LIM53" s="373"/>
      <c r="LIN53" s="373"/>
      <c r="LIO53" s="373"/>
      <c r="LIP53" s="373"/>
      <c r="LIQ53" s="373"/>
      <c r="LIR53" s="373"/>
      <c r="LIS53" s="373"/>
      <c r="LIT53" s="373"/>
      <c r="LIU53" s="373"/>
      <c r="LIV53" s="373"/>
      <c r="LIW53" s="373"/>
      <c r="LIX53" s="373"/>
      <c r="LIY53" s="373"/>
      <c r="LIZ53" s="373"/>
      <c r="LJA53" s="373"/>
      <c r="LJB53" s="373"/>
      <c r="LJC53" s="373"/>
      <c r="LJD53" s="373"/>
      <c r="LJE53" s="373"/>
      <c r="LJF53" s="373"/>
      <c r="LJG53" s="373"/>
      <c r="LJH53" s="373"/>
      <c r="LJI53" s="373"/>
      <c r="LJJ53" s="373"/>
      <c r="LJK53" s="373"/>
      <c r="LJL53" s="373"/>
      <c r="LJM53" s="373"/>
      <c r="LJN53" s="373"/>
      <c r="LJO53" s="373"/>
      <c r="LJP53" s="373"/>
      <c r="LJQ53" s="373"/>
      <c r="LJR53" s="373"/>
      <c r="LJS53" s="373"/>
      <c r="LJT53" s="373"/>
      <c r="LJU53" s="373"/>
      <c r="LJV53" s="373"/>
      <c r="LJW53" s="373"/>
      <c r="LJX53" s="373"/>
      <c r="LJY53" s="373"/>
      <c r="LJZ53" s="373"/>
      <c r="LKA53" s="373"/>
      <c r="LKB53" s="373"/>
      <c r="LKC53" s="373"/>
      <c r="LKD53" s="373"/>
      <c r="LKE53" s="373"/>
      <c r="LKF53" s="373"/>
      <c r="LKG53" s="373"/>
      <c r="LKH53" s="373"/>
      <c r="LKI53" s="373"/>
      <c r="LKJ53" s="373"/>
      <c r="LKK53" s="373"/>
      <c r="LKL53" s="373"/>
      <c r="LKM53" s="373"/>
      <c r="LKN53" s="373"/>
      <c r="LKO53" s="373"/>
      <c r="LKP53" s="373"/>
      <c r="LKQ53" s="373"/>
      <c r="LKR53" s="373"/>
      <c r="LKS53" s="373"/>
      <c r="LKT53" s="373"/>
      <c r="LKU53" s="373"/>
      <c r="LKV53" s="373"/>
      <c r="LKW53" s="373"/>
      <c r="LKX53" s="373"/>
      <c r="LKY53" s="373"/>
      <c r="LKZ53" s="373"/>
      <c r="LLA53" s="373"/>
      <c r="LLB53" s="373"/>
      <c r="LLC53" s="373"/>
      <c r="LLD53" s="373"/>
      <c r="LLE53" s="373"/>
      <c r="LLF53" s="373"/>
      <c r="LLG53" s="373"/>
      <c r="LLH53" s="373"/>
      <c r="LLI53" s="373"/>
      <c r="LLJ53" s="373"/>
      <c r="LLK53" s="373"/>
      <c r="LLL53" s="373"/>
      <c r="LLM53" s="373"/>
      <c r="LLN53" s="373"/>
      <c r="LLO53" s="373"/>
      <c r="LLP53" s="373"/>
      <c r="LLQ53" s="373"/>
      <c r="LLR53" s="373"/>
      <c r="LLS53" s="373"/>
      <c r="LLT53" s="373"/>
      <c r="LLU53" s="373"/>
      <c r="LLV53" s="373"/>
      <c r="LLW53" s="373"/>
      <c r="LLX53" s="373"/>
      <c r="LLY53" s="373"/>
      <c r="LLZ53" s="373"/>
      <c r="LMA53" s="373"/>
      <c r="LMB53" s="373"/>
      <c r="LMC53" s="373"/>
      <c r="LMD53" s="373"/>
      <c r="LME53" s="373"/>
      <c r="LMF53" s="373"/>
      <c r="LMG53" s="373"/>
      <c r="LMH53" s="373"/>
      <c r="LMI53" s="373"/>
      <c r="LMJ53" s="373"/>
      <c r="LMK53" s="373"/>
      <c r="LML53" s="373"/>
      <c r="LMM53" s="373"/>
      <c r="LMN53" s="373"/>
      <c r="LMO53" s="373"/>
      <c r="LMP53" s="373"/>
      <c r="LMQ53" s="373"/>
      <c r="LMR53" s="373"/>
      <c r="LMS53" s="373"/>
      <c r="LMT53" s="373"/>
      <c r="LMU53" s="373"/>
      <c r="LMV53" s="373"/>
      <c r="LMW53" s="373"/>
      <c r="LMX53" s="373"/>
      <c r="LMY53" s="373"/>
      <c r="LMZ53" s="373"/>
      <c r="LNA53" s="373"/>
      <c r="LNB53" s="373"/>
      <c r="LNC53" s="373"/>
      <c r="LND53" s="373"/>
      <c r="LNE53" s="373"/>
      <c r="LNF53" s="373"/>
      <c r="LNG53" s="373"/>
      <c r="LNH53" s="373"/>
      <c r="LNI53" s="373"/>
      <c r="LNJ53" s="373"/>
      <c r="LNK53" s="373"/>
      <c r="LNL53" s="373"/>
      <c r="LNM53" s="373"/>
      <c r="LNN53" s="373"/>
      <c r="LNO53" s="373"/>
      <c r="LNP53" s="373"/>
      <c r="LNQ53" s="373"/>
      <c r="LNR53" s="373"/>
      <c r="LNS53" s="373"/>
      <c r="LNT53" s="373"/>
      <c r="LNU53" s="373"/>
      <c r="LNV53" s="373"/>
      <c r="LNW53" s="373"/>
      <c r="LNX53" s="373"/>
      <c r="LNY53" s="373"/>
      <c r="LNZ53" s="373"/>
      <c r="LOA53" s="373"/>
      <c r="LOB53" s="373"/>
      <c r="LOC53" s="373"/>
      <c r="LOD53" s="373"/>
      <c r="LOE53" s="373"/>
      <c r="LOF53" s="373"/>
      <c r="LOG53" s="373"/>
      <c r="LOH53" s="373"/>
      <c r="LOI53" s="373"/>
      <c r="LOJ53" s="373"/>
      <c r="LOK53" s="373"/>
      <c r="LOL53" s="373"/>
      <c r="LOM53" s="373"/>
      <c r="LON53" s="373"/>
      <c r="LOO53" s="373"/>
      <c r="LOP53" s="373"/>
      <c r="LOQ53" s="373"/>
      <c r="LOR53" s="373"/>
      <c r="LOS53" s="373"/>
      <c r="LOT53" s="373"/>
      <c r="LOU53" s="373"/>
      <c r="LOV53" s="373"/>
      <c r="LOW53" s="373"/>
      <c r="LOX53" s="373"/>
      <c r="LOY53" s="373"/>
      <c r="LOZ53" s="373"/>
      <c r="LPA53" s="373"/>
      <c r="LPB53" s="373"/>
      <c r="LPC53" s="373"/>
      <c r="LPD53" s="373"/>
      <c r="LPE53" s="373"/>
      <c r="LPF53" s="373"/>
      <c r="LPG53" s="373"/>
      <c r="LPH53" s="373"/>
      <c r="LPI53" s="373"/>
      <c r="LPJ53" s="373"/>
      <c r="LPK53" s="373"/>
      <c r="LPL53" s="373"/>
      <c r="LPM53" s="373"/>
      <c r="LPN53" s="373"/>
      <c r="LPO53" s="373"/>
      <c r="LPP53" s="373"/>
      <c r="LPQ53" s="373"/>
      <c r="LPR53" s="373"/>
      <c r="LPS53" s="373"/>
      <c r="LPT53" s="373"/>
      <c r="LPU53" s="373"/>
      <c r="LPV53" s="373"/>
      <c r="LPW53" s="373"/>
      <c r="LPX53" s="373"/>
      <c r="LPY53" s="373"/>
      <c r="LPZ53" s="373"/>
      <c r="LQA53" s="373"/>
      <c r="LQB53" s="373"/>
      <c r="LQC53" s="373"/>
      <c r="LQD53" s="373"/>
      <c r="LQE53" s="373"/>
      <c r="LQF53" s="373"/>
      <c r="LQG53" s="373"/>
      <c r="LQH53" s="373"/>
      <c r="LQI53" s="373"/>
      <c r="LQJ53" s="373"/>
      <c r="LQK53" s="373"/>
      <c r="LQL53" s="373"/>
      <c r="LQM53" s="373"/>
      <c r="LQN53" s="373"/>
      <c r="LQO53" s="373"/>
      <c r="LQP53" s="373"/>
      <c r="LQQ53" s="373"/>
      <c r="LQR53" s="373"/>
      <c r="LQS53" s="373"/>
      <c r="LQT53" s="373"/>
      <c r="LQU53" s="373"/>
      <c r="LQV53" s="373"/>
      <c r="LQW53" s="373"/>
      <c r="LQX53" s="373"/>
      <c r="LQY53" s="373"/>
      <c r="LQZ53" s="373"/>
      <c r="LRA53" s="373"/>
      <c r="LRB53" s="373"/>
      <c r="LRC53" s="373"/>
      <c r="LRD53" s="373"/>
      <c r="LRE53" s="373"/>
      <c r="LRF53" s="373"/>
      <c r="LRG53" s="373"/>
      <c r="LRH53" s="373"/>
      <c r="LRI53" s="373"/>
      <c r="LRJ53" s="373"/>
      <c r="LRK53" s="373"/>
      <c r="LRL53" s="373"/>
      <c r="LRM53" s="373"/>
      <c r="LRN53" s="373"/>
      <c r="LRO53" s="373"/>
      <c r="LRP53" s="373"/>
      <c r="LRQ53" s="373"/>
      <c r="LRR53" s="373"/>
      <c r="LRS53" s="373"/>
      <c r="LRT53" s="373"/>
      <c r="LRU53" s="373"/>
      <c r="LRV53" s="373"/>
      <c r="LRW53" s="373"/>
      <c r="LRX53" s="373"/>
      <c r="LRY53" s="373"/>
      <c r="LRZ53" s="373"/>
      <c r="LSA53" s="373"/>
      <c r="LSB53" s="373"/>
      <c r="LSC53" s="373"/>
      <c r="LSD53" s="373"/>
      <c r="LSE53" s="373"/>
      <c r="LSF53" s="373"/>
      <c r="LSG53" s="373"/>
      <c r="LSH53" s="373"/>
      <c r="LSI53" s="373"/>
      <c r="LSJ53" s="373"/>
      <c r="LSK53" s="373"/>
      <c r="LSL53" s="373"/>
      <c r="LSM53" s="373"/>
      <c r="LSN53" s="373"/>
      <c r="LSO53" s="373"/>
      <c r="LSP53" s="373"/>
      <c r="LSQ53" s="373"/>
      <c r="LSR53" s="373"/>
      <c r="LSS53" s="373"/>
      <c r="LST53" s="373"/>
      <c r="LSU53" s="373"/>
      <c r="LSV53" s="373"/>
      <c r="LSW53" s="373"/>
      <c r="LSX53" s="373"/>
      <c r="LSY53" s="373"/>
      <c r="LSZ53" s="373"/>
      <c r="LTA53" s="373"/>
      <c r="LTB53" s="373"/>
      <c r="LTC53" s="373"/>
      <c r="LTD53" s="373"/>
      <c r="LTE53" s="373"/>
      <c r="LTF53" s="373"/>
      <c r="LTG53" s="373"/>
      <c r="LTH53" s="373"/>
      <c r="LTI53" s="373"/>
      <c r="LTJ53" s="373"/>
      <c r="LTK53" s="373"/>
      <c r="LTL53" s="373"/>
      <c r="LTM53" s="373"/>
      <c r="LTN53" s="373"/>
      <c r="LTO53" s="373"/>
      <c r="LTP53" s="373"/>
      <c r="LTQ53" s="373"/>
      <c r="LTR53" s="373"/>
      <c r="LTS53" s="373"/>
      <c r="LTT53" s="373"/>
      <c r="LTU53" s="373"/>
      <c r="LTV53" s="373"/>
      <c r="LTW53" s="373"/>
      <c r="LTX53" s="373"/>
      <c r="LTY53" s="373"/>
      <c r="LTZ53" s="373"/>
      <c r="LUA53" s="373"/>
      <c r="LUB53" s="373"/>
      <c r="LUC53" s="373"/>
      <c r="LUD53" s="373"/>
      <c r="LUE53" s="373"/>
      <c r="LUF53" s="373"/>
      <c r="LUG53" s="373"/>
      <c r="LUH53" s="373"/>
      <c r="LUI53" s="373"/>
      <c r="LUJ53" s="373"/>
      <c r="LUK53" s="373"/>
      <c r="LUL53" s="373"/>
      <c r="LUM53" s="373"/>
      <c r="LUN53" s="373"/>
      <c r="LUO53" s="373"/>
      <c r="LUP53" s="373"/>
      <c r="LUQ53" s="373"/>
      <c r="LUR53" s="373"/>
      <c r="LUS53" s="373"/>
      <c r="LUT53" s="373"/>
      <c r="LUU53" s="373"/>
      <c r="LUV53" s="373"/>
      <c r="LUW53" s="373"/>
      <c r="LUX53" s="373"/>
      <c r="LUY53" s="373"/>
      <c r="LUZ53" s="373"/>
      <c r="LVA53" s="373"/>
      <c r="LVB53" s="373"/>
      <c r="LVC53" s="373"/>
      <c r="LVD53" s="373"/>
      <c r="LVE53" s="373"/>
      <c r="LVF53" s="373"/>
      <c r="LVG53" s="373"/>
      <c r="LVH53" s="373"/>
      <c r="LVI53" s="373"/>
      <c r="LVJ53" s="373"/>
      <c r="LVK53" s="373"/>
      <c r="LVL53" s="373"/>
      <c r="LVM53" s="373"/>
      <c r="LVN53" s="373"/>
      <c r="LVO53" s="373"/>
      <c r="LVP53" s="373"/>
      <c r="LVQ53" s="373"/>
      <c r="LVR53" s="373"/>
      <c r="LVS53" s="373"/>
      <c r="LVT53" s="373"/>
      <c r="LVU53" s="373"/>
      <c r="LVV53" s="373"/>
      <c r="LVW53" s="373"/>
      <c r="LVX53" s="373"/>
      <c r="LVY53" s="373"/>
      <c r="LVZ53" s="373"/>
      <c r="LWA53" s="373"/>
      <c r="LWB53" s="373"/>
      <c r="LWC53" s="373"/>
      <c r="LWD53" s="373"/>
      <c r="LWE53" s="373"/>
      <c r="LWF53" s="373"/>
      <c r="LWG53" s="373"/>
      <c r="LWH53" s="373"/>
      <c r="LWI53" s="373"/>
      <c r="LWJ53" s="373"/>
      <c r="LWK53" s="373"/>
      <c r="LWL53" s="373"/>
      <c r="LWM53" s="373"/>
      <c r="LWN53" s="373"/>
      <c r="LWO53" s="373"/>
      <c r="LWP53" s="373"/>
      <c r="LWQ53" s="373"/>
      <c r="LWR53" s="373"/>
      <c r="LWS53" s="373"/>
      <c r="LWT53" s="373"/>
      <c r="LWU53" s="373"/>
      <c r="LWV53" s="373"/>
      <c r="LWW53" s="373"/>
      <c r="LWX53" s="373"/>
      <c r="LWY53" s="373"/>
      <c r="LWZ53" s="373"/>
      <c r="LXA53" s="373"/>
      <c r="LXB53" s="373"/>
      <c r="LXC53" s="373"/>
      <c r="LXD53" s="373"/>
      <c r="LXE53" s="373"/>
      <c r="LXF53" s="373"/>
      <c r="LXG53" s="373"/>
      <c r="LXH53" s="373"/>
      <c r="LXI53" s="373"/>
      <c r="LXJ53" s="373"/>
      <c r="LXK53" s="373"/>
      <c r="LXL53" s="373"/>
      <c r="LXM53" s="373"/>
      <c r="LXN53" s="373"/>
      <c r="LXO53" s="373"/>
      <c r="LXP53" s="373"/>
      <c r="LXQ53" s="373"/>
      <c r="LXR53" s="373"/>
      <c r="LXS53" s="373"/>
      <c r="LXT53" s="373"/>
      <c r="LXU53" s="373"/>
      <c r="LXV53" s="373"/>
      <c r="LXW53" s="373"/>
      <c r="LXX53" s="373"/>
      <c r="LXY53" s="373"/>
      <c r="LXZ53" s="373"/>
      <c r="LYA53" s="373"/>
      <c r="LYB53" s="373"/>
      <c r="LYC53" s="373"/>
      <c r="LYD53" s="373"/>
      <c r="LYE53" s="373"/>
      <c r="LYF53" s="373"/>
      <c r="LYG53" s="373"/>
      <c r="LYH53" s="373"/>
      <c r="LYI53" s="373"/>
      <c r="LYJ53" s="373"/>
      <c r="LYK53" s="373"/>
      <c r="LYL53" s="373"/>
      <c r="LYM53" s="373"/>
      <c r="LYN53" s="373"/>
      <c r="LYO53" s="373"/>
      <c r="LYP53" s="373"/>
      <c r="LYQ53" s="373"/>
      <c r="LYR53" s="373"/>
      <c r="LYS53" s="373"/>
      <c r="LYT53" s="373"/>
      <c r="LYU53" s="373"/>
      <c r="LYV53" s="373"/>
      <c r="LYW53" s="373"/>
      <c r="LYX53" s="373"/>
      <c r="LYY53" s="373"/>
      <c r="LYZ53" s="373"/>
      <c r="LZA53" s="373"/>
      <c r="LZB53" s="373"/>
      <c r="LZC53" s="373"/>
      <c r="LZD53" s="373"/>
      <c r="LZE53" s="373"/>
      <c r="LZF53" s="373"/>
      <c r="LZG53" s="373"/>
      <c r="LZH53" s="373"/>
      <c r="LZI53" s="373"/>
      <c r="LZJ53" s="373"/>
      <c r="LZK53" s="373"/>
      <c r="LZL53" s="373"/>
      <c r="LZM53" s="373"/>
      <c r="LZN53" s="373"/>
      <c r="LZO53" s="373"/>
      <c r="LZP53" s="373"/>
      <c r="LZQ53" s="373"/>
      <c r="LZR53" s="373"/>
      <c r="LZS53" s="373"/>
      <c r="LZT53" s="373"/>
      <c r="LZU53" s="373"/>
      <c r="LZV53" s="373"/>
      <c r="LZW53" s="373"/>
      <c r="LZX53" s="373"/>
      <c r="LZY53" s="373"/>
      <c r="LZZ53" s="373"/>
      <c r="MAA53" s="373"/>
      <c r="MAB53" s="373"/>
      <c r="MAC53" s="373"/>
      <c r="MAD53" s="373"/>
      <c r="MAE53" s="373"/>
      <c r="MAF53" s="373"/>
      <c r="MAG53" s="373"/>
      <c r="MAH53" s="373"/>
      <c r="MAI53" s="373"/>
      <c r="MAJ53" s="373"/>
      <c r="MAK53" s="373"/>
      <c r="MAL53" s="373"/>
      <c r="MAM53" s="373"/>
      <c r="MAN53" s="373"/>
      <c r="MAO53" s="373"/>
      <c r="MAP53" s="373"/>
      <c r="MAQ53" s="373"/>
      <c r="MAR53" s="373"/>
      <c r="MAS53" s="373"/>
      <c r="MAT53" s="373"/>
      <c r="MAU53" s="373"/>
      <c r="MAV53" s="373"/>
      <c r="MAW53" s="373"/>
      <c r="MAX53" s="373"/>
      <c r="MAY53" s="373"/>
      <c r="MAZ53" s="373"/>
      <c r="MBA53" s="373"/>
      <c r="MBB53" s="373"/>
      <c r="MBC53" s="373"/>
      <c r="MBD53" s="373"/>
      <c r="MBE53" s="373"/>
      <c r="MBF53" s="373"/>
      <c r="MBG53" s="373"/>
      <c r="MBH53" s="373"/>
      <c r="MBI53" s="373"/>
      <c r="MBJ53" s="373"/>
      <c r="MBK53" s="373"/>
      <c r="MBL53" s="373"/>
      <c r="MBM53" s="373"/>
      <c r="MBN53" s="373"/>
      <c r="MBO53" s="373"/>
      <c r="MBP53" s="373"/>
      <c r="MBQ53" s="373"/>
      <c r="MBR53" s="373"/>
      <c r="MBS53" s="373"/>
      <c r="MBT53" s="373"/>
      <c r="MBU53" s="373"/>
      <c r="MBV53" s="373"/>
      <c r="MBW53" s="373"/>
      <c r="MBX53" s="373"/>
      <c r="MBY53" s="373"/>
      <c r="MBZ53" s="373"/>
      <c r="MCA53" s="373"/>
      <c r="MCB53" s="373"/>
      <c r="MCC53" s="373"/>
      <c r="MCD53" s="373"/>
      <c r="MCE53" s="373"/>
      <c r="MCF53" s="373"/>
      <c r="MCG53" s="373"/>
      <c r="MCH53" s="373"/>
      <c r="MCI53" s="373"/>
      <c r="MCJ53" s="373"/>
      <c r="MCK53" s="373"/>
      <c r="MCL53" s="373"/>
      <c r="MCM53" s="373"/>
      <c r="MCN53" s="373"/>
      <c r="MCO53" s="373"/>
      <c r="MCP53" s="373"/>
      <c r="MCQ53" s="373"/>
      <c r="MCR53" s="373"/>
      <c r="MCS53" s="373"/>
      <c r="MCT53" s="373"/>
      <c r="MCU53" s="373"/>
      <c r="MCV53" s="373"/>
      <c r="MCW53" s="373"/>
      <c r="MCX53" s="373"/>
      <c r="MCY53" s="373"/>
      <c r="MCZ53" s="373"/>
      <c r="MDA53" s="373"/>
      <c r="MDB53" s="373"/>
      <c r="MDC53" s="373"/>
      <c r="MDD53" s="373"/>
      <c r="MDE53" s="373"/>
      <c r="MDF53" s="373"/>
      <c r="MDG53" s="373"/>
      <c r="MDH53" s="373"/>
      <c r="MDI53" s="373"/>
      <c r="MDJ53" s="373"/>
      <c r="MDK53" s="373"/>
      <c r="MDL53" s="373"/>
      <c r="MDM53" s="373"/>
      <c r="MDN53" s="373"/>
      <c r="MDO53" s="373"/>
      <c r="MDP53" s="373"/>
      <c r="MDQ53" s="373"/>
      <c r="MDR53" s="373"/>
      <c r="MDS53" s="373"/>
      <c r="MDT53" s="373"/>
      <c r="MDU53" s="373"/>
      <c r="MDV53" s="373"/>
      <c r="MDW53" s="373"/>
      <c r="MDX53" s="373"/>
      <c r="MDY53" s="373"/>
      <c r="MDZ53" s="373"/>
      <c r="MEA53" s="373"/>
      <c r="MEB53" s="373"/>
      <c r="MEC53" s="373"/>
      <c r="MED53" s="373"/>
      <c r="MEE53" s="373"/>
      <c r="MEF53" s="373"/>
      <c r="MEG53" s="373"/>
      <c r="MEH53" s="373"/>
      <c r="MEI53" s="373"/>
      <c r="MEJ53" s="373"/>
      <c r="MEK53" s="373"/>
      <c r="MEL53" s="373"/>
      <c r="MEM53" s="373"/>
      <c r="MEN53" s="373"/>
      <c r="MEO53" s="373"/>
      <c r="MEP53" s="373"/>
      <c r="MEQ53" s="373"/>
      <c r="MER53" s="373"/>
      <c r="MES53" s="373"/>
      <c r="MET53" s="373"/>
      <c r="MEU53" s="373"/>
      <c r="MEV53" s="373"/>
      <c r="MEW53" s="373"/>
      <c r="MEX53" s="373"/>
      <c r="MEY53" s="373"/>
      <c r="MEZ53" s="373"/>
      <c r="MFA53" s="373"/>
      <c r="MFB53" s="373"/>
      <c r="MFC53" s="373"/>
      <c r="MFD53" s="373"/>
      <c r="MFE53" s="373"/>
      <c r="MFF53" s="373"/>
      <c r="MFG53" s="373"/>
      <c r="MFH53" s="373"/>
      <c r="MFI53" s="373"/>
      <c r="MFJ53" s="373"/>
      <c r="MFK53" s="373"/>
      <c r="MFL53" s="373"/>
      <c r="MFM53" s="373"/>
      <c r="MFN53" s="373"/>
      <c r="MFO53" s="373"/>
      <c r="MFP53" s="373"/>
      <c r="MFQ53" s="373"/>
      <c r="MFR53" s="373"/>
      <c r="MFS53" s="373"/>
      <c r="MFT53" s="373"/>
      <c r="MFU53" s="373"/>
      <c r="MFV53" s="373"/>
      <c r="MFW53" s="373"/>
      <c r="MFX53" s="373"/>
      <c r="MFY53" s="373"/>
      <c r="MFZ53" s="373"/>
      <c r="MGA53" s="373"/>
      <c r="MGB53" s="373"/>
      <c r="MGC53" s="373"/>
      <c r="MGD53" s="373"/>
      <c r="MGE53" s="373"/>
      <c r="MGF53" s="373"/>
      <c r="MGG53" s="373"/>
      <c r="MGH53" s="373"/>
      <c r="MGI53" s="373"/>
      <c r="MGJ53" s="373"/>
      <c r="MGK53" s="373"/>
      <c r="MGL53" s="373"/>
      <c r="MGM53" s="373"/>
      <c r="MGN53" s="373"/>
      <c r="MGO53" s="373"/>
      <c r="MGP53" s="373"/>
      <c r="MGQ53" s="373"/>
      <c r="MGR53" s="373"/>
      <c r="MGS53" s="373"/>
      <c r="MGT53" s="373"/>
      <c r="MGU53" s="373"/>
      <c r="MGV53" s="373"/>
      <c r="MGW53" s="373"/>
      <c r="MGX53" s="373"/>
      <c r="MGY53" s="373"/>
      <c r="MGZ53" s="373"/>
      <c r="MHA53" s="373"/>
      <c r="MHB53" s="373"/>
      <c r="MHC53" s="373"/>
      <c r="MHD53" s="373"/>
      <c r="MHE53" s="373"/>
      <c r="MHF53" s="373"/>
      <c r="MHG53" s="373"/>
      <c r="MHH53" s="373"/>
      <c r="MHI53" s="373"/>
      <c r="MHJ53" s="373"/>
      <c r="MHK53" s="373"/>
      <c r="MHL53" s="373"/>
      <c r="MHM53" s="373"/>
      <c r="MHN53" s="373"/>
      <c r="MHO53" s="373"/>
      <c r="MHP53" s="373"/>
      <c r="MHQ53" s="373"/>
      <c r="MHR53" s="373"/>
      <c r="MHS53" s="373"/>
      <c r="MHT53" s="373"/>
      <c r="MHU53" s="373"/>
      <c r="MHV53" s="373"/>
      <c r="MHW53" s="373"/>
      <c r="MHX53" s="373"/>
      <c r="MHY53" s="373"/>
      <c r="MHZ53" s="373"/>
      <c r="MIA53" s="373"/>
      <c r="MIB53" s="373"/>
      <c r="MIC53" s="373"/>
      <c r="MID53" s="373"/>
      <c r="MIE53" s="373"/>
      <c r="MIF53" s="373"/>
      <c r="MIG53" s="373"/>
      <c r="MIH53" s="373"/>
      <c r="MII53" s="373"/>
      <c r="MIJ53" s="373"/>
      <c r="MIK53" s="373"/>
      <c r="MIL53" s="373"/>
      <c r="MIM53" s="373"/>
      <c r="MIN53" s="373"/>
      <c r="MIO53" s="373"/>
      <c r="MIP53" s="373"/>
      <c r="MIQ53" s="373"/>
      <c r="MIR53" s="373"/>
      <c r="MIS53" s="373"/>
      <c r="MIT53" s="373"/>
      <c r="MIU53" s="373"/>
      <c r="MIV53" s="373"/>
      <c r="MIW53" s="373"/>
      <c r="MIX53" s="373"/>
      <c r="MIY53" s="373"/>
      <c r="MIZ53" s="373"/>
      <c r="MJA53" s="373"/>
      <c r="MJB53" s="373"/>
      <c r="MJC53" s="373"/>
      <c r="MJD53" s="373"/>
      <c r="MJE53" s="373"/>
      <c r="MJF53" s="373"/>
      <c r="MJG53" s="373"/>
      <c r="MJH53" s="373"/>
      <c r="MJI53" s="373"/>
      <c r="MJJ53" s="373"/>
      <c r="MJK53" s="373"/>
      <c r="MJL53" s="373"/>
      <c r="MJM53" s="373"/>
      <c r="MJN53" s="373"/>
      <c r="MJO53" s="373"/>
      <c r="MJP53" s="373"/>
      <c r="MJQ53" s="373"/>
      <c r="MJR53" s="373"/>
      <c r="MJS53" s="373"/>
      <c r="MJT53" s="373"/>
      <c r="MJU53" s="373"/>
      <c r="MJV53" s="373"/>
      <c r="MJW53" s="373"/>
      <c r="MJX53" s="373"/>
      <c r="MJY53" s="373"/>
      <c r="MJZ53" s="373"/>
      <c r="MKA53" s="373"/>
      <c r="MKB53" s="373"/>
      <c r="MKC53" s="373"/>
      <c r="MKD53" s="373"/>
      <c r="MKE53" s="373"/>
      <c r="MKF53" s="373"/>
      <c r="MKG53" s="373"/>
      <c r="MKH53" s="373"/>
      <c r="MKI53" s="373"/>
      <c r="MKJ53" s="373"/>
      <c r="MKK53" s="373"/>
      <c r="MKL53" s="373"/>
      <c r="MKM53" s="373"/>
      <c r="MKN53" s="373"/>
      <c r="MKO53" s="373"/>
      <c r="MKP53" s="373"/>
      <c r="MKQ53" s="373"/>
      <c r="MKR53" s="373"/>
      <c r="MKS53" s="373"/>
      <c r="MKT53" s="373"/>
      <c r="MKU53" s="373"/>
      <c r="MKV53" s="373"/>
      <c r="MKW53" s="373"/>
      <c r="MKX53" s="373"/>
      <c r="MKY53" s="373"/>
      <c r="MKZ53" s="373"/>
      <c r="MLA53" s="373"/>
      <c r="MLB53" s="373"/>
      <c r="MLC53" s="373"/>
      <c r="MLD53" s="373"/>
      <c r="MLE53" s="373"/>
      <c r="MLF53" s="373"/>
      <c r="MLG53" s="373"/>
      <c r="MLH53" s="373"/>
      <c r="MLI53" s="373"/>
      <c r="MLJ53" s="373"/>
      <c r="MLK53" s="373"/>
      <c r="MLL53" s="373"/>
      <c r="MLM53" s="373"/>
      <c r="MLN53" s="373"/>
      <c r="MLO53" s="373"/>
      <c r="MLP53" s="373"/>
      <c r="MLQ53" s="373"/>
      <c r="MLR53" s="373"/>
      <c r="MLS53" s="373"/>
      <c r="MLT53" s="373"/>
      <c r="MLU53" s="373"/>
      <c r="MLV53" s="373"/>
      <c r="MLW53" s="373"/>
      <c r="MLX53" s="373"/>
      <c r="MLY53" s="373"/>
      <c r="MLZ53" s="373"/>
      <c r="MMA53" s="373"/>
      <c r="MMB53" s="373"/>
      <c r="MMC53" s="373"/>
      <c r="MMD53" s="373"/>
      <c r="MME53" s="373"/>
      <c r="MMF53" s="373"/>
      <c r="MMG53" s="373"/>
      <c r="MMH53" s="373"/>
      <c r="MMI53" s="373"/>
      <c r="MMJ53" s="373"/>
      <c r="MMK53" s="373"/>
      <c r="MML53" s="373"/>
      <c r="MMM53" s="373"/>
      <c r="MMN53" s="373"/>
      <c r="MMO53" s="373"/>
      <c r="MMP53" s="373"/>
      <c r="MMQ53" s="373"/>
      <c r="MMR53" s="373"/>
      <c r="MMS53" s="373"/>
      <c r="MMT53" s="373"/>
      <c r="MMU53" s="373"/>
      <c r="MMV53" s="373"/>
      <c r="MMW53" s="373"/>
      <c r="MMX53" s="373"/>
      <c r="MMY53" s="373"/>
      <c r="MMZ53" s="373"/>
      <c r="MNA53" s="373"/>
      <c r="MNB53" s="373"/>
      <c r="MNC53" s="373"/>
      <c r="MND53" s="373"/>
      <c r="MNE53" s="373"/>
      <c r="MNF53" s="373"/>
      <c r="MNG53" s="373"/>
      <c r="MNH53" s="373"/>
      <c r="MNI53" s="373"/>
      <c r="MNJ53" s="373"/>
      <c r="MNK53" s="373"/>
      <c r="MNL53" s="373"/>
      <c r="MNM53" s="373"/>
      <c r="MNN53" s="373"/>
      <c r="MNO53" s="373"/>
      <c r="MNP53" s="373"/>
      <c r="MNQ53" s="373"/>
      <c r="MNR53" s="373"/>
      <c r="MNS53" s="373"/>
      <c r="MNT53" s="373"/>
      <c r="MNU53" s="373"/>
      <c r="MNV53" s="373"/>
      <c r="MNW53" s="373"/>
      <c r="MNX53" s="373"/>
      <c r="MNY53" s="373"/>
      <c r="MNZ53" s="373"/>
      <c r="MOA53" s="373"/>
      <c r="MOB53" s="373"/>
      <c r="MOC53" s="373"/>
      <c r="MOD53" s="373"/>
      <c r="MOE53" s="373"/>
      <c r="MOF53" s="373"/>
      <c r="MOG53" s="373"/>
      <c r="MOH53" s="373"/>
      <c r="MOI53" s="373"/>
      <c r="MOJ53" s="373"/>
      <c r="MOK53" s="373"/>
      <c r="MOL53" s="373"/>
      <c r="MOM53" s="373"/>
      <c r="MON53" s="373"/>
      <c r="MOO53" s="373"/>
      <c r="MOP53" s="373"/>
      <c r="MOQ53" s="373"/>
      <c r="MOR53" s="373"/>
      <c r="MOS53" s="373"/>
      <c r="MOT53" s="373"/>
      <c r="MOU53" s="373"/>
      <c r="MOV53" s="373"/>
      <c r="MOW53" s="373"/>
      <c r="MOX53" s="373"/>
      <c r="MOY53" s="373"/>
      <c r="MOZ53" s="373"/>
      <c r="MPA53" s="373"/>
      <c r="MPB53" s="373"/>
      <c r="MPC53" s="373"/>
      <c r="MPD53" s="373"/>
      <c r="MPE53" s="373"/>
      <c r="MPF53" s="373"/>
      <c r="MPG53" s="373"/>
      <c r="MPH53" s="373"/>
      <c r="MPI53" s="373"/>
      <c r="MPJ53" s="373"/>
      <c r="MPK53" s="373"/>
      <c r="MPL53" s="373"/>
      <c r="MPM53" s="373"/>
      <c r="MPN53" s="373"/>
      <c r="MPO53" s="373"/>
      <c r="MPP53" s="373"/>
      <c r="MPQ53" s="373"/>
      <c r="MPR53" s="373"/>
      <c r="MPS53" s="373"/>
      <c r="MPT53" s="373"/>
      <c r="MPU53" s="373"/>
      <c r="MPV53" s="373"/>
      <c r="MPW53" s="373"/>
      <c r="MPX53" s="373"/>
      <c r="MPY53" s="373"/>
      <c r="MPZ53" s="373"/>
      <c r="MQA53" s="373"/>
      <c r="MQB53" s="373"/>
      <c r="MQC53" s="373"/>
      <c r="MQD53" s="373"/>
      <c r="MQE53" s="373"/>
      <c r="MQF53" s="373"/>
      <c r="MQG53" s="373"/>
      <c r="MQH53" s="373"/>
      <c r="MQI53" s="373"/>
      <c r="MQJ53" s="373"/>
      <c r="MQK53" s="373"/>
      <c r="MQL53" s="373"/>
      <c r="MQM53" s="373"/>
      <c r="MQN53" s="373"/>
      <c r="MQO53" s="373"/>
      <c r="MQP53" s="373"/>
      <c r="MQQ53" s="373"/>
      <c r="MQR53" s="373"/>
      <c r="MQS53" s="373"/>
      <c r="MQT53" s="373"/>
      <c r="MQU53" s="373"/>
      <c r="MQV53" s="373"/>
      <c r="MQW53" s="373"/>
      <c r="MQX53" s="373"/>
      <c r="MQY53" s="373"/>
      <c r="MQZ53" s="373"/>
      <c r="MRA53" s="373"/>
      <c r="MRB53" s="373"/>
      <c r="MRC53" s="373"/>
      <c r="MRD53" s="373"/>
      <c r="MRE53" s="373"/>
      <c r="MRF53" s="373"/>
      <c r="MRG53" s="373"/>
      <c r="MRH53" s="373"/>
      <c r="MRI53" s="373"/>
      <c r="MRJ53" s="373"/>
      <c r="MRK53" s="373"/>
      <c r="MRL53" s="373"/>
      <c r="MRM53" s="373"/>
      <c r="MRN53" s="373"/>
      <c r="MRO53" s="373"/>
      <c r="MRP53" s="373"/>
      <c r="MRQ53" s="373"/>
      <c r="MRR53" s="373"/>
      <c r="MRS53" s="373"/>
      <c r="MRT53" s="373"/>
      <c r="MRU53" s="373"/>
      <c r="MRV53" s="373"/>
      <c r="MRW53" s="373"/>
      <c r="MRX53" s="373"/>
      <c r="MRY53" s="373"/>
      <c r="MRZ53" s="373"/>
      <c r="MSA53" s="373"/>
      <c r="MSB53" s="373"/>
      <c r="MSC53" s="373"/>
      <c r="MSD53" s="373"/>
      <c r="MSE53" s="373"/>
      <c r="MSF53" s="373"/>
      <c r="MSG53" s="373"/>
      <c r="MSH53" s="373"/>
      <c r="MSI53" s="373"/>
      <c r="MSJ53" s="373"/>
      <c r="MSK53" s="373"/>
      <c r="MSL53" s="373"/>
      <c r="MSM53" s="373"/>
      <c r="MSN53" s="373"/>
      <c r="MSO53" s="373"/>
      <c r="MSP53" s="373"/>
      <c r="MSQ53" s="373"/>
      <c r="MSR53" s="373"/>
      <c r="MSS53" s="373"/>
      <c r="MST53" s="373"/>
      <c r="MSU53" s="373"/>
      <c r="MSV53" s="373"/>
      <c r="MSW53" s="373"/>
      <c r="MSX53" s="373"/>
      <c r="MSY53" s="373"/>
      <c r="MSZ53" s="373"/>
      <c r="MTA53" s="373"/>
      <c r="MTB53" s="373"/>
      <c r="MTC53" s="373"/>
      <c r="MTD53" s="373"/>
      <c r="MTE53" s="373"/>
      <c r="MTF53" s="373"/>
      <c r="MTG53" s="373"/>
      <c r="MTH53" s="373"/>
      <c r="MTI53" s="373"/>
      <c r="MTJ53" s="373"/>
      <c r="MTK53" s="373"/>
      <c r="MTL53" s="373"/>
      <c r="MTM53" s="373"/>
      <c r="MTN53" s="373"/>
      <c r="MTO53" s="373"/>
      <c r="MTP53" s="373"/>
      <c r="MTQ53" s="373"/>
      <c r="MTR53" s="373"/>
      <c r="MTS53" s="373"/>
      <c r="MTT53" s="373"/>
      <c r="MTU53" s="373"/>
      <c r="MTV53" s="373"/>
      <c r="MTW53" s="373"/>
      <c r="MTX53" s="373"/>
      <c r="MTY53" s="373"/>
      <c r="MTZ53" s="373"/>
      <c r="MUA53" s="373"/>
      <c r="MUB53" s="373"/>
      <c r="MUC53" s="373"/>
      <c r="MUD53" s="373"/>
      <c r="MUE53" s="373"/>
      <c r="MUF53" s="373"/>
      <c r="MUG53" s="373"/>
      <c r="MUH53" s="373"/>
      <c r="MUI53" s="373"/>
      <c r="MUJ53" s="373"/>
      <c r="MUK53" s="373"/>
      <c r="MUL53" s="373"/>
      <c r="MUM53" s="373"/>
      <c r="MUN53" s="373"/>
      <c r="MUO53" s="373"/>
      <c r="MUP53" s="373"/>
      <c r="MUQ53" s="373"/>
      <c r="MUR53" s="373"/>
      <c r="MUS53" s="373"/>
      <c r="MUT53" s="373"/>
      <c r="MUU53" s="373"/>
      <c r="MUV53" s="373"/>
      <c r="MUW53" s="373"/>
      <c r="MUX53" s="373"/>
      <c r="MUY53" s="373"/>
      <c r="MUZ53" s="373"/>
      <c r="MVA53" s="373"/>
      <c r="MVB53" s="373"/>
      <c r="MVC53" s="373"/>
      <c r="MVD53" s="373"/>
      <c r="MVE53" s="373"/>
      <c r="MVF53" s="373"/>
      <c r="MVG53" s="373"/>
      <c r="MVH53" s="373"/>
      <c r="MVI53" s="373"/>
      <c r="MVJ53" s="373"/>
      <c r="MVK53" s="373"/>
      <c r="MVL53" s="373"/>
      <c r="MVM53" s="373"/>
      <c r="MVN53" s="373"/>
      <c r="MVO53" s="373"/>
      <c r="MVP53" s="373"/>
      <c r="MVQ53" s="373"/>
      <c r="MVR53" s="373"/>
      <c r="MVS53" s="373"/>
      <c r="MVT53" s="373"/>
      <c r="MVU53" s="373"/>
      <c r="MVV53" s="373"/>
      <c r="MVW53" s="373"/>
      <c r="MVX53" s="373"/>
      <c r="MVY53" s="373"/>
      <c r="MVZ53" s="373"/>
      <c r="MWA53" s="373"/>
      <c r="MWB53" s="373"/>
      <c r="MWC53" s="373"/>
      <c r="MWD53" s="373"/>
      <c r="MWE53" s="373"/>
      <c r="MWF53" s="373"/>
      <c r="MWG53" s="373"/>
      <c r="MWH53" s="373"/>
      <c r="MWI53" s="373"/>
      <c r="MWJ53" s="373"/>
      <c r="MWK53" s="373"/>
      <c r="MWL53" s="373"/>
      <c r="MWM53" s="373"/>
      <c r="MWN53" s="373"/>
      <c r="MWO53" s="373"/>
      <c r="MWP53" s="373"/>
      <c r="MWQ53" s="373"/>
      <c r="MWR53" s="373"/>
      <c r="MWS53" s="373"/>
      <c r="MWT53" s="373"/>
      <c r="MWU53" s="373"/>
      <c r="MWV53" s="373"/>
      <c r="MWW53" s="373"/>
      <c r="MWX53" s="373"/>
      <c r="MWY53" s="373"/>
      <c r="MWZ53" s="373"/>
      <c r="MXA53" s="373"/>
      <c r="MXB53" s="373"/>
      <c r="MXC53" s="373"/>
      <c r="MXD53" s="373"/>
      <c r="MXE53" s="373"/>
      <c r="MXF53" s="373"/>
      <c r="MXG53" s="373"/>
      <c r="MXH53" s="373"/>
      <c r="MXI53" s="373"/>
      <c r="MXJ53" s="373"/>
      <c r="MXK53" s="373"/>
      <c r="MXL53" s="373"/>
      <c r="MXM53" s="373"/>
      <c r="MXN53" s="373"/>
      <c r="MXO53" s="373"/>
      <c r="MXP53" s="373"/>
      <c r="MXQ53" s="373"/>
      <c r="MXR53" s="373"/>
      <c r="MXS53" s="373"/>
      <c r="MXT53" s="373"/>
      <c r="MXU53" s="373"/>
      <c r="MXV53" s="373"/>
      <c r="MXW53" s="373"/>
      <c r="MXX53" s="373"/>
      <c r="MXY53" s="373"/>
      <c r="MXZ53" s="373"/>
      <c r="MYA53" s="373"/>
      <c r="MYB53" s="373"/>
      <c r="MYC53" s="373"/>
      <c r="MYD53" s="373"/>
      <c r="MYE53" s="373"/>
      <c r="MYF53" s="373"/>
      <c r="MYG53" s="373"/>
      <c r="MYH53" s="373"/>
      <c r="MYI53" s="373"/>
      <c r="MYJ53" s="373"/>
      <c r="MYK53" s="373"/>
      <c r="MYL53" s="373"/>
      <c r="MYM53" s="373"/>
      <c r="MYN53" s="373"/>
      <c r="MYO53" s="373"/>
      <c r="MYP53" s="373"/>
      <c r="MYQ53" s="373"/>
      <c r="MYR53" s="373"/>
      <c r="MYS53" s="373"/>
      <c r="MYT53" s="373"/>
      <c r="MYU53" s="373"/>
      <c r="MYV53" s="373"/>
      <c r="MYW53" s="373"/>
      <c r="MYX53" s="373"/>
      <c r="MYY53" s="373"/>
      <c r="MYZ53" s="373"/>
      <c r="MZA53" s="373"/>
      <c r="MZB53" s="373"/>
      <c r="MZC53" s="373"/>
      <c r="MZD53" s="373"/>
      <c r="MZE53" s="373"/>
      <c r="MZF53" s="373"/>
      <c r="MZG53" s="373"/>
      <c r="MZH53" s="373"/>
      <c r="MZI53" s="373"/>
      <c r="MZJ53" s="373"/>
      <c r="MZK53" s="373"/>
      <c r="MZL53" s="373"/>
      <c r="MZM53" s="373"/>
      <c r="MZN53" s="373"/>
      <c r="MZO53" s="373"/>
      <c r="MZP53" s="373"/>
      <c r="MZQ53" s="373"/>
      <c r="MZR53" s="373"/>
      <c r="MZS53" s="373"/>
      <c r="MZT53" s="373"/>
      <c r="MZU53" s="373"/>
      <c r="MZV53" s="373"/>
      <c r="MZW53" s="373"/>
      <c r="MZX53" s="373"/>
      <c r="MZY53" s="373"/>
      <c r="MZZ53" s="373"/>
      <c r="NAA53" s="373"/>
      <c r="NAB53" s="373"/>
      <c r="NAC53" s="373"/>
      <c r="NAD53" s="373"/>
      <c r="NAE53" s="373"/>
      <c r="NAF53" s="373"/>
      <c r="NAG53" s="373"/>
      <c r="NAH53" s="373"/>
      <c r="NAI53" s="373"/>
      <c r="NAJ53" s="373"/>
      <c r="NAK53" s="373"/>
      <c r="NAL53" s="373"/>
      <c r="NAM53" s="373"/>
      <c r="NAN53" s="373"/>
      <c r="NAO53" s="373"/>
      <c r="NAP53" s="373"/>
      <c r="NAQ53" s="373"/>
      <c r="NAR53" s="373"/>
      <c r="NAS53" s="373"/>
      <c r="NAT53" s="373"/>
      <c r="NAU53" s="373"/>
      <c r="NAV53" s="373"/>
      <c r="NAW53" s="373"/>
      <c r="NAX53" s="373"/>
      <c r="NAY53" s="373"/>
      <c r="NAZ53" s="373"/>
      <c r="NBA53" s="373"/>
      <c r="NBB53" s="373"/>
      <c r="NBC53" s="373"/>
      <c r="NBD53" s="373"/>
      <c r="NBE53" s="373"/>
      <c r="NBF53" s="373"/>
      <c r="NBG53" s="373"/>
      <c r="NBH53" s="373"/>
      <c r="NBI53" s="373"/>
      <c r="NBJ53" s="373"/>
      <c r="NBK53" s="373"/>
      <c r="NBL53" s="373"/>
      <c r="NBM53" s="373"/>
      <c r="NBN53" s="373"/>
      <c r="NBO53" s="373"/>
      <c r="NBP53" s="373"/>
      <c r="NBQ53" s="373"/>
      <c r="NBR53" s="373"/>
      <c r="NBS53" s="373"/>
      <c r="NBT53" s="373"/>
      <c r="NBU53" s="373"/>
      <c r="NBV53" s="373"/>
      <c r="NBW53" s="373"/>
      <c r="NBX53" s="373"/>
      <c r="NBY53" s="373"/>
      <c r="NBZ53" s="373"/>
      <c r="NCA53" s="373"/>
      <c r="NCB53" s="373"/>
      <c r="NCC53" s="373"/>
      <c r="NCD53" s="373"/>
      <c r="NCE53" s="373"/>
      <c r="NCF53" s="373"/>
      <c r="NCG53" s="373"/>
      <c r="NCH53" s="373"/>
      <c r="NCI53" s="373"/>
      <c r="NCJ53" s="373"/>
      <c r="NCK53" s="373"/>
      <c r="NCL53" s="373"/>
      <c r="NCM53" s="373"/>
      <c r="NCN53" s="373"/>
      <c r="NCO53" s="373"/>
      <c r="NCP53" s="373"/>
      <c r="NCQ53" s="373"/>
      <c r="NCR53" s="373"/>
      <c r="NCS53" s="373"/>
      <c r="NCT53" s="373"/>
      <c r="NCU53" s="373"/>
      <c r="NCV53" s="373"/>
      <c r="NCW53" s="373"/>
      <c r="NCX53" s="373"/>
      <c r="NCY53" s="373"/>
      <c r="NCZ53" s="373"/>
      <c r="NDA53" s="373"/>
      <c r="NDB53" s="373"/>
      <c r="NDC53" s="373"/>
      <c r="NDD53" s="373"/>
      <c r="NDE53" s="373"/>
      <c r="NDF53" s="373"/>
      <c r="NDG53" s="373"/>
      <c r="NDH53" s="373"/>
      <c r="NDI53" s="373"/>
      <c r="NDJ53" s="373"/>
      <c r="NDK53" s="373"/>
      <c r="NDL53" s="373"/>
      <c r="NDM53" s="373"/>
      <c r="NDN53" s="373"/>
      <c r="NDO53" s="373"/>
      <c r="NDP53" s="373"/>
      <c r="NDQ53" s="373"/>
      <c r="NDR53" s="373"/>
      <c r="NDS53" s="373"/>
      <c r="NDT53" s="373"/>
      <c r="NDU53" s="373"/>
      <c r="NDV53" s="373"/>
      <c r="NDW53" s="373"/>
      <c r="NDX53" s="373"/>
      <c r="NDY53" s="373"/>
      <c r="NDZ53" s="373"/>
      <c r="NEA53" s="373"/>
      <c r="NEB53" s="373"/>
      <c r="NEC53" s="373"/>
      <c r="NED53" s="373"/>
      <c r="NEE53" s="373"/>
      <c r="NEF53" s="373"/>
      <c r="NEG53" s="373"/>
      <c r="NEH53" s="373"/>
      <c r="NEI53" s="373"/>
      <c r="NEJ53" s="373"/>
      <c r="NEK53" s="373"/>
      <c r="NEL53" s="373"/>
      <c r="NEM53" s="373"/>
      <c r="NEN53" s="373"/>
      <c r="NEO53" s="373"/>
      <c r="NEP53" s="373"/>
      <c r="NEQ53" s="373"/>
      <c r="NER53" s="373"/>
      <c r="NES53" s="373"/>
      <c r="NET53" s="373"/>
      <c r="NEU53" s="373"/>
      <c r="NEV53" s="373"/>
      <c r="NEW53" s="373"/>
      <c r="NEX53" s="373"/>
      <c r="NEY53" s="373"/>
      <c r="NEZ53" s="373"/>
      <c r="NFA53" s="373"/>
      <c r="NFB53" s="373"/>
      <c r="NFC53" s="373"/>
      <c r="NFD53" s="373"/>
      <c r="NFE53" s="373"/>
      <c r="NFF53" s="373"/>
      <c r="NFG53" s="373"/>
      <c r="NFH53" s="373"/>
      <c r="NFI53" s="373"/>
      <c r="NFJ53" s="373"/>
      <c r="NFK53" s="373"/>
      <c r="NFL53" s="373"/>
      <c r="NFM53" s="373"/>
      <c r="NFN53" s="373"/>
      <c r="NFO53" s="373"/>
      <c r="NFP53" s="373"/>
      <c r="NFQ53" s="373"/>
      <c r="NFR53" s="373"/>
      <c r="NFS53" s="373"/>
      <c r="NFT53" s="373"/>
      <c r="NFU53" s="373"/>
      <c r="NFV53" s="373"/>
      <c r="NFW53" s="373"/>
      <c r="NFX53" s="373"/>
      <c r="NFY53" s="373"/>
      <c r="NFZ53" s="373"/>
      <c r="NGA53" s="373"/>
      <c r="NGB53" s="373"/>
      <c r="NGC53" s="373"/>
      <c r="NGD53" s="373"/>
      <c r="NGE53" s="373"/>
      <c r="NGF53" s="373"/>
      <c r="NGG53" s="373"/>
      <c r="NGH53" s="373"/>
      <c r="NGI53" s="373"/>
      <c r="NGJ53" s="373"/>
      <c r="NGK53" s="373"/>
      <c r="NGL53" s="373"/>
      <c r="NGM53" s="373"/>
      <c r="NGN53" s="373"/>
      <c r="NGO53" s="373"/>
      <c r="NGP53" s="373"/>
      <c r="NGQ53" s="373"/>
      <c r="NGR53" s="373"/>
      <c r="NGS53" s="373"/>
      <c r="NGT53" s="373"/>
      <c r="NGU53" s="373"/>
      <c r="NGV53" s="373"/>
      <c r="NGW53" s="373"/>
      <c r="NGX53" s="373"/>
      <c r="NGY53" s="373"/>
      <c r="NGZ53" s="373"/>
      <c r="NHA53" s="373"/>
      <c r="NHB53" s="373"/>
      <c r="NHC53" s="373"/>
      <c r="NHD53" s="373"/>
      <c r="NHE53" s="373"/>
      <c r="NHF53" s="373"/>
      <c r="NHG53" s="373"/>
      <c r="NHH53" s="373"/>
      <c r="NHI53" s="373"/>
      <c r="NHJ53" s="373"/>
      <c r="NHK53" s="373"/>
      <c r="NHL53" s="373"/>
      <c r="NHM53" s="373"/>
      <c r="NHN53" s="373"/>
      <c r="NHO53" s="373"/>
      <c r="NHP53" s="373"/>
      <c r="NHQ53" s="373"/>
      <c r="NHR53" s="373"/>
      <c r="NHS53" s="373"/>
      <c r="NHT53" s="373"/>
      <c r="NHU53" s="373"/>
      <c r="NHV53" s="373"/>
      <c r="NHW53" s="373"/>
      <c r="NHX53" s="373"/>
      <c r="NHY53" s="373"/>
      <c r="NHZ53" s="373"/>
      <c r="NIA53" s="373"/>
      <c r="NIB53" s="373"/>
      <c r="NIC53" s="373"/>
      <c r="NID53" s="373"/>
      <c r="NIE53" s="373"/>
      <c r="NIF53" s="373"/>
      <c r="NIG53" s="373"/>
      <c r="NIH53" s="373"/>
      <c r="NII53" s="373"/>
      <c r="NIJ53" s="373"/>
      <c r="NIK53" s="373"/>
      <c r="NIL53" s="373"/>
      <c r="NIM53" s="373"/>
      <c r="NIN53" s="373"/>
      <c r="NIO53" s="373"/>
      <c r="NIP53" s="373"/>
      <c r="NIQ53" s="373"/>
      <c r="NIR53" s="373"/>
      <c r="NIS53" s="373"/>
      <c r="NIT53" s="373"/>
      <c r="NIU53" s="373"/>
      <c r="NIV53" s="373"/>
      <c r="NIW53" s="373"/>
      <c r="NIX53" s="373"/>
      <c r="NIY53" s="373"/>
      <c r="NIZ53" s="373"/>
      <c r="NJA53" s="373"/>
      <c r="NJB53" s="373"/>
      <c r="NJC53" s="373"/>
      <c r="NJD53" s="373"/>
      <c r="NJE53" s="373"/>
      <c r="NJF53" s="373"/>
      <c r="NJG53" s="373"/>
      <c r="NJH53" s="373"/>
      <c r="NJI53" s="373"/>
      <c r="NJJ53" s="373"/>
      <c r="NJK53" s="373"/>
      <c r="NJL53" s="373"/>
      <c r="NJM53" s="373"/>
      <c r="NJN53" s="373"/>
      <c r="NJO53" s="373"/>
      <c r="NJP53" s="373"/>
      <c r="NJQ53" s="373"/>
      <c r="NJR53" s="373"/>
      <c r="NJS53" s="373"/>
      <c r="NJT53" s="373"/>
      <c r="NJU53" s="373"/>
      <c r="NJV53" s="373"/>
      <c r="NJW53" s="373"/>
      <c r="NJX53" s="373"/>
      <c r="NJY53" s="373"/>
      <c r="NJZ53" s="373"/>
      <c r="NKA53" s="373"/>
      <c r="NKB53" s="373"/>
      <c r="NKC53" s="373"/>
      <c r="NKD53" s="373"/>
      <c r="NKE53" s="373"/>
      <c r="NKF53" s="373"/>
      <c r="NKG53" s="373"/>
      <c r="NKH53" s="373"/>
      <c r="NKI53" s="373"/>
      <c r="NKJ53" s="373"/>
      <c r="NKK53" s="373"/>
      <c r="NKL53" s="373"/>
      <c r="NKM53" s="373"/>
      <c r="NKN53" s="373"/>
      <c r="NKO53" s="373"/>
      <c r="NKP53" s="373"/>
      <c r="NKQ53" s="373"/>
      <c r="NKR53" s="373"/>
      <c r="NKS53" s="373"/>
      <c r="NKT53" s="373"/>
      <c r="NKU53" s="373"/>
      <c r="NKV53" s="373"/>
      <c r="NKW53" s="373"/>
      <c r="NKX53" s="373"/>
      <c r="NKY53" s="373"/>
      <c r="NKZ53" s="373"/>
      <c r="NLA53" s="373"/>
      <c r="NLB53" s="373"/>
      <c r="NLC53" s="373"/>
      <c r="NLD53" s="373"/>
      <c r="NLE53" s="373"/>
      <c r="NLF53" s="373"/>
      <c r="NLG53" s="373"/>
      <c r="NLH53" s="373"/>
      <c r="NLI53" s="373"/>
      <c r="NLJ53" s="373"/>
      <c r="NLK53" s="373"/>
      <c r="NLL53" s="373"/>
      <c r="NLM53" s="373"/>
      <c r="NLN53" s="373"/>
      <c r="NLO53" s="373"/>
      <c r="NLP53" s="373"/>
      <c r="NLQ53" s="373"/>
      <c r="NLR53" s="373"/>
      <c r="NLS53" s="373"/>
      <c r="NLT53" s="373"/>
      <c r="NLU53" s="373"/>
      <c r="NLV53" s="373"/>
      <c r="NLW53" s="373"/>
      <c r="NLX53" s="373"/>
      <c r="NLY53" s="373"/>
      <c r="NLZ53" s="373"/>
      <c r="NMA53" s="373"/>
      <c r="NMB53" s="373"/>
      <c r="NMC53" s="373"/>
      <c r="NMD53" s="373"/>
      <c r="NME53" s="373"/>
      <c r="NMF53" s="373"/>
      <c r="NMG53" s="373"/>
      <c r="NMH53" s="373"/>
      <c r="NMI53" s="373"/>
      <c r="NMJ53" s="373"/>
      <c r="NMK53" s="373"/>
      <c r="NML53" s="373"/>
      <c r="NMM53" s="373"/>
      <c r="NMN53" s="373"/>
      <c r="NMO53" s="373"/>
      <c r="NMP53" s="373"/>
      <c r="NMQ53" s="373"/>
      <c r="NMR53" s="373"/>
      <c r="NMS53" s="373"/>
      <c r="NMT53" s="373"/>
      <c r="NMU53" s="373"/>
      <c r="NMV53" s="373"/>
      <c r="NMW53" s="373"/>
      <c r="NMX53" s="373"/>
      <c r="NMY53" s="373"/>
      <c r="NMZ53" s="373"/>
      <c r="NNA53" s="373"/>
      <c r="NNB53" s="373"/>
      <c r="NNC53" s="373"/>
      <c r="NND53" s="373"/>
      <c r="NNE53" s="373"/>
      <c r="NNF53" s="373"/>
      <c r="NNG53" s="373"/>
      <c r="NNH53" s="373"/>
      <c r="NNI53" s="373"/>
      <c r="NNJ53" s="373"/>
      <c r="NNK53" s="373"/>
      <c r="NNL53" s="373"/>
      <c r="NNM53" s="373"/>
      <c r="NNN53" s="373"/>
      <c r="NNO53" s="373"/>
      <c r="NNP53" s="373"/>
      <c r="NNQ53" s="373"/>
      <c r="NNR53" s="373"/>
      <c r="NNS53" s="373"/>
      <c r="NNT53" s="373"/>
      <c r="NNU53" s="373"/>
      <c r="NNV53" s="373"/>
      <c r="NNW53" s="373"/>
      <c r="NNX53" s="373"/>
      <c r="NNY53" s="373"/>
      <c r="NNZ53" s="373"/>
      <c r="NOA53" s="373"/>
      <c r="NOB53" s="373"/>
      <c r="NOC53" s="373"/>
      <c r="NOD53" s="373"/>
      <c r="NOE53" s="373"/>
      <c r="NOF53" s="373"/>
      <c r="NOG53" s="373"/>
      <c r="NOH53" s="373"/>
      <c r="NOI53" s="373"/>
      <c r="NOJ53" s="373"/>
      <c r="NOK53" s="373"/>
      <c r="NOL53" s="373"/>
      <c r="NOM53" s="373"/>
      <c r="NON53" s="373"/>
      <c r="NOO53" s="373"/>
      <c r="NOP53" s="373"/>
      <c r="NOQ53" s="373"/>
      <c r="NOR53" s="373"/>
      <c r="NOS53" s="373"/>
      <c r="NOT53" s="373"/>
      <c r="NOU53" s="373"/>
      <c r="NOV53" s="373"/>
      <c r="NOW53" s="373"/>
      <c r="NOX53" s="373"/>
      <c r="NOY53" s="373"/>
      <c r="NOZ53" s="373"/>
      <c r="NPA53" s="373"/>
      <c r="NPB53" s="373"/>
      <c r="NPC53" s="373"/>
      <c r="NPD53" s="373"/>
      <c r="NPE53" s="373"/>
      <c r="NPF53" s="373"/>
      <c r="NPG53" s="373"/>
      <c r="NPH53" s="373"/>
      <c r="NPI53" s="373"/>
      <c r="NPJ53" s="373"/>
      <c r="NPK53" s="373"/>
      <c r="NPL53" s="373"/>
      <c r="NPM53" s="373"/>
      <c r="NPN53" s="373"/>
      <c r="NPO53" s="373"/>
      <c r="NPP53" s="373"/>
      <c r="NPQ53" s="373"/>
      <c r="NPR53" s="373"/>
      <c r="NPS53" s="373"/>
      <c r="NPT53" s="373"/>
      <c r="NPU53" s="373"/>
      <c r="NPV53" s="373"/>
      <c r="NPW53" s="373"/>
      <c r="NPX53" s="373"/>
      <c r="NPY53" s="373"/>
      <c r="NPZ53" s="373"/>
      <c r="NQA53" s="373"/>
      <c r="NQB53" s="373"/>
      <c r="NQC53" s="373"/>
      <c r="NQD53" s="373"/>
      <c r="NQE53" s="373"/>
      <c r="NQF53" s="373"/>
      <c r="NQG53" s="373"/>
      <c r="NQH53" s="373"/>
      <c r="NQI53" s="373"/>
      <c r="NQJ53" s="373"/>
      <c r="NQK53" s="373"/>
      <c r="NQL53" s="373"/>
      <c r="NQM53" s="373"/>
      <c r="NQN53" s="373"/>
      <c r="NQO53" s="373"/>
      <c r="NQP53" s="373"/>
      <c r="NQQ53" s="373"/>
      <c r="NQR53" s="373"/>
      <c r="NQS53" s="373"/>
      <c r="NQT53" s="373"/>
      <c r="NQU53" s="373"/>
      <c r="NQV53" s="373"/>
      <c r="NQW53" s="373"/>
      <c r="NQX53" s="373"/>
      <c r="NQY53" s="373"/>
      <c r="NQZ53" s="373"/>
      <c r="NRA53" s="373"/>
      <c r="NRB53" s="373"/>
      <c r="NRC53" s="373"/>
      <c r="NRD53" s="373"/>
      <c r="NRE53" s="373"/>
      <c r="NRF53" s="373"/>
      <c r="NRG53" s="373"/>
      <c r="NRH53" s="373"/>
      <c r="NRI53" s="373"/>
      <c r="NRJ53" s="373"/>
      <c r="NRK53" s="373"/>
      <c r="NRL53" s="373"/>
      <c r="NRM53" s="373"/>
      <c r="NRN53" s="373"/>
      <c r="NRO53" s="373"/>
      <c r="NRP53" s="373"/>
      <c r="NRQ53" s="373"/>
      <c r="NRR53" s="373"/>
      <c r="NRS53" s="373"/>
      <c r="NRT53" s="373"/>
      <c r="NRU53" s="373"/>
      <c r="NRV53" s="373"/>
      <c r="NRW53" s="373"/>
      <c r="NRX53" s="373"/>
      <c r="NRY53" s="373"/>
      <c r="NRZ53" s="373"/>
      <c r="NSA53" s="373"/>
      <c r="NSB53" s="373"/>
      <c r="NSC53" s="373"/>
      <c r="NSD53" s="373"/>
      <c r="NSE53" s="373"/>
      <c r="NSF53" s="373"/>
      <c r="NSG53" s="373"/>
      <c r="NSH53" s="373"/>
      <c r="NSI53" s="373"/>
      <c r="NSJ53" s="373"/>
      <c r="NSK53" s="373"/>
      <c r="NSL53" s="373"/>
      <c r="NSM53" s="373"/>
      <c r="NSN53" s="373"/>
      <c r="NSO53" s="373"/>
      <c r="NSP53" s="373"/>
      <c r="NSQ53" s="373"/>
      <c r="NSR53" s="373"/>
      <c r="NSS53" s="373"/>
      <c r="NST53" s="373"/>
      <c r="NSU53" s="373"/>
      <c r="NSV53" s="373"/>
      <c r="NSW53" s="373"/>
      <c r="NSX53" s="373"/>
      <c r="NSY53" s="373"/>
      <c r="NSZ53" s="373"/>
      <c r="NTA53" s="373"/>
      <c r="NTB53" s="373"/>
      <c r="NTC53" s="373"/>
      <c r="NTD53" s="373"/>
      <c r="NTE53" s="373"/>
      <c r="NTF53" s="373"/>
      <c r="NTG53" s="373"/>
      <c r="NTH53" s="373"/>
      <c r="NTI53" s="373"/>
      <c r="NTJ53" s="373"/>
      <c r="NTK53" s="373"/>
      <c r="NTL53" s="373"/>
      <c r="NTM53" s="373"/>
      <c r="NTN53" s="373"/>
      <c r="NTO53" s="373"/>
      <c r="NTP53" s="373"/>
      <c r="NTQ53" s="373"/>
      <c r="NTR53" s="373"/>
      <c r="NTS53" s="373"/>
      <c r="NTT53" s="373"/>
      <c r="NTU53" s="373"/>
      <c r="NTV53" s="373"/>
      <c r="NTW53" s="373"/>
      <c r="NTX53" s="373"/>
      <c r="NTY53" s="373"/>
      <c r="NTZ53" s="373"/>
      <c r="NUA53" s="373"/>
      <c r="NUB53" s="373"/>
      <c r="NUC53" s="373"/>
      <c r="NUD53" s="373"/>
      <c r="NUE53" s="373"/>
      <c r="NUF53" s="373"/>
      <c r="NUG53" s="373"/>
      <c r="NUH53" s="373"/>
      <c r="NUI53" s="373"/>
      <c r="NUJ53" s="373"/>
      <c r="NUK53" s="373"/>
      <c r="NUL53" s="373"/>
      <c r="NUM53" s="373"/>
      <c r="NUN53" s="373"/>
      <c r="NUO53" s="373"/>
      <c r="NUP53" s="373"/>
      <c r="NUQ53" s="373"/>
      <c r="NUR53" s="373"/>
      <c r="NUS53" s="373"/>
      <c r="NUT53" s="373"/>
      <c r="NUU53" s="373"/>
      <c r="NUV53" s="373"/>
      <c r="NUW53" s="373"/>
      <c r="NUX53" s="373"/>
      <c r="NUY53" s="373"/>
      <c r="NUZ53" s="373"/>
      <c r="NVA53" s="373"/>
      <c r="NVB53" s="373"/>
      <c r="NVC53" s="373"/>
      <c r="NVD53" s="373"/>
      <c r="NVE53" s="373"/>
      <c r="NVF53" s="373"/>
      <c r="NVG53" s="373"/>
      <c r="NVH53" s="373"/>
      <c r="NVI53" s="373"/>
      <c r="NVJ53" s="373"/>
      <c r="NVK53" s="373"/>
      <c r="NVL53" s="373"/>
      <c r="NVM53" s="373"/>
      <c r="NVN53" s="373"/>
      <c r="NVO53" s="373"/>
      <c r="NVP53" s="373"/>
      <c r="NVQ53" s="373"/>
      <c r="NVR53" s="373"/>
      <c r="NVS53" s="373"/>
      <c r="NVT53" s="373"/>
      <c r="NVU53" s="373"/>
      <c r="NVV53" s="373"/>
      <c r="NVW53" s="373"/>
      <c r="NVX53" s="373"/>
      <c r="NVY53" s="373"/>
      <c r="NVZ53" s="373"/>
      <c r="NWA53" s="373"/>
      <c r="NWB53" s="373"/>
      <c r="NWC53" s="373"/>
      <c r="NWD53" s="373"/>
      <c r="NWE53" s="373"/>
      <c r="NWF53" s="373"/>
      <c r="NWG53" s="373"/>
      <c r="NWH53" s="373"/>
      <c r="NWI53" s="373"/>
      <c r="NWJ53" s="373"/>
      <c r="NWK53" s="373"/>
      <c r="NWL53" s="373"/>
      <c r="NWM53" s="373"/>
      <c r="NWN53" s="373"/>
      <c r="NWO53" s="373"/>
      <c r="NWP53" s="373"/>
      <c r="NWQ53" s="373"/>
      <c r="NWR53" s="373"/>
      <c r="NWS53" s="373"/>
      <c r="NWT53" s="373"/>
      <c r="NWU53" s="373"/>
      <c r="NWV53" s="373"/>
      <c r="NWW53" s="373"/>
      <c r="NWX53" s="373"/>
      <c r="NWY53" s="373"/>
      <c r="NWZ53" s="373"/>
      <c r="NXA53" s="373"/>
      <c r="NXB53" s="373"/>
      <c r="NXC53" s="373"/>
      <c r="NXD53" s="373"/>
      <c r="NXE53" s="373"/>
      <c r="NXF53" s="373"/>
      <c r="NXG53" s="373"/>
      <c r="NXH53" s="373"/>
      <c r="NXI53" s="373"/>
      <c r="NXJ53" s="373"/>
      <c r="NXK53" s="373"/>
      <c r="NXL53" s="373"/>
      <c r="NXM53" s="373"/>
      <c r="NXN53" s="373"/>
      <c r="NXO53" s="373"/>
      <c r="NXP53" s="373"/>
      <c r="NXQ53" s="373"/>
      <c r="NXR53" s="373"/>
      <c r="NXS53" s="373"/>
      <c r="NXT53" s="373"/>
      <c r="NXU53" s="373"/>
      <c r="NXV53" s="373"/>
      <c r="NXW53" s="373"/>
      <c r="NXX53" s="373"/>
      <c r="NXY53" s="373"/>
      <c r="NXZ53" s="373"/>
      <c r="NYA53" s="373"/>
      <c r="NYB53" s="373"/>
      <c r="NYC53" s="373"/>
      <c r="NYD53" s="373"/>
      <c r="NYE53" s="373"/>
      <c r="NYF53" s="373"/>
      <c r="NYG53" s="373"/>
      <c r="NYH53" s="373"/>
      <c r="NYI53" s="373"/>
      <c r="NYJ53" s="373"/>
      <c r="NYK53" s="373"/>
      <c r="NYL53" s="373"/>
      <c r="NYM53" s="373"/>
      <c r="NYN53" s="373"/>
      <c r="NYO53" s="373"/>
      <c r="NYP53" s="373"/>
      <c r="NYQ53" s="373"/>
      <c r="NYR53" s="373"/>
      <c r="NYS53" s="373"/>
      <c r="NYT53" s="373"/>
      <c r="NYU53" s="373"/>
      <c r="NYV53" s="373"/>
      <c r="NYW53" s="373"/>
      <c r="NYX53" s="373"/>
      <c r="NYY53" s="373"/>
      <c r="NYZ53" s="373"/>
      <c r="NZA53" s="373"/>
      <c r="NZB53" s="373"/>
      <c r="NZC53" s="373"/>
      <c r="NZD53" s="373"/>
      <c r="NZE53" s="373"/>
      <c r="NZF53" s="373"/>
      <c r="NZG53" s="373"/>
      <c r="NZH53" s="373"/>
      <c r="NZI53" s="373"/>
      <c r="NZJ53" s="373"/>
      <c r="NZK53" s="373"/>
      <c r="NZL53" s="373"/>
      <c r="NZM53" s="373"/>
      <c r="NZN53" s="373"/>
      <c r="NZO53" s="373"/>
      <c r="NZP53" s="373"/>
      <c r="NZQ53" s="373"/>
      <c r="NZR53" s="373"/>
      <c r="NZS53" s="373"/>
      <c r="NZT53" s="373"/>
      <c r="NZU53" s="373"/>
      <c r="NZV53" s="373"/>
      <c r="NZW53" s="373"/>
      <c r="NZX53" s="373"/>
      <c r="NZY53" s="373"/>
      <c r="NZZ53" s="373"/>
      <c r="OAA53" s="373"/>
      <c r="OAB53" s="373"/>
      <c r="OAC53" s="373"/>
      <c r="OAD53" s="373"/>
      <c r="OAE53" s="373"/>
      <c r="OAF53" s="373"/>
      <c r="OAG53" s="373"/>
      <c r="OAH53" s="373"/>
      <c r="OAI53" s="373"/>
      <c r="OAJ53" s="373"/>
      <c r="OAK53" s="373"/>
      <c r="OAL53" s="373"/>
      <c r="OAM53" s="373"/>
      <c r="OAN53" s="373"/>
      <c r="OAO53" s="373"/>
      <c r="OAP53" s="373"/>
      <c r="OAQ53" s="373"/>
      <c r="OAR53" s="373"/>
      <c r="OAS53" s="373"/>
      <c r="OAT53" s="373"/>
      <c r="OAU53" s="373"/>
      <c r="OAV53" s="373"/>
      <c r="OAW53" s="373"/>
      <c r="OAX53" s="373"/>
      <c r="OAY53" s="373"/>
      <c r="OAZ53" s="373"/>
      <c r="OBA53" s="373"/>
      <c r="OBB53" s="373"/>
      <c r="OBC53" s="373"/>
      <c r="OBD53" s="373"/>
      <c r="OBE53" s="373"/>
      <c r="OBF53" s="373"/>
      <c r="OBG53" s="373"/>
      <c r="OBH53" s="373"/>
      <c r="OBI53" s="373"/>
      <c r="OBJ53" s="373"/>
      <c r="OBK53" s="373"/>
      <c r="OBL53" s="373"/>
      <c r="OBM53" s="373"/>
      <c r="OBN53" s="373"/>
      <c r="OBO53" s="373"/>
      <c r="OBP53" s="373"/>
      <c r="OBQ53" s="373"/>
      <c r="OBR53" s="373"/>
      <c r="OBS53" s="373"/>
      <c r="OBT53" s="373"/>
      <c r="OBU53" s="373"/>
      <c r="OBV53" s="373"/>
      <c r="OBW53" s="373"/>
      <c r="OBX53" s="373"/>
      <c r="OBY53" s="373"/>
      <c r="OBZ53" s="373"/>
      <c r="OCA53" s="373"/>
      <c r="OCB53" s="373"/>
      <c r="OCC53" s="373"/>
      <c r="OCD53" s="373"/>
      <c r="OCE53" s="373"/>
      <c r="OCF53" s="373"/>
      <c r="OCG53" s="373"/>
      <c r="OCH53" s="373"/>
      <c r="OCI53" s="373"/>
      <c r="OCJ53" s="373"/>
      <c r="OCK53" s="373"/>
      <c r="OCL53" s="373"/>
      <c r="OCM53" s="373"/>
      <c r="OCN53" s="373"/>
      <c r="OCO53" s="373"/>
      <c r="OCP53" s="373"/>
      <c r="OCQ53" s="373"/>
      <c r="OCR53" s="373"/>
      <c r="OCS53" s="373"/>
      <c r="OCT53" s="373"/>
      <c r="OCU53" s="373"/>
      <c r="OCV53" s="373"/>
      <c r="OCW53" s="373"/>
      <c r="OCX53" s="373"/>
      <c r="OCY53" s="373"/>
      <c r="OCZ53" s="373"/>
      <c r="ODA53" s="373"/>
      <c r="ODB53" s="373"/>
      <c r="ODC53" s="373"/>
      <c r="ODD53" s="373"/>
      <c r="ODE53" s="373"/>
      <c r="ODF53" s="373"/>
      <c r="ODG53" s="373"/>
      <c r="ODH53" s="373"/>
      <c r="ODI53" s="373"/>
      <c r="ODJ53" s="373"/>
      <c r="ODK53" s="373"/>
      <c r="ODL53" s="373"/>
      <c r="ODM53" s="373"/>
      <c r="ODN53" s="373"/>
      <c r="ODO53" s="373"/>
      <c r="ODP53" s="373"/>
      <c r="ODQ53" s="373"/>
      <c r="ODR53" s="373"/>
      <c r="ODS53" s="373"/>
      <c r="ODT53" s="373"/>
      <c r="ODU53" s="373"/>
      <c r="ODV53" s="373"/>
      <c r="ODW53" s="373"/>
      <c r="ODX53" s="373"/>
      <c r="ODY53" s="373"/>
      <c r="ODZ53" s="373"/>
      <c r="OEA53" s="373"/>
      <c r="OEB53" s="373"/>
      <c r="OEC53" s="373"/>
      <c r="OED53" s="373"/>
      <c r="OEE53" s="373"/>
      <c r="OEF53" s="373"/>
      <c r="OEG53" s="373"/>
      <c r="OEH53" s="373"/>
      <c r="OEI53" s="373"/>
      <c r="OEJ53" s="373"/>
      <c r="OEK53" s="373"/>
      <c r="OEL53" s="373"/>
      <c r="OEM53" s="373"/>
      <c r="OEN53" s="373"/>
      <c r="OEO53" s="373"/>
      <c r="OEP53" s="373"/>
      <c r="OEQ53" s="373"/>
      <c r="OER53" s="373"/>
      <c r="OES53" s="373"/>
      <c r="OET53" s="373"/>
      <c r="OEU53" s="373"/>
      <c r="OEV53" s="373"/>
      <c r="OEW53" s="373"/>
      <c r="OEX53" s="373"/>
      <c r="OEY53" s="373"/>
      <c r="OEZ53" s="373"/>
      <c r="OFA53" s="373"/>
      <c r="OFB53" s="373"/>
      <c r="OFC53" s="373"/>
      <c r="OFD53" s="373"/>
      <c r="OFE53" s="373"/>
      <c r="OFF53" s="373"/>
      <c r="OFG53" s="373"/>
      <c r="OFH53" s="373"/>
      <c r="OFI53" s="373"/>
      <c r="OFJ53" s="373"/>
      <c r="OFK53" s="373"/>
      <c r="OFL53" s="373"/>
      <c r="OFM53" s="373"/>
      <c r="OFN53" s="373"/>
      <c r="OFO53" s="373"/>
      <c r="OFP53" s="373"/>
      <c r="OFQ53" s="373"/>
      <c r="OFR53" s="373"/>
      <c r="OFS53" s="373"/>
      <c r="OFT53" s="373"/>
      <c r="OFU53" s="373"/>
      <c r="OFV53" s="373"/>
      <c r="OFW53" s="373"/>
      <c r="OFX53" s="373"/>
      <c r="OFY53" s="373"/>
      <c r="OFZ53" s="373"/>
      <c r="OGA53" s="373"/>
      <c r="OGB53" s="373"/>
      <c r="OGC53" s="373"/>
      <c r="OGD53" s="373"/>
      <c r="OGE53" s="373"/>
      <c r="OGF53" s="373"/>
      <c r="OGG53" s="373"/>
      <c r="OGH53" s="373"/>
      <c r="OGI53" s="373"/>
      <c r="OGJ53" s="373"/>
      <c r="OGK53" s="373"/>
      <c r="OGL53" s="373"/>
      <c r="OGM53" s="373"/>
      <c r="OGN53" s="373"/>
      <c r="OGO53" s="373"/>
      <c r="OGP53" s="373"/>
      <c r="OGQ53" s="373"/>
      <c r="OGR53" s="373"/>
      <c r="OGS53" s="373"/>
      <c r="OGT53" s="373"/>
      <c r="OGU53" s="373"/>
      <c r="OGV53" s="373"/>
      <c r="OGW53" s="373"/>
      <c r="OGX53" s="373"/>
      <c r="OGY53" s="373"/>
      <c r="OGZ53" s="373"/>
      <c r="OHA53" s="373"/>
      <c r="OHB53" s="373"/>
      <c r="OHC53" s="373"/>
      <c r="OHD53" s="373"/>
      <c r="OHE53" s="373"/>
      <c r="OHF53" s="373"/>
      <c r="OHG53" s="373"/>
      <c r="OHH53" s="373"/>
      <c r="OHI53" s="373"/>
      <c r="OHJ53" s="373"/>
      <c r="OHK53" s="373"/>
      <c r="OHL53" s="373"/>
      <c r="OHM53" s="373"/>
      <c r="OHN53" s="373"/>
      <c r="OHO53" s="373"/>
      <c r="OHP53" s="373"/>
      <c r="OHQ53" s="373"/>
      <c r="OHR53" s="373"/>
      <c r="OHS53" s="373"/>
      <c r="OHT53" s="373"/>
      <c r="OHU53" s="373"/>
      <c r="OHV53" s="373"/>
      <c r="OHW53" s="373"/>
      <c r="OHX53" s="373"/>
      <c r="OHY53" s="373"/>
      <c r="OHZ53" s="373"/>
      <c r="OIA53" s="373"/>
      <c r="OIB53" s="373"/>
      <c r="OIC53" s="373"/>
      <c r="OID53" s="373"/>
      <c r="OIE53" s="373"/>
      <c r="OIF53" s="373"/>
      <c r="OIG53" s="373"/>
      <c r="OIH53" s="373"/>
      <c r="OII53" s="373"/>
      <c r="OIJ53" s="373"/>
      <c r="OIK53" s="373"/>
      <c r="OIL53" s="373"/>
      <c r="OIM53" s="373"/>
      <c r="OIN53" s="373"/>
      <c r="OIO53" s="373"/>
      <c r="OIP53" s="373"/>
      <c r="OIQ53" s="373"/>
      <c r="OIR53" s="373"/>
      <c r="OIS53" s="373"/>
      <c r="OIT53" s="373"/>
      <c r="OIU53" s="373"/>
      <c r="OIV53" s="373"/>
      <c r="OIW53" s="373"/>
      <c r="OIX53" s="373"/>
      <c r="OIY53" s="373"/>
      <c r="OIZ53" s="373"/>
      <c r="OJA53" s="373"/>
      <c r="OJB53" s="373"/>
      <c r="OJC53" s="373"/>
      <c r="OJD53" s="373"/>
      <c r="OJE53" s="373"/>
      <c r="OJF53" s="373"/>
      <c r="OJG53" s="373"/>
      <c r="OJH53" s="373"/>
      <c r="OJI53" s="373"/>
      <c r="OJJ53" s="373"/>
      <c r="OJK53" s="373"/>
      <c r="OJL53" s="373"/>
      <c r="OJM53" s="373"/>
      <c r="OJN53" s="373"/>
      <c r="OJO53" s="373"/>
      <c r="OJP53" s="373"/>
      <c r="OJQ53" s="373"/>
      <c r="OJR53" s="373"/>
      <c r="OJS53" s="373"/>
      <c r="OJT53" s="373"/>
      <c r="OJU53" s="373"/>
      <c r="OJV53" s="373"/>
      <c r="OJW53" s="373"/>
      <c r="OJX53" s="373"/>
      <c r="OJY53" s="373"/>
      <c r="OJZ53" s="373"/>
      <c r="OKA53" s="373"/>
      <c r="OKB53" s="373"/>
      <c r="OKC53" s="373"/>
      <c r="OKD53" s="373"/>
      <c r="OKE53" s="373"/>
      <c r="OKF53" s="373"/>
      <c r="OKG53" s="373"/>
      <c r="OKH53" s="373"/>
      <c r="OKI53" s="373"/>
      <c r="OKJ53" s="373"/>
      <c r="OKK53" s="373"/>
      <c r="OKL53" s="373"/>
      <c r="OKM53" s="373"/>
      <c r="OKN53" s="373"/>
      <c r="OKO53" s="373"/>
      <c r="OKP53" s="373"/>
      <c r="OKQ53" s="373"/>
      <c r="OKR53" s="373"/>
      <c r="OKS53" s="373"/>
      <c r="OKT53" s="373"/>
      <c r="OKU53" s="373"/>
      <c r="OKV53" s="373"/>
      <c r="OKW53" s="373"/>
      <c r="OKX53" s="373"/>
      <c r="OKY53" s="373"/>
      <c r="OKZ53" s="373"/>
      <c r="OLA53" s="373"/>
      <c r="OLB53" s="373"/>
      <c r="OLC53" s="373"/>
      <c r="OLD53" s="373"/>
      <c r="OLE53" s="373"/>
      <c r="OLF53" s="373"/>
      <c r="OLG53" s="373"/>
      <c r="OLH53" s="373"/>
      <c r="OLI53" s="373"/>
      <c r="OLJ53" s="373"/>
      <c r="OLK53" s="373"/>
      <c r="OLL53" s="373"/>
      <c r="OLM53" s="373"/>
      <c r="OLN53" s="373"/>
      <c r="OLO53" s="373"/>
      <c r="OLP53" s="373"/>
      <c r="OLQ53" s="373"/>
      <c r="OLR53" s="373"/>
      <c r="OLS53" s="373"/>
      <c r="OLT53" s="373"/>
      <c r="OLU53" s="373"/>
      <c r="OLV53" s="373"/>
      <c r="OLW53" s="373"/>
      <c r="OLX53" s="373"/>
      <c r="OLY53" s="373"/>
      <c r="OLZ53" s="373"/>
      <c r="OMA53" s="373"/>
      <c r="OMB53" s="373"/>
      <c r="OMC53" s="373"/>
      <c r="OMD53" s="373"/>
      <c r="OME53" s="373"/>
      <c r="OMF53" s="373"/>
      <c r="OMG53" s="373"/>
      <c r="OMH53" s="373"/>
      <c r="OMI53" s="373"/>
      <c r="OMJ53" s="373"/>
      <c r="OMK53" s="373"/>
      <c r="OML53" s="373"/>
      <c r="OMM53" s="373"/>
      <c r="OMN53" s="373"/>
      <c r="OMO53" s="373"/>
      <c r="OMP53" s="373"/>
      <c r="OMQ53" s="373"/>
      <c r="OMR53" s="373"/>
      <c r="OMS53" s="373"/>
      <c r="OMT53" s="373"/>
      <c r="OMU53" s="373"/>
      <c r="OMV53" s="373"/>
      <c r="OMW53" s="373"/>
      <c r="OMX53" s="373"/>
      <c r="OMY53" s="373"/>
      <c r="OMZ53" s="373"/>
      <c r="ONA53" s="373"/>
      <c r="ONB53" s="373"/>
      <c r="ONC53" s="373"/>
      <c r="OND53" s="373"/>
      <c r="ONE53" s="373"/>
      <c r="ONF53" s="373"/>
      <c r="ONG53" s="373"/>
      <c r="ONH53" s="373"/>
      <c r="ONI53" s="373"/>
      <c r="ONJ53" s="373"/>
      <c r="ONK53" s="373"/>
      <c r="ONL53" s="373"/>
      <c r="ONM53" s="373"/>
      <c r="ONN53" s="373"/>
      <c r="ONO53" s="373"/>
      <c r="ONP53" s="373"/>
      <c r="ONQ53" s="373"/>
      <c r="ONR53" s="373"/>
      <c r="ONS53" s="373"/>
      <c r="ONT53" s="373"/>
      <c r="ONU53" s="373"/>
      <c r="ONV53" s="373"/>
      <c r="ONW53" s="373"/>
      <c r="ONX53" s="373"/>
      <c r="ONY53" s="373"/>
      <c r="ONZ53" s="373"/>
      <c r="OOA53" s="373"/>
      <c r="OOB53" s="373"/>
      <c r="OOC53" s="373"/>
      <c r="OOD53" s="373"/>
      <c r="OOE53" s="373"/>
      <c r="OOF53" s="373"/>
      <c r="OOG53" s="373"/>
      <c r="OOH53" s="373"/>
      <c r="OOI53" s="373"/>
      <c r="OOJ53" s="373"/>
      <c r="OOK53" s="373"/>
      <c r="OOL53" s="373"/>
      <c r="OOM53" s="373"/>
      <c r="OON53" s="373"/>
      <c r="OOO53" s="373"/>
      <c r="OOP53" s="373"/>
      <c r="OOQ53" s="373"/>
      <c r="OOR53" s="373"/>
      <c r="OOS53" s="373"/>
      <c r="OOT53" s="373"/>
      <c r="OOU53" s="373"/>
      <c r="OOV53" s="373"/>
      <c r="OOW53" s="373"/>
      <c r="OOX53" s="373"/>
      <c r="OOY53" s="373"/>
      <c r="OOZ53" s="373"/>
      <c r="OPA53" s="373"/>
      <c r="OPB53" s="373"/>
      <c r="OPC53" s="373"/>
      <c r="OPD53" s="373"/>
      <c r="OPE53" s="373"/>
      <c r="OPF53" s="373"/>
      <c r="OPG53" s="373"/>
      <c r="OPH53" s="373"/>
      <c r="OPI53" s="373"/>
      <c r="OPJ53" s="373"/>
      <c r="OPK53" s="373"/>
      <c r="OPL53" s="373"/>
      <c r="OPM53" s="373"/>
      <c r="OPN53" s="373"/>
      <c r="OPO53" s="373"/>
      <c r="OPP53" s="373"/>
      <c r="OPQ53" s="373"/>
      <c r="OPR53" s="373"/>
      <c r="OPS53" s="373"/>
      <c r="OPT53" s="373"/>
      <c r="OPU53" s="373"/>
      <c r="OPV53" s="373"/>
      <c r="OPW53" s="373"/>
      <c r="OPX53" s="373"/>
      <c r="OPY53" s="373"/>
      <c r="OPZ53" s="373"/>
      <c r="OQA53" s="373"/>
      <c r="OQB53" s="373"/>
      <c r="OQC53" s="373"/>
      <c r="OQD53" s="373"/>
      <c r="OQE53" s="373"/>
      <c r="OQF53" s="373"/>
      <c r="OQG53" s="373"/>
      <c r="OQH53" s="373"/>
      <c r="OQI53" s="373"/>
      <c r="OQJ53" s="373"/>
      <c r="OQK53" s="373"/>
      <c r="OQL53" s="373"/>
      <c r="OQM53" s="373"/>
      <c r="OQN53" s="373"/>
      <c r="OQO53" s="373"/>
      <c r="OQP53" s="373"/>
      <c r="OQQ53" s="373"/>
      <c r="OQR53" s="373"/>
      <c r="OQS53" s="373"/>
      <c r="OQT53" s="373"/>
      <c r="OQU53" s="373"/>
      <c r="OQV53" s="373"/>
      <c r="OQW53" s="373"/>
      <c r="OQX53" s="373"/>
      <c r="OQY53" s="373"/>
      <c r="OQZ53" s="373"/>
      <c r="ORA53" s="373"/>
      <c r="ORB53" s="373"/>
      <c r="ORC53" s="373"/>
      <c r="ORD53" s="373"/>
      <c r="ORE53" s="373"/>
      <c r="ORF53" s="373"/>
      <c r="ORG53" s="373"/>
      <c r="ORH53" s="373"/>
      <c r="ORI53" s="373"/>
      <c r="ORJ53" s="373"/>
      <c r="ORK53" s="373"/>
      <c r="ORL53" s="373"/>
      <c r="ORM53" s="373"/>
      <c r="ORN53" s="373"/>
      <c r="ORO53" s="373"/>
      <c r="ORP53" s="373"/>
      <c r="ORQ53" s="373"/>
      <c r="ORR53" s="373"/>
      <c r="ORS53" s="373"/>
      <c r="ORT53" s="373"/>
      <c r="ORU53" s="373"/>
      <c r="ORV53" s="373"/>
      <c r="ORW53" s="373"/>
      <c r="ORX53" s="373"/>
      <c r="ORY53" s="373"/>
      <c r="ORZ53" s="373"/>
      <c r="OSA53" s="373"/>
      <c r="OSB53" s="373"/>
      <c r="OSC53" s="373"/>
      <c r="OSD53" s="373"/>
      <c r="OSE53" s="373"/>
      <c r="OSF53" s="373"/>
      <c r="OSG53" s="373"/>
      <c r="OSH53" s="373"/>
      <c r="OSI53" s="373"/>
      <c r="OSJ53" s="373"/>
      <c r="OSK53" s="373"/>
      <c r="OSL53" s="373"/>
      <c r="OSM53" s="373"/>
      <c r="OSN53" s="373"/>
      <c r="OSO53" s="373"/>
      <c r="OSP53" s="373"/>
      <c r="OSQ53" s="373"/>
      <c r="OSR53" s="373"/>
      <c r="OSS53" s="373"/>
      <c r="OST53" s="373"/>
      <c r="OSU53" s="373"/>
      <c r="OSV53" s="373"/>
      <c r="OSW53" s="373"/>
      <c r="OSX53" s="373"/>
      <c r="OSY53" s="373"/>
      <c r="OSZ53" s="373"/>
      <c r="OTA53" s="373"/>
      <c r="OTB53" s="373"/>
      <c r="OTC53" s="373"/>
      <c r="OTD53" s="373"/>
      <c r="OTE53" s="373"/>
      <c r="OTF53" s="373"/>
      <c r="OTG53" s="373"/>
      <c r="OTH53" s="373"/>
      <c r="OTI53" s="373"/>
      <c r="OTJ53" s="373"/>
      <c r="OTK53" s="373"/>
      <c r="OTL53" s="373"/>
      <c r="OTM53" s="373"/>
      <c r="OTN53" s="373"/>
      <c r="OTO53" s="373"/>
      <c r="OTP53" s="373"/>
      <c r="OTQ53" s="373"/>
      <c r="OTR53" s="373"/>
      <c r="OTS53" s="373"/>
      <c r="OTT53" s="373"/>
      <c r="OTU53" s="373"/>
      <c r="OTV53" s="373"/>
      <c r="OTW53" s="373"/>
      <c r="OTX53" s="373"/>
      <c r="OTY53" s="373"/>
      <c r="OTZ53" s="373"/>
      <c r="OUA53" s="373"/>
      <c r="OUB53" s="373"/>
      <c r="OUC53" s="373"/>
      <c r="OUD53" s="373"/>
      <c r="OUE53" s="373"/>
      <c r="OUF53" s="373"/>
      <c r="OUG53" s="373"/>
      <c r="OUH53" s="373"/>
      <c r="OUI53" s="373"/>
      <c r="OUJ53" s="373"/>
      <c r="OUK53" s="373"/>
      <c r="OUL53" s="373"/>
      <c r="OUM53" s="373"/>
      <c r="OUN53" s="373"/>
      <c r="OUO53" s="373"/>
      <c r="OUP53" s="373"/>
      <c r="OUQ53" s="373"/>
      <c r="OUR53" s="373"/>
      <c r="OUS53" s="373"/>
      <c r="OUT53" s="373"/>
      <c r="OUU53" s="373"/>
      <c r="OUV53" s="373"/>
      <c r="OUW53" s="373"/>
      <c r="OUX53" s="373"/>
      <c r="OUY53" s="373"/>
      <c r="OUZ53" s="373"/>
      <c r="OVA53" s="373"/>
      <c r="OVB53" s="373"/>
      <c r="OVC53" s="373"/>
      <c r="OVD53" s="373"/>
      <c r="OVE53" s="373"/>
      <c r="OVF53" s="373"/>
      <c r="OVG53" s="373"/>
      <c r="OVH53" s="373"/>
      <c r="OVI53" s="373"/>
      <c r="OVJ53" s="373"/>
      <c r="OVK53" s="373"/>
      <c r="OVL53" s="373"/>
      <c r="OVM53" s="373"/>
      <c r="OVN53" s="373"/>
      <c r="OVO53" s="373"/>
      <c r="OVP53" s="373"/>
      <c r="OVQ53" s="373"/>
      <c r="OVR53" s="373"/>
      <c r="OVS53" s="373"/>
      <c r="OVT53" s="373"/>
      <c r="OVU53" s="373"/>
      <c r="OVV53" s="373"/>
      <c r="OVW53" s="373"/>
      <c r="OVX53" s="373"/>
      <c r="OVY53" s="373"/>
      <c r="OVZ53" s="373"/>
      <c r="OWA53" s="373"/>
      <c r="OWB53" s="373"/>
      <c r="OWC53" s="373"/>
      <c r="OWD53" s="373"/>
      <c r="OWE53" s="373"/>
      <c r="OWF53" s="373"/>
      <c r="OWG53" s="373"/>
      <c r="OWH53" s="373"/>
      <c r="OWI53" s="373"/>
      <c r="OWJ53" s="373"/>
      <c r="OWK53" s="373"/>
      <c r="OWL53" s="373"/>
      <c r="OWM53" s="373"/>
      <c r="OWN53" s="373"/>
      <c r="OWO53" s="373"/>
      <c r="OWP53" s="373"/>
      <c r="OWQ53" s="373"/>
      <c r="OWR53" s="373"/>
      <c r="OWS53" s="373"/>
      <c r="OWT53" s="373"/>
      <c r="OWU53" s="373"/>
      <c r="OWV53" s="373"/>
      <c r="OWW53" s="373"/>
      <c r="OWX53" s="373"/>
      <c r="OWY53" s="373"/>
      <c r="OWZ53" s="373"/>
      <c r="OXA53" s="373"/>
      <c r="OXB53" s="373"/>
      <c r="OXC53" s="373"/>
      <c r="OXD53" s="373"/>
      <c r="OXE53" s="373"/>
      <c r="OXF53" s="373"/>
      <c r="OXG53" s="373"/>
      <c r="OXH53" s="373"/>
      <c r="OXI53" s="373"/>
      <c r="OXJ53" s="373"/>
      <c r="OXK53" s="373"/>
      <c r="OXL53" s="373"/>
      <c r="OXM53" s="373"/>
      <c r="OXN53" s="373"/>
      <c r="OXO53" s="373"/>
      <c r="OXP53" s="373"/>
      <c r="OXQ53" s="373"/>
      <c r="OXR53" s="373"/>
      <c r="OXS53" s="373"/>
      <c r="OXT53" s="373"/>
      <c r="OXU53" s="373"/>
      <c r="OXV53" s="373"/>
      <c r="OXW53" s="373"/>
      <c r="OXX53" s="373"/>
      <c r="OXY53" s="373"/>
      <c r="OXZ53" s="373"/>
      <c r="OYA53" s="373"/>
      <c r="OYB53" s="373"/>
      <c r="OYC53" s="373"/>
      <c r="OYD53" s="373"/>
      <c r="OYE53" s="373"/>
      <c r="OYF53" s="373"/>
      <c r="OYG53" s="373"/>
      <c r="OYH53" s="373"/>
      <c r="OYI53" s="373"/>
      <c r="OYJ53" s="373"/>
      <c r="OYK53" s="373"/>
      <c r="OYL53" s="373"/>
      <c r="OYM53" s="373"/>
      <c r="OYN53" s="373"/>
      <c r="OYO53" s="373"/>
      <c r="OYP53" s="373"/>
      <c r="OYQ53" s="373"/>
      <c r="OYR53" s="373"/>
      <c r="OYS53" s="373"/>
      <c r="OYT53" s="373"/>
      <c r="OYU53" s="373"/>
      <c r="OYV53" s="373"/>
      <c r="OYW53" s="373"/>
      <c r="OYX53" s="373"/>
      <c r="OYY53" s="373"/>
      <c r="OYZ53" s="373"/>
      <c r="OZA53" s="373"/>
      <c r="OZB53" s="373"/>
      <c r="OZC53" s="373"/>
      <c r="OZD53" s="373"/>
      <c r="OZE53" s="373"/>
      <c r="OZF53" s="373"/>
      <c r="OZG53" s="373"/>
      <c r="OZH53" s="373"/>
      <c r="OZI53" s="373"/>
      <c r="OZJ53" s="373"/>
      <c r="OZK53" s="373"/>
      <c r="OZL53" s="373"/>
      <c r="OZM53" s="373"/>
      <c r="OZN53" s="373"/>
      <c r="OZO53" s="373"/>
      <c r="OZP53" s="373"/>
      <c r="OZQ53" s="373"/>
      <c r="OZR53" s="373"/>
      <c r="OZS53" s="373"/>
      <c r="OZT53" s="373"/>
      <c r="OZU53" s="373"/>
      <c r="OZV53" s="373"/>
      <c r="OZW53" s="373"/>
      <c r="OZX53" s="373"/>
      <c r="OZY53" s="373"/>
      <c r="OZZ53" s="373"/>
      <c r="PAA53" s="373"/>
      <c r="PAB53" s="373"/>
      <c r="PAC53" s="373"/>
      <c r="PAD53" s="373"/>
      <c r="PAE53" s="373"/>
      <c r="PAF53" s="373"/>
      <c r="PAG53" s="373"/>
      <c r="PAH53" s="373"/>
      <c r="PAI53" s="373"/>
      <c r="PAJ53" s="373"/>
      <c r="PAK53" s="373"/>
      <c r="PAL53" s="373"/>
      <c r="PAM53" s="373"/>
      <c r="PAN53" s="373"/>
      <c r="PAO53" s="373"/>
      <c r="PAP53" s="373"/>
      <c r="PAQ53" s="373"/>
      <c r="PAR53" s="373"/>
      <c r="PAS53" s="373"/>
      <c r="PAT53" s="373"/>
      <c r="PAU53" s="373"/>
      <c r="PAV53" s="373"/>
      <c r="PAW53" s="373"/>
      <c r="PAX53" s="373"/>
      <c r="PAY53" s="373"/>
      <c r="PAZ53" s="373"/>
      <c r="PBA53" s="373"/>
      <c r="PBB53" s="373"/>
      <c r="PBC53" s="373"/>
      <c r="PBD53" s="373"/>
      <c r="PBE53" s="373"/>
      <c r="PBF53" s="373"/>
      <c r="PBG53" s="373"/>
      <c r="PBH53" s="373"/>
      <c r="PBI53" s="373"/>
      <c r="PBJ53" s="373"/>
      <c r="PBK53" s="373"/>
      <c r="PBL53" s="373"/>
      <c r="PBM53" s="373"/>
      <c r="PBN53" s="373"/>
      <c r="PBO53" s="373"/>
      <c r="PBP53" s="373"/>
      <c r="PBQ53" s="373"/>
      <c r="PBR53" s="373"/>
      <c r="PBS53" s="373"/>
      <c r="PBT53" s="373"/>
      <c r="PBU53" s="373"/>
      <c r="PBV53" s="373"/>
      <c r="PBW53" s="373"/>
      <c r="PBX53" s="373"/>
      <c r="PBY53" s="373"/>
      <c r="PBZ53" s="373"/>
      <c r="PCA53" s="373"/>
      <c r="PCB53" s="373"/>
      <c r="PCC53" s="373"/>
      <c r="PCD53" s="373"/>
      <c r="PCE53" s="373"/>
      <c r="PCF53" s="373"/>
      <c r="PCG53" s="373"/>
      <c r="PCH53" s="373"/>
      <c r="PCI53" s="373"/>
      <c r="PCJ53" s="373"/>
      <c r="PCK53" s="373"/>
      <c r="PCL53" s="373"/>
      <c r="PCM53" s="373"/>
      <c r="PCN53" s="373"/>
      <c r="PCO53" s="373"/>
      <c r="PCP53" s="373"/>
      <c r="PCQ53" s="373"/>
      <c r="PCR53" s="373"/>
      <c r="PCS53" s="373"/>
      <c r="PCT53" s="373"/>
      <c r="PCU53" s="373"/>
      <c r="PCV53" s="373"/>
      <c r="PCW53" s="373"/>
      <c r="PCX53" s="373"/>
      <c r="PCY53" s="373"/>
      <c r="PCZ53" s="373"/>
      <c r="PDA53" s="373"/>
      <c r="PDB53" s="373"/>
      <c r="PDC53" s="373"/>
      <c r="PDD53" s="373"/>
      <c r="PDE53" s="373"/>
      <c r="PDF53" s="373"/>
      <c r="PDG53" s="373"/>
      <c r="PDH53" s="373"/>
      <c r="PDI53" s="373"/>
      <c r="PDJ53" s="373"/>
      <c r="PDK53" s="373"/>
      <c r="PDL53" s="373"/>
      <c r="PDM53" s="373"/>
      <c r="PDN53" s="373"/>
      <c r="PDO53" s="373"/>
      <c r="PDP53" s="373"/>
      <c r="PDQ53" s="373"/>
      <c r="PDR53" s="373"/>
      <c r="PDS53" s="373"/>
      <c r="PDT53" s="373"/>
      <c r="PDU53" s="373"/>
      <c r="PDV53" s="373"/>
      <c r="PDW53" s="373"/>
      <c r="PDX53" s="373"/>
      <c r="PDY53" s="373"/>
      <c r="PDZ53" s="373"/>
      <c r="PEA53" s="373"/>
      <c r="PEB53" s="373"/>
      <c r="PEC53" s="373"/>
      <c r="PED53" s="373"/>
      <c r="PEE53" s="373"/>
      <c r="PEF53" s="373"/>
      <c r="PEG53" s="373"/>
      <c r="PEH53" s="373"/>
      <c r="PEI53" s="373"/>
      <c r="PEJ53" s="373"/>
      <c r="PEK53" s="373"/>
      <c r="PEL53" s="373"/>
      <c r="PEM53" s="373"/>
      <c r="PEN53" s="373"/>
      <c r="PEO53" s="373"/>
      <c r="PEP53" s="373"/>
      <c r="PEQ53" s="373"/>
      <c r="PER53" s="373"/>
      <c r="PES53" s="373"/>
      <c r="PET53" s="373"/>
      <c r="PEU53" s="373"/>
      <c r="PEV53" s="373"/>
      <c r="PEW53" s="373"/>
      <c r="PEX53" s="373"/>
      <c r="PEY53" s="373"/>
      <c r="PEZ53" s="373"/>
      <c r="PFA53" s="373"/>
      <c r="PFB53" s="373"/>
      <c r="PFC53" s="373"/>
      <c r="PFD53" s="373"/>
      <c r="PFE53" s="373"/>
      <c r="PFF53" s="373"/>
      <c r="PFG53" s="373"/>
      <c r="PFH53" s="373"/>
      <c r="PFI53" s="373"/>
      <c r="PFJ53" s="373"/>
      <c r="PFK53" s="373"/>
      <c r="PFL53" s="373"/>
      <c r="PFM53" s="373"/>
      <c r="PFN53" s="373"/>
      <c r="PFO53" s="373"/>
      <c r="PFP53" s="373"/>
      <c r="PFQ53" s="373"/>
      <c r="PFR53" s="373"/>
      <c r="PFS53" s="373"/>
      <c r="PFT53" s="373"/>
      <c r="PFU53" s="373"/>
      <c r="PFV53" s="373"/>
      <c r="PFW53" s="373"/>
      <c r="PFX53" s="373"/>
      <c r="PFY53" s="373"/>
      <c r="PFZ53" s="373"/>
      <c r="PGA53" s="373"/>
      <c r="PGB53" s="373"/>
      <c r="PGC53" s="373"/>
      <c r="PGD53" s="373"/>
      <c r="PGE53" s="373"/>
      <c r="PGF53" s="373"/>
      <c r="PGG53" s="373"/>
      <c r="PGH53" s="373"/>
      <c r="PGI53" s="373"/>
      <c r="PGJ53" s="373"/>
      <c r="PGK53" s="373"/>
      <c r="PGL53" s="373"/>
      <c r="PGM53" s="373"/>
      <c r="PGN53" s="373"/>
      <c r="PGO53" s="373"/>
      <c r="PGP53" s="373"/>
      <c r="PGQ53" s="373"/>
      <c r="PGR53" s="373"/>
      <c r="PGS53" s="373"/>
      <c r="PGT53" s="373"/>
      <c r="PGU53" s="373"/>
      <c r="PGV53" s="373"/>
      <c r="PGW53" s="373"/>
      <c r="PGX53" s="373"/>
      <c r="PGY53" s="373"/>
      <c r="PGZ53" s="373"/>
      <c r="PHA53" s="373"/>
      <c r="PHB53" s="373"/>
      <c r="PHC53" s="373"/>
      <c r="PHD53" s="373"/>
      <c r="PHE53" s="373"/>
      <c r="PHF53" s="373"/>
      <c r="PHG53" s="373"/>
      <c r="PHH53" s="373"/>
      <c r="PHI53" s="373"/>
      <c r="PHJ53" s="373"/>
      <c r="PHK53" s="373"/>
      <c r="PHL53" s="373"/>
      <c r="PHM53" s="373"/>
      <c r="PHN53" s="373"/>
      <c r="PHO53" s="373"/>
      <c r="PHP53" s="373"/>
      <c r="PHQ53" s="373"/>
      <c r="PHR53" s="373"/>
      <c r="PHS53" s="373"/>
      <c r="PHT53" s="373"/>
      <c r="PHU53" s="373"/>
      <c r="PHV53" s="373"/>
      <c r="PHW53" s="373"/>
      <c r="PHX53" s="373"/>
      <c r="PHY53" s="373"/>
      <c r="PHZ53" s="373"/>
      <c r="PIA53" s="373"/>
      <c r="PIB53" s="373"/>
      <c r="PIC53" s="373"/>
      <c r="PID53" s="373"/>
      <c r="PIE53" s="373"/>
      <c r="PIF53" s="373"/>
      <c r="PIG53" s="373"/>
      <c r="PIH53" s="373"/>
      <c r="PII53" s="373"/>
      <c r="PIJ53" s="373"/>
      <c r="PIK53" s="373"/>
      <c r="PIL53" s="373"/>
      <c r="PIM53" s="373"/>
      <c r="PIN53" s="373"/>
      <c r="PIO53" s="373"/>
      <c r="PIP53" s="373"/>
      <c r="PIQ53" s="373"/>
      <c r="PIR53" s="373"/>
      <c r="PIS53" s="373"/>
      <c r="PIT53" s="373"/>
      <c r="PIU53" s="373"/>
      <c r="PIV53" s="373"/>
      <c r="PIW53" s="373"/>
      <c r="PIX53" s="373"/>
      <c r="PIY53" s="373"/>
      <c r="PIZ53" s="373"/>
      <c r="PJA53" s="373"/>
      <c r="PJB53" s="373"/>
      <c r="PJC53" s="373"/>
      <c r="PJD53" s="373"/>
      <c r="PJE53" s="373"/>
      <c r="PJF53" s="373"/>
      <c r="PJG53" s="373"/>
      <c r="PJH53" s="373"/>
      <c r="PJI53" s="373"/>
      <c r="PJJ53" s="373"/>
      <c r="PJK53" s="373"/>
      <c r="PJL53" s="373"/>
      <c r="PJM53" s="373"/>
      <c r="PJN53" s="373"/>
      <c r="PJO53" s="373"/>
      <c r="PJP53" s="373"/>
      <c r="PJQ53" s="373"/>
      <c r="PJR53" s="373"/>
      <c r="PJS53" s="373"/>
      <c r="PJT53" s="373"/>
      <c r="PJU53" s="373"/>
      <c r="PJV53" s="373"/>
      <c r="PJW53" s="373"/>
      <c r="PJX53" s="373"/>
      <c r="PJY53" s="373"/>
      <c r="PJZ53" s="373"/>
      <c r="PKA53" s="373"/>
      <c r="PKB53" s="373"/>
      <c r="PKC53" s="373"/>
      <c r="PKD53" s="373"/>
      <c r="PKE53" s="373"/>
      <c r="PKF53" s="373"/>
      <c r="PKG53" s="373"/>
      <c r="PKH53" s="373"/>
      <c r="PKI53" s="373"/>
      <c r="PKJ53" s="373"/>
      <c r="PKK53" s="373"/>
      <c r="PKL53" s="373"/>
      <c r="PKM53" s="373"/>
      <c r="PKN53" s="373"/>
      <c r="PKO53" s="373"/>
      <c r="PKP53" s="373"/>
      <c r="PKQ53" s="373"/>
      <c r="PKR53" s="373"/>
      <c r="PKS53" s="373"/>
      <c r="PKT53" s="373"/>
      <c r="PKU53" s="373"/>
      <c r="PKV53" s="373"/>
      <c r="PKW53" s="373"/>
      <c r="PKX53" s="373"/>
      <c r="PKY53" s="373"/>
      <c r="PKZ53" s="373"/>
      <c r="PLA53" s="373"/>
      <c r="PLB53" s="373"/>
      <c r="PLC53" s="373"/>
      <c r="PLD53" s="373"/>
      <c r="PLE53" s="373"/>
      <c r="PLF53" s="373"/>
      <c r="PLG53" s="373"/>
      <c r="PLH53" s="373"/>
      <c r="PLI53" s="373"/>
      <c r="PLJ53" s="373"/>
      <c r="PLK53" s="373"/>
      <c r="PLL53" s="373"/>
      <c r="PLM53" s="373"/>
      <c r="PLN53" s="373"/>
      <c r="PLO53" s="373"/>
      <c r="PLP53" s="373"/>
      <c r="PLQ53" s="373"/>
      <c r="PLR53" s="373"/>
      <c r="PLS53" s="373"/>
      <c r="PLT53" s="373"/>
      <c r="PLU53" s="373"/>
      <c r="PLV53" s="373"/>
      <c r="PLW53" s="373"/>
      <c r="PLX53" s="373"/>
      <c r="PLY53" s="373"/>
      <c r="PLZ53" s="373"/>
      <c r="PMA53" s="373"/>
      <c r="PMB53" s="373"/>
      <c r="PMC53" s="373"/>
      <c r="PMD53" s="373"/>
      <c r="PME53" s="373"/>
      <c r="PMF53" s="373"/>
      <c r="PMG53" s="373"/>
      <c r="PMH53" s="373"/>
      <c r="PMI53" s="373"/>
      <c r="PMJ53" s="373"/>
      <c r="PMK53" s="373"/>
      <c r="PML53" s="373"/>
      <c r="PMM53" s="373"/>
      <c r="PMN53" s="373"/>
      <c r="PMO53" s="373"/>
      <c r="PMP53" s="373"/>
      <c r="PMQ53" s="373"/>
      <c r="PMR53" s="373"/>
      <c r="PMS53" s="373"/>
      <c r="PMT53" s="373"/>
      <c r="PMU53" s="373"/>
      <c r="PMV53" s="373"/>
      <c r="PMW53" s="373"/>
      <c r="PMX53" s="373"/>
      <c r="PMY53" s="373"/>
      <c r="PMZ53" s="373"/>
      <c r="PNA53" s="373"/>
      <c r="PNB53" s="373"/>
      <c r="PNC53" s="373"/>
      <c r="PND53" s="373"/>
      <c r="PNE53" s="373"/>
      <c r="PNF53" s="373"/>
      <c r="PNG53" s="373"/>
      <c r="PNH53" s="373"/>
      <c r="PNI53" s="373"/>
      <c r="PNJ53" s="373"/>
      <c r="PNK53" s="373"/>
      <c r="PNL53" s="373"/>
      <c r="PNM53" s="373"/>
      <c r="PNN53" s="373"/>
      <c r="PNO53" s="373"/>
      <c r="PNP53" s="373"/>
      <c r="PNQ53" s="373"/>
      <c r="PNR53" s="373"/>
      <c r="PNS53" s="373"/>
      <c r="PNT53" s="373"/>
      <c r="PNU53" s="373"/>
      <c r="PNV53" s="373"/>
      <c r="PNW53" s="373"/>
      <c r="PNX53" s="373"/>
      <c r="PNY53" s="373"/>
      <c r="PNZ53" s="373"/>
      <c r="POA53" s="373"/>
      <c r="POB53" s="373"/>
      <c r="POC53" s="373"/>
      <c r="POD53" s="373"/>
      <c r="POE53" s="373"/>
      <c r="POF53" s="373"/>
      <c r="POG53" s="373"/>
      <c r="POH53" s="373"/>
      <c r="POI53" s="373"/>
      <c r="POJ53" s="373"/>
      <c r="POK53" s="373"/>
      <c r="POL53" s="373"/>
      <c r="POM53" s="373"/>
      <c r="PON53" s="373"/>
      <c r="POO53" s="373"/>
      <c r="POP53" s="373"/>
      <c r="POQ53" s="373"/>
      <c r="POR53" s="373"/>
      <c r="POS53" s="373"/>
      <c r="POT53" s="373"/>
      <c r="POU53" s="373"/>
      <c r="POV53" s="373"/>
      <c r="POW53" s="373"/>
      <c r="POX53" s="373"/>
      <c r="POY53" s="373"/>
      <c r="POZ53" s="373"/>
      <c r="PPA53" s="373"/>
      <c r="PPB53" s="373"/>
      <c r="PPC53" s="373"/>
      <c r="PPD53" s="373"/>
      <c r="PPE53" s="373"/>
      <c r="PPF53" s="373"/>
      <c r="PPG53" s="373"/>
      <c r="PPH53" s="373"/>
      <c r="PPI53" s="373"/>
      <c r="PPJ53" s="373"/>
      <c r="PPK53" s="373"/>
      <c r="PPL53" s="373"/>
      <c r="PPM53" s="373"/>
      <c r="PPN53" s="373"/>
      <c r="PPO53" s="373"/>
      <c r="PPP53" s="373"/>
      <c r="PPQ53" s="373"/>
      <c r="PPR53" s="373"/>
      <c r="PPS53" s="373"/>
      <c r="PPT53" s="373"/>
      <c r="PPU53" s="373"/>
      <c r="PPV53" s="373"/>
      <c r="PPW53" s="373"/>
      <c r="PPX53" s="373"/>
      <c r="PPY53" s="373"/>
      <c r="PPZ53" s="373"/>
      <c r="PQA53" s="373"/>
      <c r="PQB53" s="373"/>
      <c r="PQC53" s="373"/>
      <c r="PQD53" s="373"/>
      <c r="PQE53" s="373"/>
      <c r="PQF53" s="373"/>
      <c r="PQG53" s="373"/>
      <c r="PQH53" s="373"/>
      <c r="PQI53" s="373"/>
      <c r="PQJ53" s="373"/>
      <c r="PQK53" s="373"/>
      <c r="PQL53" s="373"/>
      <c r="PQM53" s="373"/>
      <c r="PQN53" s="373"/>
      <c r="PQO53" s="373"/>
      <c r="PQP53" s="373"/>
      <c r="PQQ53" s="373"/>
      <c r="PQR53" s="373"/>
      <c r="PQS53" s="373"/>
      <c r="PQT53" s="373"/>
      <c r="PQU53" s="373"/>
      <c r="PQV53" s="373"/>
      <c r="PQW53" s="373"/>
      <c r="PQX53" s="373"/>
      <c r="PQY53" s="373"/>
      <c r="PQZ53" s="373"/>
      <c r="PRA53" s="373"/>
      <c r="PRB53" s="373"/>
      <c r="PRC53" s="373"/>
      <c r="PRD53" s="373"/>
      <c r="PRE53" s="373"/>
      <c r="PRF53" s="373"/>
      <c r="PRG53" s="373"/>
      <c r="PRH53" s="373"/>
      <c r="PRI53" s="373"/>
      <c r="PRJ53" s="373"/>
      <c r="PRK53" s="373"/>
      <c r="PRL53" s="373"/>
      <c r="PRM53" s="373"/>
      <c r="PRN53" s="373"/>
      <c r="PRO53" s="373"/>
      <c r="PRP53" s="373"/>
      <c r="PRQ53" s="373"/>
      <c r="PRR53" s="373"/>
      <c r="PRS53" s="373"/>
      <c r="PRT53" s="373"/>
      <c r="PRU53" s="373"/>
      <c r="PRV53" s="373"/>
      <c r="PRW53" s="373"/>
      <c r="PRX53" s="373"/>
      <c r="PRY53" s="373"/>
      <c r="PRZ53" s="373"/>
      <c r="PSA53" s="373"/>
      <c r="PSB53" s="373"/>
      <c r="PSC53" s="373"/>
      <c r="PSD53" s="373"/>
      <c r="PSE53" s="373"/>
      <c r="PSF53" s="373"/>
      <c r="PSG53" s="373"/>
      <c r="PSH53" s="373"/>
      <c r="PSI53" s="373"/>
      <c r="PSJ53" s="373"/>
      <c r="PSK53" s="373"/>
      <c r="PSL53" s="373"/>
      <c r="PSM53" s="373"/>
      <c r="PSN53" s="373"/>
      <c r="PSO53" s="373"/>
      <c r="PSP53" s="373"/>
      <c r="PSQ53" s="373"/>
      <c r="PSR53" s="373"/>
      <c r="PSS53" s="373"/>
      <c r="PST53" s="373"/>
      <c r="PSU53" s="373"/>
      <c r="PSV53" s="373"/>
      <c r="PSW53" s="373"/>
      <c r="PSX53" s="373"/>
      <c r="PSY53" s="373"/>
      <c r="PSZ53" s="373"/>
      <c r="PTA53" s="373"/>
      <c r="PTB53" s="373"/>
      <c r="PTC53" s="373"/>
      <c r="PTD53" s="373"/>
      <c r="PTE53" s="373"/>
      <c r="PTF53" s="373"/>
      <c r="PTG53" s="373"/>
      <c r="PTH53" s="373"/>
      <c r="PTI53" s="373"/>
      <c r="PTJ53" s="373"/>
      <c r="PTK53" s="373"/>
      <c r="PTL53" s="373"/>
      <c r="PTM53" s="373"/>
      <c r="PTN53" s="373"/>
      <c r="PTO53" s="373"/>
      <c r="PTP53" s="373"/>
      <c r="PTQ53" s="373"/>
      <c r="PTR53" s="373"/>
      <c r="PTS53" s="373"/>
      <c r="PTT53" s="373"/>
      <c r="PTU53" s="373"/>
      <c r="PTV53" s="373"/>
      <c r="PTW53" s="373"/>
      <c r="PTX53" s="373"/>
      <c r="PTY53" s="373"/>
      <c r="PTZ53" s="373"/>
      <c r="PUA53" s="373"/>
      <c r="PUB53" s="373"/>
      <c r="PUC53" s="373"/>
      <c r="PUD53" s="373"/>
      <c r="PUE53" s="373"/>
      <c r="PUF53" s="373"/>
      <c r="PUG53" s="373"/>
      <c r="PUH53" s="373"/>
      <c r="PUI53" s="373"/>
      <c r="PUJ53" s="373"/>
      <c r="PUK53" s="373"/>
      <c r="PUL53" s="373"/>
      <c r="PUM53" s="373"/>
      <c r="PUN53" s="373"/>
      <c r="PUO53" s="373"/>
      <c r="PUP53" s="373"/>
      <c r="PUQ53" s="373"/>
      <c r="PUR53" s="373"/>
      <c r="PUS53" s="373"/>
      <c r="PUT53" s="373"/>
      <c r="PUU53" s="373"/>
      <c r="PUV53" s="373"/>
      <c r="PUW53" s="373"/>
      <c r="PUX53" s="373"/>
      <c r="PUY53" s="373"/>
      <c r="PUZ53" s="373"/>
      <c r="PVA53" s="373"/>
      <c r="PVB53" s="373"/>
      <c r="PVC53" s="373"/>
      <c r="PVD53" s="373"/>
      <c r="PVE53" s="373"/>
      <c r="PVF53" s="373"/>
      <c r="PVG53" s="373"/>
      <c r="PVH53" s="373"/>
      <c r="PVI53" s="373"/>
      <c r="PVJ53" s="373"/>
      <c r="PVK53" s="373"/>
      <c r="PVL53" s="373"/>
      <c r="PVM53" s="373"/>
      <c r="PVN53" s="373"/>
      <c r="PVO53" s="373"/>
      <c r="PVP53" s="373"/>
      <c r="PVQ53" s="373"/>
      <c r="PVR53" s="373"/>
      <c r="PVS53" s="373"/>
      <c r="PVT53" s="373"/>
      <c r="PVU53" s="373"/>
      <c r="PVV53" s="373"/>
      <c r="PVW53" s="373"/>
      <c r="PVX53" s="373"/>
      <c r="PVY53" s="373"/>
      <c r="PVZ53" s="373"/>
      <c r="PWA53" s="373"/>
      <c r="PWB53" s="373"/>
      <c r="PWC53" s="373"/>
      <c r="PWD53" s="373"/>
      <c r="PWE53" s="373"/>
      <c r="PWF53" s="373"/>
      <c r="PWG53" s="373"/>
      <c r="PWH53" s="373"/>
      <c r="PWI53" s="373"/>
      <c r="PWJ53" s="373"/>
      <c r="PWK53" s="373"/>
      <c r="PWL53" s="373"/>
      <c r="PWM53" s="373"/>
      <c r="PWN53" s="373"/>
      <c r="PWO53" s="373"/>
      <c r="PWP53" s="373"/>
      <c r="PWQ53" s="373"/>
      <c r="PWR53" s="373"/>
      <c r="PWS53" s="373"/>
      <c r="PWT53" s="373"/>
      <c r="PWU53" s="373"/>
      <c r="PWV53" s="373"/>
      <c r="PWW53" s="373"/>
      <c r="PWX53" s="373"/>
      <c r="PWY53" s="373"/>
      <c r="PWZ53" s="373"/>
      <c r="PXA53" s="373"/>
      <c r="PXB53" s="373"/>
      <c r="PXC53" s="373"/>
      <c r="PXD53" s="373"/>
      <c r="PXE53" s="373"/>
      <c r="PXF53" s="373"/>
      <c r="PXG53" s="373"/>
      <c r="PXH53" s="373"/>
      <c r="PXI53" s="373"/>
      <c r="PXJ53" s="373"/>
      <c r="PXK53" s="373"/>
      <c r="PXL53" s="373"/>
      <c r="PXM53" s="373"/>
      <c r="PXN53" s="373"/>
      <c r="PXO53" s="373"/>
      <c r="PXP53" s="373"/>
      <c r="PXQ53" s="373"/>
      <c r="PXR53" s="373"/>
      <c r="PXS53" s="373"/>
      <c r="PXT53" s="373"/>
      <c r="PXU53" s="373"/>
      <c r="PXV53" s="373"/>
      <c r="PXW53" s="373"/>
      <c r="PXX53" s="373"/>
      <c r="PXY53" s="373"/>
      <c r="PXZ53" s="373"/>
      <c r="PYA53" s="373"/>
      <c r="PYB53" s="373"/>
      <c r="PYC53" s="373"/>
      <c r="PYD53" s="373"/>
      <c r="PYE53" s="373"/>
      <c r="PYF53" s="373"/>
      <c r="PYG53" s="373"/>
      <c r="PYH53" s="373"/>
      <c r="PYI53" s="373"/>
      <c r="PYJ53" s="373"/>
      <c r="PYK53" s="373"/>
      <c r="PYL53" s="373"/>
      <c r="PYM53" s="373"/>
      <c r="PYN53" s="373"/>
      <c r="PYO53" s="373"/>
      <c r="PYP53" s="373"/>
      <c r="PYQ53" s="373"/>
      <c r="PYR53" s="373"/>
      <c r="PYS53" s="373"/>
      <c r="PYT53" s="373"/>
      <c r="PYU53" s="373"/>
      <c r="PYV53" s="373"/>
      <c r="PYW53" s="373"/>
      <c r="PYX53" s="373"/>
      <c r="PYY53" s="373"/>
      <c r="PYZ53" s="373"/>
      <c r="PZA53" s="373"/>
      <c r="PZB53" s="373"/>
      <c r="PZC53" s="373"/>
      <c r="PZD53" s="373"/>
      <c r="PZE53" s="373"/>
      <c r="PZF53" s="373"/>
      <c r="PZG53" s="373"/>
      <c r="PZH53" s="373"/>
      <c r="PZI53" s="373"/>
      <c r="PZJ53" s="373"/>
      <c r="PZK53" s="373"/>
      <c r="PZL53" s="373"/>
      <c r="PZM53" s="373"/>
      <c r="PZN53" s="373"/>
      <c r="PZO53" s="373"/>
      <c r="PZP53" s="373"/>
      <c r="PZQ53" s="373"/>
      <c r="PZR53" s="373"/>
      <c r="PZS53" s="373"/>
      <c r="PZT53" s="373"/>
      <c r="PZU53" s="373"/>
      <c r="PZV53" s="373"/>
      <c r="PZW53" s="373"/>
      <c r="PZX53" s="373"/>
      <c r="PZY53" s="373"/>
      <c r="PZZ53" s="373"/>
      <c r="QAA53" s="373"/>
      <c r="QAB53" s="373"/>
      <c r="QAC53" s="373"/>
      <c r="QAD53" s="373"/>
      <c r="QAE53" s="373"/>
      <c r="QAF53" s="373"/>
      <c r="QAG53" s="373"/>
      <c r="QAH53" s="373"/>
      <c r="QAI53" s="373"/>
      <c r="QAJ53" s="373"/>
      <c r="QAK53" s="373"/>
      <c r="QAL53" s="373"/>
      <c r="QAM53" s="373"/>
      <c r="QAN53" s="373"/>
      <c r="QAO53" s="373"/>
      <c r="QAP53" s="373"/>
      <c r="QAQ53" s="373"/>
      <c r="QAR53" s="373"/>
      <c r="QAS53" s="373"/>
      <c r="QAT53" s="373"/>
      <c r="QAU53" s="373"/>
      <c r="QAV53" s="373"/>
      <c r="QAW53" s="373"/>
      <c r="QAX53" s="373"/>
      <c r="QAY53" s="373"/>
      <c r="QAZ53" s="373"/>
      <c r="QBA53" s="373"/>
      <c r="QBB53" s="373"/>
      <c r="QBC53" s="373"/>
      <c r="QBD53" s="373"/>
      <c r="QBE53" s="373"/>
      <c r="QBF53" s="373"/>
      <c r="QBG53" s="373"/>
      <c r="QBH53" s="373"/>
      <c r="QBI53" s="373"/>
      <c r="QBJ53" s="373"/>
      <c r="QBK53" s="373"/>
      <c r="QBL53" s="373"/>
      <c r="QBM53" s="373"/>
      <c r="QBN53" s="373"/>
      <c r="QBO53" s="373"/>
      <c r="QBP53" s="373"/>
      <c r="QBQ53" s="373"/>
      <c r="QBR53" s="373"/>
      <c r="QBS53" s="373"/>
      <c r="QBT53" s="373"/>
      <c r="QBU53" s="373"/>
      <c r="QBV53" s="373"/>
      <c r="QBW53" s="373"/>
      <c r="QBX53" s="373"/>
      <c r="QBY53" s="373"/>
      <c r="QBZ53" s="373"/>
      <c r="QCA53" s="373"/>
      <c r="QCB53" s="373"/>
      <c r="QCC53" s="373"/>
      <c r="QCD53" s="373"/>
      <c r="QCE53" s="373"/>
      <c r="QCF53" s="373"/>
      <c r="QCG53" s="373"/>
      <c r="QCH53" s="373"/>
      <c r="QCI53" s="373"/>
      <c r="QCJ53" s="373"/>
      <c r="QCK53" s="373"/>
      <c r="QCL53" s="373"/>
      <c r="QCM53" s="373"/>
      <c r="QCN53" s="373"/>
      <c r="QCO53" s="373"/>
      <c r="QCP53" s="373"/>
      <c r="QCQ53" s="373"/>
      <c r="QCR53" s="373"/>
      <c r="QCS53" s="373"/>
      <c r="QCT53" s="373"/>
      <c r="QCU53" s="373"/>
      <c r="QCV53" s="373"/>
      <c r="QCW53" s="373"/>
      <c r="QCX53" s="373"/>
      <c r="QCY53" s="373"/>
      <c r="QCZ53" s="373"/>
      <c r="QDA53" s="373"/>
      <c r="QDB53" s="373"/>
      <c r="QDC53" s="373"/>
      <c r="QDD53" s="373"/>
      <c r="QDE53" s="373"/>
      <c r="QDF53" s="373"/>
      <c r="QDG53" s="373"/>
      <c r="QDH53" s="373"/>
      <c r="QDI53" s="373"/>
      <c r="QDJ53" s="373"/>
      <c r="QDK53" s="373"/>
      <c r="QDL53" s="373"/>
      <c r="QDM53" s="373"/>
      <c r="QDN53" s="373"/>
      <c r="QDO53" s="373"/>
      <c r="QDP53" s="373"/>
      <c r="QDQ53" s="373"/>
      <c r="QDR53" s="373"/>
      <c r="QDS53" s="373"/>
      <c r="QDT53" s="373"/>
      <c r="QDU53" s="373"/>
      <c r="QDV53" s="373"/>
      <c r="QDW53" s="373"/>
      <c r="QDX53" s="373"/>
      <c r="QDY53" s="373"/>
      <c r="QDZ53" s="373"/>
      <c r="QEA53" s="373"/>
      <c r="QEB53" s="373"/>
      <c r="QEC53" s="373"/>
      <c r="QED53" s="373"/>
      <c r="QEE53" s="373"/>
      <c r="QEF53" s="373"/>
      <c r="QEG53" s="373"/>
      <c r="QEH53" s="373"/>
      <c r="QEI53" s="373"/>
      <c r="QEJ53" s="373"/>
      <c r="QEK53" s="373"/>
      <c r="QEL53" s="373"/>
      <c r="QEM53" s="373"/>
      <c r="QEN53" s="373"/>
      <c r="QEO53" s="373"/>
      <c r="QEP53" s="373"/>
      <c r="QEQ53" s="373"/>
      <c r="QER53" s="373"/>
      <c r="QES53" s="373"/>
      <c r="QET53" s="373"/>
      <c r="QEU53" s="373"/>
      <c r="QEV53" s="373"/>
      <c r="QEW53" s="373"/>
      <c r="QEX53" s="373"/>
      <c r="QEY53" s="373"/>
      <c r="QEZ53" s="373"/>
      <c r="QFA53" s="373"/>
      <c r="QFB53" s="373"/>
      <c r="QFC53" s="373"/>
      <c r="QFD53" s="373"/>
      <c r="QFE53" s="373"/>
      <c r="QFF53" s="373"/>
      <c r="QFG53" s="373"/>
      <c r="QFH53" s="373"/>
      <c r="QFI53" s="373"/>
      <c r="QFJ53" s="373"/>
      <c r="QFK53" s="373"/>
      <c r="QFL53" s="373"/>
      <c r="QFM53" s="373"/>
      <c r="QFN53" s="373"/>
      <c r="QFO53" s="373"/>
      <c r="QFP53" s="373"/>
      <c r="QFQ53" s="373"/>
      <c r="QFR53" s="373"/>
      <c r="QFS53" s="373"/>
      <c r="QFT53" s="373"/>
      <c r="QFU53" s="373"/>
      <c r="QFV53" s="373"/>
      <c r="QFW53" s="373"/>
      <c r="QFX53" s="373"/>
      <c r="QFY53" s="373"/>
      <c r="QFZ53" s="373"/>
      <c r="QGA53" s="373"/>
      <c r="QGB53" s="373"/>
      <c r="QGC53" s="373"/>
      <c r="QGD53" s="373"/>
      <c r="QGE53" s="373"/>
      <c r="QGF53" s="373"/>
      <c r="QGG53" s="373"/>
      <c r="QGH53" s="373"/>
      <c r="QGI53" s="373"/>
      <c r="QGJ53" s="373"/>
      <c r="QGK53" s="373"/>
      <c r="QGL53" s="373"/>
      <c r="QGM53" s="373"/>
      <c r="QGN53" s="373"/>
      <c r="QGO53" s="373"/>
      <c r="QGP53" s="373"/>
      <c r="QGQ53" s="373"/>
      <c r="QGR53" s="373"/>
      <c r="QGS53" s="373"/>
      <c r="QGT53" s="373"/>
      <c r="QGU53" s="373"/>
      <c r="QGV53" s="373"/>
      <c r="QGW53" s="373"/>
      <c r="QGX53" s="373"/>
      <c r="QGY53" s="373"/>
      <c r="QGZ53" s="373"/>
      <c r="QHA53" s="373"/>
      <c r="QHB53" s="373"/>
      <c r="QHC53" s="373"/>
      <c r="QHD53" s="373"/>
      <c r="QHE53" s="373"/>
      <c r="QHF53" s="373"/>
      <c r="QHG53" s="373"/>
      <c r="QHH53" s="373"/>
      <c r="QHI53" s="373"/>
      <c r="QHJ53" s="373"/>
      <c r="QHK53" s="373"/>
      <c r="QHL53" s="373"/>
      <c r="QHM53" s="373"/>
      <c r="QHN53" s="373"/>
      <c r="QHO53" s="373"/>
      <c r="QHP53" s="373"/>
      <c r="QHQ53" s="373"/>
      <c r="QHR53" s="373"/>
      <c r="QHS53" s="373"/>
      <c r="QHT53" s="373"/>
      <c r="QHU53" s="373"/>
      <c r="QHV53" s="373"/>
      <c r="QHW53" s="373"/>
      <c r="QHX53" s="373"/>
      <c r="QHY53" s="373"/>
      <c r="QHZ53" s="373"/>
      <c r="QIA53" s="373"/>
      <c r="QIB53" s="373"/>
      <c r="QIC53" s="373"/>
      <c r="QID53" s="373"/>
      <c r="QIE53" s="373"/>
      <c r="QIF53" s="373"/>
      <c r="QIG53" s="373"/>
      <c r="QIH53" s="373"/>
      <c r="QII53" s="373"/>
      <c r="QIJ53" s="373"/>
      <c r="QIK53" s="373"/>
      <c r="QIL53" s="373"/>
      <c r="QIM53" s="373"/>
      <c r="QIN53" s="373"/>
      <c r="QIO53" s="373"/>
      <c r="QIP53" s="373"/>
      <c r="QIQ53" s="373"/>
      <c r="QIR53" s="373"/>
      <c r="QIS53" s="373"/>
      <c r="QIT53" s="373"/>
      <c r="QIU53" s="373"/>
      <c r="QIV53" s="373"/>
      <c r="QIW53" s="373"/>
      <c r="QIX53" s="373"/>
      <c r="QIY53" s="373"/>
      <c r="QIZ53" s="373"/>
      <c r="QJA53" s="373"/>
      <c r="QJB53" s="373"/>
      <c r="QJC53" s="373"/>
      <c r="QJD53" s="373"/>
      <c r="QJE53" s="373"/>
      <c r="QJF53" s="373"/>
      <c r="QJG53" s="373"/>
      <c r="QJH53" s="373"/>
      <c r="QJI53" s="373"/>
      <c r="QJJ53" s="373"/>
      <c r="QJK53" s="373"/>
      <c r="QJL53" s="373"/>
      <c r="QJM53" s="373"/>
      <c r="QJN53" s="373"/>
      <c r="QJO53" s="373"/>
      <c r="QJP53" s="373"/>
      <c r="QJQ53" s="373"/>
      <c r="QJR53" s="373"/>
      <c r="QJS53" s="373"/>
      <c r="QJT53" s="373"/>
      <c r="QJU53" s="373"/>
      <c r="QJV53" s="373"/>
      <c r="QJW53" s="373"/>
      <c r="QJX53" s="373"/>
      <c r="QJY53" s="373"/>
      <c r="QJZ53" s="373"/>
      <c r="QKA53" s="373"/>
      <c r="QKB53" s="373"/>
      <c r="QKC53" s="373"/>
      <c r="QKD53" s="373"/>
      <c r="QKE53" s="373"/>
      <c r="QKF53" s="373"/>
      <c r="QKG53" s="373"/>
      <c r="QKH53" s="373"/>
      <c r="QKI53" s="373"/>
      <c r="QKJ53" s="373"/>
      <c r="QKK53" s="373"/>
      <c r="QKL53" s="373"/>
      <c r="QKM53" s="373"/>
      <c r="QKN53" s="373"/>
      <c r="QKO53" s="373"/>
      <c r="QKP53" s="373"/>
      <c r="QKQ53" s="373"/>
      <c r="QKR53" s="373"/>
      <c r="QKS53" s="373"/>
      <c r="QKT53" s="373"/>
      <c r="QKU53" s="373"/>
      <c r="QKV53" s="373"/>
      <c r="QKW53" s="373"/>
      <c r="QKX53" s="373"/>
      <c r="QKY53" s="373"/>
      <c r="QKZ53" s="373"/>
      <c r="QLA53" s="373"/>
      <c r="QLB53" s="373"/>
      <c r="QLC53" s="373"/>
      <c r="QLD53" s="373"/>
      <c r="QLE53" s="373"/>
      <c r="QLF53" s="373"/>
      <c r="QLG53" s="373"/>
      <c r="QLH53" s="373"/>
      <c r="QLI53" s="373"/>
      <c r="QLJ53" s="373"/>
      <c r="QLK53" s="373"/>
      <c r="QLL53" s="373"/>
      <c r="QLM53" s="373"/>
      <c r="QLN53" s="373"/>
      <c r="QLO53" s="373"/>
      <c r="QLP53" s="373"/>
      <c r="QLQ53" s="373"/>
      <c r="QLR53" s="373"/>
      <c r="QLS53" s="373"/>
      <c r="QLT53" s="373"/>
      <c r="QLU53" s="373"/>
      <c r="QLV53" s="373"/>
      <c r="QLW53" s="373"/>
      <c r="QLX53" s="373"/>
      <c r="QLY53" s="373"/>
      <c r="QLZ53" s="373"/>
      <c r="QMA53" s="373"/>
      <c r="QMB53" s="373"/>
      <c r="QMC53" s="373"/>
      <c r="QMD53" s="373"/>
      <c r="QME53" s="373"/>
      <c r="QMF53" s="373"/>
      <c r="QMG53" s="373"/>
      <c r="QMH53" s="373"/>
      <c r="QMI53" s="373"/>
      <c r="QMJ53" s="373"/>
      <c r="QMK53" s="373"/>
      <c r="QML53" s="373"/>
      <c r="QMM53" s="373"/>
      <c r="QMN53" s="373"/>
      <c r="QMO53" s="373"/>
      <c r="QMP53" s="373"/>
      <c r="QMQ53" s="373"/>
      <c r="QMR53" s="373"/>
      <c r="QMS53" s="373"/>
      <c r="QMT53" s="373"/>
      <c r="QMU53" s="373"/>
      <c r="QMV53" s="373"/>
      <c r="QMW53" s="373"/>
      <c r="QMX53" s="373"/>
      <c r="QMY53" s="373"/>
      <c r="QMZ53" s="373"/>
      <c r="QNA53" s="373"/>
      <c r="QNB53" s="373"/>
      <c r="QNC53" s="373"/>
      <c r="QND53" s="373"/>
      <c r="QNE53" s="373"/>
      <c r="QNF53" s="373"/>
      <c r="QNG53" s="373"/>
      <c r="QNH53" s="373"/>
      <c r="QNI53" s="373"/>
      <c r="QNJ53" s="373"/>
      <c r="QNK53" s="373"/>
      <c r="QNL53" s="373"/>
      <c r="QNM53" s="373"/>
      <c r="QNN53" s="373"/>
      <c r="QNO53" s="373"/>
      <c r="QNP53" s="373"/>
      <c r="QNQ53" s="373"/>
      <c r="QNR53" s="373"/>
      <c r="QNS53" s="373"/>
      <c r="QNT53" s="373"/>
      <c r="QNU53" s="373"/>
      <c r="QNV53" s="373"/>
      <c r="QNW53" s="373"/>
      <c r="QNX53" s="373"/>
      <c r="QNY53" s="373"/>
      <c r="QNZ53" s="373"/>
      <c r="QOA53" s="373"/>
      <c r="QOB53" s="373"/>
      <c r="QOC53" s="373"/>
      <c r="QOD53" s="373"/>
      <c r="QOE53" s="373"/>
      <c r="QOF53" s="373"/>
      <c r="QOG53" s="373"/>
      <c r="QOH53" s="373"/>
      <c r="QOI53" s="373"/>
      <c r="QOJ53" s="373"/>
      <c r="QOK53" s="373"/>
      <c r="QOL53" s="373"/>
      <c r="QOM53" s="373"/>
      <c r="QON53" s="373"/>
      <c r="QOO53" s="373"/>
      <c r="QOP53" s="373"/>
      <c r="QOQ53" s="373"/>
      <c r="QOR53" s="373"/>
      <c r="QOS53" s="373"/>
      <c r="QOT53" s="373"/>
      <c r="QOU53" s="373"/>
      <c r="QOV53" s="373"/>
      <c r="QOW53" s="373"/>
      <c r="QOX53" s="373"/>
      <c r="QOY53" s="373"/>
      <c r="QOZ53" s="373"/>
      <c r="QPA53" s="373"/>
      <c r="QPB53" s="373"/>
      <c r="QPC53" s="373"/>
      <c r="QPD53" s="373"/>
      <c r="QPE53" s="373"/>
      <c r="QPF53" s="373"/>
      <c r="QPG53" s="373"/>
      <c r="QPH53" s="373"/>
      <c r="QPI53" s="373"/>
      <c r="QPJ53" s="373"/>
      <c r="QPK53" s="373"/>
      <c r="QPL53" s="373"/>
      <c r="QPM53" s="373"/>
      <c r="QPN53" s="373"/>
      <c r="QPO53" s="373"/>
      <c r="QPP53" s="373"/>
      <c r="QPQ53" s="373"/>
      <c r="QPR53" s="373"/>
      <c r="QPS53" s="373"/>
      <c r="QPT53" s="373"/>
      <c r="QPU53" s="373"/>
      <c r="QPV53" s="373"/>
      <c r="QPW53" s="373"/>
      <c r="QPX53" s="373"/>
      <c r="QPY53" s="373"/>
      <c r="QPZ53" s="373"/>
      <c r="QQA53" s="373"/>
      <c r="QQB53" s="373"/>
      <c r="QQC53" s="373"/>
      <c r="QQD53" s="373"/>
      <c r="QQE53" s="373"/>
      <c r="QQF53" s="373"/>
      <c r="QQG53" s="373"/>
      <c r="QQH53" s="373"/>
      <c r="QQI53" s="373"/>
      <c r="QQJ53" s="373"/>
      <c r="QQK53" s="373"/>
      <c r="QQL53" s="373"/>
      <c r="QQM53" s="373"/>
      <c r="QQN53" s="373"/>
      <c r="QQO53" s="373"/>
      <c r="QQP53" s="373"/>
      <c r="QQQ53" s="373"/>
      <c r="QQR53" s="373"/>
      <c r="QQS53" s="373"/>
      <c r="QQT53" s="373"/>
      <c r="QQU53" s="373"/>
      <c r="QQV53" s="373"/>
      <c r="QQW53" s="373"/>
      <c r="QQX53" s="373"/>
      <c r="QQY53" s="373"/>
      <c r="QQZ53" s="373"/>
      <c r="QRA53" s="373"/>
      <c r="QRB53" s="373"/>
      <c r="QRC53" s="373"/>
      <c r="QRD53" s="373"/>
      <c r="QRE53" s="373"/>
      <c r="QRF53" s="373"/>
      <c r="QRG53" s="373"/>
      <c r="QRH53" s="373"/>
      <c r="QRI53" s="373"/>
      <c r="QRJ53" s="373"/>
      <c r="QRK53" s="373"/>
      <c r="QRL53" s="373"/>
      <c r="QRM53" s="373"/>
      <c r="QRN53" s="373"/>
      <c r="QRO53" s="373"/>
      <c r="QRP53" s="373"/>
      <c r="QRQ53" s="373"/>
      <c r="QRR53" s="373"/>
      <c r="QRS53" s="373"/>
      <c r="QRT53" s="373"/>
      <c r="QRU53" s="373"/>
      <c r="QRV53" s="373"/>
      <c r="QRW53" s="373"/>
      <c r="QRX53" s="373"/>
      <c r="QRY53" s="373"/>
      <c r="QRZ53" s="373"/>
      <c r="QSA53" s="373"/>
      <c r="QSB53" s="373"/>
      <c r="QSC53" s="373"/>
      <c r="QSD53" s="373"/>
      <c r="QSE53" s="373"/>
      <c r="QSF53" s="373"/>
      <c r="QSG53" s="373"/>
      <c r="QSH53" s="373"/>
      <c r="QSI53" s="373"/>
      <c r="QSJ53" s="373"/>
      <c r="QSK53" s="373"/>
      <c r="QSL53" s="373"/>
      <c r="QSM53" s="373"/>
      <c r="QSN53" s="373"/>
      <c r="QSO53" s="373"/>
      <c r="QSP53" s="373"/>
      <c r="QSQ53" s="373"/>
      <c r="QSR53" s="373"/>
      <c r="QSS53" s="373"/>
      <c r="QST53" s="373"/>
      <c r="QSU53" s="373"/>
      <c r="QSV53" s="373"/>
      <c r="QSW53" s="373"/>
      <c r="QSX53" s="373"/>
      <c r="QSY53" s="373"/>
      <c r="QSZ53" s="373"/>
      <c r="QTA53" s="373"/>
      <c r="QTB53" s="373"/>
      <c r="QTC53" s="373"/>
      <c r="QTD53" s="373"/>
      <c r="QTE53" s="373"/>
      <c r="QTF53" s="373"/>
      <c r="QTG53" s="373"/>
      <c r="QTH53" s="373"/>
      <c r="QTI53" s="373"/>
      <c r="QTJ53" s="373"/>
      <c r="QTK53" s="373"/>
      <c r="QTL53" s="373"/>
      <c r="QTM53" s="373"/>
      <c r="QTN53" s="373"/>
      <c r="QTO53" s="373"/>
      <c r="QTP53" s="373"/>
      <c r="QTQ53" s="373"/>
      <c r="QTR53" s="373"/>
      <c r="QTS53" s="373"/>
      <c r="QTT53" s="373"/>
      <c r="QTU53" s="373"/>
      <c r="QTV53" s="373"/>
      <c r="QTW53" s="373"/>
      <c r="QTX53" s="373"/>
      <c r="QTY53" s="373"/>
      <c r="QTZ53" s="373"/>
      <c r="QUA53" s="373"/>
      <c r="QUB53" s="373"/>
      <c r="QUC53" s="373"/>
      <c r="QUD53" s="373"/>
      <c r="QUE53" s="373"/>
      <c r="QUF53" s="373"/>
      <c r="QUG53" s="373"/>
      <c r="QUH53" s="373"/>
      <c r="QUI53" s="373"/>
      <c r="QUJ53" s="373"/>
      <c r="QUK53" s="373"/>
      <c r="QUL53" s="373"/>
      <c r="QUM53" s="373"/>
      <c r="QUN53" s="373"/>
      <c r="QUO53" s="373"/>
      <c r="QUP53" s="373"/>
      <c r="QUQ53" s="373"/>
      <c r="QUR53" s="373"/>
      <c r="QUS53" s="373"/>
      <c r="QUT53" s="373"/>
      <c r="QUU53" s="373"/>
      <c r="QUV53" s="373"/>
      <c r="QUW53" s="373"/>
      <c r="QUX53" s="373"/>
      <c r="QUY53" s="373"/>
      <c r="QUZ53" s="373"/>
      <c r="QVA53" s="373"/>
      <c r="QVB53" s="373"/>
      <c r="QVC53" s="373"/>
      <c r="QVD53" s="373"/>
      <c r="QVE53" s="373"/>
      <c r="QVF53" s="373"/>
      <c r="QVG53" s="373"/>
      <c r="QVH53" s="373"/>
      <c r="QVI53" s="373"/>
      <c r="QVJ53" s="373"/>
      <c r="QVK53" s="373"/>
      <c r="QVL53" s="373"/>
      <c r="QVM53" s="373"/>
      <c r="QVN53" s="373"/>
      <c r="QVO53" s="373"/>
      <c r="QVP53" s="373"/>
      <c r="QVQ53" s="373"/>
      <c r="QVR53" s="373"/>
      <c r="QVS53" s="373"/>
      <c r="QVT53" s="373"/>
      <c r="QVU53" s="373"/>
      <c r="QVV53" s="373"/>
      <c r="QVW53" s="373"/>
      <c r="QVX53" s="373"/>
      <c r="QVY53" s="373"/>
      <c r="QVZ53" s="373"/>
      <c r="QWA53" s="373"/>
      <c r="QWB53" s="373"/>
      <c r="QWC53" s="373"/>
      <c r="QWD53" s="373"/>
      <c r="QWE53" s="373"/>
      <c r="QWF53" s="373"/>
      <c r="QWG53" s="373"/>
      <c r="QWH53" s="373"/>
      <c r="QWI53" s="373"/>
      <c r="QWJ53" s="373"/>
      <c r="QWK53" s="373"/>
      <c r="QWL53" s="373"/>
      <c r="QWM53" s="373"/>
      <c r="QWN53" s="373"/>
      <c r="QWO53" s="373"/>
      <c r="QWP53" s="373"/>
      <c r="QWQ53" s="373"/>
      <c r="QWR53" s="373"/>
      <c r="QWS53" s="373"/>
      <c r="QWT53" s="373"/>
      <c r="QWU53" s="373"/>
      <c r="QWV53" s="373"/>
      <c r="QWW53" s="373"/>
      <c r="QWX53" s="373"/>
      <c r="QWY53" s="373"/>
      <c r="QWZ53" s="373"/>
      <c r="QXA53" s="373"/>
      <c r="QXB53" s="373"/>
      <c r="QXC53" s="373"/>
      <c r="QXD53" s="373"/>
      <c r="QXE53" s="373"/>
      <c r="QXF53" s="373"/>
      <c r="QXG53" s="373"/>
      <c r="QXH53" s="373"/>
      <c r="QXI53" s="373"/>
      <c r="QXJ53" s="373"/>
      <c r="QXK53" s="373"/>
      <c r="QXL53" s="373"/>
      <c r="QXM53" s="373"/>
      <c r="QXN53" s="373"/>
      <c r="QXO53" s="373"/>
      <c r="QXP53" s="373"/>
      <c r="QXQ53" s="373"/>
      <c r="QXR53" s="373"/>
      <c r="QXS53" s="373"/>
      <c r="QXT53" s="373"/>
      <c r="QXU53" s="373"/>
      <c r="QXV53" s="373"/>
      <c r="QXW53" s="373"/>
      <c r="QXX53" s="373"/>
      <c r="QXY53" s="373"/>
      <c r="QXZ53" s="373"/>
      <c r="QYA53" s="373"/>
      <c r="QYB53" s="373"/>
      <c r="QYC53" s="373"/>
      <c r="QYD53" s="373"/>
      <c r="QYE53" s="373"/>
      <c r="QYF53" s="373"/>
      <c r="QYG53" s="373"/>
      <c r="QYH53" s="373"/>
      <c r="QYI53" s="373"/>
      <c r="QYJ53" s="373"/>
      <c r="QYK53" s="373"/>
      <c r="QYL53" s="373"/>
      <c r="QYM53" s="373"/>
      <c r="QYN53" s="373"/>
      <c r="QYO53" s="373"/>
      <c r="QYP53" s="373"/>
      <c r="QYQ53" s="373"/>
      <c r="QYR53" s="373"/>
      <c r="QYS53" s="373"/>
      <c r="QYT53" s="373"/>
      <c r="QYU53" s="373"/>
      <c r="QYV53" s="373"/>
      <c r="QYW53" s="373"/>
      <c r="QYX53" s="373"/>
      <c r="QYY53" s="373"/>
      <c r="QYZ53" s="373"/>
      <c r="QZA53" s="373"/>
      <c r="QZB53" s="373"/>
      <c r="QZC53" s="373"/>
      <c r="QZD53" s="373"/>
      <c r="QZE53" s="373"/>
      <c r="QZF53" s="373"/>
      <c r="QZG53" s="373"/>
      <c r="QZH53" s="373"/>
      <c r="QZI53" s="373"/>
      <c r="QZJ53" s="373"/>
      <c r="QZK53" s="373"/>
      <c r="QZL53" s="373"/>
      <c r="QZM53" s="373"/>
      <c r="QZN53" s="373"/>
      <c r="QZO53" s="373"/>
      <c r="QZP53" s="373"/>
      <c r="QZQ53" s="373"/>
      <c r="QZR53" s="373"/>
      <c r="QZS53" s="373"/>
      <c r="QZT53" s="373"/>
      <c r="QZU53" s="373"/>
      <c r="QZV53" s="373"/>
      <c r="QZW53" s="373"/>
      <c r="QZX53" s="373"/>
      <c r="QZY53" s="373"/>
      <c r="QZZ53" s="373"/>
      <c r="RAA53" s="373"/>
      <c r="RAB53" s="373"/>
      <c r="RAC53" s="373"/>
      <c r="RAD53" s="373"/>
      <c r="RAE53" s="373"/>
      <c r="RAF53" s="373"/>
      <c r="RAG53" s="373"/>
      <c r="RAH53" s="373"/>
      <c r="RAI53" s="373"/>
      <c r="RAJ53" s="373"/>
      <c r="RAK53" s="373"/>
      <c r="RAL53" s="373"/>
      <c r="RAM53" s="373"/>
      <c r="RAN53" s="373"/>
      <c r="RAO53" s="373"/>
      <c r="RAP53" s="373"/>
      <c r="RAQ53" s="373"/>
      <c r="RAR53" s="373"/>
      <c r="RAS53" s="373"/>
      <c r="RAT53" s="373"/>
      <c r="RAU53" s="373"/>
      <c r="RAV53" s="373"/>
      <c r="RAW53" s="373"/>
      <c r="RAX53" s="373"/>
      <c r="RAY53" s="373"/>
      <c r="RAZ53" s="373"/>
      <c r="RBA53" s="373"/>
      <c r="RBB53" s="373"/>
      <c r="RBC53" s="373"/>
      <c r="RBD53" s="373"/>
      <c r="RBE53" s="373"/>
      <c r="RBF53" s="373"/>
      <c r="RBG53" s="373"/>
      <c r="RBH53" s="373"/>
      <c r="RBI53" s="373"/>
      <c r="RBJ53" s="373"/>
      <c r="RBK53" s="373"/>
      <c r="RBL53" s="373"/>
      <c r="RBM53" s="373"/>
      <c r="RBN53" s="373"/>
      <c r="RBO53" s="373"/>
      <c r="RBP53" s="373"/>
      <c r="RBQ53" s="373"/>
      <c r="RBR53" s="373"/>
      <c r="RBS53" s="373"/>
      <c r="RBT53" s="373"/>
      <c r="RBU53" s="373"/>
      <c r="RBV53" s="373"/>
      <c r="RBW53" s="373"/>
      <c r="RBX53" s="373"/>
      <c r="RBY53" s="373"/>
      <c r="RBZ53" s="373"/>
      <c r="RCA53" s="373"/>
      <c r="RCB53" s="373"/>
      <c r="RCC53" s="373"/>
      <c r="RCD53" s="373"/>
      <c r="RCE53" s="373"/>
      <c r="RCF53" s="373"/>
      <c r="RCG53" s="373"/>
      <c r="RCH53" s="373"/>
      <c r="RCI53" s="373"/>
      <c r="RCJ53" s="373"/>
      <c r="RCK53" s="373"/>
      <c r="RCL53" s="373"/>
      <c r="RCM53" s="373"/>
      <c r="RCN53" s="373"/>
      <c r="RCO53" s="373"/>
      <c r="RCP53" s="373"/>
      <c r="RCQ53" s="373"/>
      <c r="RCR53" s="373"/>
      <c r="RCS53" s="373"/>
      <c r="RCT53" s="373"/>
      <c r="RCU53" s="373"/>
      <c r="RCV53" s="373"/>
      <c r="RCW53" s="373"/>
      <c r="RCX53" s="373"/>
      <c r="RCY53" s="373"/>
      <c r="RCZ53" s="373"/>
      <c r="RDA53" s="373"/>
      <c r="RDB53" s="373"/>
      <c r="RDC53" s="373"/>
      <c r="RDD53" s="373"/>
      <c r="RDE53" s="373"/>
      <c r="RDF53" s="373"/>
      <c r="RDG53" s="373"/>
      <c r="RDH53" s="373"/>
      <c r="RDI53" s="373"/>
      <c r="RDJ53" s="373"/>
      <c r="RDK53" s="373"/>
      <c r="RDL53" s="373"/>
      <c r="RDM53" s="373"/>
      <c r="RDN53" s="373"/>
      <c r="RDO53" s="373"/>
      <c r="RDP53" s="373"/>
      <c r="RDQ53" s="373"/>
      <c r="RDR53" s="373"/>
      <c r="RDS53" s="373"/>
      <c r="RDT53" s="373"/>
      <c r="RDU53" s="373"/>
      <c r="RDV53" s="373"/>
      <c r="RDW53" s="373"/>
      <c r="RDX53" s="373"/>
      <c r="RDY53" s="373"/>
      <c r="RDZ53" s="373"/>
      <c r="REA53" s="373"/>
      <c r="REB53" s="373"/>
      <c r="REC53" s="373"/>
      <c r="RED53" s="373"/>
      <c r="REE53" s="373"/>
      <c r="REF53" s="373"/>
      <c r="REG53" s="373"/>
      <c r="REH53" s="373"/>
      <c r="REI53" s="373"/>
      <c r="REJ53" s="373"/>
      <c r="REK53" s="373"/>
      <c r="REL53" s="373"/>
      <c r="REM53" s="373"/>
      <c r="REN53" s="373"/>
      <c r="REO53" s="373"/>
      <c r="REP53" s="373"/>
      <c r="REQ53" s="373"/>
      <c r="RER53" s="373"/>
      <c r="RES53" s="373"/>
      <c r="RET53" s="373"/>
      <c r="REU53" s="373"/>
      <c r="REV53" s="373"/>
      <c r="REW53" s="373"/>
      <c r="REX53" s="373"/>
      <c r="REY53" s="373"/>
      <c r="REZ53" s="373"/>
      <c r="RFA53" s="373"/>
      <c r="RFB53" s="373"/>
      <c r="RFC53" s="373"/>
      <c r="RFD53" s="373"/>
      <c r="RFE53" s="373"/>
      <c r="RFF53" s="373"/>
      <c r="RFG53" s="373"/>
      <c r="RFH53" s="373"/>
      <c r="RFI53" s="373"/>
      <c r="RFJ53" s="373"/>
      <c r="RFK53" s="373"/>
      <c r="RFL53" s="373"/>
      <c r="RFM53" s="373"/>
      <c r="RFN53" s="373"/>
      <c r="RFO53" s="373"/>
      <c r="RFP53" s="373"/>
      <c r="RFQ53" s="373"/>
      <c r="RFR53" s="373"/>
      <c r="RFS53" s="373"/>
      <c r="RFT53" s="373"/>
      <c r="RFU53" s="373"/>
      <c r="RFV53" s="373"/>
      <c r="RFW53" s="373"/>
      <c r="RFX53" s="373"/>
      <c r="RFY53" s="373"/>
      <c r="RFZ53" s="373"/>
      <c r="RGA53" s="373"/>
      <c r="RGB53" s="373"/>
      <c r="RGC53" s="373"/>
      <c r="RGD53" s="373"/>
      <c r="RGE53" s="373"/>
      <c r="RGF53" s="373"/>
      <c r="RGG53" s="373"/>
      <c r="RGH53" s="373"/>
      <c r="RGI53" s="373"/>
      <c r="RGJ53" s="373"/>
      <c r="RGK53" s="373"/>
      <c r="RGL53" s="373"/>
      <c r="RGM53" s="373"/>
      <c r="RGN53" s="373"/>
      <c r="RGO53" s="373"/>
      <c r="RGP53" s="373"/>
      <c r="RGQ53" s="373"/>
      <c r="RGR53" s="373"/>
      <c r="RGS53" s="373"/>
      <c r="RGT53" s="373"/>
      <c r="RGU53" s="373"/>
      <c r="RGV53" s="373"/>
      <c r="RGW53" s="373"/>
      <c r="RGX53" s="373"/>
      <c r="RGY53" s="373"/>
      <c r="RGZ53" s="373"/>
      <c r="RHA53" s="373"/>
      <c r="RHB53" s="373"/>
      <c r="RHC53" s="373"/>
      <c r="RHD53" s="373"/>
      <c r="RHE53" s="373"/>
      <c r="RHF53" s="373"/>
      <c r="RHG53" s="373"/>
      <c r="RHH53" s="373"/>
      <c r="RHI53" s="373"/>
      <c r="RHJ53" s="373"/>
      <c r="RHK53" s="373"/>
      <c r="RHL53" s="373"/>
      <c r="RHM53" s="373"/>
      <c r="RHN53" s="373"/>
      <c r="RHO53" s="373"/>
      <c r="RHP53" s="373"/>
      <c r="RHQ53" s="373"/>
      <c r="RHR53" s="373"/>
      <c r="RHS53" s="373"/>
      <c r="RHT53" s="373"/>
      <c r="RHU53" s="373"/>
      <c r="RHV53" s="373"/>
      <c r="RHW53" s="373"/>
      <c r="RHX53" s="373"/>
      <c r="RHY53" s="373"/>
      <c r="RHZ53" s="373"/>
      <c r="RIA53" s="373"/>
      <c r="RIB53" s="373"/>
      <c r="RIC53" s="373"/>
      <c r="RID53" s="373"/>
      <c r="RIE53" s="373"/>
      <c r="RIF53" s="373"/>
      <c r="RIG53" s="373"/>
      <c r="RIH53" s="373"/>
      <c r="RII53" s="373"/>
      <c r="RIJ53" s="373"/>
      <c r="RIK53" s="373"/>
      <c r="RIL53" s="373"/>
      <c r="RIM53" s="373"/>
      <c r="RIN53" s="373"/>
      <c r="RIO53" s="373"/>
      <c r="RIP53" s="373"/>
      <c r="RIQ53" s="373"/>
      <c r="RIR53" s="373"/>
      <c r="RIS53" s="373"/>
      <c r="RIT53" s="373"/>
      <c r="RIU53" s="373"/>
      <c r="RIV53" s="373"/>
      <c r="RIW53" s="373"/>
      <c r="RIX53" s="373"/>
      <c r="RIY53" s="373"/>
      <c r="RIZ53" s="373"/>
      <c r="RJA53" s="373"/>
      <c r="RJB53" s="373"/>
      <c r="RJC53" s="373"/>
      <c r="RJD53" s="373"/>
      <c r="RJE53" s="373"/>
      <c r="RJF53" s="373"/>
      <c r="RJG53" s="373"/>
      <c r="RJH53" s="373"/>
      <c r="RJI53" s="373"/>
      <c r="RJJ53" s="373"/>
      <c r="RJK53" s="373"/>
      <c r="RJL53" s="373"/>
      <c r="RJM53" s="373"/>
      <c r="RJN53" s="373"/>
      <c r="RJO53" s="373"/>
      <c r="RJP53" s="373"/>
      <c r="RJQ53" s="373"/>
      <c r="RJR53" s="373"/>
      <c r="RJS53" s="373"/>
      <c r="RJT53" s="373"/>
      <c r="RJU53" s="373"/>
      <c r="RJV53" s="373"/>
      <c r="RJW53" s="373"/>
      <c r="RJX53" s="373"/>
      <c r="RJY53" s="373"/>
      <c r="RJZ53" s="373"/>
      <c r="RKA53" s="373"/>
      <c r="RKB53" s="373"/>
      <c r="RKC53" s="373"/>
      <c r="RKD53" s="373"/>
      <c r="RKE53" s="373"/>
      <c r="RKF53" s="373"/>
      <c r="RKG53" s="373"/>
      <c r="RKH53" s="373"/>
      <c r="RKI53" s="373"/>
      <c r="RKJ53" s="373"/>
      <c r="RKK53" s="373"/>
      <c r="RKL53" s="373"/>
      <c r="RKM53" s="373"/>
      <c r="RKN53" s="373"/>
      <c r="RKO53" s="373"/>
      <c r="RKP53" s="373"/>
      <c r="RKQ53" s="373"/>
      <c r="RKR53" s="373"/>
      <c r="RKS53" s="373"/>
      <c r="RKT53" s="373"/>
      <c r="RKU53" s="373"/>
      <c r="RKV53" s="373"/>
      <c r="RKW53" s="373"/>
      <c r="RKX53" s="373"/>
      <c r="RKY53" s="373"/>
      <c r="RKZ53" s="373"/>
      <c r="RLA53" s="373"/>
      <c r="RLB53" s="373"/>
      <c r="RLC53" s="373"/>
      <c r="RLD53" s="373"/>
      <c r="RLE53" s="373"/>
      <c r="RLF53" s="373"/>
      <c r="RLG53" s="373"/>
      <c r="RLH53" s="373"/>
      <c r="RLI53" s="373"/>
      <c r="RLJ53" s="373"/>
      <c r="RLK53" s="373"/>
      <c r="RLL53" s="373"/>
      <c r="RLM53" s="373"/>
      <c r="RLN53" s="373"/>
      <c r="RLO53" s="373"/>
      <c r="RLP53" s="373"/>
      <c r="RLQ53" s="373"/>
      <c r="RLR53" s="373"/>
      <c r="RLS53" s="373"/>
      <c r="RLT53" s="373"/>
      <c r="RLU53" s="373"/>
      <c r="RLV53" s="373"/>
      <c r="RLW53" s="373"/>
      <c r="RLX53" s="373"/>
      <c r="RLY53" s="373"/>
      <c r="RLZ53" s="373"/>
      <c r="RMA53" s="373"/>
      <c r="RMB53" s="373"/>
      <c r="RMC53" s="373"/>
      <c r="RMD53" s="373"/>
      <c r="RME53" s="373"/>
      <c r="RMF53" s="373"/>
      <c r="RMG53" s="373"/>
      <c r="RMH53" s="373"/>
      <c r="RMI53" s="373"/>
      <c r="RMJ53" s="373"/>
      <c r="RMK53" s="373"/>
      <c r="RML53" s="373"/>
      <c r="RMM53" s="373"/>
      <c r="RMN53" s="373"/>
      <c r="RMO53" s="373"/>
      <c r="RMP53" s="373"/>
      <c r="RMQ53" s="373"/>
      <c r="RMR53" s="373"/>
      <c r="RMS53" s="373"/>
      <c r="RMT53" s="373"/>
      <c r="RMU53" s="373"/>
      <c r="RMV53" s="373"/>
      <c r="RMW53" s="373"/>
      <c r="RMX53" s="373"/>
      <c r="RMY53" s="373"/>
      <c r="RMZ53" s="373"/>
      <c r="RNA53" s="373"/>
      <c r="RNB53" s="373"/>
      <c r="RNC53" s="373"/>
      <c r="RND53" s="373"/>
      <c r="RNE53" s="373"/>
      <c r="RNF53" s="373"/>
      <c r="RNG53" s="373"/>
      <c r="RNH53" s="373"/>
      <c r="RNI53" s="373"/>
      <c r="RNJ53" s="373"/>
      <c r="RNK53" s="373"/>
      <c r="RNL53" s="373"/>
      <c r="RNM53" s="373"/>
      <c r="RNN53" s="373"/>
      <c r="RNO53" s="373"/>
      <c r="RNP53" s="373"/>
      <c r="RNQ53" s="373"/>
      <c r="RNR53" s="373"/>
      <c r="RNS53" s="373"/>
      <c r="RNT53" s="373"/>
      <c r="RNU53" s="373"/>
      <c r="RNV53" s="373"/>
      <c r="RNW53" s="373"/>
      <c r="RNX53" s="373"/>
      <c r="RNY53" s="373"/>
      <c r="RNZ53" s="373"/>
      <c r="ROA53" s="373"/>
      <c r="ROB53" s="373"/>
      <c r="ROC53" s="373"/>
      <c r="ROD53" s="373"/>
      <c r="ROE53" s="373"/>
      <c r="ROF53" s="373"/>
      <c r="ROG53" s="373"/>
      <c r="ROH53" s="373"/>
      <c r="ROI53" s="373"/>
      <c r="ROJ53" s="373"/>
      <c r="ROK53" s="373"/>
      <c r="ROL53" s="373"/>
      <c r="ROM53" s="373"/>
      <c r="RON53" s="373"/>
      <c r="ROO53" s="373"/>
      <c r="ROP53" s="373"/>
      <c r="ROQ53" s="373"/>
      <c r="ROR53" s="373"/>
      <c r="ROS53" s="373"/>
      <c r="ROT53" s="373"/>
      <c r="ROU53" s="373"/>
      <c r="ROV53" s="373"/>
      <c r="ROW53" s="373"/>
      <c r="ROX53" s="373"/>
      <c r="ROY53" s="373"/>
      <c r="ROZ53" s="373"/>
      <c r="RPA53" s="373"/>
      <c r="RPB53" s="373"/>
      <c r="RPC53" s="373"/>
      <c r="RPD53" s="373"/>
      <c r="RPE53" s="373"/>
      <c r="RPF53" s="373"/>
      <c r="RPG53" s="373"/>
      <c r="RPH53" s="373"/>
      <c r="RPI53" s="373"/>
      <c r="RPJ53" s="373"/>
      <c r="RPK53" s="373"/>
      <c r="RPL53" s="373"/>
      <c r="RPM53" s="373"/>
      <c r="RPN53" s="373"/>
      <c r="RPO53" s="373"/>
      <c r="RPP53" s="373"/>
      <c r="RPQ53" s="373"/>
      <c r="RPR53" s="373"/>
      <c r="RPS53" s="373"/>
      <c r="RPT53" s="373"/>
      <c r="RPU53" s="373"/>
      <c r="RPV53" s="373"/>
      <c r="RPW53" s="373"/>
      <c r="RPX53" s="373"/>
      <c r="RPY53" s="373"/>
      <c r="RPZ53" s="373"/>
      <c r="RQA53" s="373"/>
      <c r="RQB53" s="373"/>
      <c r="RQC53" s="373"/>
      <c r="RQD53" s="373"/>
      <c r="RQE53" s="373"/>
      <c r="RQF53" s="373"/>
      <c r="RQG53" s="373"/>
      <c r="RQH53" s="373"/>
      <c r="RQI53" s="373"/>
      <c r="RQJ53" s="373"/>
      <c r="RQK53" s="373"/>
      <c r="RQL53" s="373"/>
      <c r="RQM53" s="373"/>
      <c r="RQN53" s="373"/>
      <c r="RQO53" s="373"/>
      <c r="RQP53" s="373"/>
      <c r="RQQ53" s="373"/>
      <c r="RQR53" s="373"/>
      <c r="RQS53" s="373"/>
      <c r="RQT53" s="373"/>
      <c r="RQU53" s="373"/>
      <c r="RQV53" s="373"/>
      <c r="RQW53" s="373"/>
      <c r="RQX53" s="373"/>
      <c r="RQY53" s="373"/>
      <c r="RQZ53" s="373"/>
      <c r="RRA53" s="373"/>
      <c r="RRB53" s="373"/>
      <c r="RRC53" s="373"/>
      <c r="RRD53" s="373"/>
      <c r="RRE53" s="373"/>
      <c r="RRF53" s="373"/>
      <c r="RRG53" s="373"/>
      <c r="RRH53" s="373"/>
      <c r="RRI53" s="373"/>
      <c r="RRJ53" s="373"/>
      <c r="RRK53" s="373"/>
      <c r="RRL53" s="373"/>
      <c r="RRM53" s="373"/>
      <c r="RRN53" s="373"/>
      <c r="RRO53" s="373"/>
      <c r="RRP53" s="373"/>
      <c r="RRQ53" s="373"/>
      <c r="RRR53" s="373"/>
      <c r="RRS53" s="373"/>
      <c r="RRT53" s="373"/>
      <c r="RRU53" s="373"/>
      <c r="RRV53" s="373"/>
      <c r="RRW53" s="373"/>
      <c r="RRX53" s="373"/>
      <c r="RRY53" s="373"/>
      <c r="RRZ53" s="373"/>
      <c r="RSA53" s="373"/>
      <c r="RSB53" s="373"/>
      <c r="RSC53" s="373"/>
      <c r="RSD53" s="373"/>
      <c r="RSE53" s="373"/>
      <c r="RSF53" s="373"/>
      <c r="RSG53" s="373"/>
      <c r="RSH53" s="373"/>
      <c r="RSI53" s="373"/>
      <c r="RSJ53" s="373"/>
      <c r="RSK53" s="373"/>
      <c r="RSL53" s="373"/>
      <c r="RSM53" s="373"/>
      <c r="RSN53" s="373"/>
      <c r="RSO53" s="373"/>
      <c r="RSP53" s="373"/>
      <c r="RSQ53" s="373"/>
      <c r="RSR53" s="373"/>
      <c r="RSS53" s="373"/>
      <c r="RST53" s="373"/>
      <c r="RSU53" s="373"/>
      <c r="RSV53" s="373"/>
      <c r="RSW53" s="373"/>
      <c r="RSX53" s="373"/>
      <c r="RSY53" s="373"/>
      <c r="RSZ53" s="373"/>
      <c r="RTA53" s="373"/>
      <c r="RTB53" s="373"/>
      <c r="RTC53" s="373"/>
      <c r="RTD53" s="373"/>
      <c r="RTE53" s="373"/>
      <c r="RTF53" s="373"/>
      <c r="RTG53" s="373"/>
      <c r="RTH53" s="373"/>
      <c r="RTI53" s="373"/>
      <c r="RTJ53" s="373"/>
      <c r="RTK53" s="373"/>
      <c r="RTL53" s="373"/>
      <c r="RTM53" s="373"/>
      <c r="RTN53" s="373"/>
      <c r="RTO53" s="373"/>
      <c r="RTP53" s="373"/>
      <c r="RTQ53" s="373"/>
      <c r="RTR53" s="373"/>
      <c r="RTS53" s="373"/>
      <c r="RTT53" s="373"/>
      <c r="RTU53" s="373"/>
      <c r="RTV53" s="373"/>
      <c r="RTW53" s="373"/>
      <c r="RTX53" s="373"/>
      <c r="RTY53" s="373"/>
      <c r="RTZ53" s="373"/>
      <c r="RUA53" s="373"/>
      <c r="RUB53" s="373"/>
      <c r="RUC53" s="373"/>
      <c r="RUD53" s="373"/>
      <c r="RUE53" s="373"/>
      <c r="RUF53" s="373"/>
      <c r="RUG53" s="373"/>
      <c r="RUH53" s="373"/>
      <c r="RUI53" s="373"/>
      <c r="RUJ53" s="373"/>
      <c r="RUK53" s="373"/>
      <c r="RUL53" s="373"/>
      <c r="RUM53" s="373"/>
      <c r="RUN53" s="373"/>
      <c r="RUO53" s="373"/>
      <c r="RUP53" s="373"/>
      <c r="RUQ53" s="373"/>
      <c r="RUR53" s="373"/>
      <c r="RUS53" s="373"/>
      <c r="RUT53" s="373"/>
      <c r="RUU53" s="373"/>
      <c r="RUV53" s="373"/>
      <c r="RUW53" s="373"/>
      <c r="RUX53" s="373"/>
      <c r="RUY53" s="373"/>
      <c r="RUZ53" s="373"/>
      <c r="RVA53" s="373"/>
      <c r="RVB53" s="373"/>
      <c r="RVC53" s="373"/>
      <c r="RVD53" s="373"/>
      <c r="RVE53" s="373"/>
      <c r="RVF53" s="373"/>
      <c r="RVG53" s="373"/>
      <c r="RVH53" s="373"/>
      <c r="RVI53" s="373"/>
      <c r="RVJ53" s="373"/>
      <c r="RVK53" s="373"/>
      <c r="RVL53" s="373"/>
      <c r="RVM53" s="373"/>
      <c r="RVN53" s="373"/>
      <c r="RVO53" s="373"/>
      <c r="RVP53" s="373"/>
      <c r="RVQ53" s="373"/>
      <c r="RVR53" s="373"/>
      <c r="RVS53" s="373"/>
      <c r="RVT53" s="373"/>
      <c r="RVU53" s="373"/>
      <c r="RVV53" s="373"/>
      <c r="RVW53" s="373"/>
      <c r="RVX53" s="373"/>
      <c r="RVY53" s="373"/>
      <c r="RVZ53" s="373"/>
      <c r="RWA53" s="373"/>
      <c r="RWB53" s="373"/>
      <c r="RWC53" s="373"/>
      <c r="RWD53" s="373"/>
      <c r="RWE53" s="373"/>
      <c r="RWF53" s="373"/>
      <c r="RWG53" s="373"/>
      <c r="RWH53" s="373"/>
      <c r="RWI53" s="373"/>
      <c r="RWJ53" s="373"/>
      <c r="RWK53" s="373"/>
      <c r="RWL53" s="373"/>
      <c r="RWM53" s="373"/>
      <c r="RWN53" s="373"/>
      <c r="RWO53" s="373"/>
      <c r="RWP53" s="373"/>
      <c r="RWQ53" s="373"/>
      <c r="RWR53" s="373"/>
      <c r="RWS53" s="373"/>
      <c r="RWT53" s="373"/>
      <c r="RWU53" s="373"/>
      <c r="RWV53" s="373"/>
      <c r="RWW53" s="373"/>
      <c r="RWX53" s="373"/>
      <c r="RWY53" s="373"/>
      <c r="RWZ53" s="373"/>
      <c r="RXA53" s="373"/>
      <c r="RXB53" s="373"/>
      <c r="RXC53" s="373"/>
      <c r="RXD53" s="373"/>
      <c r="RXE53" s="373"/>
      <c r="RXF53" s="373"/>
      <c r="RXG53" s="373"/>
      <c r="RXH53" s="373"/>
      <c r="RXI53" s="373"/>
      <c r="RXJ53" s="373"/>
      <c r="RXK53" s="373"/>
      <c r="RXL53" s="373"/>
      <c r="RXM53" s="373"/>
      <c r="RXN53" s="373"/>
      <c r="RXO53" s="373"/>
      <c r="RXP53" s="373"/>
      <c r="RXQ53" s="373"/>
      <c r="RXR53" s="373"/>
      <c r="RXS53" s="373"/>
      <c r="RXT53" s="373"/>
      <c r="RXU53" s="373"/>
      <c r="RXV53" s="373"/>
      <c r="RXW53" s="373"/>
      <c r="RXX53" s="373"/>
      <c r="RXY53" s="373"/>
      <c r="RXZ53" s="373"/>
      <c r="RYA53" s="373"/>
      <c r="RYB53" s="373"/>
      <c r="RYC53" s="373"/>
      <c r="RYD53" s="373"/>
      <c r="RYE53" s="373"/>
      <c r="RYF53" s="373"/>
      <c r="RYG53" s="373"/>
      <c r="RYH53" s="373"/>
      <c r="RYI53" s="373"/>
      <c r="RYJ53" s="373"/>
      <c r="RYK53" s="373"/>
      <c r="RYL53" s="373"/>
      <c r="RYM53" s="373"/>
      <c r="RYN53" s="373"/>
      <c r="RYO53" s="373"/>
      <c r="RYP53" s="373"/>
      <c r="RYQ53" s="373"/>
      <c r="RYR53" s="373"/>
      <c r="RYS53" s="373"/>
      <c r="RYT53" s="373"/>
      <c r="RYU53" s="373"/>
      <c r="RYV53" s="373"/>
      <c r="RYW53" s="373"/>
      <c r="RYX53" s="373"/>
      <c r="RYY53" s="373"/>
      <c r="RYZ53" s="373"/>
      <c r="RZA53" s="373"/>
      <c r="RZB53" s="373"/>
      <c r="RZC53" s="373"/>
      <c r="RZD53" s="373"/>
      <c r="RZE53" s="373"/>
      <c r="RZF53" s="373"/>
      <c r="RZG53" s="373"/>
      <c r="RZH53" s="373"/>
      <c r="RZI53" s="373"/>
      <c r="RZJ53" s="373"/>
      <c r="RZK53" s="373"/>
      <c r="RZL53" s="373"/>
      <c r="RZM53" s="373"/>
      <c r="RZN53" s="373"/>
      <c r="RZO53" s="373"/>
      <c r="RZP53" s="373"/>
      <c r="RZQ53" s="373"/>
      <c r="RZR53" s="373"/>
      <c r="RZS53" s="373"/>
      <c r="RZT53" s="373"/>
      <c r="RZU53" s="373"/>
      <c r="RZV53" s="373"/>
      <c r="RZW53" s="373"/>
      <c r="RZX53" s="373"/>
      <c r="RZY53" s="373"/>
      <c r="RZZ53" s="373"/>
      <c r="SAA53" s="373"/>
      <c r="SAB53" s="373"/>
      <c r="SAC53" s="373"/>
      <c r="SAD53" s="373"/>
      <c r="SAE53" s="373"/>
      <c r="SAF53" s="373"/>
      <c r="SAG53" s="373"/>
      <c r="SAH53" s="373"/>
      <c r="SAI53" s="373"/>
      <c r="SAJ53" s="373"/>
      <c r="SAK53" s="373"/>
      <c r="SAL53" s="373"/>
      <c r="SAM53" s="373"/>
      <c r="SAN53" s="373"/>
      <c r="SAO53" s="373"/>
      <c r="SAP53" s="373"/>
      <c r="SAQ53" s="373"/>
      <c r="SAR53" s="373"/>
      <c r="SAS53" s="373"/>
      <c r="SAT53" s="373"/>
      <c r="SAU53" s="373"/>
      <c r="SAV53" s="373"/>
      <c r="SAW53" s="373"/>
      <c r="SAX53" s="373"/>
      <c r="SAY53" s="373"/>
      <c r="SAZ53" s="373"/>
      <c r="SBA53" s="373"/>
      <c r="SBB53" s="373"/>
      <c r="SBC53" s="373"/>
      <c r="SBD53" s="373"/>
      <c r="SBE53" s="373"/>
      <c r="SBF53" s="373"/>
      <c r="SBG53" s="373"/>
      <c r="SBH53" s="373"/>
      <c r="SBI53" s="373"/>
      <c r="SBJ53" s="373"/>
      <c r="SBK53" s="373"/>
      <c r="SBL53" s="373"/>
      <c r="SBM53" s="373"/>
      <c r="SBN53" s="373"/>
      <c r="SBO53" s="373"/>
      <c r="SBP53" s="373"/>
      <c r="SBQ53" s="373"/>
      <c r="SBR53" s="373"/>
      <c r="SBS53" s="373"/>
      <c r="SBT53" s="373"/>
      <c r="SBU53" s="373"/>
      <c r="SBV53" s="373"/>
      <c r="SBW53" s="373"/>
      <c r="SBX53" s="373"/>
      <c r="SBY53" s="373"/>
      <c r="SBZ53" s="373"/>
      <c r="SCA53" s="373"/>
      <c r="SCB53" s="373"/>
      <c r="SCC53" s="373"/>
      <c r="SCD53" s="373"/>
      <c r="SCE53" s="373"/>
      <c r="SCF53" s="373"/>
      <c r="SCG53" s="373"/>
      <c r="SCH53" s="373"/>
      <c r="SCI53" s="373"/>
      <c r="SCJ53" s="373"/>
      <c r="SCK53" s="373"/>
      <c r="SCL53" s="373"/>
      <c r="SCM53" s="373"/>
      <c r="SCN53" s="373"/>
      <c r="SCO53" s="373"/>
      <c r="SCP53" s="373"/>
      <c r="SCQ53" s="373"/>
      <c r="SCR53" s="373"/>
      <c r="SCS53" s="373"/>
      <c r="SCT53" s="373"/>
      <c r="SCU53" s="373"/>
      <c r="SCV53" s="373"/>
      <c r="SCW53" s="373"/>
      <c r="SCX53" s="373"/>
      <c r="SCY53" s="373"/>
      <c r="SCZ53" s="373"/>
      <c r="SDA53" s="373"/>
      <c r="SDB53" s="373"/>
      <c r="SDC53" s="373"/>
      <c r="SDD53" s="373"/>
      <c r="SDE53" s="373"/>
      <c r="SDF53" s="373"/>
      <c r="SDG53" s="373"/>
      <c r="SDH53" s="373"/>
      <c r="SDI53" s="373"/>
      <c r="SDJ53" s="373"/>
      <c r="SDK53" s="373"/>
      <c r="SDL53" s="373"/>
      <c r="SDM53" s="373"/>
      <c r="SDN53" s="373"/>
      <c r="SDO53" s="373"/>
      <c r="SDP53" s="373"/>
      <c r="SDQ53" s="373"/>
      <c r="SDR53" s="373"/>
      <c r="SDS53" s="373"/>
      <c r="SDT53" s="373"/>
      <c r="SDU53" s="373"/>
      <c r="SDV53" s="373"/>
      <c r="SDW53" s="373"/>
      <c r="SDX53" s="373"/>
      <c r="SDY53" s="373"/>
      <c r="SDZ53" s="373"/>
      <c r="SEA53" s="373"/>
      <c r="SEB53" s="373"/>
      <c r="SEC53" s="373"/>
      <c r="SED53" s="373"/>
      <c r="SEE53" s="373"/>
      <c r="SEF53" s="373"/>
      <c r="SEG53" s="373"/>
      <c r="SEH53" s="373"/>
      <c r="SEI53" s="373"/>
      <c r="SEJ53" s="373"/>
      <c r="SEK53" s="373"/>
      <c r="SEL53" s="373"/>
      <c r="SEM53" s="373"/>
      <c r="SEN53" s="373"/>
      <c r="SEO53" s="373"/>
      <c r="SEP53" s="373"/>
      <c r="SEQ53" s="373"/>
      <c r="SER53" s="373"/>
      <c r="SES53" s="373"/>
      <c r="SET53" s="373"/>
      <c r="SEU53" s="373"/>
      <c r="SEV53" s="373"/>
      <c r="SEW53" s="373"/>
      <c r="SEX53" s="373"/>
      <c r="SEY53" s="373"/>
      <c r="SEZ53" s="373"/>
      <c r="SFA53" s="373"/>
      <c r="SFB53" s="373"/>
      <c r="SFC53" s="373"/>
      <c r="SFD53" s="373"/>
      <c r="SFE53" s="373"/>
      <c r="SFF53" s="373"/>
      <c r="SFG53" s="373"/>
      <c r="SFH53" s="373"/>
      <c r="SFI53" s="373"/>
      <c r="SFJ53" s="373"/>
      <c r="SFK53" s="373"/>
      <c r="SFL53" s="373"/>
      <c r="SFM53" s="373"/>
      <c r="SFN53" s="373"/>
      <c r="SFO53" s="373"/>
      <c r="SFP53" s="373"/>
      <c r="SFQ53" s="373"/>
      <c r="SFR53" s="373"/>
      <c r="SFS53" s="373"/>
      <c r="SFT53" s="373"/>
      <c r="SFU53" s="373"/>
      <c r="SFV53" s="373"/>
      <c r="SFW53" s="373"/>
      <c r="SFX53" s="373"/>
      <c r="SFY53" s="373"/>
      <c r="SFZ53" s="373"/>
      <c r="SGA53" s="373"/>
      <c r="SGB53" s="373"/>
      <c r="SGC53" s="373"/>
      <c r="SGD53" s="373"/>
      <c r="SGE53" s="373"/>
      <c r="SGF53" s="373"/>
      <c r="SGG53" s="373"/>
      <c r="SGH53" s="373"/>
      <c r="SGI53" s="373"/>
      <c r="SGJ53" s="373"/>
      <c r="SGK53" s="373"/>
      <c r="SGL53" s="373"/>
      <c r="SGM53" s="373"/>
      <c r="SGN53" s="373"/>
      <c r="SGO53" s="373"/>
      <c r="SGP53" s="373"/>
      <c r="SGQ53" s="373"/>
      <c r="SGR53" s="373"/>
      <c r="SGS53" s="373"/>
      <c r="SGT53" s="373"/>
      <c r="SGU53" s="373"/>
      <c r="SGV53" s="373"/>
      <c r="SGW53" s="373"/>
      <c r="SGX53" s="373"/>
      <c r="SGY53" s="373"/>
      <c r="SGZ53" s="373"/>
      <c r="SHA53" s="373"/>
      <c r="SHB53" s="373"/>
      <c r="SHC53" s="373"/>
      <c r="SHD53" s="373"/>
      <c r="SHE53" s="373"/>
      <c r="SHF53" s="373"/>
      <c r="SHG53" s="373"/>
      <c r="SHH53" s="373"/>
      <c r="SHI53" s="373"/>
      <c r="SHJ53" s="373"/>
      <c r="SHK53" s="373"/>
      <c r="SHL53" s="373"/>
      <c r="SHM53" s="373"/>
      <c r="SHN53" s="373"/>
      <c r="SHO53" s="373"/>
      <c r="SHP53" s="373"/>
      <c r="SHQ53" s="373"/>
      <c r="SHR53" s="373"/>
      <c r="SHS53" s="373"/>
      <c r="SHT53" s="373"/>
      <c r="SHU53" s="373"/>
      <c r="SHV53" s="373"/>
      <c r="SHW53" s="373"/>
      <c r="SHX53" s="373"/>
      <c r="SHY53" s="373"/>
      <c r="SHZ53" s="373"/>
      <c r="SIA53" s="373"/>
      <c r="SIB53" s="373"/>
      <c r="SIC53" s="373"/>
      <c r="SID53" s="373"/>
      <c r="SIE53" s="373"/>
      <c r="SIF53" s="373"/>
      <c r="SIG53" s="373"/>
      <c r="SIH53" s="373"/>
      <c r="SII53" s="373"/>
      <c r="SIJ53" s="373"/>
      <c r="SIK53" s="373"/>
      <c r="SIL53" s="373"/>
      <c r="SIM53" s="373"/>
      <c r="SIN53" s="373"/>
      <c r="SIO53" s="373"/>
      <c r="SIP53" s="373"/>
      <c r="SIQ53" s="373"/>
      <c r="SIR53" s="373"/>
      <c r="SIS53" s="373"/>
      <c r="SIT53" s="373"/>
      <c r="SIU53" s="373"/>
      <c r="SIV53" s="373"/>
      <c r="SIW53" s="373"/>
      <c r="SIX53" s="373"/>
      <c r="SIY53" s="373"/>
      <c r="SIZ53" s="373"/>
      <c r="SJA53" s="373"/>
      <c r="SJB53" s="373"/>
      <c r="SJC53" s="373"/>
      <c r="SJD53" s="373"/>
      <c r="SJE53" s="373"/>
      <c r="SJF53" s="373"/>
      <c r="SJG53" s="373"/>
      <c r="SJH53" s="373"/>
      <c r="SJI53" s="373"/>
      <c r="SJJ53" s="373"/>
      <c r="SJK53" s="373"/>
      <c r="SJL53" s="373"/>
      <c r="SJM53" s="373"/>
      <c r="SJN53" s="373"/>
      <c r="SJO53" s="373"/>
      <c r="SJP53" s="373"/>
      <c r="SJQ53" s="373"/>
      <c r="SJR53" s="373"/>
      <c r="SJS53" s="373"/>
      <c r="SJT53" s="373"/>
      <c r="SJU53" s="373"/>
      <c r="SJV53" s="373"/>
      <c r="SJW53" s="373"/>
      <c r="SJX53" s="373"/>
      <c r="SJY53" s="373"/>
      <c r="SJZ53" s="373"/>
      <c r="SKA53" s="373"/>
      <c r="SKB53" s="373"/>
      <c r="SKC53" s="373"/>
      <c r="SKD53" s="373"/>
      <c r="SKE53" s="373"/>
      <c r="SKF53" s="373"/>
      <c r="SKG53" s="373"/>
      <c r="SKH53" s="373"/>
      <c r="SKI53" s="373"/>
      <c r="SKJ53" s="373"/>
      <c r="SKK53" s="373"/>
      <c r="SKL53" s="373"/>
      <c r="SKM53" s="373"/>
      <c r="SKN53" s="373"/>
      <c r="SKO53" s="373"/>
      <c r="SKP53" s="373"/>
      <c r="SKQ53" s="373"/>
      <c r="SKR53" s="373"/>
      <c r="SKS53" s="373"/>
      <c r="SKT53" s="373"/>
      <c r="SKU53" s="373"/>
      <c r="SKV53" s="373"/>
      <c r="SKW53" s="373"/>
      <c r="SKX53" s="373"/>
      <c r="SKY53" s="373"/>
      <c r="SKZ53" s="373"/>
      <c r="SLA53" s="373"/>
      <c r="SLB53" s="373"/>
      <c r="SLC53" s="373"/>
      <c r="SLD53" s="373"/>
      <c r="SLE53" s="373"/>
      <c r="SLF53" s="373"/>
      <c r="SLG53" s="373"/>
      <c r="SLH53" s="373"/>
      <c r="SLI53" s="373"/>
      <c r="SLJ53" s="373"/>
      <c r="SLK53" s="373"/>
      <c r="SLL53" s="373"/>
      <c r="SLM53" s="373"/>
      <c r="SLN53" s="373"/>
      <c r="SLO53" s="373"/>
      <c r="SLP53" s="373"/>
      <c r="SLQ53" s="373"/>
      <c r="SLR53" s="373"/>
      <c r="SLS53" s="373"/>
      <c r="SLT53" s="373"/>
      <c r="SLU53" s="373"/>
      <c r="SLV53" s="373"/>
      <c r="SLW53" s="373"/>
      <c r="SLX53" s="373"/>
      <c r="SLY53" s="373"/>
      <c r="SLZ53" s="373"/>
      <c r="SMA53" s="373"/>
      <c r="SMB53" s="373"/>
      <c r="SMC53" s="373"/>
      <c r="SMD53" s="373"/>
      <c r="SME53" s="373"/>
      <c r="SMF53" s="373"/>
      <c r="SMG53" s="373"/>
      <c r="SMH53" s="373"/>
      <c r="SMI53" s="373"/>
      <c r="SMJ53" s="373"/>
      <c r="SMK53" s="373"/>
      <c r="SML53" s="373"/>
      <c r="SMM53" s="373"/>
      <c r="SMN53" s="373"/>
      <c r="SMO53" s="373"/>
      <c r="SMP53" s="373"/>
      <c r="SMQ53" s="373"/>
      <c r="SMR53" s="373"/>
      <c r="SMS53" s="373"/>
      <c r="SMT53" s="373"/>
      <c r="SMU53" s="373"/>
      <c r="SMV53" s="373"/>
      <c r="SMW53" s="373"/>
      <c r="SMX53" s="373"/>
      <c r="SMY53" s="373"/>
      <c r="SMZ53" s="373"/>
      <c r="SNA53" s="373"/>
      <c r="SNB53" s="373"/>
      <c r="SNC53" s="373"/>
      <c r="SND53" s="373"/>
      <c r="SNE53" s="373"/>
      <c r="SNF53" s="373"/>
      <c r="SNG53" s="373"/>
      <c r="SNH53" s="373"/>
      <c r="SNI53" s="373"/>
      <c r="SNJ53" s="373"/>
      <c r="SNK53" s="373"/>
      <c r="SNL53" s="373"/>
      <c r="SNM53" s="373"/>
      <c r="SNN53" s="373"/>
      <c r="SNO53" s="373"/>
      <c r="SNP53" s="373"/>
      <c r="SNQ53" s="373"/>
      <c r="SNR53" s="373"/>
      <c r="SNS53" s="373"/>
      <c r="SNT53" s="373"/>
      <c r="SNU53" s="373"/>
      <c r="SNV53" s="373"/>
      <c r="SNW53" s="373"/>
      <c r="SNX53" s="373"/>
      <c r="SNY53" s="373"/>
      <c r="SNZ53" s="373"/>
      <c r="SOA53" s="373"/>
      <c r="SOB53" s="373"/>
      <c r="SOC53" s="373"/>
      <c r="SOD53" s="373"/>
      <c r="SOE53" s="373"/>
      <c r="SOF53" s="373"/>
      <c r="SOG53" s="373"/>
      <c r="SOH53" s="373"/>
      <c r="SOI53" s="373"/>
      <c r="SOJ53" s="373"/>
      <c r="SOK53" s="373"/>
      <c r="SOL53" s="373"/>
      <c r="SOM53" s="373"/>
      <c r="SON53" s="373"/>
      <c r="SOO53" s="373"/>
      <c r="SOP53" s="373"/>
      <c r="SOQ53" s="373"/>
      <c r="SOR53" s="373"/>
      <c r="SOS53" s="373"/>
      <c r="SOT53" s="373"/>
      <c r="SOU53" s="373"/>
      <c r="SOV53" s="373"/>
      <c r="SOW53" s="373"/>
      <c r="SOX53" s="373"/>
      <c r="SOY53" s="373"/>
      <c r="SOZ53" s="373"/>
      <c r="SPA53" s="373"/>
      <c r="SPB53" s="373"/>
      <c r="SPC53" s="373"/>
      <c r="SPD53" s="373"/>
      <c r="SPE53" s="373"/>
      <c r="SPF53" s="373"/>
      <c r="SPG53" s="373"/>
      <c r="SPH53" s="373"/>
      <c r="SPI53" s="373"/>
      <c r="SPJ53" s="373"/>
      <c r="SPK53" s="373"/>
      <c r="SPL53" s="373"/>
      <c r="SPM53" s="373"/>
      <c r="SPN53" s="373"/>
      <c r="SPO53" s="373"/>
      <c r="SPP53" s="373"/>
      <c r="SPQ53" s="373"/>
      <c r="SPR53" s="373"/>
      <c r="SPS53" s="373"/>
      <c r="SPT53" s="373"/>
      <c r="SPU53" s="373"/>
      <c r="SPV53" s="373"/>
      <c r="SPW53" s="373"/>
      <c r="SPX53" s="373"/>
      <c r="SPY53" s="373"/>
      <c r="SPZ53" s="373"/>
      <c r="SQA53" s="373"/>
      <c r="SQB53" s="373"/>
      <c r="SQC53" s="373"/>
      <c r="SQD53" s="373"/>
      <c r="SQE53" s="373"/>
      <c r="SQF53" s="373"/>
      <c r="SQG53" s="373"/>
      <c r="SQH53" s="373"/>
      <c r="SQI53" s="373"/>
      <c r="SQJ53" s="373"/>
      <c r="SQK53" s="373"/>
      <c r="SQL53" s="373"/>
      <c r="SQM53" s="373"/>
      <c r="SQN53" s="373"/>
      <c r="SQO53" s="373"/>
      <c r="SQP53" s="373"/>
      <c r="SQQ53" s="373"/>
      <c r="SQR53" s="373"/>
      <c r="SQS53" s="373"/>
      <c r="SQT53" s="373"/>
      <c r="SQU53" s="373"/>
      <c r="SQV53" s="373"/>
      <c r="SQW53" s="373"/>
      <c r="SQX53" s="373"/>
      <c r="SQY53" s="373"/>
      <c r="SQZ53" s="373"/>
      <c r="SRA53" s="373"/>
      <c r="SRB53" s="373"/>
      <c r="SRC53" s="373"/>
      <c r="SRD53" s="373"/>
      <c r="SRE53" s="373"/>
      <c r="SRF53" s="373"/>
      <c r="SRG53" s="373"/>
      <c r="SRH53" s="373"/>
      <c r="SRI53" s="373"/>
      <c r="SRJ53" s="373"/>
      <c r="SRK53" s="373"/>
      <c r="SRL53" s="373"/>
      <c r="SRM53" s="373"/>
      <c r="SRN53" s="373"/>
      <c r="SRO53" s="373"/>
      <c r="SRP53" s="373"/>
      <c r="SRQ53" s="373"/>
      <c r="SRR53" s="373"/>
      <c r="SRS53" s="373"/>
      <c r="SRT53" s="373"/>
      <c r="SRU53" s="373"/>
      <c r="SRV53" s="373"/>
      <c r="SRW53" s="373"/>
      <c r="SRX53" s="373"/>
      <c r="SRY53" s="373"/>
      <c r="SRZ53" s="373"/>
      <c r="SSA53" s="373"/>
      <c r="SSB53" s="373"/>
      <c r="SSC53" s="373"/>
      <c r="SSD53" s="373"/>
      <c r="SSE53" s="373"/>
      <c r="SSF53" s="373"/>
      <c r="SSG53" s="373"/>
      <c r="SSH53" s="373"/>
      <c r="SSI53" s="373"/>
      <c r="SSJ53" s="373"/>
      <c r="SSK53" s="373"/>
      <c r="SSL53" s="373"/>
      <c r="SSM53" s="373"/>
      <c r="SSN53" s="373"/>
      <c r="SSO53" s="373"/>
      <c r="SSP53" s="373"/>
      <c r="SSQ53" s="373"/>
      <c r="SSR53" s="373"/>
      <c r="SSS53" s="373"/>
      <c r="SST53" s="373"/>
      <c r="SSU53" s="373"/>
      <c r="SSV53" s="373"/>
      <c r="SSW53" s="373"/>
      <c r="SSX53" s="373"/>
      <c r="SSY53" s="373"/>
      <c r="SSZ53" s="373"/>
      <c r="STA53" s="373"/>
      <c r="STB53" s="373"/>
      <c r="STC53" s="373"/>
      <c r="STD53" s="373"/>
      <c r="STE53" s="373"/>
      <c r="STF53" s="373"/>
      <c r="STG53" s="373"/>
      <c r="STH53" s="373"/>
      <c r="STI53" s="373"/>
      <c r="STJ53" s="373"/>
      <c r="STK53" s="373"/>
      <c r="STL53" s="373"/>
      <c r="STM53" s="373"/>
      <c r="STN53" s="373"/>
      <c r="STO53" s="373"/>
      <c r="STP53" s="373"/>
      <c r="STQ53" s="373"/>
      <c r="STR53" s="373"/>
      <c r="STS53" s="373"/>
      <c r="STT53" s="373"/>
      <c r="STU53" s="373"/>
      <c r="STV53" s="373"/>
      <c r="STW53" s="373"/>
      <c r="STX53" s="373"/>
      <c r="STY53" s="373"/>
      <c r="STZ53" s="373"/>
      <c r="SUA53" s="373"/>
      <c r="SUB53" s="373"/>
      <c r="SUC53" s="373"/>
      <c r="SUD53" s="373"/>
      <c r="SUE53" s="373"/>
      <c r="SUF53" s="373"/>
      <c r="SUG53" s="373"/>
      <c r="SUH53" s="373"/>
      <c r="SUI53" s="373"/>
      <c r="SUJ53" s="373"/>
      <c r="SUK53" s="373"/>
      <c r="SUL53" s="373"/>
      <c r="SUM53" s="373"/>
      <c r="SUN53" s="373"/>
      <c r="SUO53" s="373"/>
      <c r="SUP53" s="373"/>
      <c r="SUQ53" s="373"/>
      <c r="SUR53" s="373"/>
      <c r="SUS53" s="373"/>
      <c r="SUT53" s="373"/>
      <c r="SUU53" s="373"/>
      <c r="SUV53" s="373"/>
      <c r="SUW53" s="373"/>
      <c r="SUX53" s="373"/>
      <c r="SUY53" s="373"/>
      <c r="SUZ53" s="373"/>
      <c r="SVA53" s="373"/>
      <c r="SVB53" s="373"/>
      <c r="SVC53" s="373"/>
      <c r="SVD53" s="373"/>
      <c r="SVE53" s="373"/>
      <c r="SVF53" s="373"/>
      <c r="SVG53" s="373"/>
      <c r="SVH53" s="373"/>
      <c r="SVI53" s="373"/>
      <c r="SVJ53" s="373"/>
      <c r="SVK53" s="373"/>
      <c r="SVL53" s="373"/>
      <c r="SVM53" s="373"/>
      <c r="SVN53" s="373"/>
      <c r="SVO53" s="373"/>
      <c r="SVP53" s="373"/>
      <c r="SVQ53" s="373"/>
      <c r="SVR53" s="373"/>
      <c r="SVS53" s="373"/>
      <c r="SVT53" s="373"/>
      <c r="SVU53" s="373"/>
      <c r="SVV53" s="373"/>
      <c r="SVW53" s="373"/>
      <c r="SVX53" s="373"/>
      <c r="SVY53" s="373"/>
      <c r="SVZ53" s="373"/>
      <c r="SWA53" s="373"/>
      <c r="SWB53" s="373"/>
      <c r="SWC53" s="373"/>
      <c r="SWD53" s="373"/>
      <c r="SWE53" s="373"/>
      <c r="SWF53" s="373"/>
      <c r="SWG53" s="373"/>
      <c r="SWH53" s="373"/>
      <c r="SWI53" s="373"/>
      <c r="SWJ53" s="373"/>
      <c r="SWK53" s="373"/>
      <c r="SWL53" s="373"/>
      <c r="SWM53" s="373"/>
      <c r="SWN53" s="373"/>
      <c r="SWO53" s="373"/>
      <c r="SWP53" s="373"/>
      <c r="SWQ53" s="373"/>
      <c r="SWR53" s="373"/>
      <c r="SWS53" s="373"/>
      <c r="SWT53" s="373"/>
      <c r="SWU53" s="373"/>
      <c r="SWV53" s="373"/>
      <c r="SWW53" s="373"/>
      <c r="SWX53" s="373"/>
      <c r="SWY53" s="373"/>
      <c r="SWZ53" s="373"/>
      <c r="SXA53" s="373"/>
      <c r="SXB53" s="373"/>
      <c r="SXC53" s="373"/>
      <c r="SXD53" s="373"/>
      <c r="SXE53" s="373"/>
      <c r="SXF53" s="373"/>
      <c r="SXG53" s="373"/>
      <c r="SXH53" s="373"/>
      <c r="SXI53" s="373"/>
      <c r="SXJ53" s="373"/>
      <c r="SXK53" s="373"/>
      <c r="SXL53" s="373"/>
      <c r="SXM53" s="373"/>
      <c r="SXN53" s="373"/>
      <c r="SXO53" s="373"/>
      <c r="SXP53" s="373"/>
      <c r="SXQ53" s="373"/>
      <c r="SXR53" s="373"/>
      <c r="SXS53" s="373"/>
      <c r="SXT53" s="373"/>
      <c r="SXU53" s="373"/>
      <c r="SXV53" s="373"/>
      <c r="SXW53" s="373"/>
      <c r="SXX53" s="373"/>
      <c r="SXY53" s="373"/>
      <c r="SXZ53" s="373"/>
      <c r="SYA53" s="373"/>
      <c r="SYB53" s="373"/>
      <c r="SYC53" s="373"/>
      <c r="SYD53" s="373"/>
      <c r="SYE53" s="373"/>
      <c r="SYF53" s="373"/>
      <c r="SYG53" s="373"/>
      <c r="SYH53" s="373"/>
      <c r="SYI53" s="373"/>
      <c r="SYJ53" s="373"/>
      <c r="SYK53" s="373"/>
      <c r="SYL53" s="373"/>
      <c r="SYM53" s="373"/>
      <c r="SYN53" s="373"/>
      <c r="SYO53" s="373"/>
      <c r="SYP53" s="373"/>
      <c r="SYQ53" s="373"/>
      <c r="SYR53" s="373"/>
      <c r="SYS53" s="373"/>
      <c r="SYT53" s="373"/>
      <c r="SYU53" s="373"/>
      <c r="SYV53" s="373"/>
      <c r="SYW53" s="373"/>
      <c r="SYX53" s="373"/>
      <c r="SYY53" s="373"/>
      <c r="SYZ53" s="373"/>
      <c r="SZA53" s="373"/>
      <c r="SZB53" s="373"/>
      <c r="SZC53" s="373"/>
      <c r="SZD53" s="373"/>
      <c r="SZE53" s="373"/>
      <c r="SZF53" s="373"/>
      <c r="SZG53" s="373"/>
      <c r="SZH53" s="373"/>
      <c r="SZI53" s="373"/>
      <c r="SZJ53" s="373"/>
      <c r="SZK53" s="373"/>
      <c r="SZL53" s="373"/>
      <c r="SZM53" s="373"/>
      <c r="SZN53" s="373"/>
      <c r="SZO53" s="373"/>
      <c r="SZP53" s="373"/>
      <c r="SZQ53" s="373"/>
      <c r="SZR53" s="373"/>
      <c r="SZS53" s="373"/>
      <c r="SZT53" s="373"/>
      <c r="SZU53" s="373"/>
      <c r="SZV53" s="373"/>
      <c r="SZW53" s="373"/>
      <c r="SZX53" s="373"/>
      <c r="SZY53" s="373"/>
      <c r="SZZ53" s="373"/>
      <c r="TAA53" s="373"/>
      <c r="TAB53" s="373"/>
      <c r="TAC53" s="373"/>
      <c r="TAD53" s="373"/>
      <c r="TAE53" s="373"/>
      <c r="TAF53" s="373"/>
      <c r="TAG53" s="373"/>
      <c r="TAH53" s="373"/>
      <c r="TAI53" s="373"/>
      <c r="TAJ53" s="373"/>
      <c r="TAK53" s="373"/>
      <c r="TAL53" s="373"/>
      <c r="TAM53" s="373"/>
      <c r="TAN53" s="373"/>
      <c r="TAO53" s="373"/>
      <c r="TAP53" s="373"/>
      <c r="TAQ53" s="373"/>
      <c r="TAR53" s="373"/>
      <c r="TAS53" s="373"/>
      <c r="TAT53" s="373"/>
      <c r="TAU53" s="373"/>
      <c r="TAV53" s="373"/>
      <c r="TAW53" s="373"/>
      <c r="TAX53" s="373"/>
      <c r="TAY53" s="373"/>
      <c r="TAZ53" s="373"/>
      <c r="TBA53" s="373"/>
      <c r="TBB53" s="373"/>
      <c r="TBC53" s="373"/>
      <c r="TBD53" s="373"/>
      <c r="TBE53" s="373"/>
      <c r="TBF53" s="373"/>
      <c r="TBG53" s="373"/>
      <c r="TBH53" s="373"/>
      <c r="TBI53" s="373"/>
      <c r="TBJ53" s="373"/>
      <c r="TBK53" s="373"/>
      <c r="TBL53" s="373"/>
      <c r="TBM53" s="373"/>
      <c r="TBN53" s="373"/>
      <c r="TBO53" s="373"/>
      <c r="TBP53" s="373"/>
      <c r="TBQ53" s="373"/>
      <c r="TBR53" s="373"/>
      <c r="TBS53" s="373"/>
      <c r="TBT53" s="373"/>
      <c r="TBU53" s="373"/>
      <c r="TBV53" s="373"/>
      <c r="TBW53" s="373"/>
      <c r="TBX53" s="373"/>
      <c r="TBY53" s="373"/>
      <c r="TBZ53" s="373"/>
      <c r="TCA53" s="373"/>
      <c r="TCB53" s="373"/>
      <c r="TCC53" s="373"/>
      <c r="TCD53" s="373"/>
      <c r="TCE53" s="373"/>
      <c r="TCF53" s="373"/>
      <c r="TCG53" s="373"/>
      <c r="TCH53" s="373"/>
      <c r="TCI53" s="373"/>
      <c r="TCJ53" s="373"/>
      <c r="TCK53" s="373"/>
      <c r="TCL53" s="373"/>
      <c r="TCM53" s="373"/>
      <c r="TCN53" s="373"/>
      <c r="TCO53" s="373"/>
      <c r="TCP53" s="373"/>
      <c r="TCQ53" s="373"/>
      <c r="TCR53" s="373"/>
      <c r="TCS53" s="373"/>
      <c r="TCT53" s="373"/>
      <c r="TCU53" s="373"/>
      <c r="TCV53" s="373"/>
      <c r="TCW53" s="373"/>
      <c r="TCX53" s="373"/>
      <c r="TCY53" s="373"/>
      <c r="TCZ53" s="373"/>
      <c r="TDA53" s="373"/>
      <c r="TDB53" s="373"/>
      <c r="TDC53" s="373"/>
      <c r="TDD53" s="373"/>
      <c r="TDE53" s="373"/>
      <c r="TDF53" s="373"/>
      <c r="TDG53" s="373"/>
      <c r="TDH53" s="373"/>
      <c r="TDI53" s="373"/>
      <c r="TDJ53" s="373"/>
      <c r="TDK53" s="373"/>
      <c r="TDL53" s="373"/>
      <c r="TDM53" s="373"/>
      <c r="TDN53" s="373"/>
      <c r="TDO53" s="373"/>
      <c r="TDP53" s="373"/>
      <c r="TDQ53" s="373"/>
      <c r="TDR53" s="373"/>
      <c r="TDS53" s="373"/>
      <c r="TDT53" s="373"/>
      <c r="TDU53" s="373"/>
      <c r="TDV53" s="373"/>
      <c r="TDW53" s="373"/>
      <c r="TDX53" s="373"/>
      <c r="TDY53" s="373"/>
      <c r="TDZ53" s="373"/>
      <c r="TEA53" s="373"/>
      <c r="TEB53" s="373"/>
      <c r="TEC53" s="373"/>
      <c r="TED53" s="373"/>
      <c r="TEE53" s="373"/>
      <c r="TEF53" s="373"/>
      <c r="TEG53" s="373"/>
      <c r="TEH53" s="373"/>
      <c r="TEI53" s="373"/>
      <c r="TEJ53" s="373"/>
      <c r="TEK53" s="373"/>
      <c r="TEL53" s="373"/>
      <c r="TEM53" s="373"/>
      <c r="TEN53" s="373"/>
      <c r="TEO53" s="373"/>
      <c r="TEP53" s="373"/>
      <c r="TEQ53" s="373"/>
      <c r="TER53" s="373"/>
      <c r="TES53" s="373"/>
      <c r="TET53" s="373"/>
      <c r="TEU53" s="373"/>
      <c r="TEV53" s="373"/>
      <c r="TEW53" s="373"/>
      <c r="TEX53" s="373"/>
      <c r="TEY53" s="373"/>
      <c r="TEZ53" s="373"/>
      <c r="TFA53" s="373"/>
      <c r="TFB53" s="373"/>
      <c r="TFC53" s="373"/>
      <c r="TFD53" s="373"/>
      <c r="TFE53" s="373"/>
      <c r="TFF53" s="373"/>
      <c r="TFG53" s="373"/>
      <c r="TFH53" s="373"/>
      <c r="TFI53" s="373"/>
      <c r="TFJ53" s="373"/>
      <c r="TFK53" s="373"/>
      <c r="TFL53" s="373"/>
      <c r="TFM53" s="373"/>
      <c r="TFN53" s="373"/>
      <c r="TFO53" s="373"/>
      <c r="TFP53" s="373"/>
      <c r="TFQ53" s="373"/>
      <c r="TFR53" s="373"/>
      <c r="TFS53" s="373"/>
      <c r="TFT53" s="373"/>
      <c r="TFU53" s="373"/>
      <c r="TFV53" s="373"/>
      <c r="TFW53" s="373"/>
      <c r="TFX53" s="373"/>
      <c r="TFY53" s="373"/>
      <c r="TFZ53" s="373"/>
      <c r="TGA53" s="373"/>
      <c r="TGB53" s="373"/>
      <c r="TGC53" s="373"/>
      <c r="TGD53" s="373"/>
      <c r="TGE53" s="373"/>
      <c r="TGF53" s="373"/>
      <c r="TGG53" s="373"/>
      <c r="TGH53" s="373"/>
      <c r="TGI53" s="373"/>
      <c r="TGJ53" s="373"/>
      <c r="TGK53" s="373"/>
      <c r="TGL53" s="373"/>
      <c r="TGM53" s="373"/>
      <c r="TGN53" s="373"/>
      <c r="TGO53" s="373"/>
      <c r="TGP53" s="373"/>
      <c r="TGQ53" s="373"/>
      <c r="TGR53" s="373"/>
      <c r="TGS53" s="373"/>
      <c r="TGT53" s="373"/>
      <c r="TGU53" s="373"/>
      <c r="TGV53" s="373"/>
      <c r="TGW53" s="373"/>
      <c r="TGX53" s="373"/>
      <c r="TGY53" s="373"/>
      <c r="TGZ53" s="373"/>
      <c r="THA53" s="373"/>
      <c r="THB53" s="373"/>
      <c r="THC53" s="373"/>
      <c r="THD53" s="373"/>
      <c r="THE53" s="373"/>
      <c r="THF53" s="373"/>
      <c r="THG53" s="373"/>
      <c r="THH53" s="373"/>
      <c r="THI53" s="373"/>
      <c r="THJ53" s="373"/>
      <c r="THK53" s="373"/>
      <c r="THL53" s="373"/>
      <c r="THM53" s="373"/>
      <c r="THN53" s="373"/>
      <c r="THO53" s="373"/>
      <c r="THP53" s="373"/>
      <c r="THQ53" s="373"/>
      <c r="THR53" s="373"/>
      <c r="THS53" s="373"/>
      <c r="THT53" s="373"/>
      <c r="THU53" s="373"/>
      <c r="THV53" s="373"/>
      <c r="THW53" s="373"/>
      <c r="THX53" s="373"/>
      <c r="THY53" s="373"/>
      <c r="THZ53" s="373"/>
      <c r="TIA53" s="373"/>
      <c r="TIB53" s="373"/>
      <c r="TIC53" s="373"/>
      <c r="TID53" s="373"/>
      <c r="TIE53" s="373"/>
      <c r="TIF53" s="373"/>
      <c r="TIG53" s="373"/>
      <c r="TIH53" s="373"/>
      <c r="TII53" s="373"/>
      <c r="TIJ53" s="373"/>
      <c r="TIK53" s="373"/>
      <c r="TIL53" s="373"/>
      <c r="TIM53" s="373"/>
      <c r="TIN53" s="373"/>
      <c r="TIO53" s="373"/>
      <c r="TIP53" s="373"/>
      <c r="TIQ53" s="373"/>
      <c r="TIR53" s="373"/>
      <c r="TIS53" s="373"/>
      <c r="TIT53" s="373"/>
      <c r="TIU53" s="373"/>
      <c r="TIV53" s="373"/>
      <c r="TIW53" s="373"/>
      <c r="TIX53" s="373"/>
      <c r="TIY53" s="373"/>
      <c r="TIZ53" s="373"/>
      <c r="TJA53" s="373"/>
      <c r="TJB53" s="373"/>
      <c r="TJC53" s="373"/>
      <c r="TJD53" s="373"/>
      <c r="TJE53" s="373"/>
      <c r="TJF53" s="373"/>
      <c r="TJG53" s="373"/>
      <c r="TJH53" s="373"/>
      <c r="TJI53" s="373"/>
      <c r="TJJ53" s="373"/>
      <c r="TJK53" s="373"/>
      <c r="TJL53" s="373"/>
      <c r="TJM53" s="373"/>
      <c r="TJN53" s="373"/>
      <c r="TJO53" s="373"/>
      <c r="TJP53" s="373"/>
      <c r="TJQ53" s="373"/>
      <c r="TJR53" s="373"/>
      <c r="TJS53" s="373"/>
      <c r="TJT53" s="373"/>
      <c r="TJU53" s="373"/>
      <c r="TJV53" s="373"/>
      <c r="TJW53" s="373"/>
      <c r="TJX53" s="373"/>
      <c r="TJY53" s="373"/>
      <c r="TJZ53" s="373"/>
      <c r="TKA53" s="373"/>
      <c r="TKB53" s="373"/>
      <c r="TKC53" s="373"/>
      <c r="TKD53" s="373"/>
      <c r="TKE53" s="373"/>
      <c r="TKF53" s="373"/>
      <c r="TKG53" s="373"/>
      <c r="TKH53" s="373"/>
      <c r="TKI53" s="373"/>
      <c r="TKJ53" s="373"/>
      <c r="TKK53" s="373"/>
      <c r="TKL53" s="373"/>
      <c r="TKM53" s="373"/>
      <c r="TKN53" s="373"/>
      <c r="TKO53" s="373"/>
      <c r="TKP53" s="373"/>
      <c r="TKQ53" s="373"/>
      <c r="TKR53" s="373"/>
      <c r="TKS53" s="373"/>
      <c r="TKT53" s="373"/>
      <c r="TKU53" s="373"/>
      <c r="TKV53" s="373"/>
      <c r="TKW53" s="373"/>
      <c r="TKX53" s="373"/>
      <c r="TKY53" s="373"/>
      <c r="TKZ53" s="373"/>
      <c r="TLA53" s="373"/>
      <c r="TLB53" s="373"/>
      <c r="TLC53" s="373"/>
      <c r="TLD53" s="373"/>
      <c r="TLE53" s="373"/>
      <c r="TLF53" s="373"/>
      <c r="TLG53" s="373"/>
      <c r="TLH53" s="373"/>
      <c r="TLI53" s="373"/>
      <c r="TLJ53" s="373"/>
      <c r="TLK53" s="373"/>
      <c r="TLL53" s="373"/>
      <c r="TLM53" s="373"/>
      <c r="TLN53" s="373"/>
      <c r="TLO53" s="373"/>
      <c r="TLP53" s="373"/>
      <c r="TLQ53" s="373"/>
      <c r="TLR53" s="373"/>
      <c r="TLS53" s="373"/>
      <c r="TLT53" s="373"/>
      <c r="TLU53" s="373"/>
      <c r="TLV53" s="373"/>
      <c r="TLW53" s="373"/>
      <c r="TLX53" s="373"/>
      <c r="TLY53" s="373"/>
      <c r="TLZ53" s="373"/>
      <c r="TMA53" s="373"/>
      <c r="TMB53" s="373"/>
      <c r="TMC53" s="373"/>
      <c r="TMD53" s="373"/>
      <c r="TME53" s="373"/>
      <c r="TMF53" s="373"/>
      <c r="TMG53" s="373"/>
      <c r="TMH53" s="373"/>
      <c r="TMI53" s="373"/>
      <c r="TMJ53" s="373"/>
      <c r="TMK53" s="373"/>
      <c r="TML53" s="373"/>
      <c r="TMM53" s="373"/>
      <c r="TMN53" s="373"/>
      <c r="TMO53" s="373"/>
      <c r="TMP53" s="373"/>
      <c r="TMQ53" s="373"/>
      <c r="TMR53" s="373"/>
      <c r="TMS53" s="373"/>
      <c r="TMT53" s="373"/>
      <c r="TMU53" s="373"/>
      <c r="TMV53" s="373"/>
      <c r="TMW53" s="373"/>
      <c r="TMX53" s="373"/>
      <c r="TMY53" s="373"/>
      <c r="TMZ53" s="373"/>
      <c r="TNA53" s="373"/>
      <c r="TNB53" s="373"/>
      <c r="TNC53" s="373"/>
      <c r="TND53" s="373"/>
      <c r="TNE53" s="373"/>
      <c r="TNF53" s="373"/>
      <c r="TNG53" s="373"/>
      <c r="TNH53" s="373"/>
      <c r="TNI53" s="373"/>
      <c r="TNJ53" s="373"/>
      <c r="TNK53" s="373"/>
      <c r="TNL53" s="373"/>
      <c r="TNM53" s="373"/>
      <c r="TNN53" s="373"/>
      <c r="TNO53" s="373"/>
      <c r="TNP53" s="373"/>
      <c r="TNQ53" s="373"/>
      <c r="TNR53" s="373"/>
      <c r="TNS53" s="373"/>
      <c r="TNT53" s="373"/>
      <c r="TNU53" s="373"/>
      <c r="TNV53" s="373"/>
      <c r="TNW53" s="373"/>
      <c r="TNX53" s="373"/>
      <c r="TNY53" s="373"/>
      <c r="TNZ53" s="373"/>
      <c r="TOA53" s="373"/>
      <c r="TOB53" s="373"/>
      <c r="TOC53" s="373"/>
      <c r="TOD53" s="373"/>
      <c r="TOE53" s="373"/>
      <c r="TOF53" s="373"/>
      <c r="TOG53" s="373"/>
      <c r="TOH53" s="373"/>
      <c r="TOI53" s="373"/>
      <c r="TOJ53" s="373"/>
      <c r="TOK53" s="373"/>
      <c r="TOL53" s="373"/>
      <c r="TOM53" s="373"/>
      <c r="TON53" s="373"/>
      <c r="TOO53" s="373"/>
      <c r="TOP53" s="373"/>
      <c r="TOQ53" s="373"/>
      <c r="TOR53" s="373"/>
      <c r="TOS53" s="373"/>
      <c r="TOT53" s="373"/>
      <c r="TOU53" s="373"/>
      <c r="TOV53" s="373"/>
      <c r="TOW53" s="373"/>
      <c r="TOX53" s="373"/>
      <c r="TOY53" s="373"/>
      <c r="TOZ53" s="373"/>
      <c r="TPA53" s="373"/>
      <c r="TPB53" s="373"/>
      <c r="TPC53" s="373"/>
      <c r="TPD53" s="373"/>
      <c r="TPE53" s="373"/>
      <c r="TPF53" s="373"/>
      <c r="TPG53" s="373"/>
      <c r="TPH53" s="373"/>
      <c r="TPI53" s="373"/>
      <c r="TPJ53" s="373"/>
      <c r="TPK53" s="373"/>
      <c r="TPL53" s="373"/>
      <c r="TPM53" s="373"/>
      <c r="TPN53" s="373"/>
      <c r="TPO53" s="373"/>
      <c r="TPP53" s="373"/>
      <c r="TPQ53" s="373"/>
      <c r="TPR53" s="373"/>
      <c r="TPS53" s="373"/>
      <c r="TPT53" s="373"/>
      <c r="TPU53" s="373"/>
      <c r="TPV53" s="373"/>
      <c r="TPW53" s="373"/>
      <c r="TPX53" s="373"/>
      <c r="TPY53" s="373"/>
      <c r="TPZ53" s="373"/>
      <c r="TQA53" s="373"/>
      <c r="TQB53" s="373"/>
      <c r="TQC53" s="373"/>
      <c r="TQD53" s="373"/>
      <c r="TQE53" s="373"/>
      <c r="TQF53" s="373"/>
      <c r="TQG53" s="373"/>
      <c r="TQH53" s="373"/>
      <c r="TQI53" s="373"/>
      <c r="TQJ53" s="373"/>
      <c r="TQK53" s="373"/>
      <c r="TQL53" s="373"/>
      <c r="TQM53" s="373"/>
      <c r="TQN53" s="373"/>
      <c r="TQO53" s="373"/>
      <c r="TQP53" s="373"/>
      <c r="TQQ53" s="373"/>
      <c r="TQR53" s="373"/>
      <c r="TQS53" s="373"/>
      <c r="TQT53" s="373"/>
      <c r="TQU53" s="373"/>
      <c r="TQV53" s="373"/>
      <c r="TQW53" s="373"/>
      <c r="TQX53" s="373"/>
      <c r="TQY53" s="373"/>
      <c r="TQZ53" s="373"/>
      <c r="TRA53" s="373"/>
      <c r="TRB53" s="373"/>
      <c r="TRC53" s="373"/>
      <c r="TRD53" s="373"/>
      <c r="TRE53" s="373"/>
      <c r="TRF53" s="373"/>
      <c r="TRG53" s="373"/>
      <c r="TRH53" s="373"/>
      <c r="TRI53" s="373"/>
      <c r="TRJ53" s="373"/>
      <c r="TRK53" s="373"/>
      <c r="TRL53" s="373"/>
      <c r="TRM53" s="373"/>
      <c r="TRN53" s="373"/>
      <c r="TRO53" s="373"/>
      <c r="TRP53" s="373"/>
      <c r="TRQ53" s="373"/>
      <c r="TRR53" s="373"/>
      <c r="TRS53" s="373"/>
      <c r="TRT53" s="373"/>
      <c r="TRU53" s="373"/>
      <c r="TRV53" s="373"/>
      <c r="TRW53" s="373"/>
      <c r="TRX53" s="373"/>
      <c r="TRY53" s="373"/>
      <c r="TRZ53" s="373"/>
      <c r="TSA53" s="373"/>
      <c r="TSB53" s="373"/>
      <c r="TSC53" s="373"/>
      <c r="TSD53" s="373"/>
      <c r="TSE53" s="373"/>
      <c r="TSF53" s="373"/>
      <c r="TSG53" s="373"/>
      <c r="TSH53" s="373"/>
      <c r="TSI53" s="373"/>
      <c r="TSJ53" s="373"/>
      <c r="TSK53" s="373"/>
      <c r="TSL53" s="373"/>
      <c r="TSM53" s="373"/>
      <c r="TSN53" s="373"/>
      <c r="TSO53" s="373"/>
      <c r="TSP53" s="373"/>
      <c r="TSQ53" s="373"/>
      <c r="TSR53" s="373"/>
      <c r="TSS53" s="373"/>
      <c r="TST53" s="373"/>
      <c r="TSU53" s="373"/>
      <c r="TSV53" s="373"/>
      <c r="TSW53" s="373"/>
      <c r="TSX53" s="373"/>
      <c r="TSY53" s="373"/>
      <c r="TSZ53" s="373"/>
      <c r="TTA53" s="373"/>
      <c r="TTB53" s="373"/>
      <c r="TTC53" s="373"/>
      <c r="TTD53" s="373"/>
      <c r="TTE53" s="373"/>
      <c r="TTF53" s="373"/>
      <c r="TTG53" s="373"/>
      <c r="TTH53" s="373"/>
      <c r="TTI53" s="373"/>
      <c r="TTJ53" s="373"/>
      <c r="TTK53" s="373"/>
      <c r="TTL53" s="373"/>
      <c r="TTM53" s="373"/>
      <c r="TTN53" s="373"/>
      <c r="TTO53" s="373"/>
      <c r="TTP53" s="373"/>
      <c r="TTQ53" s="373"/>
      <c r="TTR53" s="373"/>
      <c r="TTS53" s="373"/>
      <c r="TTT53" s="373"/>
      <c r="TTU53" s="373"/>
      <c r="TTV53" s="373"/>
      <c r="TTW53" s="373"/>
      <c r="TTX53" s="373"/>
      <c r="TTY53" s="373"/>
      <c r="TTZ53" s="373"/>
      <c r="TUA53" s="373"/>
      <c r="TUB53" s="373"/>
      <c r="TUC53" s="373"/>
      <c r="TUD53" s="373"/>
      <c r="TUE53" s="373"/>
      <c r="TUF53" s="373"/>
      <c r="TUG53" s="373"/>
      <c r="TUH53" s="373"/>
      <c r="TUI53" s="373"/>
      <c r="TUJ53" s="373"/>
      <c r="TUK53" s="373"/>
      <c r="TUL53" s="373"/>
      <c r="TUM53" s="373"/>
      <c r="TUN53" s="373"/>
      <c r="TUO53" s="373"/>
      <c r="TUP53" s="373"/>
      <c r="TUQ53" s="373"/>
      <c r="TUR53" s="373"/>
      <c r="TUS53" s="373"/>
      <c r="TUT53" s="373"/>
      <c r="TUU53" s="373"/>
      <c r="TUV53" s="373"/>
      <c r="TUW53" s="373"/>
      <c r="TUX53" s="373"/>
      <c r="TUY53" s="373"/>
      <c r="TUZ53" s="373"/>
      <c r="TVA53" s="373"/>
      <c r="TVB53" s="373"/>
      <c r="TVC53" s="373"/>
      <c r="TVD53" s="373"/>
      <c r="TVE53" s="373"/>
      <c r="TVF53" s="373"/>
      <c r="TVG53" s="373"/>
      <c r="TVH53" s="373"/>
      <c r="TVI53" s="373"/>
      <c r="TVJ53" s="373"/>
      <c r="TVK53" s="373"/>
      <c r="TVL53" s="373"/>
      <c r="TVM53" s="373"/>
      <c r="TVN53" s="373"/>
      <c r="TVO53" s="373"/>
      <c r="TVP53" s="373"/>
      <c r="TVQ53" s="373"/>
      <c r="TVR53" s="373"/>
      <c r="TVS53" s="373"/>
      <c r="TVT53" s="373"/>
      <c r="TVU53" s="373"/>
      <c r="TVV53" s="373"/>
      <c r="TVW53" s="373"/>
      <c r="TVX53" s="373"/>
      <c r="TVY53" s="373"/>
      <c r="TVZ53" s="373"/>
      <c r="TWA53" s="373"/>
      <c r="TWB53" s="373"/>
      <c r="TWC53" s="373"/>
      <c r="TWD53" s="373"/>
      <c r="TWE53" s="373"/>
      <c r="TWF53" s="373"/>
      <c r="TWG53" s="373"/>
      <c r="TWH53" s="373"/>
      <c r="TWI53" s="373"/>
      <c r="TWJ53" s="373"/>
      <c r="TWK53" s="373"/>
      <c r="TWL53" s="373"/>
      <c r="TWM53" s="373"/>
      <c r="TWN53" s="373"/>
      <c r="TWO53" s="373"/>
      <c r="TWP53" s="373"/>
      <c r="TWQ53" s="373"/>
      <c r="TWR53" s="373"/>
      <c r="TWS53" s="373"/>
      <c r="TWT53" s="373"/>
      <c r="TWU53" s="373"/>
      <c r="TWV53" s="373"/>
      <c r="TWW53" s="373"/>
      <c r="TWX53" s="373"/>
      <c r="TWY53" s="373"/>
      <c r="TWZ53" s="373"/>
      <c r="TXA53" s="373"/>
      <c r="TXB53" s="373"/>
      <c r="TXC53" s="373"/>
      <c r="TXD53" s="373"/>
      <c r="TXE53" s="373"/>
      <c r="TXF53" s="373"/>
      <c r="TXG53" s="373"/>
      <c r="TXH53" s="373"/>
      <c r="TXI53" s="373"/>
      <c r="TXJ53" s="373"/>
      <c r="TXK53" s="373"/>
      <c r="TXL53" s="373"/>
      <c r="TXM53" s="373"/>
      <c r="TXN53" s="373"/>
      <c r="TXO53" s="373"/>
      <c r="TXP53" s="373"/>
      <c r="TXQ53" s="373"/>
      <c r="TXR53" s="373"/>
      <c r="TXS53" s="373"/>
      <c r="TXT53" s="373"/>
      <c r="TXU53" s="373"/>
      <c r="TXV53" s="373"/>
      <c r="TXW53" s="373"/>
      <c r="TXX53" s="373"/>
      <c r="TXY53" s="373"/>
      <c r="TXZ53" s="373"/>
      <c r="TYA53" s="373"/>
      <c r="TYB53" s="373"/>
      <c r="TYC53" s="373"/>
      <c r="TYD53" s="373"/>
      <c r="TYE53" s="373"/>
      <c r="TYF53" s="373"/>
      <c r="TYG53" s="373"/>
      <c r="TYH53" s="373"/>
      <c r="TYI53" s="373"/>
      <c r="TYJ53" s="373"/>
      <c r="TYK53" s="373"/>
      <c r="TYL53" s="373"/>
      <c r="TYM53" s="373"/>
      <c r="TYN53" s="373"/>
      <c r="TYO53" s="373"/>
      <c r="TYP53" s="373"/>
      <c r="TYQ53" s="373"/>
      <c r="TYR53" s="373"/>
      <c r="TYS53" s="373"/>
      <c r="TYT53" s="373"/>
      <c r="TYU53" s="373"/>
      <c r="TYV53" s="373"/>
      <c r="TYW53" s="373"/>
      <c r="TYX53" s="373"/>
      <c r="TYY53" s="373"/>
      <c r="TYZ53" s="373"/>
      <c r="TZA53" s="373"/>
      <c r="TZB53" s="373"/>
      <c r="TZC53" s="373"/>
      <c r="TZD53" s="373"/>
      <c r="TZE53" s="373"/>
      <c r="TZF53" s="373"/>
      <c r="TZG53" s="373"/>
      <c r="TZH53" s="373"/>
      <c r="TZI53" s="373"/>
      <c r="TZJ53" s="373"/>
      <c r="TZK53" s="373"/>
      <c r="TZL53" s="373"/>
      <c r="TZM53" s="373"/>
      <c r="TZN53" s="373"/>
      <c r="TZO53" s="373"/>
      <c r="TZP53" s="373"/>
      <c r="TZQ53" s="373"/>
      <c r="TZR53" s="373"/>
      <c r="TZS53" s="373"/>
      <c r="TZT53" s="373"/>
      <c r="TZU53" s="373"/>
      <c r="TZV53" s="373"/>
      <c r="TZW53" s="373"/>
      <c r="TZX53" s="373"/>
      <c r="TZY53" s="373"/>
      <c r="TZZ53" s="373"/>
      <c r="UAA53" s="373"/>
      <c r="UAB53" s="373"/>
      <c r="UAC53" s="373"/>
      <c r="UAD53" s="373"/>
      <c r="UAE53" s="373"/>
      <c r="UAF53" s="373"/>
      <c r="UAG53" s="373"/>
      <c r="UAH53" s="373"/>
      <c r="UAI53" s="373"/>
      <c r="UAJ53" s="373"/>
      <c r="UAK53" s="373"/>
      <c r="UAL53" s="373"/>
      <c r="UAM53" s="373"/>
      <c r="UAN53" s="373"/>
      <c r="UAO53" s="373"/>
      <c r="UAP53" s="373"/>
      <c r="UAQ53" s="373"/>
      <c r="UAR53" s="373"/>
      <c r="UAS53" s="373"/>
      <c r="UAT53" s="373"/>
      <c r="UAU53" s="373"/>
      <c r="UAV53" s="373"/>
      <c r="UAW53" s="373"/>
      <c r="UAX53" s="373"/>
      <c r="UAY53" s="373"/>
      <c r="UAZ53" s="373"/>
      <c r="UBA53" s="373"/>
      <c r="UBB53" s="373"/>
      <c r="UBC53" s="373"/>
      <c r="UBD53" s="373"/>
      <c r="UBE53" s="373"/>
      <c r="UBF53" s="373"/>
      <c r="UBG53" s="373"/>
      <c r="UBH53" s="373"/>
      <c r="UBI53" s="373"/>
      <c r="UBJ53" s="373"/>
      <c r="UBK53" s="373"/>
      <c r="UBL53" s="373"/>
      <c r="UBM53" s="373"/>
      <c r="UBN53" s="373"/>
      <c r="UBO53" s="373"/>
      <c r="UBP53" s="373"/>
      <c r="UBQ53" s="373"/>
      <c r="UBR53" s="373"/>
      <c r="UBS53" s="373"/>
      <c r="UBT53" s="373"/>
      <c r="UBU53" s="373"/>
      <c r="UBV53" s="373"/>
      <c r="UBW53" s="373"/>
      <c r="UBX53" s="373"/>
      <c r="UBY53" s="373"/>
      <c r="UBZ53" s="373"/>
      <c r="UCA53" s="373"/>
      <c r="UCB53" s="373"/>
      <c r="UCC53" s="373"/>
      <c r="UCD53" s="373"/>
      <c r="UCE53" s="373"/>
      <c r="UCF53" s="373"/>
      <c r="UCG53" s="373"/>
      <c r="UCH53" s="373"/>
      <c r="UCI53" s="373"/>
      <c r="UCJ53" s="373"/>
      <c r="UCK53" s="373"/>
      <c r="UCL53" s="373"/>
      <c r="UCM53" s="373"/>
      <c r="UCN53" s="373"/>
      <c r="UCO53" s="373"/>
      <c r="UCP53" s="373"/>
      <c r="UCQ53" s="373"/>
      <c r="UCR53" s="373"/>
      <c r="UCS53" s="373"/>
      <c r="UCT53" s="373"/>
      <c r="UCU53" s="373"/>
      <c r="UCV53" s="373"/>
      <c r="UCW53" s="373"/>
      <c r="UCX53" s="373"/>
      <c r="UCY53" s="373"/>
      <c r="UCZ53" s="373"/>
      <c r="UDA53" s="373"/>
      <c r="UDB53" s="373"/>
      <c r="UDC53" s="373"/>
      <c r="UDD53" s="373"/>
      <c r="UDE53" s="373"/>
      <c r="UDF53" s="373"/>
      <c r="UDG53" s="373"/>
      <c r="UDH53" s="373"/>
      <c r="UDI53" s="373"/>
      <c r="UDJ53" s="373"/>
      <c r="UDK53" s="373"/>
      <c r="UDL53" s="373"/>
      <c r="UDM53" s="373"/>
      <c r="UDN53" s="373"/>
      <c r="UDO53" s="373"/>
      <c r="UDP53" s="373"/>
      <c r="UDQ53" s="373"/>
      <c r="UDR53" s="373"/>
      <c r="UDS53" s="373"/>
      <c r="UDT53" s="373"/>
      <c r="UDU53" s="373"/>
      <c r="UDV53" s="373"/>
      <c r="UDW53" s="373"/>
      <c r="UDX53" s="373"/>
      <c r="UDY53" s="373"/>
      <c r="UDZ53" s="373"/>
      <c r="UEA53" s="373"/>
      <c r="UEB53" s="373"/>
      <c r="UEC53" s="373"/>
      <c r="UED53" s="373"/>
      <c r="UEE53" s="373"/>
      <c r="UEF53" s="373"/>
      <c r="UEG53" s="373"/>
      <c r="UEH53" s="373"/>
      <c r="UEI53" s="373"/>
      <c r="UEJ53" s="373"/>
      <c r="UEK53" s="373"/>
      <c r="UEL53" s="373"/>
      <c r="UEM53" s="373"/>
      <c r="UEN53" s="373"/>
      <c r="UEO53" s="373"/>
      <c r="UEP53" s="373"/>
      <c r="UEQ53" s="373"/>
      <c r="UER53" s="373"/>
      <c r="UES53" s="373"/>
      <c r="UET53" s="373"/>
      <c r="UEU53" s="373"/>
      <c r="UEV53" s="373"/>
      <c r="UEW53" s="373"/>
      <c r="UEX53" s="373"/>
      <c r="UEY53" s="373"/>
      <c r="UEZ53" s="373"/>
      <c r="UFA53" s="373"/>
      <c r="UFB53" s="373"/>
      <c r="UFC53" s="373"/>
      <c r="UFD53" s="373"/>
      <c r="UFE53" s="373"/>
      <c r="UFF53" s="373"/>
      <c r="UFG53" s="373"/>
      <c r="UFH53" s="373"/>
      <c r="UFI53" s="373"/>
      <c r="UFJ53" s="373"/>
      <c r="UFK53" s="373"/>
      <c r="UFL53" s="373"/>
      <c r="UFM53" s="373"/>
      <c r="UFN53" s="373"/>
      <c r="UFO53" s="373"/>
      <c r="UFP53" s="373"/>
      <c r="UFQ53" s="373"/>
      <c r="UFR53" s="373"/>
      <c r="UFS53" s="373"/>
      <c r="UFT53" s="373"/>
      <c r="UFU53" s="373"/>
      <c r="UFV53" s="373"/>
      <c r="UFW53" s="373"/>
      <c r="UFX53" s="373"/>
      <c r="UFY53" s="373"/>
      <c r="UFZ53" s="373"/>
      <c r="UGA53" s="373"/>
      <c r="UGB53" s="373"/>
      <c r="UGC53" s="373"/>
      <c r="UGD53" s="373"/>
      <c r="UGE53" s="373"/>
      <c r="UGF53" s="373"/>
      <c r="UGG53" s="373"/>
      <c r="UGH53" s="373"/>
      <c r="UGI53" s="373"/>
      <c r="UGJ53" s="373"/>
      <c r="UGK53" s="373"/>
      <c r="UGL53" s="373"/>
      <c r="UGM53" s="373"/>
      <c r="UGN53" s="373"/>
      <c r="UGO53" s="373"/>
      <c r="UGP53" s="373"/>
      <c r="UGQ53" s="373"/>
      <c r="UGR53" s="373"/>
      <c r="UGS53" s="373"/>
      <c r="UGT53" s="373"/>
      <c r="UGU53" s="373"/>
      <c r="UGV53" s="373"/>
      <c r="UGW53" s="373"/>
      <c r="UGX53" s="373"/>
      <c r="UGY53" s="373"/>
      <c r="UGZ53" s="373"/>
      <c r="UHA53" s="373"/>
      <c r="UHB53" s="373"/>
      <c r="UHC53" s="373"/>
      <c r="UHD53" s="373"/>
      <c r="UHE53" s="373"/>
      <c r="UHF53" s="373"/>
      <c r="UHG53" s="373"/>
      <c r="UHH53" s="373"/>
      <c r="UHI53" s="373"/>
      <c r="UHJ53" s="373"/>
      <c r="UHK53" s="373"/>
      <c r="UHL53" s="373"/>
      <c r="UHM53" s="373"/>
      <c r="UHN53" s="373"/>
      <c r="UHO53" s="373"/>
      <c r="UHP53" s="373"/>
      <c r="UHQ53" s="373"/>
      <c r="UHR53" s="373"/>
      <c r="UHS53" s="373"/>
      <c r="UHT53" s="373"/>
      <c r="UHU53" s="373"/>
      <c r="UHV53" s="373"/>
      <c r="UHW53" s="373"/>
      <c r="UHX53" s="373"/>
      <c r="UHY53" s="373"/>
      <c r="UHZ53" s="373"/>
      <c r="UIA53" s="373"/>
      <c r="UIB53" s="373"/>
      <c r="UIC53" s="373"/>
      <c r="UID53" s="373"/>
      <c r="UIE53" s="373"/>
      <c r="UIF53" s="373"/>
      <c r="UIG53" s="373"/>
      <c r="UIH53" s="373"/>
      <c r="UII53" s="373"/>
      <c r="UIJ53" s="373"/>
      <c r="UIK53" s="373"/>
      <c r="UIL53" s="373"/>
      <c r="UIM53" s="373"/>
      <c r="UIN53" s="373"/>
      <c r="UIO53" s="373"/>
      <c r="UIP53" s="373"/>
      <c r="UIQ53" s="373"/>
      <c r="UIR53" s="373"/>
      <c r="UIS53" s="373"/>
      <c r="UIT53" s="373"/>
      <c r="UIU53" s="373"/>
      <c r="UIV53" s="373"/>
      <c r="UIW53" s="373"/>
      <c r="UIX53" s="373"/>
      <c r="UIY53" s="373"/>
      <c r="UIZ53" s="373"/>
      <c r="UJA53" s="373"/>
      <c r="UJB53" s="373"/>
      <c r="UJC53" s="373"/>
      <c r="UJD53" s="373"/>
      <c r="UJE53" s="373"/>
      <c r="UJF53" s="373"/>
      <c r="UJG53" s="373"/>
      <c r="UJH53" s="373"/>
      <c r="UJI53" s="373"/>
      <c r="UJJ53" s="373"/>
      <c r="UJK53" s="373"/>
      <c r="UJL53" s="373"/>
      <c r="UJM53" s="373"/>
      <c r="UJN53" s="373"/>
      <c r="UJO53" s="373"/>
      <c r="UJP53" s="373"/>
      <c r="UJQ53" s="373"/>
      <c r="UJR53" s="373"/>
      <c r="UJS53" s="373"/>
      <c r="UJT53" s="373"/>
      <c r="UJU53" s="373"/>
      <c r="UJV53" s="373"/>
      <c r="UJW53" s="373"/>
      <c r="UJX53" s="373"/>
      <c r="UJY53" s="373"/>
      <c r="UJZ53" s="373"/>
      <c r="UKA53" s="373"/>
      <c r="UKB53" s="373"/>
      <c r="UKC53" s="373"/>
      <c r="UKD53" s="373"/>
      <c r="UKE53" s="373"/>
      <c r="UKF53" s="373"/>
      <c r="UKG53" s="373"/>
      <c r="UKH53" s="373"/>
      <c r="UKI53" s="373"/>
      <c r="UKJ53" s="373"/>
      <c r="UKK53" s="373"/>
      <c r="UKL53" s="373"/>
      <c r="UKM53" s="373"/>
      <c r="UKN53" s="373"/>
      <c r="UKO53" s="373"/>
      <c r="UKP53" s="373"/>
      <c r="UKQ53" s="373"/>
      <c r="UKR53" s="373"/>
      <c r="UKS53" s="373"/>
      <c r="UKT53" s="373"/>
      <c r="UKU53" s="373"/>
      <c r="UKV53" s="373"/>
      <c r="UKW53" s="373"/>
      <c r="UKX53" s="373"/>
      <c r="UKY53" s="373"/>
      <c r="UKZ53" s="373"/>
      <c r="ULA53" s="373"/>
      <c r="ULB53" s="373"/>
      <c r="ULC53" s="373"/>
      <c r="ULD53" s="373"/>
      <c r="ULE53" s="373"/>
      <c r="ULF53" s="373"/>
      <c r="ULG53" s="373"/>
      <c r="ULH53" s="373"/>
      <c r="ULI53" s="373"/>
      <c r="ULJ53" s="373"/>
      <c r="ULK53" s="373"/>
      <c r="ULL53" s="373"/>
      <c r="ULM53" s="373"/>
      <c r="ULN53" s="373"/>
      <c r="ULO53" s="373"/>
      <c r="ULP53" s="373"/>
      <c r="ULQ53" s="373"/>
      <c r="ULR53" s="373"/>
      <c r="ULS53" s="373"/>
      <c r="ULT53" s="373"/>
      <c r="ULU53" s="373"/>
      <c r="ULV53" s="373"/>
      <c r="ULW53" s="373"/>
      <c r="ULX53" s="373"/>
      <c r="ULY53" s="373"/>
      <c r="ULZ53" s="373"/>
      <c r="UMA53" s="373"/>
      <c r="UMB53" s="373"/>
      <c r="UMC53" s="373"/>
      <c r="UMD53" s="373"/>
      <c r="UME53" s="373"/>
      <c r="UMF53" s="373"/>
      <c r="UMG53" s="373"/>
      <c r="UMH53" s="373"/>
      <c r="UMI53" s="373"/>
      <c r="UMJ53" s="373"/>
      <c r="UMK53" s="373"/>
      <c r="UML53" s="373"/>
      <c r="UMM53" s="373"/>
      <c r="UMN53" s="373"/>
      <c r="UMO53" s="373"/>
      <c r="UMP53" s="373"/>
      <c r="UMQ53" s="373"/>
      <c r="UMR53" s="373"/>
      <c r="UMS53" s="373"/>
      <c r="UMT53" s="373"/>
      <c r="UMU53" s="373"/>
      <c r="UMV53" s="373"/>
      <c r="UMW53" s="373"/>
      <c r="UMX53" s="373"/>
      <c r="UMY53" s="373"/>
      <c r="UMZ53" s="373"/>
      <c r="UNA53" s="373"/>
      <c r="UNB53" s="373"/>
      <c r="UNC53" s="373"/>
      <c r="UND53" s="373"/>
      <c r="UNE53" s="373"/>
      <c r="UNF53" s="373"/>
      <c r="UNG53" s="373"/>
      <c r="UNH53" s="373"/>
      <c r="UNI53" s="373"/>
      <c r="UNJ53" s="373"/>
      <c r="UNK53" s="373"/>
      <c r="UNL53" s="373"/>
      <c r="UNM53" s="373"/>
      <c r="UNN53" s="373"/>
      <c r="UNO53" s="373"/>
      <c r="UNP53" s="373"/>
      <c r="UNQ53" s="373"/>
      <c r="UNR53" s="373"/>
      <c r="UNS53" s="373"/>
      <c r="UNT53" s="373"/>
      <c r="UNU53" s="373"/>
      <c r="UNV53" s="373"/>
      <c r="UNW53" s="373"/>
      <c r="UNX53" s="373"/>
      <c r="UNY53" s="373"/>
      <c r="UNZ53" s="373"/>
      <c r="UOA53" s="373"/>
      <c r="UOB53" s="373"/>
      <c r="UOC53" s="373"/>
      <c r="UOD53" s="373"/>
      <c r="UOE53" s="373"/>
      <c r="UOF53" s="373"/>
      <c r="UOG53" s="373"/>
      <c r="UOH53" s="373"/>
      <c r="UOI53" s="373"/>
      <c r="UOJ53" s="373"/>
      <c r="UOK53" s="373"/>
      <c r="UOL53" s="373"/>
      <c r="UOM53" s="373"/>
      <c r="UON53" s="373"/>
      <c r="UOO53" s="373"/>
      <c r="UOP53" s="373"/>
      <c r="UOQ53" s="373"/>
      <c r="UOR53" s="373"/>
      <c r="UOS53" s="373"/>
      <c r="UOT53" s="373"/>
      <c r="UOU53" s="373"/>
      <c r="UOV53" s="373"/>
      <c r="UOW53" s="373"/>
      <c r="UOX53" s="373"/>
      <c r="UOY53" s="373"/>
      <c r="UOZ53" s="373"/>
      <c r="UPA53" s="373"/>
      <c r="UPB53" s="373"/>
      <c r="UPC53" s="373"/>
      <c r="UPD53" s="373"/>
      <c r="UPE53" s="373"/>
      <c r="UPF53" s="373"/>
      <c r="UPG53" s="373"/>
      <c r="UPH53" s="373"/>
      <c r="UPI53" s="373"/>
      <c r="UPJ53" s="373"/>
      <c r="UPK53" s="373"/>
      <c r="UPL53" s="373"/>
      <c r="UPM53" s="373"/>
      <c r="UPN53" s="373"/>
      <c r="UPO53" s="373"/>
      <c r="UPP53" s="373"/>
      <c r="UPQ53" s="373"/>
      <c r="UPR53" s="373"/>
      <c r="UPS53" s="373"/>
      <c r="UPT53" s="373"/>
      <c r="UPU53" s="373"/>
      <c r="UPV53" s="373"/>
      <c r="UPW53" s="373"/>
      <c r="UPX53" s="373"/>
      <c r="UPY53" s="373"/>
      <c r="UPZ53" s="373"/>
      <c r="UQA53" s="373"/>
      <c r="UQB53" s="373"/>
      <c r="UQC53" s="373"/>
      <c r="UQD53" s="373"/>
      <c r="UQE53" s="373"/>
      <c r="UQF53" s="373"/>
      <c r="UQG53" s="373"/>
      <c r="UQH53" s="373"/>
      <c r="UQI53" s="373"/>
      <c r="UQJ53" s="373"/>
      <c r="UQK53" s="373"/>
      <c r="UQL53" s="373"/>
      <c r="UQM53" s="373"/>
      <c r="UQN53" s="373"/>
      <c r="UQO53" s="373"/>
      <c r="UQP53" s="373"/>
      <c r="UQQ53" s="373"/>
      <c r="UQR53" s="373"/>
      <c r="UQS53" s="373"/>
      <c r="UQT53" s="373"/>
      <c r="UQU53" s="373"/>
      <c r="UQV53" s="373"/>
      <c r="UQW53" s="373"/>
      <c r="UQX53" s="373"/>
      <c r="UQY53" s="373"/>
      <c r="UQZ53" s="373"/>
      <c r="URA53" s="373"/>
      <c r="URB53" s="373"/>
      <c r="URC53" s="373"/>
      <c r="URD53" s="373"/>
      <c r="URE53" s="373"/>
      <c r="URF53" s="373"/>
      <c r="URG53" s="373"/>
      <c r="URH53" s="373"/>
      <c r="URI53" s="373"/>
      <c r="URJ53" s="373"/>
      <c r="URK53" s="373"/>
      <c r="URL53" s="373"/>
      <c r="URM53" s="373"/>
      <c r="URN53" s="373"/>
      <c r="URO53" s="373"/>
      <c r="URP53" s="373"/>
      <c r="URQ53" s="373"/>
      <c r="URR53" s="373"/>
      <c r="URS53" s="373"/>
      <c r="URT53" s="373"/>
      <c r="URU53" s="373"/>
      <c r="URV53" s="373"/>
      <c r="URW53" s="373"/>
      <c r="URX53" s="373"/>
      <c r="URY53" s="373"/>
      <c r="URZ53" s="373"/>
      <c r="USA53" s="373"/>
      <c r="USB53" s="373"/>
      <c r="USC53" s="373"/>
      <c r="USD53" s="373"/>
      <c r="USE53" s="373"/>
      <c r="USF53" s="373"/>
      <c r="USG53" s="373"/>
      <c r="USH53" s="373"/>
      <c r="USI53" s="373"/>
      <c r="USJ53" s="373"/>
      <c r="USK53" s="373"/>
      <c r="USL53" s="373"/>
      <c r="USM53" s="373"/>
      <c r="USN53" s="373"/>
      <c r="USO53" s="373"/>
      <c r="USP53" s="373"/>
      <c r="USQ53" s="373"/>
      <c r="USR53" s="373"/>
      <c r="USS53" s="373"/>
      <c r="UST53" s="373"/>
      <c r="USU53" s="373"/>
      <c r="USV53" s="373"/>
      <c r="USW53" s="373"/>
      <c r="USX53" s="373"/>
      <c r="USY53" s="373"/>
      <c r="USZ53" s="373"/>
      <c r="UTA53" s="373"/>
      <c r="UTB53" s="373"/>
      <c r="UTC53" s="373"/>
      <c r="UTD53" s="373"/>
      <c r="UTE53" s="373"/>
      <c r="UTF53" s="373"/>
      <c r="UTG53" s="373"/>
      <c r="UTH53" s="373"/>
      <c r="UTI53" s="373"/>
      <c r="UTJ53" s="373"/>
      <c r="UTK53" s="373"/>
      <c r="UTL53" s="373"/>
      <c r="UTM53" s="373"/>
      <c r="UTN53" s="373"/>
      <c r="UTO53" s="373"/>
      <c r="UTP53" s="373"/>
      <c r="UTQ53" s="373"/>
      <c r="UTR53" s="373"/>
      <c r="UTS53" s="373"/>
      <c r="UTT53" s="373"/>
      <c r="UTU53" s="373"/>
      <c r="UTV53" s="373"/>
      <c r="UTW53" s="373"/>
      <c r="UTX53" s="373"/>
      <c r="UTY53" s="373"/>
      <c r="UTZ53" s="373"/>
      <c r="UUA53" s="373"/>
      <c r="UUB53" s="373"/>
      <c r="UUC53" s="373"/>
      <c r="UUD53" s="373"/>
      <c r="UUE53" s="373"/>
      <c r="UUF53" s="373"/>
      <c r="UUG53" s="373"/>
      <c r="UUH53" s="373"/>
      <c r="UUI53" s="373"/>
      <c r="UUJ53" s="373"/>
      <c r="UUK53" s="373"/>
      <c r="UUL53" s="373"/>
      <c r="UUM53" s="373"/>
      <c r="UUN53" s="373"/>
      <c r="UUO53" s="373"/>
      <c r="UUP53" s="373"/>
      <c r="UUQ53" s="373"/>
      <c r="UUR53" s="373"/>
      <c r="UUS53" s="373"/>
      <c r="UUT53" s="373"/>
      <c r="UUU53" s="373"/>
      <c r="UUV53" s="373"/>
      <c r="UUW53" s="373"/>
      <c r="UUX53" s="373"/>
      <c r="UUY53" s="373"/>
      <c r="UUZ53" s="373"/>
      <c r="UVA53" s="373"/>
      <c r="UVB53" s="373"/>
      <c r="UVC53" s="373"/>
      <c r="UVD53" s="373"/>
      <c r="UVE53" s="373"/>
      <c r="UVF53" s="373"/>
      <c r="UVG53" s="373"/>
      <c r="UVH53" s="373"/>
      <c r="UVI53" s="373"/>
      <c r="UVJ53" s="373"/>
      <c r="UVK53" s="373"/>
      <c r="UVL53" s="373"/>
      <c r="UVM53" s="373"/>
      <c r="UVN53" s="373"/>
      <c r="UVO53" s="373"/>
      <c r="UVP53" s="373"/>
      <c r="UVQ53" s="373"/>
      <c r="UVR53" s="373"/>
      <c r="UVS53" s="373"/>
      <c r="UVT53" s="373"/>
      <c r="UVU53" s="373"/>
      <c r="UVV53" s="373"/>
      <c r="UVW53" s="373"/>
      <c r="UVX53" s="373"/>
      <c r="UVY53" s="373"/>
      <c r="UVZ53" s="373"/>
      <c r="UWA53" s="373"/>
      <c r="UWB53" s="373"/>
      <c r="UWC53" s="373"/>
      <c r="UWD53" s="373"/>
      <c r="UWE53" s="373"/>
      <c r="UWF53" s="373"/>
      <c r="UWG53" s="373"/>
      <c r="UWH53" s="373"/>
      <c r="UWI53" s="373"/>
      <c r="UWJ53" s="373"/>
      <c r="UWK53" s="373"/>
      <c r="UWL53" s="373"/>
      <c r="UWM53" s="373"/>
      <c r="UWN53" s="373"/>
      <c r="UWO53" s="373"/>
      <c r="UWP53" s="373"/>
      <c r="UWQ53" s="373"/>
      <c r="UWR53" s="373"/>
      <c r="UWS53" s="373"/>
      <c r="UWT53" s="373"/>
      <c r="UWU53" s="373"/>
      <c r="UWV53" s="373"/>
      <c r="UWW53" s="373"/>
      <c r="UWX53" s="373"/>
      <c r="UWY53" s="373"/>
      <c r="UWZ53" s="373"/>
      <c r="UXA53" s="373"/>
      <c r="UXB53" s="373"/>
      <c r="UXC53" s="373"/>
      <c r="UXD53" s="373"/>
      <c r="UXE53" s="373"/>
      <c r="UXF53" s="373"/>
      <c r="UXG53" s="373"/>
      <c r="UXH53" s="373"/>
      <c r="UXI53" s="373"/>
      <c r="UXJ53" s="373"/>
      <c r="UXK53" s="373"/>
      <c r="UXL53" s="373"/>
      <c r="UXM53" s="373"/>
      <c r="UXN53" s="373"/>
      <c r="UXO53" s="373"/>
      <c r="UXP53" s="373"/>
      <c r="UXQ53" s="373"/>
      <c r="UXR53" s="373"/>
      <c r="UXS53" s="373"/>
      <c r="UXT53" s="373"/>
      <c r="UXU53" s="373"/>
      <c r="UXV53" s="373"/>
      <c r="UXW53" s="373"/>
      <c r="UXX53" s="373"/>
      <c r="UXY53" s="373"/>
      <c r="UXZ53" s="373"/>
      <c r="UYA53" s="373"/>
      <c r="UYB53" s="373"/>
      <c r="UYC53" s="373"/>
      <c r="UYD53" s="373"/>
      <c r="UYE53" s="373"/>
      <c r="UYF53" s="373"/>
      <c r="UYG53" s="373"/>
      <c r="UYH53" s="373"/>
      <c r="UYI53" s="373"/>
      <c r="UYJ53" s="373"/>
      <c r="UYK53" s="373"/>
      <c r="UYL53" s="373"/>
      <c r="UYM53" s="373"/>
      <c r="UYN53" s="373"/>
      <c r="UYO53" s="373"/>
      <c r="UYP53" s="373"/>
      <c r="UYQ53" s="373"/>
      <c r="UYR53" s="373"/>
      <c r="UYS53" s="373"/>
      <c r="UYT53" s="373"/>
      <c r="UYU53" s="373"/>
      <c r="UYV53" s="373"/>
      <c r="UYW53" s="373"/>
      <c r="UYX53" s="373"/>
      <c r="UYY53" s="373"/>
      <c r="UYZ53" s="373"/>
      <c r="UZA53" s="373"/>
      <c r="UZB53" s="373"/>
      <c r="UZC53" s="373"/>
      <c r="UZD53" s="373"/>
      <c r="UZE53" s="373"/>
      <c r="UZF53" s="373"/>
      <c r="UZG53" s="373"/>
      <c r="UZH53" s="373"/>
      <c r="UZI53" s="373"/>
      <c r="UZJ53" s="373"/>
      <c r="UZK53" s="373"/>
      <c r="UZL53" s="373"/>
      <c r="UZM53" s="373"/>
      <c r="UZN53" s="373"/>
      <c r="UZO53" s="373"/>
      <c r="UZP53" s="373"/>
      <c r="UZQ53" s="373"/>
      <c r="UZR53" s="373"/>
      <c r="UZS53" s="373"/>
      <c r="UZT53" s="373"/>
      <c r="UZU53" s="373"/>
      <c r="UZV53" s="373"/>
      <c r="UZW53" s="373"/>
      <c r="UZX53" s="373"/>
      <c r="UZY53" s="373"/>
      <c r="UZZ53" s="373"/>
      <c r="VAA53" s="373"/>
      <c r="VAB53" s="373"/>
      <c r="VAC53" s="373"/>
      <c r="VAD53" s="373"/>
      <c r="VAE53" s="373"/>
      <c r="VAF53" s="373"/>
      <c r="VAG53" s="373"/>
      <c r="VAH53" s="373"/>
      <c r="VAI53" s="373"/>
      <c r="VAJ53" s="373"/>
      <c r="VAK53" s="373"/>
      <c r="VAL53" s="373"/>
      <c r="VAM53" s="373"/>
      <c r="VAN53" s="373"/>
      <c r="VAO53" s="373"/>
      <c r="VAP53" s="373"/>
      <c r="VAQ53" s="373"/>
      <c r="VAR53" s="373"/>
      <c r="VAS53" s="373"/>
      <c r="VAT53" s="373"/>
      <c r="VAU53" s="373"/>
      <c r="VAV53" s="373"/>
      <c r="VAW53" s="373"/>
      <c r="VAX53" s="373"/>
      <c r="VAY53" s="373"/>
      <c r="VAZ53" s="373"/>
      <c r="VBA53" s="373"/>
      <c r="VBB53" s="373"/>
      <c r="VBC53" s="373"/>
      <c r="VBD53" s="373"/>
      <c r="VBE53" s="373"/>
      <c r="VBF53" s="373"/>
      <c r="VBG53" s="373"/>
      <c r="VBH53" s="373"/>
      <c r="VBI53" s="373"/>
      <c r="VBJ53" s="373"/>
      <c r="VBK53" s="373"/>
      <c r="VBL53" s="373"/>
      <c r="VBM53" s="373"/>
      <c r="VBN53" s="373"/>
      <c r="VBO53" s="373"/>
      <c r="VBP53" s="373"/>
      <c r="VBQ53" s="373"/>
      <c r="VBR53" s="373"/>
      <c r="VBS53" s="373"/>
      <c r="VBT53" s="373"/>
      <c r="VBU53" s="373"/>
      <c r="VBV53" s="373"/>
      <c r="VBW53" s="373"/>
      <c r="VBX53" s="373"/>
      <c r="VBY53" s="373"/>
      <c r="VBZ53" s="373"/>
      <c r="VCA53" s="373"/>
      <c r="VCB53" s="373"/>
      <c r="VCC53" s="373"/>
      <c r="VCD53" s="373"/>
      <c r="VCE53" s="373"/>
      <c r="VCF53" s="373"/>
      <c r="VCG53" s="373"/>
      <c r="VCH53" s="373"/>
      <c r="VCI53" s="373"/>
      <c r="VCJ53" s="373"/>
      <c r="VCK53" s="373"/>
      <c r="VCL53" s="373"/>
      <c r="VCM53" s="373"/>
      <c r="VCN53" s="373"/>
      <c r="VCO53" s="373"/>
      <c r="VCP53" s="373"/>
      <c r="VCQ53" s="373"/>
      <c r="VCR53" s="373"/>
      <c r="VCS53" s="373"/>
      <c r="VCT53" s="373"/>
      <c r="VCU53" s="373"/>
      <c r="VCV53" s="373"/>
      <c r="VCW53" s="373"/>
      <c r="VCX53" s="373"/>
      <c r="VCY53" s="373"/>
      <c r="VCZ53" s="373"/>
      <c r="VDA53" s="373"/>
      <c r="VDB53" s="373"/>
      <c r="VDC53" s="373"/>
      <c r="VDD53" s="373"/>
      <c r="VDE53" s="373"/>
      <c r="VDF53" s="373"/>
      <c r="VDG53" s="373"/>
      <c r="VDH53" s="373"/>
      <c r="VDI53" s="373"/>
      <c r="VDJ53" s="373"/>
      <c r="VDK53" s="373"/>
      <c r="VDL53" s="373"/>
      <c r="VDM53" s="373"/>
      <c r="VDN53" s="373"/>
      <c r="VDO53" s="373"/>
      <c r="VDP53" s="373"/>
      <c r="VDQ53" s="373"/>
      <c r="VDR53" s="373"/>
      <c r="VDS53" s="373"/>
      <c r="VDT53" s="373"/>
      <c r="VDU53" s="373"/>
      <c r="VDV53" s="373"/>
      <c r="VDW53" s="373"/>
      <c r="VDX53" s="373"/>
      <c r="VDY53" s="373"/>
      <c r="VDZ53" s="373"/>
      <c r="VEA53" s="373"/>
      <c r="VEB53" s="373"/>
      <c r="VEC53" s="373"/>
      <c r="VED53" s="373"/>
      <c r="VEE53" s="373"/>
      <c r="VEF53" s="373"/>
      <c r="VEG53" s="373"/>
      <c r="VEH53" s="373"/>
      <c r="VEI53" s="373"/>
      <c r="VEJ53" s="373"/>
      <c r="VEK53" s="373"/>
      <c r="VEL53" s="373"/>
      <c r="VEM53" s="373"/>
      <c r="VEN53" s="373"/>
      <c r="VEO53" s="373"/>
      <c r="VEP53" s="373"/>
      <c r="VEQ53" s="373"/>
      <c r="VER53" s="373"/>
      <c r="VES53" s="373"/>
      <c r="VET53" s="373"/>
      <c r="VEU53" s="373"/>
      <c r="VEV53" s="373"/>
      <c r="VEW53" s="373"/>
      <c r="VEX53" s="373"/>
      <c r="VEY53" s="373"/>
      <c r="VEZ53" s="373"/>
      <c r="VFA53" s="373"/>
      <c r="VFB53" s="373"/>
      <c r="VFC53" s="373"/>
      <c r="VFD53" s="373"/>
      <c r="VFE53" s="373"/>
      <c r="VFF53" s="373"/>
      <c r="VFG53" s="373"/>
      <c r="VFH53" s="373"/>
      <c r="VFI53" s="373"/>
      <c r="VFJ53" s="373"/>
      <c r="VFK53" s="373"/>
      <c r="VFL53" s="373"/>
      <c r="VFM53" s="373"/>
      <c r="VFN53" s="373"/>
      <c r="VFO53" s="373"/>
      <c r="VFP53" s="373"/>
      <c r="VFQ53" s="373"/>
      <c r="VFR53" s="373"/>
      <c r="VFS53" s="373"/>
      <c r="VFT53" s="373"/>
      <c r="VFU53" s="373"/>
      <c r="VFV53" s="373"/>
      <c r="VFW53" s="373"/>
      <c r="VFX53" s="373"/>
      <c r="VFY53" s="373"/>
      <c r="VFZ53" s="373"/>
      <c r="VGA53" s="373"/>
      <c r="VGB53" s="373"/>
      <c r="VGC53" s="373"/>
      <c r="VGD53" s="373"/>
      <c r="VGE53" s="373"/>
      <c r="VGF53" s="373"/>
      <c r="VGG53" s="373"/>
      <c r="VGH53" s="373"/>
      <c r="VGI53" s="373"/>
      <c r="VGJ53" s="373"/>
      <c r="VGK53" s="373"/>
      <c r="VGL53" s="373"/>
      <c r="VGM53" s="373"/>
      <c r="VGN53" s="373"/>
      <c r="VGO53" s="373"/>
      <c r="VGP53" s="373"/>
      <c r="VGQ53" s="373"/>
      <c r="VGR53" s="373"/>
      <c r="VGS53" s="373"/>
      <c r="VGT53" s="373"/>
      <c r="VGU53" s="373"/>
      <c r="VGV53" s="373"/>
      <c r="VGW53" s="373"/>
      <c r="VGX53" s="373"/>
      <c r="VGY53" s="373"/>
      <c r="VGZ53" s="373"/>
      <c r="VHA53" s="373"/>
      <c r="VHB53" s="373"/>
      <c r="VHC53" s="373"/>
      <c r="VHD53" s="373"/>
      <c r="VHE53" s="373"/>
      <c r="VHF53" s="373"/>
      <c r="VHG53" s="373"/>
      <c r="VHH53" s="373"/>
      <c r="VHI53" s="373"/>
      <c r="VHJ53" s="373"/>
      <c r="VHK53" s="373"/>
      <c r="VHL53" s="373"/>
      <c r="VHM53" s="373"/>
      <c r="VHN53" s="373"/>
      <c r="VHO53" s="373"/>
      <c r="VHP53" s="373"/>
      <c r="VHQ53" s="373"/>
      <c r="VHR53" s="373"/>
      <c r="VHS53" s="373"/>
      <c r="VHT53" s="373"/>
      <c r="VHU53" s="373"/>
      <c r="VHV53" s="373"/>
      <c r="VHW53" s="373"/>
      <c r="VHX53" s="373"/>
      <c r="VHY53" s="373"/>
      <c r="VHZ53" s="373"/>
      <c r="VIA53" s="373"/>
      <c r="VIB53" s="373"/>
      <c r="VIC53" s="373"/>
      <c r="VID53" s="373"/>
      <c r="VIE53" s="373"/>
      <c r="VIF53" s="373"/>
      <c r="VIG53" s="373"/>
      <c r="VIH53" s="373"/>
      <c r="VII53" s="373"/>
      <c r="VIJ53" s="373"/>
      <c r="VIK53" s="373"/>
      <c r="VIL53" s="373"/>
      <c r="VIM53" s="373"/>
      <c r="VIN53" s="373"/>
      <c r="VIO53" s="373"/>
      <c r="VIP53" s="373"/>
      <c r="VIQ53" s="373"/>
      <c r="VIR53" s="373"/>
      <c r="VIS53" s="373"/>
      <c r="VIT53" s="373"/>
      <c r="VIU53" s="373"/>
      <c r="VIV53" s="373"/>
      <c r="VIW53" s="373"/>
      <c r="VIX53" s="373"/>
      <c r="VIY53" s="373"/>
      <c r="VIZ53" s="373"/>
      <c r="VJA53" s="373"/>
      <c r="VJB53" s="373"/>
      <c r="VJC53" s="373"/>
      <c r="VJD53" s="373"/>
      <c r="VJE53" s="373"/>
      <c r="VJF53" s="373"/>
      <c r="VJG53" s="373"/>
      <c r="VJH53" s="373"/>
      <c r="VJI53" s="373"/>
      <c r="VJJ53" s="373"/>
      <c r="VJK53" s="373"/>
      <c r="VJL53" s="373"/>
      <c r="VJM53" s="373"/>
      <c r="VJN53" s="373"/>
      <c r="VJO53" s="373"/>
      <c r="VJP53" s="373"/>
      <c r="VJQ53" s="373"/>
      <c r="VJR53" s="373"/>
      <c r="VJS53" s="373"/>
      <c r="VJT53" s="373"/>
      <c r="VJU53" s="373"/>
      <c r="VJV53" s="373"/>
      <c r="VJW53" s="373"/>
      <c r="VJX53" s="373"/>
      <c r="VJY53" s="373"/>
      <c r="VJZ53" s="373"/>
      <c r="VKA53" s="373"/>
      <c r="VKB53" s="373"/>
      <c r="VKC53" s="373"/>
      <c r="VKD53" s="373"/>
      <c r="VKE53" s="373"/>
      <c r="VKF53" s="373"/>
      <c r="VKG53" s="373"/>
      <c r="VKH53" s="373"/>
      <c r="VKI53" s="373"/>
      <c r="VKJ53" s="373"/>
      <c r="VKK53" s="373"/>
      <c r="VKL53" s="373"/>
      <c r="VKM53" s="373"/>
      <c r="VKN53" s="373"/>
      <c r="VKO53" s="373"/>
      <c r="VKP53" s="373"/>
      <c r="VKQ53" s="373"/>
      <c r="VKR53" s="373"/>
      <c r="VKS53" s="373"/>
      <c r="VKT53" s="373"/>
      <c r="VKU53" s="373"/>
      <c r="VKV53" s="373"/>
      <c r="VKW53" s="373"/>
      <c r="VKX53" s="373"/>
      <c r="VKY53" s="373"/>
      <c r="VKZ53" s="373"/>
      <c r="VLA53" s="373"/>
      <c r="VLB53" s="373"/>
      <c r="VLC53" s="373"/>
      <c r="VLD53" s="373"/>
      <c r="VLE53" s="373"/>
      <c r="VLF53" s="373"/>
      <c r="VLG53" s="373"/>
      <c r="VLH53" s="373"/>
      <c r="VLI53" s="373"/>
      <c r="VLJ53" s="373"/>
      <c r="VLK53" s="373"/>
      <c r="VLL53" s="373"/>
      <c r="VLM53" s="373"/>
      <c r="VLN53" s="373"/>
      <c r="VLO53" s="373"/>
      <c r="VLP53" s="373"/>
      <c r="VLQ53" s="373"/>
      <c r="VLR53" s="373"/>
      <c r="VLS53" s="373"/>
      <c r="VLT53" s="373"/>
      <c r="VLU53" s="373"/>
      <c r="VLV53" s="373"/>
      <c r="VLW53" s="373"/>
      <c r="VLX53" s="373"/>
      <c r="VLY53" s="373"/>
      <c r="VLZ53" s="373"/>
      <c r="VMA53" s="373"/>
      <c r="VMB53" s="373"/>
      <c r="VMC53" s="373"/>
      <c r="VMD53" s="373"/>
      <c r="VME53" s="373"/>
      <c r="VMF53" s="373"/>
      <c r="VMG53" s="373"/>
      <c r="VMH53" s="373"/>
      <c r="VMI53" s="373"/>
      <c r="VMJ53" s="373"/>
      <c r="VMK53" s="373"/>
      <c r="VML53" s="373"/>
      <c r="VMM53" s="373"/>
      <c r="VMN53" s="373"/>
      <c r="VMO53" s="373"/>
      <c r="VMP53" s="373"/>
      <c r="VMQ53" s="373"/>
      <c r="VMR53" s="373"/>
      <c r="VMS53" s="373"/>
      <c r="VMT53" s="373"/>
      <c r="VMU53" s="373"/>
      <c r="VMV53" s="373"/>
      <c r="VMW53" s="373"/>
      <c r="VMX53" s="373"/>
      <c r="VMY53" s="373"/>
      <c r="VMZ53" s="373"/>
      <c r="VNA53" s="373"/>
      <c r="VNB53" s="373"/>
      <c r="VNC53" s="373"/>
      <c r="VND53" s="373"/>
      <c r="VNE53" s="373"/>
      <c r="VNF53" s="373"/>
      <c r="VNG53" s="373"/>
      <c r="VNH53" s="373"/>
      <c r="VNI53" s="373"/>
      <c r="VNJ53" s="373"/>
      <c r="VNK53" s="373"/>
      <c r="VNL53" s="373"/>
      <c r="VNM53" s="373"/>
      <c r="VNN53" s="373"/>
      <c r="VNO53" s="373"/>
      <c r="VNP53" s="373"/>
      <c r="VNQ53" s="373"/>
      <c r="VNR53" s="373"/>
      <c r="VNS53" s="373"/>
      <c r="VNT53" s="373"/>
      <c r="VNU53" s="373"/>
      <c r="VNV53" s="373"/>
      <c r="VNW53" s="373"/>
      <c r="VNX53" s="373"/>
      <c r="VNY53" s="373"/>
      <c r="VNZ53" s="373"/>
      <c r="VOA53" s="373"/>
      <c r="VOB53" s="373"/>
      <c r="VOC53" s="373"/>
      <c r="VOD53" s="373"/>
      <c r="VOE53" s="373"/>
      <c r="VOF53" s="373"/>
      <c r="VOG53" s="373"/>
      <c r="VOH53" s="373"/>
      <c r="VOI53" s="373"/>
      <c r="VOJ53" s="373"/>
      <c r="VOK53" s="373"/>
      <c r="VOL53" s="373"/>
      <c r="VOM53" s="373"/>
      <c r="VON53" s="373"/>
      <c r="VOO53" s="373"/>
      <c r="VOP53" s="373"/>
      <c r="VOQ53" s="373"/>
      <c r="VOR53" s="373"/>
      <c r="VOS53" s="373"/>
      <c r="VOT53" s="373"/>
      <c r="VOU53" s="373"/>
      <c r="VOV53" s="373"/>
      <c r="VOW53" s="373"/>
      <c r="VOX53" s="373"/>
      <c r="VOY53" s="373"/>
      <c r="VOZ53" s="373"/>
      <c r="VPA53" s="373"/>
      <c r="VPB53" s="373"/>
      <c r="VPC53" s="373"/>
      <c r="VPD53" s="373"/>
      <c r="VPE53" s="373"/>
      <c r="VPF53" s="373"/>
      <c r="VPG53" s="373"/>
      <c r="VPH53" s="373"/>
      <c r="VPI53" s="373"/>
      <c r="VPJ53" s="373"/>
      <c r="VPK53" s="373"/>
      <c r="VPL53" s="373"/>
      <c r="VPM53" s="373"/>
      <c r="VPN53" s="373"/>
      <c r="VPO53" s="373"/>
      <c r="VPP53" s="373"/>
      <c r="VPQ53" s="373"/>
      <c r="VPR53" s="373"/>
      <c r="VPS53" s="373"/>
      <c r="VPT53" s="373"/>
      <c r="VPU53" s="373"/>
      <c r="VPV53" s="373"/>
      <c r="VPW53" s="373"/>
      <c r="VPX53" s="373"/>
      <c r="VPY53" s="373"/>
      <c r="VPZ53" s="373"/>
      <c r="VQA53" s="373"/>
      <c r="VQB53" s="373"/>
      <c r="VQC53" s="373"/>
      <c r="VQD53" s="373"/>
      <c r="VQE53" s="373"/>
      <c r="VQF53" s="373"/>
      <c r="VQG53" s="373"/>
      <c r="VQH53" s="373"/>
      <c r="VQI53" s="373"/>
      <c r="VQJ53" s="373"/>
      <c r="VQK53" s="373"/>
      <c r="VQL53" s="373"/>
      <c r="VQM53" s="373"/>
      <c r="VQN53" s="373"/>
      <c r="VQO53" s="373"/>
      <c r="VQP53" s="373"/>
      <c r="VQQ53" s="373"/>
      <c r="VQR53" s="373"/>
      <c r="VQS53" s="373"/>
      <c r="VQT53" s="373"/>
      <c r="VQU53" s="373"/>
      <c r="VQV53" s="373"/>
      <c r="VQW53" s="373"/>
      <c r="VQX53" s="373"/>
      <c r="VQY53" s="373"/>
      <c r="VQZ53" s="373"/>
      <c r="VRA53" s="373"/>
      <c r="VRB53" s="373"/>
      <c r="VRC53" s="373"/>
      <c r="VRD53" s="373"/>
      <c r="VRE53" s="373"/>
      <c r="VRF53" s="373"/>
      <c r="VRG53" s="373"/>
      <c r="VRH53" s="373"/>
      <c r="VRI53" s="373"/>
      <c r="VRJ53" s="373"/>
      <c r="VRK53" s="373"/>
      <c r="VRL53" s="373"/>
      <c r="VRM53" s="373"/>
      <c r="VRN53" s="373"/>
      <c r="VRO53" s="373"/>
      <c r="VRP53" s="373"/>
      <c r="VRQ53" s="373"/>
      <c r="VRR53" s="373"/>
      <c r="VRS53" s="373"/>
      <c r="VRT53" s="373"/>
      <c r="VRU53" s="373"/>
      <c r="VRV53" s="373"/>
      <c r="VRW53" s="373"/>
      <c r="VRX53" s="373"/>
      <c r="VRY53" s="373"/>
      <c r="VRZ53" s="373"/>
      <c r="VSA53" s="373"/>
      <c r="VSB53" s="373"/>
      <c r="VSC53" s="373"/>
      <c r="VSD53" s="373"/>
      <c r="VSE53" s="373"/>
      <c r="VSF53" s="373"/>
      <c r="VSG53" s="373"/>
      <c r="VSH53" s="373"/>
      <c r="VSI53" s="373"/>
      <c r="VSJ53" s="373"/>
      <c r="VSK53" s="373"/>
      <c r="VSL53" s="373"/>
      <c r="VSM53" s="373"/>
      <c r="VSN53" s="373"/>
      <c r="VSO53" s="373"/>
      <c r="VSP53" s="373"/>
      <c r="VSQ53" s="373"/>
      <c r="VSR53" s="373"/>
      <c r="VSS53" s="373"/>
      <c r="VST53" s="373"/>
      <c r="VSU53" s="373"/>
      <c r="VSV53" s="373"/>
      <c r="VSW53" s="373"/>
      <c r="VSX53" s="373"/>
      <c r="VSY53" s="373"/>
      <c r="VSZ53" s="373"/>
      <c r="VTA53" s="373"/>
      <c r="VTB53" s="373"/>
      <c r="VTC53" s="373"/>
      <c r="VTD53" s="373"/>
      <c r="VTE53" s="373"/>
      <c r="VTF53" s="373"/>
      <c r="VTG53" s="373"/>
      <c r="VTH53" s="373"/>
      <c r="VTI53" s="373"/>
      <c r="VTJ53" s="373"/>
      <c r="VTK53" s="373"/>
      <c r="VTL53" s="373"/>
      <c r="VTM53" s="373"/>
      <c r="VTN53" s="373"/>
      <c r="VTO53" s="373"/>
      <c r="VTP53" s="373"/>
      <c r="VTQ53" s="373"/>
      <c r="VTR53" s="373"/>
      <c r="VTS53" s="373"/>
      <c r="VTT53" s="373"/>
      <c r="VTU53" s="373"/>
      <c r="VTV53" s="373"/>
      <c r="VTW53" s="373"/>
      <c r="VTX53" s="373"/>
      <c r="VTY53" s="373"/>
      <c r="VTZ53" s="373"/>
      <c r="VUA53" s="373"/>
      <c r="VUB53" s="373"/>
      <c r="VUC53" s="373"/>
      <c r="VUD53" s="373"/>
      <c r="VUE53" s="373"/>
      <c r="VUF53" s="373"/>
      <c r="VUG53" s="373"/>
      <c r="VUH53" s="373"/>
      <c r="VUI53" s="373"/>
      <c r="VUJ53" s="373"/>
      <c r="VUK53" s="373"/>
      <c r="VUL53" s="373"/>
      <c r="VUM53" s="373"/>
      <c r="VUN53" s="373"/>
      <c r="VUO53" s="373"/>
      <c r="VUP53" s="373"/>
      <c r="VUQ53" s="373"/>
      <c r="VUR53" s="373"/>
      <c r="VUS53" s="373"/>
      <c r="VUT53" s="373"/>
      <c r="VUU53" s="373"/>
      <c r="VUV53" s="373"/>
      <c r="VUW53" s="373"/>
      <c r="VUX53" s="373"/>
      <c r="VUY53" s="373"/>
      <c r="VUZ53" s="373"/>
      <c r="VVA53" s="373"/>
      <c r="VVB53" s="373"/>
      <c r="VVC53" s="373"/>
      <c r="VVD53" s="373"/>
      <c r="VVE53" s="373"/>
      <c r="VVF53" s="373"/>
      <c r="VVG53" s="373"/>
      <c r="VVH53" s="373"/>
      <c r="VVI53" s="373"/>
      <c r="VVJ53" s="373"/>
      <c r="VVK53" s="373"/>
      <c r="VVL53" s="373"/>
      <c r="VVM53" s="373"/>
      <c r="VVN53" s="373"/>
      <c r="VVO53" s="373"/>
      <c r="VVP53" s="373"/>
      <c r="VVQ53" s="373"/>
      <c r="VVR53" s="373"/>
      <c r="VVS53" s="373"/>
      <c r="VVT53" s="373"/>
      <c r="VVU53" s="373"/>
      <c r="VVV53" s="373"/>
      <c r="VVW53" s="373"/>
      <c r="VVX53" s="373"/>
      <c r="VVY53" s="373"/>
      <c r="VVZ53" s="373"/>
      <c r="VWA53" s="373"/>
      <c r="VWB53" s="373"/>
      <c r="VWC53" s="373"/>
      <c r="VWD53" s="373"/>
      <c r="VWE53" s="373"/>
      <c r="VWF53" s="373"/>
      <c r="VWG53" s="373"/>
      <c r="VWH53" s="373"/>
      <c r="VWI53" s="373"/>
      <c r="VWJ53" s="373"/>
      <c r="VWK53" s="373"/>
      <c r="VWL53" s="373"/>
      <c r="VWM53" s="373"/>
      <c r="VWN53" s="373"/>
      <c r="VWO53" s="373"/>
      <c r="VWP53" s="373"/>
      <c r="VWQ53" s="373"/>
      <c r="VWR53" s="373"/>
      <c r="VWS53" s="373"/>
      <c r="VWT53" s="373"/>
      <c r="VWU53" s="373"/>
      <c r="VWV53" s="373"/>
      <c r="VWW53" s="373"/>
      <c r="VWX53" s="373"/>
      <c r="VWY53" s="373"/>
      <c r="VWZ53" s="373"/>
      <c r="VXA53" s="373"/>
      <c r="VXB53" s="373"/>
      <c r="VXC53" s="373"/>
      <c r="VXD53" s="373"/>
      <c r="VXE53" s="373"/>
      <c r="VXF53" s="373"/>
      <c r="VXG53" s="373"/>
      <c r="VXH53" s="373"/>
      <c r="VXI53" s="373"/>
      <c r="VXJ53" s="373"/>
      <c r="VXK53" s="373"/>
      <c r="VXL53" s="373"/>
      <c r="VXM53" s="373"/>
      <c r="VXN53" s="373"/>
      <c r="VXO53" s="373"/>
      <c r="VXP53" s="373"/>
      <c r="VXQ53" s="373"/>
      <c r="VXR53" s="373"/>
      <c r="VXS53" s="373"/>
      <c r="VXT53" s="373"/>
      <c r="VXU53" s="373"/>
      <c r="VXV53" s="373"/>
      <c r="VXW53" s="373"/>
      <c r="VXX53" s="373"/>
      <c r="VXY53" s="373"/>
      <c r="VXZ53" s="373"/>
      <c r="VYA53" s="373"/>
      <c r="VYB53" s="373"/>
      <c r="VYC53" s="373"/>
      <c r="VYD53" s="373"/>
      <c r="VYE53" s="373"/>
      <c r="VYF53" s="373"/>
      <c r="VYG53" s="373"/>
      <c r="VYH53" s="373"/>
      <c r="VYI53" s="373"/>
      <c r="VYJ53" s="373"/>
      <c r="VYK53" s="373"/>
      <c r="VYL53" s="373"/>
      <c r="VYM53" s="373"/>
      <c r="VYN53" s="373"/>
      <c r="VYO53" s="373"/>
      <c r="VYP53" s="373"/>
      <c r="VYQ53" s="373"/>
      <c r="VYR53" s="373"/>
      <c r="VYS53" s="373"/>
      <c r="VYT53" s="373"/>
      <c r="VYU53" s="373"/>
      <c r="VYV53" s="373"/>
      <c r="VYW53" s="373"/>
      <c r="VYX53" s="373"/>
      <c r="VYY53" s="373"/>
      <c r="VYZ53" s="373"/>
      <c r="VZA53" s="373"/>
      <c r="VZB53" s="373"/>
      <c r="VZC53" s="373"/>
      <c r="VZD53" s="373"/>
      <c r="VZE53" s="373"/>
      <c r="VZF53" s="373"/>
      <c r="VZG53" s="373"/>
      <c r="VZH53" s="373"/>
      <c r="VZI53" s="373"/>
      <c r="VZJ53" s="373"/>
      <c r="VZK53" s="373"/>
      <c r="VZL53" s="373"/>
      <c r="VZM53" s="373"/>
      <c r="VZN53" s="373"/>
      <c r="VZO53" s="373"/>
      <c r="VZP53" s="373"/>
      <c r="VZQ53" s="373"/>
      <c r="VZR53" s="373"/>
      <c r="VZS53" s="373"/>
      <c r="VZT53" s="373"/>
      <c r="VZU53" s="373"/>
      <c r="VZV53" s="373"/>
      <c r="VZW53" s="373"/>
      <c r="VZX53" s="373"/>
      <c r="VZY53" s="373"/>
      <c r="VZZ53" s="373"/>
      <c r="WAA53" s="373"/>
      <c r="WAB53" s="373"/>
      <c r="WAC53" s="373"/>
      <c r="WAD53" s="373"/>
      <c r="WAE53" s="373"/>
      <c r="WAF53" s="373"/>
      <c r="WAG53" s="373"/>
      <c r="WAH53" s="373"/>
      <c r="WAI53" s="373"/>
      <c r="WAJ53" s="373"/>
      <c r="WAK53" s="373"/>
      <c r="WAL53" s="373"/>
      <c r="WAM53" s="373"/>
      <c r="WAN53" s="373"/>
      <c r="WAO53" s="373"/>
      <c r="WAP53" s="373"/>
      <c r="WAQ53" s="373"/>
      <c r="WAR53" s="373"/>
      <c r="WAS53" s="373"/>
      <c r="WAT53" s="373"/>
      <c r="WAU53" s="373"/>
      <c r="WAV53" s="373"/>
      <c r="WAW53" s="373"/>
      <c r="WAX53" s="373"/>
      <c r="WAY53" s="373"/>
      <c r="WAZ53" s="373"/>
      <c r="WBA53" s="373"/>
      <c r="WBB53" s="373"/>
      <c r="WBC53" s="373"/>
      <c r="WBD53" s="373"/>
      <c r="WBE53" s="373"/>
      <c r="WBF53" s="373"/>
      <c r="WBG53" s="373"/>
      <c r="WBH53" s="373"/>
      <c r="WBI53" s="373"/>
      <c r="WBJ53" s="373"/>
      <c r="WBK53" s="373"/>
      <c r="WBL53" s="373"/>
      <c r="WBM53" s="373"/>
      <c r="WBN53" s="373"/>
      <c r="WBO53" s="373"/>
      <c r="WBP53" s="373"/>
      <c r="WBQ53" s="373"/>
      <c r="WBR53" s="373"/>
      <c r="WBS53" s="373"/>
      <c r="WBT53" s="373"/>
      <c r="WBU53" s="373"/>
      <c r="WBV53" s="373"/>
      <c r="WBW53" s="373"/>
      <c r="WBX53" s="373"/>
      <c r="WBY53" s="373"/>
      <c r="WBZ53" s="373"/>
      <c r="WCA53" s="373"/>
      <c r="WCB53" s="373"/>
      <c r="WCC53" s="373"/>
      <c r="WCD53" s="373"/>
      <c r="WCE53" s="373"/>
      <c r="WCF53" s="373"/>
      <c r="WCG53" s="373"/>
      <c r="WCH53" s="373"/>
      <c r="WCI53" s="373"/>
      <c r="WCJ53" s="373"/>
      <c r="WCK53" s="373"/>
      <c r="WCL53" s="373"/>
      <c r="WCM53" s="373"/>
      <c r="WCN53" s="373"/>
      <c r="WCO53" s="373"/>
      <c r="WCP53" s="373"/>
      <c r="WCQ53" s="373"/>
      <c r="WCR53" s="373"/>
      <c r="WCS53" s="373"/>
      <c r="WCT53" s="373"/>
      <c r="WCU53" s="373"/>
      <c r="WCV53" s="373"/>
      <c r="WCW53" s="373"/>
      <c r="WCX53" s="373"/>
      <c r="WCY53" s="373"/>
      <c r="WCZ53" s="373"/>
      <c r="WDA53" s="373"/>
      <c r="WDB53" s="373"/>
      <c r="WDC53" s="373"/>
      <c r="WDD53" s="373"/>
      <c r="WDE53" s="373"/>
      <c r="WDF53" s="373"/>
      <c r="WDG53" s="373"/>
      <c r="WDH53" s="373"/>
      <c r="WDI53" s="373"/>
      <c r="WDJ53" s="373"/>
      <c r="WDK53" s="373"/>
      <c r="WDL53" s="373"/>
      <c r="WDM53" s="373"/>
      <c r="WDN53" s="373"/>
      <c r="WDO53" s="373"/>
      <c r="WDP53" s="373"/>
      <c r="WDQ53" s="373"/>
      <c r="WDR53" s="373"/>
      <c r="WDS53" s="373"/>
      <c r="WDT53" s="373"/>
      <c r="WDU53" s="373"/>
      <c r="WDV53" s="373"/>
      <c r="WDW53" s="373"/>
      <c r="WDX53" s="373"/>
      <c r="WDY53" s="373"/>
      <c r="WDZ53" s="373"/>
      <c r="WEA53" s="373"/>
      <c r="WEB53" s="373"/>
      <c r="WEC53" s="373"/>
      <c r="WED53" s="373"/>
      <c r="WEE53" s="373"/>
      <c r="WEF53" s="373"/>
      <c r="WEG53" s="373"/>
      <c r="WEH53" s="373"/>
      <c r="WEI53" s="373"/>
      <c r="WEJ53" s="373"/>
      <c r="WEK53" s="373"/>
      <c r="WEL53" s="373"/>
      <c r="WEM53" s="373"/>
      <c r="WEN53" s="373"/>
      <c r="WEO53" s="373"/>
      <c r="WEP53" s="373"/>
      <c r="WEQ53" s="373"/>
      <c r="WER53" s="373"/>
      <c r="WES53" s="373"/>
      <c r="WET53" s="373"/>
      <c r="WEU53" s="373"/>
      <c r="WEV53" s="373"/>
      <c r="WEW53" s="373"/>
      <c r="WEX53" s="373"/>
      <c r="WEY53" s="373"/>
      <c r="WEZ53" s="373"/>
      <c r="WFA53" s="373"/>
      <c r="WFB53" s="373"/>
      <c r="WFC53" s="373"/>
      <c r="WFD53" s="373"/>
      <c r="WFE53" s="373"/>
      <c r="WFF53" s="373"/>
      <c r="WFG53" s="373"/>
      <c r="WFH53" s="373"/>
      <c r="WFI53" s="373"/>
      <c r="WFJ53" s="373"/>
      <c r="WFK53" s="373"/>
      <c r="WFL53" s="373"/>
      <c r="WFM53" s="373"/>
      <c r="WFN53" s="373"/>
      <c r="WFO53" s="373"/>
      <c r="WFP53" s="373"/>
      <c r="WFQ53" s="373"/>
      <c r="WFR53" s="373"/>
      <c r="WFS53" s="373"/>
      <c r="WFT53" s="373"/>
      <c r="WFU53" s="373"/>
      <c r="WFV53" s="373"/>
      <c r="WFW53" s="373"/>
      <c r="WFX53" s="373"/>
      <c r="WFY53" s="373"/>
      <c r="WFZ53" s="373"/>
      <c r="WGA53" s="373"/>
      <c r="WGB53" s="373"/>
      <c r="WGC53" s="373"/>
      <c r="WGD53" s="373"/>
      <c r="WGE53" s="373"/>
      <c r="WGF53" s="373"/>
      <c r="WGG53" s="373"/>
      <c r="WGH53" s="373"/>
      <c r="WGI53" s="373"/>
      <c r="WGJ53" s="373"/>
      <c r="WGK53" s="373"/>
      <c r="WGL53" s="373"/>
      <c r="WGM53" s="373"/>
      <c r="WGN53" s="373"/>
      <c r="WGO53" s="373"/>
      <c r="WGP53" s="373"/>
      <c r="WGQ53" s="373"/>
      <c r="WGR53" s="373"/>
      <c r="WGS53" s="373"/>
      <c r="WGT53" s="373"/>
      <c r="WGU53" s="373"/>
      <c r="WGV53" s="373"/>
      <c r="WGW53" s="373"/>
      <c r="WGX53" s="373"/>
      <c r="WGY53" s="373"/>
      <c r="WGZ53" s="373"/>
      <c r="WHA53" s="373"/>
      <c r="WHB53" s="373"/>
      <c r="WHC53" s="373"/>
      <c r="WHD53" s="373"/>
      <c r="WHE53" s="373"/>
      <c r="WHF53" s="373"/>
      <c r="WHG53" s="373"/>
      <c r="WHH53" s="373"/>
      <c r="WHI53" s="373"/>
      <c r="WHJ53" s="373"/>
      <c r="WHK53" s="373"/>
      <c r="WHL53" s="373"/>
      <c r="WHM53" s="373"/>
      <c r="WHN53" s="373"/>
      <c r="WHO53" s="373"/>
      <c r="WHP53" s="373"/>
      <c r="WHQ53" s="373"/>
      <c r="WHR53" s="373"/>
      <c r="WHS53" s="373"/>
      <c r="WHT53" s="373"/>
      <c r="WHU53" s="373"/>
      <c r="WHV53" s="373"/>
      <c r="WHW53" s="373"/>
      <c r="WHX53" s="373"/>
      <c r="WHY53" s="373"/>
      <c r="WHZ53" s="373"/>
      <c r="WIA53" s="373"/>
      <c r="WIB53" s="373"/>
      <c r="WIC53" s="373"/>
      <c r="WID53" s="373"/>
      <c r="WIE53" s="373"/>
      <c r="WIF53" s="373"/>
      <c r="WIG53" s="373"/>
      <c r="WIH53" s="373"/>
      <c r="WII53" s="373"/>
      <c r="WIJ53" s="373"/>
      <c r="WIK53" s="373"/>
      <c r="WIL53" s="373"/>
      <c r="WIM53" s="373"/>
      <c r="WIN53" s="373"/>
      <c r="WIO53" s="373"/>
      <c r="WIP53" s="373"/>
      <c r="WIQ53" s="373"/>
      <c r="WIR53" s="373"/>
      <c r="WIS53" s="373"/>
      <c r="WIT53" s="373"/>
      <c r="WIU53" s="373"/>
      <c r="WIV53" s="373"/>
      <c r="WIW53" s="373"/>
      <c r="WIX53" s="373"/>
      <c r="WIY53" s="373"/>
      <c r="WIZ53" s="373"/>
      <c r="WJA53" s="373"/>
      <c r="WJB53" s="373"/>
      <c r="WJC53" s="373"/>
      <c r="WJD53" s="373"/>
      <c r="WJE53" s="373"/>
      <c r="WJF53" s="373"/>
      <c r="WJG53" s="373"/>
      <c r="WJH53" s="373"/>
      <c r="WJI53" s="373"/>
      <c r="WJJ53" s="373"/>
      <c r="WJK53" s="373"/>
      <c r="WJL53" s="373"/>
      <c r="WJM53" s="373"/>
      <c r="WJN53" s="373"/>
      <c r="WJO53" s="373"/>
      <c r="WJP53" s="373"/>
      <c r="WJQ53" s="373"/>
      <c r="WJR53" s="373"/>
      <c r="WJS53" s="373"/>
      <c r="WJT53" s="373"/>
      <c r="WJU53" s="373"/>
      <c r="WJV53" s="373"/>
      <c r="WJW53" s="373"/>
      <c r="WJX53" s="373"/>
      <c r="WJY53" s="373"/>
      <c r="WJZ53" s="373"/>
      <c r="WKA53" s="373"/>
      <c r="WKB53" s="373"/>
      <c r="WKC53" s="373"/>
      <c r="WKD53" s="373"/>
      <c r="WKE53" s="373"/>
      <c r="WKF53" s="373"/>
      <c r="WKG53" s="373"/>
      <c r="WKH53" s="373"/>
      <c r="WKI53" s="373"/>
      <c r="WKJ53" s="373"/>
      <c r="WKK53" s="373"/>
      <c r="WKL53" s="373"/>
      <c r="WKM53" s="373"/>
      <c r="WKN53" s="373"/>
      <c r="WKO53" s="373"/>
      <c r="WKP53" s="373"/>
      <c r="WKQ53" s="373"/>
      <c r="WKR53" s="373"/>
      <c r="WKS53" s="373"/>
      <c r="WKT53" s="373"/>
      <c r="WKU53" s="373"/>
      <c r="WKV53" s="373"/>
      <c r="WKW53" s="373"/>
      <c r="WKX53" s="373"/>
      <c r="WKY53" s="373"/>
      <c r="WKZ53" s="373"/>
      <c r="WLA53" s="373"/>
      <c r="WLB53" s="373"/>
      <c r="WLC53" s="373"/>
      <c r="WLD53" s="373"/>
      <c r="WLE53" s="373"/>
      <c r="WLF53" s="373"/>
      <c r="WLG53" s="373"/>
      <c r="WLH53" s="373"/>
      <c r="WLI53" s="373"/>
      <c r="WLJ53" s="373"/>
      <c r="WLK53" s="373"/>
      <c r="WLL53" s="373"/>
      <c r="WLM53" s="373"/>
      <c r="WLN53" s="373"/>
      <c r="WLO53" s="373"/>
      <c r="WLP53" s="373"/>
      <c r="WLQ53" s="373"/>
      <c r="WLR53" s="373"/>
      <c r="WLS53" s="373"/>
      <c r="WLT53" s="373"/>
      <c r="WLU53" s="373"/>
      <c r="WLV53" s="373"/>
      <c r="WLW53" s="373"/>
      <c r="WLX53" s="373"/>
      <c r="WLY53" s="373"/>
      <c r="WLZ53" s="373"/>
      <c r="WMA53" s="373"/>
      <c r="WMB53" s="373"/>
      <c r="WMC53" s="373"/>
      <c r="WMD53" s="373"/>
      <c r="WME53" s="373"/>
      <c r="WMF53" s="373"/>
      <c r="WMG53" s="373"/>
      <c r="WMH53" s="373"/>
      <c r="WMI53" s="373"/>
      <c r="WMJ53" s="373"/>
      <c r="WMK53" s="373"/>
      <c r="WML53" s="373"/>
      <c r="WMM53" s="373"/>
      <c r="WMN53" s="373"/>
      <c r="WMO53" s="373"/>
      <c r="WMP53" s="373"/>
      <c r="WMQ53" s="373"/>
      <c r="WMR53" s="373"/>
      <c r="WMS53" s="373"/>
      <c r="WMT53" s="373"/>
      <c r="WMU53" s="373"/>
      <c r="WMV53" s="373"/>
      <c r="WMW53" s="373"/>
      <c r="WMX53" s="373"/>
      <c r="WMY53" s="373"/>
      <c r="WMZ53" s="373"/>
      <c r="WNA53" s="373"/>
      <c r="WNB53" s="373"/>
      <c r="WNC53" s="373"/>
      <c r="WND53" s="373"/>
      <c r="WNE53" s="373"/>
      <c r="WNF53" s="373"/>
      <c r="WNG53" s="373"/>
      <c r="WNH53" s="373"/>
      <c r="WNI53" s="373"/>
      <c r="WNJ53" s="373"/>
      <c r="WNK53" s="373"/>
      <c r="WNL53" s="373"/>
      <c r="WNM53" s="373"/>
      <c r="WNN53" s="373"/>
      <c r="WNO53" s="373"/>
      <c r="WNP53" s="373"/>
      <c r="WNQ53" s="373"/>
      <c r="WNR53" s="373"/>
      <c r="WNS53" s="373"/>
      <c r="WNT53" s="373"/>
      <c r="WNU53" s="373"/>
      <c r="WNV53" s="373"/>
      <c r="WNW53" s="373"/>
      <c r="WNX53" s="373"/>
      <c r="WNY53" s="373"/>
      <c r="WNZ53" s="373"/>
      <c r="WOA53" s="373"/>
      <c r="WOB53" s="373"/>
      <c r="WOC53" s="373"/>
      <c r="WOD53" s="373"/>
      <c r="WOE53" s="373"/>
      <c r="WOF53" s="373"/>
      <c r="WOG53" s="373"/>
      <c r="WOH53" s="373"/>
      <c r="WOI53" s="373"/>
      <c r="WOJ53" s="373"/>
      <c r="WOK53" s="373"/>
      <c r="WOL53" s="373"/>
      <c r="WOM53" s="373"/>
      <c r="WON53" s="373"/>
      <c r="WOO53" s="373"/>
      <c r="WOP53" s="373"/>
      <c r="WOQ53" s="373"/>
      <c r="WOR53" s="373"/>
      <c r="WOS53" s="373"/>
      <c r="WOT53" s="373"/>
      <c r="WOU53" s="373"/>
      <c r="WOV53" s="373"/>
      <c r="WOW53" s="373"/>
      <c r="WOX53" s="373"/>
      <c r="WOY53" s="373"/>
      <c r="WOZ53" s="373"/>
      <c r="WPA53" s="373"/>
      <c r="WPB53" s="373"/>
      <c r="WPC53" s="373"/>
      <c r="WPD53" s="373"/>
      <c r="WPE53" s="373"/>
      <c r="WPF53" s="373"/>
      <c r="WPG53" s="373"/>
      <c r="WPH53" s="373"/>
      <c r="WPI53" s="373"/>
      <c r="WPJ53" s="373"/>
      <c r="WPK53" s="373"/>
      <c r="WPL53" s="373"/>
      <c r="WPM53" s="373"/>
      <c r="WPN53" s="373"/>
      <c r="WPO53" s="373"/>
      <c r="WPP53" s="373"/>
      <c r="WPQ53" s="373"/>
      <c r="WPR53" s="373"/>
      <c r="WPS53" s="373"/>
      <c r="WPT53" s="373"/>
      <c r="WPU53" s="373"/>
      <c r="WPV53" s="373"/>
      <c r="WPW53" s="373"/>
      <c r="WPX53" s="373"/>
      <c r="WPY53" s="373"/>
      <c r="WPZ53" s="373"/>
      <c r="WQA53" s="373"/>
      <c r="WQB53" s="373"/>
      <c r="WQC53" s="373"/>
      <c r="WQD53" s="373"/>
      <c r="WQE53" s="373"/>
      <c r="WQF53" s="373"/>
      <c r="WQG53" s="373"/>
      <c r="WQH53" s="373"/>
      <c r="WQI53" s="373"/>
      <c r="WQJ53" s="373"/>
      <c r="WQK53" s="373"/>
      <c r="WQL53" s="373"/>
      <c r="WQM53" s="373"/>
      <c r="WQN53" s="373"/>
      <c r="WQO53" s="373"/>
      <c r="WQP53" s="373"/>
      <c r="WQQ53" s="373"/>
      <c r="WQR53" s="373"/>
      <c r="WQS53" s="373"/>
      <c r="WQT53" s="373"/>
      <c r="WQU53" s="373"/>
      <c r="WQV53" s="373"/>
      <c r="WQW53" s="373"/>
      <c r="WQX53" s="373"/>
      <c r="WQY53" s="373"/>
      <c r="WQZ53" s="373"/>
      <c r="WRA53" s="373"/>
      <c r="WRB53" s="373"/>
      <c r="WRC53" s="373"/>
      <c r="WRD53" s="373"/>
      <c r="WRE53" s="373"/>
      <c r="WRF53" s="373"/>
      <c r="WRG53" s="373"/>
      <c r="WRH53" s="373"/>
      <c r="WRI53" s="373"/>
      <c r="WRJ53" s="373"/>
      <c r="WRK53" s="373"/>
      <c r="WRL53" s="373"/>
      <c r="WRM53" s="373"/>
      <c r="WRN53" s="373"/>
      <c r="WRO53" s="373"/>
      <c r="WRP53" s="373"/>
      <c r="WRQ53" s="373"/>
      <c r="WRR53" s="373"/>
      <c r="WRS53" s="373"/>
      <c r="WRT53" s="373"/>
      <c r="WRU53" s="373"/>
      <c r="WRV53" s="373"/>
      <c r="WRW53" s="373"/>
      <c r="WRX53" s="373"/>
      <c r="WRY53" s="373"/>
      <c r="WRZ53" s="373"/>
      <c r="WSA53" s="373"/>
      <c r="WSB53" s="373"/>
      <c r="WSC53" s="373"/>
      <c r="WSD53" s="373"/>
      <c r="WSE53" s="373"/>
      <c r="WSF53" s="373"/>
      <c r="WSG53" s="373"/>
      <c r="WSH53" s="373"/>
      <c r="WSI53" s="373"/>
      <c r="WSJ53" s="373"/>
      <c r="WSK53" s="373"/>
      <c r="WSL53" s="373"/>
      <c r="WSM53" s="373"/>
      <c r="WSN53" s="373"/>
      <c r="WSO53" s="373"/>
      <c r="WSP53" s="373"/>
      <c r="WSQ53" s="373"/>
      <c r="WSR53" s="373"/>
      <c r="WSS53" s="373"/>
      <c r="WST53" s="373"/>
      <c r="WSU53" s="373"/>
      <c r="WSV53" s="373"/>
      <c r="WSW53" s="373"/>
      <c r="WSX53" s="373"/>
      <c r="WSY53" s="373"/>
      <c r="WSZ53" s="373"/>
      <c r="WTA53" s="373"/>
      <c r="WTB53" s="373"/>
      <c r="WTC53" s="373"/>
      <c r="WTD53" s="373"/>
      <c r="WTE53" s="373"/>
      <c r="WTF53" s="373"/>
      <c r="WTG53" s="373"/>
      <c r="WTH53" s="373"/>
      <c r="WTI53" s="373"/>
      <c r="WTJ53" s="373"/>
      <c r="WTK53" s="373"/>
      <c r="WTL53" s="373"/>
      <c r="WTM53" s="373"/>
      <c r="WTN53" s="373"/>
      <c r="WTO53" s="373"/>
      <c r="WTP53" s="373"/>
      <c r="WTQ53" s="373"/>
      <c r="WTR53" s="373"/>
      <c r="WTS53" s="373"/>
      <c r="WTT53" s="373"/>
      <c r="WTU53" s="373"/>
      <c r="WTV53" s="373"/>
      <c r="WTW53" s="373"/>
      <c r="WTX53" s="373"/>
      <c r="WTY53" s="373"/>
      <c r="WTZ53" s="373"/>
      <c r="WUA53" s="373"/>
      <c r="WUB53" s="373"/>
      <c r="WUC53" s="373"/>
      <c r="WUD53" s="373"/>
      <c r="WUE53" s="373"/>
      <c r="WUF53" s="373"/>
      <c r="WUG53" s="373"/>
      <c r="WUH53" s="373"/>
      <c r="WUI53" s="373"/>
      <c r="WUJ53" s="373"/>
      <c r="WUK53" s="373"/>
      <c r="WUL53" s="373"/>
      <c r="WUM53" s="373"/>
      <c r="WUN53" s="373"/>
      <c r="WUO53" s="373"/>
      <c r="WUP53" s="373"/>
      <c r="WUQ53" s="373"/>
      <c r="WUR53" s="373"/>
      <c r="WUS53" s="373"/>
      <c r="WUT53" s="373"/>
      <c r="WUU53" s="373"/>
      <c r="WUV53" s="373"/>
      <c r="WUW53" s="373"/>
      <c r="WUX53" s="373"/>
      <c r="WUY53" s="373"/>
      <c r="WUZ53" s="373"/>
      <c r="WVA53" s="373"/>
      <c r="WVB53" s="373"/>
      <c r="WVC53" s="373"/>
      <c r="WVD53" s="373"/>
      <c r="WVE53" s="373"/>
      <c r="WVF53" s="373"/>
      <c r="WVG53" s="373"/>
      <c r="WVH53" s="373"/>
      <c r="WVI53" s="373"/>
      <c r="WVJ53" s="373"/>
      <c r="WVK53" s="373"/>
      <c r="WVL53" s="373"/>
      <c r="WVM53" s="373"/>
      <c r="WVN53" s="373"/>
      <c r="WVO53" s="373"/>
      <c r="WVP53" s="373"/>
      <c r="WVQ53" s="373"/>
      <c r="WVR53" s="373"/>
      <c r="WVS53" s="373"/>
      <c r="WVT53" s="373"/>
      <c r="WVU53" s="373"/>
      <c r="WVV53" s="373"/>
      <c r="WVW53" s="373"/>
      <c r="WVX53" s="373"/>
      <c r="WVY53" s="373"/>
      <c r="WVZ53" s="373"/>
      <c r="WWA53" s="373"/>
      <c r="WWB53" s="373"/>
      <c r="WWC53" s="373"/>
      <c r="WWD53" s="373"/>
      <c r="WWE53" s="373"/>
      <c r="WWF53" s="373"/>
      <c r="WWG53" s="373"/>
      <c r="WWH53" s="373"/>
      <c r="WWI53" s="373"/>
      <c r="WWJ53" s="373"/>
      <c r="WWK53" s="373"/>
      <c r="WWL53" s="373"/>
      <c r="WWM53" s="373"/>
      <c r="WWN53" s="373"/>
      <c r="WWO53" s="373"/>
      <c r="WWP53" s="373"/>
      <c r="WWQ53" s="373"/>
      <c r="WWR53" s="373"/>
      <c r="WWS53" s="373"/>
      <c r="WWT53" s="373"/>
      <c r="WWU53" s="373"/>
      <c r="WWV53" s="373"/>
      <c r="WWW53" s="373"/>
      <c r="WWX53" s="373"/>
      <c r="WWY53" s="373"/>
      <c r="WWZ53" s="373"/>
      <c r="WXA53" s="373"/>
      <c r="WXB53" s="373"/>
      <c r="WXC53" s="373"/>
      <c r="WXD53" s="373"/>
      <c r="WXE53" s="373"/>
      <c r="WXF53" s="373"/>
      <c r="WXG53" s="373"/>
      <c r="WXH53" s="373"/>
      <c r="WXI53" s="373"/>
      <c r="WXJ53" s="373"/>
      <c r="WXK53" s="373"/>
      <c r="WXL53" s="373"/>
      <c r="WXM53" s="373"/>
      <c r="WXN53" s="373"/>
      <c r="WXO53" s="373"/>
      <c r="WXP53" s="373"/>
      <c r="WXQ53" s="373"/>
      <c r="WXR53" s="373"/>
      <c r="WXS53" s="373"/>
      <c r="WXT53" s="373"/>
      <c r="WXU53" s="373"/>
      <c r="WXV53" s="373"/>
      <c r="WXW53" s="373"/>
      <c r="WXX53" s="373"/>
      <c r="WXY53" s="373"/>
      <c r="WXZ53" s="373"/>
      <c r="WYA53" s="373"/>
      <c r="WYB53" s="373"/>
      <c r="WYC53" s="373"/>
      <c r="WYD53" s="373"/>
      <c r="WYE53" s="373"/>
      <c r="WYF53" s="373"/>
      <c r="WYG53" s="373"/>
      <c r="WYH53" s="373"/>
      <c r="WYI53" s="373"/>
      <c r="WYJ53" s="373"/>
      <c r="WYK53" s="373"/>
      <c r="WYL53" s="373"/>
      <c r="WYM53" s="373"/>
      <c r="WYN53" s="373"/>
      <c r="WYO53" s="373"/>
      <c r="WYP53" s="373"/>
      <c r="WYQ53" s="373"/>
      <c r="WYR53" s="373"/>
      <c r="WYS53" s="373"/>
      <c r="WYT53" s="373"/>
      <c r="WYU53" s="373"/>
      <c r="WYV53" s="373"/>
      <c r="WYW53" s="373"/>
      <c r="WYX53" s="373"/>
      <c r="WYY53" s="373"/>
      <c r="WYZ53" s="373"/>
      <c r="WZA53" s="373"/>
      <c r="WZB53" s="373"/>
      <c r="WZC53" s="373"/>
      <c r="WZD53" s="373"/>
      <c r="WZE53" s="373"/>
      <c r="WZF53" s="373"/>
      <c r="WZG53" s="373"/>
      <c r="WZH53" s="373"/>
      <c r="WZI53" s="373"/>
      <c r="WZJ53" s="373"/>
      <c r="WZK53" s="373"/>
      <c r="WZL53" s="373"/>
      <c r="WZM53" s="373"/>
      <c r="WZN53" s="373"/>
      <c r="WZO53" s="373"/>
      <c r="WZP53" s="373"/>
      <c r="WZQ53" s="373"/>
      <c r="WZR53" s="373"/>
      <c r="WZS53" s="373"/>
      <c r="WZT53" s="373"/>
      <c r="WZU53" s="373"/>
      <c r="WZV53" s="373"/>
      <c r="WZW53" s="373"/>
      <c r="WZX53" s="373"/>
      <c r="WZY53" s="373"/>
      <c r="WZZ53" s="373"/>
      <c r="XAA53" s="373"/>
      <c r="XAB53" s="373"/>
      <c r="XAC53" s="373"/>
      <c r="XAD53" s="373"/>
      <c r="XAE53" s="373"/>
      <c r="XAF53" s="373"/>
      <c r="XAG53" s="373"/>
      <c r="XAH53" s="373"/>
      <c r="XAI53" s="373"/>
      <c r="XAJ53" s="373"/>
      <c r="XAK53" s="373"/>
      <c r="XAL53" s="373"/>
      <c r="XAM53" s="373"/>
      <c r="XAN53" s="373"/>
      <c r="XAO53" s="373"/>
      <c r="XAP53" s="373"/>
      <c r="XAQ53" s="373"/>
      <c r="XAR53" s="373"/>
      <c r="XAS53" s="373"/>
      <c r="XAT53" s="373"/>
      <c r="XAU53" s="373"/>
      <c r="XAV53" s="373"/>
      <c r="XAW53" s="373"/>
      <c r="XAX53" s="373"/>
      <c r="XAY53" s="373"/>
      <c r="XAZ53" s="373"/>
      <c r="XBA53" s="373"/>
      <c r="XBB53" s="373"/>
      <c r="XBC53" s="373"/>
      <c r="XBD53" s="373"/>
      <c r="XBE53" s="373"/>
      <c r="XBF53" s="373"/>
      <c r="XBG53" s="373"/>
      <c r="XBH53" s="373"/>
      <c r="XBI53" s="373"/>
      <c r="XBJ53" s="373"/>
      <c r="XBK53" s="373"/>
      <c r="XBL53" s="373"/>
      <c r="XBM53" s="373"/>
      <c r="XBN53" s="373"/>
      <c r="XBO53" s="373"/>
      <c r="XBP53" s="373"/>
      <c r="XBQ53" s="373"/>
      <c r="XBR53" s="373"/>
      <c r="XBS53" s="373"/>
      <c r="XBT53" s="373"/>
      <c r="XBU53" s="373"/>
      <c r="XBV53" s="373"/>
      <c r="XBW53" s="373"/>
      <c r="XBX53" s="373"/>
      <c r="XBY53" s="373"/>
      <c r="XBZ53" s="373"/>
      <c r="XCA53" s="373"/>
      <c r="XCB53" s="373"/>
      <c r="XCC53" s="373"/>
      <c r="XCD53" s="373"/>
      <c r="XCE53" s="373"/>
      <c r="XCF53" s="373"/>
      <c r="XCG53" s="373"/>
      <c r="XCH53" s="373"/>
      <c r="XCI53" s="373"/>
      <c r="XCJ53" s="373"/>
      <c r="XCK53" s="373"/>
      <c r="XCL53" s="373"/>
      <c r="XCM53" s="373"/>
      <c r="XCN53" s="373"/>
      <c r="XCO53" s="373"/>
      <c r="XCP53" s="373"/>
      <c r="XCQ53" s="373"/>
      <c r="XCR53" s="373"/>
      <c r="XCS53" s="373"/>
      <c r="XCT53" s="373"/>
      <c r="XCU53" s="373"/>
      <c r="XCV53" s="373"/>
      <c r="XCW53" s="373"/>
      <c r="XCX53" s="373"/>
      <c r="XCY53" s="373"/>
      <c r="XCZ53" s="373"/>
      <c r="XDA53" s="373"/>
      <c r="XDB53" s="373"/>
      <c r="XDC53" s="373"/>
      <c r="XDD53" s="373"/>
      <c r="XDE53" s="373"/>
      <c r="XDF53" s="373"/>
      <c r="XDG53" s="373"/>
      <c r="XDH53" s="373"/>
      <c r="XDI53" s="373"/>
      <c r="XDJ53" s="373"/>
      <c r="XDK53" s="373"/>
      <c r="XDL53" s="373"/>
      <c r="XDM53" s="373"/>
      <c r="XDN53" s="373"/>
      <c r="XDO53" s="373"/>
      <c r="XDP53" s="373"/>
      <c r="XDQ53" s="373"/>
      <c r="XDR53" s="373"/>
      <c r="XDS53" s="373"/>
      <c r="XDT53" s="373"/>
      <c r="XDU53" s="373"/>
      <c r="XDV53" s="373"/>
      <c r="XDW53" s="373"/>
      <c r="XDX53" s="373"/>
      <c r="XDY53" s="373"/>
      <c r="XDZ53" s="373"/>
      <c r="XEA53" s="373"/>
      <c r="XEB53" s="373"/>
      <c r="XEC53" s="373"/>
      <c r="XED53" s="373"/>
      <c r="XEE53" s="373"/>
      <c r="XEF53" s="373"/>
      <c r="XEG53" s="373"/>
      <c r="XEH53" s="373"/>
      <c r="XEI53" s="373"/>
      <c r="XEJ53" s="373"/>
      <c r="XEK53" s="373"/>
      <c r="XEL53" s="373"/>
      <c r="XEM53" s="373"/>
      <c r="XEN53" s="373"/>
      <c r="XEO53" s="373"/>
      <c r="XEP53" s="373"/>
      <c r="XEQ53" s="373"/>
      <c r="XER53" s="373"/>
      <c r="XES53" s="373"/>
      <c r="XET53" s="373"/>
      <c r="XEU53" s="373"/>
      <c r="XEV53" s="373"/>
      <c r="XEW53" s="373"/>
      <c r="XEX53" s="373"/>
      <c r="XEY53" s="373"/>
      <c r="XEZ53" s="373"/>
      <c r="XFA53" s="373"/>
      <c r="XFB53" s="373"/>
      <c r="XFC53" s="373"/>
      <c r="XFD53" s="373"/>
    </row>
    <row r="54" spans="1:16384" s="191" customFormat="1" ht="13.5">
      <c r="A54" s="262">
        <v>3.1</v>
      </c>
      <c r="B54" s="277" t="s">
        <v>155</v>
      </c>
      <c r="C54" s="263" t="s">
        <v>111</v>
      </c>
      <c r="D54" s="264" t="str">
        <f>IF(OR(j_WEEKDAY(J_ADDDAY(VLOOKUP(I54,A:F,6,FALSE),H54,1),0)=6,SUMIFS(Holieday[ok],Holieday[date],J_ADDDAY(VLOOKUP(I54,A:F,6,FALSE),H54,1)))=FALSE(),J_ADDDAY(VLOOKUP(I54,A:F,6,FALSE),H54,1),IF(OR(j_WEEKDAY(J_ADDDAY(VLOOKUP(I54,A:F,6,FALSE),H54+1,1),0)=6,SUMIFS(Holieday[ok],Holieday[date],J_ADDDAY(VLOOKUP(I54,A:F,6,FALSE),H54+1,1)))=FALSE(),J_ADDDAY(VLOOKUP(I54,A:F,6,FALSE),H54+1,1),IF(OR(j_WEEKDAY(J_ADDDAY(VLOOKUP(I54,A:F,6,FALSE),H54+2,1),0)=6,SUMIFS(Holieday[ok],Holieday[date],J_ADDDAY(VLOOKUP(I54,A:F,6,FALSE),H54+2,1)))=FALSE(),J_ADDDAY(VLOOKUP(I54,A:F,6,FALSE),H54+2,1),IF(OR(j_WEEKDAY(J_ADDDAY(VLOOKUP(I54,A:F,6,FALSE),H54+3,1),0)=6,SUMIFS(Holieday[ok],Holieday[date],J_ADDDAY(VLOOKUP(I54,A:F,6,FALSE),H54+3,1)))=FALSE(),J_ADDDAY(VLOOKUP(I54,A:F,6,FALSE),H54+3,1),IF(OR(j_WEEKDAY(J_ADDDAY(VLOOKUP(I54,A:F,6,FALSE),H54+4,1),0)=6,SUMIFS(Holieday[ok],Holieday[date],J_ADDDAY(VLOOKUP(I54,A:F,6,FALSE),H54+4,1)))=FALSE(),J_ADDDAY(VLOOKUP(I54,A:F,6,FALSE),H54+4,1),J_ADDDAY(VLOOKUP(I54,A:F,6,FALSE),H54+5,1))))))</f>
        <v>1398/06/31</v>
      </c>
      <c r="E54" s="160">
        <f t="shared" si="15"/>
        <v>13980631</v>
      </c>
      <c r="F54" s="265" t="str">
        <f>IF(N54=0,J_SUBDAY(D54,1,1),IF((N54-(NETWORKDAYS.INTL(J_GregorianDate(D54,1),J_GregorianDate(J_SUBDAY(J_ADDDAY(D54,N54,1),1,1),1),16,1)))+SUMIFS(Holieday[ok],Holieday[date],CONCATENATE("&gt;","=",D54),Holieday[date],CONCATENATE("&lt;","=",J_SUBDAY(J_ADDDAY(D54,N54,1),1,1)))-SUMIFS(Holieday[Friday],Holieday[date],CONCATENATE("&gt;","=",D54),Holieday[date],CONCATENATE("&lt;","=",J_SUBDAY(J_ADDDAY(D54,N54,1),1,1)))=0,J_SUBDAY(J_ADDDAY(D54,N54,1),1,1),IF((N54+1-(NETWORKDAYS.INTL(J_GregorianDate(D54,1),J_GregorianDate(J_SUBDAY(J_ADDDAY(D54,N54+1,1),1,1),1),16,1)))+SUMIFS(Holieday[ok],Holieday[date],CONCATENATE("&gt;","=",D54),Holieday[date],CONCATENATE("&lt;","=",J_SUBDAY(J_ADDDAY(D54,N54+1,1),1,1)))-SUMIFS(Holieday[Friday],Holieday[date],CONCATENATE("&gt;","=",D54),Holieday[date],CONCATENATE("&lt;","=",J_SUBDAY(J_ADDDAY(D54,N54+1,1),1,1)))=1,J_SUBDAY(J_ADDDAY(D54,N54+1,1),1,1),IF((N54+2-(NETWORKDAYS.INTL(J_GregorianDate(D54,1),J_GregorianDate(J_SUBDAY(J_ADDDAY(D54,N54+2,1),1,1),1),16,1)))+SUMIFS(Holieday[ok],Holieday[date],CONCATENATE("&gt;","=",D54),Holieday[date],CONCATENATE("&lt;","=",J_SUBDAY(J_ADDDAY(D54,N54+2,1),1,1)))-SUMIFS(Holieday[Friday],Holieday[date],CONCATENATE("&gt;","=",D54),Holieday[date],CONCATENATE("&lt;","=",J_SUBDAY(J_ADDDAY(D54,N54+2,1),1,1)))=2,J_SUBDAY(J_ADDDAY(D54,N54+2,1),1,1),IF((N54+3-(NETWORKDAYS.INTL(J_GregorianDate(D54,1),J_GregorianDate(J_SUBDAY(J_ADDDAY(D54,N54+3,1),1,1),1),16,1)))+SUMIFS(Holieday[ok],Holieday[date],CONCATENATE("&gt;","=",D54),Holieday[date],CONCATENATE("&lt;","=",J_SUBDAY(J_ADDDAY(D54,N54+3,1),1,1)))-SUMIFS(Holieday[Friday],Holieday[date],CONCATENATE("&gt;","=",D54),Holieday[date],CONCATENATE("&lt;","=",J_SUBDAY(J_ADDDAY(D54,N54+3,1),1,1)))=3,J_SUBDAY(J_ADDDAY(D54,N54+3,1),1,1),IF((N54+4-(NETWORKDAYS.INTL(J_GregorianDate(D54,1),J_GregorianDate(J_SUBDAY(J_ADDDAY(D54,N54+4,1),1,1),1),16,1)))+SUMIFS(Holieday[ok],Holieday[date],CONCATENATE("&gt;","=",D54),Holieday[date],CONCATENATE("&lt;","=",J_SUBDAY(J_ADDDAY(D54,N54+4,1),1,1)))-SUMIFS(Holieday[Friday],Holieday[date],CONCATENATE("&gt;","=",D54),Holieday[date],CONCATENATE("&lt;","=",J_SUBDAY(J_ADDDAY(D54,N54+4,1),1,1)))=4,J_SUBDAY(J_ADDDAY(D54,N54+4,1),1,1),IF((N54+5-(NETWORKDAYS.INTL(J_GregorianDate(D54,1),J_GregorianDate(J_SUBDAY(J_ADDDAY(D54,N54+5,1),1,1),1),16,1)))+SUMIFS(Holieday[ok],Holieday[date],CONCATENATE("&gt;","=",D54),Holieday[date],CONCATENATE("&lt;","=",J_SUBDAY(J_ADDDAY(D54,N54+5,1),1,1)))-SUMIFS(Holieday[Friday],Holieday[date],CONCATENATE("&gt;","=",D54),Holieday[date],CONCATENATE("&lt;","=",J_SUBDAY(J_ADDDAY(D54,N54+5,1),1,1)))=5,J_SUBDAY(J_ADDDAY(D54,N54+5,1),1,1),J_SUBDAY(J_ADDDAY(D54,N54+6,1),1,1))))))))</f>
        <v>1398/06/31</v>
      </c>
      <c r="G54" s="163">
        <f t="shared" si="16"/>
        <v>13980631</v>
      </c>
      <c r="H54" s="266"/>
      <c r="I54" s="267">
        <v>1.1000000000000001</v>
      </c>
      <c r="J54" s="265">
        <f>j_WEEKDAY(D54,2)</f>
        <v>1</v>
      </c>
      <c r="K54" s="173">
        <f t="shared" ref="K54:K79" si="18">SUM(JA54:JC54)</f>
        <v>0</v>
      </c>
      <c r="L54" s="268">
        <f t="shared" ref="L54:L79" si="19">J_DIFF(D54,F54)+1</f>
        <v>1</v>
      </c>
      <c r="M54" s="269">
        <v>1</v>
      </c>
      <c r="N54" s="270">
        <v>1</v>
      </c>
      <c r="O54" s="175">
        <f t="shared" si="17"/>
        <v>1</v>
      </c>
      <c r="P54" s="175">
        <f>VALUE(J_normdate(J_ADDDAY($D54,$O54,1)))</f>
        <v>13980701</v>
      </c>
      <c r="Q54" s="171">
        <f t="shared" si="14"/>
        <v>0</v>
      </c>
      <c r="R54" s="169"/>
      <c r="S54" s="169"/>
      <c r="T54" s="169"/>
      <c r="U54" s="169"/>
      <c r="V54" s="169"/>
      <c r="W54" s="169"/>
      <c r="X54" s="169"/>
      <c r="Y54" s="169"/>
      <c r="Z54" s="169"/>
      <c r="AA54" s="169"/>
      <c r="AB54" s="169"/>
      <c r="AC54" s="169"/>
      <c r="AD54" s="169"/>
      <c r="AE54" s="169"/>
      <c r="AF54" s="169"/>
      <c r="AG54" s="169"/>
      <c r="AH54" s="169"/>
      <c r="AI54" s="169"/>
      <c r="AJ54" s="169"/>
      <c r="AK54" s="169"/>
      <c r="AL54" s="169"/>
      <c r="AM54" s="169"/>
      <c r="AN54" s="169"/>
      <c r="AO54" s="169"/>
      <c r="AP54" s="169"/>
      <c r="AQ54" s="169"/>
      <c r="AR54" s="169"/>
      <c r="AS54" s="169"/>
      <c r="AT54" s="169"/>
      <c r="AU54" s="169"/>
      <c r="AV54" s="169"/>
      <c r="AW54" s="169"/>
      <c r="AX54" s="169"/>
      <c r="AY54" s="169"/>
      <c r="AZ54" s="169"/>
      <c r="BA54" s="169"/>
      <c r="BB54" s="169"/>
      <c r="BC54" s="169"/>
      <c r="BD54" s="169"/>
      <c r="BE54" s="169"/>
      <c r="BF54" s="169"/>
      <c r="BG54" s="169"/>
      <c r="BH54" s="169"/>
      <c r="BI54" s="169"/>
      <c r="BJ54" s="169"/>
      <c r="BK54" s="169"/>
      <c r="BL54" s="169"/>
      <c r="BM54" s="169"/>
      <c r="BN54" s="169"/>
      <c r="BO54" s="169"/>
      <c r="BP54" s="169"/>
      <c r="BQ54" s="169"/>
      <c r="BR54" s="169"/>
      <c r="BS54" s="169"/>
      <c r="BT54" s="169"/>
      <c r="BU54" s="169"/>
      <c r="BV54" s="169"/>
      <c r="BW54" s="169"/>
      <c r="BX54" s="169"/>
      <c r="BY54" s="169"/>
      <c r="BZ54" s="169"/>
      <c r="CA54" s="169"/>
      <c r="CB54" s="169"/>
      <c r="CC54" s="169"/>
      <c r="CD54" s="169"/>
      <c r="CE54" s="169"/>
      <c r="CF54" s="169"/>
      <c r="CG54" s="169"/>
      <c r="CH54" s="169"/>
      <c r="CI54" s="169"/>
      <c r="CJ54" s="169"/>
      <c r="CK54" s="169"/>
      <c r="CL54" s="169"/>
      <c r="CM54" s="169"/>
      <c r="CN54" s="169"/>
      <c r="CO54" s="169"/>
      <c r="CP54" s="169"/>
      <c r="CQ54" s="169"/>
      <c r="CR54" s="169"/>
      <c r="CS54" s="169"/>
      <c r="CT54" s="169"/>
      <c r="CU54" s="169"/>
      <c r="CV54" s="169"/>
      <c r="CW54" s="169"/>
      <c r="CX54" s="169"/>
      <c r="CY54" s="169"/>
      <c r="CZ54" s="169"/>
      <c r="DA54" s="169"/>
      <c r="DB54" s="169"/>
      <c r="DC54" s="169"/>
      <c r="DD54" s="169"/>
      <c r="DE54" s="169"/>
      <c r="DF54" s="169"/>
      <c r="DG54" s="169"/>
      <c r="DH54" s="169"/>
      <c r="DI54" s="169"/>
      <c r="DJ54" s="169"/>
      <c r="DK54" s="169"/>
      <c r="DL54" s="169"/>
      <c r="DM54" s="169"/>
      <c r="DN54" s="169"/>
      <c r="DO54" s="169"/>
      <c r="DP54" s="169"/>
      <c r="DQ54" s="169"/>
      <c r="DR54" s="169"/>
      <c r="DS54" s="169"/>
      <c r="DT54" s="169"/>
      <c r="DU54" s="169"/>
      <c r="DV54" s="169"/>
      <c r="DW54" s="169"/>
      <c r="DX54" s="169"/>
      <c r="DY54" s="169"/>
      <c r="DZ54" s="169"/>
      <c r="EA54" s="169"/>
      <c r="EB54" s="169"/>
      <c r="EC54" s="169"/>
      <c r="ED54" s="169"/>
      <c r="EE54" s="169"/>
      <c r="EF54" s="169"/>
      <c r="EG54" s="169"/>
      <c r="EH54" s="169"/>
      <c r="EI54" s="169"/>
      <c r="EJ54" s="169"/>
      <c r="EK54" s="169"/>
      <c r="EL54" s="169"/>
      <c r="EM54" s="169"/>
      <c r="EN54" s="169"/>
      <c r="EO54" s="169"/>
      <c r="EP54" s="169"/>
      <c r="EQ54" s="169"/>
      <c r="ER54" s="169"/>
      <c r="ES54" s="169"/>
      <c r="ET54" s="169"/>
      <c r="EU54" s="169"/>
      <c r="EV54" s="169"/>
      <c r="EW54" s="169"/>
      <c r="EX54" s="169"/>
      <c r="EY54" s="169"/>
      <c r="EZ54" s="169"/>
      <c r="FA54" s="169"/>
      <c r="FB54" s="169"/>
      <c r="FC54" s="169"/>
      <c r="FD54" s="169"/>
      <c r="FE54" s="169"/>
      <c r="FF54" s="169"/>
      <c r="FG54" s="169"/>
      <c r="FH54" s="169"/>
      <c r="FI54" s="169"/>
      <c r="FJ54" s="169"/>
      <c r="FK54" s="169"/>
      <c r="FL54" s="169"/>
      <c r="FM54" s="169"/>
      <c r="FN54" s="169"/>
      <c r="FO54" s="169"/>
      <c r="FP54" s="169"/>
      <c r="FQ54" s="169"/>
      <c r="FR54" s="169"/>
      <c r="FS54" s="169"/>
      <c r="FT54" s="169"/>
      <c r="FU54" s="169"/>
      <c r="FV54" s="169"/>
      <c r="FW54" s="169"/>
      <c r="FX54" s="169"/>
      <c r="FY54" s="169"/>
      <c r="FZ54" s="169"/>
      <c r="GA54" s="169"/>
      <c r="GB54" s="169"/>
      <c r="GC54" s="169"/>
      <c r="GD54" s="169"/>
      <c r="GE54" s="169"/>
      <c r="GF54" s="169"/>
      <c r="GG54" s="169"/>
      <c r="GH54" s="169"/>
      <c r="GI54" s="169"/>
      <c r="GJ54" s="169"/>
      <c r="GK54" s="169"/>
      <c r="GL54" s="169"/>
      <c r="GM54" s="169"/>
      <c r="GN54" s="169"/>
      <c r="GO54" s="169"/>
      <c r="GP54" s="169"/>
      <c r="GQ54" s="169"/>
      <c r="GR54" s="169"/>
      <c r="GS54" s="169"/>
      <c r="GT54" s="169"/>
      <c r="GU54" s="169"/>
      <c r="GV54" s="169"/>
      <c r="GW54" s="169"/>
      <c r="GX54" s="169"/>
      <c r="GY54" s="169"/>
      <c r="GZ54" s="169"/>
      <c r="HA54" s="169"/>
      <c r="HB54" s="169"/>
      <c r="HC54" s="169"/>
      <c r="HD54" s="169"/>
      <c r="HE54" s="169"/>
      <c r="HF54" s="169"/>
      <c r="HG54" s="169"/>
      <c r="HH54" s="169"/>
      <c r="HI54" s="169"/>
      <c r="HJ54" s="169"/>
      <c r="HK54" s="169"/>
      <c r="HL54" s="169"/>
      <c r="HM54" s="169"/>
      <c r="HN54" s="169"/>
      <c r="HO54" s="169"/>
      <c r="HP54" s="169"/>
      <c r="HQ54" s="169"/>
      <c r="HR54" s="169"/>
      <c r="HS54" s="169"/>
      <c r="HT54" s="169"/>
      <c r="HU54" s="169"/>
      <c r="HV54" s="169"/>
      <c r="HW54" s="169"/>
      <c r="HX54" s="169"/>
      <c r="HY54" s="169"/>
      <c r="HZ54" s="169"/>
      <c r="IA54" s="169"/>
      <c r="IB54" s="169"/>
      <c r="IC54" s="169"/>
      <c r="ID54" s="169"/>
      <c r="IE54" s="169"/>
      <c r="IF54" s="169"/>
      <c r="IG54" s="169"/>
      <c r="IH54" s="169"/>
      <c r="II54" s="169"/>
      <c r="IJ54" s="169"/>
      <c r="IK54" s="169"/>
      <c r="IL54" s="169"/>
      <c r="IM54" s="169"/>
      <c r="IN54" s="169"/>
      <c r="IO54" s="169"/>
      <c r="IP54" s="169"/>
      <c r="IQ54" s="169"/>
      <c r="IR54" s="169"/>
      <c r="IS54" s="169"/>
      <c r="IT54" s="169"/>
      <c r="IU54" s="169"/>
      <c r="IV54" s="169"/>
      <c r="IW54" s="169"/>
      <c r="IX54" s="169"/>
      <c r="IY54" s="29">
        <v>3</v>
      </c>
      <c r="IZ54" s="40">
        <f>(TEXT(K54,"[m]")/60)*VLOOKUP(IY54,'Income Person-hours'!A$2:C$5,3,FALSE)</f>
        <v>0</v>
      </c>
      <c r="JA54" s="112"/>
      <c r="JB54" s="112"/>
      <c r="JC54" s="112"/>
      <c r="JD54" s="192">
        <f>SUM((TEXT(JA54,"[M]")/60)*'Income Person-hours'!$D$3,(TEXT(JB54,"[M]")/60)*'Income Person-hours'!$D$4,(TEXT(JC54,"[M]")/60)*'Income Person-hours'!$D$5)</f>
        <v>0</v>
      </c>
    </row>
    <row r="55" spans="1:16384" s="191" customFormat="1" ht="13.5">
      <c r="A55" s="262">
        <v>3.2</v>
      </c>
      <c r="B55" s="277" t="s">
        <v>112</v>
      </c>
      <c r="C55" s="263" t="s">
        <v>111</v>
      </c>
      <c r="D55" s="264" t="str">
        <f>IF(OR(j_WEEKDAY(J_ADDDAY(VLOOKUP(I55,A:F,6,FALSE),H55,1),0)=6,SUMIFS(Holieday[ok],Holieday[date],J_ADDDAY(VLOOKUP(I55,A:F,6,FALSE),H55,1)))=FALSE(),J_ADDDAY(VLOOKUP(I55,A:F,6,FALSE),H55,1),IF(OR(j_WEEKDAY(J_ADDDAY(VLOOKUP(I55,A:F,6,FALSE),H55+1,1),0)=6,SUMIFS(Holieday[ok],Holieday[date],J_ADDDAY(VLOOKUP(I55,A:F,6,FALSE),H55+1,1)))=FALSE(),J_ADDDAY(VLOOKUP(I55,A:F,6,FALSE),H55+1,1),IF(OR(j_WEEKDAY(J_ADDDAY(VLOOKUP(I55,A:F,6,FALSE),H55+2,1),0)=6,SUMIFS(Holieday[ok],Holieday[date],J_ADDDAY(VLOOKUP(I55,A:F,6,FALSE),H55+2,1)))=FALSE(),J_ADDDAY(VLOOKUP(I55,A:F,6,FALSE),H55+2,1),IF(OR(j_WEEKDAY(J_ADDDAY(VLOOKUP(I55,A:F,6,FALSE),H55+3,1),0)=6,SUMIFS(Holieday[ok],Holieday[date],J_ADDDAY(VLOOKUP(I55,A:F,6,FALSE),H55+3,1)))=FALSE(),J_ADDDAY(VLOOKUP(I55,A:F,6,FALSE),H55+3,1),IF(OR(j_WEEKDAY(J_ADDDAY(VLOOKUP(I55,A:F,6,FALSE),H55+4,1),0)=6,SUMIFS(Holieday[ok],Holieday[date],J_ADDDAY(VLOOKUP(I55,A:F,6,FALSE),H55+4,1)))=FALSE(),J_ADDDAY(VLOOKUP(I55,A:F,6,FALSE),H55+4,1),J_ADDDAY(VLOOKUP(I55,A:F,6,FALSE),H55+5,1))))))</f>
        <v>1398/06/31</v>
      </c>
      <c r="E55" s="160">
        <f t="shared" si="15"/>
        <v>13980631</v>
      </c>
      <c r="F55" s="265" t="str">
        <f>IF(N55=0,J_SUBDAY(D55,1,1),IF((N55-(NETWORKDAYS.INTL(J_GregorianDate(D55,1),J_GregorianDate(J_SUBDAY(J_ADDDAY(D55,N55,1),1,1),1),16,1)))+SUMIFS(Holieday[ok],Holieday[date],CONCATENATE("&gt;","=",D55),Holieday[date],CONCATENATE("&lt;","=",J_SUBDAY(J_ADDDAY(D55,N55,1),1,1)))-SUMIFS(Holieday[Friday],Holieday[date],CONCATENATE("&gt;","=",D55),Holieday[date],CONCATENATE("&lt;","=",J_SUBDAY(J_ADDDAY(D55,N55,1),1,1)))=0,J_SUBDAY(J_ADDDAY(D55,N55,1),1,1),IF((N55+1-(NETWORKDAYS.INTL(J_GregorianDate(D55,1),J_GregorianDate(J_SUBDAY(J_ADDDAY(D55,N55+1,1),1,1),1),16,1)))+SUMIFS(Holieday[ok],Holieday[date],CONCATENATE("&gt;","=",D55),Holieday[date],CONCATENATE("&lt;","=",J_SUBDAY(J_ADDDAY(D55,N55+1,1),1,1)))-SUMIFS(Holieday[Friday],Holieday[date],CONCATENATE("&gt;","=",D55),Holieday[date],CONCATENATE("&lt;","=",J_SUBDAY(J_ADDDAY(D55,N55+1,1),1,1)))=1,J_SUBDAY(J_ADDDAY(D55,N55+1,1),1,1),IF((N55+2-(NETWORKDAYS.INTL(J_GregorianDate(D55,1),J_GregorianDate(J_SUBDAY(J_ADDDAY(D55,N55+2,1),1,1),1),16,1)))+SUMIFS(Holieday[ok],Holieday[date],CONCATENATE("&gt;","=",D55),Holieday[date],CONCATENATE("&lt;","=",J_SUBDAY(J_ADDDAY(D55,N55+2,1),1,1)))-SUMIFS(Holieday[Friday],Holieday[date],CONCATENATE("&gt;","=",D55),Holieday[date],CONCATENATE("&lt;","=",J_SUBDAY(J_ADDDAY(D55,N55+2,1),1,1)))=2,J_SUBDAY(J_ADDDAY(D55,N55+2,1),1,1),IF((N55+3-(NETWORKDAYS.INTL(J_GregorianDate(D55,1),J_GregorianDate(J_SUBDAY(J_ADDDAY(D55,N55+3,1),1,1),1),16,1)))+SUMIFS(Holieday[ok],Holieday[date],CONCATENATE("&gt;","=",D55),Holieday[date],CONCATENATE("&lt;","=",J_SUBDAY(J_ADDDAY(D55,N55+3,1),1,1)))-SUMIFS(Holieday[Friday],Holieday[date],CONCATENATE("&gt;","=",D55),Holieday[date],CONCATENATE("&lt;","=",J_SUBDAY(J_ADDDAY(D55,N55+3,1),1,1)))=3,J_SUBDAY(J_ADDDAY(D55,N55+3,1),1,1),IF((N55+4-(NETWORKDAYS.INTL(J_GregorianDate(D55,1),J_GregorianDate(J_SUBDAY(J_ADDDAY(D55,N55+4,1),1,1),1),16,1)))+SUMIFS(Holieday[ok],Holieday[date],CONCATENATE("&gt;","=",D55),Holieday[date],CONCATENATE("&lt;","=",J_SUBDAY(J_ADDDAY(D55,N55+4,1),1,1)))-SUMIFS(Holieday[Friday],Holieday[date],CONCATENATE("&gt;","=",D55),Holieday[date],CONCATENATE("&lt;","=",J_SUBDAY(J_ADDDAY(D55,N55+4,1),1,1)))=4,J_SUBDAY(J_ADDDAY(D55,N55+4,1),1,1),IF((N55+5-(NETWORKDAYS.INTL(J_GregorianDate(D55,1),J_GregorianDate(J_SUBDAY(J_ADDDAY(D55,N55+5,1),1,1),1),16,1)))+SUMIFS(Holieday[ok],Holieday[date],CONCATENATE("&gt;","=",D55),Holieday[date],CONCATENATE("&lt;","=",J_SUBDAY(J_ADDDAY(D55,N55+5,1),1,1)))-SUMIFS(Holieday[Friday],Holieday[date],CONCATENATE("&gt;","=",D55),Holieday[date],CONCATENATE("&lt;","=",J_SUBDAY(J_ADDDAY(D55,N55+5,1),1,1)))=5,J_SUBDAY(J_ADDDAY(D55,N55+5,1),1,1),J_SUBDAY(J_ADDDAY(D55,N55+6,1),1,1))))))))</f>
        <v>1398/07/02</v>
      </c>
      <c r="G55" s="163">
        <f t="shared" si="16"/>
        <v>13980702</v>
      </c>
      <c r="H55" s="266"/>
      <c r="I55" s="267">
        <v>3.1</v>
      </c>
      <c r="J55" s="265">
        <f>j_WEEKDAY(D55,2)</f>
        <v>1</v>
      </c>
      <c r="K55" s="173">
        <f t="shared" si="18"/>
        <v>0</v>
      </c>
      <c r="L55" s="268">
        <f t="shared" si="19"/>
        <v>3</v>
      </c>
      <c r="M55" s="269">
        <v>1</v>
      </c>
      <c r="N55" s="270">
        <v>3</v>
      </c>
      <c r="O55" s="175">
        <f t="shared" si="17"/>
        <v>3</v>
      </c>
      <c r="P55" s="175">
        <f>VALUE(J_normdate(J_ADDDAY($D55,$O55,1)))</f>
        <v>13980703</v>
      </c>
      <c r="Q55" s="171">
        <f t="shared" si="14"/>
        <v>0</v>
      </c>
      <c r="R55" s="169"/>
      <c r="S55" s="169"/>
      <c r="T55" s="169"/>
      <c r="U55" s="169"/>
      <c r="V55" s="169"/>
      <c r="W55" s="169"/>
      <c r="X55" s="169"/>
      <c r="Y55" s="169"/>
      <c r="Z55" s="169"/>
      <c r="AA55" s="169"/>
      <c r="AB55" s="169"/>
      <c r="AC55" s="169"/>
      <c r="AD55" s="169"/>
      <c r="AE55" s="169"/>
      <c r="AF55" s="169"/>
      <c r="AG55" s="169"/>
      <c r="AH55" s="169"/>
      <c r="AI55" s="169"/>
      <c r="AJ55" s="169"/>
      <c r="AK55" s="169"/>
      <c r="AL55" s="169"/>
      <c r="AM55" s="169"/>
      <c r="AN55" s="169"/>
      <c r="AO55" s="169"/>
      <c r="AP55" s="169"/>
      <c r="AQ55" s="169"/>
      <c r="AR55" s="169"/>
      <c r="AS55" s="169"/>
      <c r="AT55" s="169"/>
      <c r="AU55" s="169"/>
      <c r="AV55" s="169"/>
      <c r="AW55" s="169"/>
      <c r="AX55" s="169"/>
      <c r="AY55" s="169"/>
      <c r="AZ55" s="169"/>
      <c r="BA55" s="169"/>
      <c r="BB55" s="169"/>
      <c r="BC55" s="169"/>
      <c r="BD55" s="169"/>
      <c r="BE55" s="169"/>
      <c r="BF55" s="169"/>
      <c r="BG55" s="169"/>
      <c r="BH55" s="169"/>
      <c r="BI55" s="169"/>
      <c r="BJ55" s="169"/>
      <c r="BK55" s="169"/>
      <c r="BL55" s="169"/>
      <c r="BM55" s="169"/>
      <c r="BN55" s="169"/>
      <c r="BO55" s="169"/>
      <c r="BP55" s="169"/>
      <c r="BQ55" s="169"/>
      <c r="BR55" s="169"/>
      <c r="BS55" s="169"/>
      <c r="BT55" s="169"/>
      <c r="BU55" s="169"/>
      <c r="BV55" s="169"/>
      <c r="BW55" s="169"/>
      <c r="BX55" s="169"/>
      <c r="BY55" s="169"/>
      <c r="BZ55" s="169"/>
      <c r="CA55" s="169"/>
      <c r="CB55" s="169"/>
      <c r="CC55" s="169"/>
      <c r="CD55" s="169"/>
      <c r="CE55" s="169"/>
      <c r="CF55" s="169"/>
      <c r="CG55" s="169"/>
      <c r="CH55" s="169"/>
      <c r="CI55" s="169"/>
      <c r="CJ55" s="169"/>
      <c r="CK55" s="169"/>
      <c r="CL55" s="169"/>
      <c r="CM55" s="169"/>
      <c r="CN55" s="169"/>
      <c r="CO55" s="169"/>
      <c r="CP55" s="169"/>
      <c r="CQ55" s="169"/>
      <c r="CR55" s="169"/>
      <c r="CS55" s="169"/>
      <c r="CT55" s="169"/>
      <c r="CU55" s="169"/>
      <c r="CV55" s="169"/>
      <c r="CW55" s="169"/>
      <c r="CX55" s="169"/>
      <c r="CY55" s="169"/>
      <c r="CZ55" s="169"/>
      <c r="DA55" s="169"/>
      <c r="DB55" s="169"/>
      <c r="DC55" s="169"/>
      <c r="DD55" s="169"/>
      <c r="DE55" s="169"/>
      <c r="DF55" s="169"/>
      <c r="DG55" s="169"/>
      <c r="DH55" s="169"/>
      <c r="DI55" s="169"/>
      <c r="DJ55" s="169"/>
      <c r="DK55" s="169"/>
      <c r="DL55" s="169"/>
      <c r="DM55" s="169"/>
      <c r="DN55" s="169"/>
      <c r="DO55" s="169"/>
      <c r="DP55" s="169"/>
      <c r="DQ55" s="169"/>
      <c r="DR55" s="169"/>
      <c r="DS55" s="169"/>
      <c r="DT55" s="169"/>
      <c r="DU55" s="169"/>
      <c r="DV55" s="169"/>
      <c r="DW55" s="169"/>
      <c r="DX55" s="169"/>
      <c r="DY55" s="169"/>
      <c r="DZ55" s="169"/>
      <c r="EA55" s="169"/>
      <c r="EB55" s="169"/>
      <c r="EC55" s="169"/>
      <c r="ED55" s="169"/>
      <c r="EE55" s="169"/>
      <c r="EF55" s="169"/>
      <c r="EG55" s="169"/>
      <c r="EH55" s="169"/>
      <c r="EI55" s="169"/>
      <c r="EJ55" s="169"/>
      <c r="EK55" s="169"/>
      <c r="EL55" s="169"/>
      <c r="EM55" s="169"/>
      <c r="EN55" s="169"/>
      <c r="EO55" s="169"/>
      <c r="EP55" s="169"/>
      <c r="EQ55" s="169"/>
      <c r="ER55" s="169"/>
      <c r="ES55" s="169"/>
      <c r="ET55" s="169"/>
      <c r="EU55" s="169"/>
      <c r="EV55" s="169"/>
      <c r="EW55" s="169"/>
      <c r="EX55" s="169"/>
      <c r="EY55" s="169"/>
      <c r="EZ55" s="169"/>
      <c r="FA55" s="169"/>
      <c r="FB55" s="169"/>
      <c r="FC55" s="169"/>
      <c r="FD55" s="169"/>
      <c r="FE55" s="169"/>
      <c r="FF55" s="169"/>
      <c r="FG55" s="169"/>
      <c r="FH55" s="169"/>
      <c r="FI55" s="169"/>
      <c r="FJ55" s="169"/>
      <c r="FK55" s="169"/>
      <c r="FL55" s="169"/>
      <c r="FM55" s="169"/>
      <c r="FN55" s="169"/>
      <c r="FO55" s="169"/>
      <c r="FP55" s="169"/>
      <c r="FQ55" s="169"/>
      <c r="FR55" s="169"/>
      <c r="FS55" s="169"/>
      <c r="FT55" s="169"/>
      <c r="FU55" s="169"/>
      <c r="FV55" s="169"/>
      <c r="FW55" s="169"/>
      <c r="FX55" s="169"/>
      <c r="FY55" s="169"/>
      <c r="FZ55" s="169"/>
      <c r="GA55" s="169"/>
      <c r="GB55" s="169"/>
      <c r="GC55" s="169"/>
      <c r="GD55" s="169"/>
      <c r="GE55" s="169"/>
      <c r="GF55" s="169"/>
      <c r="GG55" s="169"/>
      <c r="GH55" s="169"/>
      <c r="GI55" s="169"/>
      <c r="GJ55" s="169"/>
      <c r="GK55" s="169"/>
      <c r="GL55" s="169"/>
      <c r="GM55" s="169"/>
      <c r="GN55" s="169"/>
      <c r="GO55" s="169"/>
      <c r="GP55" s="169"/>
      <c r="GQ55" s="169"/>
      <c r="GR55" s="169"/>
      <c r="GS55" s="169"/>
      <c r="GT55" s="169"/>
      <c r="GU55" s="169"/>
      <c r="GV55" s="169"/>
      <c r="GW55" s="169"/>
      <c r="GX55" s="169"/>
      <c r="GY55" s="169"/>
      <c r="GZ55" s="169"/>
      <c r="HA55" s="169"/>
      <c r="HB55" s="169"/>
      <c r="HC55" s="169"/>
      <c r="HD55" s="169"/>
      <c r="HE55" s="169"/>
      <c r="HF55" s="169"/>
      <c r="HG55" s="169"/>
      <c r="HH55" s="169"/>
      <c r="HI55" s="169"/>
      <c r="HJ55" s="169"/>
      <c r="HK55" s="169"/>
      <c r="HL55" s="169"/>
      <c r="HM55" s="169"/>
      <c r="HN55" s="169"/>
      <c r="HO55" s="169"/>
      <c r="HP55" s="169"/>
      <c r="HQ55" s="169"/>
      <c r="HR55" s="169"/>
      <c r="HS55" s="169"/>
      <c r="HT55" s="169"/>
      <c r="HU55" s="169"/>
      <c r="HV55" s="169"/>
      <c r="HW55" s="169"/>
      <c r="HX55" s="169"/>
      <c r="HY55" s="169"/>
      <c r="HZ55" s="169"/>
      <c r="IA55" s="169"/>
      <c r="IB55" s="169"/>
      <c r="IC55" s="169"/>
      <c r="ID55" s="169"/>
      <c r="IE55" s="169"/>
      <c r="IF55" s="169"/>
      <c r="IG55" s="169"/>
      <c r="IH55" s="169"/>
      <c r="II55" s="169"/>
      <c r="IJ55" s="169"/>
      <c r="IK55" s="169"/>
      <c r="IL55" s="169"/>
      <c r="IM55" s="169"/>
      <c r="IN55" s="169"/>
      <c r="IO55" s="169"/>
      <c r="IP55" s="169"/>
      <c r="IQ55" s="169"/>
      <c r="IR55" s="169"/>
      <c r="IS55" s="169"/>
      <c r="IT55" s="169"/>
      <c r="IU55" s="169"/>
      <c r="IV55" s="169"/>
      <c r="IW55" s="169"/>
      <c r="IX55" s="169"/>
      <c r="IY55" s="29">
        <v>3</v>
      </c>
      <c r="IZ55" s="40">
        <f>(TEXT(K55,"[m]")/60)*VLOOKUP(IY55,'Income Person-hours'!A$2:C$5,3,FALSE)</f>
        <v>0</v>
      </c>
      <c r="JA55" s="112"/>
      <c r="JB55" s="112"/>
      <c r="JC55" s="112"/>
      <c r="JD55" s="192">
        <f>SUM((TEXT(JA55,"[M]")/60)*'Income Person-hours'!$D$3,(TEXT(JB55,"[M]")/60)*'Income Person-hours'!$D$4,(TEXT(JC55,"[M]")/60)*'Income Person-hours'!$D$5)</f>
        <v>0</v>
      </c>
    </row>
    <row r="56" spans="1:16384" s="276" customFormat="1" ht="13.5">
      <c r="A56" s="262">
        <v>3.3</v>
      </c>
      <c r="B56" s="277" t="s">
        <v>153</v>
      </c>
      <c r="C56" s="263" t="s">
        <v>79</v>
      </c>
      <c r="D56" s="264" t="str">
        <f>IF(OR(j_WEEKDAY(J_ADDDAY(VLOOKUP(I56,A:F,6,FALSE),H56,1),0)=6,SUMIFS(Holieday[ok],Holieday[date],J_ADDDAY(VLOOKUP(I56,A:F,6,FALSE),H56,1)))=FALSE(),J_ADDDAY(VLOOKUP(I56,A:F,6,FALSE),H56,1),IF(OR(j_WEEKDAY(J_ADDDAY(VLOOKUP(I56,A:F,6,FALSE),H56+1,1),0)=6,SUMIFS(Holieday[ok],Holieday[date],J_ADDDAY(VLOOKUP(I56,A:F,6,FALSE),H56+1,1)))=FALSE(),J_ADDDAY(VLOOKUP(I56,A:F,6,FALSE),H56+1,1),IF(OR(j_WEEKDAY(J_ADDDAY(VLOOKUP(I56,A:F,6,FALSE),H56+2,1),0)=6,SUMIFS(Holieday[ok],Holieday[date],J_ADDDAY(VLOOKUP(I56,A:F,6,FALSE),H56+2,1)))=FALSE(),J_ADDDAY(VLOOKUP(I56,A:F,6,FALSE),H56+2,1),IF(OR(j_WEEKDAY(J_ADDDAY(VLOOKUP(I56,A:F,6,FALSE),H56+3,1),0)=6,SUMIFS(Holieday[ok],Holieday[date],J_ADDDAY(VLOOKUP(I56,A:F,6,FALSE),H56+3,1)))=FALSE(),J_ADDDAY(VLOOKUP(I56,A:F,6,FALSE),H56+3,1),IF(OR(j_WEEKDAY(J_ADDDAY(VLOOKUP(I56,A:F,6,FALSE),H56+4,1),0)=6,SUMIFS(Holieday[ok],Holieday[date],J_ADDDAY(VLOOKUP(I56,A:F,6,FALSE),H56+4,1)))=FALSE(),J_ADDDAY(VLOOKUP(I56,A:F,6,FALSE),H56+4,1),J_ADDDAY(VLOOKUP(I56,A:F,6,FALSE),H56+5,1))))))</f>
        <v>1398/07/06</v>
      </c>
      <c r="E56" s="160">
        <f t="shared" si="15"/>
        <v>13980706</v>
      </c>
      <c r="F56" s="265" t="str">
        <f>IF(N56=0,J_SUBDAY(D56,1,1),IF((N56-(NETWORKDAYS.INTL(J_GregorianDate(D56,1),J_GregorianDate(J_SUBDAY(J_ADDDAY(D56,N56,1),1,1),1),16,1)))+SUMIFS(Holieday[ok],Holieday[date],CONCATENATE("&gt;","=",D56),Holieday[date],CONCATENATE("&lt;","=",J_SUBDAY(J_ADDDAY(D56,N56,1),1,1)))-SUMIFS(Holieday[Friday],Holieday[date],CONCATENATE("&gt;","=",D56),Holieday[date],CONCATENATE("&lt;","=",J_SUBDAY(J_ADDDAY(D56,N56,1),1,1)))=0,J_SUBDAY(J_ADDDAY(D56,N56,1),1,1),IF((N56+1-(NETWORKDAYS.INTL(J_GregorianDate(D56,1),J_GregorianDate(J_SUBDAY(J_ADDDAY(D56,N56+1,1),1,1),1),16,1)))+SUMIFS(Holieday[ok],Holieday[date],CONCATENATE("&gt;","=",D56),Holieday[date],CONCATENATE("&lt;","=",J_SUBDAY(J_ADDDAY(D56,N56+1,1),1,1)))-SUMIFS(Holieday[Friday],Holieday[date],CONCATENATE("&gt;","=",D56),Holieday[date],CONCATENATE("&lt;","=",J_SUBDAY(J_ADDDAY(D56,N56+1,1),1,1)))=1,J_SUBDAY(J_ADDDAY(D56,N56+1,1),1,1),IF((N56+2-(NETWORKDAYS.INTL(J_GregorianDate(D56,1),J_GregorianDate(J_SUBDAY(J_ADDDAY(D56,N56+2,1),1,1),1),16,1)))+SUMIFS(Holieday[ok],Holieday[date],CONCATENATE("&gt;","=",D56),Holieday[date],CONCATENATE("&lt;","=",J_SUBDAY(J_ADDDAY(D56,N56+2,1),1,1)))-SUMIFS(Holieday[Friday],Holieday[date],CONCATENATE("&gt;","=",D56),Holieday[date],CONCATENATE("&lt;","=",J_SUBDAY(J_ADDDAY(D56,N56+2,1),1,1)))=2,J_SUBDAY(J_ADDDAY(D56,N56+2,1),1,1),IF((N56+3-(NETWORKDAYS.INTL(J_GregorianDate(D56,1),J_GregorianDate(J_SUBDAY(J_ADDDAY(D56,N56+3,1),1,1),1),16,1)))+SUMIFS(Holieday[ok],Holieday[date],CONCATENATE("&gt;","=",D56),Holieday[date],CONCATENATE("&lt;","=",J_SUBDAY(J_ADDDAY(D56,N56+3,1),1,1)))-SUMIFS(Holieday[Friday],Holieday[date],CONCATENATE("&gt;","=",D56),Holieday[date],CONCATENATE("&lt;","=",J_SUBDAY(J_ADDDAY(D56,N56+3,1),1,1)))=3,J_SUBDAY(J_ADDDAY(D56,N56+3,1),1,1),IF((N56+4-(NETWORKDAYS.INTL(J_GregorianDate(D56,1),J_GregorianDate(J_SUBDAY(J_ADDDAY(D56,N56+4,1),1,1),1),16,1)))+SUMIFS(Holieday[ok],Holieday[date],CONCATENATE("&gt;","=",D56),Holieday[date],CONCATENATE("&lt;","=",J_SUBDAY(J_ADDDAY(D56,N56+4,1),1,1)))-SUMIFS(Holieday[Friday],Holieday[date],CONCATENATE("&gt;","=",D56),Holieday[date],CONCATENATE("&lt;","=",J_SUBDAY(J_ADDDAY(D56,N56+4,1),1,1)))=4,J_SUBDAY(J_ADDDAY(D56,N56+4,1),1,1),IF((N56+5-(NETWORKDAYS.INTL(J_GregorianDate(D56,1),J_GregorianDate(J_SUBDAY(J_ADDDAY(D56,N56+5,1),1,1),1),16,1)))+SUMIFS(Holieday[ok],Holieday[date],CONCATENATE("&gt;","=",D56),Holieday[date],CONCATENATE("&lt;","=",J_SUBDAY(J_ADDDAY(D56,N56+5,1),1,1)))-SUMIFS(Holieday[Friday],Holieday[date],CONCATENATE("&gt;","=",D56),Holieday[date],CONCATENATE("&lt;","=",J_SUBDAY(J_ADDDAY(D56,N56+5,1),1,1)))=5,J_SUBDAY(J_ADDDAY(D56,N56+5,1),1,1),J_SUBDAY(J_ADDDAY(D56,N56+6,1),1,1))))))))</f>
        <v>1398/07/16</v>
      </c>
      <c r="G56" s="163">
        <f t="shared" si="16"/>
        <v>13980716</v>
      </c>
      <c r="H56" s="266">
        <v>5</v>
      </c>
      <c r="I56" s="267">
        <v>1.1000000000000001</v>
      </c>
      <c r="J56" s="265">
        <f>j_WEEKDAY(D56,2)</f>
        <v>0</v>
      </c>
      <c r="K56" s="173">
        <f t="shared" si="18"/>
        <v>0</v>
      </c>
      <c r="L56" s="268">
        <v>30</v>
      </c>
      <c r="M56" s="269">
        <v>0.2</v>
      </c>
      <c r="N56" s="270">
        <v>10</v>
      </c>
      <c r="O56" s="175">
        <f t="shared" si="17"/>
        <v>6</v>
      </c>
      <c r="P56" s="175">
        <f>VALUE(J_normdate(J_ADDDAY($D56,$O56,1)))</f>
        <v>13980712</v>
      </c>
      <c r="Q56" s="171">
        <f t="shared" si="14"/>
        <v>24</v>
      </c>
      <c r="R56" s="271"/>
      <c r="S56" s="271"/>
      <c r="T56" s="271"/>
      <c r="U56" s="271"/>
      <c r="V56" s="271"/>
      <c r="W56" s="271"/>
      <c r="X56" s="271"/>
      <c r="Y56" s="271"/>
      <c r="Z56" s="271"/>
      <c r="AA56" s="271"/>
      <c r="AB56" s="271"/>
      <c r="AC56" s="271"/>
      <c r="AD56" s="271"/>
      <c r="AE56" s="271"/>
      <c r="AF56" s="271"/>
      <c r="AG56" s="271"/>
      <c r="AH56" s="271"/>
      <c r="AI56" s="271"/>
      <c r="AJ56" s="271"/>
      <c r="AK56" s="271"/>
      <c r="AL56" s="271"/>
      <c r="AM56" s="271"/>
      <c r="AN56" s="271"/>
      <c r="AO56" s="271"/>
      <c r="AP56" s="271"/>
      <c r="AQ56" s="271"/>
      <c r="AR56" s="271"/>
      <c r="AS56" s="271"/>
      <c r="AT56" s="271"/>
      <c r="AU56" s="271"/>
      <c r="AV56" s="271"/>
      <c r="AW56" s="271"/>
      <c r="AX56" s="271"/>
      <c r="AY56" s="271"/>
      <c r="AZ56" s="271"/>
      <c r="BA56" s="271"/>
      <c r="BB56" s="271"/>
      <c r="BC56" s="271"/>
      <c r="BD56" s="271"/>
      <c r="BE56" s="271"/>
      <c r="BF56" s="271"/>
      <c r="BG56" s="271"/>
      <c r="BH56" s="271"/>
      <c r="BI56" s="271"/>
      <c r="BJ56" s="271"/>
      <c r="BK56" s="271"/>
      <c r="BL56" s="271"/>
      <c r="BM56" s="271"/>
      <c r="BN56" s="271"/>
      <c r="BO56" s="271"/>
      <c r="BP56" s="271"/>
      <c r="BQ56" s="271"/>
      <c r="BR56" s="271"/>
      <c r="BS56" s="271"/>
      <c r="BT56" s="271"/>
      <c r="BU56" s="271"/>
      <c r="BV56" s="271"/>
      <c r="BW56" s="271"/>
      <c r="BX56" s="271"/>
      <c r="BY56" s="271"/>
      <c r="BZ56" s="271"/>
      <c r="CA56" s="271"/>
      <c r="CB56" s="271"/>
      <c r="CC56" s="271"/>
      <c r="CD56" s="271"/>
      <c r="CE56" s="271"/>
      <c r="CF56" s="271"/>
      <c r="CG56" s="271"/>
      <c r="CH56" s="271"/>
      <c r="CI56" s="271"/>
      <c r="CJ56" s="271"/>
      <c r="CK56" s="271"/>
      <c r="CL56" s="271"/>
      <c r="CM56" s="271"/>
      <c r="CN56" s="271"/>
      <c r="CO56" s="271"/>
      <c r="CP56" s="271"/>
      <c r="CQ56" s="271"/>
      <c r="CR56" s="271"/>
      <c r="CS56" s="271"/>
      <c r="CT56" s="271"/>
      <c r="CU56" s="271"/>
      <c r="CV56" s="271"/>
      <c r="CW56" s="271"/>
      <c r="CX56" s="271"/>
      <c r="CY56" s="271"/>
      <c r="CZ56" s="271"/>
      <c r="DA56" s="271"/>
      <c r="DB56" s="271"/>
      <c r="DC56" s="271"/>
      <c r="DD56" s="271"/>
      <c r="DE56" s="271"/>
      <c r="DF56" s="271"/>
      <c r="DG56" s="271"/>
      <c r="DH56" s="271"/>
      <c r="DI56" s="271"/>
      <c r="DJ56" s="271"/>
      <c r="DK56" s="271"/>
      <c r="DL56" s="271"/>
      <c r="DM56" s="271"/>
      <c r="DN56" s="271"/>
      <c r="DO56" s="271"/>
      <c r="DP56" s="271"/>
      <c r="DQ56" s="271"/>
      <c r="DR56" s="271"/>
      <c r="DS56" s="271"/>
      <c r="DT56" s="271"/>
      <c r="DU56" s="271"/>
      <c r="DV56" s="271"/>
      <c r="DW56" s="271"/>
      <c r="DX56" s="271"/>
      <c r="DY56" s="271"/>
      <c r="DZ56" s="271"/>
      <c r="EA56" s="271"/>
      <c r="EB56" s="271"/>
      <c r="EC56" s="271"/>
      <c r="ED56" s="271"/>
      <c r="EE56" s="271"/>
      <c r="EF56" s="271"/>
      <c r="EG56" s="271"/>
      <c r="EH56" s="271"/>
      <c r="EI56" s="271"/>
      <c r="EJ56" s="271"/>
      <c r="EK56" s="271"/>
      <c r="EL56" s="271"/>
      <c r="EM56" s="271"/>
      <c r="EN56" s="271"/>
      <c r="EO56" s="271"/>
      <c r="EP56" s="271"/>
      <c r="EQ56" s="271"/>
      <c r="ER56" s="271"/>
      <c r="ES56" s="271"/>
      <c r="ET56" s="271"/>
      <c r="EU56" s="271"/>
      <c r="EV56" s="271"/>
      <c r="EW56" s="271"/>
      <c r="EX56" s="271"/>
      <c r="EY56" s="271"/>
      <c r="EZ56" s="271"/>
      <c r="FA56" s="271"/>
      <c r="FB56" s="271"/>
      <c r="FC56" s="271"/>
      <c r="FD56" s="271"/>
      <c r="FE56" s="271"/>
      <c r="FF56" s="271"/>
      <c r="FG56" s="271"/>
      <c r="FH56" s="271"/>
      <c r="FI56" s="271"/>
      <c r="FJ56" s="271"/>
      <c r="FK56" s="271"/>
      <c r="FL56" s="271"/>
      <c r="FM56" s="271"/>
      <c r="FN56" s="271"/>
      <c r="FO56" s="271"/>
      <c r="FP56" s="271"/>
      <c r="FQ56" s="271"/>
      <c r="FR56" s="271"/>
      <c r="FS56" s="271"/>
      <c r="FT56" s="271"/>
      <c r="FU56" s="271"/>
      <c r="FV56" s="271"/>
      <c r="FW56" s="271"/>
      <c r="FX56" s="271"/>
      <c r="FY56" s="271"/>
      <c r="FZ56" s="271"/>
      <c r="GA56" s="271"/>
      <c r="GB56" s="271"/>
      <c r="GC56" s="271"/>
      <c r="GD56" s="271"/>
      <c r="GE56" s="271"/>
      <c r="GF56" s="271"/>
      <c r="GG56" s="271"/>
      <c r="GH56" s="271"/>
      <c r="GI56" s="271"/>
      <c r="GJ56" s="271"/>
      <c r="GK56" s="271"/>
      <c r="GL56" s="271"/>
      <c r="GM56" s="271"/>
      <c r="GN56" s="271"/>
      <c r="GO56" s="271"/>
      <c r="GP56" s="271"/>
      <c r="GQ56" s="271"/>
      <c r="GR56" s="271"/>
      <c r="GS56" s="271"/>
      <c r="GT56" s="271"/>
      <c r="GU56" s="271"/>
      <c r="GV56" s="271"/>
      <c r="GW56" s="271"/>
      <c r="GX56" s="271"/>
      <c r="GY56" s="271"/>
      <c r="GZ56" s="271"/>
      <c r="HA56" s="271"/>
      <c r="HB56" s="271"/>
      <c r="HC56" s="271"/>
      <c r="HD56" s="271"/>
      <c r="HE56" s="271"/>
      <c r="HF56" s="271"/>
      <c r="HG56" s="271"/>
      <c r="HH56" s="271"/>
      <c r="HI56" s="271"/>
      <c r="HJ56" s="271"/>
      <c r="HK56" s="271"/>
      <c r="HL56" s="271"/>
      <c r="HM56" s="271"/>
      <c r="HN56" s="271"/>
      <c r="HO56" s="271"/>
      <c r="HP56" s="271"/>
      <c r="HQ56" s="271"/>
      <c r="HR56" s="271"/>
      <c r="HS56" s="271"/>
      <c r="HT56" s="271"/>
      <c r="HU56" s="271"/>
      <c r="HV56" s="271"/>
      <c r="HW56" s="271"/>
      <c r="HX56" s="271"/>
      <c r="HY56" s="271"/>
      <c r="HZ56" s="271"/>
      <c r="IA56" s="271"/>
      <c r="IB56" s="271"/>
      <c r="IC56" s="271"/>
      <c r="ID56" s="271"/>
      <c r="IE56" s="271"/>
      <c r="IF56" s="271"/>
      <c r="IG56" s="271"/>
      <c r="IH56" s="271"/>
      <c r="II56" s="271"/>
      <c r="IJ56" s="271"/>
      <c r="IK56" s="271"/>
      <c r="IL56" s="271"/>
      <c r="IM56" s="271"/>
      <c r="IN56" s="271"/>
      <c r="IO56" s="271"/>
      <c r="IP56" s="271"/>
      <c r="IQ56" s="271"/>
      <c r="IR56" s="271"/>
      <c r="IS56" s="271"/>
      <c r="IT56" s="271"/>
      <c r="IU56" s="271"/>
      <c r="IV56" s="271"/>
      <c r="IW56" s="271"/>
      <c r="IX56" s="271"/>
      <c r="IY56" s="272">
        <v>3</v>
      </c>
      <c r="IZ56" s="273">
        <f>(TEXT(K56,"[m]")/60)*VLOOKUP(IY56,'Income Person-hours'!A$2:C$5,3,FALSE)</f>
        <v>0</v>
      </c>
      <c r="JA56" s="274"/>
      <c r="JB56" s="274"/>
      <c r="JC56" s="274"/>
      <c r="JD56" s="275">
        <f>SUM((TEXT(JA56,"[M]")/60)*'Income Person-hours'!$D$3,(TEXT(JB56,"[M]")/60)*'Income Person-hours'!$D$4,(TEXT(JC56,"[M]")/60)*'Income Person-hours'!$D$5)</f>
        <v>0</v>
      </c>
    </row>
    <row r="57" spans="1:16384" s="276" customFormat="1" ht="18.75" customHeight="1">
      <c r="A57" s="262">
        <v>3.4</v>
      </c>
      <c r="B57" s="277" t="s">
        <v>161</v>
      </c>
      <c r="C57" s="263" t="s">
        <v>79</v>
      </c>
      <c r="D57" s="264" t="str">
        <f>IF(OR(j_WEEKDAY(J_ADDDAY(VLOOKUP(I57,A:F,6,FALSE),H57,1),0)=6,SUMIFS(Holieday[ok],Holieday[date],J_ADDDAY(VLOOKUP(I57,A:F,6,FALSE),H57,1)))=FALSE(),J_ADDDAY(VLOOKUP(I57,A:F,6,FALSE),H57,1),IF(OR(j_WEEKDAY(J_ADDDAY(VLOOKUP(I57,A:F,6,FALSE),H57+1,1),0)=6,SUMIFS(Holieday[ok],Holieday[date],J_ADDDAY(VLOOKUP(I57,A:F,6,FALSE),H57+1,1)))=FALSE(),J_ADDDAY(VLOOKUP(I57,A:F,6,FALSE),H57+1,1),IF(OR(j_WEEKDAY(J_ADDDAY(VLOOKUP(I57,A:F,6,FALSE),H57+2,1),0)=6,SUMIFS(Holieday[ok],Holieday[date],J_ADDDAY(VLOOKUP(I57,A:F,6,FALSE),H57+2,1)))=FALSE(),J_ADDDAY(VLOOKUP(I57,A:F,6,FALSE),H57+2,1),IF(OR(j_WEEKDAY(J_ADDDAY(VLOOKUP(I57,A:F,6,FALSE),H57+3,1),0)=6,SUMIFS(Holieday[ok],Holieday[date],J_ADDDAY(VLOOKUP(I57,A:F,6,FALSE),H57+3,1)))=FALSE(),J_ADDDAY(VLOOKUP(I57,A:F,6,FALSE),H57+3,1),IF(OR(j_WEEKDAY(J_ADDDAY(VLOOKUP(I57,A:F,6,FALSE),H57+4,1),0)=6,SUMIFS(Holieday[ok],Holieday[date],J_ADDDAY(VLOOKUP(I57,A:F,6,FALSE),H57+4,1)))=FALSE(),J_ADDDAY(VLOOKUP(I57,A:F,6,FALSE),H57+4,1),J_ADDDAY(VLOOKUP(I57,A:F,6,FALSE),H57+5,1))))))</f>
        <v>1398/07/17</v>
      </c>
      <c r="E57" s="160">
        <f t="shared" si="15"/>
        <v>13980717</v>
      </c>
      <c r="F57" s="265" t="str">
        <f>IF(N57=0,J_SUBDAY(D57,1,1),IF((N57-(NETWORKDAYS.INTL(J_GregorianDate(D57,1),J_GregorianDate(J_SUBDAY(J_ADDDAY(D57,N57,1),1,1),1),16,1)))+SUMIFS(Holieday[ok],Holieday[date],CONCATENATE("&gt;","=",D57),Holieday[date],CONCATENATE("&lt;","=",J_SUBDAY(J_ADDDAY(D57,N57,1),1,1)))-SUMIFS(Holieday[Friday],Holieday[date],CONCATENATE("&gt;","=",D57),Holieday[date],CONCATENATE("&lt;","=",J_SUBDAY(J_ADDDAY(D57,N57,1),1,1)))=0,J_SUBDAY(J_ADDDAY(D57,N57,1),1,1),IF((N57+1-(NETWORKDAYS.INTL(J_GregorianDate(D57,1),J_GregorianDate(J_SUBDAY(J_ADDDAY(D57,N57+1,1),1,1),1),16,1)))+SUMIFS(Holieday[ok],Holieday[date],CONCATENATE("&gt;","=",D57),Holieday[date],CONCATENATE("&lt;","=",J_SUBDAY(J_ADDDAY(D57,N57+1,1),1,1)))-SUMIFS(Holieday[Friday],Holieday[date],CONCATENATE("&gt;","=",D57),Holieday[date],CONCATENATE("&lt;","=",J_SUBDAY(J_ADDDAY(D57,N57+1,1),1,1)))=1,J_SUBDAY(J_ADDDAY(D57,N57+1,1),1,1),IF((N57+2-(NETWORKDAYS.INTL(J_GregorianDate(D57,1),J_GregorianDate(J_SUBDAY(J_ADDDAY(D57,N57+2,1),1,1),1),16,1)))+SUMIFS(Holieday[ok],Holieday[date],CONCATENATE("&gt;","=",D57),Holieday[date],CONCATENATE("&lt;","=",J_SUBDAY(J_ADDDAY(D57,N57+2,1),1,1)))-SUMIFS(Holieday[Friday],Holieday[date],CONCATENATE("&gt;","=",D57),Holieday[date],CONCATENATE("&lt;","=",J_SUBDAY(J_ADDDAY(D57,N57+2,1),1,1)))=2,J_SUBDAY(J_ADDDAY(D57,N57+2,1),1,1),IF((N57+3-(NETWORKDAYS.INTL(J_GregorianDate(D57,1),J_GregorianDate(J_SUBDAY(J_ADDDAY(D57,N57+3,1),1,1),1),16,1)))+SUMIFS(Holieday[ok],Holieday[date],CONCATENATE("&gt;","=",D57),Holieday[date],CONCATENATE("&lt;","=",J_SUBDAY(J_ADDDAY(D57,N57+3,1),1,1)))-SUMIFS(Holieday[Friday],Holieday[date],CONCATENATE("&gt;","=",D57),Holieday[date],CONCATENATE("&lt;","=",J_SUBDAY(J_ADDDAY(D57,N57+3,1),1,1)))=3,J_SUBDAY(J_ADDDAY(D57,N57+3,1),1,1),IF((N57+4-(NETWORKDAYS.INTL(J_GregorianDate(D57,1),J_GregorianDate(J_SUBDAY(J_ADDDAY(D57,N57+4,1),1,1),1),16,1)))+SUMIFS(Holieday[ok],Holieday[date],CONCATENATE("&gt;","=",D57),Holieday[date],CONCATENATE("&lt;","=",J_SUBDAY(J_ADDDAY(D57,N57+4,1),1,1)))-SUMIFS(Holieday[Friday],Holieday[date],CONCATENATE("&gt;","=",D57),Holieday[date],CONCATENATE("&lt;","=",J_SUBDAY(J_ADDDAY(D57,N57+4,1),1,1)))=4,J_SUBDAY(J_ADDDAY(D57,N57+4,1),1,1),IF((N57+5-(NETWORKDAYS.INTL(J_GregorianDate(D57,1),J_GregorianDate(J_SUBDAY(J_ADDDAY(D57,N57+5,1),1,1),1),16,1)))+SUMIFS(Holieday[ok],Holieday[date],CONCATENATE("&gt;","=",D57),Holieday[date],CONCATENATE("&lt;","=",J_SUBDAY(J_ADDDAY(D57,N57+5,1),1,1)))-SUMIFS(Holieday[Friday],Holieday[date],CONCATENATE("&gt;","=",D57),Holieday[date],CONCATENATE("&lt;","=",J_SUBDAY(J_ADDDAY(D57,N57+5,1),1,1)))=5,J_SUBDAY(J_ADDDAY(D57,N57+5,1),1,1),J_SUBDAY(J_ADDDAY(D57,N57+6,1),1,1))))))))</f>
        <v>1398/07/20</v>
      </c>
      <c r="G57" s="163">
        <f t="shared" si="16"/>
        <v>13980720</v>
      </c>
      <c r="H57" s="266">
        <v>1</v>
      </c>
      <c r="I57" s="267">
        <v>3.3</v>
      </c>
      <c r="J57" s="265">
        <f>j_WEEKDAY(D57,2)</f>
        <v>4</v>
      </c>
      <c r="K57" s="173">
        <f t="shared" si="18"/>
        <v>0</v>
      </c>
      <c r="L57" s="268">
        <v>5</v>
      </c>
      <c r="M57" s="269">
        <v>0</v>
      </c>
      <c r="N57" s="270">
        <v>3</v>
      </c>
      <c r="O57" s="175">
        <f t="shared" si="17"/>
        <v>0</v>
      </c>
      <c r="P57" s="175">
        <f>VALUE(J_normdate(J_ADDDAY($D57,$O57,1)))</f>
        <v>13980717</v>
      </c>
      <c r="Q57" s="171">
        <f t="shared" si="14"/>
        <v>5</v>
      </c>
      <c r="R57" s="271"/>
      <c r="S57" s="271"/>
      <c r="T57" s="271"/>
      <c r="U57" s="271"/>
      <c r="V57" s="271"/>
      <c r="W57" s="271"/>
      <c r="X57" s="271"/>
      <c r="Y57" s="271"/>
      <c r="Z57" s="271"/>
      <c r="AA57" s="271"/>
      <c r="AB57" s="271"/>
      <c r="AC57" s="271"/>
      <c r="AD57" s="271"/>
      <c r="AE57" s="271"/>
      <c r="AF57" s="271"/>
      <c r="AG57" s="271"/>
      <c r="AH57" s="271"/>
      <c r="AI57" s="271"/>
      <c r="AJ57" s="271"/>
      <c r="AK57" s="271"/>
      <c r="AL57" s="271"/>
      <c r="AM57" s="271"/>
      <c r="AN57" s="271"/>
      <c r="AO57" s="271"/>
      <c r="AP57" s="271"/>
      <c r="AQ57" s="271"/>
      <c r="AR57" s="271"/>
      <c r="AS57" s="271"/>
      <c r="AT57" s="271"/>
      <c r="AU57" s="271"/>
      <c r="AV57" s="271"/>
      <c r="AW57" s="271"/>
      <c r="AX57" s="271"/>
      <c r="AY57" s="271"/>
      <c r="AZ57" s="271"/>
      <c r="BA57" s="271"/>
      <c r="BB57" s="271"/>
      <c r="BC57" s="271"/>
      <c r="BD57" s="271"/>
      <c r="BE57" s="271"/>
      <c r="BF57" s="271"/>
      <c r="BG57" s="271"/>
      <c r="BH57" s="271"/>
      <c r="BI57" s="271"/>
      <c r="BJ57" s="271"/>
      <c r="BK57" s="271"/>
      <c r="BL57" s="271"/>
      <c r="BM57" s="271"/>
      <c r="BN57" s="271"/>
      <c r="BO57" s="271"/>
      <c r="BP57" s="271"/>
      <c r="BQ57" s="271"/>
      <c r="BR57" s="271"/>
      <c r="BS57" s="271"/>
      <c r="BT57" s="271"/>
      <c r="BU57" s="271"/>
      <c r="BV57" s="271"/>
      <c r="BW57" s="271"/>
      <c r="BX57" s="271"/>
      <c r="BY57" s="271"/>
      <c r="BZ57" s="271"/>
      <c r="CA57" s="271"/>
      <c r="CB57" s="271"/>
      <c r="CC57" s="271"/>
      <c r="CD57" s="271"/>
      <c r="CE57" s="271"/>
      <c r="CF57" s="271"/>
      <c r="CG57" s="271"/>
      <c r="CH57" s="271"/>
      <c r="CI57" s="271"/>
      <c r="CJ57" s="271"/>
      <c r="CK57" s="271"/>
      <c r="CL57" s="271"/>
      <c r="CM57" s="271"/>
      <c r="CN57" s="271"/>
      <c r="CO57" s="271"/>
      <c r="CP57" s="271"/>
      <c r="CQ57" s="271"/>
      <c r="CR57" s="271"/>
      <c r="CS57" s="271"/>
      <c r="CT57" s="271"/>
      <c r="CU57" s="271"/>
      <c r="CV57" s="271"/>
      <c r="CW57" s="271"/>
      <c r="CX57" s="271"/>
      <c r="CY57" s="271"/>
      <c r="CZ57" s="271"/>
      <c r="DA57" s="271"/>
      <c r="DB57" s="271"/>
      <c r="DC57" s="271"/>
      <c r="DD57" s="271"/>
      <c r="DE57" s="271"/>
      <c r="DF57" s="271"/>
      <c r="DG57" s="271"/>
      <c r="DH57" s="271"/>
      <c r="DI57" s="271"/>
      <c r="DJ57" s="271"/>
      <c r="DK57" s="271"/>
      <c r="DL57" s="271"/>
      <c r="DM57" s="271"/>
      <c r="DN57" s="271"/>
      <c r="DO57" s="271"/>
      <c r="DP57" s="271"/>
      <c r="DQ57" s="271"/>
      <c r="DR57" s="271"/>
      <c r="DS57" s="271"/>
      <c r="DT57" s="271"/>
      <c r="DU57" s="271"/>
      <c r="DV57" s="271"/>
      <c r="DW57" s="271"/>
      <c r="DX57" s="271"/>
      <c r="DY57" s="271"/>
      <c r="DZ57" s="271"/>
      <c r="EA57" s="271"/>
      <c r="EB57" s="271"/>
      <c r="EC57" s="271"/>
      <c r="ED57" s="271"/>
      <c r="EE57" s="271"/>
      <c r="EF57" s="271"/>
      <c r="EG57" s="271"/>
      <c r="EH57" s="271"/>
      <c r="EI57" s="271"/>
      <c r="EJ57" s="271"/>
      <c r="EK57" s="271"/>
      <c r="EL57" s="271"/>
      <c r="EM57" s="271"/>
      <c r="EN57" s="271"/>
      <c r="EO57" s="271"/>
      <c r="EP57" s="271"/>
      <c r="EQ57" s="271"/>
      <c r="ER57" s="271"/>
      <c r="ES57" s="271"/>
      <c r="ET57" s="271"/>
      <c r="EU57" s="271"/>
      <c r="EV57" s="271"/>
      <c r="EW57" s="271"/>
      <c r="EX57" s="271"/>
      <c r="EY57" s="271"/>
      <c r="EZ57" s="271"/>
      <c r="FA57" s="271"/>
      <c r="FB57" s="271"/>
      <c r="FC57" s="271"/>
      <c r="FD57" s="271"/>
      <c r="FE57" s="271"/>
      <c r="FF57" s="271"/>
      <c r="FG57" s="271"/>
      <c r="FH57" s="271"/>
      <c r="FI57" s="271"/>
      <c r="FJ57" s="271"/>
      <c r="FK57" s="271"/>
      <c r="FL57" s="271"/>
      <c r="FM57" s="271"/>
      <c r="FN57" s="271"/>
      <c r="FO57" s="271"/>
      <c r="FP57" s="271"/>
      <c r="FQ57" s="271"/>
      <c r="FR57" s="271"/>
      <c r="FS57" s="271"/>
      <c r="FT57" s="271"/>
      <c r="FU57" s="271"/>
      <c r="FV57" s="271"/>
      <c r="FW57" s="271"/>
      <c r="FX57" s="271"/>
      <c r="FY57" s="271"/>
      <c r="FZ57" s="271"/>
      <c r="GA57" s="271"/>
      <c r="GB57" s="271"/>
      <c r="GC57" s="271"/>
      <c r="GD57" s="271"/>
      <c r="GE57" s="271"/>
      <c r="GF57" s="271"/>
      <c r="GG57" s="271"/>
      <c r="GH57" s="271"/>
      <c r="GI57" s="271"/>
      <c r="GJ57" s="271"/>
      <c r="GK57" s="271"/>
      <c r="GL57" s="271"/>
      <c r="GM57" s="271"/>
      <c r="GN57" s="271"/>
      <c r="GO57" s="271"/>
      <c r="GP57" s="271"/>
      <c r="GQ57" s="271"/>
      <c r="GR57" s="271"/>
      <c r="GS57" s="271"/>
      <c r="GT57" s="271"/>
      <c r="GU57" s="271"/>
      <c r="GV57" s="271"/>
      <c r="GW57" s="271"/>
      <c r="GX57" s="271"/>
      <c r="GY57" s="271"/>
      <c r="GZ57" s="271"/>
      <c r="HA57" s="271"/>
      <c r="HB57" s="271"/>
      <c r="HC57" s="271"/>
      <c r="HD57" s="271"/>
      <c r="HE57" s="271"/>
      <c r="HF57" s="271"/>
      <c r="HG57" s="271"/>
      <c r="HH57" s="271"/>
      <c r="HI57" s="271"/>
      <c r="HJ57" s="271"/>
      <c r="HK57" s="271"/>
      <c r="HL57" s="271"/>
      <c r="HM57" s="271"/>
      <c r="HN57" s="271"/>
      <c r="HO57" s="271"/>
      <c r="HP57" s="271"/>
      <c r="HQ57" s="271"/>
      <c r="HR57" s="271"/>
      <c r="HS57" s="271"/>
      <c r="HT57" s="271"/>
      <c r="HU57" s="271"/>
      <c r="HV57" s="271"/>
      <c r="HW57" s="271"/>
      <c r="HX57" s="271"/>
      <c r="HY57" s="271"/>
      <c r="HZ57" s="271"/>
      <c r="IA57" s="271"/>
      <c r="IB57" s="271"/>
      <c r="IC57" s="271"/>
      <c r="ID57" s="271"/>
      <c r="IE57" s="271"/>
      <c r="IF57" s="271"/>
      <c r="IG57" s="271"/>
      <c r="IH57" s="271"/>
      <c r="II57" s="271"/>
      <c r="IJ57" s="271"/>
      <c r="IK57" s="271"/>
      <c r="IL57" s="271"/>
      <c r="IM57" s="271"/>
      <c r="IN57" s="271"/>
      <c r="IO57" s="271"/>
      <c r="IP57" s="271"/>
      <c r="IQ57" s="271"/>
      <c r="IR57" s="271"/>
      <c r="IS57" s="271"/>
      <c r="IT57" s="271"/>
      <c r="IU57" s="271"/>
      <c r="IV57" s="271"/>
      <c r="IW57" s="271"/>
      <c r="IX57" s="271"/>
      <c r="IY57" s="272">
        <v>3</v>
      </c>
      <c r="IZ57" s="273">
        <f>(TEXT(K57,"[m]")/60)*VLOOKUP(IY57,'Income Person-hours'!A$2:C$5,3,FALSE)</f>
        <v>0</v>
      </c>
      <c r="JA57" s="274"/>
      <c r="JB57" s="274"/>
      <c r="JC57" s="274"/>
      <c r="JD57" s="275">
        <f>SUM((TEXT(JA57,"[M]")/60)*'Income Person-hours'!$D$3,(TEXT(JB57,"[M]")/60)*'Income Person-hours'!$D$4,(TEXT(JC57,"[M]")/60)*'Income Person-hours'!$D$5)</f>
        <v>0</v>
      </c>
    </row>
    <row r="58" spans="1:16384" s="276" customFormat="1" ht="13.5">
      <c r="A58" s="262">
        <v>3.5</v>
      </c>
      <c r="B58" s="277" t="s">
        <v>162</v>
      </c>
      <c r="C58" s="263" t="s">
        <v>79</v>
      </c>
      <c r="D58" s="264" t="str">
        <f>IF(OR(j_WEEKDAY(J_ADDDAY(VLOOKUP(I58,A:F,6,FALSE),H58,1),0)=6,SUMIFS(Holieday[ok],Holieday[date],J_ADDDAY(VLOOKUP(I58,A:F,6,FALSE),H58,1)))=FALSE(),J_ADDDAY(VLOOKUP(I58,A:F,6,FALSE),H58,1),IF(OR(j_WEEKDAY(J_ADDDAY(VLOOKUP(I58,A:F,6,FALSE),H58+1,1),0)=6,SUMIFS(Holieday[ok],Holieday[date],J_ADDDAY(VLOOKUP(I58,A:F,6,FALSE),H58+1,1)))=FALSE(),J_ADDDAY(VLOOKUP(I58,A:F,6,FALSE),H58+1,1),IF(OR(j_WEEKDAY(J_ADDDAY(VLOOKUP(I58,A:F,6,FALSE),H58+2,1),0)=6,SUMIFS(Holieday[ok],Holieday[date],J_ADDDAY(VLOOKUP(I58,A:F,6,FALSE),H58+2,1)))=FALSE(),J_ADDDAY(VLOOKUP(I58,A:F,6,FALSE),H58+2,1),IF(OR(j_WEEKDAY(J_ADDDAY(VLOOKUP(I58,A:F,6,FALSE),H58+3,1),0)=6,SUMIFS(Holieday[ok],Holieday[date],J_ADDDAY(VLOOKUP(I58,A:F,6,FALSE),H58+3,1)))=FALSE(),J_ADDDAY(VLOOKUP(I58,A:F,6,FALSE),H58+3,1),IF(OR(j_WEEKDAY(J_ADDDAY(VLOOKUP(I58,A:F,6,FALSE),H58+4,1),0)=6,SUMIFS(Holieday[ok],Holieday[date],J_ADDDAY(VLOOKUP(I58,A:F,6,FALSE),H58+4,1)))=FALSE(),J_ADDDAY(VLOOKUP(I58,A:F,6,FALSE),H58+4,1),J_ADDDAY(VLOOKUP(I58,A:F,6,FALSE),H58+5,1))))))</f>
        <v>1398/07/21</v>
      </c>
      <c r="E58" s="160">
        <f t="shared" si="15"/>
        <v>13980721</v>
      </c>
      <c r="F58" s="265" t="str">
        <f>IF(N58=0,J_SUBDAY(D58,1,1),IF((N58-(NETWORKDAYS.INTL(J_GregorianDate(D58,1),J_GregorianDate(J_SUBDAY(J_ADDDAY(D58,N58,1),1,1),1),16,1)))+SUMIFS(Holieday[ok],Holieday[date],CONCATENATE("&gt;","=",D58),Holieday[date],CONCATENATE("&lt;","=",J_SUBDAY(J_ADDDAY(D58,N58,1),1,1)))-SUMIFS(Holieday[Friday],Holieday[date],CONCATENATE("&gt;","=",D58),Holieday[date],CONCATENATE("&lt;","=",J_SUBDAY(J_ADDDAY(D58,N58,1),1,1)))=0,J_SUBDAY(J_ADDDAY(D58,N58,1),1,1),IF((N58+1-(NETWORKDAYS.INTL(J_GregorianDate(D58,1),J_GregorianDate(J_SUBDAY(J_ADDDAY(D58,N58+1,1),1,1),1),16,1)))+SUMIFS(Holieday[ok],Holieday[date],CONCATENATE("&gt;","=",D58),Holieday[date],CONCATENATE("&lt;","=",J_SUBDAY(J_ADDDAY(D58,N58+1,1),1,1)))-SUMIFS(Holieday[Friday],Holieday[date],CONCATENATE("&gt;","=",D58),Holieday[date],CONCATENATE("&lt;","=",J_SUBDAY(J_ADDDAY(D58,N58+1,1),1,1)))=1,J_SUBDAY(J_ADDDAY(D58,N58+1,1),1,1),IF((N58+2-(NETWORKDAYS.INTL(J_GregorianDate(D58,1),J_GregorianDate(J_SUBDAY(J_ADDDAY(D58,N58+2,1),1,1),1),16,1)))+SUMIFS(Holieday[ok],Holieday[date],CONCATENATE("&gt;","=",D58),Holieday[date],CONCATENATE("&lt;","=",J_SUBDAY(J_ADDDAY(D58,N58+2,1),1,1)))-SUMIFS(Holieday[Friday],Holieday[date],CONCATENATE("&gt;","=",D58),Holieday[date],CONCATENATE("&lt;","=",J_SUBDAY(J_ADDDAY(D58,N58+2,1),1,1)))=2,J_SUBDAY(J_ADDDAY(D58,N58+2,1),1,1),IF((N58+3-(NETWORKDAYS.INTL(J_GregorianDate(D58,1),J_GregorianDate(J_SUBDAY(J_ADDDAY(D58,N58+3,1),1,1),1),16,1)))+SUMIFS(Holieday[ok],Holieday[date],CONCATENATE("&gt;","=",D58),Holieday[date],CONCATENATE("&lt;","=",J_SUBDAY(J_ADDDAY(D58,N58+3,1),1,1)))-SUMIFS(Holieday[Friday],Holieday[date],CONCATENATE("&gt;","=",D58),Holieday[date],CONCATENATE("&lt;","=",J_SUBDAY(J_ADDDAY(D58,N58+3,1),1,1)))=3,J_SUBDAY(J_ADDDAY(D58,N58+3,1),1,1),IF((N58+4-(NETWORKDAYS.INTL(J_GregorianDate(D58,1),J_GregorianDate(J_SUBDAY(J_ADDDAY(D58,N58+4,1),1,1),1),16,1)))+SUMIFS(Holieday[ok],Holieday[date],CONCATENATE("&gt;","=",D58),Holieday[date],CONCATENATE("&lt;","=",J_SUBDAY(J_ADDDAY(D58,N58+4,1),1,1)))-SUMIFS(Holieday[Friday],Holieday[date],CONCATENATE("&gt;","=",D58),Holieday[date],CONCATENATE("&lt;","=",J_SUBDAY(J_ADDDAY(D58,N58+4,1),1,1)))=4,J_SUBDAY(J_ADDDAY(D58,N58+4,1),1,1),IF((N58+5-(NETWORKDAYS.INTL(J_GregorianDate(D58,1),J_GregorianDate(J_SUBDAY(J_ADDDAY(D58,N58+5,1),1,1),1),16,1)))+SUMIFS(Holieday[ok],Holieday[date],CONCATENATE("&gt;","=",D58),Holieday[date],CONCATENATE("&lt;","=",J_SUBDAY(J_ADDDAY(D58,N58+5,1),1,1)))-SUMIFS(Holieday[Friday],Holieday[date],CONCATENATE("&gt;","=",D58),Holieday[date],CONCATENATE("&lt;","=",J_SUBDAY(J_ADDDAY(D58,N58+5,1),1,1)))=5,J_SUBDAY(J_ADDDAY(D58,N58+5,1),1,1),J_SUBDAY(J_ADDDAY(D58,N58+6,1),1,1))))))))</f>
        <v>1398/07/23</v>
      </c>
      <c r="G58" s="163">
        <f t="shared" si="16"/>
        <v>13980723</v>
      </c>
      <c r="H58" s="266">
        <v>1</v>
      </c>
      <c r="I58" s="267">
        <v>3.4</v>
      </c>
      <c r="J58" s="265">
        <f>j_WEEKDAY(D58,2)</f>
        <v>1</v>
      </c>
      <c r="K58" s="173">
        <f>SUM(JA58:JC58)</f>
        <v>0</v>
      </c>
      <c r="L58" s="268">
        <f t="shared" si="19"/>
        <v>3</v>
      </c>
      <c r="M58" s="269">
        <v>0</v>
      </c>
      <c r="N58" s="270">
        <v>3</v>
      </c>
      <c r="O58" s="175">
        <f t="shared" si="17"/>
        <v>0</v>
      </c>
      <c r="P58" s="175">
        <f>VALUE(J_normdate(J_ADDDAY($D58,$O58,1)))</f>
        <v>13980721</v>
      </c>
      <c r="Q58" s="171">
        <f t="shared" si="14"/>
        <v>3</v>
      </c>
      <c r="R58" s="271"/>
      <c r="S58" s="271"/>
      <c r="T58" s="271"/>
      <c r="U58" s="271"/>
      <c r="V58" s="271"/>
      <c r="W58" s="271"/>
      <c r="X58" s="271"/>
      <c r="Y58" s="271"/>
      <c r="Z58" s="271"/>
      <c r="AA58" s="271"/>
      <c r="AB58" s="271"/>
      <c r="AC58" s="271"/>
      <c r="AD58" s="271"/>
      <c r="AE58" s="271"/>
      <c r="AF58" s="271"/>
      <c r="AG58" s="271"/>
      <c r="AH58" s="271"/>
      <c r="AI58" s="271"/>
      <c r="AJ58" s="271"/>
      <c r="AK58" s="271"/>
      <c r="AL58" s="271"/>
      <c r="AM58" s="271"/>
      <c r="AN58" s="271"/>
      <c r="AO58" s="271"/>
      <c r="AP58" s="271"/>
      <c r="AQ58" s="271"/>
      <c r="AR58" s="271"/>
      <c r="AS58" s="271"/>
      <c r="AT58" s="271"/>
      <c r="AU58" s="271"/>
      <c r="AV58" s="271"/>
      <c r="AW58" s="271"/>
      <c r="AX58" s="271"/>
      <c r="AY58" s="271"/>
      <c r="AZ58" s="271"/>
      <c r="BA58" s="271"/>
      <c r="BB58" s="271"/>
      <c r="BC58" s="271"/>
      <c r="BD58" s="271"/>
      <c r="BE58" s="271"/>
      <c r="BF58" s="271"/>
      <c r="BG58" s="271"/>
      <c r="BH58" s="271"/>
      <c r="BI58" s="271"/>
      <c r="BJ58" s="271"/>
      <c r="BK58" s="271"/>
      <c r="BL58" s="271"/>
      <c r="BM58" s="271"/>
      <c r="BN58" s="271"/>
      <c r="BO58" s="271"/>
      <c r="BP58" s="271"/>
      <c r="BQ58" s="271"/>
      <c r="BR58" s="271"/>
      <c r="BS58" s="271"/>
      <c r="BT58" s="271"/>
      <c r="BU58" s="271"/>
      <c r="BV58" s="271"/>
      <c r="BW58" s="271"/>
      <c r="BX58" s="271"/>
      <c r="BY58" s="271"/>
      <c r="BZ58" s="271"/>
      <c r="CA58" s="271"/>
      <c r="CB58" s="271"/>
      <c r="CC58" s="271"/>
      <c r="CD58" s="271"/>
      <c r="CE58" s="271"/>
      <c r="CF58" s="271"/>
      <c r="CG58" s="271"/>
      <c r="CH58" s="271"/>
      <c r="CI58" s="271"/>
      <c r="CJ58" s="271"/>
      <c r="CK58" s="271"/>
      <c r="CL58" s="271"/>
      <c r="CM58" s="271"/>
      <c r="CN58" s="271"/>
      <c r="CO58" s="271"/>
      <c r="CP58" s="271"/>
      <c r="CQ58" s="271"/>
      <c r="CR58" s="271"/>
      <c r="CS58" s="271"/>
      <c r="CT58" s="271"/>
      <c r="CU58" s="271"/>
      <c r="CV58" s="271"/>
      <c r="CW58" s="271"/>
      <c r="CX58" s="271"/>
      <c r="CY58" s="271"/>
      <c r="CZ58" s="271"/>
      <c r="DA58" s="271"/>
      <c r="DB58" s="271"/>
      <c r="DC58" s="271"/>
      <c r="DD58" s="271"/>
      <c r="DE58" s="271"/>
      <c r="DF58" s="271"/>
      <c r="DG58" s="271"/>
      <c r="DH58" s="271"/>
      <c r="DI58" s="271"/>
      <c r="DJ58" s="271"/>
      <c r="DK58" s="271"/>
      <c r="DL58" s="271"/>
      <c r="DM58" s="271"/>
      <c r="DN58" s="271"/>
      <c r="DO58" s="271"/>
      <c r="DP58" s="271"/>
      <c r="DQ58" s="271"/>
      <c r="DR58" s="271"/>
      <c r="DS58" s="271"/>
      <c r="DT58" s="271"/>
      <c r="DU58" s="271"/>
      <c r="DV58" s="271"/>
      <c r="DW58" s="271"/>
      <c r="DX58" s="271"/>
      <c r="DY58" s="271"/>
      <c r="DZ58" s="271"/>
      <c r="EA58" s="271"/>
      <c r="EB58" s="271"/>
      <c r="EC58" s="271"/>
      <c r="ED58" s="271"/>
      <c r="EE58" s="271"/>
      <c r="EF58" s="271"/>
      <c r="EG58" s="271"/>
      <c r="EH58" s="271"/>
      <c r="EI58" s="271"/>
      <c r="EJ58" s="271"/>
      <c r="EK58" s="271"/>
      <c r="EL58" s="271"/>
      <c r="EM58" s="271"/>
      <c r="EN58" s="271"/>
      <c r="EO58" s="271"/>
      <c r="EP58" s="271"/>
      <c r="EQ58" s="271"/>
      <c r="ER58" s="271"/>
      <c r="ES58" s="271"/>
      <c r="ET58" s="271"/>
      <c r="EU58" s="271"/>
      <c r="EV58" s="271"/>
      <c r="EW58" s="271"/>
      <c r="EX58" s="271"/>
      <c r="EY58" s="271"/>
      <c r="EZ58" s="271"/>
      <c r="FA58" s="271"/>
      <c r="FB58" s="271"/>
      <c r="FC58" s="271"/>
      <c r="FD58" s="271"/>
      <c r="FE58" s="271"/>
      <c r="FF58" s="271"/>
      <c r="FG58" s="271"/>
      <c r="FH58" s="271"/>
      <c r="FI58" s="271"/>
      <c r="FJ58" s="271"/>
      <c r="FK58" s="271"/>
      <c r="FL58" s="271"/>
      <c r="FM58" s="271"/>
      <c r="FN58" s="271"/>
      <c r="FO58" s="271"/>
      <c r="FP58" s="271"/>
      <c r="FQ58" s="271"/>
      <c r="FR58" s="271"/>
      <c r="FS58" s="271"/>
      <c r="FT58" s="271"/>
      <c r="FU58" s="271"/>
      <c r="FV58" s="271"/>
      <c r="FW58" s="271"/>
      <c r="FX58" s="271"/>
      <c r="FY58" s="271"/>
      <c r="FZ58" s="271"/>
      <c r="GA58" s="271"/>
      <c r="GB58" s="271"/>
      <c r="GC58" s="271"/>
      <c r="GD58" s="271"/>
      <c r="GE58" s="271"/>
      <c r="GF58" s="271"/>
      <c r="GG58" s="271"/>
      <c r="GH58" s="271"/>
      <c r="GI58" s="271"/>
      <c r="GJ58" s="271"/>
      <c r="GK58" s="271"/>
      <c r="GL58" s="271"/>
      <c r="GM58" s="271"/>
      <c r="GN58" s="271"/>
      <c r="GO58" s="271"/>
      <c r="GP58" s="271"/>
      <c r="GQ58" s="271"/>
      <c r="GR58" s="271"/>
      <c r="GS58" s="271"/>
      <c r="GT58" s="271"/>
      <c r="GU58" s="271"/>
      <c r="GV58" s="271"/>
      <c r="GW58" s="271"/>
      <c r="GX58" s="271"/>
      <c r="GY58" s="271"/>
      <c r="GZ58" s="271"/>
      <c r="HA58" s="271"/>
      <c r="HB58" s="271"/>
      <c r="HC58" s="271"/>
      <c r="HD58" s="271"/>
      <c r="HE58" s="271"/>
      <c r="HF58" s="271"/>
      <c r="HG58" s="271"/>
      <c r="HH58" s="271"/>
      <c r="HI58" s="271"/>
      <c r="HJ58" s="271"/>
      <c r="HK58" s="271"/>
      <c r="HL58" s="271"/>
      <c r="HM58" s="271"/>
      <c r="HN58" s="271"/>
      <c r="HO58" s="271"/>
      <c r="HP58" s="271"/>
      <c r="HQ58" s="271"/>
      <c r="HR58" s="271"/>
      <c r="HS58" s="271"/>
      <c r="HT58" s="271"/>
      <c r="HU58" s="271"/>
      <c r="HV58" s="271"/>
      <c r="HW58" s="271"/>
      <c r="HX58" s="271"/>
      <c r="HY58" s="271"/>
      <c r="HZ58" s="271"/>
      <c r="IA58" s="271"/>
      <c r="IB58" s="271"/>
      <c r="IC58" s="271"/>
      <c r="ID58" s="271"/>
      <c r="IE58" s="271"/>
      <c r="IF58" s="271"/>
      <c r="IG58" s="271"/>
      <c r="IH58" s="271"/>
      <c r="II58" s="271"/>
      <c r="IJ58" s="271"/>
      <c r="IK58" s="271"/>
      <c r="IL58" s="271"/>
      <c r="IM58" s="271"/>
      <c r="IN58" s="271"/>
      <c r="IO58" s="271"/>
      <c r="IP58" s="271"/>
      <c r="IQ58" s="271"/>
      <c r="IR58" s="271"/>
      <c r="IS58" s="271"/>
      <c r="IT58" s="271"/>
      <c r="IU58" s="271"/>
      <c r="IV58" s="271"/>
      <c r="IW58" s="271"/>
      <c r="IX58" s="271"/>
      <c r="IY58" s="272">
        <v>2</v>
      </c>
      <c r="IZ58" s="273">
        <f>(TEXT(K58,"[m]")/60)*VLOOKUP(IY58,'Income Person-hours'!A$2:C$5,3,FALSE)</f>
        <v>0</v>
      </c>
      <c r="JA58" s="274"/>
      <c r="JB58" s="274"/>
      <c r="JC58" s="274"/>
      <c r="JD58" s="275">
        <f>SUM((TEXT(JA58,"[M]")/60)*'Income Person-hours'!$D$3,(TEXT(JB58,"[M]")/60)*'Income Person-hours'!$D$4,(TEXT(JC58,"[M]")/60)*'Income Person-hours'!$D$5)</f>
        <v>0</v>
      </c>
    </row>
    <row r="59" spans="1:16384" s="276" customFormat="1" ht="15.75" customHeight="1">
      <c r="A59" s="288">
        <v>3.6</v>
      </c>
      <c r="B59" s="277" t="s">
        <v>172</v>
      </c>
      <c r="C59" s="263" t="s">
        <v>79</v>
      </c>
      <c r="D59" s="271" t="str">
        <f>IF(OR(j_WEEKDAY(J_ADDDAY(VLOOKUP(I59,A:F,6,FALSE),H59,1),0)=6,SUMIFS(Holieday[ok],Holieday[date],J_ADDDAY(VLOOKUP(I59,A:F,6,FALSE),H59,1)))=FALSE(),J_ADDDAY(VLOOKUP(I59,A:F,6,FALSE),H59,1),IF(OR(j_WEEKDAY(J_ADDDAY(VLOOKUP(I59,A:F,6,FALSE),H59+1,1),0)=6,SUMIFS(Holieday[ok],Holieday[date],J_ADDDAY(VLOOKUP(I59,A:F,6,FALSE),H59+1,1)))=FALSE(),J_ADDDAY(VLOOKUP(I59,A:F,6,FALSE),H59+1,1),IF(OR(j_WEEKDAY(J_ADDDAY(VLOOKUP(I59,A:F,6,FALSE),H59+2,1),0)=6,SUMIFS(Holieday[ok],Holieday[date],J_ADDDAY(VLOOKUP(I59,A:F,6,FALSE),H59+2,1)))=FALSE(),J_ADDDAY(VLOOKUP(I59,A:F,6,FALSE),H59+2,1),IF(OR(j_WEEKDAY(J_ADDDAY(VLOOKUP(I59,A:F,6,FALSE),H59+3,1),0)=6,SUMIFS(Holieday[ok],Holieday[date],J_ADDDAY(VLOOKUP(I59,A:F,6,FALSE),H59+3,1)))=FALSE(),J_ADDDAY(VLOOKUP(I59,A:F,6,FALSE),H59+3,1),IF(OR(j_WEEKDAY(J_ADDDAY(VLOOKUP(I59,A:F,6,FALSE),H59+4,1),0)=6,SUMIFS(Holieday[ok],Holieday[date],J_ADDDAY(VLOOKUP(I59,A:F,6,FALSE),H59+4,1)))=FALSE(),J_ADDDAY(VLOOKUP(I59,A:F,6,FALSE),H59+4,1),J_ADDDAY(VLOOKUP(I59,A:F,6,FALSE),H59+5,1))))))</f>
        <v>1398/07/24</v>
      </c>
      <c r="E59" s="160">
        <f t="shared" si="15"/>
        <v>13980724</v>
      </c>
      <c r="F59" s="280" t="str">
        <f>IF(N59=0,J_SUBDAY(D59,1,1),IF((N59-(NETWORKDAYS.INTL(J_GregorianDate(D59,1),J_GregorianDate(J_SUBDAY(J_ADDDAY(D59,N59,1),1,1),1),16,1)))+SUMIFS(Holieday[ok],Holieday[date],CONCATENATE("&gt;","=",D59),Holieday[date],CONCATENATE("&lt;","=",J_SUBDAY(J_ADDDAY(D59,N59,1),1,1)))-SUMIFS(Holieday[Friday],Holieday[date],CONCATENATE("&gt;","=",D59),Holieday[date],CONCATENATE("&lt;","=",J_SUBDAY(J_ADDDAY(D59,N59,1),1,1)))=0,J_SUBDAY(J_ADDDAY(D59,N59,1),1,1),IF((N59+1-(NETWORKDAYS.INTL(J_GregorianDate(D59,1),J_GregorianDate(J_SUBDAY(J_ADDDAY(D59,N59+1,1),1,1),1),16,1)))+SUMIFS(Holieday[ok],Holieday[date],CONCATENATE("&gt;","=",D59),Holieday[date],CONCATENATE("&lt;","=",J_SUBDAY(J_ADDDAY(D59,N59+1,1),1,1)))-SUMIFS(Holieday[Friday],Holieday[date],CONCATENATE("&gt;","=",D59),Holieday[date],CONCATENATE("&lt;","=",J_SUBDAY(J_ADDDAY(D59,N59+1,1),1,1)))=1,J_SUBDAY(J_ADDDAY(D59,N59+1,1),1,1),IF((N59+2-(NETWORKDAYS.INTL(J_GregorianDate(D59,1),J_GregorianDate(J_SUBDAY(J_ADDDAY(D59,N59+2,1),1,1),1),16,1)))+SUMIFS(Holieday[ok],Holieday[date],CONCATENATE("&gt;","=",D59),Holieday[date],CONCATENATE("&lt;","=",J_SUBDAY(J_ADDDAY(D59,N59+2,1),1,1)))-SUMIFS(Holieday[Friday],Holieday[date],CONCATENATE("&gt;","=",D59),Holieday[date],CONCATENATE("&lt;","=",J_SUBDAY(J_ADDDAY(D59,N59+2,1),1,1)))=2,J_SUBDAY(J_ADDDAY(D59,N59+2,1),1,1),IF((N59+3-(NETWORKDAYS.INTL(J_GregorianDate(D59,1),J_GregorianDate(J_SUBDAY(J_ADDDAY(D59,N59+3,1),1,1),1),16,1)))+SUMIFS(Holieday[ok],Holieday[date],CONCATENATE("&gt;","=",D59),Holieday[date],CONCATENATE("&lt;","=",J_SUBDAY(J_ADDDAY(D59,N59+3,1),1,1)))-SUMIFS(Holieday[Friday],Holieday[date],CONCATENATE("&gt;","=",D59),Holieday[date],CONCATENATE("&lt;","=",J_SUBDAY(J_ADDDAY(D59,N59+3,1),1,1)))=3,J_SUBDAY(J_ADDDAY(D59,N59+3,1),1,1),IF((N59+4-(NETWORKDAYS.INTL(J_GregorianDate(D59,1),J_GregorianDate(J_SUBDAY(J_ADDDAY(D59,N59+4,1),1,1),1),16,1)))+SUMIFS(Holieday[ok],Holieday[date],CONCATENATE("&gt;","=",D59),Holieday[date],CONCATENATE("&lt;","=",J_SUBDAY(J_ADDDAY(D59,N59+4,1),1,1)))-SUMIFS(Holieday[Friday],Holieday[date],CONCATENATE("&gt;","=",D59),Holieday[date],CONCATENATE("&lt;","=",J_SUBDAY(J_ADDDAY(D59,N59+4,1),1,1)))=4,J_SUBDAY(J_ADDDAY(D59,N59+4,1),1,1),IF((N59+5-(NETWORKDAYS.INTL(J_GregorianDate(D59,1),J_GregorianDate(J_SUBDAY(J_ADDDAY(D59,N59+5,1),1,1),1),16,1)))+SUMIFS(Holieday[ok],Holieday[date],CONCATENATE("&gt;","=",D59),Holieday[date],CONCATENATE("&lt;","=",J_SUBDAY(J_ADDDAY(D59,N59+5,1),1,1)))-SUMIFS(Holieday[Friday],Holieday[date],CONCATENATE("&gt;","=",D59),Holieday[date],CONCATENATE("&lt;","=",J_SUBDAY(J_ADDDAY(D59,N59+5,1),1,1)))=5,J_SUBDAY(J_ADDDAY(D59,N59+5,1),1,1),J_SUBDAY(J_ADDDAY(D59,N59+6,1),1,1))))))))</f>
        <v>1398/07/28</v>
      </c>
      <c r="G59" s="163">
        <f t="shared" si="16"/>
        <v>13980728</v>
      </c>
      <c r="H59" s="266">
        <v>1</v>
      </c>
      <c r="I59" s="267">
        <v>3.5</v>
      </c>
      <c r="J59" s="265">
        <f>j_WEEKDAY(D59,2)</f>
        <v>4</v>
      </c>
      <c r="K59" s="173">
        <f>SUM(JA59:JC59)</f>
        <v>0</v>
      </c>
      <c r="L59" s="268">
        <f t="shared" si="19"/>
        <v>5</v>
      </c>
      <c r="M59" s="269">
        <v>0</v>
      </c>
      <c r="N59" s="270">
        <v>3</v>
      </c>
      <c r="O59" s="175">
        <f t="shared" si="17"/>
        <v>0</v>
      </c>
      <c r="P59" s="175">
        <f>VALUE(J_normdate(J_ADDDAY($D59,$O59,1)))</f>
        <v>13980724</v>
      </c>
      <c r="Q59" s="171">
        <f t="shared" si="14"/>
        <v>5</v>
      </c>
      <c r="R59" s="271"/>
      <c r="S59" s="271"/>
      <c r="T59" s="271"/>
      <c r="U59" s="271"/>
      <c r="V59" s="271"/>
      <c r="W59" s="271"/>
      <c r="X59" s="271"/>
      <c r="Y59" s="271"/>
      <c r="Z59" s="271"/>
      <c r="AA59" s="271"/>
      <c r="AB59" s="271"/>
      <c r="AC59" s="271"/>
      <c r="AD59" s="271"/>
      <c r="AE59" s="271"/>
      <c r="AF59" s="271"/>
      <c r="AG59" s="271"/>
      <c r="AH59" s="271"/>
      <c r="AI59" s="271"/>
      <c r="AJ59" s="271"/>
      <c r="AK59" s="271"/>
      <c r="AL59" s="271"/>
      <c r="AM59" s="271"/>
      <c r="AN59" s="271"/>
      <c r="AO59" s="271"/>
      <c r="AP59" s="271"/>
      <c r="AQ59" s="271"/>
      <c r="AR59" s="271"/>
      <c r="AS59" s="271"/>
      <c r="AT59" s="271"/>
      <c r="AU59" s="271"/>
      <c r="AV59" s="271"/>
      <c r="AW59" s="271"/>
      <c r="AX59" s="271"/>
      <c r="AY59" s="271"/>
      <c r="AZ59" s="271"/>
      <c r="BA59" s="271"/>
      <c r="BB59" s="271"/>
      <c r="BC59" s="271"/>
      <c r="BD59" s="271"/>
      <c r="BE59" s="271"/>
      <c r="BF59" s="271"/>
      <c r="BG59" s="271"/>
      <c r="BH59" s="271"/>
      <c r="BI59" s="271"/>
      <c r="BJ59" s="271"/>
      <c r="BK59" s="271"/>
      <c r="BL59" s="271"/>
      <c r="BM59" s="271"/>
      <c r="BN59" s="271"/>
      <c r="BO59" s="271"/>
      <c r="BP59" s="271"/>
      <c r="BQ59" s="271"/>
      <c r="BR59" s="271"/>
      <c r="BS59" s="271"/>
      <c r="BT59" s="271"/>
      <c r="BU59" s="271"/>
      <c r="BV59" s="271"/>
      <c r="BW59" s="271"/>
      <c r="BX59" s="271"/>
      <c r="BY59" s="271"/>
      <c r="BZ59" s="271"/>
      <c r="CA59" s="271"/>
      <c r="CB59" s="271"/>
      <c r="CC59" s="271"/>
      <c r="CD59" s="271"/>
      <c r="CE59" s="271"/>
      <c r="CF59" s="271"/>
      <c r="CG59" s="271"/>
      <c r="CH59" s="271"/>
      <c r="CI59" s="271"/>
      <c r="CJ59" s="271"/>
      <c r="CK59" s="271"/>
      <c r="CL59" s="271"/>
      <c r="CM59" s="271"/>
      <c r="CN59" s="271"/>
      <c r="CO59" s="271"/>
      <c r="CP59" s="271"/>
      <c r="CQ59" s="271"/>
      <c r="CR59" s="271"/>
      <c r="CS59" s="271"/>
      <c r="CT59" s="271"/>
      <c r="CU59" s="271"/>
      <c r="CV59" s="271"/>
      <c r="CW59" s="271"/>
      <c r="CX59" s="271"/>
      <c r="CY59" s="271"/>
      <c r="CZ59" s="271"/>
      <c r="DA59" s="271"/>
      <c r="DB59" s="271"/>
      <c r="DC59" s="271"/>
      <c r="DD59" s="271"/>
      <c r="DE59" s="271"/>
      <c r="DF59" s="271"/>
      <c r="DG59" s="271"/>
      <c r="DH59" s="271"/>
      <c r="DI59" s="271"/>
      <c r="DJ59" s="271"/>
      <c r="DK59" s="271"/>
      <c r="DL59" s="271"/>
      <c r="DM59" s="271"/>
      <c r="DN59" s="271"/>
      <c r="DO59" s="271"/>
      <c r="DP59" s="271"/>
      <c r="DQ59" s="271"/>
      <c r="DR59" s="271"/>
      <c r="DS59" s="271"/>
      <c r="DT59" s="271"/>
      <c r="DU59" s="271"/>
      <c r="DV59" s="271"/>
      <c r="DW59" s="271"/>
      <c r="DX59" s="271"/>
      <c r="DY59" s="271"/>
      <c r="DZ59" s="271"/>
      <c r="EA59" s="271"/>
      <c r="EB59" s="271"/>
      <c r="EC59" s="271"/>
      <c r="ED59" s="271"/>
      <c r="EE59" s="271"/>
      <c r="EF59" s="271"/>
      <c r="EG59" s="271"/>
      <c r="EH59" s="271"/>
      <c r="EI59" s="271"/>
      <c r="EJ59" s="271"/>
      <c r="EK59" s="271"/>
      <c r="EL59" s="271"/>
      <c r="EM59" s="271"/>
      <c r="EN59" s="271"/>
      <c r="EO59" s="271"/>
      <c r="EP59" s="271"/>
      <c r="EQ59" s="271"/>
      <c r="ER59" s="271"/>
      <c r="ES59" s="271"/>
      <c r="ET59" s="271"/>
      <c r="EU59" s="271"/>
      <c r="EV59" s="271"/>
      <c r="EW59" s="271"/>
      <c r="EX59" s="271"/>
      <c r="EY59" s="271"/>
      <c r="EZ59" s="271"/>
      <c r="FA59" s="271"/>
      <c r="FB59" s="271"/>
      <c r="FC59" s="271"/>
      <c r="FD59" s="271"/>
      <c r="FE59" s="271"/>
      <c r="FF59" s="271"/>
      <c r="FG59" s="271"/>
      <c r="FH59" s="271"/>
      <c r="FI59" s="271"/>
      <c r="FJ59" s="271"/>
      <c r="FK59" s="271"/>
      <c r="FL59" s="271"/>
      <c r="FM59" s="271"/>
      <c r="FN59" s="271"/>
      <c r="FO59" s="271"/>
      <c r="FP59" s="271"/>
      <c r="FQ59" s="271"/>
      <c r="FR59" s="271"/>
      <c r="FS59" s="271"/>
      <c r="FT59" s="271"/>
      <c r="FU59" s="271"/>
      <c r="FV59" s="271"/>
      <c r="FW59" s="271"/>
      <c r="FX59" s="271"/>
      <c r="FY59" s="271"/>
      <c r="FZ59" s="271"/>
      <c r="GA59" s="271"/>
      <c r="GB59" s="271"/>
      <c r="GC59" s="271"/>
      <c r="GD59" s="271"/>
      <c r="GE59" s="271"/>
      <c r="GF59" s="271"/>
      <c r="GG59" s="271"/>
      <c r="GH59" s="271"/>
      <c r="GI59" s="271"/>
      <c r="GJ59" s="271"/>
      <c r="GK59" s="271"/>
      <c r="GL59" s="271"/>
      <c r="GM59" s="271"/>
      <c r="GN59" s="271"/>
      <c r="GO59" s="271"/>
      <c r="GP59" s="271"/>
      <c r="GQ59" s="271"/>
      <c r="GR59" s="271"/>
      <c r="GS59" s="271"/>
      <c r="GT59" s="271"/>
      <c r="GU59" s="271"/>
      <c r="GV59" s="271"/>
      <c r="GW59" s="271"/>
      <c r="GX59" s="271"/>
      <c r="GY59" s="271"/>
      <c r="GZ59" s="271"/>
      <c r="HA59" s="271"/>
      <c r="HB59" s="271"/>
      <c r="HC59" s="271"/>
      <c r="HD59" s="271"/>
      <c r="HE59" s="271"/>
      <c r="HF59" s="271"/>
      <c r="HG59" s="271"/>
      <c r="HH59" s="271"/>
      <c r="HI59" s="271"/>
      <c r="HJ59" s="271"/>
      <c r="HK59" s="271"/>
      <c r="HL59" s="271"/>
      <c r="HM59" s="271"/>
      <c r="HN59" s="271"/>
      <c r="HO59" s="271"/>
      <c r="HP59" s="271"/>
      <c r="HQ59" s="271"/>
      <c r="HR59" s="271"/>
      <c r="HS59" s="271"/>
      <c r="HT59" s="271"/>
      <c r="HU59" s="271"/>
      <c r="HV59" s="271"/>
      <c r="HW59" s="271"/>
      <c r="HX59" s="271"/>
      <c r="HY59" s="271"/>
      <c r="HZ59" s="271"/>
      <c r="IA59" s="271"/>
      <c r="IB59" s="271"/>
      <c r="IC59" s="271"/>
      <c r="ID59" s="271"/>
      <c r="IE59" s="271"/>
      <c r="IF59" s="271"/>
      <c r="IG59" s="271"/>
      <c r="IH59" s="271"/>
      <c r="II59" s="271"/>
      <c r="IJ59" s="271"/>
      <c r="IK59" s="271"/>
      <c r="IL59" s="271"/>
      <c r="IM59" s="271"/>
      <c r="IN59" s="271"/>
      <c r="IO59" s="271"/>
      <c r="IP59" s="271"/>
      <c r="IQ59" s="271"/>
      <c r="IR59" s="271"/>
      <c r="IS59" s="271"/>
      <c r="IT59" s="271"/>
      <c r="IU59" s="271"/>
      <c r="IV59" s="271"/>
      <c r="IW59" s="271"/>
      <c r="IX59" s="271"/>
      <c r="IY59" s="272">
        <v>3</v>
      </c>
      <c r="IZ59" s="273">
        <f>(TEXT(K59,"[m]")/60)*VLOOKUP(IY59,'Income Person-hours'!A$2:C$5,3,FALSE)</f>
        <v>0</v>
      </c>
      <c r="JA59" s="274"/>
      <c r="JB59" s="274"/>
      <c r="JC59" s="274"/>
      <c r="JD59" s="275">
        <f>SUM((TEXT(JA59,"[M]")/60)*'Income Person-hours'!$D$3,(TEXT(JB59,"[M]")/60)*'Income Person-hours'!$D$4,(TEXT(JC59,"[M]")/60)*'Income Person-hours'!$D$5)</f>
        <v>0</v>
      </c>
    </row>
    <row r="60" spans="1:16384" s="291" customFormat="1" ht="13.5">
      <c r="A60" s="262">
        <v>3.7</v>
      </c>
      <c r="B60" s="277" t="s">
        <v>163</v>
      </c>
      <c r="C60" s="263" t="s">
        <v>79</v>
      </c>
      <c r="D60" s="271" t="str">
        <f>IF(OR(j_WEEKDAY(J_ADDDAY(VLOOKUP(I60,A:F,6,FALSE),H60,1),0)=6,SUMIFS(Holieday[ok],Holieday[date],J_ADDDAY(VLOOKUP(I60,A:F,6,FALSE),H60,1)))=FALSE(),J_ADDDAY(VLOOKUP(I60,A:F,6,FALSE),H60,1),IF(OR(j_WEEKDAY(J_ADDDAY(VLOOKUP(I60,A:F,6,FALSE),H60+1,1),0)=6,SUMIFS(Holieday[ok],Holieday[date],J_ADDDAY(VLOOKUP(I60,A:F,6,FALSE),H60+1,1)))=FALSE(),J_ADDDAY(VLOOKUP(I60,A:F,6,FALSE),H60+1,1),IF(OR(j_WEEKDAY(J_ADDDAY(VLOOKUP(I60,A:F,6,FALSE),H60+2,1),0)=6,SUMIFS(Holieday[ok],Holieday[date],J_ADDDAY(VLOOKUP(I60,A:F,6,FALSE),H60+2,1)))=FALSE(),J_ADDDAY(VLOOKUP(I60,A:F,6,FALSE),H60+2,1),IF(OR(j_WEEKDAY(J_ADDDAY(VLOOKUP(I60,A:F,6,FALSE),H60+3,1),0)=6,SUMIFS(Holieday[ok],Holieday[date],J_ADDDAY(VLOOKUP(I60,A:F,6,FALSE),H60+3,1)))=FALSE(),J_ADDDAY(VLOOKUP(I60,A:F,6,FALSE),H60+3,1),IF(OR(j_WEEKDAY(J_ADDDAY(VLOOKUP(I60,A:F,6,FALSE),H60+4,1),0)=6,SUMIFS(Holieday[ok],Holieday[date],J_ADDDAY(VLOOKUP(I60,A:F,6,FALSE),H60+4,1)))=FALSE(),J_ADDDAY(VLOOKUP(I60,A:F,6,FALSE),H60+4,1),J_ADDDAY(VLOOKUP(I60,A:F,6,FALSE),H60+5,1))))))</f>
        <v>1398/07/29</v>
      </c>
      <c r="E60" s="1">
        <f t="shared" si="15"/>
        <v>13980729</v>
      </c>
      <c r="F60" s="280" t="str">
        <f>IF(N60=0,J_SUBDAY(D60,1,1),IF((N60-(NETWORKDAYS.INTL(J_GregorianDate(D60,1),J_GregorianDate(J_SUBDAY(J_ADDDAY(D60,N60,1),1,1),1),16,1)))+SUMIFS(Holieday[ok],Holieday[date],CONCATENATE("&gt;","=",D60),Holieday[date],CONCATENATE("&lt;","=",J_SUBDAY(J_ADDDAY(D60,N60,1),1,1)))-SUMIFS(Holieday[Friday],Holieday[date],CONCATENATE("&gt;","=",D60),Holieday[date],CONCATENATE("&lt;","=",J_SUBDAY(J_ADDDAY(D60,N60,1),1,1)))=0,J_SUBDAY(J_ADDDAY(D60,N60,1),1,1),IF((N60+1-(NETWORKDAYS.INTL(J_GregorianDate(D60,1),J_GregorianDate(J_SUBDAY(J_ADDDAY(D60,N60+1,1),1,1),1),16,1)))+SUMIFS(Holieday[ok],Holieday[date],CONCATENATE("&gt;","=",D60),Holieday[date],CONCATENATE("&lt;","=",J_SUBDAY(J_ADDDAY(D60,N60+1,1),1,1)))-SUMIFS(Holieday[Friday],Holieday[date],CONCATENATE("&gt;","=",D60),Holieday[date],CONCATENATE("&lt;","=",J_SUBDAY(J_ADDDAY(D60,N60+1,1),1,1)))=1,J_SUBDAY(J_ADDDAY(D60,N60+1,1),1,1),IF((N60+2-(NETWORKDAYS.INTL(J_GregorianDate(D60,1),J_GregorianDate(J_SUBDAY(J_ADDDAY(D60,N60+2,1),1,1),1),16,1)))+SUMIFS(Holieday[ok],Holieday[date],CONCATENATE("&gt;","=",D60),Holieday[date],CONCATENATE("&lt;","=",J_SUBDAY(J_ADDDAY(D60,N60+2,1),1,1)))-SUMIFS(Holieday[Friday],Holieday[date],CONCATENATE("&gt;","=",D60),Holieday[date],CONCATENATE("&lt;","=",J_SUBDAY(J_ADDDAY(D60,N60+2,1),1,1)))=2,J_SUBDAY(J_ADDDAY(D60,N60+2,1),1,1),IF((N60+3-(NETWORKDAYS.INTL(J_GregorianDate(D60,1),J_GregorianDate(J_SUBDAY(J_ADDDAY(D60,N60+3,1),1,1),1),16,1)))+SUMIFS(Holieday[ok],Holieday[date],CONCATENATE("&gt;","=",D60),Holieday[date],CONCATENATE("&lt;","=",J_SUBDAY(J_ADDDAY(D60,N60+3,1),1,1)))-SUMIFS(Holieday[Friday],Holieday[date],CONCATENATE("&gt;","=",D60),Holieday[date],CONCATENATE("&lt;","=",J_SUBDAY(J_ADDDAY(D60,N60+3,1),1,1)))=3,J_SUBDAY(J_ADDDAY(D60,N60+3,1),1,1),IF((N60+4-(NETWORKDAYS.INTL(J_GregorianDate(D60,1),J_GregorianDate(J_SUBDAY(J_ADDDAY(D60,N60+4,1),1,1),1),16,1)))+SUMIFS(Holieday[ok],Holieday[date],CONCATENATE("&gt;","=",D60),Holieday[date],CONCATENATE("&lt;","=",J_SUBDAY(J_ADDDAY(D60,N60+4,1),1,1)))-SUMIFS(Holieday[Friday],Holieday[date],CONCATENATE("&gt;","=",D60),Holieday[date],CONCATENATE("&lt;","=",J_SUBDAY(J_ADDDAY(D60,N60+4,1),1,1)))=4,J_SUBDAY(J_ADDDAY(D60,N60+4,1),1,1),IF((N60+5-(NETWORKDAYS.INTL(J_GregorianDate(D60,1),J_GregorianDate(J_SUBDAY(J_ADDDAY(D60,N60+5,1),1,1),1),16,1)))+SUMIFS(Holieday[ok],Holieday[date],CONCATENATE("&gt;","=",D60),Holieday[date],CONCATENATE("&lt;","=",J_SUBDAY(J_ADDDAY(D60,N60+5,1),1,1)))-SUMIFS(Holieday[Friday],Holieday[date],CONCATENATE("&gt;","=",D60),Holieday[date],CONCATENATE("&lt;","=",J_SUBDAY(J_ADDDAY(D60,N60+5,1),1,1)))=5,J_SUBDAY(J_ADDDAY(D60,N60+5,1),1,1),J_SUBDAY(J_ADDDAY(D60,N60+6,1),1,1))))))))</f>
        <v>1398/08/01</v>
      </c>
      <c r="G60" s="2">
        <f t="shared" si="16"/>
        <v>13980801</v>
      </c>
      <c r="H60" s="266">
        <v>1</v>
      </c>
      <c r="I60" s="267">
        <v>3.6</v>
      </c>
      <c r="J60" s="281">
        <f>j_WEEKDAY(D60,2)</f>
        <v>2</v>
      </c>
      <c r="K60" s="21">
        <f>SUM(JA60:JC60)</f>
        <v>0</v>
      </c>
      <c r="L60" s="282">
        <f t="shared" si="19"/>
        <v>3</v>
      </c>
      <c r="M60" s="269">
        <v>0</v>
      </c>
      <c r="N60" s="270">
        <v>3</v>
      </c>
      <c r="O60" s="10">
        <f t="shared" si="17"/>
        <v>0</v>
      </c>
      <c r="P60" s="10">
        <f>VALUE(J_normdate(J_ADDDAY($D60,$O60,1)))</f>
        <v>13980729</v>
      </c>
      <c r="Q60" s="9">
        <f t="shared" si="14"/>
        <v>3</v>
      </c>
      <c r="R60" s="283"/>
      <c r="S60" s="283"/>
      <c r="T60" s="283"/>
      <c r="U60" s="283"/>
      <c r="V60" s="283"/>
      <c r="W60" s="283"/>
      <c r="X60" s="283"/>
      <c r="Y60" s="283"/>
      <c r="Z60" s="283"/>
      <c r="AA60" s="283"/>
      <c r="AB60" s="283"/>
      <c r="AC60" s="283"/>
      <c r="AD60" s="283"/>
      <c r="AE60" s="283"/>
      <c r="AF60" s="283"/>
      <c r="AG60" s="283"/>
      <c r="AH60" s="283"/>
      <c r="AI60" s="283"/>
      <c r="AJ60" s="283"/>
      <c r="AK60" s="283"/>
      <c r="AL60" s="283"/>
      <c r="AM60" s="283"/>
      <c r="AN60" s="283"/>
      <c r="AO60" s="283"/>
      <c r="AP60" s="283"/>
      <c r="AQ60" s="283"/>
      <c r="AR60" s="283"/>
      <c r="AS60" s="283"/>
      <c r="AT60" s="283"/>
      <c r="AU60" s="283"/>
      <c r="AV60" s="283"/>
      <c r="AW60" s="283"/>
      <c r="AX60" s="283"/>
      <c r="AY60" s="283"/>
      <c r="AZ60" s="283"/>
      <c r="BA60" s="283"/>
      <c r="BB60" s="283"/>
      <c r="BC60" s="283"/>
      <c r="BD60" s="283"/>
      <c r="BE60" s="283"/>
      <c r="BF60" s="283"/>
      <c r="BG60" s="283"/>
      <c r="BH60" s="283"/>
      <c r="BI60" s="283"/>
      <c r="BJ60" s="283"/>
      <c r="BK60" s="283"/>
      <c r="BL60" s="283"/>
      <c r="BM60" s="283"/>
      <c r="BN60" s="283"/>
      <c r="BO60" s="283"/>
      <c r="BP60" s="283"/>
      <c r="BQ60" s="283"/>
      <c r="BR60" s="283"/>
      <c r="BS60" s="283"/>
      <c r="BT60" s="283"/>
      <c r="BU60" s="283"/>
      <c r="BV60" s="283"/>
      <c r="BW60" s="283"/>
      <c r="BX60" s="283"/>
      <c r="BY60" s="283"/>
      <c r="BZ60" s="283"/>
      <c r="CA60" s="283"/>
      <c r="CB60" s="283"/>
      <c r="CC60" s="283"/>
      <c r="CD60" s="283"/>
      <c r="CE60" s="283"/>
      <c r="CF60" s="283"/>
      <c r="CG60" s="283"/>
      <c r="CH60" s="283"/>
      <c r="CI60" s="283"/>
      <c r="CJ60" s="283"/>
      <c r="CK60" s="283"/>
      <c r="CL60" s="283"/>
      <c r="CM60" s="283"/>
      <c r="CN60" s="283"/>
      <c r="CO60" s="283"/>
      <c r="CP60" s="283"/>
      <c r="CQ60" s="283"/>
      <c r="CR60" s="283"/>
      <c r="CS60" s="283"/>
      <c r="CT60" s="283"/>
      <c r="CU60" s="283"/>
      <c r="CV60" s="283"/>
      <c r="CW60" s="283"/>
      <c r="CX60" s="283"/>
      <c r="CY60" s="283"/>
      <c r="CZ60" s="283"/>
      <c r="DA60" s="283"/>
      <c r="DB60" s="283"/>
      <c r="DC60" s="283"/>
      <c r="DD60" s="283"/>
      <c r="DE60" s="283"/>
      <c r="DF60" s="283"/>
      <c r="DG60" s="283"/>
      <c r="DH60" s="283"/>
      <c r="DI60" s="283"/>
      <c r="DJ60" s="283"/>
      <c r="DK60" s="283"/>
      <c r="DL60" s="283"/>
      <c r="DM60" s="283"/>
      <c r="DN60" s="283"/>
      <c r="DO60" s="283"/>
      <c r="DP60" s="283"/>
      <c r="DQ60" s="283"/>
      <c r="DR60" s="283"/>
      <c r="DS60" s="283"/>
      <c r="DT60" s="283"/>
      <c r="DU60" s="283"/>
      <c r="DV60" s="283"/>
      <c r="DW60" s="283"/>
      <c r="DX60" s="283"/>
      <c r="DY60" s="283"/>
      <c r="DZ60" s="283"/>
      <c r="EA60" s="283"/>
      <c r="EB60" s="283"/>
      <c r="EC60" s="283"/>
      <c r="ED60" s="283"/>
      <c r="EE60" s="283"/>
      <c r="EF60" s="283"/>
      <c r="EG60" s="283"/>
      <c r="EH60" s="283"/>
      <c r="EI60" s="283"/>
      <c r="EJ60" s="283"/>
      <c r="EK60" s="283"/>
      <c r="EL60" s="283"/>
      <c r="EM60" s="283"/>
      <c r="EN60" s="283"/>
      <c r="EO60" s="283"/>
      <c r="EP60" s="283"/>
      <c r="EQ60" s="283"/>
      <c r="ER60" s="283"/>
      <c r="ES60" s="283"/>
      <c r="ET60" s="283"/>
      <c r="EU60" s="283"/>
      <c r="EV60" s="283"/>
      <c r="EW60" s="283"/>
      <c r="EX60" s="283"/>
      <c r="EY60" s="283"/>
      <c r="EZ60" s="283"/>
      <c r="FA60" s="283"/>
      <c r="FB60" s="283"/>
      <c r="FC60" s="283"/>
      <c r="FD60" s="283"/>
      <c r="FE60" s="283"/>
      <c r="FF60" s="283"/>
      <c r="FG60" s="283"/>
      <c r="FH60" s="283"/>
      <c r="FI60" s="283"/>
      <c r="FJ60" s="283"/>
      <c r="FK60" s="283"/>
      <c r="FL60" s="283"/>
      <c r="FM60" s="283"/>
      <c r="FN60" s="283"/>
      <c r="FO60" s="283"/>
      <c r="FP60" s="283"/>
      <c r="FQ60" s="283"/>
      <c r="FR60" s="283"/>
      <c r="FS60" s="283"/>
      <c r="FT60" s="283"/>
      <c r="FU60" s="283"/>
      <c r="FV60" s="283"/>
      <c r="FW60" s="283"/>
      <c r="FX60" s="283"/>
      <c r="FY60" s="283"/>
      <c r="FZ60" s="283"/>
      <c r="GA60" s="283"/>
      <c r="GB60" s="283"/>
      <c r="GC60" s="283"/>
      <c r="GD60" s="283"/>
      <c r="GE60" s="283"/>
      <c r="GF60" s="283"/>
      <c r="GG60" s="283"/>
      <c r="GH60" s="283"/>
      <c r="GI60" s="283"/>
      <c r="GJ60" s="283"/>
      <c r="GK60" s="283"/>
      <c r="GL60" s="283"/>
      <c r="GM60" s="283"/>
      <c r="GN60" s="283"/>
      <c r="GO60" s="283"/>
      <c r="GP60" s="283"/>
      <c r="GQ60" s="283"/>
      <c r="GR60" s="283"/>
      <c r="GS60" s="283"/>
      <c r="GT60" s="283"/>
      <c r="GU60" s="283"/>
      <c r="GV60" s="283"/>
      <c r="GW60" s="283"/>
      <c r="GX60" s="283"/>
      <c r="GY60" s="283"/>
      <c r="GZ60" s="283"/>
      <c r="HA60" s="283"/>
      <c r="HB60" s="283"/>
      <c r="HC60" s="283"/>
      <c r="HD60" s="283"/>
      <c r="HE60" s="283"/>
      <c r="HF60" s="283"/>
      <c r="HG60" s="283"/>
      <c r="HH60" s="283"/>
      <c r="HI60" s="283"/>
      <c r="HJ60" s="283"/>
      <c r="HK60" s="283"/>
      <c r="HL60" s="283"/>
      <c r="HM60" s="283"/>
      <c r="HN60" s="283"/>
      <c r="HO60" s="283"/>
      <c r="HP60" s="283"/>
      <c r="HQ60" s="283"/>
      <c r="HR60" s="283"/>
      <c r="HS60" s="283"/>
      <c r="HT60" s="283"/>
      <c r="HU60" s="283"/>
      <c r="HV60" s="283"/>
      <c r="HW60" s="283"/>
      <c r="HX60" s="283"/>
      <c r="HY60" s="283"/>
      <c r="HZ60" s="283"/>
      <c r="IA60" s="283"/>
      <c r="IB60" s="283"/>
      <c r="IC60" s="283"/>
      <c r="ID60" s="283"/>
      <c r="IE60" s="283"/>
      <c r="IF60" s="283"/>
      <c r="IG60" s="283"/>
      <c r="IH60" s="283"/>
      <c r="II60" s="283"/>
      <c r="IJ60" s="283"/>
      <c r="IK60" s="283"/>
      <c r="IL60" s="283"/>
      <c r="IM60" s="283"/>
      <c r="IN60" s="283"/>
      <c r="IO60" s="283"/>
      <c r="IP60" s="283"/>
      <c r="IQ60" s="283"/>
      <c r="IR60" s="283"/>
      <c r="IS60" s="283"/>
      <c r="IT60" s="283"/>
      <c r="IU60" s="283"/>
      <c r="IV60" s="283"/>
      <c r="IW60" s="283"/>
      <c r="IX60" s="283"/>
      <c r="IY60" s="272">
        <v>1</v>
      </c>
      <c r="IZ60" s="272"/>
      <c r="JA60" s="274"/>
      <c r="JB60" s="274"/>
      <c r="JC60" s="274"/>
      <c r="JD60" s="290">
        <f>SUM((TEXT(JA60,"[M]")/60)*'Income Person-hours'!$D$3,(TEXT(JB60,"[M]")/60)*'Income Person-hours'!$D$4,(TEXT(JC60,"[M]")/60)*'Income Person-hours'!$D$5)</f>
        <v>0</v>
      </c>
    </row>
    <row r="61" spans="1:16384" s="291" customFormat="1" ht="13.5">
      <c r="A61" s="288">
        <v>3.8</v>
      </c>
      <c r="B61" s="277" t="s">
        <v>132</v>
      </c>
      <c r="C61" s="263" t="s">
        <v>111</v>
      </c>
      <c r="D61" s="271" t="str">
        <f>IF(OR(j_WEEKDAY(J_ADDDAY(VLOOKUP(I61,A:F,6,FALSE),H61,1),0)=6,SUMIFS(Holieday[ok],Holieday[date],J_ADDDAY(VLOOKUP(I61,A:F,6,FALSE),H61,1)))=FALSE(),J_ADDDAY(VLOOKUP(I61,A:F,6,FALSE),H61,1),IF(OR(j_WEEKDAY(J_ADDDAY(VLOOKUP(I61,A:F,6,FALSE),H61+1,1),0)=6,SUMIFS(Holieday[ok],Holieday[date],J_ADDDAY(VLOOKUP(I61,A:F,6,FALSE),H61+1,1)))=FALSE(),J_ADDDAY(VLOOKUP(I61,A:F,6,FALSE),H61+1,1),IF(OR(j_WEEKDAY(J_ADDDAY(VLOOKUP(I61,A:F,6,FALSE),H61+2,1),0)=6,SUMIFS(Holieday[ok],Holieday[date],J_ADDDAY(VLOOKUP(I61,A:F,6,FALSE),H61+2,1)))=FALSE(),J_ADDDAY(VLOOKUP(I61,A:F,6,FALSE),H61+2,1),IF(OR(j_WEEKDAY(J_ADDDAY(VLOOKUP(I61,A:F,6,FALSE),H61+3,1),0)=6,SUMIFS(Holieday[ok],Holieday[date],J_ADDDAY(VLOOKUP(I61,A:F,6,FALSE),H61+3,1)))=FALSE(),J_ADDDAY(VLOOKUP(I61,A:F,6,FALSE),H61+3,1),IF(OR(j_WEEKDAY(J_ADDDAY(VLOOKUP(I61,A:F,6,FALSE),H61+4,1),0)=6,SUMIFS(Holieday[ok],Holieday[date],J_ADDDAY(VLOOKUP(I61,A:F,6,FALSE),H61+4,1)))=FALSE(),J_ADDDAY(VLOOKUP(I61,A:F,6,FALSE),H61+4,1),J_ADDDAY(VLOOKUP(I61,A:F,6,FALSE),H61+5,1))))))</f>
        <v>1398/07/08</v>
      </c>
      <c r="E61" s="1"/>
      <c r="F61" s="280" t="str">
        <f>IF(N61=0,J_SUBDAY(D61,1,1),IF((N61-(NETWORKDAYS.INTL(J_GregorianDate(D61,1),J_GregorianDate(J_SUBDAY(J_ADDDAY(D61,N61,1),1,1),1),16,1)))+SUMIFS(Holieday[ok],Holieday[date],CONCATENATE("&gt;","=",D61),Holieday[date],CONCATENATE("&lt;","=",J_SUBDAY(J_ADDDAY(D61,N61,1),1,1)))-SUMIFS(Holieday[Friday],Holieday[date],CONCATENATE("&gt;","=",D61),Holieday[date],CONCATENATE("&lt;","=",J_SUBDAY(J_ADDDAY(D61,N61,1),1,1)))=0,J_SUBDAY(J_ADDDAY(D61,N61,1),1,1),IF((N61+1-(NETWORKDAYS.INTL(J_GregorianDate(D61,1),J_GregorianDate(J_SUBDAY(J_ADDDAY(D61,N61+1,1),1,1),1),16,1)))+SUMIFS(Holieday[ok],Holieday[date],CONCATENATE("&gt;","=",D61),Holieday[date],CONCATENATE("&lt;","=",J_SUBDAY(J_ADDDAY(D61,N61+1,1),1,1)))-SUMIFS(Holieday[Friday],Holieday[date],CONCATENATE("&gt;","=",D61),Holieday[date],CONCATENATE("&lt;","=",J_SUBDAY(J_ADDDAY(D61,N61+1,1),1,1)))=1,J_SUBDAY(J_ADDDAY(D61,N61+1,1),1,1),IF((N61+2-(NETWORKDAYS.INTL(J_GregorianDate(D61,1),J_GregorianDate(J_SUBDAY(J_ADDDAY(D61,N61+2,1),1,1),1),16,1)))+SUMIFS(Holieday[ok],Holieday[date],CONCATENATE("&gt;","=",D61),Holieday[date],CONCATENATE("&lt;","=",J_SUBDAY(J_ADDDAY(D61,N61+2,1),1,1)))-SUMIFS(Holieday[Friday],Holieday[date],CONCATENATE("&gt;","=",D61),Holieday[date],CONCATENATE("&lt;","=",J_SUBDAY(J_ADDDAY(D61,N61+2,1),1,1)))=2,J_SUBDAY(J_ADDDAY(D61,N61+2,1),1,1),IF((N61+3-(NETWORKDAYS.INTL(J_GregorianDate(D61,1),J_GregorianDate(J_SUBDAY(J_ADDDAY(D61,N61+3,1),1,1),1),16,1)))+SUMIFS(Holieday[ok],Holieday[date],CONCATENATE("&gt;","=",D61),Holieday[date],CONCATENATE("&lt;","=",J_SUBDAY(J_ADDDAY(D61,N61+3,1),1,1)))-SUMIFS(Holieday[Friday],Holieday[date],CONCATENATE("&gt;","=",D61),Holieday[date],CONCATENATE("&lt;","=",J_SUBDAY(J_ADDDAY(D61,N61+3,1),1,1)))=3,J_SUBDAY(J_ADDDAY(D61,N61+3,1),1,1),IF((N61+4-(NETWORKDAYS.INTL(J_GregorianDate(D61,1),J_GregorianDate(J_SUBDAY(J_ADDDAY(D61,N61+4,1),1,1),1),16,1)))+SUMIFS(Holieday[ok],Holieday[date],CONCATENATE("&gt;","=",D61),Holieday[date],CONCATENATE("&lt;","=",J_SUBDAY(J_ADDDAY(D61,N61+4,1),1,1)))-SUMIFS(Holieday[Friday],Holieday[date],CONCATENATE("&gt;","=",D61),Holieday[date],CONCATENATE("&lt;","=",J_SUBDAY(J_ADDDAY(D61,N61+4,1),1,1)))=4,J_SUBDAY(J_ADDDAY(D61,N61+4,1),1,1),IF((N61+5-(NETWORKDAYS.INTL(J_GregorianDate(D61,1),J_GregorianDate(J_SUBDAY(J_ADDDAY(D61,N61+5,1),1,1),1),16,1)))+SUMIFS(Holieday[ok],Holieday[date],CONCATENATE("&gt;","=",D61),Holieday[date],CONCATENATE("&lt;","=",J_SUBDAY(J_ADDDAY(D61,N61+5,1),1,1)))-SUMIFS(Holieday[Friday],Holieday[date],CONCATENATE("&gt;","=",D61),Holieday[date],CONCATENATE("&lt;","=",J_SUBDAY(J_ADDDAY(D61,N61+5,1),1,1)))=5,J_SUBDAY(J_ADDDAY(D61,N61+5,1),1,1),J_SUBDAY(J_ADDDAY(D61,N61+6,1),1,1))))))))</f>
        <v>1398/08/08</v>
      </c>
      <c r="G61" s="2"/>
      <c r="H61" s="266">
        <v>8</v>
      </c>
      <c r="I61" s="267">
        <v>1.1000000000000001</v>
      </c>
      <c r="J61" s="281">
        <f>j_WEEKDAY(D61,2)</f>
        <v>2</v>
      </c>
      <c r="K61" s="21"/>
      <c r="L61" s="282">
        <f t="shared" si="19"/>
        <v>31</v>
      </c>
      <c r="M61" s="269">
        <v>0</v>
      </c>
      <c r="N61" s="270">
        <v>25</v>
      </c>
      <c r="O61" s="10"/>
      <c r="P61" s="10"/>
      <c r="Q61" s="9"/>
      <c r="R61" s="283"/>
      <c r="S61" s="283"/>
      <c r="T61" s="283"/>
      <c r="U61" s="283"/>
      <c r="V61" s="283"/>
      <c r="W61" s="283"/>
      <c r="X61" s="283"/>
      <c r="Y61" s="283"/>
      <c r="Z61" s="283"/>
      <c r="AA61" s="283"/>
      <c r="AB61" s="283"/>
      <c r="AC61" s="283"/>
      <c r="AD61" s="283"/>
      <c r="AE61" s="283"/>
      <c r="AF61" s="283"/>
      <c r="AG61" s="283"/>
      <c r="AH61" s="283"/>
      <c r="AI61" s="283"/>
      <c r="AJ61" s="283"/>
      <c r="AK61" s="283"/>
      <c r="AL61" s="283"/>
      <c r="AM61" s="283"/>
      <c r="AN61" s="283"/>
      <c r="AO61" s="283"/>
      <c r="AP61" s="283"/>
      <c r="AQ61" s="283"/>
      <c r="AR61" s="283"/>
      <c r="AS61" s="283"/>
      <c r="AT61" s="283"/>
      <c r="AU61" s="283"/>
      <c r="AV61" s="283"/>
      <c r="AW61" s="283"/>
      <c r="AX61" s="283"/>
      <c r="AY61" s="283"/>
      <c r="AZ61" s="283"/>
      <c r="BA61" s="283"/>
      <c r="BB61" s="283"/>
      <c r="BC61" s="283"/>
      <c r="BD61" s="283"/>
      <c r="BE61" s="283"/>
      <c r="BF61" s="283"/>
      <c r="BG61" s="283"/>
      <c r="BH61" s="283"/>
      <c r="BI61" s="283"/>
      <c r="BJ61" s="283"/>
      <c r="BK61" s="283"/>
      <c r="BL61" s="283"/>
      <c r="BM61" s="283"/>
      <c r="BN61" s="283"/>
      <c r="BO61" s="283"/>
      <c r="BP61" s="283"/>
      <c r="BQ61" s="283"/>
      <c r="BR61" s="283"/>
      <c r="BS61" s="283"/>
      <c r="BT61" s="283"/>
      <c r="BU61" s="283"/>
      <c r="BV61" s="283"/>
      <c r="BW61" s="283"/>
      <c r="BX61" s="283"/>
      <c r="BY61" s="283"/>
      <c r="BZ61" s="283"/>
      <c r="CA61" s="283"/>
      <c r="CB61" s="283"/>
      <c r="CC61" s="283"/>
      <c r="CD61" s="283"/>
      <c r="CE61" s="283"/>
      <c r="CF61" s="283"/>
      <c r="CG61" s="283"/>
      <c r="CH61" s="283"/>
      <c r="CI61" s="283"/>
      <c r="CJ61" s="283"/>
      <c r="CK61" s="283"/>
      <c r="CL61" s="283"/>
      <c r="CM61" s="283"/>
      <c r="CN61" s="283"/>
      <c r="CO61" s="283"/>
      <c r="CP61" s="283"/>
      <c r="CQ61" s="283"/>
      <c r="CR61" s="283"/>
      <c r="CS61" s="283"/>
      <c r="CT61" s="283"/>
      <c r="CU61" s="283"/>
      <c r="CV61" s="283"/>
      <c r="CW61" s="283"/>
      <c r="CX61" s="283"/>
      <c r="CY61" s="283"/>
      <c r="CZ61" s="283"/>
      <c r="DA61" s="283"/>
      <c r="DB61" s="283"/>
      <c r="DC61" s="283"/>
      <c r="DD61" s="283"/>
      <c r="DE61" s="283"/>
      <c r="DF61" s="283"/>
      <c r="DG61" s="283"/>
      <c r="DH61" s="283"/>
      <c r="DI61" s="283"/>
      <c r="DJ61" s="283"/>
      <c r="DK61" s="283"/>
      <c r="DL61" s="283"/>
      <c r="DM61" s="283"/>
      <c r="DN61" s="283"/>
      <c r="DO61" s="283"/>
      <c r="DP61" s="283"/>
      <c r="DQ61" s="283"/>
      <c r="DR61" s="283"/>
      <c r="DS61" s="283"/>
      <c r="DT61" s="283"/>
      <c r="DU61" s="283"/>
      <c r="DV61" s="283"/>
      <c r="DW61" s="283"/>
      <c r="DX61" s="283"/>
      <c r="DY61" s="283"/>
      <c r="DZ61" s="283"/>
      <c r="EA61" s="283"/>
      <c r="EB61" s="283"/>
      <c r="EC61" s="283"/>
      <c r="ED61" s="283"/>
      <c r="EE61" s="283"/>
      <c r="EF61" s="283"/>
      <c r="EG61" s="283"/>
      <c r="EH61" s="283"/>
      <c r="EI61" s="283"/>
      <c r="EJ61" s="283"/>
      <c r="EK61" s="283"/>
      <c r="EL61" s="283"/>
      <c r="EM61" s="283"/>
      <c r="EN61" s="283"/>
      <c r="EO61" s="283"/>
      <c r="EP61" s="283"/>
      <c r="EQ61" s="283"/>
      <c r="ER61" s="283"/>
      <c r="ES61" s="283"/>
      <c r="ET61" s="283"/>
      <c r="EU61" s="283"/>
      <c r="EV61" s="283"/>
      <c r="EW61" s="283"/>
      <c r="EX61" s="283"/>
      <c r="EY61" s="283"/>
      <c r="EZ61" s="283"/>
      <c r="FA61" s="283"/>
      <c r="FB61" s="283"/>
      <c r="FC61" s="283"/>
      <c r="FD61" s="283"/>
      <c r="FE61" s="283"/>
      <c r="FF61" s="283"/>
      <c r="FG61" s="283"/>
      <c r="FH61" s="283"/>
      <c r="FI61" s="283"/>
      <c r="FJ61" s="283"/>
      <c r="FK61" s="283"/>
      <c r="FL61" s="283"/>
      <c r="FM61" s="283"/>
      <c r="FN61" s="283"/>
      <c r="FO61" s="283"/>
      <c r="FP61" s="283"/>
      <c r="FQ61" s="283"/>
      <c r="FR61" s="283"/>
      <c r="FS61" s="283"/>
      <c r="FT61" s="283"/>
      <c r="FU61" s="283"/>
      <c r="FV61" s="283"/>
      <c r="FW61" s="283"/>
      <c r="FX61" s="283"/>
      <c r="FY61" s="283"/>
      <c r="FZ61" s="283"/>
      <c r="GA61" s="283"/>
      <c r="GB61" s="283"/>
      <c r="GC61" s="283"/>
      <c r="GD61" s="283"/>
      <c r="GE61" s="283"/>
      <c r="GF61" s="283"/>
      <c r="GG61" s="283"/>
      <c r="GH61" s="283"/>
      <c r="GI61" s="283"/>
      <c r="GJ61" s="283"/>
      <c r="GK61" s="283"/>
      <c r="GL61" s="283"/>
      <c r="GM61" s="283"/>
      <c r="GN61" s="283"/>
      <c r="GO61" s="283"/>
      <c r="GP61" s="283"/>
      <c r="GQ61" s="283"/>
      <c r="GR61" s="283"/>
      <c r="GS61" s="283"/>
      <c r="GT61" s="283"/>
      <c r="GU61" s="283"/>
      <c r="GV61" s="283"/>
      <c r="GW61" s="283"/>
      <c r="GX61" s="283"/>
      <c r="GY61" s="283"/>
      <c r="GZ61" s="283"/>
      <c r="HA61" s="283"/>
      <c r="HB61" s="283"/>
      <c r="HC61" s="283"/>
      <c r="HD61" s="283"/>
      <c r="HE61" s="283"/>
      <c r="HF61" s="283"/>
      <c r="HG61" s="283"/>
      <c r="HH61" s="283"/>
      <c r="HI61" s="283"/>
      <c r="HJ61" s="283"/>
      <c r="HK61" s="283"/>
      <c r="HL61" s="283"/>
      <c r="HM61" s="283"/>
      <c r="HN61" s="283"/>
      <c r="HO61" s="283"/>
      <c r="HP61" s="283"/>
      <c r="HQ61" s="283"/>
      <c r="HR61" s="283"/>
      <c r="HS61" s="283"/>
      <c r="HT61" s="283"/>
      <c r="HU61" s="283"/>
      <c r="HV61" s="283"/>
      <c r="HW61" s="283"/>
      <c r="HX61" s="283"/>
      <c r="HY61" s="283"/>
      <c r="HZ61" s="283"/>
      <c r="IA61" s="283"/>
      <c r="IB61" s="283"/>
      <c r="IC61" s="283"/>
      <c r="ID61" s="283"/>
      <c r="IE61" s="283"/>
      <c r="IF61" s="283"/>
      <c r="IG61" s="283"/>
      <c r="IH61" s="283"/>
      <c r="II61" s="283"/>
      <c r="IJ61" s="283"/>
      <c r="IK61" s="283"/>
      <c r="IL61" s="283"/>
      <c r="IM61" s="283"/>
      <c r="IN61" s="283"/>
      <c r="IO61" s="283"/>
      <c r="IP61" s="283"/>
      <c r="IQ61" s="283"/>
      <c r="IR61" s="283"/>
      <c r="IS61" s="283"/>
      <c r="IT61" s="283"/>
      <c r="IU61" s="283"/>
      <c r="IV61" s="283"/>
      <c r="IW61" s="283"/>
      <c r="IX61" s="283"/>
      <c r="IY61" s="272"/>
      <c r="IZ61" s="272"/>
      <c r="JA61" s="274"/>
      <c r="JB61" s="274"/>
      <c r="JC61" s="274"/>
      <c r="JD61" s="290"/>
    </row>
    <row r="62" spans="1:16384" s="283" customFormat="1" ht="13.5">
      <c r="A62" s="279">
        <v>3.9</v>
      </c>
      <c r="B62" s="277" t="s">
        <v>159</v>
      </c>
      <c r="C62" s="263" t="s">
        <v>79</v>
      </c>
      <c r="D62" s="271" t="str">
        <f>IF(OR(j_WEEKDAY(J_ADDDAY(VLOOKUP(I62,A:F,6,FALSE),H62,1),0)=6,SUMIFS(Holieday[ok],Holieday[date],J_ADDDAY(VLOOKUP(I62,A:F,6,FALSE),H62,1)))=FALSE(),J_ADDDAY(VLOOKUP(I62,A:F,6,FALSE),H62,1),IF(OR(j_WEEKDAY(J_ADDDAY(VLOOKUP(I62,A:F,6,FALSE),H62+1,1),0)=6,SUMIFS(Holieday[ok],Holieday[date],J_ADDDAY(VLOOKUP(I62,A:F,6,FALSE),H62+1,1)))=FALSE(),J_ADDDAY(VLOOKUP(I62,A:F,6,FALSE),H62+1,1),IF(OR(j_WEEKDAY(J_ADDDAY(VLOOKUP(I62,A:F,6,FALSE),H62+2,1),0)=6,SUMIFS(Holieday[ok],Holieday[date],J_ADDDAY(VLOOKUP(I62,A:F,6,FALSE),H62+2,1)))=FALSE(),J_ADDDAY(VLOOKUP(I62,A:F,6,FALSE),H62+2,1),IF(OR(j_WEEKDAY(J_ADDDAY(VLOOKUP(I62,A:F,6,FALSE),H62+3,1),0)=6,SUMIFS(Holieday[ok],Holieday[date],J_ADDDAY(VLOOKUP(I62,A:F,6,FALSE),H62+3,1)))=FALSE(),J_ADDDAY(VLOOKUP(I62,A:F,6,FALSE),H62+3,1),IF(OR(j_WEEKDAY(J_ADDDAY(VLOOKUP(I62,A:F,6,FALSE),H62+4,1),0)=6,SUMIFS(Holieday[ok],Holieday[date],J_ADDDAY(VLOOKUP(I62,A:F,6,FALSE),H62+4,1)))=FALSE(),J_ADDDAY(VLOOKUP(I62,A:F,6,FALSE),H62+4,1),J_ADDDAY(VLOOKUP(I62,A:F,6,FALSE),H62+5,1))))))</f>
        <v>1398/07/10</v>
      </c>
      <c r="E62" s="1">
        <f t="shared" si="15"/>
        <v>13980710</v>
      </c>
      <c r="F62" s="280" t="str">
        <f>IF(N62=0,J_SUBDAY(D62,1,1),IF((N62-(NETWORKDAYS.INTL(J_GregorianDate(D62,1),J_GregorianDate(J_SUBDAY(J_ADDDAY(D62,N62,1),1,1),1),16,1)))+SUMIFS(Holieday[ok],Holieday[date],CONCATENATE("&gt;","=",D62),Holieday[date],CONCATENATE("&lt;","=",J_SUBDAY(J_ADDDAY(D62,N62,1),1,1)))-SUMIFS(Holieday[Friday],Holieday[date],CONCATENATE("&gt;","=",D62),Holieday[date],CONCATENATE("&lt;","=",J_SUBDAY(J_ADDDAY(D62,N62,1),1,1)))=0,J_SUBDAY(J_ADDDAY(D62,N62,1),1,1),IF((N62+1-(NETWORKDAYS.INTL(J_GregorianDate(D62,1),J_GregorianDate(J_SUBDAY(J_ADDDAY(D62,N62+1,1),1,1),1),16,1)))+SUMIFS(Holieday[ok],Holieday[date],CONCATENATE("&gt;","=",D62),Holieday[date],CONCATENATE("&lt;","=",J_SUBDAY(J_ADDDAY(D62,N62+1,1),1,1)))-SUMIFS(Holieday[Friday],Holieday[date],CONCATENATE("&gt;","=",D62),Holieday[date],CONCATENATE("&lt;","=",J_SUBDAY(J_ADDDAY(D62,N62+1,1),1,1)))=1,J_SUBDAY(J_ADDDAY(D62,N62+1,1),1,1),IF((N62+2-(NETWORKDAYS.INTL(J_GregorianDate(D62,1),J_GregorianDate(J_SUBDAY(J_ADDDAY(D62,N62+2,1),1,1),1),16,1)))+SUMIFS(Holieday[ok],Holieday[date],CONCATENATE("&gt;","=",D62),Holieday[date],CONCATENATE("&lt;","=",J_SUBDAY(J_ADDDAY(D62,N62+2,1),1,1)))-SUMIFS(Holieday[Friday],Holieday[date],CONCATENATE("&gt;","=",D62),Holieday[date],CONCATENATE("&lt;","=",J_SUBDAY(J_ADDDAY(D62,N62+2,1),1,1)))=2,J_SUBDAY(J_ADDDAY(D62,N62+2,1),1,1),IF((N62+3-(NETWORKDAYS.INTL(J_GregorianDate(D62,1),J_GregorianDate(J_SUBDAY(J_ADDDAY(D62,N62+3,1),1,1),1),16,1)))+SUMIFS(Holieday[ok],Holieday[date],CONCATENATE("&gt;","=",D62),Holieday[date],CONCATENATE("&lt;","=",J_SUBDAY(J_ADDDAY(D62,N62+3,1),1,1)))-SUMIFS(Holieday[Friday],Holieday[date],CONCATENATE("&gt;","=",D62),Holieday[date],CONCATENATE("&lt;","=",J_SUBDAY(J_ADDDAY(D62,N62+3,1),1,1)))=3,J_SUBDAY(J_ADDDAY(D62,N62+3,1),1,1),IF((N62+4-(NETWORKDAYS.INTL(J_GregorianDate(D62,1),J_GregorianDate(J_SUBDAY(J_ADDDAY(D62,N62+4,1),1,1),1),16,1)))+SUMIFS(Holieday[ok],Holieday[date],CONCATENATE("&gt;","=",D62),Holieday[date],CONCATENATE("&lt;","=",J_SUBDAY(J_ADDDAY(D62,N62+4,1),1,1)))-SUMIFS(Holieday[Friday],Holieday[date],CONCATENATE("&gt;","=",D62),Holieday[date],CONCATENATE("&lt;","=",J_SUBDAY(J_ADDDAY(D62,N62+4,1),1,1)))=4,J_SUBDAY(J_ADDDAY(D62,N62+4,1),1,1),IF((N62+5-(NETWORKDAYS.INTL(J_GregorianDate(D62,1),J_GregorianDate(J_SUBDAY(J_ADDDAY(D62,N62+5,1),1,1),1),16,1)))+SUMIFS(Holieday[ok],Holieday[date],CONCATENATE("&gt;","=",D62),Holieday[date],CONCATENATE("&lt;","=",J_SUBDAY(J_ADDDAY(D62,N62+5,1),1,1)))-SUMIFS(Holieday[Friday],Holieday[date],CONCATENATE("&gt;","=",D62),Holieday[date],CONCATENATE("&lt;","=",J_SUBDAY(J_ADDDAY(D62,N62+5,1),1,1)))=5,J_SUBDAY(J_ADDDAY(D62,N62+5,1),1,1),J_SUBDAY(J_ADDDAY(D62,N62+6,1),1,1))))))))</f>
        <v>1398/08/10</v>
      </c>
      <c r="G62" s="2">
        <f t="shared" si="16"/>
        <v>13980810</v>
      </c>
      <c r="H62" s="266">
        <v>10</v>
      </c>
      <c r="I62" s="267">
        <v>1.1000000000000001</v>
      </c>
      <c r="J62" s="281">
        <f>j_WEEKDAY(D62,2)</f>
        <v>4</v>
      </c>
      <c r="K62" s="21">
        <f t="shared" si="18"/>
        <v>0</v>
      </c>
      <c r="L62" s="282">
        <f t="shared" si="19"/>
        <v>31</v>
      </c>
      <c r="M62" s="269">
        <v>0</v>
      </c>
      <c r="N62" s="270">
        <v>25</v>
      </c>
      <c r="O62" s="10">
        <f t="shared" si="17"/>
        <v>0</v>
      </c>
      <c r="P62" s="10">
        <f>VALUE(J_normdate(J_ADDDAY($D62,$O62,1)))</f>
        <v>13980710</v>
      </c>
      <c r="Q62" s="9">
        <f t="shared" si="14"/>
        <v>31</v>
      </c>
      <c r="IY62" s="284">
        <v>1</v>
      </c>
      <c r="IZ62" s="284"/>
      <c r="JA62" s="285"/>
      <c r="JB62" s="285"/>
      <c r="JC62" s="285"/>
      <c r="JD62" s="286">
        <f>SUM((TEXT(JA62,"[M]")/60)*'Income Person-hours'!$D$3,(TEXT(JB62,"[M]")/60)*'Income Person-hours'!$D$4,(TEXT(JC62,"[M]")/60)*'Income Person-hours'!$D$5)</f>
        <v>0</v>
      </c>
    </row>
    <row r="63" spans="1:16384" s="283" customFormat="1" ht="13.5">
      <c r="A63" s="279">
        <v>3.11</v>
      </c>
      <c r="B63" s="277" t="s">
        <v>175</v>
      </c>
      <c r="C63" s="263" t="s">
        <v>111</v>
      </c>
      <c r="D63" s="271" t="str">
        <f>IF(OR(j_WEEKDAY(J_ADDDAY(VLOOKUP(I63,A:F,6,FALSE),H63,1),0)=6,SUMIFS(Holieday[ok],Holieday[date],J_ADDDAY(VLOOKUP(I63,A:F,6,FALSE),H63,1)))=FALSE(),J_ADDDAY(VLOOKUP(I63,A:F,6,FALSE),H63,1),IF(OR(j_WEEKDAY(J_ADDDAY(VLOOKUP(I63,A:F,6,FALSE),H63+1,1),0)=6,SUMIFS(Holieday[ok],Holieday[date],J_ADDDAY(VLOOKUP(I63,A:F,6,FALSE),H63+1,1)))=FALSE(),J_ADDDAY(VLOOKUP(I63,A:F,6,FALSE),H63+1,1),IF(OR(j_WEEKDAY(J_ADDDAY(VLOOKUP(I63,A:F,6,FALSE),H63+2,1),0)=6,SUMIFS(Holieday[ok],Holieday[date],J_ADDDAY(VLOOKUP(I63,A:F,6,FALSE),H63+2,1)))=FALSE(),J_ADDDAY(VLOOKUP(I63,A:F,6,FALSE),H63+2,1),IF(OR(j_WEEKDAY(J_ADDDAY(VLOOKUP(I63,A:F,6,FALSE),H63+3,1),0)=6,SUMIFS(Holieday[ok],Holieday[date],J_ADDDAY(VLOOKUP(I63,A:F,6,FALSE),H63+3,1)))=FALSE(),J_ADDDAY(VLOOKUP(I63,A:F,6,FALSE),H63+3,1),IF(OR(j_WEEKDAY(J_ADDDAY(VLOOKUP(I63,A:F,6,FALSE),H63+4,1),0)=6,SUMIFS(Holieday[ok],Holieday[date],J_ADDDAY(VLOOKUP(I63,A:F,6,FALSE),H63+4,1)))=FALSE(),J_ADDDAY(VLOOKUP(I63,A:F,6,FALSE),H63+4,1),J_ADDDAY(VLOOKUP(I63,A:F,6,FALSE),H63+5,1))))))</f>
        <v>1398/07/17</v>
      </c>
      <c r="E63" s="1"/>
      <c r="F63" s="280" t="str">
        <f>IF(N63=0,J_SUBDAY(D63,1,1),IF((N63-(NETWORKDAYS.INTL(J_GregorianDate(D63,1),J_GregorianDate(J_SUBDAY(J_ADDDAY(D63,N63,1),1,1),1),16,1)))+SUMIFS(Holieday[ok],Holieday[date],CONCATENATE("&gt;","=",D63),Holieday[date],CONCATENATE("&lt;","=",J_SUBDAY(J_ADDDAY(D63,N63,1),1,1)))-SUMIFS(Holieday[Friday],Holieday[date],CONCATENATE("&gt;","=",D63),Holieday[date],CONCATENATE("&lt;","=",J_SUBDAY(J_ADDDAY(D63,N63,1),1,1)))=0,J_SUBDAY(J_ADDDAY(D63,N63,1),1,1),IF((N63+1-(NETWORKDAYS.INTL(J_GregorianDate(D63,1),J_GregorianDate(J_SUBDAY(J_ADDDAY(D63,N63+1,1),1,1),1),16,1)))+SUMIFS(Holieday[ok],Holieday[date],CONCATENATE("&gt;","=",D63),Holieday[date],CONCATENATE("&lt;","=",J_SUBDAY(J_ADDDAY(D63,N63+1,1),1,1)))-SUMIFS(Holieday[Friday],Holieday[date],CONCATENATE("&gt;","=",D63),Holieday[date],CONCATENATE("&lt;","=",J_SUBDAY(J_ADDDAY(D63,N63+1,1),1,1)))=1,J_SUBDAY(J_ADDDAY(D63,N63+1,1),1,1),IF((N63+2-(NETWORKDAYS.INTL(J_GregorianDate(D63,1),J_GregorianDate(J_SUBDAY(J_ADDDAY(D63,N63+2,1),1,1),1),16,1)))+SUMIFS(Holieday[ok],Holieday[date],CONCATENATE("&gt;","=",D63),Holieday[date],CONCATENATE("&lt;","=",J_SUBDAY(J_ADDDAY(D63,N63+2,1),1,1)))-SUMIFS(Holieday[Friday],Holieday[date],CONCATENATE("&gt;","=",D63),Holieday[date],CONCATENATE("&lt;","=",J_SUBDAY(J_ADDDAY(D63,N63+2,1),1,1)))=2,J_SUBDAY(J_ADDDAY(D63,N63+2,1),1,1),IF((N63+3-(NETWORKDAYS.INTL(J_GregorianDate(D63,1),J_GregorianDate(J_SUBDAY(J_ADDDAY(D63,N63+3,1),1,1),1),16,1)))+SUMIFS(Holieday[ok],Holieday[date],CONCATENATE("&gt;","=",D63),Holieday[date],CONCATENATE("&lt;","=",J_SUBDAY(J_ADDDAY(D63,N63+3,1),1,1)))-SUMIFS(Holieday[Friday],Holieday[date],CONCATENATE("&gt;","=",D63),Holieday[date],CONCATENATE("&lt;","=",J_SUBDAY(J_ADDDAY(D63,N63+3,1),1,1)))=3,J_SUBDAY(J_ADDDAY(D63,N63+3,1),1,1),IF((N63+4-(NETWORKDAYS.INTL(J_GregorianDate(D63,1),J_GregorianDate(J_SUBDAY(J_ADDDAY(D63,N63+4,1),1,1),1),16,1)))+SUMIFS(Holieday[ok],Holieday[date],CONCATENATE("&gt;","=",D63),Holieday[date],CONCATENATE("&lt;","=",J_SUBDAY(J_ADDDAY(D63,N63+4,1),1,1)))-SUMIFS(Holieday[Friday],Holieday[date],CONCATENATE("&gt;","=",D63),Holieday[date],CONCATENATE("&lt;","=",J_SUBDAY(J_ADDDAY(D63,N63+4,1),1,1)))=4,J_SUBDAY(J_ADDDAY(D63,N63+4,1),1,1),IF((N63+5-(NETWORKDAYS.INTL(J_GregorianDate(D63,1),J_GregorianDate(J_SUBDAY(J_ADDDAY(D63,N63+5,1),1,1),1),16,1)))+SUMIFS(Holieday[ok],Holieday[date],CONCATENATE("&gt;","=",D63),Holieday[date],CONCATENATE("&lt;","=",J_SUBDAY(J_ADDDAY(D63,N63+5,1),1,1)))-SUMIFS(Holieday[Friday],Holieday[date],CONCATENATE("&gt;","=",D63),Holieday[date],CONCATENATE("&lt;","=",J_SUBDAY(J_ADDDAY(D63,N63+5,1),1,1)))=5,J_SUBDAY(J_ADDDAY(D63,N63+5,1),1,1),J_SUBDAY(J_ADDDAY(D63,N63+6,1),1,1))))))))</f>
        <v>1398/07/21</v>
      </c>
      <c r="G63" s="2"/>
      <c r="H63" s="266">
        <v>1</v>
      </c>
      <c r="I63" s="267">
        <v>3.3</v>
      </c>
      <c r="J63" s="281">
        <f>j_WEEKDAY(D63,2)</f>
        <v>4</v>
      </c>
      <c r="K63" s="21"/>
      <c r="L63" s="282">
        <f t="shared" si="19"/>
        <v>5</v>
      </c>
      <c r="M63" s="269">
        <v>0</v>
      </c>
      <c r="N63" s="270">
        <v>4</v>
      </c>
      <c r="O63" s="10"/>
      <c r="P63" s="10"/>
      <c r="Q63" s="9"/>
      <c r="IY63" s="284"/>
      <c r="IZ63" s="284"/>
      <c r="JA63" s="285"/>
      <c r="JB63" s="285"/>
      <c r="JC63" s="285"/>
      <c r="JD63" s="286"/>
    </row>
    <row r="64" spans="1:16384" s="283" customFormat="1" ht="13.5">
      <c r="A64" s="279">
        <v>3.12</v>
      </c>
      <c r="B64" s="277" t="s">
        <v>160</v>
      </c>
      <c r="C64" s="263" t="s">
        <v>110</v>
      </c>
      <c r="D64" s="271" t="str">
        <f>IF(OR(j_WEEKDAY(J_ADDDAY(VLOOKUP(I64,A:F,6,FALSE),H64,1),0)=6,SUMIFS(Holieday[ok],Holieday[date],J_ADDDAY(VLOOKUP(I64,A:F,6,FALSE),H64,1)))=FALSE(),J_ADDDAY(VLOOKUP(I64,A:F,6,FALSE),H64,1),IF(OR(j_WEEKDAY(J_ADDDAY(VLOOKUP(I64,A:F,6,FALSE),H64+1,1),0)=6,SUMIFS(Holieday[ok],Holieday[date],J_ADDDAY(VLOOKUP(I64,A:F,6,FALSE),H64+1,1)))=FALSE(),J_ADDDAY(VLOOKUP(I64,A:F,6,FALSE),H64+1,1),IF(OR(j_WEEKDAY(J_ADDDAY(VLOOKUP(I64,A:F,6,FALSE),H64+2,1),0)=6,SUMIFS(Holieday[ok],Holieday[date],J_ADDDAY(VLOOKUP(I64,A:F,6,FALSE),H64+2,1)))=FALSE(),J_ADDDAY(VLOOKUP(I64,A:F,6,FALSE),H64+2,1),IF(OR(j_WEEKDAY(J_ADDDAY(VLOOKUP(I64,A:F,6,FALSE),H64+3,1),0)=6,SUMIFS(Holieday[ok],Holieday[date],J_ADDDAY(VLOOKUP(I64,A:F,6,FALSE),H64+3,1)))=FALSE(),J_ADDDAY(VLOOKUP(I64,A:F,6,FALSE),H64+3,1),IF(OR(j_WEEKDAY(J_ADDDAY(VLOOKUP(I64,A:F,6,FALSE),H64+4,1),0)=6,SUMIFS(Holieday[ok],Holieday[date],J_ADDDAY(VLOOKUP(I64,A:F,6,FALSE),H64+4,1)))=FALSE(),J_ADDDAY(VLOOKUP(I64,A:F,6,FALSE),H64+4,1),J_ADDDAY(VLOOKUP(I64,A:F,6,FALSE),H64+5,1))))))</f>
        <v>1398/07/22</v>
      </c>
      <c r="E64" s="1"/>
      <c r="F64" s="280" t="str">
        <f>IF(N64=0,J_SUBDAY(D64,1,1),IF((N64-(NETWORKDAYS.INTL(J_GregorianDate(D64,1),J_GregorianDate(J_SUBDAY(J_ADDDAY(D64,N64,1),1,1),1),16,1)))+SUMIFS(Holieday[ok],Holieday[date],CONCATENATE("&gt;","=",D64),Holieday[date],CONCATENATE("&lt;","=",J_SUBDAY(J_ADDDAY(D64,N64,1),1,1)))-SUMIFS(Holieday[Friday],Holieday[date],CONCATENATE("&gt;","=",D64),Holieday[date],CONCATENATE("&lt;","=",J_SUBDAY(J_ADDDAY(D64,N64,1),1,1)))=0,J_SUBDAY(J_ADDDAY(D64,N64,1),1,1),IF((N64+1-(NETWORKDAYS.INTL(J_GregorianDate(D64,1),J_GregorianDate(J_SUBDAY(J_ADDDAY(D64,N64+1,1),1,1),1),16,1)))+SUMIFS(Holieday[ok],Holieday[date],CONCATENATE("&gt;","=",D64),Holieday[date],CONCATENATE("&lt;","=",J_SUBDAY(J_ADDDAY(D64,N64+1,1),1,1)))-SUMIFS(Holieday[Friday],Holieday[date],CONCATENATE("&gt;","=",D64),Holieday[date],CONCATENATE("&lt;","=",J_SUBDAY(J_ADDDAY(D64,N64+1,1),1,1)))=1,J_SUBDAY(J_ADDDAY(D64,N64+1,1),1,1),IF((N64+2-(NETWORKDAYS.INTL(J_GregorianDate(D64,1),J_GregorianDate(J_SUBDAY(J_ADDDAY(D64,N64+2,1),1,1),1),16,1)))+SUMIFS(Holieday[ok],Holieday[date],CONCATENATE("&gt;","=",D64),Holieday[date],CONCATENATE("&lt;","=",J_SUBDAY(J_ADDDAY(D64,N64+2,1),1,1)))-SUMIFS(Holieday[Friday],Holieday[date],CONCATENATE("&gt;","=",D64),Holieday[date],CONCATENATE("&lt;","=",J_SUBDAY(J_ADDDAY(D64,N64+2,1),1,1)))=2,J_SUBDAY(J_ADDDAY(D64,N64+2,1),1,1),IF((N64+3-(NETWORKDAYS.INTL(J_GregorianDate(D64,1),J_GregorianDate(J_SUBDAY(J_ADDDAY(D64,N64+3,1),1,1),1),16,1)))+SUMIFS(Holieday[ok],Holieday[date],CONCATENATE("&gt;","=",D64),Holieday[date],CONCATENATE("&lt;","=",J_SUBDAY(J_ADDDAY(D64,N64+3,1),1,1)))-SUMIFS(Holieday[Friday],Holieday[date],CONCATENATE("&gt;","=",D64),Holieday[date],CONCATENATE("&lt;","=",J_SUBDAY(J_ADDDAY(D64,N64+3,1),1,1)))=3,J_SUBDAY(J_ADDDAY(D64,N64+3,1),1,1),IF((N64+4-(NETWORKDAYS.INTL(J_GregorianDate(D64,1),J_GregorianDate(J_SUBDAY(J_ADDDAY(D64,N64+4,1),1,1),1),16,1)))+SUMIFS(Holieday[ok],Holieday[date],CONCATENATE("&gt;","=",D64),Holieday[date],CONCATENATE("&lt;","=",J_SUBDAY(J_ADDDAY(D64,N64+4,1),1,1)))-SUMIFS(Holieday[Friday],Holieday[date],CONCATENATE("&gt;","=",D64),Holieday[date],CONCATENATE("&lt;","=",J_SUBDAY(J_ADDDAY(D64,N64+4,1),1,1)))=4,J_SUBDAY(J_ADDDAY(D64,N64+4,1),1,1),IF((N64+5-(NETWORKDAYS.INTL(J_GregorianDate(D64,1),J_GregorianDate(J_SUBDAY(J_ADDDAY(D64,N64+5,1),1,1),1),16,1)))+SUMIFS(Holieday[ok],Holieday[date],CONCATENATE("&gt;","=",D64),Holieday[date],CONCATENATE("&lt;","=",J_SUBDAY(J_ADDDAY(D64,N64+5,1),1,1)))-SUMIFS(Holieday[Friday],Holieday[date],CONCATENATE("&gt;","=",D64),Holieday[date],CONCATENATE("&lt;","=",J_SUBDAY(J_ADDDAY(D64,N64+5,1),1,1)))=5,J_SUBDAY(J_ADDDAY(D64,N64+5,1),1,1),J_SUBDAY(J_ADDDAY(D64,N64+6,1),1,1))))))))</f>
        <v>1398/07/28</v>
      </c>
      <c r="G64" s="2"/>
      <c r="H64" s="266">
        <v>1</v>
      </c>
      <c r="I64" s="267">
        <v>3.11</v>
      </c>
      <c r="J64" s="281">
        <f>j_WEEKDAY(D64,2)</f>
        <v>2</v>
      </c>
      <c r="K64" s="21"/>
      <c r="L64" s="282">
        <f t="shared" si="19"/>
        <v>7</v>
      </c>
      <c r="M64" s="269">
        <v>0</v>
      </c>
      <c r="N64" s="270">
        <v>5</v>
      </c>
      <c r="O64" s="10"/>
      <c r="P64" s="10"/>
      <c r="Q64" s="9"/>
      <c r="IY64" s="284"/>
      <c r="IZ64" s="284"/>
      <c r="JA64" s="285"/>
      <c r="JB64" s="285"/>
      <c r="JC64" s="285"/>
      <c r="JD64" s="286"/>
    </row>
    <row r="65" spans="1:264" s="283" customFormat="1" ht="13.5">
      <c r="A65" s="279">
        <v>3.13</v>
      </c>
      <c r="B65" s="277" t="s">
        <v>154</v>
      </c>
      <c r="C65" s="263" t="s">
        <v>111</v>
      </c>
      <c r="D65" s="271" t="str">
        <f>IF(OR(j_WEEKDAY(J_ADDDAY(VLOOKUP(I65,A:F,6,FALSE),H65,1),0)=6,SUMIFS(Holieday[ok],Holieday[date],J_ADDDAY(VLOOKUP(I65,A:F,6,FALSE),H65,1)))=FALSE(),J_ADDDAY(VLOOKUP(I65,A:F,6,FALSE),H65,1),IF(OR(j_WEEKDAY(J_ADDDAY(VLOOKUP(I65,A:F,6,FALSE),H65+1,1),0)=6,SUMIFS(Holieday[ok],Holieday[date],J_ADDDAY(VLOOKUP(I65,A:F,6,FALSE),H65+1,1)))=FALSE(),J_ADDDAY(VLOOKUP(I65,A:F,6,FALSE),H65+1,1),IF(OR(j_WEEKDAY(J_ADDDAY(VLOOKUP(I65,A:F,6,FALSE),H65+2,1),0)=6,SUMIFS(Holieday[ok],Holieday[date],J_ADDDAY(VLOOKUP(I65,A:F,6,FALSE),H65+2,1)))=FALSE(),J_ADDDAY(VLOOKUP(I65,A:F,6,FALSE),H65+2,1),IF(OR(j_WEEKDAY(J_ADDDAY(VLOOKUP(I65,A:F,6,FALSE),H65+3,1),0)=6,SUMIFS(Holieday[ok],Holieday[date],J_ADDDAY(VLOOKUP(I65,A:F,6,FALSE),H65+3,1)))=FALSE(),J_ADDDAY(VLOOKUP(I65,A:F,6,FALSE),H65+3,1),IF(OR(j_WEEKDAY(J_ADDDAY(VLOOKUP(I65,A:F,6,FALSE),H65+4,1),0)=6,SUMIFS(Holieday[ok],Holieday[date],J_ADDDAY(VLOOKUP(I65,A:F,6,FALSE),H65+4,1)))=FALSE(),J_ADDDAY(VLOOKUP(I65,A:F,6,FALSE),H65+4,1),J_ADDDAY(VLOOKUP(I65,A:F,6,FALSE),H65+5,1))))))</f>
        <v>1398/07/29</v>
      </c>
      <c r="E65" s="1"/>
      <c r="F65" s="287" t="str">
        <f>IF(N65=0,J_SUBDAY(D65,1,1),IF((N65-(NETWORKDAYS.INTL(J_GregorianDate(D65,1),J_GregorianDate(J_SUBDAY(J_ADDDAY(D65,N65,1),1,1),1),16,1)))+SUMIFS(Holieday[ok],Holieday[date],CONCATENATE("&gt;","=",D65),Holieday[date],CONCATENATE("&lt;","=",J_SUBDAY(J_ADDDAY(D65,N65,1),1,1)))-SUMIFS(Holieday[Friday],Holieday[date],CONCATENATE("&gt;","=",D65),Holieday[date],CONCATENATE("&lt;","=",J_SUBDAY(J_ADDDAY(D65,N65,1),1,1)))=0,J_SUBDAY(J_ADDDAY(D65,N65,1),1,1),IF((N65+1-(NETWORKDAYS.INTL(J_GregorianDate(D65,1),J_GregorianDate(J_SUBDAY(J_ADDDAY(D65,N65+1,1),1,1),1),16,1)))+SUMIFS(Holieday[ok],Holieday[date],CONCATENATE("&gt;","=",D65),Holieday[date],CONCATENATE("&lt;","=",J_SUBDAY(J_ADDDAY(D65,N65+1,1),1,1)))-SUMIFS(Holieday[Friday],Holieday[date],CONCATENATE("&gt;","=",D65),Holieday[date],CONCATENATE("&lt;","=",J_SUBDAY(J_ADDDAY(D65,N65+1,1),1,1)))=1,J_SUBDAY(J_ADDDAY(D65,N65+1,1),1,1),IF((N65+2-(NETWORKDAYS.INTL(J_GregorianDate(D65,1),J_GregorianDate(J_SUBDAY(J_ADDDAY(D65,N65+2,1),1,1),1),16,1)))+SUMIFS(Holieday[ok],Holieday[date],CONCATENATE("&gt;","=",D65),Holieday[date],CONCATENATE("&lt;","=",J_SUBDAY(J_ADDDAY(D65,N65+2,1),1,1)))-SUMIFS(Holieday[Friday],Holieday[date],CONCATENATE("&gt;","=",D65),Holieday[date],CONCATENATE("&lt;","=",J_SUBDAY(J_ADDDAY(D65,N65+2,1),1,1)))=2,J_SUBDAY(J_ADDDAY(D65,N65+2,1),1,1),IF((N65+3-(NETWORKDAYS.INTL(J_GregorianDate(D65,1),J_GregorianDate(J_SUBDAY(J_ADDDAY(D65,N65+3,1),1,1),1),16,1)))+SUMIFS(Holieday[ok],Holieday[date],CONCATENATE("&gt;","=",D65),Holieday[date],CONCATENATE("&lt;","=",J_SUBDAY(J_ADDDAY(D65,N65+3,1),1,1)))-SUMIFS(Holieday[Friday],Holieday[date],CONCATENATE("&gt;","=",D65),Holieday[date],CONCATENATE("&lt;","=",J_SUBDAY(J_ADDDAY(D65,N65+3,1),1,1)))=3,J_SUBDAY(J_ADDDAY(D65,N65+3,1),1,1),IF((N65+4-(NETWORKDAYS.INTL(J_GregorianDate(D65,1),J_GregorianDate(J_SUBDAY(J_ADDDAY(D65,N65+4,1),1,1),1),16,1)))+SUMIFS(Holieday[ok],Holieday[date],CONCATENATE("&gt;","=",D65),Holieday[date],CONCATENATE("&lt;","=",J_SUBDAY(J_ADDDAY(D65,N65+4,1),1,1)))-SUMIFS(Holieday[Friday],Holieday[date],CONCATENATE("&gt;","=",D65),Holieday[date],CONCATENATE("&lt;","=",J_SUBDAY(J_ADDDAY(D65,N65+4,1),1,1)))=4,J_SUBDAY(J_ADDDAY(D65,N65+4,1),1,1),IF((N65+5-(NETWORKDAYS.INTL(J_GregorianDate(D65,1),J_GregorianDate(J_SUBDAY(J_ADDDAY(D65,N65+5,1),1,1),1),16,1)))+SUMIFS(Holieday[ok],Holieday[date],CONCATENATE("&gt;","=",D65),Holieday[date],CONCATENATE("&lt;","=",J_SUBDAY(J_ADDDAY(D65,N65+5,1),1,1)))-SUMIFS(Holieday[Friday],Holieday[date],CONCATENATE("&gt;","=",D65),Holieday[date],CONCATENATE("&lt;","=",J_SUBDAY(J_ADDDAY(D65,N65+5,1),1,1)))=5,J_SUBDAY(J_ADDDAY(D65,N65+5,1),1,1),J_SUBDAY(J_ADDDAY(D65,N65+6,1),1,1))))))))</f>
        <v>1398/07/30</v>
      </c>
      <c r="G65" s="2"/>
      <c r="H65" s="266">
        <v>9</v>
      </c>
      <c r="I65" s="267">
        <v>3.4</v>
      </c>
      <c r="J65" s="281">
        <f>j_WEEKDAY(D65,2)</f>
        <v>2</v>
      </c>
      <c r="K65" s="21"/>
      <c r="L65" s="282">
        <f t="shared" si="19"/>
        <v>2</v>
      </c>
      <c r="M65" s="269">
        <v>0</v>
      </c>
      <c r="N65" s="270">
        <v>2</v>
      </c>
      <c r="O65" s="10"/>
      <c r="P65" s="10"/>
      <c r="Q65" s="9"/>
      <c r="IY65" s="284"/>
      <c r="IZ65" s="284"/>
      <c r="JA65" s="285"/>
      <c r="JB65" s="285"/>
      <c r="JC65" s="285"/>
      <c r="JD65" s="286"/>
    </row>
    <row r="66" spans="1:264" s="291" customFormat="1" ht="13.5">
      <c r="A66" s="288">
        <v>3.14</v>
      </c>
      <c r="B66" s="277" t="s">
        <v>156</v>
      </c>
      <c r="C66" s="263" t="s">
        <v>110</v>
      </c>
      <c r="D66" s="283" t="str">
        <f>IF(OR(j_WEEKDAY(J_ADDDAY(VLOOKUP(I66,A:F,6,FALSE),H66,1),0)=6,SUMIFS(Holieday[ok],Holieday[date],J_ADDDAY(VLOOKUP(I66,A:F,6,FALSE),H66,1)))=FALSE(),J_ADDDAY(VLOOKUP(I66,A:F,6,FALSE),H66,1),IF(OR(j_WEEKDAY(J_ADDDAY(VLOOKUP(I66,A:F,6,FALSE),H66+1,1),0)=6,SUMIFS(Holieday[ok],Holieday[date],J_ADDDAY(VLOOKUP(I66,A:F,6,FALSE),H66+1,1)))=FALSE(),J_ADDDAY(VLOOKUP(I66,A:F,6,FALSE),H66+1,1),IF(OR(j_WEEKDAY(J_ADDDAY(VLOOKUP(I66,A:F,6,FALSE),H66+2,1),0)=6,SUMIFS(Holieday[ok],Holieday[date],J_ADDDAY(VLOOKUP(I66,A:F,6,FALSE),H66+2,1)))=FALSE(),J_ADDDAY(VLOOKUP(I66,A:F,6,FALSE),H66+2,1),IF(OR(j_WEEKDAY(J_ADDDAY(VLOOKUP(I66,A:F,6,FALSE),H66+3,1),0)=6,SUMIFS(Holieday[ok],Holieday[date],J_ADDDAY(VLOOKUP(I66,A:F,6,FALSE),H66+3,1)))=FALSE(),J_ADDDAY(VLOOKUP(I66,A:F,6,FALSE),H66+3,1),IF(OR(j_WEEKDAY(J_ADDDAY(VLOOKUP(I66,A:F,6,FALSE),H66+4,1),0)=6,SUMIFS(Holieday[ok],Holieday[date],J_ADDDAY(VLOOKUP(I66,A:F,6,FALSE),H66+4,1)))=FALSE(),J_ADDDAY(VLOOKUP(I66,A:F,6,FALSE),H66+4,1),J_ADDDAY(VLOOKUP(I66,A:F,6,FALSE),H66+5,1))))))</f>
        <v>1398/08/01</v>
      </c>
      <c r="E66" s="1">
        <f t="shared" si="15"/>
        <v>13980801</v>
      </c>
      <c r="F66" s="287" t="str">
        <f>IF(N66=0,J_SUBDAY(D66,1,1),IF((N66-(NETWORKDAYS.INTL(J_GregorianDate(D66,1),J_GregorianDate(J_SUBDAY(J_ADDDAY(D66,N66,1),1,1),1),16,1)))+SUMIFS(Holieday[ok],Holieday[date],CONCATENATE("&gt;","=",D66),Holieday[date],CONCATENATE("&lt;","=",J_SUBDAY(J_ADDDAY(D66,N66,1),1,1)))-SUMIFS(Holieday[Friday],Holieday[date],CONCATENATE("&gt;","=",D66),Holieday[date],CONCATENATE("&lt;","=",J_SUBDAY(J_ADDDAY(D66,N66,1),1,1)))=0,J_SUBDAY(J_ADDDAY(D66,N66,1),1,1),IF((N66+1-(NETWORKDAYS.INTL(J_GregorianDate(D66,1),J_GregorianDate(J_SUBDAY(J_ADDDAY(D66,N66+1,1),1,1),1),16,1)))+SUMIFS(Holieday[ok],Holieday[date],CONCATENATE("&gt;","=",D66),Holieday[date],CONCATENATE("&lt;","=",J_SUBDAY(J_ADDDAY(D66,N66+1,1),1,1)))-SUMIFS(Holieday[Friday],Holieday[date],CONCATENATE("&gt;","=",D66),Holieday[date],CONCATENATE("&lt;","=",J_SUBDAY(J_ADDDAY(D66,N66+1,1),1,1)))=1,J_SUBDAY(J_ADDDAY(D66,N66+1,1),1,1),IF((N66+2-(NETWORKDAYS.INTL(J_GregorianDate(D66,1),J_GregorianDate(J_SUBDAY(J_ADDDAY(D66,N66+2,1),1,1),1),16,1)))+SUMIFS(Holieday[ok],Holieday[date],CONCATENATE("&gt;","=",D66),Holieday[date],CONCATENATE("&lt;","=",J_SUBDAY(J_ADDDAY(D66,N66+2,1),1,1)))-SUMIFS(Holieday[Friday],Holieday[date],CONCATENATE("&gt;","=",D66),Holieday[date],CONCATENATE("&lt;","=",J_SUBDAY(J_ADDDAY(D66,N66+2,1),1,1)))=2,J_SUBDAY(J_ADDDAY(D66,N66+2,1),1,1),IF((N66+3-(NETWORKDAYS.INTL(J_GregorianDate(D66,1),J_GregorianDate(J_SUBDAY(J_ADDDAY(D66,N66+3,1),1,1),1),16,1)))+SUMIFS(Holieday[ok],Holieday[date],CONCATENATE("&gt;","=",D66),Holieday[date],CONCATENATE("&lt;","=",J_SUBDAY(J_ADDDAY(D66,N66+3,1),1,1)))-SUMIFS(Holieday[Friday],Holieday[date],CONCATENATE("&gt;","=",D66),Holieday[date],CONCATENATE("&lt;","=",J_SUBDAY(J_ADDDAY(D66,N66+3,1),1,1)))=3,J_SUBDAY(J_ADDDAY(D66,N66+3,1),1,1),IF((N66+4-(NETWORKDAYS.INTL(J_GregorianDate(D66,1),J_GregorianDate(J_SUBDAY(J_ADDDAY(D66,N66+4,1),1,1),1),16,1)))+SUMIFS(Holieday[ok],Holieday[date],CONCATENATE("&gt;","=",D66),Holieday[date],CONCATENATE("&lt;","=",J_SUBDAY(J_ADDDAY(D66,N66+4,1),1,1)))-SUMIFS(Holieday[Friday],Holieday[date],CONCATENATE("&gt;","=",D66),Holieday[date],CONCATENATE("&lt;","=",J_SUBDAY(J_ADDDAY(D66,N66+4,1),1,1)))=4,J_SUBDAY(J_ADDDAY(D66,N66+4,1),1,1),IF((N66+5-(NETWORKDAYS.INTL(J_GregorianDate(D66,1),J_GregorianDate(J_SUBDAY(J_ADDDAY(D66,N66+5,1),1,1),1),16,1)))+SUMIFS(Holieday[ok],Holieday[date],CONCATENATE("&gt;","=",D66),Holieday[date],CONCATENATE("&lt;","=",J_SUBDAY(J_ADDDAY(D66,N66+5,1),1,1)))-SUMIFS(Holieday[Friday],Holieday[date],CONCATENATE("&gt;","=",D66),Holieday[date],CONCATENATE("&lt;","=",J_SUBDAY(J_ADDDAY(D66,N66+5,1),1,1)))=5,J_SUBDAY(J_ADDDAY(D66,N66+5,1),1,1),J_SUBDAY(J_ADDDAY(D66,N66+6,1),1,1))))))))</f>
        <v>1398/08/06</v>
      </c>
      <c r="G66" s="2">
        <f t="shared" si="16"/>
        <v>13980806</v>
      </c>
      <c r="H66" s="266">
        <v>1</v>
      </c>
      <c r="I66" s="267">
        <v>3.13</v>
      </c>
      <c r="J66" s="281">
        <f>j_WEEKDAY(D66,2)</f>
        <v>4</v>
      </c>
      <c r="K66" s="21">
        <f t="shared" si="18"/>
        <v>0</v>
      </c>
      <c r="L66" s="282">
        <f t="shared" si="19"/>
        <v>6</v>
      </c>
      <c r="M66" s="269">
        <v>0</v>
      </c>
      <c r="N66" s="270">
        <v>4</v>
      </c>
      <c r="O66" s="10">
        <f t="shared" si="17"/>
        <v>0</v>
      </c>
      <c r="P66" s="10">
        <f>VALUE(J_normdate(J_ADDDAY($D66,$O66,1)))</f>
        <v>13980801</v>
      </c>
      <c r="Q66" s="9">
        <f t="shared" si="14"/>
        <v>6</v>
      </c>
      <c r="R66" s="283"/>
      <c r="S66" s="283"/>
      <c r="T66" s="283"/>
      <c r="U66" s="283"/>
      <c r="V66" s="283"/>
      <c r="W66" s="283"/>
      <c r="X66" s="283"/>
      <c r="Y66" s="283"/>
      <c r="Z66" s="283"/>
      <c r="AA66" s="283"/>
      <c r="AB66" s="283"/>
      <c r="AC66" s="283"/>
      <c r="AD66" s="283"/>
      <c r="AE66" s="283"/>
      <c r="AF66" s="283"/>
      <c r="AG66" s="283"/>
      <c r="AH66" s="283"/>
      <c r="AI66" s="283"/>
      <c r="AJ66" s="283"/>
      <c r="AK66" s="283"/>
      <c r="AL66" s="283"/>
      <c r="AM66" s="283"/>
      <c r="AN66" s="283"/>
      <c r="AO66" s="283"/>
      <c r="AP66" s="283"/>
      <c r="AQ66" s="283"/>
      <c r="AR66" s="283"/>
      <c r="AS66" s="283"/>
      <c r="AT66" s="283"/>
      <c r="AU66" s="283"/>
      <c r="AV66" s="283"/>
      <c r="AW66" s="283"/>
      <c r="AX66" s="283"/>
      <c r="AY66" s="283"/>
      <c r="AZ66" s="283"/>
      <c r="BA66" s="283"/>
      <c r="BB66" s="283"/>
      <c r="BC66" s="283"/>
      <c r="BD66" s="283"/>
      <c r="BE66" s="283"/>
      <c r="BF66" s="283"/>
      <c r="BG66" s="283"/>
      <c r="BH66" s="283"/>
      <c r="BI66" s="283"/>
      <c r="BJ66" s="283"/>
      <c r="BK66" s="283"/>
      <c r="BL66" s="283"/>
      <c r="BM66" s="283"/>
      <c r="BN66" s="283"/>
      <c r="BO66" s="283"/>
      <c r="BP66" s="283"/>
      <c r="BQ66" s="283"/>
      <c r="BR66" s="283"/>
      <c r="BS66" s="283"/>
      <c r="BT66" s="283"/>
      <c r="BU66" s="283"/>
      <c r="BV66" s="283"/>
      <c r="BW66" s="283"/>
      <c r="BX66" s="283"/>
      <c r="BY66" s="283"/>
      <c r="BZ66" s="283"/>
      <c r="CA66" s="283"/>
      <c r="CB66" s="283"/>
      <c r="CC66" s="283"/>
      <c r="CD66" s="283"/>
      <c r="CE66" s="283"/>
      <c r="CF66" s="283"/>
      <c r="CG66" s="283"/>
      <c r="CH66" s="283"/>
      <c r="CI66" s="283"/>
      <c r="CJ66" s="283"/>
      <c r="CK66" s="283"/>
      <c r="CL66" s="283"/>
      <c r="CM66" s="283"/>
      <c r="CN66" s="283"/>
      <c r="CO66" s="283"/>
      <c r="CP66" s="283"/>
      <c r="CQ66" s="283"/>
      <c r="CR66" s="283"/>
      <c r="CS66" s="283"/>
      <c r="CT66" s="283"/>
      <c r="CU66" s="283"/>
      <c r="CV66" s="283"/>
      <c r="CW66" s="283"/>
      <c r="CX66" s="283"/>
      <c r="CY66" s="283"/>
      <c r="CZ66" s="283"/>
      <c r="DA66" s="283"/>
      <c r="DB66" s="283"/>
      <c r="DC66" s="283"/>
      <c r="DD66" s="283"/>
      <c r="DE66" s="283"/>
      <c r="DF66" s="283"/>
      <c r="DG66" s="283"/>
      <c r="DH66" s="283"/>
      <c r="DI66" s="283"/>
      <c r="DJ66" s="283"/>
      <c r="DK66" s="283"/>
      <c r="DL66" s="283"/>
      <c r="DM66" s="283"/>
      <c r="DN66" s="283"/>
      <c r="DO66" s="283"/>
      <c r="DP66" s="283"/>
      <c r="DQ66" s="283"/>
      <c r="DR66" s="283"/>
      <c r="DS66" s="283"/>
      <c r="DT66" s="283"/>
      <c r="DU66" s="283"/>
      <c r="DV66" s="283"/>
      <c r="DW66" s="283"/>
      <c r="DX66" s="283"/>
      <c r="DY66" s="283"/>
      <c r="DZ66" s="283"/>
      <c r="EA66" s="283"/>
      <c r="EB66" s="283"/>
      <c r="EC66" s="283"/>
      <c r="ED66" s="283"/>
      <c r="EE66" s="283"/>
      <c r="EF66" s="283"/>
      <c r="EG66" s="283"/>
      <c r="EH66" s="283"/>
      <c r="EI66" s="283"/>
      <c r="EJ66" s="283"/>
      <c r="EK66" s="283"/>
      <c r="EL66" s="283"/>
      <c r="EM66" s="283"/>
      <c r="EN66" s="283"/>
      <c r="EO66" s="283"/>
      <c r="EP66" s="283"/>
      <c r="EQ66" s="283"/>
      <c r="ER66" s="283"/>
      <c r="ES66" s="283"/>
      <c r="ET66" s="283"/>
      <c r="EU66" s="283"/>
      <c r="EV66" s="283"/>
      <c r="EW66" s="283"/>
      <c r="EX66" s="283"/>
      <c r="EY66" s="283"/>
      <c r="EZ66" s="283"/>
      <c r="FA66" s="283"/>
      <c r="FB66" s="283"/>
      <c r="FC66" s="283"/>
      <c r="FD66" s="283"/>
      <c r="FE66" s="283"/>
      <c r="FF66" s="283"/>
      <c r="FG66" s="283"/>
      <c r="FH66" s="283"/>
      <c r="FI66" s="283"/>
      <c r="FJ66" s="283"/>
      <c r="FK66" s="283"/>
      <c r="FL66" s="283"/>
      <c r="FM66" s="283"/>
      <c r="FN66" s="283"/>
      <c r="FO66" s="283"/>
      <c r="FP66" s="283"/>
      <c r="FQ66" s="283"/>
      <c r="FR66" s="283"/>
      <c r="FS66" s="283"/>
      <c r="FT66" s="283"/>
      <c r="FU66" s="283"/>
      <c r="FV66" s="283"/>
      <c r="FW66" s="283"/>
      <c r="FX66" s="283"/>
      <c r="FY66" s="283"/>
      <c r="FZ66" s="283"/>
      <c r="GA66" s="283"/>
      <c r="GB66" s="283"/>
      <c r="GC66" s="283"/>
      <c r="GD66" s="283"/>
      <c r="GE66" s="283"/>
      <c r="GF66" s="283"/>
      <c r="GG66" s="283"/>
      <c r="GH66" s="283"/>
      <c r="GI66" s="283"/>
      <c r="GJ66" s="283"/>
      <c r="GK66" s="283"/>
      <c r="GL66" s="283"/>
      <c r="GM66" s="283"/>
      <c r="GN66" s="283"/>
      <c r="GO66" s="283"/>
      <c r="GP66" s="283"/>
      <c r="GQ66" s="283"/>
      <c r="GR66" s="283"/>
      <c r="GS66" s="283"/>
      <c r="GT66" s="283"/>
      <c r="GU66" s="283"/>
      <c r="GV66" s="283"/>
      <c r="GW66" s="283"/>
      <c r="GX66" s="283"/>
      <c r="GY66" s="283"/>
      <c r="GZ66" s="283"/>
      <c r="HA66" s="283"/>
      <c r="HB66" s="283"/>
      <c r="HC66" s="283"/>
      <c r="HD66" s="283"/>
      <c r="HE66" s="283"/>
      <c r="HF66" s="283"/>
      <c r="HG66" s="283"/>
      <c r="HH66" s="283"/>
      <c r="HI66" s="283"/>
      <c r="HJ66" s="283"/>
      <c r="HK66" s="283"/>
      <c r="HL66" s="283"/>
      <c r="HM66" s="283"/>
      <c r="HN66" s="283"/>
      <c r="HO66" s="283"/>
      <c r="HP66" s="283"/>
      <c r="HQ66" s="283"/>
      <c r="HR66" s="283"/>
      <c r="HS66" s="283"/>
      <c r="HT66" s="283"/>
      <c r="HU66" s="283"/>
      <c r="HV66" s="283"/>
      <c r="HW66" s="283"/>
      <c r="HX66" s="283"/>
      <c r="HY66" s="283"/>
      <c r="HZ66" s="283"/>
      <c r="IA66" s="283"/>
      <c r="IB66" s="283"/>
      <c r="IC66" s="283"/>
      <c r="ID66" s="283"/>
      <c r="IE66" s="283"/>
      <c r="IF66" s="283"/>
      <c r="IG66" s="283"/>
      <c r="IH66" s="283"/>
      <c r="II66" s="283"/>
      <c r="IJ66" s="283"/>
      <c r="IK66" s="283"/>
      <c r="IL66" s="283"/>
      <c r="IM66" s="283"/>
      <c r="IN66" s="283"/>
      <c r="IO66" s="283"/>
      <c r="IP66" s="283"/>
      <c r="IQ66" s="283"/>
      <c r="IR66" s="283"/>
      <c r="IS66" s="283"/>
      <c r="IT66" s="283"/>
      <c r="IU66" s="283"/>
      <c r="IV66" s="283"/>
      <c r="IW66" s="283"/>
      <c r="IX66" s="283"/>
      <c r="IY66" s="272">
        <v>1</v>
      </c>
      <c r="IZ66" s="272"/>
      <c r="JA66" s="289"/>
      <c r="JB66" s="289"/>
      <c r="JC66" s="289"/>
      <c r="JD66" s="290">
        <f>SUM((TEXT(JA66,"[M]")/60)*'Income Person-hours'!$D$3,(TEXT(JB66,"[M]")/60)*'Income Person-hours'!$D$4,(TEXT(JC66,"[M]")/60)*'Income Person-hours'!$D$5)</f>
        <v>0</v>
      </c>
    </row>
    <row r="67" spans="1:264" s="291" customFormat="1" ht="13.5">
      <c r="A67" s="288">
        <v>3.15</v>
      </c>
      <c r="B67" s="277" t="s">
        <v>133</v>
      </c>
      <c r="C67" s="263" t="s">
        <v>111</v>
      </c>
      <c r="D67" s="283" t="str">
        <f>IF(OR(j_WEEKDAY(J_ADDDAY(VLOOKUP(I67,A:F,6,FALSE),H67,1),0)=6,SUMIFS(Holieday[ok],Holieday[date],J_ADDDAY(VLOOKUP(I67,A:F,6,FALSE),H67,1)))=FALSE(),J_ADDDAY(VLOOKUP(I67,A:F,6,FALSE),H67,1),IF(OR(j_WEEKDAY(J_ADDDAY(VLOOKUP(I67,A:F,6,FALSE),H67+1,1),0)=6,SUMIFS(Holieday[ok],Holieday[date],J_ADDDAY(VLOOKUP(I67,A:F,6,FALSE),H67+1,1)))=FALSE(),J_ADDDAY(VLOOKUP(I67,A:F,6,FALSE),H67+1,1),IF(OR(j_WEEKDAY(J_ADDDAY(VLOOKUP(I67,A:F,6,FALSE),H67+2,1),0)=6,SUMIFS(Holieday[ok],Holieday[date],J_ADDDAY(VLOOKUP(I67,A:F,6,FALSE),H67+2,1)))=FALSE(),J_ADDDAY(VLOOKUP(I67,A:F,6,FALSE),H67+2,1),IF(OR(j_WEEKDAY(J_ADDDAY(VLOOKUP(I67,A:F,6,FALSE),H67+3,1),0)=6,SUMIFS(Holieday[ok],Holieday[date],J_ADDDAY(VLOOKUP(I67,A:F,6,FALSE),H67+3,1)))=FALSE(),J_ADDDAY(VLOOKUP(I67,A:F,6,FALSE),H67+3,1),IF(OR(j_WEEKDAY(J_ADDDAY(VLOOKUP(I67,A:F,6,FALSE),H67+4,1),0)=6,SUMIFS(Holieday[ok],Holieday[date],J_ADDDAY(VLOOKUP(I67,A:F,6,FALSE),H67+4,1)))=FALSE(),J_ADDDAY(VLOOKUP(I67,A:F,6,FALSE),H67+4,1),J_ADDDAY(VLOOKUP(I67,A:F,6,FALSE),H67+5,1))))))</f>
        <v>1398/07/24</v>
      </c>
      <c r="E67" s="1"/>
      <c r="F67" s="287" t="str">
        <f>IF(N67=0,J_SUBDAY(D67,1,1),IF((N67-(NETWORKDAYS.INTL(J_GregorianDate(D67,1),J_GregorianDate(J_SUBDAY(J_ADDDAY(D67,N67,1),1,1),1),16,1)))+SUMIFS(Holieday[ok],Holieday[date],CONCATENATE("&gt;","=",D67),Holieday[date],CONCATENATE("&lt;","=",J_SUBDAY(J_ADDDAY(D67,N67,1),1,1)))-SUMIFS(Holieday[Friday],Holieday[date],CONCATENATE("&gt;","=",D67),Holieday[date],CONCATENATE("&lt;","=",J_SUBDAY(J_ADDDAY(D67,N67,1),1,1)))=0,J_SUBDAY(J_ADDDAY(D67,N67,1),1,1),IF((N67+1-(NETWORKDAYS.INTL(J_GregorianDate(D67,1),J_GregorianDate(J_SUBDAY(J_ADDDAY(D67,N67+1,1),1,1),1),16,1)))+SUMIFS(Holieday[ok],Holieday[date],CONCATENATE("&gt;","=",D67),Holieday[date],CONCATENATE("&lt;","=",J_SUBDAY(J_ADDDAY(D67,N67+1,1),1,1)))-SUMIFS(Holieday[Friday],Holieday[date],CONCATENATE("&gt;","=",D67),Holieday[date],CONCATENATE("&lt;","=",J_SUBDAY(J_ADDDAY(D67,N67+1,1),1,1)))=1,J_SUBDAY(J_ADDDAY(D67,N67+1,1),1,1),IF((N67+2-(NETWORKDAYS.INTL(J_GregorianDate(D67,1),J_GregorianDate(J_SUBDAY(J_ADDDAY(D67,N67+2,1),1,1),1),16,1)))+SUMIFS(Holieday[ok],Holieday[date],CONCATENATE("&gt;","=",D67),Holieday[date],CONCATENATE("&lt;","=",J_SUBDAY(J_ADDDAY(D67,N67+2,1),1,1)))-SUMIFS(Holieday[Friday],Holieday[date],CONCATENATE("&gt;","=",D67),Holieday[date],CONCATENATE("&lt;","=",J_SUBDAY(J_ADDDAY(D67,N67+2,1),1,1)))=2,J_SUBDAY(J_ADDDAY(D67,N67+2,1),1,1),IF((N67+3-(NETWORKDAYS.INTL(J_GregorianDate(D67,1),J_GregorianDate(J_SUBDAY(J_ADDDAY(D67,N67+3,1),1,1),1),16,1)))+SUMIFS(Holieday[ok],Holieday[date],CONCATENATE("&gt;","=",D67),Holieday[date],CONCATENATE("&lt;","=",J_SUBDAY(J_ADDDAY(D67,N67+3,1),1,1)))-SUMIFS(Holieday[Friday],Holieday[date],CONCATENATE("&gt;","=",D67),Holieday[date],CONCATENATE("&lt;","=",J_SUBDAY(J_ADDDAY(D67,N67+3,1),1,1)))=3,J_SUBDAY(J_ADDDAY(D67,N67+3,1),1,1),IF((N67+4-(NETWORKDAYS.INTL(J_GregorianDate(D67,1),J_GregorianDate(J_SUBDAY(J_ADDDAY(D67,N67+4,1),1,1),1),16,1)))+SUMIFS(Holieday[ok],Holieday[date],CONCATENATE("&gt;","=",D67),Holieday[date],CONCATENATE("&lt;","=",J_SUBDAY(J_ADDDAY(D67,N67+4,1),1,1)))-SUMIFS(Holieday[Friday],Holieday[date],CONCATENATE("&gt;","=",D67),Holieday[date],CONCATENATE("&lt;","=",J_SUBDAY(J_ADDDAY(D67,N67+4,1),1,1)))=4,J_SUBDAY(J_ADDDAY(D67,N67+4,1),1,1),IF((N67+5-(NETWORKDAYS.INTL(J_GregorianDate(D67,1),J_GregorianDate(J_SUBDAY(J_ADDDAY(D67,N67+5,1),1,1),1),16,1)))+SUMIFS(Holieday[ok],Holieday[date],CONCATENATE("&gt;","=",D67),Holieday[date],CONCATENATE("&lt;","=",J_SUBDAY(J_ADDDAY(D67,N67+5,1),1,1)))-SUMIFS(Holieday[Friday],Holieday[date],CONCATENATE("&gt;","=",D67),Holieday[date],CONCATENATE("&lt;","=",J_SUBDAY(J_ADDDAY(D67,N67+5,1),1,1)))=5,J_SUBDAY(J_ADDDAY(D67,N67+5,1),1,1),J_SUBDAY(J_ADDDAY(D67,N67+6,1),1,1))))))))</f>
        <v>1398/07/28</v>
      </c>
      <c r="G67" s="2"/>
      <c r="H67" s="266">
        <v>1</v>
      </c>
      <c r="I67" s="267">
        <v>3.5</v>
      </c>
      <c r="J67" s="281">
        <f>j_WEEKDAY(D67,2)</f>
        <v>4</v>
      </c>
      <c r="K67" s="21"/>
      <c r="L67" s="282">
        <f t="shared" si="19"/>
        <v>5</v>
      </c>
      <c r="M67" s="269">
        <v>0</v>
      </c>
      <c r="N67" s="270">
        <v>3</v>
      </c>
      <c r="O67" s="10"/>
      <c r="P67" s="10"/>
      <c r="Q67" s="9"/>
      <c r="R67" s="283"/>
      <c r="S67" s="283"/>
      <c r="T67" s="283"/>
      <c r="U67" s="283"/>
      <c r="V67" s="283"/>
      <c r="W67" s="283"/>
      <c r="X67" s="283"/>
      <c r="Y67" s="283"/>
      <c r="Z67" s="283"/>
      <c r="AA67" s="283"/>
      <c r="AB67" s="283"/>
      <c r="AC67" s="283"/>
      <c r="AD67" s="283"/>
      <c r="AE67" s="283"/>
      <c r="AF67" s="283"/>
      <c r="AG67" s="283"/>
      <c r="AH67" s="283"/>
      <c r="AI67" s="283"/>
      <c r="AJ67" s="283"/>
      <c r="AK67" s="283"/>
      <c r="AL67" s="283"/>
      <c r="AM67" s="283"/>
      <c r="AN67" s="283"/>
      <c r="AO67" s="283"/>
      <c r="AP67" s="283"/>
      <c r="AQ67" s="283"/>
      <c r="AR67" s="283"/>
      <c r="AS67" s="283"/>
      <c r="AT67" s="283"/>
      <c r="AU67" s="283"/>
      <c r="AV67" s="283"/>
      <c r="AW67" s="283"/>
      <c r="AX67" s="283"/>
      <c r="AY67" s="283"/>
      <c r="AZ67" s="283"/>
      <c r="BA67" s="283"/>
      <c r="BB67" s="283"/>
      <c r="BC67" s="283"/>
      <c r="BD67" s="283"/>
      <c r="BE67" s="283"/>
      <c r="BF67" s="283"/>
      <c r="BG67" s="283"/>
      <c r="BH67" s="283"/>
      <c r="BI67" s="283"/>
      <c r="BJ67" s="283"/>
      <c r="BK67" s="283"/>
      <c r="BL67" s="283"/>
      <c r="BM67" s="283"/>
      <c r="BN67" s="283"/>
      <c r="BO67" s="283"/>
      <c r="BP67" s="283"/>
      <c r="BQ67" s="283"/>
      <c r="BR67" s="283"/>
      <c r="BS67" s="283"/>
      <c r="BT67" s="283"/>
      <c r="BU67" s="283"/>
      <c r="BV67" s="283"/>
      <c r="BW67" s="283"/>
      <c r="BX67" s="283"/>
      <c r="BY67" s="283"/>
      <c r="BZ67" s="283"/>
      <c r="CA67" s="283"/>
      <c r="CB67" s="283"/>
      <c r="CC67" s="283"/>
      <c r="CD67" s="283"/>
      <c r="CE67" s="283"/>
      <c r="CF67" s="283"/>
      <c r="CG67" s="283"/>
      <c r="CH67" s="283"/>
      <c r="CI67" s="283"/>
      <c r="CJ67" s="283"/>
      <c r="CK67" s="283"/>
      <c r="CL67" s="283"/>
      <c r="CM67" s="283"/>
      <c r="CN67" s="283"/>
      <c r="CO67" s="283"/>
      <c r="CP67" s="283"/>
      <c r="CQ67" s="283"/>
      <c r="CR67" s="283"/>
      <c r="CS67" s="283"/>
      <c r="CT67" s="283"/>
      <c r="CU67" s="283"/>
      <c r="CV67" s="283"/>
      <c r="CW67" s="283"/>
      <c r="CX67" s="283"/>
      <c r="CY67" s="283"/>
      <c r="CZ67" s="283"/>
      <c r="DA67" s="283"/>
      <c r="DB67" s="283"/>
      <c r="DC67" s="283"/>
      <c r="DD67" s="283"/>
      <c r="DE67" s="283"/>
      <c r="DF67" s="283"/>
      <c r="DG67" s="283"/>
      <c r="DH67" s="283"/>
      <c r="DI67" s="283"/>
      <c r="DJ67" s="283"/>
      <c r="DK67" s="283"/>
      <c r="DL67" s="283"/>
      <c r="DM67" s="283"/>
      <c r="DN67" s="283"/>
      <c r="DO67" s="283"/>
      <c r="DP67" s="283"/>
      <c r="DQ67" s="283"/>
      <c r="DR67" s="283"/>
      <c r="DS67" s="283"/>
      <c r="DT67" s="283"/>
      <c r="DU67" s="283"/>
      <c r="DV67" s="283"/>
      <c r="DW67" s="283"/>
      <c r="DX67" s="283"/>
      <c r="DY67" s="283"/>
      <c r="DZ67" s="283"/>
      <c r="EA67" s="283"/>
      <c r="EB67" s="283"/>
      <c r="EC67" s="283"/>
      <c r="ED67" s="283"/>
      <c r="EE67" s="283"/>
      <c r="EF67" s="283"/>
      <c r="EG67" s="283"/>
      <c r="EH67" s="283"/>
      <c r="EI67" s="283"/>
      <c r="EJ67" s="283"/>
      <c r="EK67" s="283"/>
      <c r="EL67" s="283"/>
      <c r="EM67" s="283"/>
      <c r="EN67" s="283"/>
      <c r="EO67" s="283"/>
      <c r="EP67" s="283"/>
      <c r="EQ67" s="283"/>
      <c r="ER67" s="283"/>
      <c r="ES67" s="283"/>
      <c r="ET67" s="283"/>
      <c r="EU67" s="283"/>
      <c r="EV67" s="283"/>
      <c r="EW67" s="283"/>
      <c r="EX67" s="283"/>
      <c r="EY67" s="283"/>
      <c r="EZ67" s="283"/>
      <c r="FA67" s="283"/>
      <c r="FB67" s="283"/>
      <c r="FC67" s="283"/>
      <c r="FD67" s="283"/>
      <c r="FE67" s="283"/>
      <c r="FF67" s="283"/>
      <c r="FG67" s="283"/>
      <c r="FH67" s="283"/>
      <c r="FI67" s="283"/>
      <c r="FJ67" s="283"/>
      <c r="FK67" s="283"/>
      <c r="FL67" s="283"/>
      <c r="FM67" s="283"/>
      <c r="FN67" s="283"/>
      <c r="FO67" s="283"/>
      <c r="FP67" s="283"/>
      <c r="FQ67" s="283"/>
      <c r="FR67" s="283"/>
      <c r="FS67" s="283"/>
      <c r="FT67" s="283"/>
      <c r="FU67" s="283"/>
      <c r="FV67" s="283"/>
      <c r="FW67" s="283"/>
      <c r="FX67" s="283"/>
      <c r="FY67" s="283"/>
      <c r="FZ67" s="283"/>
      <c r="GA67" s="283"/>
      <c r="GB67" s="283"/>
      <c r="GC67" s="283"/>
      <c r="GD67" s="283"/>
      <c r="GE67" s="283"/>
      <c r="GF67" s="283"/>
      <c r="GG67" s="283"/>
      <c r="GH67" s="283"/>
      <c r="GI67" s="283"/>
      <c r="GJ67" s="283"/>
      <c r="GK67" s="283"/>
      <c r="GL67" s="283"/>
      <c r="GM67" s="283"/>
      <c r="GN67" s="283"/>
      <c r="GO67" s="283"/>
      <c r="GP67" s="283"/>
      <c r="GQ67" s="283"/>
      <c r="GR67" s="283"/>
      <c r="GS67" s="283"/>
      <c r="GT67" s="283"/>
      <c r="GU67" s="283"/>
      <c r="GV67" s="283"/>
      <c r="GW67" s="283"/>
      <c r="GX67" s="283"/>
      <c r="GY67" s="283"/>
      <c r="GZ67" s="283"/>
      <c r="HA67" s="283"/>
      <c r="HB67" s="283"/>
      <c r="HC67" s="283"/>
      <c r="HD67" s="283"/>
      <c r="HE67" s="283"/>
      <c r="HF67" s="283"/>
      <c r="HG67" s="283"/>
      <c r="HH67" s="283"/>
      <c r="HI67" s="283"/>
      <c r="HJ67" s="283"/>
      <c r="HK67" s="283"/>
      <c r="HL67" s="283"/>
      <c r="HM67" s="283"/>
      <c r="HN67" s="283"/>
      <c r="HO67" s="283"/>
      <c r="HP67" s="283"/>
      <c r="HQ67" s="283"/>
      <c r="HR67" s="283"/>
      <c r="HS67" s="283"/>
      <c r="HT67" s="283"/>
      <c r="HU67" s="283"/>
      <c r="HV67" s="283"/>
      <c r="HW67" s="283"/>
      <c r="HX67" s="283"/>
      <c r="HY67" s="283"/>
      <c r="HZ67" s="283"/>
      <c r="IA67" s="283"/>
      <c r="IB67" s="283"/>
      <c r="IC67" s="283"/>
      <c r="ID67" s="283"/>
      <c r="IE67" s="283"/>
      <c r="IF67" s="283"/>
      <c r="IG67" s="283"/>
      <c r="IH67" s="283"/>
      <c r="II67" s="283"/>
      <c r="IJ67" s="283"/>
      <c r="IK67" s="283"/>
      <c r="IL67" s="283"/>
      <c r="IM67" s="283"/>
      <c r="IN67" s="283"/>
      <c r="IO67" s="283"/>
      <c r="IP67" s="283"/>
      <c r="IQ67" s="283"/>
      <c r="IR67" s="283"/>
      <c r="IS67" s="283"/>
      <c r="IT67" s="283"/>
      <c r="IU67" s="283"/>
      <c r="IV67" s="283"/>
      <c r="IW67" s="283"/>
      <c r="IX67" s="283"/>
      <c r="IY67" s="272"/>
      <c r="IZ67" s="272"/>
      <c r="JA67" s="289"/>
      <c r="JB67" s="289"/>
      <c r="JC67" s="289"/>
      <c r="JD67" s="290"/>
    </row>
    <row r="68" spans="1:264" s="291" customFormat="1" ht="13.5">
      <c r="A68" s="292">
        <v>3.16</v>
      </c>
      <c r="B68" s="277" t="s">
        <v>157</v>
      </c>
      <c r="C68" s="263" t="s">
        <v>110</v>
      </c>
      <c r="D68" s="283" t="str">
        <f>IF(OR(j_WEEKDAY(J_ADDDAY(VLOOKUP(I68,A:F,6,FALSE),H68,1),0)=6,SUMIFS(Holieday[ok],Holieday[date],J_ADDDAY(VLOOKUP(I68,A:F,6,FALSE),H68,1)))=FALSE(),J_ADDDAY(VLOOKUP(I68,A:F,6,FALSE),H68,1),IF(OR(j_WEEKDAY(J_ADDDAY(VLOOKUP(I68,A:F,6,FALSE),H68+1,1),0)=6,SUMIFS(Holieday[ok],Holieday[date],J_ADDDAY(VLOOKUP(I68,A:F,6,FALSE),H68+1,1)))=FALSE(),J_ADDDAY(VLOOKUP(I68,A:F,6,FALSE),H68+1,1),IF(OR(j_WEEKDAY(J_ADDDAY(VLOOKUP(I68,A:F,6,FALSE),H68+2,1),0)=6,SUMIFS(Holieday[ok],Holieday[date],J_ADDDAY(VLOOKUP(I68,A:F,6,FALSE),H68+2,1)))=FALSE(),J_ADDDAY(VLOOKUP(I68,A:F,6,FALSE),H68+2,1),IF(OR(j_WEEKDAY(J_ADDDAY(VLOOKUP(I68,A:F,6,FALSE),H68+3,1),0)=6,SUMIFS(Holieday[ok],Holieday[date],J_ADDDAY(VLOOKUP(I68,A:F,6,FALSE),H68+3,1)))=FALSE(),J_ADDDAY(VLOOKUP(I68,A:F,6,FALSE),H68+3,1),IF(OR(j_WEEKDAY(J_ADDDAY(VLOOKUP(I68,A:F,6,FALSE),H68+4,1),0)=6,SUMIFS(Holieday[ok],Holieday[date],J_ADDDAY(VLOOKUP(I68,A:F,6,FALSE),H68+4,1)))=FALSE(),J_ADDDAY(VLOOKUP(I68,A:F,6,FALSE),H68+4,1),J_ADDDAY(VLOOKUP(I68,A:F,6,FALSE),H68+5,1))))))</f>
        <v>1398/07/29</v>
      </c>
      <c r="E68" s="1">
        <f t="shared" si="15"/>
        <v>13980729</v>
      </c>
      <c r="F68" s="287" t="str">
        <f>IF(N68=0,J_SUBDAY(D68,1,1),IF((N68-(NETWORKDAYS.INTL(J_GregorianDate(D68,1),J_GregorianDate(J_SUBDAY(J_ADDDAY(D68,N68,1),1,1),1),16,1)))+SUMIFS(Holieday[ok],Holieday[date],CONCATENATE("&gt;","=",D68),Holieday[date],CONCATENATE("&lt;","=",J_SUBDAY(J_ADDDAY(D68,N68,1),1,1)))-SUMIFS(Holieday[Friday],Holieday[date],CONCATENATE("&gt;","=",D68),Holieday[date],CONCATENATE("&lt;","=",J_SUBDAY(J_ADDDAY(D68,N68,1),1,1)))=0,J_SUBDAY(J_ADDDAY(D68,N68,1),1,1),IF((N68+1-(NETWORKDAYS.INTL(J_GregorianDate(D68,1),J_GregorianDate(J_SUBDAY(J_ADDDAY(D68,N68+1,1),1,1),1),16,1)))+SUMIFS(Holieday[ok],Holieday[date],CONCATENATE("&gt;","=",D68),Holieday[date],CONCATENATE("&lt;","=",J_SUBDAY(J_ADDDAY(D68,N68+1,1),1,1)))-SUMIFS(Holieday[Friday],Holieday[date],CONCATENATE("&gt;","=",D68),Holieday[date],CONCATENATE("&lt;","=",J_SUBDAY(J_ADDDAY(D68,N68+1,1),1,1)))=1,J_SUBDAY(J_ADDDAY(D68,N68+1,1),1,1),IF((N68+2-(NETWORKDAYS.INTL(J_GregorianDate(D68,1),J_GregorianDate(J_SUBDAY(J_ADDDAY(D68,N68+2,1),1,1),1),16,1)))+SUMIFS(Holieday[ok],Holieday[date],CONCATENATE("&gt;","=",D68),Holieday[date],CONCATENATE("&lt;","=",J_SUBDAY(J_ADDDAY(D68,N68+2,1),1,1)))-SUMIFS(Holieday[Friday],Holieday[date],CONCATENATE("&gt;","=",D68),Holieday[date],CONCATENATE("&lt;","=",J_SUBDAY(J_ADDDAY(D68,N68+2,1),1,1)))=2,J_SUBDAY(J_ADDDAY(D68,N68+2,1),1,1),IF((N68+3-(NETWORKDAYS.INTL(J_GregorianDate(D68,1),J_GregorianDate(J_SUBDAY(J_ADDDAY(D68,N68+3,1),1,1),1),16,1)))+SUMIFS(Holieday[ok],Holieday[date],CONCATENATE("&gt;","=",D68),Holieday[date],CONCATENATE("&lt;","=",J_SUBDAY(J_ADDDAY(D68,N68+3,1),1,1)))-SUMIFS(Holieday[Friday],Holieday[date],CONCATENATE("&gt;","=",D68),Holieday[date],CONCATENATE("&lt;","=",J_SUBDAY(J_ADDDAY(D68,N68+3,1),1,1)))=3,J_SUBDAY(J_ADDDAY(D68,N68+3,1),1,1),IF((N68+4-(NETWORKDAYS.INTL(J_GregorianDate(D68,1),J_GregorianDate(J_SUBDAY(J_ADDDAY(D68,N68+4,1),1,1),1),16,1)))+SUMIFS(Holieday[ok],Holieday[date],CONCATENATE("&gt;","=",D68),Holieday[date],CONCATENATE("&lt;","=",J_SUBDAY(J_ADDDAY(D68,N68+4,1),1,1)))-SUMIFS(Holieday[Friday],Holieday[date],CONCATENATE("&gt;","=",D68),Holieday[date],CONCATENATE("&lt;","=",J_SUBDAY(J_ADDDAY(D68,N68+4,1),1,1)))=4,J_SUBDAY(J_ADDDAY(D68,N68+4,1),1,1),IF((N68+5-(NETWORKDAYS.INTL(J_GregorianDate(D68,1),J_GregorianDate(J_SUBDAY(J_ADDDAY(D68,N68+5,1),1,1),1),16,1)))+SUMIFS(Holieday[ok],Holieday[date],CONCATENATE("&gt;","=",D68),Holieday[date],CONCATENATE("&lt;","=",J_SUBDAY(J_ADDDAY(D68,N68+5,1),1,1)))-SUMIFS(Holieday[Friday],Holieday[date],CONCATENATE("&gt;","=",D68),Holieday[date],CONCATENATE("&lt;","=",J_SUBDAY(J_ADDDAY(D68,N68+5,1),1,1)))=5,J_SUBDAY(J_ADDDAY(D68,N68+5,1),1,1),J_SUBDAY(J_ADDDAY(D68,N68+6,1),1,1))))))))</f>
        <v>1398/08/01</v>
      </c>
      <c r="G68" s="2">
        <f t="shared" si="16"/>
        <v>13980801</v>
      </c>
      <c r="H68" s="266">
        <v>1</v>
      </c>
      <c r="I68" s="267">
        <v>3.15</v>
      </c>
      <c r="J68" s="281">
        <f>j_WEEKDAY(D68,2)</f>
        <v>2</v>
      </c>
      <c r="K68" s="21">
        <f t="shared" si="18"/>
        <v>0</v>
      </c>
      <c r="L68" s="282">
        <f t="shared" si="19"/>
        <v>3</v>
      </c>
      <c r="M68" s="269">
        <v>0</v>
      </c>
      <c r="N68" s="270">
        <v>3</v>
      </c>
      <c r="O68" s="10">
        <f t="shared" si="17"/>
        <v>0</v>
      </c>
      <c r="P68" s="10">
        <f>VALUE(J_normdate(J_ADDDAY($D68,$O68,1)))</f>
        <v>13980729</v>
      </c>
      <c r="Q68" s="9">
        <f t="shared" si="14"/>
        <v>3</v>
      </c>
      <c r="R68" s="283"/>
      <c r="S68" s="283"/>
      <c r="T68" s="283"/>
      <c r="U68" s="283"/>
      <c r="V68" s="283"/>
      <c r="W68" s="283"/>
      <c r="X68" s="283"/>
      <c r="Y68" s="283"/>
      <c r="Z68" s="283"/>
      <c r="AA68" s="283"/>
      <c r="AB68" s="283"/>
      <c r="AC68" s="283"/>
      <c r="AD68" s="283"/>
      <c r="AE68" s="283"/>
      <c r="AF68" s="283"/>
      <c r="AG68" s="283"/>
      <c r="AH68" s="283"/>
      <c r="AI68" s="283"/>
      <c r="AJ68" s="283"/>
      <c r="AK68" s="283"/>
      <c r="AL68" s="283"/>
      <c r="AM68" s="283"/>
      <c r="AN68" s="283"/>
      <c r="AO68" s="283"/>
      <c r="AP68" s="283"/>
      <c r="AQ68" s="283"/>
      <c r="AR68" s="283"/>
      <c r="AS68" s="283"/>
      <c r="AT68" s="283"/>
      <c r="AU68" s="283"/>
      <c r="AV68" s="283"/>
      <c r="AW68" s="283"/>
      <c r="AX68" s="283"/>
      <c r="AY68" s="283"/>
      <c r="AZ68" s="283"/>
      <c r="BA68" s="283"/>
      <c r="BB68" s="283"/>
      <c r="BC68" s="283"/>
      <c r="BD68" s="283"/>
      <c r="BE68" s="283"/>
      <c r="BF68" s="283"/>
      <c r="BG68" s="283"/>
      <c r="BH68" s="283"/>
      <c r="BI68" s="283"/>
      <c r="BJ68" s="283"/>
      <c r="BK68" s="283"/>
      <c r="BL68" s="283"/>
      <c r="BM68" s="283"/>
      <c r="BN68" s="283"/>
      <c r="BO68" s="283"/>
      <c r="BP68" s="283"/>
      <c r="BQ68" s="283"/>
      <c r="BR68" s="283"/>
      <c r="BS68" s="283"/>
      <c r="BT68" s="283"/>
      <c r="BU68" s="283"/>
      <c r="BV68" s="283"/>
      <c r="BW68" s="283"/>
      <c r="BX68" s="283"/>
      <c r="BY68" s="283"/>
      <c r="BZ68" s="283"/>
      <c r="CA68" s="283"/>
      <c r="CB68" s="283"/>
      <c r="CC68" s="283"/>
      <c r="CD68" s="283"/>
      <c r="CE68" s="283"/>
      <c r="CF68" s="283"/>
      <c r="CG68" s="283"/>
      <c r="CH68" s="283"/>
      <c r="CI68" s="283"/>
      <c r="CJ68" s="283"/>
      <c r="CK68" s="283"/>
      <c r="CL68" s="283"/>
      <c r="CM68" s="283"/>
      <c r="CN68" s="283"/>
      <c r="CO68" s="283"/>
      <c r="CP68" s="283"/>
      <c r="CQ68" s="283"/>
      <c r="CR68" s="283"/>
      <c r="CS68" s="283"/>
      <c r="CT68" s="283"/>
      <c r="CU68" s="283"/>
      <c r="CV68" s="283"/>
      <c r="CW68" s="283"/>
      <c r="CX68" s="283"/>
      <c r="CY68" s="283"/>
      <c r="CZ68" s="283"/>
      <c r="DA68" s="283"/>
      <c r="DB68" s="283"/>
      <c r="DC68" s="283"/>
      <c r="DD68" s="283"/>
      <c r="DE68" s="283"/>
      <c r="DF68" s="283"/>
      <c r="DG68" s="283"/>
      <c r="DH68" s="283"/>
      <c r="DI68" s="283"/>
      <c r="DJ68" s="283"/>
      <c r="DK68" s="283"/>
      <c r="DL68" s="283"/>
      <c r="DM68" s="283"/>
      <c r="DN68" s="283"/>
      <c r="DO68" s="283"/>
      <c r="DP68" s="283"/>
      <c r="DQ68" s="283"/>
      <c r="DR68" s="283"/>
      <c r="DS68" s="283"/>
      <c r="DT68" s="283"/>
      <c r="DU68" s="283"/>
      <c r="DV68" s="283"/>
      <c r="DW68" s="283"/>
      <c r="DX68" s="283"/>
      <c r="DY68" s="283"/>
      <c r="DZ68" s="283"/>
      <c r="EA68" s="283"/>
      <c r="EB68" s="283"/>
      <c r="EC68" s="283"/>
      <c r="ED68" s="283"/>
      <c r="EE68" s="283"/>
      <c r="EF68" s="283"/>
      <c r="EG68" s="283"/>
      <c r="EH68" s="283"/>
      <c r="EI68" s="283"/>
      <c r="EJ68" s="283"/>
      <c r="EK68" s="283"/>
      <c r="EL68" s="283"/>
      <c r="EM68" s="283"/>
      <c r="EN68" s="283"/>
      <c r="EO68" s="283"/>
      <c r="EP68" s="283"/>
      <c r="EQ68" s="283"/>
      <c r="ER68" s="283"/>
      <c r="ES68" s="283"/>
      <c r="ET68" s="283"/>
      <c r="EU68" s="283"/>
      <c r="EV68" s="283"/>
      <c r="EW68" s="283"/>
      <c r="EX68" s="283"/>
      <c r="EY68" s="283"/>
      <c r="EZ68" s="283"/>
      <c r="FA68" s="283"/>
      <c r="FB68" s="283"/>
      <c r="FC68" s="283"/>
      <c r="FD68" s="283"/>
      <c r="FE68" s="283"/>
      <c r="FF68" s="283"/>
      <c r="FG68" s="283"/>
      <c r="FH68" s="283"/>
      <c r="FI68" s="283"/>
      <c r="FJ68" s="283"/>
      <c r="FK68" s="283"/>
      <c r="FL68" s="283"/>
      <c r="FM68" s="283"/>
      <c r="FN68" s="283"/>
      <c r="FO68" s="283"/>
      <c r="FP68" s="283"/>
      <c r="FQ68" s="283"/>
      <c r="FR68" s="283"/>
      <c r="FS68" s="283"/>
      <c r="FT68" s="283"/>
      <c r="FU68" s="283"/>
      <c r="FV68" s="283"/>
      <c r="FW68" s="283"/>
      <c r="FX68" s="283"/>
      <c r="FY68" s="283"/>
      <c r="FZ68" s="283"/>
      <c r="GA68" s="283"/>
      <c r="GB68" s="283"/>
      <c r="GC68" s="283"/>
      <c r="GD68" s="283"/>
      <c r="GE68" s="283"/>
      <c r="GF68" s="283"/>
      <c r="GG68" s="283"/>
      <c r="GH68" s="283"/>
      <c r="GI68" s="283"/>
      <c r="GJ68" s="283"/>
      <c r="GK68" s="283"/>
      <c r="GL68" s="283"/>
      <c r="GM68" s="283"/>
      <c r="GN68" s="283"/>
      <c r="GO68" s="283"/>
      <c r="GP68" s="283"/>
      <c r="GQ68" s="283"/>
      <c r="GR68" s="283"/>
      <c r="GS68" s="283"/>
      <c r="GT68" s="283"/>
      <c r="GU68" s="283"/>
      <c r="GV68" s="283"/>
      <c r="GW68" s="283"/>
      <c r="GX68" s="283"/>
      <c r="GY68" s="283"/>
      <c r="GZ68" s="283"/>
      <c r="HA68" s="283"/>
      <c r="HB68" s="283"/>
      <c r="HC68" s="283"/>
      <c r="HD68" s="283"/>
      <c r="HE68" s="283"/>
      <c r="HF68" s="283"/>
      <c r="HG68" s="283"/>
      <c r="HH68" s="283"/>
      <c r="HI68" s="283"/>
      <c r="HJ68" s="283"/>
      <c r="HK68" s="283"/>
      <c r="HL68" s="283"/>
      <c r="HM68" s="283"/>
      <c r="HN68" s="283"/>
      <c r="HO68" s="283"/>
      <c r="HP68" s="283"/>
      <c r="HQ68" s="283"/>
      <c r="HR68" s="283"/>
      <c r="HS68" s="283"/>
      <c r="HT68" s="283"/>
      <c r="HU68" s="283"/>
      <c r="HV68" s="283"/>
      <c r="HW68" s="283"/>
      <c r="HX68" s="283"/>
      <c r="HY68" s="283"/>
      <c r="HZ68" s="283"/>
      <c r="IA68" s="283"/>
      <c r="IB68" s="283"/>
      <c r="IC68" s="283"/>
      <c r="ID68" s="283"/>
      <c r="IE68" s="283"/>
      <c r="IF68" s="283"/>
      <c r="IG68" s="283"/>
      <c r="IH68" s="283"/>
      <c r="II68" s="283"/>
      <c r="IJ68" s="283"/>
      <c r="IK68" s="283"/>
      <c r="IL68" s="283"/>
      <c r="IM68" s="283"/>
      <c r="IN68" s="283"/>
      <c r="IO68" s="283"/>
      <c r="IP68" s="283"/>
      <c r="IQ68" s="283"/>
      <c r="IR68" s="283"/>
      <c r="IS68" s="283"/>
      <c r="IT68" s="283"/>
      <c r="IU68" s="283"/>
      <c r="IV68" s="283"/>
      <c r="IW68" s="283"/>
      <c r="IX68" s="283"/>
      <c r="JA68" s="289"/>
      <c r="JB68" s="289"/>
      <c r="JC68" s="289"/>
      <c r="JD68" s="290">
        <f>SUM((TEXT(JA68,"[M]")/60)*'Income Person-hours'!$D$3,(TEXT(JB68,"[M]")/60)*'Income Person-hours'!$D$4,(TEXT(JC68,"[M]")/60)*'Income Person-hours'!$D$5)</f>
        <v>0</v>
      </c>
    </row>
    <row r="69" spans="1:264" s="291" customFormat="1" ht="13.5">
      <c r="A69" s="292">
        <v>3.17</v>
      </c>
      <c r="B69" s="277" t="s">
        <v>173</v>
      </c>
      <c r="C69" s="263" t="s">
        <v>111</v>
      </c>
      <c r="D69" s="283" t="str">
        <f>IF(OR(j_WEEKDAY(J_ADDDAY(VLOOKUP(I69,A:F,6,FALSE),H69,1),0)=6,SUMIFS(Holieday[ok],Holieday[date],J_ADDDAY(VLOOKUP(I69,A:F,6,FALSE),H69,1)))=FALSE(),J_ADDDAY(VLOOKUP(I69,A:F,6,FALSE),H69,1),IF(OR(j_WEEKDAY(J_ADDDAY(VLOOKUP(I69,A:F,6,FALSE),H69+1,1),0)=6,SUMIFS(Holieday[ok],Holieday[date],J_ADDDAY(VLOOKUP(I69,A:F,6,FALSE),H69+1,1)))=FALSE(),J_ADDDAY(VLOOKUP(I69,A:F,6,FALSE),H69+1,1),IF(OR(j_WEEKDAY(J_ADDDAY(VLOOKUP(I69,A:F,6,FALSE),H69+2,1),0)=6,SUMIFS(Holieday[ok],Holieday[date],J_ADDDAY(VLOOKUP(I69,A:F,6,FALSE),H69+2,1)))=FALSE(),J_ADDDAY(VLOOKUP(I69,A:F,6,FALSE),H69+2,1),IF(OR(j_WEEKDAY(J_ADDDAY(VLOOKUP(I69,A:F,6,FALSE),H69+3,1),0)=6,SUMIFS(Holieday[ok],Holieday[date],J_ADDDAY(VLOOKUP(I69,A:F,6,FALSE),H69+3,1)))=FALSE(),J_ADDDAY(VLOOKUP(I69,A:F,6,FALSE),H69+3,1),IF(OR(j_WEEKDAY(J_ADDDAY(VLOOKUP(I69,A:F,6,FALSE),H69+4,1),0)=6,SUMIFS(Holieday[ok],Holieday[date],J_ADDDAY(VLOOKUP(I69,A:F,6,FALSE),H69+4,1)))=FALSE(),J_ADDDAY(VLOOKUP(I69,A:F,6,FALSE),H69+4,1),J_ADDDAY(VLOOKUP(I69,A:F,6,FALSE),H69+5,1))))))</f>
        <v>1398/07/29</v>
      </c>
      <c r="E69" s="1"/>
      <c r="F69" s="287" t="str">
        <f>IF(N69=0,J_SUBDAY(D69,1,1),IF((N69-(NETWORKDAYS.INTL(J_GregorianDate(D69,1),J_GregorianDate(J_SUBDAY(J_ADDDAY(D69,N69,1),1,1),1),16,1)))+SUMIFS(Holieday[ok],Holieday[date],CONCATENATE("&gt;","=",D69),Holieday[date],CONCATENATE("&lt;","=",J_SUBDAY(J_ADDDAY(D69,N69,1),1,1)))-SUMIFS(Holieday[Friday],Holieday[date],CONCATENATE("&gt;","=",D69),Holieday[date],CONCATENATE("&lt;","=",J_SUBDAY(J_ADDDAY(D69,N69,1),1,1)))=0,J_SUBDAY(J_ADDDAY(D69,N69,1),1,1),IF((N69+1-(NETWORKDAYS.INTL(J_GregorianDate(D69,1),J_GregorianDate(J_SUBDAY(J_ADDDAY(D69,N69+1,1),1,1),1),16,1)))+SUMIFS(Holieday[ok],Holieday[date],CONCATENATE("&gt;","=",D69),Holieday[date],CONCATENATE("&lt;","=",J_SUBDAY(J_ADDDAY(D69,N69+1,1),1,1)))-SUMIFS(Holieday[Friday],Holieday[date],CONCATENATE("&gt;","=",D69),Holieday[date],CONCATENATE("&lt;","=",J_SUBDAY(J_ADDDAY(D69,N69+1,1),1,1)))=1,J_SUBDAY(J_ADDDAY(D69,N69+1,1),1,1),IF((N69+2-(NETWORKDAYS.INTL(J_GregorianDate(D69,1),J_GregorianDate(J_SUBDAY(J_ADDDAY(D69,N69+2,1),1,1),1),16,1)))+SUMIFS(Holieday[ok],Holieday[date],CONCATENATE("&gt;","=",D69),Holieday[date],CONCATENATE("&lt;","=",J_SUBDAY(J_ADDDAY(D69,N69+2,1),1,1)))-SUMIFS(Holieday[Friday],Holieday[date],CONCATENATE("&gt;","=",D69),Holieday[date],CONCATENATE("&lt;","=",J_SUBDAY(J_ADDDAY(D69,N69+2,1),1,1)))=2,J_SUBDAY(J_ADDDAY(D69,N69+2,1),1,1),IF((N69+3-(NETWORKDAYS.INTL(J_GregorianDate(D69,1),J_GregorianDate(J_SUBDAY(J_ADDDAY(D69,N69+3,1),1,1),1),16,1)))+SUMIFS(Holieday[ok],Holieday[date],CONCATENATE("&gt;","=",D69),Holieday[date],CONCATENATE("&lt;","=",J_SUBDAY(J_ADDDAY(D69,N69+3,1),1,1)))-SUMIFS(Holieday[Friday],Holieday[date],CONCATENATE("&gt;","=",D69),Holieday[date],CONCATENATE("&lt;","=",J_SUBDAY(J_ADDDAY(D69,N69+3,1),1,1)))=3,J_SUBDAY(J_ADDDAY(D69,N69+3,1),1,1),IF((N69+4-(NETWORKDAYS.INTL(J_GregorianDate(D69,1),J_GregorianDate(J_SUBDAY(J_ADDDAY(D69,N69+4,1),1,1),1),16,1)))+SUMIFS(Holieday[ok],Holieday[date],CONCATENATE("&gt;","=",D69),Holieday[date],CONCATENATE("&lt;","=",J_SUBDAY(J_ADDDAY(D69,N69+4,1),1,1)))-SUMIFS(Holieday[Friday],Holieday[date],CONCATENATE("&gt;","=",D69),Holieday[date],CONCATENATE("&lt;","=",J_SUBDAY(J_ADDDAY(D69,N69+4,1),1,1)))=4,J_SUBDAY(J_ADDDAY(D69,N69+4,1),1,1),IF((N69+5-(NETWORKDAYS.INTL(J_GregorianDate(D69,1),J_GregorianDate(J_SUBDAY(J_ADDDAY(D69,N69+5,1),1,1),1),16,1)))+SUMIFS(Holieday[ok],Holieday[date],CONCATENATE("&gt;","=",D69),Holieday[date],CONCATENATE("&lt;","=",J_SUBDAY(J_ADDDAY(D69,N69+5,1),1,1)))-SUMIFS(Holieday[Friday],Holieday[date],CONCATENATE("&gt;","=",D69),Holieday[date],CONCATENATE("&lt;","=",J_SUBDAY(J_ADDDAY(D69,N69+5,1),1,1)))=5,J_SUBDAY(J_ADDDAY(D69,N69+5,1),1,1),J_SUBDAY(J_ADDDAY(D69,N69+6,1),1,1))))))))</f>
        <v>1398/07/30</v>
      </c>
      <c r="G69" s="2"/>
      <c r="H69" s="266">
        <v>1</v>
      </c>
      <c r="I69" s="267">
        <v>3.6</v>
      </c>
      <c r="J69" s="281">
        <f>j_WEEKDAY(D69,2)</f>
        <v>2</v>
      </c>
      <c r="K69" s="21"/>
      <c r="L69" s="282">
        <f t="shared" si="19"/>
        <v>2</v>
      </c>
      <c r="M69" s="269">
        <v>0</v>
      </c>
      <c r="N69" s="270">
        <v>2</v>
      </c>
      <c r="O69" s="10"/>
      <c r="P69" s="10"/>
      <c r="Q69" s="9"/>
      <c r="R69" s="283"/>
      <c r="S69" s="283"/>
      <c r="T69" s="283"/>
      <c r="U69" s="283"/>
      <c r="V69" s="283"/>
      <c r="W69" s="283"/>
      <c r="X69" s="283"/>
      <c r="Y69" s="283"/>
      <c r="Z69" s="283"/>
      <c r="AA69" s="283"/>
      <c r="AB69" s="283"/>
      <c r="AC69" s="283"/>
      <c r="AD69" s="283"/>
      <c r="AE69" s="283"/>
      <c r="AF69" s="283"/>
      <c r="AG69" s="283"/>
      <c r="AH69" s="283"/>
      <c r="AI69" s="283"/>
      <c r="AJ69" s="283"/>
      <c r="AK69" s="283"/>
      <c r="AL69" s="283"/>
      <c r="AM69" s="283"/>
      <c r="AN69" s="283"/>
      <c r="AO69" s="283"/>
      <c r="AP69" s="283"/>
      <c r="AQ69" s="283"/>
      <c r="AR69" s="283"/>
      <c r="AS69" s="283"/>
      <c r="AT69" s="283"/>
      <c r="AU69" s="283"/>
      <c r="AV69" s="283"/>
      <c r="AW69" s="283"/>
      <c r="AX69" s="283"/>
      <c r="AY69" s="283"/>
      <c r="AZ69" s="283"/>
      <c r="BA69" s="283"/>
      <c r="BB69" s="283"/>
      <c r="BC69" s="283"/>
      <c r="BD69" s="283"/>
      <c r="BE69" s="283"/>
      <c r="BF69" s="283"/>
      <c r="BG69" s="283"/>
      <c r="BH69" s="283"/>
      <c r="BI69" s="283"/>
      <c r="BJ69" s="283"/>
      <c r="BK69" s="283"/>
      <c r="BL69" s="283"/>
      <c r="BM69" s="283"/>
      <c r="BN69" s="283"/>
      <c r="BO69" s="283"/>
      <c r="BP69" s="283"/>
      <c r="BQ69" s="283"/>
      <c r="BR69" s="283"/>
      <c r="BS69" s="283"/>
      <c r="BT69" s="283"/>
      <c r="BU69" s="283"/>
      <c r="BV69" s="283"/>
      <c r="BW69" s="283"/>
      <c r="BX69" s="283"/>
      <c r="BY69" s="283"/>
      <c r="BZ69" s="283"/>
      <c r="CA69" s="283"/>
      <c r="CB69" s="283"/>
      <c r="CC69" s="283"/>
      <c r="CD69" s="283"/>
      <c r="CE69" s="283"/>
      <c r="CF69" s="283"/>
      <c r="CG69" s="283"/>
      <c r="CH69" s="283"/>
      <c r="CI69" s="283"/>
      <c r="CJ69" s="283"/>
      <c r="CK69" s="283"/>
      <c r="CL69" s="283"/>
      <c r="CM69" s="283"/>
      <c r="CN69" s="283"/>
      <c r="CO69" s="283"/>
      <c r="CP69" s="283"/>
      <c r="CQ69" s="283"/>
      <c r="CR69" s="283"/>
      <c r="CS69" s="283"/>
      <c r="CT69" s="283"/>
      <c r="CU69" s="283"/>
      <c r="CV69" s="283"/>
      <c r="CW69" s="283"/>
      <c r="CX69" s="283"/>
      <c r="CY69" s="283"/>
      <c r="CZ69" s="283"/>
      <c r="DA69" s="283"/>
      <c r="DB69" s="283"/>
      <c r="DC69" s="283"/>
      <c r="DD69" s="283"/>
      <c r="DE69" s="283"/>
      <c r="DF69" s="283"/>
      <c r="DG69" s="283"/>
      <c r="DH69" s="283"/>
      <c r="DI69" s="283"/>
      <c r="DJ69" s="283"/>
      <c r="DK69" s="283"/>
      <c r="DL69" s="283"/>
      <c r="DM69" s="283"/>
      <c r="DN69" s="283"/>
      <c r="DO69" s="283"/>
      <c r="DP69" s="283"/>
      <c r="DQ69" s="283"/>
      <c r="DR69" s="283"/>
      <c r="DS69" s="283"/>
      <c r="DT69" s="283"/>
      <c r="DU69" s="283"/>
      <c r="DV69" s="283"/>
      <c r="DW69" s="283"/>
      <c r="DX69" s="283"/>
      <c r="DY69" s="283"/>
      <c r="DZ69" s="283"/>
      <c r="EA69" s="283"/>
      <c r="EB69" s="283"/>
      <c r="EC69" s="283"/>
      <c r="ED69" s="283"/>
      <c r="EE69" s="283"/>
      <c r="EF69" s="283"/>
      <c r="EG69" s="283"/>
      <c r="EH69" s="283"/>
      <c r="EI69" s="283"/>
      <c r="EJ69" s="283"/>
      <c r="EK69" s="283"/>
      <c r="EL69" s="283"/>
      <c r="EM69" s="283"/>
      <c r="EN69" s="283"/>
      <c r="EO69" s="283"/>
      <c r="EP69" s="283"/>
      <c r="EQ69" s="283"/>
      <c r="ER69" s="283"/>
      <c r="ES69" s="283"/>
      <c r="ET69" s="283"/>
      <c r="EU69" s="283"/>
      <c r="EV69" s="283"/>
      <c r="EW69" s="283"/>
      <c r="EX69" s="283"/>
      <c r="EY69" s="283"/>
      <c r="EZ69" s="283"/>
      <c r="FA69" s="283"/>
      <c r="FB69" s="283"/>
      <c r="FC69" s="283"/>
      <c r="FD69" s="283"/>
      <c r="FE69" s="283"/>
      <c r="FF69" s="283"/>
      <c r="FG69" s="283"/>
      <c r="FH69" s="283"/>
      <c r="FI69" s="283"/>
      <c r="FJ69" s="283"/>
      <c r="FK69" s="283"/>
      <c r="FL69" s="283"/>
      <c r="FM69" s="283"/>
      <c r="FN69" s="283"/>
      <c r="FO69" s="283"/>
      <c r="FP69" s="283"/>
      <c r="FQ69" s="283"/>
      <c r="FR69" s="283"/>
      <c r="FS69" s="283"/>
      <c r="FT69" s="283"/>
      <c r="FU69" s="283"/>
      <c r="FV69" s="283"/>
      <c r="FW69" s="283"/>
      <c r="FX69" s="283"/>
      <c r="FY69" s="283"/>
      <c r="FZ69" s="283"/>
      <c r="GA69" s="283"/>
      <c r="GB69" s="283"/>
      <c r="GC69" s="283"/>
      <c r="GD69" s="283"/>
      <c r="GE69" s="283"/>
      <c r="GF69" s="283"/>
      <c r="GG69" s="283"/>
      <c r="GH69" s="283"/>
      <c r="GI69" s="283"/>
      <c r="GJ69" s="283"/>
      <c r="GK69" s="283"/>
      <c r="GL69" s="283"/>
      <c r="GM69" s="283"/>
      <c r="GN69" s="283"/>
      <c r="GO69" s="283"/>
      <c r="GP69" s="283"/>
      <c r="GQ69" s="283"/>
      <c r="GR69" s="283"/>
      <c r="GS69" s="283"/>
      <c r="GT69" s="283"/>
      <c r="GU69" s="283"/>
      <c r="GV69" s="283"/>
      <c r="GW69" s="283"/>
      <c r="GX69" s="283"/>
      <c r="GY69" s="283"/>
      <c r="GZ69" s="283"/>
      <c r="HA69" s="283"/>
      <c r="HB69" s="283"/>
      <c r="HC69" s="283"/>
      <c r="HD69" s="283"/>
      <c r="HE69" s="283"/>
      <c r="HF69" s="283"/>
      <c r="HG69" s="283"/>
      <c r="HH69" s="283"/>
      <c r="HI69" s="283"/>
      <c r="HJ69" s="283"/>
      <c r="HK69" s="283"/>
      <c r="HL69" s="283"/>
      <c r="HM69" s="283"/>
      <c r="HN69" s="283"/>
      <c r="HO69" s="283"/>
      <c r="HP69" s="283"/>
      <c r="HQ69" s="283"/>
      <c r="HR69" s="283"/>
      <c r="HS69" s="283"/>
      <c r="HT69" s="283"/>
      <c r="HU69" s="283"/>
      <c r="HV69" s="283"/>
      <c r="HW69" s="283"/>
      <c r="HX69" s="283"/>
      <c r="HY69" s="283"/>
      <c r="HZ69" s="283"/>
      <c r="IA69" s="283"/>
      <c r="IB69" s="283"/>
      <c r="IC69" s="283"/>
      <c r="ID69" s="283"/>
      <c r="IE69" s="283"/>
      <c r="IF69" s="283"/>
      <c r="IG69" s="283"/>
      <c r="IH69" s="283"/>
      <c r="II69" s="283"/>
      <c r="IJ69" s="283"/>
      <c r="IK69" s="283"/>
      <c r="IL69" s="283"/>
      <c r="IM69" s="283"/>
      <c r="IN69" s="283"/>
      <c r="IO69" s="283"/>
      <c r="IP69" s="283"/>
      <c r="IQ69" s="283"/>
      <c r="IR69" s="283"/>
      <c r="IS69" s="283"/>
      <c r="IT69" s="283"/>
      <c r="IU69" s="283"/>
      <c r="IV69" s="283"/>
      <c r="IW69" s="283"/>
      <c r="IX69" s="283"/>
      <c r="JA69" s="289"/>
      <c r="JB69" s="289"/>
      <c r="JC69" s="289"/>
      <c r="JD69" s="290"/>
    </row>
    <row r="70" spans="1:264" s="291" customFormat="1" ht="13.5">
      <c r="A70" s="292">
        <v>3.18</v>
      </c>
      <c r="B70" s="277" t="s">
        <v>174</v>
      </c>
      <c r="C70" s="263" t="s">
        <v>110</v>
      </c>
      <c r="D70" s="283" t="str">
        <f>IF(OR(j_WEEKDAY(J_ADDDAY(VLOOKUP(I70,A:F,6,FALSE),H70,1),0)=6,SUMIFS(Holieday[ok],Holieday[date],J_ADDDAY(VLOOKUP(I70,A:F,6,FALSE),H70,1)))=FALSE(),J_ADDDAY(VLOOKUP(I70,A:F,6,FALSE),H70,1),IF(OR(j_WEEKDAY(J_ADDDAY(VLOOKUP(I70,A:F,6,FALSE),H70+1,1),0)=6,SUMIFS(Holieday[ok],Holieday[date],J_ADDDAY(VLOOKUP(I70,A:F,6,FALSE),H70+1,1)))=FALSE(),J_ADDDAY(VLOOKUP(I70,A:F,6,FALSE),H70+1,1),IF(OR(j_WEEKDAY(J_ADDDAY(VLOOKUP(I70,A:F,6,FALSE),H70+2,1),0)=6,SUMIFS(Holieday[ok],Holieday[date],J_ADDDAY(VLOOKUP(I70,A:F,6,FALSE),H70+2,1)))=FALSE(),J_ADDDAY(VLOOKUP(I70,A:F,6,FALSE),H70+2,1),IF(OR(j_WEEKDAY(J_ADDDAY(VLOOKUP(I70,A:F,6,FALSE),H70+3,1),0)=6,SUMIFS(Holieday[ok],Holieday[date],J_ADDDAY(VLOOKUP(I70,A:F,6,FALSE),H70+3,1)))=FALSE(),J_ADDDAY(VLOOKUP(I70,A:F,6,FALSE),H70+3,1),IF(OR(j_WEEKDAY(J_ADDDAY(VLOOKUP(I70,A:F,6,FALSE),H70+4,1),0)=6,SUMIFS(Holieday[ok],Holieday[date],J_ADDDAY(VLOOKUP(I70,A:F,6,FALSE),H70+4,1)))=FALSE(),J_ADDDAY(VLOOKUP(I70,A:F,6,FALSE),H70+4,1),J_ADDDAY(VLOOKUP(I70,A:F,6,FALSE),H70+5,1))))))</f>
        <v>1398/08/01</v>
      </c>
      <c r="E70" s="1"/>
      <c r="F70" s="287" t="str">
        <f>IF(N70=0,J_SUBDAY(D70,1,1),IF((N70-(NETWORKDAYS.INTL(J_GregorianDate(D70,1),J_GregorianDate(J_SUBDAY(J_ADDDAY(D70,N70,1),1,1),1),16,1)))+SUMIFS(Holieday[ok],Holieday[date],CONCATENATE("&gt;","=",D70),Holieday[date],CONCATENATE("&lt;","=",J_SUBDAY(J_ADDDAY(D70,N70,1),1,1)))-SUMIFS(Holieday[Friday],Holieday[date],CONCATENATE("&gt;","=",D70),Holieday[date],CONCATENATE("&lt;","=",J_SUBDAY(J_ADDDAY(D70,N70,1),1,1)))=0,J_SUBDAY(J_ADDDAY(D70,N70,1),1,1),IF((N70+1-(NETWORKDAYS.INTL(J_GregorianDate(D70,1),J_GregorianDate(J_SUBDAY(J_ADDDAY(D70,N70+1,1),1,1),1),16,1)))+SUMIFS(Holieday[ok],Holieday[date],CONCATENATE("&gt;","=",D70),Holieday[date],CONCATENATE("&lt;","=",J_SUBDAY(J_ADDDAY(D70,N70+1,1),1,1)))-SUMIFS(Holieday[Friday],Holieday[date],CONCATENATE("&gt;","=",D70),Holieday[date],CONCATENATE("&lt;","=",J_SUBDAY(J_ADDDAY(D70,N70+1,1),1,1)))=1,J_SUBDAY(J_ADDDAY(D70,N70+1,1),1,1),IF((N70+2-(NETWORKDAYS.INTL(J_GregorianDate(D70,1),J_GregorianDate(J_SUBDAY(J_ADDDAY(D70,N70+2,1),1,1),1),16,1)))+SUMIFS(Holieday[ok],Holieday[date],CONCATENATE("&gt;","=",D70),Holieday[date],CONCATENATE("&lt;","=",J_SUBDAY(J_ADDDAY(D70,N70+2,1),1,1)))-SUMIFS(Holieday[Friday],Holieday[date],CONCATENATE("&gt;","=",D70),Holieday[date],CONCATENATE("&lt;","=",J_SUBDAY(J_ADDDAY(D70,N70+2,1),1,1)))=2,J_SUBDAY(J_ADDDAY(D70,N70+2,1),1,1),IF((N70+3-(NETWORKDAYS.INTL(J_GregorianDate(D70,1),J_GregorianDate(J_SUBDAY(J_ADDDAY(D70,N70+3,1),1,1),1),16,1)))+SUMIFS(Holieday[ok],Holieday[date],CONCATENATE("&gt;","=",D70),Holieday[date],CONCATENATE("&lt;","=",J_SUBDAY(J_ADDDAY(D70,N70+3,1),1,1)))-SUMIFS(Holieday[Friday],Holieday[date],CONCATENATE("&gt;","=",D70),Holieday[date],CONCATENATE("&lt;","=",J_SUBDAY(J_ADDDAY(D70,N70+3,1),1,1)))=3,J_SUBDAY(J_ADDDAY(D70,N70+3,1),1,1),IF((N70+4-(NETWORKDAYS.INTL(J_GregorianDate(D70,1),J_GregorianDate(J_SUBDAY(J_ADDDAY(D70,N70+4,1),1,1),1),16,1)))+SUMIFS(Holieday[ok],Holieday[date],CONCATENATE("&gt;","=",D70),Holieday[date],CONCATENATE("&lt;","=",J_SUBDAY(J_ADDDAY(D70,N70+4,1),1,1)))-SUMIFS(Holieday[Friday],Holieday[date],CONCATENATE("&gt;","=",D70),Holieday[date],CONCATENATE("&lt;","=",J_SUBDAY(J_ADDDAY(D70,N70+4,1),1,1)))=4,J_SUBDAY(J_ADDDAY(D70,N70+4,1),1,1),IF((N70+5-(NETWORKDAYS.INTL(J_GregorianDate(D70,1),J_GregorianDate(J_SUBDAY(J_ADDDAY(D70,N70+5,1),1,1),1),16,1)))+SUMIFS(Holieday[ok],Holieday[date],CONCATENATE("&gt;","=",D70),Holieday[date],CONCATENATE("&lt;","=",J_SUBDAY(J_ADDDAY(D70,N70+5,1),1,1)))-SUMIFS(Holieday[Friday],Holieday[date],CONCATENATE("&gt;","=",D70),Holieday[date],CONCATENATE("&lt;","=",J_SUBDAY(J_ADDDAY(D70,N70+5,1),1,1)))=5,J_SUBDAY(J_ADDDAY(D70,N70+5,1),1,1),J_SUBDAY(J_ADDDAY(D70,N70+6,1),1,1))))))))</f>
        <v>1398/08/04</v>
      </c>
      <c r="G70" s="2"/>
      <c r="H70" s="266">
        <v>1</v>
      </c>
      <c r="I70" s="267">
        <v>3.17</v>
      </c>
      <c r="J70" s="281">
        <f>j_WEEKDAY(D70,2)</f>
        <v>4</v>
      </c>
      <c r="K70" s="21"/>
      <c r="L70" s="282">
        <f t="shared" si="19"/>
        <v>4</v>
      </c>
      <c r="M70" s="269">
        <v>0</v>
      </c>
      <c r="N70" s="270">
        <v>3</v>
      </c>
      <c r="O70" s="10"/>
      <c r="P70" s="10"/>
      <c r="Q70" s="9"/>
      <c r="R70" s="283"/>
      <c r="S70" s="283"/>
      <c r="T70" s="283"/>
      <c r="U70" s="283"/>
      <c r="V70" s="283"/>
      <c r="W70" s="283"/>
      <c r="X70" s="283"/>
      <c r="Y70" s="283"/>
      <c r="Z70" s="283"/>
      <c r="AA70" s="283"/>
      <c r="AB70" s="283"/>
      <c r="AC70" s="283"/>
      <c r="AD70" s="283"/>
      <c r="AE70" s="283"/>
      <c r="AF70" s="283"/>
      <c r="AG70" s="283"/>
      <c r="AH70" s="283"/>
      <c r="AI70" s="283"/>
      <c r="AJ70" s="283"/>
      <c r="AK70" s="283"/>
      <c r="AL70" s="283"/>
      <c r="AM70" s="283"/>
      <c r="AN70" s="283"/>
      <c r="AO70" s="283"/>
      <c r="AP70" s="283"/>
      <c r="AQ70" s="283"/>
      <c r="AR70" s="283"/>
      <c r="AS70" s="283"/>
      <c r="AT70" s="283"/>
      <c r="AU70" s="283"/>
      <c r="AV70" s="283"/>
      <c r="AW70" s="283"/>
      <c r="AX70" s="283"/>
      <c r="AY70" s="283"/>
      <c r="AZ70" s="283"/>
      <c r="BA70" s="283"/>
      <c r="BB70" s="283"/>
      <c r="BC70" s="283"/>
      <c r="BD70" s="283"/>
      <c r="BE70" s="283"/>
      <c r="BF70" s="283"/>
      <c r="BG70" s="283"/>
      <c r="BH70" s="283"/>
      <c r="BI70" s="283"/>
      <c r="BJ70" s="283"/>
      <c r="BK70" s="283"/>
      <c r="BL70" s="283"/>
      <c r="BM70" s="283"/>
      <c r="BN70" s="283"/>
      <c r="BO70" s="283"/>
      <c r="BP70" s="283"/>
      <c r="BQ70" s="283"/>
      <c r="BR70" s="283"/>
      <c r="BS70" s="283"/>
      <c r="BT70" s="283"/>
      <c r="BU70" s="283"/>
      <c r="BV70" s="283"/>
      <c r="BW70" s="283"/>
      <c r="BX70" s="283"/>
      <c r="BY70" s="283"/>
      <c r="BZ70" s="283"/>
      <c r="CA70" s="283"/>
      <c r="CB70" s="283"/>
      <c r="CC70" s="283"/>
      <c r="CD70" s="283"/>
      <c r="CE70" s="283"/>
      <c r="CF70" s="283"/>
      <c r="CG70" s="283"/>
      <c r="CH70" s="283"/>
      <c r="CI70" s="283"/>
      <c r="CJ70" s="283"/>
      <c r="CK70" s="283"/>
      <c r="CL70" s="283"/>
      <c r="CM70" s="283"/>
      <c r="CN70" s="283"/>
      <c r="CO70" s="283"/>
      <c r="CP70" s="283"/>
      <c r="CQ70" s="283"/>
      <c r="CR70" s="283"/>
      <c r="CS70" s="283"/>
      <c r="CT70" s="283"/>
      <c r="CU70" s="283"/>
      <c r="CV70" s="283"/>
      <c r="CW70" s="283"/>
      <c r="CX70" s="283"/>
      <c r="CY70" s="283"/>
      <c r="CZ70" s="283"/>
      <c r="DA70" s="283"/>
      <c r="DB70" s="283"/>
      <c r="DC70" s="283"/>
      <c r="DD70" s="283"/>
      <c r="DE70" s="283"/>
      <c r="DF70" s="283"/>
      <c r="DG70" s="283"/>
      <c r="DH70" s="283"/>
      <c r="DI70" s="283"/>
      <c r="DJ70" s="283"/>
      <c r="DK70" s="283"/>
      <c r="DL70" s="283"/>
      <c r="DM70" s="283"/>
      <c r="DN70" s="283"/>
      <c r="DO70" s="283"/>
      <c r="DP70" s="283"/>
      <c r="DQ70" s="283"/>
      <c r="DR70" s="283"/>
      <c r="DS70" s="283"/>
      <c r="DT70" s="283"/>
      <c r="DU70" s="283"/>
      <c r="DV70" s="283"/>
      <c r="DW70" s="283"/>
      <c r="DX70" s="283"/>
      <c r="DY70" s="283"/>
      <c r="DZ70" s="283"/>
      <c r="EA70" s="283"/>
      <c r="EB70" s="283"/>
      <c r="EC70" s="283"/>
      <c r="ED70" s="283"/>
      <c r="EE70" s="283"/>
      <c r="EF70" s="283"/>
      <c r="EG70" s="283"/>
      <c r="EH70" s="283"/>
      <c r="EI70" s="283"/>
      <c r="EJ70" s="283"/>
      <c r="EK70" s="283"/>
      <c r="EL70" s="283"/>
      <c r="EM70" s="283"/>
      <c r="EN70" s="283"/>
      <c r="EO70" s="283"/>
      <c r="EP70" s="283"/>
      <c r="EQ70" s="283"/>
      <c r="ER70" s="283"/>
      <c r="ES70" s="283"/>
      <c r="ET70" s="283"/>
      <c r="EU70" s="283"/>
      <c r="EV70" s="283"/>
      <c r="EW70" s="283"/>
      <c r="EX70" s="283"/>
      <c r="EY70" s="283"/>
      <c r="EZ70" s="283"/>
      <c r="FA70" s="283"/>
      <c r="FB70" s="283"/>
      <c r="FC70" s="283"/>
      <c r="FD70" s="283"/>
      <c r="FE70" s="283"/>
      <c r="FF70" s="283"/>
      <c r="FG70" s="283"/>
      <c r="FH70" s="283"/>
      <c r="FI70" s="283"/>
      <c r="FJ70" s="283"/>
      <c r="FK70" s="283"/>
      <c r="FL70" s="283"/>
      <c r="FM70" s="283"/>
      <c r="FN70" s="283"/>
      <c r="FO70" s="283"/>
      <c r="FP70" s="283"/>
      <c r="FQ70" s="283"/>
      <c r="FR70" s="283"/>
      <c r="FS70" s="283"/>
      <c r="FT70" s="283"/>
      <c r="FU70" s="283"/>
      <c r="FV70" s="283"/>
      <c r="FW70" s="283"/>
      <c r="FX70" s="283"/>
      <c r="FY70" s="283"/>
      <c r="FZ70" s="283"/>
      <c r="GA70" s="283"/>
      <c r="GB70" s="283"/>
      <c r="GC70" s="283"/>
      <c r="GD70" s="283"/>
      <c r="GE70" s="283"/>
      <c r="GF70" s="283"/>
      <c r="GG70" s="283"/>
      <c r="GH70" s="283"/>
      <c r="GI70" s="283"/>
      <c r="GJ70" s="283"/>
      <c r="GK70" s="283"/>
      <c r="GL70" s="283"/>
      <c r="GM70" s="283"/>
      <c r="GN70" s="283"/>
      <c r="GO70" s="283"/>
      <c r="GP70" s="283"/>
      <c r="GQ70" s="283"/>
      <c r="GR70" s="283"/>
      <c r="GS70" s="283"/>
      <c r="GT70" s="283"/>
      <c r="GU70" s="283"/>
      <c r="GV70" s="283"/>
      <c r="GW70" s="283"/>
      <c r="GX70" s="283"/>
      <c r="GY70" s="283"/>
      <c r="GZ70" s="283"/>
      <c r="HA70" s="283"/>
      <c r="HB70" s="283"/>
      <c r="HC70" s="283"/>
      <c r="HD70" s="283"/>
      <c r="HE70" s="283"/>
      <c r="HF70" s="283"/>
      <c r="HG70" s="283"/>
      <c r="HH70" s="283"/>
      <c r="HI70" s="283"/>
      <c r="HJ70" s="283"/>
      <c r="HK70" s="283"/>
      <c r="HL70" s="283"/>
      <c r="HM70" s="283"/>
      <c r="HN70" s="283"/>
      <c r="HO70" s="283"/>
      <c r="HP70" s="283"/>
      <c r="HQ70" s="283"/>
      <c r="HR70" s="283"/>
      <c r="HS70" s="283"/>
      <c r="HT70" s="283"/>
      <c r="HU70" s="283"/>
      <c r="HV70" s="283"/>
      <c r="HW70" s="283"/>
      <c r="HX70" s="283"/>
      <c r="HY70" s="283"/>
      <c r="HZ70" s="283"/>
      <c r="IA70" s="283"/>
      <c r="IB70" s="283"/>
      <c r="IC70" s="283"/>
      <c r="ID70" s="283"/>
      <c r="IE70" s="283"/>
      <c r="IF70" s="283"/>
      <c r="IG70" s="283"/>
      <c r="IH70" s="283"/>
      <c r="II70" s="283"/>
      <c r="IJ70" s="283"/>
      <c r="IK70" s="283"/>
      <c r="IL70" s="283"/>
      <c r="IM70" s="283"/>
      <c r="IN70" s="283"/>
      <c r="IO70" s="283"/>
      <c r="IP70" s="283"/>
      <c r="IQ70" s="283"/>
      <c r="IR70" s="283"/>
      <c r="IS70" s="283"/>
      <c r="IT70" s="283"/>
      <c r="IU70" s="283"/>
      <c r="IV70" s="283"/>
      <c r="IW70" s="283"/>
      <c r="IX70" s="283"/>
      <c r="JA70" s="289"/>
      <c r="JB70" s="289"/>
      <c r="JC70" s="289"/>
      <c r="JD70" s="290"/>
    </row>
    <row r="71" spans="1:264" s="291" customFormat="1" ht="13.5">
      <c r="A71" s="292">
        <v>3.19</v>
      </c>
      <c r="B71" s="277" t="s">
        <v>151</v>
      </c>
      <c r="C71" s="263" t="s">
        <v>111</v>
      </c>
      <c r="D71" s="283" t="str">
        <f>IF(OR(j_WEEKDAY(J_ADDDAY(VLOOKUP(I71,A:F,6,FALSE),H71,1),0)=6,SUMIFS(Holieday[ok],Holieday[date],J_ADDDAY(VLOOKUP(I71,A:F,6,FALSE),H71,1)))=FALSE(),J_ADDDAY(VLOOKUP(I71,A:F,6,FALSE),H71,1),IF(OR(j_WEEKDAY(J_ADDDAY(VLOOKUP(I71,A:F,6,FALSE),H71+1,1),0)=6,SUMIFS(Holieday[ok],Holieday[date],J_ADDDAY(VLOOKUP(I71,A:F,6,FALSE),H71+1,1)))=FALSE(),J_ADDDAY(VLOOKUP(I71,A:F,6,FALSE),H71+1,1),IF(OR(j_WEEKDAY(J_ADDDAY(VLOOKUP(I71,A:F,6,FALSE),H71+2,1),0)=6,SUMIFS(Holieday[ok],Holieday[date],J_ADDDAY(VLOOKUP(I71,A:F,6,FALSE),H71+2,1)))=FALSE(),J_ADDDAY(VLOOKUP(I71,A:F,6,FALSE),H71+2,1),IF(OR(j_WEEKDAY(J_ADDDAY(VLOOKUP(I71,A:F,6,FALSE),H71+3,1),0)=6,SUMIFS(Holieday[ok],Holieday[date],J_ADDDAY(VLOOKUP(I71,A:F,6,FALSE),H71+3,1)))=FALSE(),J_ADDDAY(VLOOKUP(I71,A:F,6,FALSE),H71+3,1),IF(OR(j_WEEKDAY(J_ADDDAY(VLOOKUP(I71,A:F,6,FALSE),H71+4,1),0)=6,SUMIFS(Holieday[ok],Holieday[date],J_ADDDAY(VLOOKUP(I71,A:F,6,FALSE),H71+4,1)))=FALSE(),J_ADDDAY(VLOOKUP(I71,A:F,6,FALSE),H71+4,1),J_ADDDAY(VLOOKUP(I71,A:F,6,FALSE),H71+5,1))))))</f>
        <v>1398/08/04</v>
      </c>
      <c r="E71" s="1">
        <f t="shared" ref="E71:E79" si="20">VALUE(J_normdate(D71))</f>
        <v>13980804</v>
      </c>
      <c r="F71" s="287" t="str">
        <f>IF(N71=0,J_SUBDAY(D71,1,1),IF((N71-(NETWORKDAYS.INTL(J_GregorianDate(D71,1),J_GregorianDate(J_SUBDAY(J_ADDDAY(D71,N71,1),1,1),1),16,1)))+SUMIFS(Holieday[ok],Holieday[date],CONCATENATE("&gt;","=",D71),Holieday[date],CONCATENATE("&lt;","=",J_SUBDAY(J_ADDDAY(D71,N71,1),1,1)))-SUMIFS(Holieday[Friday],Holieday[date],CONCATENATE("&gt;","=",D71),Holieday[date],CONCATENATE("&lt;","=",J_SUBDAY(J_ADDDAY(D71,N71,1),1,1)))=0,J_SUBDAY(J_ADDDAY(D71,N71,1),1,1),IF((N71+1-(NETWORKDAYS.INTL(J_GregorianDate(D71,1),J_GregorianDate(J_SUBDAY(J_ADDDAY(D71,N71+1,1),1,1),1),16,1)))+SUMIFS(Holieday[ok],Holieday[date],CONCATENATE("&gt;","=",D71),Holieday[date],CONCATENATE("&lt;","=",J_SUBDAY(J_ADDDAY(D71,N71+1,1),1,1)))-SUMIFS(Holieday[Friday],Holieday[date],CONCATENATE("&gt;","=",D71),Holieday[date],CONCATENATE("&lt;","=",J_SUBDAY(J_ADDDAY(D71,N71+1,1),1,1)))=1,J_SUBDAY(J_ADDDAY(D71,N71+1,1),1,1),IF((N71+2-(NETWORKDAYS.INTL(J_GregorianDate(D71,1),J_GregorianDate(J_SUBDAY(J_ADDDAY(D71,N71+2,1),1,1),1),16,1)))+SUMIFS(Holieday[ok],Holieday[date],CONCATENATE("&gt;","=",D71),Holieday[date],CONCATENATE("&lt;","=",J_SUBDAY(J_ADDDAY(D71,N71+2,1),1,1)))-SUMIFS(Holieday[Friday],Holieday[date],CONCATENATE("&gt;","=",D71),Holieday[date],CONCATENATE("&lt;","=",J_SUBDAY(J_ADDDAY(D71,N71+2,1),1,1)))=2,J_SUBDAY(J_ADDDAY(D71,N71+2,1),1,1),IF((N71+3-(NETWORKDAYS.INTL(J_GregorianDate(D71,1),J_GregorianDate(J_SUBDAY(J_ADDDAY(D71,N71+3,1),1,1),1),16,1)))+SUMIFS(Holieday[ok],Holieday[date],CONCATENATE("&gt;","=",D71),Holieday[date],CONCATENATE("&lt;","=",J_SUBDAY(J_ADDDAY(D71,N71+3,1),1,1)))-SUMIFS(Holieday[Friday],Holieday[date],CONCATENATE("&gt;","=",D71),Holieday[date],CONCATENATE("&lt;","=",J_SUBDAY(J_ADDDAY(D71,N71+3,1),1,1)))=3,J_SUBDAY(J_ADDDAY(D71,N71+3,1),1,1),IF((N71+4-(NETWORKDAYS.INTL(J_GregorianDate(D71,1),J_GregorianDate(J_SUBDAY(J_ADDDAY(D71,N71+4,1),1,1),1),16,1)))+SUMIFS(Holieday[ok],Holieday[date],CONCATENATE("&gt;","=",D71),Holieday[date],CONCATENATE("&lt;","=",J_SUBDAY(J_ADDDAY(D71,N71+4,1),1,1)))-SUMIFS(Holieday[Friday],Holieday[date],CONCATENATE("&gt;","=",D71),Holieday[date],CONCATENATE("&lt;","=",J_SUBDAY(J_ADDDAY(D71,N71+4,1),1,1)))=4,J_SUBDAY(J_ADDDAY(D71,N71+4,1),1,1),IF((N71+5-(NETWORKDAYS.INTL(J_GregorianDate(D71,1),J_GregorianDate(J_SUBDAY(J_ADDDAY(D71,N71+5,1),1,1),1),16,1)))+SUMIFS(Holieday[ok],Holieday[date],CONCATENATE("&gt;","=",D71),Holieday[date],CONCATENATE("&lt;","=",J_SUBDAY(J_ADDDAY(D71,N71+5,1),1,1)))-SUMIFS(Holieday[Friday],Holieday[date],CONCATENATE("&gt;","=",D71),Holieday[date],CONCATENATE("&lt;","=",J_SUBDAY(J_ADDDAY(D71,N71+5,1),1,1)))=5,J_SUBDAY(J_ADDDAY(D71,N71+5,1),1,1),J_SUBDAY(J_ADDDAY(D71,N71+6,1),1,1))))))))</f>
        <v>1398/08/06</v>
      </c>
      <c r="G71" s="2">
        <f t="shared" ref="G71:G79" si="21">VALUE(J_normdate(F71))</f>
        <v>13980806</v>
      </c>
      <c r="H71" s="266">
        <v>2</v>
      </c>
      <c r="I71" s="267">
        <v>3.7</v>
      </c>
      <c r="J71" s="281">
        <f>j_WEEKDAY(D71,2)</f>
        <v>0</v>
      </c>
      <c r="K71" s="21">
        <f t="shared" si="18"/>
        <v>0</v>
      </c>
      <c r="L71" s="282">
        <f t="shared" si="19"/>
        <v>3</v>
      </c>
      <c r="M71" s="269">
        <v>0</v>
      </c>
      <c r="N71" s="270">
        <v>2</v>
      </c>
      <c r="O71" s="10">
        <f t="shared" ref="O71:O79" si="22">ROUNDDOWN(M71*L71,0)</f>
        <v>0</v>
      </c>
      <c r="P71" s="10">
        <f>VALUE(J_normdate(J_ADDDAY($D71,$O71,1)))</f>
        <v>13980804</v>
      </c>
      <c r="Q71" s="9">
        <f t="shared" si="14"/>
        <v>3</v>
      </c>
      <c r="R71" s="283"/>
      <c r="S71" s="283"/>
      <c r="T71" s="283"/>
      <c r="U71" s="283"/>
      <c r="V71" s="283"/>
      <c r="W71" s="283"/>
      <c r="X71" s="283"/>
      <c r="Y71" s="283"/>
      <c r="Z71" s="283"/>
      <c r="AA71" s="283"/>
      <c r="AB71" s="283"/>
      <c r="AC71" s="283"/>
      <c r="AD71" s="283"/>
      <c r="AE71" s="283"/>
      <c r="AF71" s="283"/>
      <c r="AG71" s="283"/>
      <c r="AH71" s="283"/>
      <c r="AI71" s="283"/>
      <c r="AJ71" s="283"/>
      <c r="AK71" s="283"/>
      <c r="AL71" s="283"/>
      <c r="AM71" s="283"/>
      <c r="AN71" s="283"/>
      <c r="AO71" s="283"/>
      <c r="AP71" s="283"/>
      <c r="AQ71" s="283"/>
      <c r="AR71" s="283"/>
      <c r="AS71" s="283"/>
      <c r="AT71" s="283"/>
      <c r="AU71" s="283"/>
      <c r="AV71" s="283"/>
      <c r="AW71" s="283"/>
      <c r="AX71" s="283"/>
      <c r="AY71" s="283"/>
      <c r="AZ71" s="283"/>
      <c r="BA71" s="283"/>
      <c r="BB71" s="283"/>
      <c r="BC71" s="283"/>
      <c r="BD71" s="283"/>
      <c r="BE71" s="283"/>
      <c r="BF71" s="283"/>
      <c r="BG71" s="283"/>
      <c r="BH71" s="283"/>
      <c r="BI71" s="283"/>
      <c r="BJ71" s="283"/>
      <c r="BK71" s="283"/>
      <c r="BL71" s="283"/>
      <c r="BM71" s="283"/>
      <c r="BN71" s="283"/>
      <c r="BO71" s="283"/>
      <c r="BP71" s="283"/>
      <c r="BQ71" s="283"/>
      <c r="BR71" s="283"/>
      <c r="BS71" s="283"/>
      <c r="BT71" s="283"/>
      <c r="BU71" s="283"/>
      <c r="BV71" s="283"/>
      <c r="BW71" s="283"/>
      <c r="BX71" s="283"/>
      <c r="BY71" s="283"/>
      <c r="BZ71" s="283"/>
      <c r="CA71" s="283"/>
      <c r="CB71" s="283"/>
      <c r="CC71" s="283"/>
      <c r="CD71" s="283"/>
      <c r="CE71" s="283"/>
      <c r="CF71" s="283"/>
      <c r="CG71" s="283"/>
      <c r="CH71" s="283"/>
      <c r="CI71" s="283"/>
      <c r="CJ71" s="283"/>
      <c r="CK71" s="283"/>
      <c r="CL71" s="283"/>
      <c r="CM71" s="283"/>
      <c r="CN71" s="283"/>
      <c r="CO71" s="283"/>
      <c r="CP71" s="283"/>
      <c r="CQ71" s="283"/>
      <c r="CR71" s="283"/>
      <c r="CS71" s="283"/>
      <c r="CT71" s="283"/>
      <c r="CU71" s="283"/>
      <c r="CV71" s="283"/>
      <c r="CW71" s="283"/>
      <c r="CX71" s="283"/>
      <c r="CY71" s="283"/>
      <c r="CZ71" s="283"/>
      <c r="DA71" s="283"/>
      <c r="DB71" s="283"/>
      <c r="DC71" s="283"/>
      <c r="DD71" s="283"/>
      <c r="DE71" s="283"/>
      <c r="DF71" s="283"/>
      <c r="DG71" s="283"/>
      <c r="DH71" s="283"/>
      <c r="DI71" s="283"/>
      <c r="DJ71" s="283"/>
      <c r="DK71" s="283"/>
      <c r="DL71" s="283"/>
      <c r="DM71" s="283"/>
      <c r="DN71" s="283"/>
      <c r="DO71" s="283"/>
      <c r="DP71" s="283"/>
      <c r="DQ71" s="283"/>
      <c r="DR71" s="283"/>
      <c r="DS71" s="283"/>
      <c r="DT71" s="283"/>
      <c r="DU71" s="283"/>
      <c r="DV71" s="283"/>
      <c r="DW71" s="283"/>
      <c r="DX71" s="283"/>
      <c r="DY71" s="283"/>
      <c r="DZ71" s="283"/>
      <c r="EA71" s="283"/>
      <c r="EB71" s="283"/>
      <c r="EC71" s="283"/>
      <c r="ED71" s="283"/>
      <c r="EE71" s="283"/>
      <c r="EF71" s="283"/>
      <c r="EG71" s="283"/>
      <c r="EH71" s="283"/>
      <c r="EI71" s="283"/>
      <c r="EJ71" s="283"/>
      <c r="EK71" s="283"/>
      <c r="EL71" s="283"/>
      <c r="EM71" s="283"/>
      <c r="EN71" s="283"/>
      <c r="EO71" s="283"/>
      <c r="EP71" s="283"/>
      <c r="EQ71" s="283"/>
      <c r="ER71" s="283"/>
      <c r="ES71" s="283"/>
      <c r="ET71" s="283"/>
      <c r="EU71" s="283"/>
      <c r="EV71" s="283"/>
      <c r="EW71" s="283"/>
      <c r="EX71" s="283"/>
      <c r="EY71" s="283"/>
      <c r="EZ71" s="283"/>
      <c r="FA71" s="283"/>
      <c r="FB71" s="283"/>
      <c r="FC71" s="283"/>
      <c r="FD71" s="283"/>
      <c r="FE71" s="283"/>
      <c r="FF71" s="283"/>
      <c r="FG71" s="283"/>
      <c r="FH71" s="283"/>
      <c r="FI71" s="283"/>
      <c r="FJ71" s="283"/>
      <c r="FK71" s="283"/>
      <c r="FL71" s="283"/>
      <c r="FM71" s="283"/>
      <c r="FN71" s="283"/>
      <c r="FO71" s="283"/>
      <c r="FP71" s="283"/>
      <c r="FQ71" s="283"/>
      <c r="FR71" s="283"/>
      <c r="FS71" s="283"/>
      <c r="FT71" s="283"/>
      <c r="FU71" s="283"/>
      <c r="FV71" s="283"/>
      <c r="FW71" s="283"/>
      <c r="FX71" s="283"/>
      <c r="FY71" s="283"/>
      <c r="FZ71" s="283"/>
      <c r="GA71" s="283"/>
      <c r="GB71" s="283"/>
      <c r="GC71" s="283"/>
      <c r="GD71" s="283"/>
      <c r="GE71" s="283"/>
      <c r="GF71" s="283"/>
      <c r="GG71" s="283"/>
      <c r="GH71" s="283"/>
      <c r="GI71" s="283"/>
      <c r="GJ71" s="283"/>
      <c r="GK71" s="283"/>
      <c r="GL71" s="283"/>
      <c r="GM71" s="283"/>
      <c r="GN71" s="283"/>
      <c r="GO71" s="283"/>
      <c r="GP71" s="283"/>
      <c r="GQ71" s="283"/>
      <c r="GR71" s="283"/>
      <c r="GS71" s="283"/>
      <c r="GT71" s="283"/>
      <c r="GU71" s="283"/>
      <c r="GV71" s="283"/>
      <c r="GW71" s="283"/>
      <c r="GX71" s="283"/>
      <c r="GY71" s="283"/>
      <c r="GZ71" s="283"/>
      <c r="HA71" s="283"/>
      <c r="HB71" s="283"/>
      <c r="HC71" s="283"/>
      <c r="HD71" s="283"/>
      <c r="HE71" s="283"/>
      <c r="HF71" s="283"/>
      <c r="HG71" s="283"/>
      <c r="HH71" s="283"/>
      <c r="HI71" s="283"/>
      <c r="HJ71" s="283"/>
      <c r="HK71" s="283"/>
      <c r="HL71" s="283"/>
      <c r="HM71" s="283"/>
      <c r="HN71" s="283"/>
      <c r="HO71" s="283"/>
      <c r="HP71" s="283"/>
      <c r="HQ71" s="283"/>
      <c r="HR71" s="283"/>
      <c r="HS71" s="283"/>
      <c r="HT71" s="283"/>
      <c r="HU71" s="283"/>
      <c r="HV71" s="283"/>
      <c r="HW71" s="283"/>
      <c r="HX71" s="283"/>
      <c r="HY71" s="283"/>
      <c r="HZ71" s="283"/>
      <c r="IA71" s="283"/>
      <c r="IB71" s="283"/>
      <c r="IC71" s="283"/>
      <c r="ID71" s="283"/>
      <c r="IE71" s="283"/>
      <c r="IF71" s="283"/>
      <c r="IG71" s="283"/>
      <c r="IH71" s="283"/>
      <c r="II71" s="283"/>
      <c r="IJ71" s="283"/>
      <c r="IK71" s="283"/>
      <c r="IL71" s="283"/>
      <c r="IM71" s="283"/>
      <c r="IN71" s="283"/>
      <c r="IO71" s="283"/>
      <c r="IP71" s="283"/>
      <c r="IQ71" s="283"/>
      <c r="IR71" s="283"/>
      <c r="IS71" s="283"/>
      <c r="IT71" s="283"/>
      <c r="IU71" s="283"/>
      <c r="IV71" s="283"/>
      <c r="IW71" s="283"/>
      <c r="IX71" s="283"/>
      <c r="JA71" s="289"/>
      <c r="JB71" s="289"/>
      <c r="JC71" s="289"/>
      <c r="JD71" s="290">
        <f>SUM((TEXT(JA71,"[M]")/60)*'Income Person-hours'!$D$3,(TEXT(JB71,"[M]")/60)*'Income Person-hours'!$D$4,(TEXT(JC71,"[M]")/60)*'Income Person-hours'!$D$5)</f>
        <v>0</v>
      </c>
    </row>
    <row r="72" spans="1:264" s="291" customFormat="1" ht="17.25" customHeight="1">
      <c r="A72" s="292">
        <v>3.21</v>
      </c>
      <c r="B72" s="277" t="s">
        <v>158</v>
      </c>
      <c r="C72" s="263" t="s">
        <v>110</v>
      </c>
      <c r="D72" s="283" t="str">
        <f>IF(OR(j_WEEKDAY(J_ADDDAY(VLOOKUP(I72,A:F,6,FALSE),H72,1),0)=6,SUMIFS(Holieday[ok],Holieday[date],J_ADDDAY(VLOOKUP(I72,A:F,6,FALSE),H72,1)))=FALSE(),J_ADDDAY(VLOOKUP(I72,A:F,6,FALSE),H72,1),IF(OR(j_WEEKDAY(J_ADDDAY(VLOOKUP(I72,A:F,6,FALSE),H72+1,1),0)=6,SUMIFS(Holieday[ok],Holieday[date],J_ADDDAY(VLOOKUP(I72,A:F,6,FALSE),H72+1,1)))=FALSE(),J_ADDDAY(VLOOKUP(I72,A:F,6,FALSE),H72+1,1),IF(OR(j_WEEKDAY(J_ADDDAY(VLOOKUP(I72,A:F,6,FALSE),H72+2,1),0)=6,SUMIFS(Holieday[ok],Holieday[date],J_ADDDAY(VLOOKUP(I72,A:F,6,FALSE),H72+2,1)))=FALSE(),J_ADDDAY(VLOOKUP(I72,A:F,6,FALSE),H72+2,1),IF(OR(j_WEEKDAY(J_ADDDAY(VLOOKUP(I72,A:F,6,FALSE),H72+3,1),0)=6,SUMIFS(Holieday[ok],Holieday[date],J_ADDDAY(VLOOKUP(I72,A:F,6,FALSE),H72+3,1)))=FALSE(),J_ADDDAY(VLOOKUP(I72,A:F,6,FALSE),H72+3,1),IF(OR(j_WEEKDAY(J_ADDDAY(VLOOKUP(I72,A:F,6,FALSE),H72+4,1),0)=6,SUMIFS(Holieday[ok],Holieday[date],J_ADDDAY(VLOOKUP(I72,A:F,6,FALSE),H72+4,1)))=FALSE(),J_ADDDAY(VLOOKUP(I72,A:F,6,FALSE),H72+4,1),J_ADDDAY(VLOOKUP(I72,A:F,6,FALSE),H72+5,1))))))</f>
        <v>1398/08/08</v>
      </c>
      <c r="E72" s="1">
        <f t="shared" si="20"/>
        <v>13980808</v>
      </c>
      <c r="F72" s="287" t="str">
        <f>IF(N72=0,J_SUBDAY(D72,1,1),IF((N72-(NETWORKDAYS.INTL(J_GregorianDate(D72,1),J_GregorianDate(J_SUBDAY(J_ADDDAY(D72,N72,1),1,1),1),16,1)))+SUMIFS(Holieday[ok],Holieday[date],CONCATENATE("&gt;","=",D72),Holieday[date],CONCATENATE("&lt;","=",J_SUBDAY(J_ADDDAY(D72,N72,1),1,1)))-SUMIFS(Holieday[Friday],Holieday[date],CONCATENATE("&gt;","=",D72),Holieday[date],CONCATENATE("&lt;","=",J_SUBDAY(J_ADDDAY(D72,N72,1),1,1)))=0,J_SUBDAY(J_ADDDAY(D72,N72,1),1,1),IF((N72+1-(NETWORKDAYS.INTL(J_GregorianDate(D72,1),J_GregorianDate(J_SUBDAY(J_ADDDAY(D72,N72+1,1),1,1),1),16,1)))+SUMIFS(Holieday[ok],Holieday[date],CONCATENATE("&gt;","=",D72),Holieday[date],CONCATENATE("&lt;","=",J_SUBDAY(J_ADDDAY(D72,N72+1,1),1,1)))-SUMIFS(Holieday[Friday],Holieday[date],CONCATENATE("&gt;","=",D72),Holieday[date],CONCATENATE("&lt;","=",J_SUBDAY(J_ADDDAY(D72,N72+1,1),1,1)))=1,J_SUBDAY(J_ADDDAY(D72,N72+1,1),1,1),IF((N72+2-(NETWORKDAYS.INTL(J_GregorianDate(D72,1),J_GregorianDate(J_SUBDAY(J_ADDDAY(D72,N72+2,1),1,1),1),16,1)))+SUMIFS(Holieday[ok],Holieday[date],CONCATENATE("&gt;","=",D72),Holieday[date],CONCATENATE("&lt;","=",J_SUBDAY(J_ADDDAY(D72,N72+2,1),1,1)))-SUMIFS(Holieday[Friday],Holieday[date],CONCATENATE("&gt;","=",D72),Holieday[date],CONCATENATE("&lt;","=",J_SUBDAY(J_ADDDAY(D72,N72+2,1),1,1)))=2,J_SUBDAY(J_ADDDAY(D72,N72+2,1),1,1),IF((N72+3-(NETWORKDAYS.INTL(J_GregorianDate(D72,1),J_GregorianDate(J_SUBDAY(J_ADDDAY(D72,N72+3,1),1,1),1),16,1)))+SUMIFS(Holieday[ok],Holieday[date],CONCATENATE("&gt;","=",D72),Holieday[date],CONCATENATE("&lt;","=",J_SUBDAY(J_ADDDAY(D72,N72+3,1),1,1)))-SUMIFS(Holieday[Friday],Holieday[date],CONCATENATE("&gt;","=",D72),Holieday[date],CONCATENATE("&lt;","=",J_SUBDAY(J_ADDDAY(D72,N72+3,1),1,1)))=3,J_SUBDAY(J_ADDDAY(D72,N72+3,1),1,1),IF((N72+4-(NETWORKDAYS.INTL(J_GregorianDate(D72,1),J_GregorianDate(J_SUBDAY(J_ADDDAY(D72,N72+4,1),1,1),1),16,1)))+SUMIFS(Holieday[ok],Holieday[date],CONCATENATE("&gt;","=",D72),Holieday[date],CONCATENATE("&lt;","=",J_SUBDAY(J_ADDDAY(D72,N72+4,1),1,1)))-SUMIFS(Holieday[Friday],Holieday[date],CONCATENATE("&gt;","=",D72),Holieday[date],CONCATENATE("&lt;","=",J_SUBDAY(J_ADDDAY(D72,N72+4,1),1,1)))=4,J_SUBDAY(J_ADDDAY(D72,N72+4,1),1,1),IF((N72+5-(NETWORKDAYS.INTL(J_GregorianDate(D72,1),J_GregorianDate(J_SUBDAY(J_ADDDAY(D72,N72+5,1),1,1),1),16,1)))+SUMIFS(Holieday[ok],Holieday[date],CONCATENATE("&gt;","=",D72),Holieday[date],CONCATENATE("&lt;","=",J_SUBDAY(J_ADDDAY(D72,N72+5,1),1,1)))-SUMIFS(Holieday[Friday],Holieday[date],CONCATENATE("&gt;","=",D72),Holieday[date],CONCATENATE("&lt;","=",J_SUBDAY(J_ADDDAY(D72,N72+5,1),1,1)))=5,J_SUBDAY(J_ADDDAY(D72,N72+5,1),1,1),J_SUBDAY(J_ADDDAY(D72,N72+6,1),1,1))))))))</f>
        <v>1398/08/12</v>
      </c>
      <c r="G72" s="2">
        <f t="shared" si="21"/>
        <v>13980812</v>
      </c>
      <c r="H72" s="266">
        <v>1</v>
      </c>
      <c r="I72" s="267">
        <v>3.19</v>
      </c>
      <c r="J72" s="281">
        <f>j_WEEKDAY(D72,2)</f>
        <v>4</v>
      </c>
      <c r="K72" s="21">
        <f t="shared" si="18"/>
        <v>0</v>
      </c>
      <c r="L72" s="282">
        <f t="shared" si="19"/>
        <v>5</v>
      </c>
      <c r="M72" s="269">
        <v>0</v>
      </c>
      <c r="N72" s="270">
        <v>4</v>
      </c>
      <c r="O72" s="10">
        <f t="shared" si="22"/>
        <v>0</v>
      </c>
      <c r="P72" s="10">
        <f>VALUE(J_normdate(J_ADDDAY($D72,$O72,1)))</f>
        <v>13980808</v>
      </c>
      <c r="Q72" s="9">
        <f t="shared" si="14"/>
        <v>5</v>
      </c>
      <c r="R72" s="283"/>
      <c r="S72" s="283"/>
      <c r="T72" s="283"/>
      <c r="U72" s="283"/>
      <c r="V72" s="283"/>
      <c r="W72" s="283"/>
      <c r="X72" s="283"/>
      <c r="Y72" s="283"/>
      <c r="Z72" s="283"/>
      <c r="AA72" s="283"/>
      <c r="AB72" s="283"/>
      <c r="AC72" s="283"/>
      <c r="AD72" s="283"/>
      <c r="AE72" s="283"/>
      <c r="AF72" s="283"/>
      <c r="AG72" s="283"/>
      <c r="AH72" s="283"/>
      <c r="AI72" s="283"/>
      <c r="AJ72" s="283"/>
      <c r="AK72" s="283"/>
      <c r="AL72" s="283"/>
      <c r="AM72" s="283"/>
      <c r="AN72" s="283"/>
      <c r="AO72" s="283"/>
      <c r="AP72" s="283"/>
      <c r="AQ72" s="283"/>
      <c r="AR72" s="283"/>
      <c r="AS72" s="283"/>
      <c r="AT72" s="283"/>
      <c r="AU72" s="283"/>
      <c r="AV72" s="283"/>
      <c r="AW72" s="283"/>
      <c r="AX72" s="283"/>
      <c r="AY72" s="283"/>
      <c r="AZ72" s="283"/>
      <c r="BA72" s="283"/>
      <c r="BB72" s="283"/>
      <c r="BC72" s="283"/>
      <c r="BD72" s="283"/>
      <c r="BE72" s="283"/>
      <c r="BF72" s="283"/>
      <c r="BG72" s="283"/>
      <c r="BH72" s="283"/>
      <c r="BI72" s="283"/>
      <c r="BJ72" s="283"/>
      <c r="BK72" s="283"/>
      <c r="BL72" s="283"/>
      <c r="BM72" s="283"/>
      <c r="BN72" s="283"/>
      <c r="BO72" s="283"/>
      <c r="BP72" s="283"/>
      <c r="BQ72" s="283"/>
      <c r="BR72" s="283"/>
      <c r="BS72" s="283"/>
      <c r="BT72" s="283"/>
      <c r="BU72" s="283"/>
      <c r="BV72" s="283"/>
      <c r="BW72" s="283"/>
      <c r="BX72" s="283"/>
      <c r="BY72" s="283"/>
      <c r="BZ72" s="283"/>
      <c r="CA72" s="283"/>
      <c r="CB72" s="283"/>
      <c r="CC72" s="283"/>
      <c r="CD72" s="283"/>
      <c r="CE72" s="283"/>
      <c r="CF72" s="283"/>
      <c r="CG72" s="283"/>
      <c r="CH72" s="283"/>
      <c r="CI72" s="283"/>
      <c r="CJ72" s="283"/>
      <c r="CK72" s="283"/>
      <c r="CL72" s="283"/>
      <c r="CM72" s="283"/>
      <c r="CN72" s="283"/>
      <c r="CO72" s="283"/>
      <c r="CP72" s="283"/>
      <c r="CQ72" s="283"/>
      <c r="CR72" s="283"/>
      <c r="CS72" s="283"/>
      <c r="CT72" s="283"/>
      <c r="CU72" s="283"/>
      <c r="CV72" s="283"/>
      <c r="CW72" s="283"/>
      <c r="CX72" s="283"/>
      <c r="CY72" s="283"/>
      <c r="CZ72" s="283"/>
      <c r="DA72" s="283"/>
      <c r="DB72" s="283"/>
      <c r="DC72" s="283"/>
      <c r="DD72" s="283"/>
      <c r="DE72" s="283"/>
      <c r="DF72" s="283"/>
      <c r="DG72" s="283"/>
      <c r="DH72" s="283"/>
      <c r="DI72" s="283"/>
      <c r="DJ72" s="283"/>
      <c r="DK72" s="283"/>
      <c r="DL72" s="283"/>
      <c r="DM72" s="283"/>
      <c r="DN72" s="283"/>
      <c r="DO72" s="283"/>
      <c r="DP72" s="283"/>
      <c r="DQ72" s="283"/>
      <c r="DR72" s="283"/>
      <c r="DS72" s="283"/>
      <c r="DT72" s="283"/>
      <c r="DU72" s="283"/>
      <c r="DV72" s="283"/>
      <c r="DW72" s="283"/>
      <c r="DX72" s="283"/>
      <c r="DY72" s="283"/>
      <c r="DZ72" s="283"/>
      <c r="EA72" s="283"/>
      <c r="EB72" s="283"/>
      <c r="EC72" s="283"/>
      <c r="ED72" s="283"/>
      <c r="EE72" s="283"/>
      <c r="EF72" s="283"/>
      <c r="EG72" s="283"/>
      <c r="EH72" s="283"/>
      <c r="EI72" s="283"/>
      <c r="EJ72" s="283"/>
      <c r="EK72" s="283"/>
      <c r="EL72" s="283"/>
      <c r="EM72" s="283"/>
      <c r="EN72" s="283"/>
      <c r="EO72" s="283"/>
      <c r="EP72" s="283"/>
      <c r="EQ72" s="283"/>
      <c r="ER72" s="283"/>
      <c r="ES72" s="283"/>
      <c r="ET72" s="283"/>
      <c r="EU72" s="283"/>
      <c r="EV72" s="283"/>
      <c r="EW72" s="283"/>
      <c r="EX72" s="283"/>
      <c r="EY72" s="283"/>
      <c r="EZ72" s="283"/>
      <c r="FA72" s="283"/>
      <c r="FB72" s="283"/>
      <c r="FC72" s="283"/>
      <c r="FD72" s="283"/>
      <c r="FE72" s="283"/>
      <c r="FF72" s="283"/>
      <c r="FG72" s="283"/>
      <c r="FH72" s="283"/>
      <c r="FI72" s="283"/>
      <c r="FJ72" s="283"/>
      <c r="FK72" s="283"/>
      <c r="FL72" s="283"/>
      <c r="FM72" s="283"/>
      <c r="FN72" s="283"/>
      <c r="FO72" s="283"/>
      <c r="FP72" s="283"/>
      <c r="FQ72" s="283"/>
      <c r="FR72" s="283"/>
      <c r="FS72" s="283"/>
      <c r="FT72" s="283"/>
      <c r="FU72" s="283"/>
      <c r="FV72" s="283"/>
      <c r="FW72" s="283"/>
      <c r="FX72" s="283"/>
      <c r="FY72" s="283"/>
      <c r="FZ72" s="283"/>
      <c r="GA72" s="283"/>
      <c r="GB72" s="283"/>
      <c r="GC72" s="283"/>
      <c r="GD72" s="283"/>
      <c r="GE72" s="283"/>
      <c r="GF72" s="283"/>
      <c r="GG72" s="283"/>
      <c r="GH72" s="283"/>
      <c r="GI72" s="283"/>
      <c r="GJ72" s="283"/>
      <c r="GK72" s="283"/>
      <c r="GL72" s="283"/>
      <c r="GM72" s="283"/>
      <c r="GN72" s="283"/>
      <c r="GO72" s="283"/>
      <c r="GP72" s="283"/>
      <c r="GQ72" s="283"/>
      <c r="GR72" s="283"/>
      <c r="GS72" s="283"/>
      <c r="GT72" s="283"/>
      <c r="GU72" s="283"/>
      <c r="GV72" s="283"/>
      <c r="GW72" s="283"/>
      <c r="GX72" s="283"/>
      <c r="GY72" s="283"/>
      <c r="GZ72" s="283"/>
      <c r="HA72" s="283"/>
      <c r="HB72" s="283"/>
      <c r="HC72" s="283"/>
      <c r="HD72" s="283"/>
      <c r="HE72" s="283"/>
      <c r="HF72" s="283"/>
      <c r="HG72" s="283"/>
      <c r="HH72" s="283"/>
      <c r="HI72" s="283"/>
      <c r="HJ72" s="283"/>
      <c r="HK72" s="283"/>
      <c r="HL72" s="283"/>
      <c r="HM72" s="283"/>
      <c r="HN72" s="283"/>
      <c r="HO72" s="283"/>
      <c r="HP72" s="283"/>
      <c r="HQ72" s="283"/>
      <c r="HR72" s="283"/>
      <c r="HS72" s="283"/>
      <c r="HT72" s="283"/>
      <c r="HU72" s="283"/>
      <c r="HV72" s="283"/>
      <c r="HW72" s="283"/>
      <c r="HX72" s="283"/>
      <c r="HY72" s="283"/>
      <c r="HZ72" s="283"/>
      <c r="IA72" s="283"/>
      <c r="IB72" s="283"/>
      <c r="IC72" s="283"/>
      <c r="ID72" s="283"/>
      <c r="IE72" s="283"/>
      <c r="IF72" s="283"/>
      <c r="IG72" s="283"/>
      <c r="IH72" s="283"/>
      <c r="II72" s="283"/>
      <c r="IJ72" s="283"/>
      <c r="IK72" s="283"/>
      <c r="IL72" s="283"/>
      <c r="IM72" s="283"/>
      <c r="IN72" s="283"/>
      <c r="IO72" s="283"/>
      <c r="IP72" s="283"/>
      <c r="IQ72" s="283"/>
      <c r="IR72" s="283"/>
      <c r="IS72" s="283"/>
      <c r="IT72" s="283"/>
      <c r="IU72" s="283"/>
      <c r="IV72" s="283"/>
      <c r="IW72" s="283"/>
      <c r="IX72" s="283"/>
      <c r="JA72" s="289"/>
      <c r="JB72" s="289"/>
      <c r="JC72" s="289"/>
      <c r="JD72" s="290">
        <f>SUM((TEXT(JA72,"[M]")/60)*'Income Person-hours'!$D$3,(TEXT(JB72,"[M]")/60)*'Income Person-hours'!$D$4,(TEXT(JC72,"[M]")/60)*'Income Person-hours'!$D$5)</f>
        <v>0</v>
      </c>
    </row>
    <row r="73" spans="1:264" s="283" customFormat="1" ht="13.5">
      <c r="A73" s="293">
        <v>3.22</v>
      </c>
      <c r="B73" s="277" t="s">
        <v>122</v>
      </c>
      <c r="C73" s="263" t="s">
        <v>111</v>
      </c>
      <c r="D73" s="283" t="str">
        <f>IF(OR(j_WEEKDAY(J_ADDDAY(VLOOKUP(I73,A:F,6,FALSE),H73,1),0)=6,SUMIFS(Holieday[ok],Holieday[date],J_ADDDAY(VLOOKUP(I73,A:F,6,FALSE),H73,1)))=FALSE(),J_ADDDAY(VLOOKUP(I73,A:F,6,FALSE),H73,1),IF(OR(j_WEEKDAY(J_ADDDAY(VLOOKUP(I73,A:F,6,FALSE),H73+1,1),0)=6,SUMIFS(Holieday[ok],Holieday[date],J_ADDDAY(VLOOKUP(I73,A:F,6,FALSE),H73+1,1)))=FALSE(),J_ADDDAY(VLOOKUP(I73,A:F,6,FALSE),H73+1,1),IF(OR(j_WEEKDAY(J_ADDDAY(VLOOKUP(I73,A:F,6,FALSE),H73+2,1),0)=6,SUMIFS(Holieday[ok],Holieday[date],J_ADDDAY(VLOOKUP(I73,A:F,6,FALSE),H73+2,1)))=FALSE(),J_ADDDAY(VLOOKUP(I73,A:F,6,FALSE),H73+2,1),IF(OR(j_WEEKDAY(J_ADDDAY(VLOOKUP(I73,A:F,6,FALSE),H73+3,1),0)=6,SUMIFS(Holieday[ok],Holieday[date],J_ADDDAY(VLOOKUP(I73,A:F,6,FALSE),H73+3,1)))=FALSE(),J_ADDDAY(VLOOKUP(I73,A:F,6,FALSE),H73+3,1),IF(OR(j_WEEKDAY(J_ADDDAY(VLOOKUP(I73,A:F,6,FALSE),H73+4,1),0)=6,SUMIFS(Holieday[ok],Holieday[date],J_ADDDAY(VLOOKUP(I73,A:F,6,FALSE),H73+4,1)))=FALSE(),J_ADDDAY(VLOOKUP(I73,A:F,6,FALSE),H73+4,1),J_ADDDAY(VLOOKUP(I73,A:F,6,FALSE),H73+5,1))))))</f>
        <v>1398/08/13</v>
      </c>
      <c r="E73" s="1">
        <f t="shared" si="20"/>
        <v>13980813</v>
      </c>
      <c r="F73" s="287" t="str">
        <f>IF(N73=0,J_SUBDAY(D73,1,1),IF((N73-(NETWORKDAYS.INTL(J_GregorianDate(D73,1),J_GregorianDate(J_SUBDAY(J_ADDDAY(D73,N73,1),1,1),1),16,1)))+SUMIFS(Holieday[ok],Holieday[date],CONCATENATE("&gt;","=",D73),Holieday[date],CONCATENATE("&lt;","=",J_SUBDAY(J_ADDDAY(D73,N73,1),1,1)))-SUMIFS(Holieday[Friday],Holieday[date],CONCATENATE("&gt;","=",D73),Holieday[date],CONCATENATE("&lt;","=",J_SUBDAY(J_ADDDAY(D73,N73,1),1,1)))=0,J_SUBDAY(J_ADDDAY(D73,N73,1),1,1),IF((N73+1-(NETWORKDAYS.INTL(J_GregorianDate(D73,1),J_GregorianDate(J_SUBDAY(J_ADDDAY(D73,N73+1,1),1,1),1),16,1)))+SUMIFS(Holieday[ok],Holieday[date],CONCATENATE("&gt;","=",D73),Holieday[date],CONCATENATE("&lt;","=",J_SUBDAY(J_ADDDAY(D73,N73+1,1),1,1)))-SUMIFS(Holieday[Friday],Holieday[date],CONCATENATE("&gt;","=",D73),Holieday[date],CONCATENATE("&lt;","=",J_SUBDAY(J_ADDDAY(D73,N73+1,1),1,1)))=1,J_SUBDAY(J_ADDDAY(D73,N73+1,1),1,1),IF((N73+2-(NETWORKDAYS.INTL(J_GregorianDate(D73,1),J_GregorianDate(J_SUBDAY(J_ADDDAY(D73,N73+2,1),1,1),1),16,1)))+SUMIFS(Holieday[ok],Holieday[date],CONCATENATE("&gt;","=",D73),Holieday[date],CONCATENATE("&lt;","=",J_SUBDAY(J_ADDDAY(D73,N73+2,1),1,1)))-SUMIFS(Holieday[Friday],Holieday[date],CONCATENATE("&gt;","=",D73),Holieday[date],CONCATENATE("&lt;","=",J_SUBDAY(J_ADDDAY(D73,N73+2,1),1,1)))=2,J_SUBDAY(J_ADDDAY(D73,N73+2,1),1,1),IF((N73+3-(NETWORKDAYS.INTL(J_GregorianDate(D73,1),J_GregorianDate(J_SUBDAY(J_ADDDAY(D73,N73+3,1),1,1),1),16,1)))+SUMIFS(Holieday[ok],Holieday[date],CONCATENATE("&gt;","=",D73),Holieday[date],CONCATENATE("&lt;","=",J_SUBDAY(J_ADDDAY(D73,N73+3,1),1,1)))-SUMIFS(Holieday[Friday],Holieday[date],CONCATENATE("&gt;","=",D73),Holieday[date],CONCATENATE("&lt;","=",J_SUBDAY(J_ADDDAY(D73,N73+3,1),1,1)))=3,J_SUBDAY(J_ADDDAY(D73,N73+3,1),1,1),IF((N73+4-(NETWORKDAYS.INTL(J_GregorianDate(D73,1),J_GregorianDate(J_SUBDAY(J_ADDDAY(D73,N73+4,1),1,1),1),16,1)))+SUMIFS(Holieday[ok],Holieday[date],CONCATENATE("&gt;","=",D73),Holieday[date],CONCATENATE("&lt;","=",J_SUBDAY(J_ADDDAY(D73,N73+4,1),1,1)))-SUMIFS(Holieday[Friday],Holieday[date],CONCATENATE("&gt;","=",D73),Holieday[date],CONCATENATE("&lt;","=",J_SUBDAY(J_ADDDAY(D73,N73+4,1),1,1)))=4,J_SUBDAY(J_ADDDAY(D73,N73+4,1),1,1),IF((N73+5-(NETWORKDAYS.INTL(J_GregorianDate(D73,1),J_GregorianDate(J_SUBDAY(J_ADDDAY(D73,N73+5,1),1,1),1),16,1)))+SUMIFS(Holieday[ok],Holieday[date],CONCATENATE("&gt;","=",D73),Holieday[date],CONCATENATE("&lt;","=",J_SUBDAY(J_ADDDAY(D73,N73+5,1),1,1)))-SUMIFS(Holieday[Friday],Holieday[date],CONCATENATE("&gt;","=",D73),Holieday[date],CONCATENATE("&lt;","=",J_SUBDAY(J_ADDDAY(D73,N73+5,1),1,1)))=5,J_SUBDAY(J_ADDDAY(D73,N73+5,1),1,1),J_SUBDAY(J_ADDDAY(D73,N73+6,1),1,1))))))))</f>
        <v>1398/08/22</v>
      </c>
      <c r="G73" s="2">
        <f t="shared" si="21"/>
        <v>13980822</v>
      </c>
      <c r="H73" s="266">
        <v>1</v>
      </c>
      <c r="I73" s="267">
        <v>3.21</v>
      </c>
      <c r="J73" s="281">
        <f>j_WEEKDAY(D73,2)</f>
        <v>2</v>
      </c>
      <c r="K73" s="21">
        <f t="shared" si="18"/>
        <v>0</v>
      </c>
      <c r="L73" s="294">
        <f t="shared" si="19"/>
        <v>10</v>
      </c>
      <c r="M73" s="269">
        <v>0</v>
      </c>
      <c r="N73" s="270">
        <v>8</v>
      </c>
      <c r="O73" s="10">
        <f t="shared" si="22"/>
        <v>0</v>
      </c>
      <c r="P73" s="10">
        <f>VALUE(J_normdate(J_ADDDAY($D73,$O73,1)))</f>
        <v>13980813</v>
      </c>
      <c r="Q73" s="9">
        <f t="shared" si="14"/>
        <v>10</v>
      </c>
      <c r="JA73" s="263"/>
      <c r="JB73" s="263"/>
      <c r="JC73" s="263"/>
      <c r="JD73" s="286">
        <f>SUM((TEXT(JA73,"[M]")/60)*'Income Person-hours'!$D$3,(TEXT(JB73,"[M]")/60)*'Income Person-hours'!$D$4,(TEXT(JC73,"[M]")/60)*'Income Person-hours'!$D$5)</f>
        <v>0</v>
      </c>
    </row>
    <row r="74" spans="1:264" s="291" customFormat="1" ht="13.5">
      <c r="A74" s="292">
        <v>3.23</v>
      </c>
      <c r="B74" s="277" t="s">
        <v>150</v>
      </c>
      <c r="C74" s="263" t="s">
        <v>110</v>
      </c>
      <c r="D74" s="283" t="str">
        <f>IF(OR(j_WEEKDAY(J_ADDDAY(VLOOKUP(I74,A:F,6,FALSE),H74,1),0)=6,SUMIFS(Holieday[ok],Holieday[date],J_ADDDAY(VLOOKUP(I74,A:F,6,FALSE),H74,1)))=FALSE(),J_ADDDAY(VLOOKUP(I74,A:F,6,FALSE),H74,1),IF(OR(j_WEEKDAY(J_ADDDAY(VLOOKUP(I74,A:F,6,FALSE),H74+1,1),0)=6,SUMIFS(Holieday[ok],Holieday[date],J_ADDDAY(VLOOKUP(I74,A:F,6,FALSE),H74+1,1)))=FALSE(),J_ADDDAY(VLOOKUP(I74,A:F,6,FALSE),H74+1,1),IF(OR(j_WEEKDAY(J_ADDDAY(VLOOKUP(I74,A:F,6,FALSE),H74+2,1),0)=6,SUMIFS(Holieday[ok],Holieday[date],J_ADDDAY(VLOOKUP(I74,A:F,6,FALSE),H74+2,1)))=FALSE(),J_ADDDAY(VLOOKUP(I74,A:F,6,FALSE),H74+2,1),IF(OR(j_WEEKDAY(J_ADDDAY(VLOOKUP(I74,A:F,6,FALSE),H74+3,1),0)=6,SUMIFS(Holieday[ok],Holieday[date],J_ADDDAY(VLOOKUP(I74,A:F,6,FALSE),H74+3,1)))=FALSE(),J_ADDDAY(VLOOKUP(I74,A:F,6,FALSE),H74+3,1),IF(OR(j_WEEKDAY(J_ADDDAY(VLOOKUP(I74,A:F,6,FALSE),H74+4,1),0)=6,SUMIFS(Holieday[ok],Holieday[date],J_ADDDAY(VLOOKUP(I74,A:F,6,FALSE),H74+4,1)))=FALSE(),J_ADDDAY(VLOOKUP(I74,A:F,6,FALSE),H74+4,1),J_ADDDAY(VLOOKUP(I74,A:F,6,FALSE),H74+5,1))))))</f>
        <v>1398/08/25</v>
      </c>
      <c r="E74" s="1">
        <f t="shared" si="20"/>
        <v>13980825</v>
      </c>
      <c r="F74" s="287" t="str">
        <f>IF(N74=0,J_SUBDAY(D74,1,1),IF((N74-(NETWORKDAYS.INTL(J_GregorianDate(D74,1),J_GregorianDate(J_SUBDAY(J_ADDDAY(D74,N74,1),1,1),1),16,1)))+SUMIFS(Holieday[ok],Holieday[date],CONCATENATE("&gt;","=",D74),Holieday[date],CONCATENATE("&lt;","=",J_SUBDAY(J_ADDDAY(D74,N74,1),1,1)))-SUMIFS(Holieday[Friday],Holieday[date],CONCATENATE("&gt;","=",D74),Holieday[date],CONCATENATE("&lt;","=",J_SUBDAY(J_ADDDAY(D74,N74,1),1,1)))=0,J_SUBDAY(J_ADDDAY(D74,N74,1),1,1),IF((N74+1-(NETWORKDAYS.INTL(J_GregorianDate(D74,1),J_GregorianDate(J_SUBDAY(J_ADDDAY(D74,N74+1,1),1,1),1),16,1)))+SUMIFS(Holieday[ok],Holieday[date],CONCATENATE("&gt;","=",D74),Holieday[date],CONCATENATE("&lt;","=",J_SUBDAY(J_ADDDAY(D74,N74+1,1),1,1)))-SUMIFS(Holieday[Friday],Holieday[date],CONCATENATE("&gt;","=",D74),Holieday[date],CONCATENATE("&lt;","=",J_SUBDAY(J_ADDDAY(D74,N74+1,1),1,1)))=1,J_SUBDAY(J_ADDDAY(D74,N74+1,1),1,1),IF((N74+2-(NETWORKDAYS.INTL(J_GregorianDate(D74,1),J_GregorianDate(J_SUBDAY(J_ADDDAY(D74,N74+2,1),1,1),1),16,1)))+SUMIFS(Holieday[ok],Holieday[date],CONCATENATE("&gt;","=",D74),Holieday[date],CONCATENATE("&lt;","=",J_SUBDAY(J_ADDDAY(D74,N74+2,1),1,1)))-SUMIFS(Holieday[Friday],Holieday[date],CONCATENATE("&gt;","=",D74),Holieday[date],CONCATENATE("&lt;","=",J_SUBDAY(J_ADDDAY(D74,N74+2,1),1,1)))=2,J_SUBDAY(J_ADDDAY(D74,N74+2,1),1,1),IF((N74+3-(NETWORKDAYS.INTL(J_GregorianDate(D74,1),J_GregorianDate(J_SUBDAY(J_ADDDAY(D74,N74+3,1),1,1),1),16,1)))+SUMIFS(Holieday[ok],Holieday[date],CONCATENATE("&gt;","=",D74),Holieday[date],CONCATENATE("&lt;","=",J_SUBDAY(J_ADDDAY(D74,N74+3,1),1,1)))-SUMIFS(Holieday[Friday],Holieday[date],CONCATENATE("&gt;","=",D74),Holieday[date],CONCATENATE("&lt;","=",J_SUBDAY(J_ADDDAY(D74,N74+3,1),1,1)))=3,J_SUBDAY(J_ADDDAY(D74,N74+3,1),1,1),IF((N74+4-(NETWORKDAYS.INTL(J_GregorianDate(D74,1),J_GregorianDate(J_SUBDAY(J_ADDDAY(D74,N74+4,1),1,1),1),16,1)))+SUMIFS(Holieday[ok],Holieday[date],CONCATENATE("&gt;","=",D74),Holieday[date],CONCATENATE("&lt;","=",J_SUBDAY(J_ADDDAY(D74,N74+4,1),1,1)))-SUMIFS(Holieday[Friday],Holieday[date],CONCATENATE("&gt;","=",D74),Holieday[date],CONCATENATE("&lt;","=",J_SUBDAY(J_ADDDAY(D74,N74+4,1),1,1)))=4,J_SUBDAY(J_ADDDAY(D74,N74+4,1),1,1),IF((N74+5-(NETWORKDAYS.INTL(J_GregorianDate(D74,1),J_GregorianDate(J_SUBDAY(J_ADDDAY(D74,N74+5,1),1,1),1),16,1)))+SUMIFS(Holieday[ok],Holieday[date],CONCATENATE("&gt;","=",D74),Holieday[date],CONCATENATE("&lt;","=",J_SUBDAY(J_ADDDAY(D74,N74+5,1),1,1)))-SUMIFS(Holieday[Friday],Holieday[date],CONCATENATE("&gt;","=",D74),Holieday[date],CONCATENATE("&lt;","=",J_SUBDAY(J_ADDDAY(D74,N74+5,1),1,1)))=5,J_SUBDAY(J_ADDDAY(D74,N74+5,1),1,1),J_SUBDAY(J_ADDDAY(D74,N74+6,1),1,1))))))))</f>
        <v>1398/08/27</v>
      </c>
      <c r="G74" s="2">
        <f t="shared" si="21"/>
        <v>13980827</v>
      </c>
      <c r="H74" s="266">
        <v>2</v>
      </c>
      <c r="I74" s="267">
        <v>3.22</v>
      </c>
      <c r="J74" s="281">
        <f>j_WEEKDAY(D74,2)</f>
        <v>0</v>
      </c>
      <c r="K74" s="21">
        <f t="shared" si="18"/>
        <v>0</v>
      </c>
      <c r="L74" s="282">
        <f t="shared" si="19"/>
        <v>3</v>
      </c>
      <c r="M74" s="269">
        <v>0</v>
      </c>
      <c r="N74" s="270">
        <v>3</v>
      </c>
      <c r="O74" s="10">
        <f t="shared" si="22"/>
        <v>0</v>
      </c>
      <c r="P74" s="10">
        <f>VALUE(J_normdate(J_ADDDAY($D74,$O74,1)))</f>
        <v>13980825</v>
      </c>
      <c r="Q74" s="9">
        <f t="shared" si="14"/>
        <v>3</v>
      </c>
      <c r="R74" s="283"/>
      <c r="S74" s="283"/>
      <c r="T74" s="283"/>
      <c r="U74" s="283"/>
      <c r="V74" s="283"/>
      <c r="W74" s="283"/>
      <c r="X74" s="283"/>
      <c r="Y74" s="283"/>
      <c r="Z74" s="283"/>
      <c r="AA74" s="283"/>
      <c r="AB74" s="283"/>
      <c r="AC74" s="283"/>
      <c r="AD74" s="283"/>
      <c r="AE74" s="283"/>
      <c r="AF74" s="283"/>
      <c r="AG74" s="283"/>
      <c r="AH74" s="283"/>
      <c r="AI74" s="283"/>
      <c r="AJ74" s="283"/>
      <c r="AK74" s="283"/>
      <c r="AL74" s="283"/>
      <c r="AM74" s="283"/>
      <c r="AN74" s="283"/>
      <c r="AO74" s="283"/>
      <c r="AP74" s="283"/>
      <c r="AQ74" s="283"/>
      <c r="AR74" s="283"/>
      <c r="AS74" s="283"/>
      <c r="AT74" s="283"/>
      <c r="AU74" s="283"/>
      <c r="AV74" s="283"/>
      <c r="AW74" s="283"/>
      <c r="AX74" s="283"/>
      <c r="AY74" s="283"/>
      <c r="AZ74" s="283"/>
      <c r="BA74" s="283"/>
      <c r="BB74" s="283"/>
      <c r="BC74" s="283"/>
      <c r="BD74" s="283"/>
      <c r="BE74" s="283"/>
      <c r="BF74" s="283"/>
      <c r="BG74" s="283"/>
      <c r="BH74" s="283"/>
      <c r="BI74" s="283"/>
      <c r="BJ74" s="283"/>
      <c r="BK74" s="283"/>
      <c r="BL74" s="283"/>
      <c r="BM74" s="283"/>
      <c r="BN74" s="283"/>
      <c r="BO74" s="283"/>
      <c r="BP74" s="283"/>
      <c r="BQ74" s="283"/>
      <c r="BR74" s="283"/>
      <c r="BS74" s="283"/>
      <c r="BT74" s="283"/>
      <c r="BU74" s="283"/>
      <c r="BV74" s="283"/>
      <c r="BW74" s="283"/>
      <c r="BX74" s="283"/>
      <c r="BY74" s="283"/>
      <c r="BZ74" s="283"/>
      <c r="CA74" s="283"/>
      <c r="CB74" s="283"/>
      <c r="CC74" s="283"/>
      <c r="CD74" s="283"/>
      <c r="CE74" s="283"/>
      <c r="CF74" s="283"/>
      <c r="CG74" s="283"/>
      <c r="CH74" s="283"/>
      <c r="CI74" s="283"/>
      <c r="CJ74" s="283"/>
      <c r="CK74" s="283"/>
      <c r="CL74" s="283"/>
      <c r="CM74" s="283"/>
      <c r="CN74" s="283"/>
      <c r="CO74" s="283"/>
      <c r="CP74" s="283"/>
      <c r="CQ74" s="283"/>
      <c r="CR74" s="283"/>
      <c r="CS74" s="283"/>
      <c r="CT74" s="283"/>
      <c r="CU74" s="283"/>
      <c r="CV74" s="283"/>
      <c r="CW74" s="283"/>
      <c r="CX74" s="283"/>
      <c r="CY74" s="283"/>
      <c r="CZ74" s="283"/>
      <c r="DA74" s="283"/>
      <c r="DB74" s="283"/>
      <c r="DC74" s="283"/>
      <c r="DD74" s="283"/>
      <c r="DE74" s="283"/>
      <c r="DF74" s="283"/>
      <c r="DG74" s="283"/>
      <c r="DH74" s="283"/>
      <c r="DI74" s="283"/>
      <c r="DJ74" s="283"/>
      <c r="DK74" s="283"/>
      <c r="DL74" s="283"/>
      <c r="DM74" s="283"/>
      <c r="DN74" s="283"/>
      <c r="DO74" s="283"/>
      <c r="DP74" s="283"/>
      <c r="DQ74" s="283"/>
      <c r="DR74" s="283"/>
      <c r="DS74" s="283"/>
      <c r="DT74" s="283"/>
      <c r="DU74" s="283"/>
      <c r="DV74" s="283"/>
      <c r="DW74" s="283"/>
      <c r="DX74" s="283"/>
      <c r="DY74" s="283"/>
      <c r="DZ74" s="283"/>
      <c r="EA74" s="283"/>
      <c r="EB74" s="283"/>
      <c r="EC74" s="283"/>
      <c r="ED74" s="283"/>
      <c r="EE74" s="283"/>
      <c r="EF74" s="283"/>
      <c r="EG74" s="283"/>
      <c r="EH74" s="283"/>
      <c r="EI74" s="283"/>
      <c r="EJ74" s="283"/>
      <c r="EK74" s="283"/>
      <c r="EL74" s="283"/>
      <c r="EM74" s="283"/>
      <c r="EN74" s="283"/>
      <c r="EO74" s="283"/>
      <c r="EP74" s="283"/>
      <c r="EQ74" s="283"/>
      <c r="ER74" s="283"/>
      <c r="ES74" s="283"/>
      <c r="ET74" s="283"/>
      <c r="EU74" s="283"/>
      <c r="EV74" s="283"/>
      <c r="EW74" s="283"/>
      <c r="EX74" s="283"/>
      <c r="EY74" s="283"/>
      <c r="EZ74" s="283"/>
      <c r="FA74" s="283"/>
      <c r="FB74" s="283"/>
      <c r="FC74" s="283"/>
      <c r="FD74" s="283"/>
      <c r="FE74" s="283"/>
      <c r="FF74" s="283"/>
      <c r="FG74" s="283"/>
      <c r="FH74" s="283"/>
      <c r="FI74" s="283"/>
      <c r="FJ74" s="283"/>
      <c r="FK74" s="283"/>
      <c r="FL74" s="283"/>
      <c r="FM74" s="283"/>
      <c r="FN74" s="283"/>
      <c r="FO74" s="283"/>
      <c r="FP74" s="283"/>
      <c r="FQ74" s="283"/>
      <c r="FR74" s="283"/>
      <c r="FS74" s="283"/>
      <c r="FT74" s="283"/>
      <c r="FU74" s="283"/>
      <c r="FV74" s="283"/>
      <c r="FW74" s="283"/>
      <c r="FX74" s="283"/>
      <c r="FY74" s="283"/>
      <c r="FZ74" s="283"/>
      <c r="GA74" s="283"/>
      <c r="GB74" s="283"/>
      <c r="GC74" s="283"/>
      <c r="GD74" s="283"/>
      <c r="GE74" s="283"/>
      <c r="GF74" s="283"/>
      <c r="GG74" s="283"/>
      <c r="GH74" s="283"/>
      <c r="GI74" s="283"/>
      <c r="GJ74" s="283"/>
      <c r="GK74" s="283"/>
      <c r="GL74" s="283"/>
      <c r="GM74" s="283"/>
      <c r="GN74" s="283"/>
      <c r="GO74" s="283"/>
      <c r="GP74" s="283"/>
      <c r="GQ74" s="283"/>
      <c r="GR74" s="283"/>
      <c r="GS74" s="283"/>
      <c r="GT74" s="283"/>
      <c r="GU74" s="283"/>
      <c r="GV74" s="283"/>
      <c r="GW74" s="283"/>
      <c r="GX74" s="283"/>
      <c r="GY74" s="283"/>
      <c r="GZ74" s="283"/>
      <c r="HA74" s="283"/>
      <c r="HB74" s="283"/>
      <c r="HC74" s="283"/>
      <c r="HD74" s="283"/>
      <c r="HE74" s="283"/>
      <c r="HF74" s="283"/>
      <c r="HG74" s="283"/>
      <c r="HH74" s="283"/>
      <c r="HI74" s="283"/>
      <c r="HJ74" s="283"/>
      <c r="HK74" s="283"/>
      <c r="HL74" s="283"/>
      <c r="HM74" s="283"/>
      <c r="HN74" s="283"/>
      <c r="HO74" s="283"/>
      <c r="HP74" s="283"/>
      <c r="HQ74" s="283"/>
      <c r="HR74" s="283"/>
      <c r="HS74" s="283"/>
      <c r="HT74" s="283"/>
      <c r="HU74" s="283"/>
      <c r="HV74" s="283"/>
      <c r="HW74" s="283"/>
      <c r="HX74" s="283"/>
      <c r="HY74" s="283"/>
      <c r="HZ74" s="283"/>
      <c r="IA74" s="283"/>
      <c r="IB74" s="283"/>
      <c r="IC74" s="283"/>
      <c r="ID74" s="283"/>
      <c r="IE74" s="283"/>
      <c r="IF74" s="283"/>
      <c r="IG74" s="283"/>
      <c r="IH74" s="283"/>
      <c r="II74" s="283"/>
      <c r="IJ74" s="283"/>
      <c r="IK74" s="283"/>
      <c r="IL74" s="283"/>
      <c r="IM74" s="283"/>
      <c r="IN74" s="283"/>
      <c r="IO74" s="283"/>
      <c r="IP74" s="283"/>
      <c r="IQ74" s="283"/>
      <c r="IR74" s="283"/>
      <c r="IS74" s="283"/>
      <c r="IT74" s="283"/>
      <c r="IU74" s="283"/>
      <c r="IV74" s="283"/>
      <c r="IW74" s="283"/>
      <c r="IX74" s="283"/>
      <c r="JA74" s="289"/>
      <c r="JB74" s="289"/>
      <c r="JC74" s="289"/>
      <c r="JD74" s="290">
        <f>SUM((TEXT(JA74,"[M]")/60)*'Income Person-hours'!$D$3,(TEXT(JB74,"[M]")/60)*'Income Person-hours'!$D$4,(TEXT(JC74,"[M]")/60)*'Income Person-hours'!$D$5)</f>
        <v>0</v>
      </c>
    </row>
    <row r="75" spans="1:264" s="291" customFormat="1" ht="13.5">
      <c r="A75" s="292">
        <v>3.24</v>
      </c>
      <c r="B75" s="277" t="s">
        <v>164</v>
      </c>
      <c r="C75" s="263" t="s">
        <v>111</v>
      </c>
      <c r="D75" s="283" t="str">
        <f>IF(OR(j_WEEKDAY(J_ADDDAY(VLOOKUP(I75,A:F,6,FALSE),H75,1),0)=6,SUMIFS(Holieday[ok],Holieday[date],J_ADDDAY(VLOOKUP(I75,A:F,6,FALSE),H75,1)))=FALSE(),J_ADDDAY(VLOOKUP(I75,A:F,6,FALSE),H75,1),IF(OR(j_WEEKDAY(J_ADDDAY(VLOOKUP(I75,A:F,6,FALSE),H75+1,1),0)=6,SUMIFS(Holieday[ok],Holieday[date],J_ADDDAY(VLOOKUP(I75,A:F,6,FALSE),H75+1,1)))=FALSE(),J_ADDDAY(VLOOKUP(I75,A:F,6,FALSE),H75+1,1),IF(OR(j_WEEKDAY(J_ADDDAY(VLOOKUP(I75,A:F,6,FALSE),H75+2,1),0)=6,SUMIFS(Holieday[ok],Holieday[date],J_ADDDAY(VLOOKUP(I75,A:F,6,FALSE),H75+2,1)))=FALSE(),J_ADDDAY(VLOOKUP(I75,A:F,6,FALSE),H75+2,1),IF(OR(j_WEEKDAY(J_ADDDAY(VLOOKUP(I75,A:F,6,FALSE),H75+3,1),0)=6,SUMIFS(Holieday[ok],Holieday[date],J_ADDDAY(VLOOKUP(I75,A:F,6,FALSE),H75+3,1)))=FALSE(),J_ADDDAY(VLOOKUP(I75,A:F,6,FALSE),H75+3,1),IF(OR(j_WEEKDAY(J_ADDDAY(VLOOKUP(I75,A:F,6,FALSE),H75+4,1),0)=6,SUMIFS(Holieday[ok],Holieday[date],J_ADDDAY(VLOOKUP(I75,A:F,6,FALSE),H75+4,1)))=FALSE(),J_ADDDAY(VLOOKUP(I75,A:F,6,FALSE),H75+4,1),J_ADDDAY(VLOOKUP(I75,A:F,6,FALSE),H75+5,1))))))</f>
        <v>1398/08/28</v>
      </c>
      <c r="E75" s="1">
        <f t="shared" si="20"/>
        <v>13980828</v>
      </c>
      <c r="F75" s="287" t="str">
        <f>IF(N75=0,J_SUBDAY(D75,1,1),IF((N75-(NETWORKDAYS.INTL(J_GregorianDate(D75,1),J_GregorianDate(J_SUBDAY(J_ADDDAY(D75,N75,1),1,1),1),16,1)))+SUMIFS(Holieday[ok],Holieday[date],CONCATENATE("&gt;","=",D75),Holieday[date],CONCATENATE("&lt;","=",J_SUBDAY(J_ADDDAY(D75,N75,1),1,1)))-SUMIFS(Holieday[Friday],Holieday[date],CONCATENATE("&gt;","=",D75),Holieday[date],CONCATENATE("&lt;","=",J_SUBDAY(J_ADDDAY(D75,N75,1),1,1)))=0,J_SUBDAY(J_ADDDAY(D75,N75,1),1,1),IF((N75+1-(NETWORKDAYS.INTL(J_GregorianDate(D75,1),J_GregorianDate(J_SUBDAY(J_ADDDAY(D75,N75+1,1),1,1),1),16,1)))+SUMIFS(Holieday[ok],Holieday[date],CONCATENATE("&gt;","=",D75),Holieday[date],CONCATENATE("&lt;","=",J_SUBDAY(J_ADDDAY(D75,N75+1,1),1,1)))-SUMIFS(Holieday[Friday],Holieday[date],CONCATENATE("&gt;","=",D75),Holieday[date],CONCATENATE("&lt;","=",J_SUBDAY(J_ADDDAY(D75,N75+1,1),1,1)))=1,J_SUBDAY(J_ADDDAY(D75,N75+1,1),1,1),IF((N75+2-(NETWORKDAYS.INTL(J_GregorianDate(D75,1),J_GregorianDate(J_SUBDAY(J_ADDDAY(D75,N75+2,1),1,1),1),16,1)))+SUMIFS(Holieday[ok],Holieday[date],CONCATENATE("&gt;","=",D75),Holieday[date],CONCATENATE("&lt;","=",J_SUBDAY(J_ADDDAY(D75,N75+2,1),1,1)))-SUMIFS(Holieday[Friday],Holieday[date],CONCATENATE("&gt;","=",D75),Holieday[date],CONCATENATE("&lt;","=",J_SUBDAY(J_ADDDAY(D75,N75+2,1),1,1)))=2,J_SUBDAY(J_ADDDAY(D75,N75+2,1),1,1),IF((N75+3-(NETWORKDAYS.INTL(J_GregorianDate(D75,1),J_GregorianDate(J_SUBDAY(J_ADDDAY(D75,N75+3,1),1,1),1),16,1)))+SUMIFS(Holieday[ok],Holieday[date],CONCATENATE("&gt;","=",D75),Holieday[date],CONCATENATE("&lt;","=",J_SUBDAY(J_ADDDAY(D75,N75+3,1),1,1)))-SUMIFS(Holieday[Friday],Holieday[date],CONCATENATE("&gt;","=",D75),Holieday[date],CONCATENATE("&lt;","=",J_SUBDAY(J_ADDDAY(D75,N75+3,1),1,1)))=3,J_SUBDAY(J_ADDDAY(D75,N75+3,1),1,1),IF((N75+4-(NETWORKDAYS.INTL(J_GregorianDate(D75,1),J_GregorianDate(J_SUBDAY(J_ADDDAY(D75,N75+4,1),1,1),1),16,1)))+SUMIFS(Holieday[ok],Holieday[date],CONCATENATE("&gt;","=",D75),Holieday[date],CONCATENATE("&lt;","=",J_SUBDAY(J_ADDDAY(D75,N75+4,1),1,1)))-SUMIFS(Holieday[Friday],Holieday[date],CONCATENATE("&gt;","=",D75),Holieday[date],CONCATENATE("&lt;","=",J_SUBDAY(J_ADDDAY(D75,N75+4,1),1,1)))=4,J_SUBDAY(J_ADDDAY(D75,N75+4,1),1,1),IF((N75+5-(NETWORKDAYS.INTL(J_GregorianDate(D75,1),J_GregorianDate(J_SUBDAY(J_ADDDAY(D75,N75+5,1),1,1),1),16,1)))+SUMIFS(Holieday[ok],Holieday[date],CONCATENATE("&gt;","=",D75),Holieday[date],CONCATENATE("&lt;","=",J_SUBDAY(J_ADDDAY(D75,N75+5,1),1,1)))-SUMIFS(Holieday[Friday],Holieday[date],CONCATENATE("&gt;","=",D75),Holieday[date],CONCATENATE("&lt;","=",J_SUBDAY(J_ADDDAY(D75,N75+5,1),1,1)))=5,J_SUBDAY(J_ADDDAY(D75,N75+5,1),1,1),J_SUBDAY(J_ADDDAY(D75,N75+6,1),1,1))))))))</f>
        <v>1398/09/02</v>
      </c>
      <c r="G75" s="2">
        <f t="shared" si="21"/>
        <v>13980902</v>
      </c>
      <c r="H75" s="266">
        <v>1</v>
      </c>
      <c r="I75" s="267">
        <v>3.23</v>
      </c>
      <c r="J75" s="281">
        <f>j_WEEKDAY(D75,2)</f>
        <v>3</v>
      </c>
      <c r="K75" s="21">
        <f t="shared" si="18"/>
        <v>0</v>
      </c>
      <c r="L75" s="282">
        <f t="shared" si="19"/>
        <v>5</v>
      </c>
      <c r="M75" s="269">
        <v>0</v>
      </c>
      <c r="N75" s="270">
        <v>4</v>
      </c>
      <c r="O75" s="10">
        <f t="shared" si="22"/>
        <v>0</v>
      </c>
      <c r="P75" s="10">
        <f>VALUE(J_normdate(J_ADDDAY($D75,$O75,1)))</f>
        <v>13980828</v>
      </c>
      <c r="Q75" s="9">
        <f t="shared" si="14"/>
        <v>5</v>
      </c>
      <c r="R75" s="283"/>
      <c r="S75" s="283"/>
      <c r="T75" s="283"/>
      <c r="U75" s="283"/>
      <c r="V75" s="283"/>
      <c r="W75" s="283"/>
      <c r="X75" s="283"/>
      <c r="Y75" s="283"/>
      <c r="Z75" s="283"/>
      <c r="AA75" s="283"/>
      <c r="AB75" s="283"/>
      <c r="AC75" s="283"/>
      <c r="AD75" s="283"/>
      <c r="AE75" s="283"/>
      <c r="AF75" s="283"/>
      <c r="AG75" s="283"/>
      <c r="AH75" s="283"/>
      <c r="AI75" s="283"/>
      <c r="AJ75" s="283"/>
      <c r="AK75" s="283"/>
      <c r="AL75" s="283"/>
      <c r="AM75" s="283"/>
      <c r="AN75" s="283"/>
      <c r="AO75" s="283"/>
      <c r="AP75" s="283"/>
      <c r="AQ75" s="283"/>
      <c r="AR75" s="283"/>
      <c r="AS75" s="283"/>
      <c r="AT75" s="283"/>
      <c r="AU75" s="283"/>
      <c r="AV75" s="283"/>
      <c r="AW75" s="283"/>
      <c r="AX75" s="283"/>
      <c r="AY75" s="283"/>
      <c r="AZ75" s="283"/>
      <c r="BA75" s="283"/>
      <c r="BB75" s="283"/>
      <c r="BC75" s="283"/>
      <c r="BD75" s="283"/>
      <c r="BE75" s="283"/>
      <c r="BF75" s="283"/>
      <c r="BG75" s="283"/>
      <c r="BH75" s="283"/>
      <c r="BI75" s="283"/>
      <c r="BJ75" s="283"/>
      <c r="BK75" s="283"/>
      <c r="BL75" s="283"/>
      <c r="BM75" s="283"/>
      <c r="BN75" s="283"/>
      <c r="BO75" s="283"/>
      <c r="BP75" s="283"/>
      <c r="BQ75" s="283"/>
      <c r="BR75" s="283"/>
      <c r="BS75" s="283"/>
      <c r="BT75" s="283"/>
      <c r="BU75" s="283"/>
      <c r="BV75" s="283"/>
      <c r="BW75" s="283"/>
      <c r="BX75" s="283"/>
      <c r="BY75" s="283"/>
      <c r="BZ75" s="283"/>
      <c r="CA75" s="283"/>
      <c r="CB75" s="283"/>
      <c r="CC75" s="283"/>
      <c r="CD75" s="283"/>
      <c r="CE75" s="283"/>
      <c r="CF75" s="283"/>
      <c r="CG75" s="283"/>
      <c r="CH75" s="283"/>
      <c r="CI75" s="283"/>
      <c r="CJ75" s="283"/>
      <c r="CK75" s="283"/>
      <c r="CL75" s="283"/>
      <c r="CM75" s="283"/>
      <c r="CN75" s="283"/>
      <c r="CO75" s="283"/>
      <c r="CP75" s="283"/>
      <c r="CQ75" s="283"/>
      <c r="CR75" s="283"/>
      <c r="CS75" s="283"/>
      <c r="CT75" s="283"/>
      <c r="CU75" s="283"/>
      <c r="CV75" s="283"/>
      <c r="CW75" s="283"/>
      <c r="CX75" s="283"/>
      <c r="CY75" s="283"/>
      <c r="CZ75" s="283"/>
      <c r="DA75" s="283"/>
      <c r="DB75" s="283"/>
      <c r="DC75" s="283"/>
      <c r="DD75" s="283"/>
      <c r="DE75" s="283"/>
      <c r="DF75" s="283"/>
      <c r="DG75" s="283"/>
      <c r="DH75" s="283"/>
      <c r="DI75" s="283"/>
      <c r="DJ75" s="283"/>
      <c r="DK75" s="283"/>
      <c r="DL75" s="283"/>
      <c r="DM75" s="283"/>
      <c r="DN75" s="283"/>
      <c r="DO75" s="283"/>
      <c r="DP75" s="283"/>
      <c r="DQ75" s="283"/>
      <c r="DR75" s="283"/>
      <c r="DS75" s="283"/>
      <c r="DT75" s="283"/>
      <c r="DU75" s="283"/>
      <c r="DV75" s="283"/>
      <c r="DW75" s="283"/>
      <c r="DX75" s="283"/>
      <c r="DY75" s="283"/>
      <c r="DZ75" s="283"/>
      <c r="EA75" s="283"/>
      <c r="EB75" s="283"/>
      <c r="EC75" s="283"/>
      <c r="ED75" s="283"/>
      <c r="EE75" s="283"/>
      <c r="EF75" s="283"/>
      <c r="EG75" s="283"/>
      <c r="EH75" s="283"/>
      <c r="EI75" s="283"/>
      <c r="EJ75" s="283"/>
      <c r="EK75" s="283"/>
      <c r="EL75" s="283"/>
      <c r="EM75" s="283"/>
      <c r="EN75" s="283"/>
      <c r="EO75" s="283"/>
      <c r="EP75" s="283"/>
      <c r="EQ75" s="283"/>
      <c r="ER75" s="283"/>
      <c r="ES75" s="283"/>
      <c r="ET75" s="283"/>
      <c r="EU75" s="283"/>
      <c r="EV75" s="283"/>
      <c r="EW75" s="283"/>
      <c r="EX75" s="283"/>
      <c r="EY75" s="283"/>
      <c r="EZ75" s="283"/>
      <c r="FA75" s="283"/>
      <c r="FB75" s="283"/>
      <c r="FC75" s="283"/>
      <c r="FD75" s="283"/>
      <c r="FE75" s="283"/>
      <c r="FF75" s="283"/>
      <c r="FG75" s="283"/>
      <c r="FH75" s="283"/>
      <c r="FI75" s="283"/>
      <c r="FJ75" s="283"/>
      <c r="FK75" s="283"/>
      <c r="FL75" s="283"/>
      <c r="FM75" s="283"/>
      <c r="FN75" s="283"/>
      <c r="FO75" s="283"/>
      <c r="FP75" s="283"/>
      <c r="FQ75" s="283"/>
      <c r="FR75" s="283"/>
      <c r="FS75" s="283"/>
      <c r="FT75" s="283"/>
      <c r="FU75" s="283"/>
      <c r="FV75" s="283"/>
      <c r="FW75" s="283"/>
      <c r="FX75" s="283"/>
      <c r="FY75" s="283"/>
      <c r="FZ75" s="283"/>
      <c r="GA75" s="283"/>
      <c r="GB75" s="283"/>
      <c r="GC75" s="283"/>
      <c r="GD75" s="283"/>
      <c r="GE75" s="283"/>
      <c r="GF75" s="283"/>
      <c r="GG75" s="283"/>
      <c r="GH75" s="283"/>
      <c r="GI75" s="283"/>
      <c r="GJ75" s="283"/>
      <c r="GK75" s="283"/>
      <c r="GL75" s="283"/>
      <c r="GM75" s="283"/>
      <c r="GN75" s="283"/>
      <c r="GO75" s="283"/>
      <c r="GP75" s="283"/>
      <c r="GQ75" s="283"/>
      <c r="GR75" s="283"/>
      <c r="GS75" s="283"/>
      <c r="GT75" s="283"/>
      <c r="GU75" s="283"/>
      <c r="GV75" s="283"/>
      <c r="GW75" s="283"/>
      <c r="GX75" s="283"/>
      <c r="GY75" s="283"/>
      <c r="GZ75" s="283"/>
      <c r="HA75" s="283"/>
      <c r="HB75" s="283"/>
      <c r="HC75" s="283"/>
      <c r="HD75" s="283"/>
      <c r="HE75" s="283"/>
      <c r="HF75" s="283"/>
      <c r="HG75" s="283"/>
      <c r="HH75" s="283"/>
      <c r="HI75" s="283"/>
      <c r="HJ75" s="283"/>
      <c r="HK75" s="283"/>
      <c r="HL75" s="283"/>
      <c r="HM75" s="283"/>
      <c r="HN75" s="283"/>
      <c r="HO75" s="283"/>
      <c r="HP75" s="283"/>
      <c r="HQ75" s="283"/>
      <c r="HR75" s="283"/>
      <c r="HS75" s="283"/>
      <c r="HT75" s="283"/>
      <c r="HU75" s="283"/>
      <c r="HV75" s="283"/>
      <c r="HW75" s="283"/>
      <c r="HX75" s="283"/>
      <c r="HY75" s="283"/>
      <c r="HZ75" s="283"/>
      <c r="IA75" s="283"/>
      <c r="IB75" s="283"/>
      <c r="IC75" s="283"/>
      <c r="ID75" s="283"/>
      <c r="IE75" s="283"/>
      <c r="IF75" s="283"/>
      <c r="IG75" s="283"/>
      <c r="IH75" s="283"/>
      <c r="II75" s="283"/>
      <c r="IJ75" s="283"/>
      <c r="IK75" s="283"/>
      <c r="IL75" s="283"/>
      <c r="IM75" s="283"/>
      <c r="IN75" s="283"/>
      <c r="IO75" s="283"/>
      <c r="IP75" s="283"/>
      <c r="IQ75" s="283"/>
      <c r="IR75" s="283"/>
      <c r="IS75" s="283"/>
      <c r="IT75" s="283"/>
      <c r="IU75" s="283"/>
      <c r="IV75" s="283"/>
      <c r="IW75" s="283"/>
      <c r="IX75" s="283"/>
      <c r="JA75" s="289"/>
      <c r="JB75" s="289"/>
      <c r="JC75" s="289"/>
      <c r="JD75" s="290">
        <f>SUM((TEXT(JA75,"[M]")/60)*'Income Person-hours'!$D$3,(TEXT(JB75,"[M]")/60)*'Income Person-hours'!$D$4,(TEXT(JC75,"[M]")/60)*'Income Person-hours'!$D$5)</f>
        <v>0</v>
      </c>
    </row>
    <row r="76" spans="1:264" s="291" customFormat="1" ht="13.5">
      <c r="A76" s="292">
        <v>3.25</v>
      </c>
      <c r="B76" s="277" t="s">
        <v>165</v>
      </c>
      <c r="C76" s="263" t="s">
        <v>110</v>
      </c>
      <c r="D76" s="283" t="str">
        <f>IF(OR(j_WEEKDAY(J_ADDDAY(VLOOKUP(I76,A:F,6,FALSE),H76,1),0)=6,SUMIFS(Holieday[ok],Holieday[date],J_ADDDAY(VLOOKUP(I76,A:F,6,FALSE),H76,1)))=FALSE(),J_ADDDAY(VLOOKUP(I76,A:F,6,FALSE),H76,1),IF(OR(j_WEEKDAY(J_ADDDAY(VLOOKUP(I76,A:F,6,FALSE),H76+1,1),0)=6,SUMIFS(Holieday[ok],Holieday[date],J_ADDDAY(VLOOKUP(I76,A:F,6,FALSE),H76+1,1)))=FALSE(),J_ADDDAY(VLOOKUP(I76,A:F,6,FALSE),H76+1,1),IF(OR(j_WEEKDAY(J_ADDDAY(VLOOKUP(I76,A:F,6,FALSE),H76+2,1),0)=6,SUMIFS(Holieday[ok],Holieday[date],J_ADDDAY(VLOOKUP(I76,A:F,6,FALSE),H76+2,1)))=FALSE(),J_ADDDAY(VLOOKUP(I76,A:F,6,FALSE),H76+2,1),IF(OR(j_WEEKDAY(J_ADDDAY(VLOOKUP(I76,A:F,6,FALSE),H76+3,1),0)=6,SUMIFS(Holieday[ok],Holieday[date],J_ADDDAY(VLOOKUP(I76,A:F,6,FALSE),H76+3,1)))=FALSE(),J_ADDDAY(VLOOKUP(I76,A:F,6,FALSE),H76+3,1),IF(OR(j_WEEKDAY(J_ADDDAY(VLOOKUP(I76,A:F,6,FALSE),H76+4,1),0)=6,SUMIFS(Holieday[ok],Holieday[date],J_ADDDAY(VLOOKUP(I76,A:F,6,FALSE),H76+4,1)))=FALSE(),J_ADDDAY(VLOOKUP(I76,A:F,6,FALSE),H76+4,1),J_ADDDAY(VLOOKUP(I76,A:F,6,FALSE),H76+5,1))))))</f>
        <v>1398/09/03</v>
      </c>
      <c r="E76" s="1">
        <f t="shared" si="20"/>
        <v>13980903</v>
      </c>
      <c r="F76" s="287" t="str">
        <f>IF(N76=0,J_SUBDAY(D76,1,1),IF((N76-(NETWORKDAYS.INTL(J_GregorianDate(D76,1),J_GregorianDate(J_SUBDAY(J_ADDDAY(D76,N76,1),1,1),1),16,1)))+SUMIFS(Holieday[ok],Holieday[date],CONCATENATE("&gt;","=",D76),Holieday[date],CONCATENATE("&lt;","=",J_SUBDAY(J_ADDDAY(D76,N76,1),1,1)))-SUMIFS(Holieday[Friday],Holieday[date],CONCATENATE("&gt;","=",D76),Holieday[date],CONCATENATE("&lt;","=",J_SUBDAY(J_ADDDAY(D76,N76,1),1,1)))=0,J_SUBDAY(J_ADDDAY(D76,N76,1),1,1),IF((N76+1-(NETWORKDAYS.INTL(J_GregorianDate(D76,1),J_GregorianDate(J_SUBDAY(J_ADDDAY(D76,N76+1,1),1,1),1),16,1)))+SUMIFS(Holieday[ok],Holieday[date],CONCATENATE("&gt;","=",D76),Holieday[date],CONCATENATE("&lt;","=",J_SUBDAY(J_ADDDAY(D76,N76+1,1),1,1)))-SUMIFS(Holieday[Friday],Holieday[date],CONCATENATE("&gt;","=",D76),Holieday[date],CONCATENATE("&lt;","=",J_SUBDAY(J_ADDDAY(D76,N76+1,1),1,1)))=1,J_SUBDAY(J_ADDDAY(D76,N76+1,1),1,1),IF((N76+2-(NETWORKDAYS.INTL(J_GregorianDate(D76,1),J_GregorianDate(J_SUBDAY(J_ADDDAY(D76,N76+2,1),1,1),1),16,1)))+SUMIFS(Holieday[ok],Holieday[date],CONCATENATE("&gt;","=",D76),Holieday[date],CONCATENATE("&lt;","=",J_SUBDAY(J_ADDDAY(D76,N76+2,1),1,1)))-SUMIFS(Holieday[Friday],Holieday[date],CONCATENATE("&gt;","=",D76),Holieday[date],CONCATENATE("&lt;","=",J_SUBDAY(J_ADDDAY(D76,N76+2,1),1,1)))=2,J_SUBDAY(J_ADDDAY(D76,N76+2,1),1,1),IF((N76+3-(NETWORKDAYS.INTL(J_GregorianDate(D76,1),J_GregorianDate(J_SUBDAY(J_ADDDAY(D76,N76+3,1),1,1),1),16,1)))+SUMIFS(Holieday[ok],Holieday[date],CONCATENATE("&gt;","=",D76),Holieday[date],CONCATENATE("&lt;","=",J_SUBDAY(J_ADDDAY(D76,N76+3,1),1,1)))-SUMIFS(Holieday[Friday],Holieday[date],CONCATENATE("&gt;","=",D76),Holieday[date],CONCATENATE("&lt;","=",J_SUBDAY(J_ADDDAY(D76,N76+3,1),1,1)))=3,J_SUBDAY(J_ADDDAY(D76,N76+3,1),1,1),IF((N76+4-(NETWORKDAYS.INTL(J_GregorianDate(D76,1),J_GregorianDate(J_SUBDAY(J_ADDDAY(D76,N76+4,1),1,1),1),16,1)))+SUMIFS(Holieday[ok],Holieday[date],CONCATENATE("&gt;","=",D76),Holieday[date],CONCATENATE("&lt;","=",J_SUBDAY(J_ADDDAY(D76,N76+4,1),1,1)))-SUMIFS(Holieday[Friday],Holieday[date],CONCATENATE("&gt;","=",D76),Holieday[date],CONCATENATE("&lt;","=",J_SUBDAY(J_ADDDAY(D76,N76+4,1),1,1)))=4,J_SUBDAY(J_ADDDAY(D76,N76+4,1),1,1),IF((N76+5-(NETWORKDAYS.INTL(J_GregorianDate(D76,1),J_GregorianDate(J_SUBDAY(J_ADDDAY(D76,N76+5,1),1,1),1),16,1)))+SUMIFS(Holieday[ok],Holieday[date],CONCATENATE("&gt;","=",D76),Holieday[date],CONCATENATE("&lt;","=",J_SUBDAY(J_ADDDAY(D76,N76+5,1),1,1)))-SUMIFS(Holieday[Friday],Holieday[date],CONCATENATE("&gt;","=",D76),Holieday[date],CONCATENATE("&lt;","=",J_SUBDAY(J_ADDDAY(D76,N76+5,1),1,1)))=5,J_SUBDAY(J_ADDDAY(D76,N76+5,1),1,1),J_SUBDAY(J_ADDDAY(D76,N76+6,1),1,1))))))))</f>
        <v>1398/09/05</v>
      </c>
      <c r="G76" s="2">
        <f t="shared" si="21"/>
        <v>13980905</v>
      </c>
      <c r="H76" s="266">
        <v>1</v>
      </c>
      <c r="I76" s="267">
        <v>3.24</v>
      </c>
      <c r="J76" s="281">
        <f>j_WEEKDAY(D76,2)</f>
        <v>1</v>
      </c>
      <c r="K76" s="21">
        <f t="shared" si="18"/>
        <v>0</v>
      </c>
      <c r="L76" s="282">
        <f t="shared" si="19"/>
        <v>3</v>
      </c>
      <c r="M76" s="269">
        <v>0</v>
      </c>
      <c r="N76" s="270">
        <v>3</v>
      </c>
      <c r="O76" s="10">
        <f t="shared" si="22"/>
        <v>0</v>
      </c>
      <c r="P76" s="10">
        <f>VALUE(J_normdate(J_ADDDAY($D76,$O76,1)))</f>
        <v>13980903</v>
      </c>
      <c r="Q76" s="9">
        <f t="shared" si="14"/>
        <v>3</v>
      </c>
      <c r="R76" s="283"/>
      <c r="S76" s="283"/>
      <c r="T76" s="283"/>
      <c r="U76" s="283"/>
      <c r="V76" s="283"/>
      <c r="W76" s="283"/>
      <c r="X76" s="283"/>
      <c r="Y76" s="283"/>
      <c r="Z76" s="283"/>
      <c r="AA76" s="283"/>
      <c r="AB76" s="283"/>
      <c r="AC76" s="283"/>
      <c r="AD76" s="283"/>
      <c r="AE76" s="283"/>
      <c r="AF76" s="283"/>
      <c r="AG76" s="283"/>
      <c r="AH76" s="283"/>
      <c r="AI76" s="283"/>
      <c r="AJ76" s="283"/>
      <c r="AK76" s="283"/>
      <c r="AL76" s="283"/>
      <c r="AM76" s="283"/>
      <c r="AN76" s="283"/>
      <c r="AO76" s="283"/>
      <c r="AP76" s="283"/>
      <c r="AQ76" s="283"/>
      <c r="AR76" s="283"/>
      <c r="AS76" s="283"/>
      <c r="AT76" s="283"/>
      <c r="AU76" s="283"/>
      <c r="AV76" s="283"/>
      <c r="AW76" s="283"/>
      <c r="AX76" s="283"/>
      <c r="AY76" s="283"/>
      <c r="AZ76" s="283"/>
      <c r="BA76" s="283"/>
      <c r="BB76" s="283"/>
      <c r="BC76" s="283"/>
      <c r="BD76" s="283"/>
      <c r="BE76" s="283"/>
      <c r="BF76" s="283"/>
      <c r="BG76" s="283"/>
      <c r="BH76" s="283"/>
      <c r="BI76" s="283"/>
      <c r="BJ76" s="283"/>
      <c r="BK76" s="283"/>
      <c r="BL76" s="283"/>
      <c r="BM76" s="283"/>
      <c r="BN76" s="283"/>
      <c r="BO76" s="283"/>
      <c r="BP76" s="283"/>
      <c r="BQ76" s="283"/>
      <c r="BR76" s="283"/>
      <c r="BS76" s="283"/>
      <c r="BT76" s="283"/>
      <c r="BU76" s="283"/>
      <c r="BV76" s="283"/>
      <c r="BW76" s="283"/>
      <c r="BX76" s="283"/>
      <c r="BY76" s="283"/>
      <c r="BZ76" s="283"/>
      <c r="CA76" s="283"/>
      <c r="CB76" s="283"/>
      <c r="CC76" s="283"/>
      <c r="CD76" s="283"/>
      <c r="CE76" s="283"/>
      <c r="CF76" s="283"/>
      <c r="CG76" s="283"/>
      <c r="CH76" s="283"/>
      <c r="CI76" s="283"/>
      <c r="CJ76" s="283"/>
      <c r="CK76" s="283"/>
      <c r="CL76" s="283"/>
      <c r="CM76" s="283"/>
      <c r="CN76" s="283"/>
      <c r="CO76" s="283"/>
      <c r="CP76" s="283"/>
      <c r="CQ76" s="283"/>
      <c r="CR76" s="283"/>
      <c r="CS76" s="283"/>
      <c r="CT76" s="283"/>
      <c r="CU76" s="283"/>
      <c r="CV76" s="283"/>
      <c r="CW76" s="283"/>
      <c r="CX76" s="283"/>
      <c r="CY76" s="283"/>
      <c r="CZ76" s="283"/>
      <c r="DA76" s="283"/>
      <c r="DB76" s="283"/>
      <c r="DC76" s="283"/>
      <c r="DD76" s="283"/>
      <c r="DE76" s="283"/>
      <c r="DF76" s="283"/>
      <c r="DG76" s="283"/>
      <c r="DH76" s="283"/>
      <c r="DI76" s="283"/>
      <c r="DJ76" s="283"/>
      <c r="DK76" s="283"/>
      <c r="DL76" s="283"/>
      <c r="DM76" s="283"/>
      <c r="DN76" s="283"/>
      <c r="DO76" s="283"/>
      <c r="DP76" s="283"/>
      <c r="DQ76" s="283"/>
      <c r="DR76" s="283"/>
      <c r="DS76" s="283"/>
      <c r="DT76" s="283"/>
      <c r="DU76" s="283"/>
      <c r="DV76" s="283"/>
      <c r="DW76" s="283"/>
      <c r="DX76" s="283"/>
      <c r="DY76" s="283"/>
      <c r="DZ76" s="283"/>
      <c r="EA76" s="283"/>
      <c r="EB76" s="283"/>
      <c r="EC76" s="283"/>
      <c r="ED76" s="283"/>
      <c r="EE76" s="283"/>
      <c r="EF76" s="283"/>
      <c r="EG76" s="283"/>
      <c r="EH76" s="283"/>
      <c r="EI76" s="283"/>
      <c r="EJ76" s="283"/>
      <c r="EK76" s="283"/>
      <c r="EL76" s="283"/>
      <c r="EM76" s="283"/>
      <c r="EN76" s="283"/>
      <c r="EO76" s="283"/>
      <c r="EP76" s="283"/>
      <c r="EQ76" s="283"/>
      <c r="ER76" s="283"/>
      <c r="ES76" s="283"/>
      <c r="ET76" s="283"/>
      <c r="EU76" s="283"/>
      <c r="EV76" s="283"/>
      <c r="EW76" s="283"/>
      <c r="EX76" s="283"/>
      <c r="EY76" s="283"/>
      <c r="EZ76" s="283"/>
      <c r="FA76" s="283"/>
      <c r="FB76" s="283"/>
      <c r="FC76" s="283"/>
      <c r="FD76" s="283"/>
      <c r="FE76" s="283"/>
      <c r="FF76" s="283"/>
      <c r="FG76" s="283"/>
      <c r="FH76" s="283"/>
      <c r="FI76" s="283"/>
      <c r="FJ76" s="283"/>
      <c r="FK76" s="283"/>
      <c r="FL76" s="283"/>
      <c r="FM76" s="283"/>
      <c r="FN76" s="283"/>
      <c r="FO76" s="283"/>
      <c r="FP76" s="283"/>
      <c r="FQ76" s="283"/>
      <c r="FR76" s="283"/>
      <c r="FS76" s="283"/>
      <c r="FT76" s="283"/>
      <c r="FU76" s="283"/>
      <c r="FV76" s="283"/>
      <c r="FW76" s="283"/>
      <c r="FX76" s="283"/>
      <c r="FY76" s="283"/>
      <c r="FZ76" s="283"/>
      <c r="GA76" s="283"/>
      <c r="GB76" s="283"/>
      <c r="GC76" s="283"/>
      <c r="GD76" s="283"/>
      <c r="GE76" s="283"/>
      <c r="GF76" s="283"/>
      <c r="GG76" s="283"/>
      <c r="GH76" s="283"/>
      <c r="GI76" s="283"/>
      <c r="GJ76" s="283"/>
      <c r="GK76" s="283"/>
      <c r="GL76" s="283"/>
      <c r="GM76" s="283"/>
      <c r="GN76" s="283"/>
      <c r="GO76" s="283"/>
      <c r="GP76" s="283"/>
      <c r="GQ76" s="283"/>
      <c r="GR76" s="283"/>
      <c r="GS76" s="283"/>
      <c r="GT76" s="283"/>
      <c r="GU76" s="283"/>
      <c r="GV76" s="283"/>
      <c r="GW76" s="283"/>
      <c r="GX76" s="283"/>
      <c r="GY76" s="283"/>
      <c r="GZ76" s="283"/>
      <c r="HA76" s="283"/>
      <c r="HB76" s="283"/>
      <c r="HC76" s="283"/>
      <c r="HD76" s="283"/>
      <c r="HE76" s="283"/>
      <c r="HF76" s="283"/>
      <c r="HG76" s="283"/>
      <c r="HH76" s="283"/>
      <c r="HI76" s="283"/>
      <c r="HJ76" s="283"/>
      <c r="HK76" s="283"/>
      <c r="HL76" s="283"/>
      <c r="HM76" s="283"/>
      <c r="HN76" s="283"/>
      <c r="HO76" s="283"/>
      <c r="HP76" s="283"/>
      <c r="HQ76" s="283"/>
      <c r="HR76" s="283"/>
      <c r="HS76" s="283"/>
      <c r="HT76" s="283"/>
      <c r="HU76" s="283"/>
      <c r="HV76" s="283"/>
      <c r="HW76" s="283"/>
      <c r="HX76" s="283"/>
      <c r="HY76" s="283"/>
      <c r="HZ76" s="283"/>
      <c r="IA76" s="283"/>
      <c r="IB76" s="283"/>
      <c r="IC76" s="283"/>
      <c r="ID76" s="283"/>
      <c r="IE76" s="283"/>
      <c r="IF76" s="283"/>
      <c r="IG76" s="283"/>
      <c r="IH76" s="283"/>
      <c r="II76" s="283"/>
      <c r="IJ76" s="283"/>
      <c r="IK76" s="283"/>
      <c r="IL76" s="283"/>
      <c r="IM76" s="283"/>
      <c r="IN76" s="283"/>
      <c r="IO76" s="283"/>
      <c r="IP76" s="283"/>
      <c r="IQ76" s="283"/>
      <c r="IR76" s="283"/>
      <c r="IS76" s="283"/>
      <c r="IT76" s="283"/>
      <c r="IU76" s="283"/>
      <c r="IV76" s="283"/>
      <c r="IW76" s="283"/>
      <c r="IX76" s="283"/>
      <c r="JA76" s="289"/>
      <c r="JB76" s="289"/>
      <c r="JC76" s="289"/>
      <c r="JD76" s="290">
        <f>SUM((TEXT(JA76,"[M]")/60)*'Income Person-hours'!$D$3,(TEXT(JB76,"[M]")/60)*'Income Person-hours'!$D$4,(TEXT(JC76,"[M]")/60)*'Income Person-hours'!$D$5)</f>
        <v>0</v>
      </c>
    </row>
    <row r="77" spans="1:264" s="283" customFormat="1" ht="13.5">
      <c r="A77" s="293">
        <v>3.26</v>
      </c>
      <c r="B77" s="277" t="s">
        <v>166</v>
      </c>
      <c r="C77" s="263" t="s">
        <v>111</v>
      </c>
      <c r="D77" s="283" t="str">
        <f>IF(OR(j_WEEKDAY(J_ADDDAY(VLOOKUP(I77,A:F,6,FALSE),H77,1),0)=6,SUMIFS(Holieday[ok],Holieday[date],J_ADDDAY(VLOOKUP(I77,A:F,6,FALSE),H77,1)))=FALSE(),J_ADDDAY(VLOOKUP(I77,A:F,6,FALSE),H77,1),IF(OR(j_WEEKDAY(J_ADDDAY(VLOOKUP(I77,A:F,6,FALSE),H77+1,1),0)=6,SUMIFS(Holieday[ok],Holieday[date],J_ADDDAY(VLOOKUP(I77,A:F,6,FALSE),H77+1,1)))=FALSE(),J_ADDDAY(VLOOKUP(I77,A:F,6,FALSE),H77+1,1),IF(OR(j_WEEKDAY(J_ADDDAY(VLOOKUP(I77,A:F,6,FALSE),H77+2,1),0)=6,SUMIFS(Holieday[ok],Holieday[date],J_ADDDAY(VLOOKUP(I77,A:F,6,FALSE),H77+2,1)))=FALSE(),J_ADDDAY(VLOOKUP(I77,A:F,6,FALSE),H77+2,1),IF(OR(j_WEEKDAY(J_ADDDAY(VLOOKUP(I77,A:F,6,FALSE),H77+3,1),0)=6,SUMIFS(Holieday[ok],Holieday[date],J_ADDDAY(VLOOKUP(I77,A:F,6,FALSE),H77+3,1)))=FALSE(),J_ADDDAY(VLOOKUP(I77,A:F,6,FALSE),H77+3,1),IF(OR(j_WEEKDAY(J_ADDDAY(VLOOKUP(I77,A:F,6,FALSE),H77+4,1),0)=6,SUMIFS(Holieday[ok],Holieday[date],J_ADDDAY(VLOOKUP(I77,A:F,6,FALSE),H77+4,1)))=FALSE(),J_ADDDAY(VLOOKUP(I77,A:F,6,FALSE),H77+4,1),J_ADDDAY(VLOOKUP(I77,A:F,6,FALSE),H77+5,1))))))</f>
        <v>1398/09/06</v>
      </c>
      <c r="E77" s="1">
        <f t="shared" si="20"/>
        <v>13980906</v>
      </c>
      <c r="F77" s="287" t="str">
        <f>IF(N77=0,J_SUBDAY(D77,1,1),IF((N77-(NETWORKDAYS.INTL(J_GregorianDate(D77,1),J_GregorianDate(J_SUBDAY(J_ADDDAY(D77,N77,1),1,1),1),16,1)))+SUMIFS(Holieday[ok],Holieday[date],CONCATENATE("&gt;","=",D77),Holieday[date],CONCATENATE("&lt;","=",J_SUBDAY(J_ADDDAY(D77,N77,1),1,1)))-SUMIFS(Holieday[Friday],Holieday[date],CONCATENATE("&gt;","=",D77),Holieday[date],CONCATENATE("&lt;","=",J_SUBDAY(J_ADDDAY(D77,N77,1),1,1)))=0,J_SUBDAY(J_ADDDAY(D77,N77,1),1,1),IF((N77+1-(NETWORKDAYS.INTL(J_GregorianDate(D77,1),J_GregorianDate(J_SUBDAY(J_ADDDAY(D77,N77+1,1),1,1),1),16,1)))+SUMIFS(Holieday[ok],Holieday[date],CONCATENATE("&gt;","=",D77),Holieday[date],CONCATENATE("&lt;","=",J_SUBDAY(J_ADDDAY(D77,N77+1,1),1,1)))-SUMIFS(Holieday[Friday],Holieday[date],CONCATENATE("&gt;","=",D77),Holieday[date],CONCATENATE("&lt;","=",J_SUBDAY(J_ADDDAY(D77,N77+1,1),1,1)))=1,J_SUBDAY(J_ADDDAY(D77,N77+1,1),1,1),IF((N77+2-(NETWORKDAYS.INTL(J_GregorianDate(D77,1),J_GregorianDate(J_SUBDAY(J_ADDDAY(D77,N77+2,1),1,1),1),16,1)))+SUMIFS(Holieday[ok],Holieday[date],CONCATENATE("&gt;","=",D77),Holieday[date],CONCATENATE("&lt;","=",J_SUBDAY(J_ADDDAY(D77,N77+2,1),1,1)))-SUMIFS(Holieday[Friday],Holieday[date],CONCATENATE("&gt;","=",D77),Holieday[date],CONCATENATE("&lt;","=",J_SUBDAY(J_ADDDAY(D77,N77+2,1),1,1)))=2,J_SUBDAY(J_ADDDAY(D77,N77+2,1),1,1),IF((N77+3-(NETWORKDAYS.INTL(J_GregorianDate(D77,1),J_GregorianDate(J_SUBDAY(J_ADDDAY(D77,N77+3,1),1,1),1),16,1)))+SUMIFS(Holieday[ok],Holieday[date],CONCATENATE("&gt;","=",D77),Holieday[date],CONCATENATE("&lt;","=",J_SUBDAY(J_ADDDAY(D77,N77+3,1),1,1)))-SUMIFS(Holieday[Friday],Holieday[date],CONCATENATE("&gt;","=",D77),Holieday[date],CONCATENATE("&lt;","=",J_SUBDAY(J_ADDDAY(D77,N77+3,1),1,1)))=3,J_SUBDAY(J_ADDDAY(D77,N77+3,1),1,1),IF((N77+4-(NETWORKDAYS.INTL(J_GregorianDate(D77,1),J_GregorianDate(J_SUBDAY(J_ADDDAY(D77,N77+4,1),1,1),1),16,1)))+SUMIFS(Holieday[ok],Holieday[date],CONCATENATE("&gt;","=",D77),Holieday[date],CONCATENATE("&lt;","=",J_SUBDAY(J_ADDDAY(D77,N77+4,1),1,1)))-SUMIFS(Holieday[Friday],Holieday[date],CONCATENATE("&gt;","=",D77),Holieday[date],CONCATENATE("&lt;","=",J_SUBDAY(J_ADDDAY(D77,N77+4,1),1,1)))=4,J_SUBDAY(J_ADDDAY(D77,N77+4,1),1,1),IF((N77+5-(NETWORKDAYS.INTL(J_GregorianDate(D77,1),J_GregorianDate(J_SUBDAY(J_ADDDAY(D77,N77+5,1),1,1),1),16,1)))+SUMIFS(Holieday[ok],Holieday[date],CONCATENATE("&gt;","=",D77),Holieday[date],CONCATENATE("&lt;","=",J_SUBDAY(J_ADDDAY(D77,N77+5,1),1,1)))-SUMIFS(Holieday[Friday],Holieday[date],CONCATENATE("&gt;","=",D77),Holieday[date],CONCATENATE("&lt;","=",J_SUBDAY(J_ADDDAY(D77,N77+5,1),1,1)))=5,J_SUBDAY(J_ADDDAY(D77,N77+5,1),1,1),J_SUBDAY(J_ADDDAY(D77,N77+6,1),1,1))))))))</f>
        <v>1398/09/10</v>
      </c>
      <c r="G77" s="2">
        <f t="shared" si="21"/>
        <v>13980910</v>
      </c>
      <c r="H77" s="266">
        <v>1</v>
      </c>
      <c r="I77" s="267">
        <v>3.25</v>
      </c>
      <c r="J77" s="281">
        <f>j_WEEKDAY(D77,2)</f>
        <v>4</v>
      </c>
      <c r="K77" s="21">
        <f t="shared" si="18"/>
        <v>0</v>
      </c>
      <c r="L77" s="282">
        <f t="shared" ref="L77" si="23">J_DIFF(D77,F77)+1</f>
        <v>5</v>
      </c>
      <c r="M77" s="269">
        <v>0</v>
      </c>
      <c r="N77" s="270">
        <v>4</v>
      </c>
      <c r="O77" s="10">
        <f t="shared" si="22"/>
        <v>0</v>
      </c>
      <c r="P77" s="10">
        <f>VALUE(J_normdate(J_ADDDAY($D77,$O77,1)))</f>
        <v>13980906</v>
      </c>
      <c r="Q77" s="9">
        <f t="shared" si="14"/>
        <v>5</v>
      </c>
      <c r="JA77" s="263"/>
      <c r="JB77" s="263"/>
      <c r="JC77" s="263"/>
      <c r="JD77" s="286">
        <f>SUM((TEXT(JA77,"[M]")/60)*'Income Person-hours'!$D$3,(TEXT(JB77,"[M]")/60)*'Income Person-hours'!$D$4,(TEXT(JC77,"[M]")/60)*'Income Person-hours'!$D$5)</f>
        <v>0</v>
      </c>
    </row>
    <row r="78" spans="1:264" s="283" customFormat="1" ht="16.5" customHeight="1">
      <c r="A78" s="293">
        <v>3.27</v>
      </c>
      <c r="B78" s="277" t="s">
        <v>167</v>
      </c>
      <c r="C78" s="263" t="s">
        <v>110</v>
      </c>
      <c r="D78" s="283" t="str">
        <f>IF(OR(j_WEEKDAY(J_ADDDAY(VLOOKUP(I78,A:F,6,FALSE),H78,1),0)=6,SUMIFS(Holieday[ok],Holieday[date],J_ADDDAY(VLOOKUP(I78,A:F,6,FALSE),H78,1)))=FALSE(),J_ADDDAY(VLOOKUP(I78,A:F,6,FALSE),H78,1),IF(OR(j_WEEKDAY(J_ADDDAY(VLOOKUP(I78,A:F,6,FALSE),H78+1,1),0)=6,SUMIFS(Holieday[ok],Holieday[date],J_ADDDAY(VLOOKUP(I78,A:F,6,FALSE),H78+1,1)))=FALSE(),J_ADDDAY(VLOOKUP(I78,A:F,6,FALSE),H78+1,1),IF(OR(j_WEEKDAY(J_ADDDAY(VLOOKUP(I78,A:F,6,FALSE),H78+2,1),0)=6,SUMIFS(Holieday[ok],Holieday[date],J_ADDDAY(VLOOKUP(I78,A:F,6,FALSE),H78+2,1)))=FALSE(),J_ADDDAY(VLOOKUP(I78,A:F,6,FALSE),H78+2,1),IF(OR(j_WEEKDAY(J_ADDDAY(VLOOKUP(I78,A:F,6,FALSE),H78+3,1),0)=6,SUMIFS(Holieday[ok],Holieday[date],J_ADDDAY(VLOOKUP(I78,A:F,6,FALSE),H78+3,1)))=FALSE(),J_ADDDAY(VLOOKUP(I78,A:F,6,FALSE),H78+3,1),IF(OR(j_WEEKDAY(J_ADDDAY(VLOOKUP(I78,A:F,6,FALSE),H78+4,1),0)=6,SUMIFS(Holieday[ok],Holieday[date],J_ADDDAY(VLOOKUP(I78,A:F,6,FALSE),H78+4,1)))=FALSE(),J_ADDDAY(VLOOKUP(I78,A:F,6,FALSE),H78+4,1),J_ADDDAY(VLOOKUP(I78,A:F,6,FALSE),H78+5,1))))))</f>
        <v>1398/09/11</v>
      </c>
      <c r="E78" s="1">
        <f t="shared" si="20"/>
        <v>13980911</v>
      </c>
      <c r="F78" s="287" t="str">
        <f>IF(N78=0,J_SUBDAY(D78,1,1),IF((N78-(NETWORKDAYS.INTL(J_GregorianDate(D78,1),J_GregorianDate(J_SUBDAY(J_ADDDAY(D78,N78,1),1,1),1),16,1)))+SUMIFS(Holieday[ok],Holieday[date],CONCATENATE("&gt;","=",D78),Holieday[date],CONCATENATE("&lt;","=",J_SUBDAY(J_ADDDAY(D78,N78,1),1,1)))-SUMIFS(Holieday[Friday],Holieday[date],CONCATENATE("&gt;","=",D78),Holieday[date],CONCATENATE("&lt;","=",J_SUBDAY(J_ADDDAY(D78,N78,1),1,1)))=0,J_SUBDAY(J_ADDDAY(D78,N78,1),1,1),IF((N78+1-(NETWORKDAYS.INTL(J_GregorianDate(D78,1),J_GregorianDate(J_SUBDAY(J_ADDDAY(D78,N78+1,1),1,1),1),16,1)))+SUMIFS(Holieday[ok],Holieday[date],CONCATENATE("&gt;","=",D78),Holieday[date],CONCATENATE("&lt;","=",J_SUBDAY(J_ADDDAY(D78,N78+1,1),1,1)))-SUMIFS(Holieday[Friday],Holieday[date],CONCATENATE("&gt;","=",D78),Holieday[date],CONCATENATE("&lt;","=",J_SUBDAY(J_ADDDAY(D78,N78+1,1),1,1)))=1,J_SUBDAY(J_ADDDAY(D78,N78+1,1),1,1),IF((N78+2-(NETWORKDAYS.INTL(J_GregorianDate(D78,1),J_GregorianDate(J_SUBDAY(J_ADDDAY(D78,N78+2,1),1,1),1),16,1)))+SUMIFS(Holieday[ok],Holieday[date],CONCATENATE("&gt;","=",D78),Holieday[date],CONCATENATE("&lt;","=",J_SUBDAY(J_ADDDAY(D78,N78+2,1),1,1)))-SUMIFS(Holieday[Friday],Holieday[date],CONCATENATE("&gt;","=",D78),Holieday[date],CONCATENATE("&lt;","=",J_SUBDAY(J_ADDDAY(D78,N78+2,1),1,1)))=2,J_SUBDAY(J_ADDDAY(D78,N78+2,1),1,1),IF((N78+3-(NETWORKDAYS.INTL(J_GregorianDate(D78,1),J_GregorianDate(J_SUBDAY(J_ADDDAY(D78,N78+3,1),1,1),1),16,1)))+SUMIFS(Holieday[ok],Holieday[date],CONCATENATE("&gt;","=",D78),Holieday[date],CONCATENATE("&lt;","=",J_SUBDAY(J_ADDDAY(D78,N78+3,1),1,1)))-SUMIFS(Holieday[Friday],Holieday[date],CONCATENATE("&gt;","=",D78),Holieday[date],CONCATENATE("&lt;","=",J_SUBDAY(J_ADDDAY(D78,N78+3,1),1,1)))=3,J_SUBDAY(J_ADDDAY(D78,N78+3,1),1,1),IF((N78+4-(NETWORKDAYS.INTL(J_GregorianDate(D78,1),J_GregorianDate(J_SUBDAY(J_ADDDAY(D78,N78+4,1),1,1),1),16,1)))+SUMIFS(Holieday[ok],Holieday[date],CONCATENATE("&gt;","=",D78),Holieday[date],CONCATENATE("&lt;","=",J_SUBDAY(J_ADDDAY(D78,N78+4,1),1,1)))-SUMIFS(Holieday[Friday],Holieday[date],CONCATENATE("&gt;","=",D78),Holieday[date],CONCATENATE("&lt;","=",J_SUBDAY(J_ADDDAY(D78,N78+4,1),1,1)))=4,J_SUBDAY(J_ADDDAY(D78,N78+4,1),1,1),IF((N78+5-(NETWORKDAYS.INTL(J_GregorianDate(D78,1),J_GregorianDate(J_SUBDAY(J_ADDDAY(D78,N78+5,1),1,1),1),16,1)))+SUMIFS(Holieday[ok],Holieday[date],CONCATENATE("&gt;","=",D78),Holieday[date],CONCATENATE("&lt;","=",J_SUBDAY(J_ADDDAY(D78,N78+5,1),1,1)))-SUMIFS(Holieday[Friday],Holieday[date],CONCATENATE("&gt;","=",D78),Holieday[date],CONCATENATE("&lt;","=",J_SUBDAY(J_ADDDAY(D78,N78+5,1),1,1)))=5,J_SUBDAY(J_ADDDAY(D78,N78+5,1),1,1),J_SUBDAY(J_ADDDAY(D78,N78+6,1),1,1))))))))</f>
        <v>1398/09/13</v>
      </c>
      <c r="G78" s="2">
        <f t="shared" si="21"/>
        <v>13980913</v>
      </c>
      <c r="H78" s="266">
        <v>1</v>
      </c>
      <c r="I78" s="267">
        <v>3.26</v>
      </c>
      <c r="J78" s="281">
        <f>j_WEEKDAY(D78,2)</f>
        <v>2</v>
      </c>
      <c r="K78" s="21">
        <f t="shared" si="18"/>
        <v>0</v>
      </c>
      <c r="L78" s="294">
        <f t="shared" si="19"/>
        <v>3</v>
      </c>
      <c r="M78" s="269">
        <v>0</v>
      </c>
      <c r="N78" s="270">
        <v>3</v>
      </c>
      <c r="O78" s="10">
        <f t="shared" si="22"/>
        <v>0</v>
      </c>
      <c r="P78" s="10">
        <f>VALUE(J_normdate(J_ADDDAY($D78,$O78,1)))</f>
        <v>13980911</v>
      </c>
      <c r="Q78" s="9">
        <f t="shared" si="14"/>
        <v>3</v>
      </c>
      <c r="JA78" s="263"/>
      <c r="JB78" s="263"/>
      <c r="JC78" s="263"/>
      <c r="JD78" s="286">
        <f>SUM((TEXT(JA78,"[M]")/60)*'Income Person-hours'!$D$3,(TEXT(JB78,"[M]")/60)*'Income Person-hours'!$D$4,(TEXT(JC78,"[M]")/60)*'Income Person-hours'!$D$5)</f>
        <v>0</v>
      </c>
    </row>
    <row r="79" spans="1:264" s="283" customFormat="1" ht="13.5">
      <c r="A79" s="293">
        <v>3.28</v>
      </c>
      <c r="B79" s="277" t="s">
        <v>168</v>
      </c>
      <c r="C79" s="263" t="s">
        <v>111</v>
      </c>
      <c r="D79" s="283" t="str">
        <f>IF(OR(j_WEEKDAY(J_ADDDAY(VLOOKUP(I79,A:F,6,FALSE),H79,1),0)=6,SUMIFS(Holieday[ok],Holieday[date],J_ADDDAY(VLOOKUP(I79,A:F,6,FALSE),H79,1)))=FALSE(),J_ADDDAY(VLOOKUP(I79,A:F,6,FALSE),H79,1),IF(OR(j_WEEKDAY(J_ADDDAY(VLOOKUP(I79,A:F,6,FALSE),H79+1,1),0)=6,SUMIFS(Holieday[ok],Holieday[date],J_ADDDAY(VLOOKUP(I79,A:F,6,FALSE),H79+1,1)))=FALSE(),J_ADDDAY(VLOOKUP(I79,A:F,6,FALSE),H79+1,1),IF(OR(j_WEEKDAY(J_ADDDAY(VLOOKUP(I79,A:F,6,FALSE),H79+2,1),0)=6,SUMIFS(Holieday[ok],Holieday[date],J_ADDDAY(VLOOKUP(I79,A:F,6,FALSE),H79+2,1)))=FALSE(),J_ADDDAY(VLOOKUP(I79,A:F,6,FALSE),H79+2,1),IF(OR(j_WEEKDAY(J_ADDDAY(VLOOKUP(I79,A:F,6,FALSE),H79+3,1),0)=6,SUMIFS(Holieday[ok],Holieday[date],J_ADDDAY(VLOOKUP(I79,A:F,6,FALSE),H79+3,1)))=FALSE(),J_ADDDAY(VLOOKUP(I79,A:F,6,FALSE),H79+3,1),IF(OR(j_WEEKDAY(J_ADDDAY(VLOOKUP(I79,A:F,6,FALSE),H79+4,1),0)=6,SUMIFS(Holieday[ok],Holieday[date],J_ADDDAY(VLOOKUP(I79,A:F,6,FALSE),H79+4,1)))=FALSE(),J_ADDDAY(VLOOKUP(I79,A:F,6,FALSE),H79+4,1),J_ADDDAY(VLOOKUP(I79,A:F,6,FALSE),H79+5,1))))))</f>
        <v>1398/09/16</v>
      </c>
      <c r="E79" s="1">
        <f t="shared" si="20"/>
        <v>13980916</v>
      </c>
      <c r="F79" s="287" t="str">
        <f>IF(N79=0,J_SUBDAY(D79,1,1),IF((N79-(NETWORKDAYS.INTL(J_GregorianDate(D79,1),J_GregorianDate(J_SUBDAY(J_ADDDAY(D79,N79,1),1,1),1),16,1)))+SUMIFS(Holieday[ok],Holieday[date],CONCATENATE("&gt;","=",D79),Holieday[date],CONCATENATE("&lt;","=",J_SUBDAY(J_ADDDAY(D79,N79,1),1,1)))-SUMIFS(Holieday[Friday],Holieday[date],CONCATENATE("&gt;","=",D79),Holieday[date],CONCATENATE("&lt;","=",J_SUBDAY(J_ADDDAY(D79,N79,1),1,1)))=0,J_SUBDAY(J_ADDDAY(D79,N79,1),1,1),IF((N79+1-(NETWORKDAYS.INTL(J_GregorianDate(D79,1),J_GregorianDate(J_SUBDAY(J_ADDDAY(D79,N79+1,1),1,1),1),16,1)))+SUMIFS(Holieday[ok],Holieday[date],CONCATENATE("&gt;","=",D79),Holieday[date],CONCATENATE("&lt;","=",J_SUBDAY(J_ADDDAY(D79,N79+1,1),1,1)))-SUMIFS(Holieday[Friday],Holieday[date],CONCATENATE("&gt;","=",D79),Holieday[date],CONCATENATE("&lt;","=",J_SUBDAY(J_ADDDAY(D79,N79+1,1),1,1)))=1,J_SUBDAY(J_ADDDAY(D79,N79+1,1),1,1),IF((N79+2-(NETWORKDAYS.INTL(J_GregorianDate(D79,1),J_GregorianDate(J_SUBDAY(J_ADDDAY(D79,N79+2,1),1,1),1),16,1)))+SUMIFS(Holieday[ok],Holieday[date],CONCATENATE("&gt;","=",D79),Holieday[date],CONCATENATE("&lt;","=",J_SUBDAY(J_ADDDAY(D79,N79+2,1),1,1)))-SUMIFS(Holieday[Friday],Holieday[date],CONCATENATE("&gt;","=",D79),Holieday[date],CONCATENATE("&lt;","=",J_SUBDAY(J_ADDDAY(D79,N79+2,1),1,1)))=2,J_SUBDAY(J_ADDDAY(D79,N79+2,1),1,1),IF((N79+3-(NETWORKDAYS.INTL(J_GregorianDate(D79,1),J_GregorianDate(J_SUBDAY(J_ADDDAY(D79,N79+3,1),1,1),1),16,1)))+SUMIFS(Holieday[ok],Holieday[date],CONCATENATE("&gt;","=",D79),Holieday[date],CONCATENATE("&lt;","=",J_SUBDAY(J_ADDDAY(D79,N79+3,1),1,1)))-SUMIFS(Holieday[Friday],Holieday[date],CONCATENATE("&gt;","=",D79),Holieday[date],CONCATENATE("&lt;","=",J_SUBDAY(J_ADDDAY(D79,N79+3,1),1,1)))=3,J_SUBDAY(J_ADDDAY(D79,N79+3,1),1,1),IF((N79+4-(NETWORKDAYS.INTL(J_GregorianDate(D79,1),J_GregorianDate(J_SUBDAY(J_ADDDAY(D79,N79+4,1),1,1),1),16,1)))+SUMIFS(Holieday[ok],Holieday[date],CONCATENATE("&gt;","=",D79),Holieday[date],CONCATENATE("&lt;","=",J_SUBDAY(J_ADDDAY(D79,N79+4,1),1,1)))-SUMIFS(Holieday[Friday],Holieday[date],CONCATENATE("&gt;","=",D79),Holieday[date],CONCATENATE("&lt;","=",J_SUBDAY(J_ADDDAY(D79,N79+4,1),1,1)))=4,J_SUBDAY(J_ADDDAY(D79,N79+4,1),1,1),IF((N79+5-(NETWORKDAYS.INTL(J_GregorianDate(D79,1),J_GregorianDate(J_SUBDAY(J_ADDDAY(D79,N79+5,1),1,1),1),16,1)))+SUMIFS(Holieday[ok],Holieday[date],CONCATENATE("&gt;","=",D79),Holieday[date],CONCATENATE("&lt;","=",J_SUBDAY(J_ADDDAY(D79,N79+5,1),1,1)))-SUMIFS(Holieday[Friday],Holieday[date],CONCATENATE("&gt;","=",D79),Holieday[date],CONCATENATE("&lt;","=",J_SUBDAY(J_ADDDAY(D79,N79+5,1),1,1)))=5,J_SUBDAY(J_ADDDAY(D79,N79+5,1),1,1),J_SUBDAY(J_ADDDAY(D79,N79+6,1),1,1))))))))</f>
        <v>1398/09/18</v>
      </c>
      <c r="G79" s="2">
        <f t="shared" si="21"/>
        <v>13980918</v>
      </c>
      <c r="H79" s="266">
        <v>2</v>
      </c>
      <c r="I79" s="267">
        <v>3.27</v>
      </c>
      <c r="J79" s="281">
        <f>j_WEEKDAY(D79,2)</f>
        <v>0</v>
      </c>
      <c r="K79" s="21">
        <f t="shared" si="18"/>
        <v>0</v>
      </c>
      <c r="L79" s="294">
        <f t="shared" si="19"/>
        <v>3</v>
      </c>
      <c r="M79" s="269">
        <v>0</v>
      </c>
      <c r="N79" s="270">
        <v>3</v>
      </c>
      <c r="O79" s="10">
        <f t="shared" si="22"/>
        <v>0</v>
      </c>
      <c r="P79" s="10">
        <f>VALUE(J_normdate(J_ADDDAY($D79,$O79,1)))</f>
        <v>13980916</v>
      </c>
      <c r="Q79" s="9">
        <f t="shared" si="14"/>
        <v>3</v>
      </c>
      <c r="JA79" s="263"/>
      <c r="JB79" s="263"/>
      <c r="JC79" s="263"/>
      <c r="JD79" s="286">
        <f>SUM((TEXT(JA79,"[M]")/60)*'Income Person-hours'!$D$3,(TEXT(JB79,"[M]")/60)*'Income Person-hours'!$D$4,(TEXT(JC79,"[M]")/60)*'Income Person-hours'!$D$5)</f>
        <v>0</v>
      </c>
    </row>
    <row r="80" spans="1:264" s="291" customFormat="1" ht="13.5">
      <c r="A80" s="292">
        <v>3.29</v>
      </c>
      <c r="B80" s="277" t="s">
        <v>169</v>
      </c>
      <c r="C80" s="263" t="s">
        <v>110</v>
      </c>
      <c r="D80" s="283" t="str">
        <f>IF(OR(j_WEEKDAY(J_ADDDAY(VLOOKUP(I80,A:F,6,FALSE),H80,1),0)=6,SUMIFS(Holieday[ok],Holieday[date],J_ADDDAY(VLOOKUP(I80,A:F,6,FALSE),H80,1)))=FALSE(),J_ADDDAY(VLOOKUP(I80,A:F,6,FALSE),H80,1),IF(OR(j_WEEKDAY(J_ADDDAY(VLOOKUP(I80,A:F,6,FALSE),H80+1,1),0)=6,SUMIFS(Holieday[ok],Holieday[date],J_ADDDAY(VLOOKUP(I80,A:F,6,FALSE),H80+1,1)))=FALSE(),J_ADDDAY(VLOOKUP(I80,A:F,6,FALSE),H80+1,1),IF(OR(j_WEEKDAY(J_ADDDAY(VLOOKUP(I80,A:F,6,FALSE),H80+2,1),0)=6,SUMIFS(Holieday[ok],Holieday[date],J_ADDDAY(VLOOKUP(I80,A:F,6,FALSE),H80+2,1)))=FALSE(),J_ADDDAY(VLOOKUP(I80,A:F,6,FALSE),H80+2,1),IF(OR(j_WEEKDAY(J_ADDDAY(VLOOKUP(I80,A:F,6,FALSE),H80+3,1),0)=6,SUMIFS(Holieday[ok],Holieday[date],J_ADDDAY(VLOOKUP(I80,A:F,6,FALSE),H80+3,1)))=FALSE(),J_ADDDAY(VLOOKUP(I80,A:F,6,FALSE),H80+3,1),IF(OR(j_WEEKDAY(J_ADDDAY(VLOOKUP(I80,A:F,6,FALSE),H80+4,1),0)=6,SUMIFS(Holieday[ok],Holieday[date],J_ADDDAY(VLOOKUP(I80,A:F,6,FALSE),H80+4,1)))=FALSE(),J_ADDDAY(VLOOKUP(I80,A:F,6,FALSE),H80+4,1),J_ADDDAY(VLOOKUP(I80,A:F,6,FALSE),H80+5,1))))))</f>
        <v>1398/09/19</v>
      </c>
      <c r="E80" s="1">
        <f t="shared" ref="E80:E90" si="24">VALUE(J_normdate(D80))</f>
        <v>13980919</v>
      </c>
      <c r="F80" s="287" t="str">
        <f>IF(N80=0,J_SUBDAY(D80,1,1),IF((N80-(NETWORKDAYS.INTL(J_GregorianDate(D80,1),J_GregorianDate(J_SUBDAY(J_ADDDAY(D80,N80,1),1,1),1),16,1)))+SUMIFS(Holieday[ok],Holieday[date],CONCATENATE("&gt;","=",D80),Holieday[date],CONCATENATE("&lt;","=",J_SUBDAY(J_ADDDAY(D80,N80,1),1,1)))-SUMIFS(Holieday[Friday],Holieday[date],CONCATENATE("&gt;","=",D80),Holieday[date],CONCATENATE("&lt;","=",J_SUBDAY(J_ADDDAY(D80,N80,1),1,1)))=0,J_SUBDAY(J_ADDDAY(D80,N80,1),1,1),IF((N80+1-(NETWORKDAYS.INTL(J_GregorianDate(D80,1),J_GregorianDate(J_SUBDAY(J_ADDDAY(D80,N80+1,1),1,1),1),16,1)))+SUMIFS(Holieday[ok],Holieday[date],CONCATENATE("&gt;","=",D80),Holieday[date],CONCATENATE("&lt;","=",J_SUBDAY(J_ADDDAY(D80,N80+1,1),1,1)))-SUMIFS(Holieday[Friday],Holieday[date],CONCATENATE("&gt;","=",D80),Holieday[date],CONCATENATE("&lt;","=",J_SUBDAY(J_ADDDAY(D80,N80+1,1),1,1)))=1,J_SUBDAY(J_ADDDAY(D80,N80+1,1),1,1),IF((N80+2-(NETWORKDAYS.INTL(J_GregorianDate(D80,1),J_GregorianDate(J_SUBDAY(J_ADDDAY(D80,N80+2,1),1,1),1),16,1)))+SUMIFS(Holieday[ok],Holieday[date],CONCATENATE("&gt;","=",D80),Holieday[date],CONCATENATE("&lt;","=",J_SUBDAY(J_ADDDAY(D80,N80+2,1),1,1)))-SUMIFS(Holieday[Friday],Holieday[date],CONCATENATE("&gt;","=",D80),Holieday[date],CONCATENATE("&lt;","=",J_SUBDAY(J_ADDDAY(D80,N80+2,1),1,1)))=2,J_SUBDAY(J_ADDDAY(D80,N80+2,1),1,1),IF((N80+3-(NETWORKDAYS.INTL(J_GregorianDate(D80,1),J_GregorianDate(J_SUBDAY(J_ADDDAY(D80,N80+3,1),1,1),1),16,1)))+SUMIFS(Holieday[ok],Holieday[date],CONCATENATE("&gt;","=",D80),Holieday[date],CONCATENATE("&lt;","=",J_SUBDAY(J_ADDDAY(D80,N80+3,1),1,1)))-SUMIFS(Holieday[Friday],Holieday[date],CONCATENATE("&gt;","=",D80),Holieday[date],CONCATENATE("&lt;","=",J_SUBDAY(J_ADDDAY(D80,N80+3,1),1,1)))=3,J_SUBDAY(J_ADDDAY(D80,N80+3,1),1,1),IF((N80+4-(NETWORKDAYS.INTL(J_GregorianDate(D80,1),J_GregorianDate(J_SUBDAY(J_ADDDAY(D80,N80+4,1),1,1),1),16,1)))+SUMIFS(Holieday[ok],Holieday[date],CONCATENATE("&gt;","=",D80),Holieday[date],CONCATENATE("&lt;","=",J_SUBDAY(J_ADDDAY(D80,N80+4,1),1,1)))-SUMIFS(Holieday[Friday],Holieday[date],CONCATENATE("&gt;","=",D80),Holieday[date],CONCATENATE("&lt;","=",J_SUBDAY(J_ADDDAY(D80,N80+4,1),1,1)))=4,J_SUBDAY(J_ADDDAY(D80,N80+4,1),1,1),IF((N80+5-(NETWORKDAYS.INTL(J_GregorianDate(D80,1),J_GregorianDate(J_SUBDAY(J_ADDDAY(D80,N80+5,1),1,1),1),16,1)))+SUMIFS(Holieday[ok],Holieday[date],CONCATENATE("&gt;","=",D80),Holieday[date],CONCATENATE("&lt;","=",J_SUBDAY(J_ADDDAY(D80,N80+5,1),1,1)))-SUMIFS(Holieday[Friday],Holieday[date],CONCATENATE("&gt;","=",D80),Holieday[date],CONCATENATE("&lt;","=",J_SUBDAY(J_ADDDAY(D80,N80+5,1),1,1)))=5,J_SUBDAY(J_ADDDAY(D80,N80+5,1),1,1),J_SUBDAY(J_ADDDAY(D80,N80+6,1),1,1))))))))</f>
        <v>1398/09/23</v>
      </c>
      <c r="G80" s="2">
        <f t="shared" ref="G80:G90" si="25">VALUE(J_normdate(F80))</f>
        <v>13980923</v>
      </c>
      <c r="H80" s="266">
        <v>1</v>
      </c>
      <c r="I80" s="267">
        <v>3.28</v>
      </c>
      <c r="J80" s="281">
        <f>j_WEEKDAY(D80,2)</f>
        <v>3</v>
      </c>
      <c r="K80" s="21">
        <f t="shared" ref="K80:K90" si="26">SUM(JA80:JC80)</f>
        <v>0</v>
      </c>
      <c r="L80" s="282">
        <f t="shared" ref="L80:L90" si="27">J_DIFF(D80,F80)+1</f>
        <v>5</v>
      </c>
      <c r="M80" s="269">
        <v>0</v>
      </c>
      <c r="N80" s="270">
        <v>4</v>
      </c>
      <c r="O80" s="10">
        <f t="shared" ref="O80:O90" si="28">ROUNDDOWN(M80*L80,0)</f>
        <v>0</v>
      </c>
      <c r="P80" s="10">
        <f>VALUE(J_normdate(J_ADDDAY($D80,$O80,1)))</f>
        <v>13980919</v>
      </c>
      <c r="Q80" s="9">
        <f t="shared" ref="Q80:Q90" si="29">L80-O80</f>
        <v>5</v>
      </c>
      <c r="R80" s="283"/>
      <c r="S80" s="283"/>
      <c r="T80" s="283"/>
      <c r="U80" s="283"/>
      <c r="V80" s="283"/>
      <c r="W80" s="283"/>
      <c r="X80" s="283"/>
      <c r="Y80" s="283"/>
      <c r="Z80" s="283"/>
      <c r="AA80" s="283"/>
      <c r="AB80" s="283"/>
      <c r="AC80" s="283"/>
      <c r="AD80" s="283"/>
      <c r="AE80" s="283"/>
      <c r="AF80" s="283"/>
      <c r="AG80" s="283"/>
      <c r="AH80" s="283"/>
      <c r="AI80" s="283"/>
      <c r="AJ80" s="283"/>
      <c r="AK80" s="283"/>
      <c r="AL80" s="283"/>
      <c r="AM80" s="283"/>
      <c r="AN80" s="283"/>
      <c r="AO80" s="283"/>
      <c r="AP80" s="283"/>
      <c r="AQ80" s="283"/>
      <c r="AR80" s="283"/>
      <c r="AS80" s="283"/>
      <c r="AT80" s="283"/>
      <c r="AU80" s="283"/>
      <c r="AV80" s="283"/>
      <c r="AW80" s="283"/>
      <c r="AX80" s="283"/>
      <c r="AY80" s="283"/>
      <c r="AZ80" s="283"/>
      <c r="BA80" s="283"/>
      <c r="BB80" s="283"/>
      <c r="BC80" s="283"/>
      <c r="BD80" s="283"/>
      <c r="BE80" s="283"/>
      <c r="BF80" s="283"/>
      <c r="BG80" s="283"/>
      <c r="BH80" s="283"/>
      <c r="BI80" s="283"/>
      <c r="BJ80" s="283"/>
      <c r="BK80" s="283"/>
      <c r="BL80" s="283"/>
      <c r="BM80" s="283"/>
      <c r="BN80" s="283"/>
      <c r="BO80" s="283"/>
      <c r="BP80" s="283"/>
      <c r="BQ80" s="283"/>
      <c r="BR80" s="283"/>
      <c r="BS80" s="283"/>
      <c r="BT80" s="283"/>
      <c r="BU80" s="283"/>
      <c r="BV80" s="283"/>
      <c r="BW80" s="283"/>
      <c r="BX80" s="283"/>
      <c r="BY80" s="283"/>
      <c r="BZ80" s="283"/>
      <c r="CA80" s="283"/>
      <c r="CB80" s="283"/>
      <c r="CC80" s="283"/>
      <c r="CD80" s="283"/>
      <c r="CE80" s="283"/>
      <c r="CF80" s="283"/>
      <c r="CG80" s="283"/>
      <c r="CH80" s="283"/>
      <c r="CI80" s="283"/>
      <c r="CJ80" s="283"/>
      <c r="CK80" s="283"/>
      <c r="CL80" s="283"/>
      <c r="CM80" s="283"/>
      <c r="CN80" s="283"/>
      <c r="CO80" s="283"/>
      <c r="CP80" s="283"/>
      <c r="CQ80" s="283"/>
      <c r="CR80" s="283"/>
      <c r="CS80" s="283"/>
      <c r="CT80" s="283"/>
      <c r="CU80" s="283"/>
      <c r="CV80" s="283"/>
      <c r="CW80" s="283"/>
      <c r="CX80" s="283"/>
      <c r="CY80" s="283"/>
      <c r="CZ80" s="283"/>
      <c r="DA80" s="283"/>
      <c r="DB80" s="283"/>
      <c r="DC80" s="283"/>
      <c r="DD80" s="283"/>
      <c r="DE80" s="283"/>
      <c r="DF80" s="283"/>
      <c r="DG80" s="283"/>
      <c r="DH80" s="283"/>
      <c r="DI80" s="283"/>
      <c r="DJ80" s="283"/>
      <c r="DK80" s="283"/>
      <c r="DL80" s="283"/>
      <c r="DM80" s="283"/>
      <c r="DN80" s="283"/>
      <c r="DO80" s="283"/>
      <c r="DP80" s="283"/>
      <c r="DQ80" s="283"/>
      <c r="DR80" s="283"/>
      <c r="DS80" s="283"/>
      <c r="DT80" s="283"/>
      <c r="DU80" s="283"/>
      <c r="DV80" s="283"/>
      <c r="DW80" s="283"/>
      <c r="DX80" s="283"/>
      <c r="DY80" s="283"/>
      <c r="DZ80" s="283"/>
      <c r="EA80" s="283"/>
      <c r="EB80" s="283"/>
      <c r="EC80" s="283"/>
      <c r="ED80" s="283"/>
      <c r="EE80" s="283"/>
      <c r="EF80" s="283"/>
      <c r="EG80" s="283"/>
      <c r="EH80" s="283"/>
      <c r="EI80" s="283"/>
      <c r="EJ80" s="283"/>
      <c r="EK80" s="283"/>
      <c r="EL80" s="283"/>
      <c r="EM80" s="283"/>
      <c r="EN80" s="283"/>
      <c r="EO80" s="283"/>
      <c r="EP80" s="283"/>
      <c r="EQ80" s="283"/>
      <c r="ER80" s="283"/>
      <c r="ES80" s="283"/>
      <c r="ET80" s="283"/>
      <c r="EU80" s="283"/>
      <c r="EV80" s="283"/>
      <c r="EW80" s="283"/>
      <c r="EX80" s="283"/>
      <c r="EY80" s="283"/>
      <c r="EZ80" s="283"/>
      <c r="FA80" s="283"/>
      <c r="FB80" s="283"/>
      <c r="FC80" s="283"/>
      <c r="FD80" s="283"/>
      <c r="FE80" s="283"/>
      <c r="FF80" s="283"/>
      <c r="FG80" s="283"/>
      <c r="FH80" s="283"/>
      <c r="FI80" s="283"/>
      <c r="FJ80" s="283"/>
      <c r="FK80" s="283"/>
      <c r="FL80" s="283"/>
      <c r="FM80" s="283"/>
      <c r="FN80" s="283"/>
      <c r="FO80" s="283"/>
      <c r="FP80" s="283"/>
      <c r="FQ80" s="283"/>
      <c r="FR80" s="283"/>
      <c r="FS80" s="283"/>
      <c r="FT80" s="283"/>
      <c r="FU80" s="283"/>
      <c r="FV80" s="283"/>
      <c r="FW80" s="283"/>
      <c r="FX80" s="283"/>
      <c r="FY80" s="283"/>
      <c r="FZ80" s="283"/>
      <c r="GA80" s="283"/>
      <c r="GB80" s="283"/>
      <c r="GC80" s="283"/>
      <c r="GD80" s="283"/>
      <c r="GE80" s="283"/>
      <c r="GF80" s="283"/>
      <c r="GG80" s="283"/>
      <c r="GH80" s="283"/>
      <c r="GI80" s="283"/>
      <c r="GJ80" s="283"/>
      <c r="GK80" s="283"/>
      <c r="GL80" s="283"/>
      <c r="GM80" s="283"/>
      <c r="GN80" s="283"/>
      <c r="GO80" s="283"/>
      <c r="GP80" s="283"/>
      <c r="GQ80" s="283"/>
      <c r="GR80" s="283"/>
      <c r="GS80" s="283"/>
      <c r="GT80" s="283"/>
      <c r="GU80" s="283"/>
      <c r="GV80" s="283"/>
      <c r="GW80" s="283"/>
      <c r="GX80" s="283"/>
      <c r="GY80" s="283"/>
      <c r="GZ80" s="283"/>
      <c r="HA80" s="283"/>
      <c r="HB80" s="283"/>
      <c r="HC80" s="283"/>
      <c r="HD80" s="283"/>
      <c r="HE80" s="283"/>
      <c r="HF80" s="283"/>
      <c r="HG80" s="283"/>
      <c r="HH80" s="283"/>
      <c r="HI80" s="283"/>
      <c r="HJ80" s="283"/>
      <c r="HK80" s="283"/>
      <c r="HL80" s="283"/>
      <c r="HM80" s="283"/>
      <c r="HN80" s="283"/>
      <c r="HO80" s="283"/>
      <c r="HP80" s="283"/>
      <c r="HQ80" s="283"/>
      <c r="HR80" s="283"/>
      <c r="HS80" s="283"/>
      <c r="HT80" s="283"/>
      <c r="HU80" s="283"/>
      <c r="HV80" s="283"/>
      <c r="HW80" s="283"/>
      <c r="HX80" s="283"/>
      <c r="HY80" s="283"/>
      <c r="HZ80" s="283"/>
      <c r="IA80" s="283"/>
      <c r="IB80" s="283"/>
      <c r="IC80" s="283"/>
      <c r="ID80" s="283"/>
      <c r="IE80" s="283"/>
      <c r="IF80" s="283"/>
      <c r="IG80" s="283"/>
      <c r="IH80" s="283"/>
      <c r="II80" s="283"/>
      <c r="IJ80" s="283"/>
      <c r="IK80" s="283"/>
      <c r="IL80" s="283"/>
      <c r="IM80" s="283"/>
      <c r="IN80" s="283"/>
      <c r="IO80" s="283"/>
      <c r="IP80" s="283"/>
      <c r="IQ80" s="283"/>
      <c r="IR80" s="283"/>
      <c r="IS80" s="283"/>
      <c r="IT80" s="283"/>
      <c r="IU80" s="283"/>
      <c r="IV80" s="283"/>
      <c r="IW80" s="283"/>
      <c r="IX80" s="283"/>
      <c r="JA80" s="289"/>
      <c r="JB80" s="289"/>
      <c r="JC80" s="289"/>
      <c r="JD80" s="290"/>
    </row>
    <row r="81" spans="1:264" s="291" customFormat="1" ht="13.5">
      <c r="A81" s="292">
        <v>3.31</v>
      </c>
      <c r="B81" s="277" t="s">
        <v>170</v>
      </c>
      <c r="C81" s="263" t="s">
        <v>111</v>
      </c>
      <c r="D81" s="283" t="str">
        <f>IF(OR(j_WEEKDAY(J_ADDDAY(VLOOKUP(I81,A:F,6,FALSE),H81,1),0)=6,SUMIFS(Holieday[ok],Holieday[date],J_ADDDAY(VLOOKUP(I81,A:F,6,FALSE),H81,1)))=FALSE(),J_ADDDAY(VLOOKUP(I81,A:F,6,FALSE),H81,1),IF(OR(j_WEEKDAY(J_ADDDAY(VLOOKUP(I81,A:F,6,FALSE),H81+1,1),0)=6,SUMIFS(Holieday[ok],Holieday[date],J_ADDDAY(VLOOKUP(I81,A:F,6,FALSE),H81+1,1)))=FALSE(),J_ADDDAY(VLOOKUP(I81,A:F,6,FALSE),H81+1,1),IF(OR(j_WEEKDAY(J_ADDDAY(VLOOKUP(I81,A:F,6,FALSE),H81+2,1),0)=6,SUMIFS(Holieday[ok],Holieday[date],J_ADDDAY(VLOOKUP(I81,A:F,6,FALSE),H81+2,1)))=FALSE(),J_ADDDAY(VLOOKUP(I81,A:F,6,FALSE),H81+2,1),IF(OR(j_WEEKDAY(J_ADDDAY(VLOOKUP(I81,A:F,6,FALSE),H81+3,1),0)=6,SUMIFS(Holieday[ok],Holieday[date],J_ADDDAY(VLOOKUP(I81,A:F,6,FALSE),H81+3,1)))=FALSE(),J_ADDDAY(VLOOKUP(I81,A:F,6,FALSE),H81+3,1),IF(OR(j_WEEKDAY(J_ADDDAY(VLOOKUP(I81,A:F,6,FALSE),H81+4,1),0)=6,SUMIFS(Holieday[ok],Holieday[date],J_ADDDAY(VLOOKUP(I81,A:F,6,FALSE),H81+4,1)))=FALSE(),J_ADDDAY(VLOOKUP(I81,A:F,6,FALSE),H81+4,1),J_ADDDAY(VLOOKUP(I81,A:F,6,FALSE),H81+5,1))))))</f>
        <v>1398/09/24</v>
      </c>
      <c r="E81" s="1">
        <f t="shared" si="24"/>
        <v>13980924</v>
      </c>
      <c r="F81" s="287" t="str">
        <f>IF(N81=0,J_SUBDAY(D81,1,1),IF((N81-(NETWORKDAYS.INTL(J_GregorianDate(D81,1),J_GregorianDate(J_SUBDAY(J_ADDDAY(D81,N81,1),1,1),1),16,1)))+SUMIFS(Holieday[ok],Holieday[date],CONCATENATE("&gt;","=",D81),Holieday[date],CONCATENATE("&lt;","=",J_SUBDAY(J_ADDDAY(D81,N81,1),1,1)))-SUMIFS(Holieday[Friday],Holieday[date],CONCATENATE("&gt;","=",D81),Holieday[date],CONCATENATE("&lt;","=",J_SUBDAY(J_ADDDAY(D81,N81,1),1,1)))=0,J_SUBDAY(J_ADDDAY(D81,N81,1),1,1),IF((N81+1-(NETWORKDAYS.INTL(J_GregorianDate(D81,1),J_GregorianDate(J_SUBDAY(J_ADDDAY(D81,N81+1,1),1,1),1),16,1)))+SUMIFS(Holieday[ok],Holieday[date],CONCATENATE("&gt;","=",D81),Holieday[date],CONCATENATE("&lt;","=",J_SUBDAY(J_ADDDAY(D81,N81+1,1),1,1)))-SUMIFS(Holieday[Friday],Holieday[date],CONCATENATE("&gt;","=",D81),Holieday[date],CONCATENATE("&lt;","=",J_SUBDAY(J_ADDDAY(D81,N81+1,1),1,1)))=1,J_SUBDAY(J_ADDDAY(D81,N81+1,1),1,1),IF((N81+2-(NETWORKDAYS.INTL(J_GregorianDate(D81,1),J_GregorianDate(J_SUBDAY(J_ADDDAY(D81,N81+2,1),1,1),1),16,1)))+SUMIFS(Holieday[ok],Holieday[date],CONCATENATE("&gt;","=",D81),Holieday[date],CONCATENATE("&lt;","=",J_SUBDAY(J_ADDDAY(D81,N81+2,1),1,1)))-SUMIFS(Holieday[Friday],Holieday[date],CONCATENATE("&gt;","=",D81),Holieday[date],CONCATENATE("&lt;","=",J_SUBDAY(J_ADDDAY(D81,N81+2,1),1,1)))=2,J_SUBDAY(J_ADDDAY(D81,N81+2,1),1,1),IF((N81+3-(NETWORKDAYS.INTL(J_GregorianDate(D81,1),J_GregorianDate(J_SUBDAY(J_ADDDAY(D81,N81+3,1),1,1),1),16,1)))+SUMIFS(Holieday[ok],Holieday[date],CONCATENATE("&gt;","=",D81),Holieday[date],CONCATENATE("&lt;","=",J_SUBDAY(J_ADDDAY(D81,N81+3,1),1,1)))-SUMIFS(Holieday[Friday],Holieday[date],CONCATENATE("&gt;","=",D81),Holieday[date],CONCATENATE("&lt;","=",J_SUBDAY(J_ADDDAY(D81,N81+3,1),1,1)))=3,J_SUBDAY(J_ADDDAY(D81,N81+3,1),1,1),IF((N81+4-(NETWORKDAYS.INTL(J_GregorianDate(D81,1),J_GregorianDate(J_SUBDAY(J_ADDDAY(D81,N81+4,1),1,1),1),16,1)))+SUMIFS(Holieday[ok],Holieday[date],CONCATENATE("&gt;","=",D81),Holieday[date],CONCATENATE("&lt;","=",J_SUBDAY(J_ADDDAY(D81,N81+4,1),1,1)))-SUMIFS(Holieday[Friday],Holieday[date],CONCATENATE("&gt;","=",D81),Holieday[date],CONCATENATE("&lt;","=",J_SUBDAY(J_ADDDAY(D81,N81+4,1),1,1)))=4,J_SUBDAY(J_ADDDAY(D81,N81+4,1),1,1),IF((N81+5-(NETWORKDAYS.INTL(J_GregorianDate(D81,1),J_GregorianDate(J_SUBDAY(J_ADDDAY(D81,N81+5,1),1,1),1),16,1)))+SUMIFS(Holieday[ok],Holieday[date],CONCATENATE("&gt;","=",D81),Holieday[date],CONCATENATE("&lt;","=",J_SUBDAY(J_ADDDAY(D81,N81+5,1),1,1)))-SUMIFS(Holieday[Friday],Holieday[date],CONCATENATE("&gt;","=",D81),Holieday[date],CONCATENATE("&lt;","=",J_SUBDAY(J_ADDDAY(D81,N81+5,1),1,1)))=5,J_SUBDAY(J_ADDDAY(D81,N81+5,1),1,1),J_SUBDAY(J_ADDDAY(D81,N81+6,1),1,1))))))))</f>
        <v>1398/09/26</v>
      </c>
      <c r="G81" s="2">
        <f t="shared" si="25"/>
        <v>13980926</v>
      </c>
      <c r="H81" s="266">
        <v>1</v>
      </c>
      <c r="I81" s="267">
        <v>3.29</v>
      </c>
      <c r="J81" s="281">
        <f>j_WEEKDAY(D81,2)</f>
        <v>1</v>
      </c>
      <c r="K81" s="21">
        <f t="shared" si="26"/>
        <v>0</v>
      </c>
      <c r="L81" s="282">
        <f t="shared" si="27"/>
        <v>3</v>
      </c>
      <c r="M81" s="269">
        <v>0</v>
      </c>
      <c r="N81" s="270">
        <v>3</v>
      </c>
      <c r="O81" s="10">
        <f t="shared" si="28"/>
        <v>0</v>
      </c>
      <c r="P81" s="10">
        <f>VALUE(J_normdate(J_ADDDAY($D81,$O81,1)))</f>
        <v>13980924</v>
      </c>
      <c r="Q81" s="9">
        <f t="shared" si="29"/>
        <v>3</v>
      </c>
      <c r="R81" s="283"/>
      <c r="S81" s="283"/>
      <c r="T81" s="283"/>
      <c r="U81" s="283"/>
      <c r="V81" s="283"/>
      <c r="W81" s="283"/>
      <c r="X81" s="283"/>
      <c r="Y81" s="283"/>
      <c r="Z81" s="283"/>
      <c r="AA81" s="283"/>
      <c r="AB81" s="283"/>
      <c r="AC81" s="283"/>
      <c r="AD81" s="283"/>
      <c r="AE81" s="283"/>
      <c r="AF81" s="283"/>
      <c r="AG81" s="283"/>
      <c r="AH81" s="283"/>
      <c r="AI81" s="283"/>
      <c r="AJ81" s="283"/>
      <c r="AK81" s="283"/>
      <c r="AL81" s="283"/>
      <c r="AM81" s="283"/>
      <c r="AN81" s="283"/>
      <c r="AO81" s="283"/>
      <c r="AP81" s="283"/>
      <c r="AQ81" s="283"/>
      <c r="AR81" s="283"/>
      <c r="AS81" s="283"/>
      <c r="AT81" s="283"/>
      <c r="AU81" s="283"/>
      <c r="AV81" s="283"/>
      <c r="AW81" s="283"/>
      <c r="AX81" s="283"/>
      <c r="AY81" s="283"/>
      <c r="AZ81" s="283"/>
      <c r="BA81" s="283"/>
      <c r="BB81" s="283"/>
      <c r="BC81" s="283"/>
      <c r="BD81" s="283"/>
      <c r="BE81" s="283"/>
      <c r="BF81" s="283"/>
      <c r="BG81" s="283"/>
      <c r="BH81" s="283"/>
      <c r="BI81" s="283"/>
      <c r="BJ81" s="283"/>
      <c r="BK81" s="283"/>
      <c r="BL81" s="283"/>
      <c r="BM81" s="283"/>
      <c r="BN81" s="283"/>
      <c r="BO81" s="283"/>
      <c r="BP81" s="283"/>
      <c r="BQ81" s="283"/>
      <c r="BR81" s="283"/>
      <c r="BS81" s="283"/>
      <c r="BT81" s="283"/>
      <c r="BU81" s="283"/>
      <c r="BV81" s="283"/>
      <c r="BW81" s="283"/>
      <c r="BX81" s="283"/>
      <c r="BY81" s="283"/>
      <c r="BZ81" s="283"/>
      <c r="CA81" s="283"/>
      <c r="CB81" s="283"/>
      <c r="CC81" s="283"/>
      <c r="CD81" s="283"/>
      <c r="CE81" s="283"/>
      <c r="CF81" s="283"/>
      <c r="CG81" s="283"/>
      <c r="CH81" s="283"/>
      <c r="CI81" s="283"/>
      <c r="CJ81" s="283"/>
      <c r="CK81" s="283"/>
      <c r="CL81" s="283"/>
      <c r="CM81" s="283"/>
      <c r="CN81" s="283"/>
      <c r="CO81" s="283"/>
      <c r="CP81" s="283"/>
      <c r="CQ81" s="283"/>
      <c r="CR81" s="283"/>
      <c r="CS81" s="283"/>
      <c r="CT81" s="283"/>
      <c r="CU81" s="283"/>
      <c r="CV81" s="283"/>
      <c r="CW81" s="283"/>
      <c r="CX81" s="283"/>
      <c r="CY81" s="283"/>
      <c r="CZ81" s="283"/>
      <c r="DA81" s="283"/>
      <c r="DB81" s="283"/>
      <c r="DC81" s="283"/>
      <c r="DD81" s="283"/>
      <c r="DE81" s="283"/>
      <c r="DF81" s="283"/>
      <c r="DG81" s="283"/>
      <c r="DH81" s="283"/>
      <c r="DI81" s="283"/>
      <c r="DJ81" s="283"/>
      <c r="DK81" s="283"/>
      <c r="DL81" s="283"/>
      <c r="DM81" s="283"/>
      <c r="DN81" s="283"/>
      <c r="DO81" s="283"/>
      <c r="DP81" s="283"/>
      <c r="DQ81" s="283"/>
      <c r="DR81" s="283"/>
      <c r="DS81" s="283"/>
      <c r="DT81" s="283"/>
      <c r="DU81" s="283"/>
      <c r="DV81" s="283"/>
      <c r="DW81" s="283"/>
      <c r="DX81" s="283"/>
      <c r="DY81" s="283"/>
      <c r="DZ81" s="283"/>
      <c r="EA81" s="283"/>
      <c r="EB81" s="283"/>
      <c r="EC81" s="283"/>
      <c r="ED81" s="283"/>
      <c r="EE81" s="283"/>
      <c r="EF81" s="283"/>
      <c r="EG81" s="283"/>
      <c r="EH81" s="283"/>
      <c r="EI81" s="283"/>
      <c r="EJ81" s="283"/>
      <c r="EK81" s="283"/>
      <c r="EL81" s="283"/>
      <c r="EM81" s="283"/>
      <c r="EN81" s="283"/>
      <c r="EO81" s="283"/>
      <c r="EP81" s="283"/>
      <c r="EQ81" s="283"/>
      <c r="ER81" s="283"/>
      <c r="ES81" s="283"/>
      <c r="ET81" s="283"/>
      <c r="EU81" s="283"/>
      <c r="EV81" s="283"/>
      <c r="EW81" s="283"/>
      <c r="EX81" s="283"/>
      <c r="EY81" s="283"/>
      <c r="EZ81" s="283"/>
      <c r="FA81" s="283"/>
      <c r="FB81" s="283"/>
      <c r="FC81" s="283"/>
      <c r="FD81" s="283"/>
      <c r="FE81" s="283"/>
      <c r="FF81" s="283"/>
      <c r="FG81" s="283"/>
      <c r="FH81" s="283"/>
      <c r="FI81" s="283"/>
      <c r="FJ81" s="283"/>
      <c r="FK81" s="283"/>
      <c r="FL81" s="283"/>
      <c r="FM81" s="283"/>
      <c r="FN81" s="283"/>
      <c r="FO81" s="283"/>
      <c r="FP81" s="283"/>
      <c r="FQ81" s="283"/>
      <c r="FR81" s="283"/>
      <c r="FS81" s="283"/>
      <c r="FT81" s="283"/>
      <c r="FU81" s="283"/>
      <c r="FV81" s="283"/>
      <c r="FW81" s="283"/>
      <c r="FX81" s="283"/>
      <c r="FY81" s="283"/>
      <c r="FZ81" s="283"/>
      <c r="GA81" s="283"/>
      <c r="GB81" s="283"/>
      <c r="GC81" s="283"/>
      <c r="GD81" s="283"/>
      <c r="GE81" s="283"/>
      <c r="GF81" s="283"/>
      <c r="GG81" s="283"/>
      <c r="GH81" s="283"/>
      <c r="GI81" s="283"/>
      <c r="GJ81" s="283"/>
      <c r="GK81" s="283"/>
      <c r="GL81" s="283"/>
      <c r="GM81" s="283"/>
      <c r="GN81" s="283"/>
      <c r="GO81" s="283"/>
      <c r="GP81" s="283"/>
      <c r="GQ81" s="283"/>
      <c r="GR81" s="283"/>
      <c r="GS81" s="283"/>
      <c r="GT81" s="283"/>
      <c r="GU81" s="283"/>
      <c r="GV81" s="283"/>
      <c r="GW81" s="283"/>
      <c r="GX81" s="283"/>
      <c r="GY81" s="283"/>
      <c r="GZ81" s="283"/>
      <c r="HA81" s="283"/>
      <c r="HB81" s="283"/>
      <c r="HC81" s="283"/>
      <c r="HD81" s="283"/>
      <c r="HE81" s="283"/>
      <c r="HF81" s="283"/>
      <c r="HG81" s="283"/>
      <c r="HH81" s="283"/>
      <c r="HI81" s="283"/>
      <c r="HJ81" s="283"/>
      <c r="HK81" s="283"/>
      <c r="HL81" s="283"/>
      <c r="HM81" s="283"/>
      <c r="HN81" s="283"/>
      <c r="HO81" s="283"/>
      <c r="HP81" s="283"/>
      <c r="HQ81" s="283"/>
      <c r="HR81" s="283"/>
      <c r="HS81" s="283"/>
      <c r="HT81" s="283"/>
      <c r="HU81" s="283"/>
      <c r="HV81" s="283"/>
      <c r="HW81" s="283"/>
      <c r="HX81" s="283"/>
      <c r="HY81" s="283"/>
      <c r="HZ81" s="283"/>
      <c r="IA81" s="283"/>
      <c r="IB81" s="283"/>
      <c r="IC81" s="283"/>
      <c r="ID81" s="283"/>
      <c r="IE81" s="283"/>
      <c r="IF81" s="283"/>
      <c r="IG81" s="283"/>
      <c r="IH81" s="283"/>
      <c r="II81" s="283"/>
      <c r="IJ81" s="283"/>
      <c r="IK81" s="283"/>
      <c r="IL81" s="283"/>
      <c r="IM81" s="283"/>
      <c r="IN81" s="283"/>
      <c r="IO81" s="283"/>
      <c r="IP81" s="283"/>
      <c r="IQ81" s="283"/>
      <c r="IR81" s="283"/>
      <c r="IS81" s="283"/>
      <c r="IT81" s="283"/>
      <c r="IU81" s="283"/>
      <c r="IV81" s="283"/>
      <c r="IW81" s="283"/>
      <c r="IX81" s="283"/>
      <c r="JA81" s="289"/>
      <c r="JB81" s="289"/>
      <c r="JC81" s="289"/>
      <c r="JD81" s="290"/>
    </row>
    <row r="82" spans="1:264" s="291" customFormat="1" ht="16.5" customHeight="1">
      <c r="A82" s="292">
        <v>3.32</v>
      </c>
      <c r="B82" s="277" t="s">
        <v>171</v>
      </c>
      <c r="C82" s="263" t="s">
        <v>110</v>
      </c>
      <c r="D82" s="283" t="str">
        <f>IF(OR(j_WEEKDAY(J_ADDDAY(VLOOKUP(I82,A:F,6,FALSE),H82,1),0)=6,SUMIFS(Holieday[ok],Holieday[date],J_ADDDAY(VLOOKUP(I82,A:F,6,FALSE),H82,1)))=FALSE(),J_ADDDAY(VLOOKUP(I82,A:F,6,FALSE),H82,1),IF(OR(j_WEEKDAY(J_ADDDAY(VLOOKUP(I82,A:F,6,FALSE),H82+1,1),0)=6,SUMIFS(Holieday[ok],Holieday[date],J_ADDDAY(VLOOKUP(I82,A:F,6,FALSE),H82+1,1)))=FALSE(),J_ADDDAY(VLOOKUP(I82,A:F,6,FALSE),H82+1,1),IF(OR(j_WEEKDAY(J_ADDDAY(VLOOKUP(I82,A:F,6,FALSE),H82+2,1),0)=6,SUMIFS(Holieday[ok],Holieday[date],J_ADDDAY(VLOOKUP(I82,A:F,6,FALSE),H82+2,1)))=FALSE(),J_ADDDAY(VLOOKUP(I82,A:F,6,FALSE),H82+2,1),IF(OR(j_WEEKDAY(J_ADDDAY(VLOOKUP(I82,A:F,6,FALSE),H82+3,1),0)=6,SUMIFS(Holieday[ok],Holieday[date],J_ADDDAY(VLOOKUP(I82,A:F,6,FALSE),H82+3,1)))=FALSE(),J_ADDDAY(VLOOKUP(I82,A:F,6,FALSE),H82+3,1),IF(OR(j_WEEKDAY(J_ADDDAY(VLOOKUP(I82,A:F,6,FALSE),H82+4,1),0)=6,SUMIFS(Holieday[ok],Holieday[date],J_ADDDAY(VLOOKUP(I82,A:F,6,FALSE),H82+4,1)))=FALSE(),J_ADDDAY(VLOOKUP(I82,A:F,6,FALSE),H82+4,1),J_ADDDAY(VLOOKUP(I82,A:F,6,FALSE),H82+5,1))))))</f>
        <v>1398/09/30</v>
      </c>
      <c r="E82" s="1">
        <f t="shared" si="24"/>
        <v>13980930</v>
      </c>
      <c r="F82" s="287" t="str">
        <f>IF(N82=0,J_SUBDAY(D82,1,1),IF((N82-(NETWORKDAYS.INTL(J_GregorianDate(D82,1),J_GregorianDate(J_SUBDAY(J_ADDDAY(D82,N82,1),1,1),1),16,1)))+SUMIFS(Holieday[ok],Holieday[date],CONCATENATE("&gt;","=",D82),Holieday[date],CONCATENATE("&lt;","=",J_SUBDAY(J_ADDDAY(D82,N82,1),1,1)))-SUMIFS(Holieday[Friday],Holieday[date],CONCATENATE("&gt;","=",D82),Holieday[date],CONCATENATE("&lt;","=",J_SUBDAY(J_ADDDAY(D82,N82,1),1,1)))=0,J_SUBDAY(J_ADDDAY(D82,N82,1),1,1),IF((N82+1-(NETWORKDAYS.INTL(J_GregorianDate(D82,1),J_GregorianDate(J_SUBDAY(J_ADDDAY(D82,N82+1,1),1,1),1),16,1)))+SUMIFS(Holieday[ok],Holieday[date],CONCATENATE("&gt;","=",D82),Holieday[date],CONCATENATE("&lt;","=",J_SUBDAY(J_ADDDAY(D82,N82+1,1),1,1)))-SUMIFS(Holieday[Friday],Holieday[date],CONCATENATE("&gt;","=",D82),Holieday[date],CONCATENATE("&lt;","=",J_SUBDAY(J_ADDDAY(D82,N82+1,1),1,1)))=1,J_SUBDAY(J_ADDDAY(D82,N82+1,1),1,1),IF((N82+2-(NETWORKDAYS.INTL(J_GregorianDate(D82,1),J_GregorianDate(J_SUBDAY(J_ADDDAY(D82,N82+2,1),1,1),1),16,1)))+SUMIFS(Holieday[ok],Holieday[date],CONCATENATE("&gt;","=",D82),Holieday[date],CONCATENATE("&lt;","=",J_SUBDAY(J_ADDDAY(D82,N82+2,1),1,1)))-SUMIFS(Holieday[Friday],Holieday[date],CONCATENATE("&gt;","=",D82),Holieday[date],CONCATENATE("&lt;","=",J_SUBDAY(J_ADDDAY(D82,N82+2,1),1,1)))=2,J_SUBDAY(J_ADDDAY(D82,N82+2,1),1,1),IF((N82+3-(NETWORKDAYS.INTL(J_GregorianDate(D82,1),J_GregorianDate(J_SUBDAY(J_ADDDAY(D82,N82+3,1),1,1),1),16,1)))+SUMIFS(Holieday[ok],Holieday[date],CONCATENATE("&gt;","=",D82),Holieday[date],CONCATENATE("&lt;","=",J_SUBDAY(J_ADDDAY(D82,N82+3,1),1,1)))-SUMIFS(Holieday[Friday],Holieday[date],CONCATENATE("&gt;","=",D82),Holieday[date],CONCATENATE("&lt;","=",J_SUBDAY(J_ADDDAY(D82,N82+3,1),1,1)))=3,J_SUBDAY(J_ADDDAY(D82,N82+3,1),1,1),IF((N82+4-(NETWORKDAYS.INTL(J_GregorianDate(D82,1),J_GregorianDate(J_SUBDAY(J_ADDDAY(D82,N82+4,1),1,1),1),16,1)))+SUMIFS(Holieday[ok],Holieday[date],CONCATENATE("&gt;","=",D82),Holieday[date],CONCATENATE("&lt;","=",J_SUBDAY(J_ADDDAY(D82,N82+4,1),1,1)))-SUMIFS(Holieday[Friday],Holieday[date],CONCATENATE("&gt;","=",D82),Holieday[date],CONCATENATE("&lt;","=",J_SUBDAY(J_ADDDAY(D82,N82+4,1),1,1)))=4,J_SUBDAY(J_ADDDAY(D82,N82+4,1),1,1),IF((N82+5-(NETWORKDAYS.INTL(J_GregorianDate(D82,1),J_GregorianDate(J_SUBDAY(J_ADDDAY(D82,N82+5,1),1,1),1),16,1)))+SUMIFS(Holieday[ok],Holieday[date],CONCATENATE("&gt;","=",D82),Holieday[date],CONCATENATE("&lt;","=",J_SUBDAY(J_ADDDAY(D82,N82+5,1),1,1)))-SUMIFS(Holieday[Friday],Holieday[date],CONCATENATE("&gt;","=",D82),Holieday[date],CONCATENATE("&lt;","=",J_SUBDAY(J_ADDDAY(D82,N82+5,1),1,1)))=5,J_SUBDAY(J_ADDDAY(D82,N82+5,1),1,1),J_SUBDAY(J_ADDDAY(D82,N82+6,1),1,1))))))))</f>
        <v>1398/10/02</v>
      </c>
      <c r="G82" s="2">
        <f t="shared" si="25"/>
        <v>13981002</v>
      </c>
      <c r="H82" s="266">
        <v>3</v>
      </c>
      <c r="I82" s="267">
        <v>3.31</v>
      </c>
      <c r="J82" s="281">
        <f>j_WEEKDAY(D82,2)</f>
        <v>0</v>
      </c>
      <c r="K82" s="21">
        <f t="shared" si="26"/>
        <v>0</v>
      </c>
      <c r="L82" s="282">
        <f t="shared" si="27"/>
        <v>3</v>
      </c>
      <c r="M82" s="269">
        <v>0</v>
      </c>
      <c r="N82" s="270">
        <v>3</v>
      </c>
      <c r="O82" s="10">
        <f t="shared" si="28"/>
        <v>0</v>
      </c>
      <c r="P82" s="10">
        <f>VALUE(J_normdate(J_ADDDAY($D82,$O82,1)))</f>
        <v>13980930</v>
      </c>
      <c r="Q82" s="9">
        <f t="shared" si="29"/>
        <v>3</v>
      </c>
      <c r="R82" s="283"/>
      <c r="S82" s="283"/>
      <c r="T82" s="283"/>
      <c r="U82" s="283"/>
      <c r="V82" s="283"/>
      <c r="W82" s="283"/>
      <c r="X82" s="283"/>
      <c r="Y82" s="283"/>
      <c r="Z82" s="283"/>
      <c r="AA82" s="283"/>
      <c r="AB82" s="283"/>
      <c r="AC82" s="283"/>
      <c r="AD82" s="283"/>
      <c r="AE82" s="283"/>
      <c r="AF82" s="283"/>
      <c r="AG82" s="283"/>
      <c r="AH82" s="283"/>
      <c r="AI82" s="283"/>
      <c r="AJ82" s="283"/>
      <c r="AK82" s="283"/>
      <c r="AL82" s="283"/>
      <c r="AM82" s="283"/>
      <c r="AN82" s="283"/>
      <c r="AO82" s="283"/>
      <c r="AP82" s="283"/>
      <c r="AQ82" s="283"/>
      <c r="AR82" s="283"/>
      <c r="AS82" s="283"/>
      <c r="AT82" s="283"/>
      <c r="AU82" s="283"/>
      <c r="AV82" s="283"/>
      <c r="AW82" s="283"/>
      <c r="AX82" s="283"/>
      <c r="AY82" s="283"/>
      <c r="AZ82" s="283"/>
      <c r="BA82" s="283"/>
      <c r="BB82" s="283"/>
      <c r="BC82" s="283"/>
      <c r="BD82" s="283"/>
      <c r="BE82" s="283"/>
      <c r="BF82" s="283"/>
      <c r="BG82" s="283"/>
      <c r="BH82" s="283"/>
      <c r="BI82" s="283"/>
      <c r="BJ82" s="283"/>
      <c r="BK82" s="283"/>
      <c r="BL82" s="283"/>
      <c r="BM82" s="283"/>
      <c r="BN82" s="283"/>
      <c r="BO82" s="283"/>
      <c r="BP82" s="283"/>
      <c r="BQ82" s="283"/>
      <c r="BR82" s="283"/>
      <c r="BS82" s="283"/>
      <c r="BT82" s="283"/>
      <c r="BU82" s="283"/>
      <c r="BV82" s="283"/>
      <c r="BW82" s="283"/>
      <c r="BX82" s="283"/>
      <c r="BY82" s="283"/>
      <c r="BZ82" s="283"/>
      <c r="CA82" s="283"/>
      <c r="CB82" s="283"/>
      <c r="CC82" s="283"/>
      <c r="CD82" s="283"/>
      <c r="CE82" s="283"/>
      <c r="CF82" s="283"/>
      <c r="CG82" s="283"/>
      <c r="CH82" s="283"/>
      <c r="CI82" s="283"/>
      <c r="CJ82" s="283"/>
      <c r="CK82" s="283"/>
      <c r="CL82" s="283"/>
      <c r="CM82" s="283"/>
      <c r="CN82" s="283"/>
      <c r="CO82" s="283"/>
      <c r="CP82" s="283"/>
      <c r="CQ82" s="283"/>
      <c r="CR82" s="283"/>
      <c r="CS82" s="283"/>
      <c r="CT82" s="283"/>
      <c r="CU82" s="283"/>
      <c r="CV82" s="283"/>
      <c r="CW82" s="283"/>
      <c r="CX82" s="283"/>
      <c r="CY82" s="283"/>
      <c r="CZ82" s="283"/>
      <c r="DA82" s="283"/>
      <c r="DB82" s="283"/>
      <c r="DC82" s="283"/>
      <c r="DD82" s="283"/>
      <c r="DE82" s="283"/>
      <c r="DF82" s="283"/>
      <c r="DG82" s="283"/>
      <c r="DH82" s="283"/>
      <c r="DI82" s="283"/>
      <c r="DJ82" s="283"/>
      <c r="DK82" s="283"/>
      <c r="DL82" s="283"/>
      <c r="DM82" s="283"/>
      <c r="DN82" s="283"/>
      <c r="DO82" s="283"/>
      <c r="DP82" s="283"/>
      <c r="DQ82" s="283"/>
      <c r="DR82" s="283"/>
      <c r="DS82" s="283"/>
      <c r="DT82" s="283"/>
      <c r="DU82" s="283"/>
      <c r="DV82" s="283"/>
      <c r="DW82" s="283"/>
      <c r="DX82" s="283"/>
      <c r="DY82" s="283"/>
      <c r="DZ82" s="283"/>
      <c r="EA82" s="283"/>
      <c r="EB82" s="283"/>
      <c r="EC82" s="283"/>
      <c r="ED82" s="283"/>
      <c r="EE82" s="283"/>
      <c r="EF82" s="283"/>
      <c r="EG82" s="283"/>
      <c r="EH82" s="283"/>
      <c r="EI82" s="283"/>
      <c r="EJ82" s="283"/>
      <c r="EK82" s="283"/>
      <c r="EL82" s="283"/>
      <c r="EM82" s="283"/>
      <c r="EN82" s="283"/>
      <c r="EO82" s="283"/>
      <c r="EP82" s="283"/>
      <c r="EQ82" s="283"/>
      <c r="ER82" s="283"/>
      <c r="ES82" s="283"/>
      <c r="ET82" s="283"/>
      <c r="EU82" s="283"/>
      <c r="EV82" s="283"/>
      <c r="EW82" s="283"/>
      <c r="EX82" s="283"/>
      <c r="EY82" s="283"/>
      <c r="EZ82" s="283"/>
      <c r="FA82" s="283"/>
      <c r="FB82" s="283"/>
      <c r="FC82" s="283"/>
      <c r="FD82" s="283"/>
      <c r="FE82" s="283"/>
      <c r="FF82" s="283"/>
      <c r="FG82" s="283"/>
      <c r="FH82" s="283"/>
      <c r="FI82" s="283"/>
      <c r="FJ82" s="283"/>
      <c r="FK82" s="283"/>
      <c r="FL82" s="283"/>
      <c r="FM82" s="283"/>
      <c r="FN82" s="283"/>
      <c r="FO82" s="283"/>
      <c r="FP82" s="283"/>
      <c r="FQ82" s="283"/>
      <c r="FR82" s="283"/>
      <c r="FS82" s="283"/>
      <c r="FT82" s="283"/>
      <c r="FU82" s="283"/>
      <c r="FV82" s="283"/>
      <c r="FW82" s="283"/>
      <c r="FX82" s="283"/>
      <c r="FY82" s="283"/>
      <c r="FZ82" s="283"/>
      <c r="GA82" s="283"/>
      <c r="GB82" s="283"/>
      <c r="GC82" s="283"/>
      <c r="GD82" s="283"/>
      <c r="GE82" s="283"/>
      <c r="GF82" s="283"/>
      <c r="GG82" s="283"/>
      <c r="GH82" s="283"/>
      <c r="GI82" s="283"/>
      <c r="GJ82" s="283"/>
      <c r="GK82" s="283"/>
      <c r="GL82" s="283"/>
      <c r="GM82" s="283"/>
      <c r="GN82" s="283"/>
      <c r="GO82" s="283"/>
      <c r="GP82" s="283"/>
      <c r="GQ82" s="283"/>
      <c r="GR82" s="283"/>
      <c r="GS82" s="283"/>
      <c r="GT82" s="283"/>
      <c r="GU82" s="283"/>
      <c r="GV82" s="283"/>
      <c r="GW82" s="283"/>
      <c r="GX82" s="283"/>
      <c r="GY82" s="283"/>
      <c r="GZ82" s="283"/>
      <c r="HA82" s="283"/>
      <c r="HB82" s="283"/>
      <c r="HC82" s="283"/>
      <c r="HD82" s="283"/>
      <c r="HE82" s="283"/>
      <c r="HF82" s="283"/>
      <c r="HG82" s="283"/>
      <c r="HH82" s="283"/>
      <c r="HI82" s="283"/>
      <c r="HJ82" s="283"/>
      <c r="HK82" s="283"/>
      <c r="HL82" s="283"/>
      <c r="HM82" s="283"/>
      <c r="HN82" s="283"/>
      <c r="HO82" s="283"/>
      <c r="HP82" s="283"/>
      <c r="HQ82" s="283"/>
      <c r="HR82" s="283"/>
      <c r="HS82" s="283"/>
      <c r="HT82" s="283"/>
      <c r="HU82" s="283"/>
      <c r="HV82" s="283"/>
      <c r="HW82" s="283"/>
      <c r="HX82" s="283"/>
      <c r="HY82" s="283"/>
      <c r="HZ82" s="283"/>
      <c r="IA82" s="283"/>
      <c r="IB82" s="283"/>
      <c r="IC82" s="283"/>
      <c r="ID82" s="283"/>
      <c r="IE82" s="283"/>
      <c r="IF82" s="283"/>
      <c r="IG82" s="283"/>
      <c r="IH82" s="283"/>
      <c r="II82" s="283"/>
      <c r="IJ82" s="283"/>
      <c r="IK82" s="283"/>
      <c r="IL82" s="283"/>
      <c r="IM82" s="283"/>
      <c r="IN82" s="283"/>
      <c r="IO82" s="283"/>
      <c r="IP82" s="283"/>
      <c r="IQ82" s="283"/>
      <c r="IR82" s="283"/>
      <c r="IS82" s="283"/>
      <c r="IT82" s="283"/>
      <c r="IU82" s="283"/>
      <c r="IV82" s="283"/>
      <c r="IW82" s="283"/>
      <c r="IX82" s="283"/>
      <c r="JA82" s="289"/>
      <c r="JB82" s="289"/>
      <c r="JC82" s="289"/>
      <c r="JD82" s="290"/>
    </row>
    <row r="83" spans="1:264" s="11" customFormat="1" ht="11.25" hidden="1">
      <c r="A83" s="30">
        <v>3.28</v>
      </c>
      <c r="B83" s="106"/>
      <c r="C83" s="107"/>
      <c r="D83" s="7" t="str">
        <f>IF(OR(j_WEEKDAY(J_ADDDAY(VLOOKUP(I83,A:F,6,FALSE),H83,1),0)=6,SUMIFS(Holieday[ok],Holieday[date],J_ADDDAY(VLOOKUP(I83,A:F,6,FALSE),H83,1)))=FALSE(),J_ADDDAY(VLOOKUP(I83,A:F,6,FALSE),H83,1),IF(OR(j_WEEKDAY(J_ADDDAY(VLOOKUP(I83,A:F,6,FALSE),H83+1,1),0)=6,SUMIFS(Holieday[ok],Holieday[date],J_ADDDAY(VLOOKUP(I83,A:F,6,FALSE),H83+1,1)))=FALSE(),J_ADDDAY(VLOOKUP(I83,A:F,6,FALSE),H83+1,1),IF(OR(j_WEEKDAY(J_ADDDAY(VLOOKUP(I83,A:F,6,FALSE),H83+2,1),0)=6,SUMIFS(Holieday[ok],Holieday[date],J_ADDDAY(VLOOKUP(I83,A:F,6,FALSE),H83+2,1)))=FALSE(),J_ADDDAY(VLOOKUP(I83,A:F,6,FALSE),H83+2,1),IF(OR(j_WEEKDAY(J_ADDDAY(VLOOKUP(I83,A:F,6,FALSE),H83+3,1),0)=6,SUMIFS(Holieday[ok],Holieday[date],J_ADDDAY(VLOOKUP(I83,A:F,6,FALSE),H83+3,1)))=FALSE(),J_ADDDAY(VLOOKUP(I83,A:F,6,FALSE),H83+3,1),IF(OR(j_WEEKDAY(J_ADDDAY(VLOOKUP(I83,A:F,6,FALSE),H83+4,1),0)=6,SUMIFS(Holieday[ok],Holieday[date],J_ADDDAY(VLOOKUP(I83,A:F,6,FALSE),H83+4,1)))=FALSE(),J_ADDDAY(VLOOKUP(I83,A:F,6,FALSE),H83+4,1),J_ADDDAY(VLOOKUP(I83,A:F,6,FALSE),H83+5,1))))))</f>
        <v>1398/09/11</v>
      </c>
      <c r="E83" s="1">
        <f t="shared" si="24"/>
        <v>13980911</v>
      </c>
      <c r="F83" s="12" t="str">
        <f>IF(N83=0,J_SUBDAY(D83,1,1),IF((N83-(NETWORKDAYS.INTL(J_GregorianDate(D83,1),J_GregorianDate(J_SUBDAY(J_ADDDAY(D83,N83,1),1,1),1),16,1)))+SUMIFS(Holieday[ok],Holieday[date],CONCATENATE("&gt;","=",D83),Holieday[date],CONCATENATE("&lt;","=",J_SUBDAY(J_ADDDAY(D83,N83,1),1,1)))-SUMIFS(Holieday[Friday],Holieday[date],CONCATENATE("&gt;","=",D83),Holieday[date],CONCATENATE("&lt;","=",J_SUBDAY(J_ADDDAY(D83,N83,1),1,1)))=0,J_SUBDAY(J_ADDDAY(D83,N83,1),1,1),IF((N83+1-(NETWORKDAYS.INTL(J_GregorianDate(D83,1),J_GregorianDate(J_SUBDAY(J_ADDDAY(D83,N83+1,1),1,1),1),16,1)))+SUMIFS(Holieday[ok],Holieday[date],CONCATENATE("&gt;","=",D83),Holieday[date],CONCATENATE("&lt;","=",J_SUBDAY(J_ADDDAY(D83,N83+1,1),1,1)))-SUMIFS(Holieday[Friday],Holieday[date],CONCATENATE("&gt;","=",D83),Holieday[date],CONCATENATE("&lt;","=",J_SUBDAY(J_ADDDAY(D83,N83+1,1),1,1)))=1,J_SUBDAY(J_ADDDAY(D83,N83+1,1),1,1),IF((N83+2-(NETWORKDAYS.INTL(J_GregorianDate(D83,1),J_GregorianDate(J_SUBDAY(J_ADDDAY(D83,N83+2,1),1,1),1),16,1)))+SUMIFS(Holieday[ok],Holieday[date],CONCATENATE("&gt;","=",D83),Holieday[date],CONCATENATE("&lt;","=",J_SUBDAY(J_ADDDAY(D83,N83+2,1),1,1)))-SUMIFS(Holieday[Friday],Holieday[date],CONCATENATE("&gt;","=",D83),Holieday[date],CONCATENATE("&lt;","=",J_SUBDAY(J_ADDDAY(D83,N83+2,1),1,1)))=2,J_SUBDAY(J_ADDDAY(D83,N83+2,1),1,1),IF((N83+3-(NETWORKDAYS.INTL(J_GregorianDate(D83,1),J_GregorianDate(J_SUBDAY(J_ADDDAY(D83,N83+3,1),1,1),1),16,1)))+SUMIFS(Holieday[ok],Holieday[date],CONCATENATE("&gt;","=",D83),Holieday[date],CONCATENATE("&lt;","=",J_SUBDAY(J_ADDDAY(D83,N83+3,1),1,1)))-SUMIFS(Holieday[Friday],Holieday[date],CONCATENATE("&gt;","=",D83),Holieday[date],CONCATENATE("&lt;","=",J_SUBDAY(J_ADDDAY(D83,N83+3,1),1,1)))=3,J_SUBDAY(J_ADDDAY(D83,N83+3,1),1,1),IF((N83+4-(NETWORKDAYS.INTL(J_GregorianDate(D83,1),J_GregorianDate(J_SUBDAY(J_ADDDAY(D83,N83+4,1),1,1),1),16,1)))+SUMIFS(Holieday[ok],Holieday[date],CONCATENATE("&gt;","=",D83),Holieday[date],CONCATENATE("&lt;","=",J_SUBDAY(J_ADDDAY(D83,N83+4,1),1,1)))-SUMIFS(Holieday[Friday],Holieday[date],CONCATENATE("&gt;","=",D83),Holieday[date],CONCATENATE("&lt;","=",J_SUBDAY(J_ADDDAY(D83,N83+4,1),1,1)))=4,J_SUBDAY(J_ADDDAY(D83,N83+4,1),1,1),IF((N83+5-(NETWORKDAYS.INTL(J_GregorianDate(D83,1),J_GregorianDate(J_SUBDAY(J_ADDDAY(D83,N83+5,1),1,1),1),16,1)))+SUMIFS(Holieday[ok],Holieday[date],CONCATENATE("&gt;","=",D83),Holieday[date],CONCATENATE("&lt;","=",J_SUBDAY(J_ADDDAY(D83,N83+5,1),1,1)))-SUMIFS(Holieday[Friday],Holieday[date],CONCATENATE("&gt;","=",D83),Holieday[date],CONCATENATE("&lt;","=",J_SUBDAY(J_ADDDAY(D83,N83+5,1),1,1)))=5,J_SUBDAY(J_ADDDAY(D83,N83+5,1),1,1),J_SUBDAY(J_ADDDAY(D83,N83+6,1),1,1))))))))</f>
        <v>1398/09/10</v>
      </c>
      <c r="G83" s="2">
        <f t="shared" si="25"/>
        <v>13980910</v>
      </c>
      <c r="H83" s="109">
        <v>1</v>
      </c>
      <c r="I83" s="110">
        <v>3.26</v>
      </c>
      <c r="J83" s="9">
        <f>j_WEEKDAY(D83,2)</f>
        <v>2</v>
      </c>
      <c r="K83" s="21">
        <f t="shared" si="26"/>
        <v>0</v>
      </c>
      <c r="L83" s="8">
        <f t="shared" si="27"/>
        <v>0</v>
      </c>
      <c r="M83" s="111">
        <v>0</v>
      </c>
      <c r="N83" s="108">
        <v>0</v>
      </c>
      <c r="O83" s="10">
        <f t="shared" si="28"/>
        <v>0</v>
      </c>
      <c r="P83" s="10">
        <f>VALUE(J_normdate(J_ADDDAY($D83,$O83,1)))</f>
        <v>13980911</v>
      </c>
      <c r="Q83" s="9">
        <f t="shared" si="29"/>
        <v>0</v>
      </c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  <c r="GM83" s="7"/>
      <c r="GN83" s="7"/>
      <c r="GO83" s="7"/>
      <c r="GP83" s="7"/>
      <c r="GQ83" s="7"/>
      <c r="GR83" s="7"/>
      <c r="GS83" s="7"/>
      <c r="GT83" s="7"/>
      <c r="GU83" s="7"/>
      <c r="GV83" s="7"/>
      <c r="GW83" s="7"/>
      <c r="GX83" s="7"/>
      <c r="GY83" s="7"/>
      <c r="GZ83" s="7"/>
      <c r="HA83" s="7"/>
      <c r="HB83" s="7"/>
      <c r="HC83" s="7"/>
      <c r="HD83" s="7"/>
      <c r="HE83" s="7"/>
      <c r="HF83" s="7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7"/>
      <c r="IM83" s="7"/>
      <c r="IN83" s="7"/>
      <c r="IO83" s="7"/>
      <c r="IP83" s="7"/>
      <c r="IQ83" s="7"/>
      <c r="IR83" s="7"/>
      <c r="IS83" s="7"/>
      <c r="IT83" s="7"/>
      <c r="IU83" s="7"/>
      <c r="IV83" s="7"/>
      <c r="IW83" s="7"/>
      <c r="IX83" s="7"/>
      <c r="JA83" s="113"/>
      <c r="JB83" s="113"/>
      <c r="JC83" s="113"/>
      <c r="JD83" s="66"/>
    </row>
    <row r="84" spans="1:264" s="11" customFormat="1" ht="11.25" hidden="1">
      <c r="A84" s="30">
        <v>3.29</v>
      </c>
      <c r="B84" s="106"/>
      <c r="C84" s="107"/>
      <c r="D84" s="7" t="str">
        <f>IF(OR(j_WEEKDAY(J_ADDDAY(VLOOKUP(I84,A:F,6,FALSE),H84,1),0)=6,SUMIFS(Holieday[ok],Holieday[date],J_ADDDAY(VLOOKUP(I84,A:F,6,FALSE),H84,1)))=FALSE(),J_ADDDAY(VLOOKUP(I84,A:F,6,FALSE),H84,1),IF(OR(j_WEEKDAY(J_ADDDAY(VLOOKUP(I84,A:F,6,FALSE),H84+1,1),0)=6,SUMIFS(Holieday[ok],Holieday[date],J_ADDDAY(VLOOKUP(I84,A:F,6,FALSE),H84+1,1)))=FALSE(),J_ADDDAY(VLOOKUP(I84,A:F,6,FALSE),H84+1,1),IF(OR(j_WEEKDAY(J_ADDDAY(VLOOKUP(I84,A:F,6,FALSE),H84+2,1),0)=6,SUMIFS(Holieday[ok],Holieday[date],J_ADDDAY(VLOOKUP(I84,A:F,6,FALSE),H84+2,1)))=FALSE(),J_ADDDAY(VLOOKUP(I84,A:F,6,FALSE),H84+2,1),IF(OR(j_WEEKDAY(J_ADDDAY(VLOOKUP(I84,A:F,6,FALSE),H84+3,1),0)=6,SUMIFS(Holieday[ok],Holieday[date],J_ADDDAY(VLOOKUP(I84,A:F,6,FALSE),H84+3,1)))=FALSE(),J_ADDDAY(VLOOKUP(I84,A:F,6,FALSE),H84+3,1),IF(OR(j_WEEKDAY(J_ADDDAY(VLOOKUP(I84,A:F,6,FALSE),H84+4,1),0)=6,SUMIFS(Holieday[ok],Holieday[date],J_ADDDAY(VLOOKUP(I84,A:F,6,FALSE),H84+4,1)))=FALSE(),J_ADDDAY(VLOOKUP(I84,A:F,6,FALSE),H84+4,1),J_ADDDAY(VLOOKUP(I84,A:F,6,FALSE),H84+5,1))))))</f>
        <v>1398/09/19</v>
      </c>
      <c r="E84" s="1">
        <f t="shared" si="24"/>
        <v>13980919</v>
      </c>
      <c r="F84" s="12" t="str">
        <f>IF(N84=0,J_SUBDAY(D84,1,1),IF((N84-(NETWORKDAYS.INTL(J_GregorianDate(D84,1),J_GregorianDate(J_SUBDAY(J_ADDDAY(D84,N84,1),1,1),1),16,1)))+SUMIFS(Holieday[ok],Holieday[date],CONCATENATE("&gt;","=",D84),Holieday[date],CONCATENATE("&lt;","=",J_SUBDAY(J_ADDDAY(D84,N84,1),1,1)))-SUMIFS(Holieday[Friday],Holieday[date],CONCATENATE("&gt;","=",D84),Holieday[date],CONCATENATE("&lt;","=",J_SUBDAY(J_ADDDAY(D84,N84,1),1,1)))=0,J_SUBDAY(J_ADDDAY(D84,N84,1),1,1),IF((N84+1-(NETWORKDAYS.INTL(J_GregorianDate(D84,1),J_GregorianDate(J_SUBDAY(J_ADDDAY(D84,N84+1,1),1,1),1),16,1)))+SUMIFS(Holieday[ok],Holieday[date],CONCATENATE("&gt;","=",D84),Holieday[date],CONCATENATE("&lt;","=",J_SUBDAY(J_ADDDAY(D84,N84+1,1),1,1)))-SUMIFS(Holieday[Friday],Holieday[date],CONCATENATE("&gt;","=",D84),Holieday[date],CONCATENATE("&lt;","=",J_SUBDAY(J_ADDDAY(D84,N84+1,1),1,1)))=1,J_SUBDAY(J_ADDDAY(D84,N84+1,1),1,1),IF((N84+2-(NETWORKDAYS.INTL(J_GregorianDate(D84,1),J_GregorianDate(J_SUBDAY(J_ADDDAY(D84,N84+2,1),1,1),1),16,1)))+SUMIFS(Holieday[ok],Holieday[date],CONCATENATE("&gt;","=",D84),Holieday[date],CONCATENATE("&lt;","=",J_SUBDAY(J_ADDDAY(D84,N84+2,1),1,1)))-SUMIFS(Holieday[Friday],Holieday[date],CONCATENATE("&gt;","=",D84),Holieday[date],CONCATENATE("&lt;","=",J_SUBDAY(J_ADDDAY(D84,N84+2,1),1,1)))=2,J_SUBDAY(J_ADDDAY(D84,N84+2,1),1,1),IF((N84+3-(NETWORKDAYS.INTL(J_GregorianDate(D84,1),J_GregorianDate(J_SUBDAY(J_ADDDAY(D84,N84+3,1),1,1),1),16,1)))+SUMIFS(Holieday[ok],Holieday[date],CONCATENATE("&gt;","=",D84),Holieday[date],CONCATENATE("&lt;","=",J_SUBDAY(J_ADDDAY(D84,N84+3,1),1,1)))-SUMIFS(Holieday[Friday],Holieday[date],CONCATENATE("&gt;","=",D84),Holieday[date],CONCATENATE("&lt;","=",J_SUBDAY(J_ADDDAY(D84,N84+3,1),1,1)))=3,J_SUBDAY(J_ADDDAY(D84,N84+3,1),1,1),IF((N84+4-(NETWORKDAYS.INTL(J_GregorianDate(D84,1),J_GregorianDate(J_SUBDAY(J_ADDDAY(D84,N84+4,1),1,1),1),16,1)))+SUMIFS(Holieday[ok],Holieday[date],CONCATENATE("&gt;","=",D84),Holieday[date],CONCATENATE("&lt;","=",J_SUBDAY(J_ADDDAY(D84,N84+4,1),1,1)))-SUMIFS(Holieday[Friday],Holieday[date],CONCATENATE("&gt;","=",D84),Holieday[date],CONCATENATE("&lt;","=",J_SUBDAY(J_ADDDAY(D84,N84+4,1),1,1)))=4,J_SUBDAY(J_ADDDAY(D84,N84+4,1),1,1),IF((N84+5-(NETWORKDAYS.INTL(J_GregorianDate(D84,1),J_GregorianDate(J_SUBDAY(J_ADDDAY(D84,N84+5,1),1,1),1),16,1)))+SUMIFS(Holieday[ok],Holieday[date],CONCATENATE("&gt;","=",D84),Holieday[date],CONCATENATE("&lt;","=",J_SUBDAY(J_ADDDAY(D84,N84+5,1),1,1)))-SUMIFS(Holieday[Friday],Holieday[date],CONCATENATE("&gt;","=",D84),Holieday[date],CONCATENATE("&lt;","=",J_SUBDAY(J_ADDDAY(D84,N84+5,1),1,1)))=5,J_SUBDAY(J_ADDDAY(D84,N84+5,1),1,1),J_SUBDAY(J_ADDDAY(D84,N84+6,1),1,1))))))))</f>
        <v>1398/09/18</v>
      </c>
      <c r="G84" s="2">
        <f t="shared" si="25"/>
        <v>13980918</v>
      </c>
      <c r="H84" s="109">
        <v>1</v>
      </c>
      <c r="I84" s="110">
        <v>3.28</v>
      </c>
      <c r="J84" s="9">
        <f>j_WEEKDAY(D84,2)</f>
        <v>3</v>
      </c>
      <c r="K84" s="21">
        <f t="shared" si="26"/>
        <v>0</v>
      </c>
      <c r="L84" s="8">
        <f t="shared" si="27"/>
        <v>0</v>
      </c>
      <c r="M84" s="111">
        <v>0</v>
      </c>
      <c r="N84" s="108">
        <v>0</v>
      </c>
      <c r="O84" s="10">
        <f t="shared" si="28"/>
        <v>0</v>
      </c>
      <c r="P84" s="10">
        <f>VALUE(J_normdate(J_ADDDAY($D84,$O84,1)))</f>
        <v>13980919</v>
      </c>
      <c r="Q84" s="9">
        <f t="shared" si="29"/>
        <v>0</v>
      </c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7"/>
      <c r="GH84" s="7"/>
      <c r="GI84" s="7"/>
      <c r="GJ84" s="7"/>
      <c r="GK84" s="7"/>
      <c r="GL84" s="7"/>
      <c r="GM84" s="7"/>
      <c r="GN84" s="7"/>
      <c r="GO84" s="7"/>
      <c r="GP84" s="7"/>
      <c r="GQ84" s="7"/>
      <c r="GR84" s="7"/>
      <c r="GS84" s="7"/>
      <c r="GT84" s="7"/>
      <c r="GU84" s="7"/>
      <c r="GV84" s="7"/>
      <c r="GW84" s="7"/>
      <c r="GX84" s="7"/>
      <c r="GY84" s="7"/>
      <c r="GZ84" s="7"/>
      <c r="HA84" s="7"/>
      <c r="HB84" s="7"/>
      <c r="HC84" s="7"/>
      <c r="HD84" s="7"/>
      <c r="HE84" s="7"/>
      <c r="HF84" s="7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  <c r="IG84" s="7"/>
      <c r="IH84" s="7"/>
      <c r="II84" s="7"/>
      <c r="IJ84" s="7"/>
      <c r="IK84" s="7"/>
      <c r="IL84" s="7"/>
      <c r="IM84" s="7"/>
      <c r="IN84" s="7"/>
      <c r="IO84" s="7"/>
      <c r="IP84" s="7"/>
      <c r="IQ84" s="7"/>
      <c r="IR84" s="7"/>
      <c r="IS84" s="7"/>
      <c r="IT84" s="7"/>
      <c r="IU84" s="7"/>
      <c r="IV84" s="7"/>
      <c r="IW84" s="7"/>
      <c r="IX84" s="7"/>
      <c r="JA84" s="113"/>
      <c r="JB84" s="113"/>
      <c r="JC84" s="113"/>
      <c r="JD84" s="66"/>
    </row>
    <row r="85" spans="1:264" s="11" customFormat="1" ht="11.25" hidden="1">
      <c r="A85" s="30">
        <v>3.31</v>
      </c>
      <c r="B85" s="106"/>
      <c r="C85" s="107"/>
      <c r="D85" s="7" t="str">
        <f>IF(OR(j_WEEKDAY(J_ADDDAY(VLOOKUP(I85,A:F,6,FALSE),H85,1),0)=6,SUMIFS(Holieday[ok],Holieday[date],J_ADDDAY(VLOOKUP(I85,A:F,6,FALSE),H85,1)))=FALSE(),J_ADDDAY(VLOOKUP(I85,A:F,6,FALSE),H85,1),IF(OR(j_WEEKDAY(J_ADDDAY(VLOOKUP(I85,A:F,6,FALSE),H85+1,1),0)=6,SUMIFS(Holieday[ok],Holieday[date],J_ADDDAY(VLOOKUP(I85,A:F,6,FALSE),H85+1,1)))=FALSE(),J_ADDDAY(VLOOKUP(I85,A:F,6,FALSE),H85+1,1),IF(OR(j_WEEKDAY(J_ADDDAY(VLOOKUP(I85,A:F,6,FALSE),H85+2,1),0)=6,SUMIFS(Holieday[ok],Holieday[date],J_ADDDAY(VLOOKUP(I85,A:F,6,FALSE),H85+2,1)))=FALSE(),J_ADDDAY(VLOOKUP(I85,A:F,6,FALSE),H85+2,1),IF(OR(j_WEEKDAY(J_ADDDAY(VLOOKUP(I85,A:F,6,FALSE),H85+3,1),0)=6,SUMIFS(Holieday[ok],Holieday[date],J_ADDDAY(VLOOKUP(I85,A:F,6,FALSE),H85+3,1)))=FALSE(),J_ADDDAY(VLOOKUP(I85,A:F,6,FALSE),H85+3,1),IF(OR(j_WEEKDAY(J_ADDDAY(VLOOKUP(I85,A:F,6,FALSE),H85+4,1),0)=6,SUMIFS(Holieday[ok],Holieday[date],J_ADDDAY(VLOOKUP(I85,A:F,6,FALSE),H85+4,1)))=FALSE(),J_ADDDAY(VLOOKUP(I85,A:F,6,FALSE),H85+4,1),J_ADDDAY(VLOOKUP(I85,A:F,6,FALSE),H85+5,1))))))</f>
        <v>1398/09/18</v>
      </c>
      <c r="E85" s="1">
        <f t="shared" si="24"/>
        <v>13980918</v>
      </c>
      <c r="F85" s="12" t="str">
        <f>IF(N85=0,J_SUBDAY(D85,1,1),IF((N85-(NETWORKDAYS.INTL(J_GregorianDate(D85,1),J_GregorianDate(J_SUBDAY(J_ADDDAY(D85,N85,1),1,1),1),16,1)))+SUMIFS(Holieday[ok],Holieday[date],CONCATENATE("&gt;","=",D85),Holieday[date],CONCATENATE("&lt;","=",J_SUBDAY(J_ADDDAY(D85,N85,1),1,1)))-SUMIFS(Holieday[Friday],Holieday[date],CONCATENATE("&gt;","=",D85),Holieday[date],CONCATENATE("&lt;","=",J_SUBDAY(J_ADDDAY(D85,N85,1),1,1)))=0,J_SUBDAY(J_ADDDAY(D85,N85,1),1,1),IF((N85+1-(NETWORKDAYS.INTL(J_GregorianDate(D85,1),J_GregorianDate(J_SUBDAY(J_ADDDAY(D85,N85+1,1),1,1),1),16,1)))+SUMIFS(Holieday[ok],Holieday[date],CONCATENATE("&gt;","=",D85),Holieday[date],CONCATENATE("&lt;","=",J_SUBDAY(J_ADDDAY(D85,N85+1,1),1,1)))-SUMIFS(Holieday[Friday],Holieday[date],CONCATENATE("&gt;","=",D85),Holieday[date],CONCATENATE("&lt;","=",J_SUBDAY(J_ADDDAY(D85,N85+1,1),1,1)))=1,J_SUBDAY(J_ADDDAY(D85,N85+1,1),1,1),IF((N85+2-(NETWORKDAYS.INTL(J_GregorianDate(D85,1),J_GregorianDate(J_SUBDAY(J_ADDDAY(D85,N85+2,1),1,1),1),16,1)))+SUMIFS(Holieday[ok],Holieday[date],CONCATENATE("&gt;","=",D85),Holieday[date],CONCATENATE("&lt;","=",J_SUBDAY(J_ADDDAY(D85,N85+2,1),1,1)))-SUMIFS(Holieday[Friday],Holieday[date],CONCATENATE("&gt;","=",D85),Holieday[date],CONCATENATE("&lt;","=",J_SUBDAY(J_ADDDAY(D85,N85+2,1),1,1)))=2,J_SUBDAY(J_ADDDAY(D85,N85+2,1),1,1),IF((N85+3-(NETWORKDAYS.INTL(J_GregorianDate(D85,1),J_GregorianDate(J_SUBDAY(J_ADDDAY(D85,N85+3,1),1,1),1),16,1)))+SUMIFS(Holieday[ok],Holieday[date],CONCATENATE("&gt;","=",D85),Holieday[date],CONCATENATE("&lt;","=",J_SUBDAY(J_ADDDAY(D85,N85+3,1),1,1)))-SUMIFS(Holieday[Friday],Holieday[date],CONCATENATE("&gt;","=",D85),Holieday[date],CONCATENATE("&lt;","=",J_SUBDAY(J_ADDDAY(D85,N85+3,1),1,1)))=3,J_SUBDAY(J_ADDDAY(D85,N85+3,1),1,1),IF((N85+4-(NETWORKDAYS.INTL(J_GregorianDate(D85,1),J_GregorianDate(J_SUBDAY(J_ADDDAY(D85,N85+4,1),1,1),1),16,1)))+SUMIFS(Holieday[ok],Holieday[date],CONCATENATE("&gt;","=",D85),Holieday[date],CONCATENATE("&lt;","=",J_SUBDAY(J_ADDDAY(D85,N85+4,1),1,1)))-SUMIFS(Holieday[Friday],Holieday[date],CONCATENATE("&gt;","=",D85),Holieday[date],CONCATENATE("&lt;","=",J_SUBDAY(J_ADDDAY(D85,N85+4,1),1,1)))=4,J_SUBDAY(J_ADDDAY(D85,N85+4,1),1,1),IF((N85+5-(NETWORKDAYS.INTL(J_GregorianDate(D85,1),J_GregorianDate(J_SUBDAY(J_ADDDAY(D85,N85+5,1),1,1),1),16,1)))+SUMIFS(Holieday[ok],Holieday[date],CONCATENATE("&gt;","=",D85),Holieday[date],CONCATENATE("&lt;","=",J_SUBDAY(J_ADDDAY(D85,N85+5,1),1,1)))-SUMIFS(Holieday[Friday],Holieday[date],CONCATENATE("&gt;","=",D85),Holieday[date],CONCATENATE("&lt;","=",J_SUBDAY(J_ADDDAY(D85,N85+5,1),1,1)))=5,J_SUBDAY(J_ADDDAY(D85,N85+5,1),1,1),J_SUBDAY(J_ADDDAY(D85,N85+6,1),1,1))))))))</f>
        <v>1398/09/17</v>
      </c>
      <c r="G85" s="2">
        <f t="shared" si="25"/>
        <v>13980917</v>
      </c>
      <c r="H85" s="109"/>
      <c r="I85" s="110">
        <v>3.28</v>
      </c>
      <c r="J85" s="9">
        <f>j_WEEKDAY(D85,2)</f>
        <v>2</v>
      </c>
      <c r="K85" s="21">
        <f t="shared" si="26"/>
        <v>0</v>
      </c>
      <c r="L85" s="8">
        <f t="shared" si="27"/>
        <v>0</v>
      </c>
      <c r="M85" s="111">
        <v>0</v>
      </c>
      <c r="N85" s="108">
        <v>0</v>
      </c>
      <c r="O85" s="10">
        <f t="shared" si="28"/>
        <v>0</v>
      </c>
      <c r="P85" s="10">
        <f>VALUE(J_normdate(J_ADDDAY($D85,$O85,1)))</f>
        <v>13980918</v>
      </c>
      <c r="Q85" s="9">
        <f t="shared" si="29"/>
        <v>0</v>
      </c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/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7"/>
      <c r="HA85" s="7"/>
      <c r="HB85" s="7"/>
      <c r="HC85" s="7"/>
      <c r="HD85" s="7"/>
      <c r="HE85" s="7"/>
      <c r="HF85" s="7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  <c r="IG85" s="7"/>
      <c r="IH85" s="7"/>
      <c r="II85" s="7"/>
      <c r="IJ85" s="7"/>
      <c r="IK85" s="7"/>
      <c r="IL85" s="7"/>
      <c r="IM85" s="7"/>
      <c r="IN85" s="7"/>
      <c r="IO85" s="7"/>
      <c r="IP85" s="7"/>
      <c r="IQ85" s="7"/>
      <c r="IR85" s="7"/>
      <c r="IS85" s="7"/>
      <c r="IT85" s="7"/>
      <c r="IU85" s="7"/>
      <c r="IV85" s="7"/>
      <c r="IW85" s="7"/>
      <c r="IX85" s="7"/>
      <c r="JA85" s="113"/>
      <c r="JB85" s="113"/>
      <c r="JC85" s="113"/>
      <c r="JD85" s="66"/>
    </row>
    <row r="86" spans="1:264" s="11" customFormat="1" ht="16.5" hidden="1" customHeight="1">
      <c r="A86" s="30">
        <v>3.32</v>
      </c>
      <c r="B86" s="106"/>
      <c r="C86" s="107"/>
      <c r="D86" s="7" t="str">
        <f>IF(OR(j_WEEKDAY(J_ADDDAY(VLOOKUP(I86,A:F,6,FALSE),H86,1),0)=6,SUMIFS(Holieday[ok],Holieday[date],J_ADDDAY(VLOOKUP(I86,A:F,6,FALSE),H86,1)))=FALSE(),J_ADDDAY(VLOOKUP(I86,A:F,6,FALSE),H86,1),IF(OR(j_WEEKDAY(J_ADDDAY(VLOOKUP(I86,A:F,6,FALSE),H86+1,1),0)=6,SUMIFS(Holieday[ok],Holieday[date],J_ADDDAY(VLOOKUP(I86,A:F,6,FALSE),H86+1,1)))=FALSE(),J_ADDDAY(VLOOKUP(I86,A:F,6,FALSE),H86+1,1),IF(OR(j_WEEKDAY(J_ADDDAY(VLOOKUP(I86,A:F,6,FALSE),H86+2,1),0)=6,SUMIFS(Holieday[ok],Holieday[date],J_ADDDAY(VLOOKUP(I86,A:F,6,FALSE),H86+2,1)))=FALSE(),J_ADDDAY(VLOOKUP(I86,A:F,6,FALSE),H86+2,1),IF(OR(j_WEEKDAY(J_ADDDAY(VLOOKUP(I86,A:F,6,FALSE),H86+3,1),0)=6,SUMIFS(Holieday[ok],Holieday[date],J_ADDDAY(VLOOKUP(I86,A:F,6,FALSE),H86+3,1)))=FALSE(),J_ADDDAY(VLOOKUP(I86,A:F,6,FALSE),H86+3,1),IF(OR(j_WEEKDAY(J_ADDDAY(VLOOKUP(I86,A:F,6,FALSE),H86+4,1),0)=6,SUMIFS(Holieday[ok],Holieday[date],J_ADDDAY(VLOOKUP(I86,A:F,6,FALSE),H86+4,1)))=FALSE(),J_ADDDAY(VLOOKUP(I86,A:F,6,FALSE),H86+4,1),J_ADDDAY(VLOOKUP(I86,A:F,6,FALSE),H86+5,1))))))</f>
        <v>1398/09/26</v>
      </c>
      <c r="E86" s="1">
        <f t="shared" si="24"/>
        <v>13980926</v>
      </c>
      <c r="F86" s="12" t="str">
        <f>IF(N86=0,J_SUBDAY(D86,1,1),IF((N86-(NETWORKDAYS.INTL(J_GregorianDate(D86,1),J_GregorianDate(J_SUBDAY(J_ADDDAY(D86,N86,1),1,1),1),16,1)))+SUMIFS(Holieday[ok],Holieday[date],CONCATENATE("&gt;","=",D86),Holieday[date],CONCATENATE("&lt;","=",J_SUBDAY(J_ADDDAY(D86,N86,1),1,1)))-SUMIFS(Holieday[Friday],Holieday[date],CONCATENATE("&gt;","=",D86),Holieday[date],CONCATENATE("&lt;","=",J_SUBDAY(J_ADDDAY(D86,N86,1),1,1)))=0,J_SUBDAY(J_ADDDAY(D86,N86,1),1,1),IF((N86+1-(NETWORKDAYS.INTL(J_GregorianDate(D86,1),J_GregorianDate(J_SUBDAY(J_ADDDAY(D86,N86+1,1),1,1),1),16,1)))+SUMIFS(Holieday[ok],Holieday[date],CONCATENATE("&gt;","=",D86),Holieday[date],CONCATENATE("&lt;","=",J_SUBDAY(J_ADDDAY(D86,N86+1,1),1,1)))-SUMIFS(Holieday[Friday],Holieday[date],CONCATENATE("&gt;","=",D86),Holieday[date],CONCATENATE("&lt;","=",J_SUBDAY(J_ADDDAY(D86,N86+1,1),1,1)))=1,J_SUBDAY(J_ADDDAY(D86,N86+1,1),1,1),IF((N86+2-(NETWORKDAYS.INTL(J_GregorianDate(D86,1),J_GregorianDate(J_SUBDAY(J_ADDDAY(D86,N86+2,1),1,1),1),16,1)))+SUMIFS(Holieday[ok],Holieday[date],CONCATENATE("&gt;","=",D86),Holieday[date],CONCATENATE("&lt;","=",J_SUBDAY(J_ADDDAY(D86,N86+2,1),1,1)))-SUMIFS(Holieday[Friday],Holieday[date],CONCATENATE("&gt;","=",D86),Holieday[date],CONCATENATE("&lt;","=",J_SUBDAY(J_ADDDAY(D86,N86+2,1),1,1)))=2,J_SUBDAY(J_ADDDAY(D86,N86+2,1),1,1),IF((N86+3-(NETWORKDAYS.INTL(J_GregorianDate(D86,1),J_GregorianDate(J_SUBDAY(J_ADDDAY(D86,N86+3,1),1,1),1),16,1)))+SUMIFS(Holieday[ok],Holieday[date],CONCATENATE("&gt;","=",D86),Holieday[date],CONCATENATE("&lt;","=",J_SUBDAY(J_ADDDAY(D86,N86+3,1),1,1)))-SUMIFS(Holieday[Friday],Holieday[date],CONCATENATE("&gt;","=",D86),Holieday[date],CONCATENATE("&lt;","=",J_SUBDAY(J_ADDDAY(D86,N86+3,1),1,1)))=3,J_SUBDAY(J_ADDDAY(D86,N86+3,1),1,1),IF((N86+4-(NETWORKDAYS.INTL(J_GregorianDate(D86,1),J_GregorianDate(J_SUBDAY(J_ADDDAY(D86,N86+4,1),1,1),1),16,1)))+SUMIFS(Holieday[ok],Holieday[date],CONCATENATE("&gt;","=",D86),Holieday[date],CONCATENATE("&lt;","=",J_SUBDAY(J_ADDDAY(D86,N86+4,1),1,1)))-SUMIFS(Holieday[Friday],Holieday[date],CONCATENATE("&gt;","=",D86),Holieday[date],CONCATENATE("&lt;","=",J_SUBDAY(J_ADDDAY(D86,N86+4,1),1,1)))=4,J_SUBDAY(J_ADDDAY(D86,N86+4,1),1,1),IF((N86+5-(NETWORKDAYS.INTL(J_GregorianDate(D86,1),J_GregorianDate(J_SUBDAY(J_ADDDAY(D86,N86+5,1),1,1),1),16,1)))+SUMIFS(Holieday[ok],Holieday[date],CONCATENATE("&gt;","=",D86),Holieday[date],CONCATENATE("&lt;","=",J_SUBDAY(J_ADDDAY(D86,N86+5,1),1,1)))-SUMIFS(Holieday[Friday],Holieday[date],CONCATENATE("&gt;","=",D86),Holieday[date],CONCATENATE("&lt;","=",J_SUBDAY(J_ADDDAY(D86,N86+5,1),1,1)))=5,J_SUBDAY(J_ADDDAY(D86,N86+5,1),1,1),J_SUBDAY(J_ADDDAY(D86,N86+6,1),1,1))))))))</f>
        <v>1398/09/25</v>
      </c>
      <c r="G86" s="2">
        <f t="shared" si="25"/>
        <v>13980925</v>
      </c>
      <c r="H86" s="109"/>
      <c r="I86" s="110">
        <v>3.31</v>
      </c>
      <c r="J86" s="9">
        <f>j_WEEKDAY(D86,2)</f>
        <v>3</v>
      </c>
      <c r="K86" s="21">
        <f t="shared" si="26"/>
        <v>0</v>
      </c>
      <c r="L86" s="8">
        <f t="shared" si="27"/>
        <v>0</v>
      </c>
      <c r="M86" s="111">
        <v>0</v>
      </c>
      <c r="N86" s="108">
        <v>0</v>
      </c>
      <c r="O86" s="10">
        <f t="shared" si="28"/>
        <v>0</v>
      </c>
      <c r="P86" s="10">
        <f>VALUE(J_normdate(J_ADDDAY($D86,$O86,1)))</f>
        <v>13980926</v>
      </c>
      <c r="Q86" s="9">
        <f t="shared" si="29"/>
        <v>0</v>
      </c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/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7"/>
      <c r="HA86" s="7"/>
      <c r="HB86" s="7"/>
      <c r="HC86" s="7"/>
      <c r="HD86" s="7"/>
      <c r="HE86" s="7"/>
      <c r="HF86" s="7"/>
      <c r="HG86" s="7"/>
      <c r="HH86" s="7"/>
      <c r="HI86" s="7"/>
      <c r="HJ86" s="7"/>
      <c r="HK86" s="7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  <c r="IG86" s="7"/>
      <c r="IH86" s="7"/>
      <c r="II86" s="7"/>
      <c r="IJ86" s="7"/>
      <c r="IK86" s="7"/>
      <c r="IL86" s="7"/>
      <c r="IM86" s="7"/>
      <c r="IN86" s="7"/>
      <c r="IO86" s="7"/>
      <c r="IP86" s="7"/>
      <c r="IQ86" s="7"/>
      <c r="IR86" s="7"/>
      <c r="IS86" s="7"/>
      <c r="IT86" s="7"/>
      <c r="IU86" s="7"/>
      <c r="IV86" s="7"/>
      <c r="IW86" s="7"/>
      <c r="IX86" s="7"/>
      <c r="JA86" s="113"/>
      <c r="JB86" s="113"/>
      <c r="JC86" s="113"/>
      <c r="JD86" s="66"/>
    </row>
    <row r="87" spans="1:264" s="11" customFormat="1" ht="11.25" hidden="1">
      <c r="A87" s="30">
        <v>3.33</v>
      </c>
      <c r="B87" s="106"/>
      <c r="C87" s="107"/>
      <c r="D87" s="7" t="str">
        <f>IF(OR(j_WEEKDAY(J_ADDDAY(VLOOKUP(I87,A:F,6,FALSE),H87,1),0)=6,SUMIFS(Holieday[ok],Holieday[date],J_ADDDAY(VLOOKUP(I87,A:F,6,FALSE),H87,1)))=FALSE(),J_ADDDAY(VLOOKUP(I87,A:F,6,FALSE),H87,1),IF(OR(j_WEEKDAY(J_ADDDAY(VLOOKUP(I87,A:F,6,FALSE),H87+1,1),0)=6,SUMIFS(Holieday[ok],Holieday[date],J_ADDDAY(VLOOKUP(I87,A:F,6,FALSE),H87+1,1)))=FALSE(),J_ADDDAY(VLOOKUP(I87,A:F,6,FALSE),H87+1,1),IF(OR(j_WEEKDAY(J_ADDDAY(VLOOKUP(I87,A:F,6,FALSE),H87+2,1),0)=6,SUMIFS(Holieday[ok],Holieday[date],J_ADDDAY(VLOOKUP(I87,A:F,6,FALSE),H87+2,1)))=FALSE(),J_ADDDAY(VLOOKUP(I87,A:F,6,FALSE),H87+2,1),IF(OR(j_WEEKDAY(J_ADDDAY(VLOOKUP(I87,A:F,6,FALSE),H87+3,1),0)=6,SUMIFS(Holieday[ok],Holieday[date],J_ADDDAY(VLOOKUP(I87,A:F,6,FALSE),H87+3,1)))=FALSE(),J_ADDDAY(VLOOKUP(I87,A:F,6,FALSE),H87+3,1),IF(OR(j_WEEKDAY(J_ADDDAY(VLOOKUP(I87,A:F,6,FALSE),H87+4,1),0)=6,SUMIFS(Holieday[ok],Holieday[date],J_ADDDAY(VLOOKUP(I87,A:F,6,FALSE),H87+4,1)))=FALSE(),J_ADDDAY(VLOOKUP(I87,A:F,6,FALSE),H87+4,1),J_ADDDAY(VLOOKUP(I87,A:F,6,FALSE),H87+5,1))))))</f>
        <v>1398/09/26</v>
      </c>
      <c r="E87" s="1">
        <f t="shared" si="24"/>
        <v>13980926</v>
      </c>
      <c r="F87" s="12" t="str">
        <f>IF(N87=0,J_SUBDAY(D87,1,1),IF((N87-(NETWORKDAYS.INTL(J_GregorianDate(D87,1),J_GregorianDate(J_SUBDAY(J_ADDDAY(D87,N87,1),1,1),1),16,1)))+SUMIFS(Holieday[ok],Holieday[date],CONCATENATE("&gt;","=",D87),Holieday[date],CONCATENATE("&lt;","=",J_SUBDAY(J_ADDDAY(D87,N87,1),1,1)))-SUMIFS(Holieday[Friday],Holieday[date],CONCATENATE("&gt;","=",D87),Holieday[date],CONCATENATE("&lt;","=",J_SUBDAY(J_ADDDAY(D87,N87,1),1,1)))=0,J_SUBDAY(J_ADDDAY(D87,N87,1),1,1),IF((N87+1-(NETWORKDAYS.INTL(J_GregorianDate(D87,1),J_GregorianDate(J_SUBDAY(J_ADDDAY(D87,N87+1,1),1,1),1),16,1)))+SUMIFS(Holieday[ok],Holieday[date],CONCATENATE("&gt;","=",D87),Holieday[date],CONCATENATE("&lt;","=",J_SUBDAY(J_ADDDAY(D87,N87+1,1),1,1)))-SUMIFS(Holieday[Friday],Holieday[date],CONCATENATE("&gt;","=",D87),Holieday[date],CONCATENATE("&lt;","=",J_SUBDAY(J_ADDDAY(D87,N87+1,1),1,1)))=1,J_SUBDAY(J_ADDDAY(D87,N87+1,1),1,1),IF((N87+2-(NETWORKDAYS.INTL(J_GregorianDate(D87,1),J_GregorianDate(J_SUBDAY(J_ADDDAY(D87,N87+2,1),1,1),1),16,1)))+SUMIFS(Holieday[ok],Holieday[date],CONCATENATE("&gt;","=",D87),Holieday[date],CONCATENATE("&lt;","=",J_SUBDAY(J_ADDDAY(D87,N87+2,1),1,1)))-SUMIFS(Holieday[Friday],Holieday[date],CONCATENATE("&gt;","=",D87),Holieday[date],CONCATENATE("&lt;","=",J_SUBDAY(J_ADDDAY(D87,N87+2,1),1,1)))=2,J_SUBDAY(J_ADDDAY(D87,N87+2,1),1,1),IF((N87+3-(NETWORKDAYS.INTL(J_GregorianDate(D87,1),J_GregorianDate(J_SUBDAY(J_ADDDAY(D87,N87+3,1),1,1),1),16,1)))+SUMIFS(Holieday[ok],Holieday[date],CONCATENATE("&gt;","=",D87),Holieday[date],CONCATENATE("&lt;","=",J_SUBDAY(J_ADDDAY(D87,N87+3,1),1,1)))-SUMIFS(Holieday[Friday],Holieday[date],CONCATENATE("&gt;","=",D87),Holieday[date],CONCATENATE("&lt;","=",J_SUBDAY(J_ADDDAY(D87,N87+3,1),1,1)))=3,J_SUBDAY(J_ADDDAY(D87,N87+3,1),1,1),IF((N87+4-(NETWORKDAYS.INTL(J_GregorianDate(D87,1),J_GregorianDate(J_SUBDAY(J_ADDDAY(D87,N87+4,1),1,1),1),16,1)))+SUMIFS(Holieday[ok],Holieday[date],CONCATENATE("&gt;","=",D87),Holieday[date],CONCATENATE("&lt;","=",J_SUBDAY(J_ADDDAY(D87,N87+4,1),1,1)))-SUMIFS(Holieday[Friday],Holieday[date],CONCATENATE("&gt;","=",D87),Holieday[date],CONCATENATE("&lt;","=",J_SUBDAY(J_ADDDAY(D87,N87+4,1),1,1)))=4,J_SUBDAY(J_ADDDAY(D87,N87+4,1),1,1),IF((N87+5-(NETWORKDAYS.INTL(J_GregorianDate(D87,1),J_GregorianDate(J_SUBDAY(J_ADDDAY(D87,N87+5,1),1,1),1),16,1)))+SUMIFS(Holieday[ok],Holieday[date],CONCATENATE("&gt;","=",D87),Holieday[date],CONCATENATE("&lt;","=",J_SUBDAY(J_ADDDAY(D87,N87+5,1),1,1)))-SUMIFS(Holieday[Friday],Holieday[date],CONCATENATE("&gt;","=",D87),Holieday[date],CONCATENATE("&lt;","=",J_SUBDAY(J_ADDDAY(D87,N87+5,1),1,1)))=5,J_SUBDAY(J_ADDDAY(D87,N87+5,1),1,1),J_SUBDAY(J_ADDDAY(D87,N87+6,1),1,1))))))))</f>
        <v>1398/09/25</v>
      </c>
      <c r="G87" s="2">
        <f t="shared" si="25"/>
        <v>13980925</v>
      </c>
      <c r="H87" s="109"/>
      <c r="I87" s="110">
        <v>3.31</v>
      </c>
      <c r="J87" s="9">
        <f>j_WEEKDAY(D87,2)</f>
        <v>3</v>
      </c>
      <c r="K87" s="21">
        <f t="shared" si="26"/>
        <v>0</v>
      </c>
      <c r="L87" s="8">
        <f t="shared" si="27"/>
        <v>0</v>
      </c>
      <c r="M87" s="111">
        <v>0</v>
      </c>
      <c r="N87" s="108">
        <v>0</v>
      </c>
      <c r="O87" s="10">
        <f t="shared" si="28"/>
        <v>0</v>
      </c>
      <c r="P87" s="10">
        <f>VALUE(J_normdate(J_ADDDAY($D87,$O87,1)))</f>
        <v>13980926</v>
      </c>
      <c r="Q87" s="9">
        <f t="shared" si="29"/>
        <v>0</v>
      </c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  <c r="GM87" s="7"/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7"/>
      <c r="HA87" s="7"/>
      <c r="HB87" s="7"/>
      <c r="HC87" s="7"/>
      <c r="HD87" s="7"/>
      <c r="HE87" s="7"/>
      <c r="HF87" s="7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  <c r="IG87" s="7"/>
      <c r="IH87" s="7"/>
      <c r="II87" s="7"/>
      <c r="IJ87" s="7"/>
      <c r="IK87" s="7"/>
      <c r="IL87" s="7"/>
      <c r="IM87" s="7"/>
      <c r="IN87" s="7"/>
      <c r="IO87" s="7"/>
      <c r="IP87" s="7"/>
      <c r="IQ87" s="7"/>
      <c r="IR87" s="7"/>
      <c r="IS87" s="7"/>
      <c r="IT87" s="7"/>
      <c r="IU87" s="7"/>
      <c r="IV87" s="7"/>
      <c r="IW87" s="7"/>
      <c r="IX87" s="7"/>
      <c r="JA87" s="113"/>
      <c r="JB87" s="113"/>
      <c r="JC87" s="113"/>
      <c r="JD87" s="66"/>
    </row>
    <row r="88" spans="1:264" s="11" customFormat="1" ht="11.25" hidden="1">
      <c r="A88" s="30">
        <v>3.34</v>
      </c>
      <c r="B88" s="106"/>
      <c r="C88" s="107"/>
      <c r="D88" s="7" t="str">
        <f>IF(OR(j_WEEKDAY(J_ADDDAY(VLOOKUP(I88,A:F,6,FALSE),H88,1),0)=6,SUMIFS(Holieday[ok],Holieday[date],J_ADDDAY(VLOOKUP(I88,A:F,6,FALSE),H88,1)))=FALSE(),J_ADDDAY(VLOOKUP(I88,A:F,6,FALSE),H88,1),IF(OR(j_WEEKDAY(J_ADDDAY(VLOOKUP(I88,A:F,6,FALSE),H88+1,1),0)=6,SUMIFS(Holieday[ok],Holieday[date],J_ADDDAY(VLOOKUP(I88,A:F,6,FALSE),H88+1,1)))=FALSE(),J_ADDDAY(VLOOKUP(I88,A:F,6,FALSE),H88+1,1),IF(OR(j_WEEKDAY(J_ADDDAY(VLOOKUP(I88,A:F,6,FALSE),H88+2,1),0)=6,SUMIFS(Holieday[ok],Holieday[date],J_ADDDAY(VLOOKUP(I88,A:F,6,FALSE),H88+2,1)))=FALSE(),J_ADDDAY(VLOOKUP(I88,A:F,6,FALSE),H88+2,1),IF(OR(j_WEEKDAY(J_ADDDAY(VLOOKUP(I88,A:F,6,FALSE),H88+3,1),0)=6,SUMIFS(Holieday[ok],Holieday[date],J_ADDDAY(VLOOKUP(I88,A:F,6,FALSE),H88+3,1)))=FALSE(),J_ADDDAY(VLOOKUP(I88,A:F,6,FALSE),H88+3,1),IF(OR(j_WEEKDAY(J_ADDDAY(VLOOKUP(I88,A:F,6,FALSE),H88+4,1),0)=6,SUMIFS(Holieday[ok],Holieday[date],J_ADDDAY(VLOOKUP(I88,A:F,6,FALSE),H88+4,1)))=FALSE(),J_ADDDAY(VLOOKUP(I88,A:F,6,FALSE),H88+4,1),J_ADDDAY(VLOOKUP(I88,A:F,6,FALSE),H88+5,1))))))</f>
        <v>1398/09/25</v>
      </c>
      <c r="E88" s="1">
        <f t="shared" si="24"/>
        <v>13980925</v>
      </c>
      <c r="F88" s="12" t="str">
        <f>IF(N88=0,J_SUBDAY(D88,1,1),IF((N88-(NETWORKDAYS.INTL(J_GregorianDate(D88,1),J_GregorianDate(J_SUBDAY(J_ADDDAY(D88,N88,1),1,1),1),16,1)))+SUMIFS(Holieday[ok],Holieday[date],CONCATENATE("&gt;","=",D88),Holieday[date],CONCATENATE("&lt;","=",J_SUBDAY(J_ADDDAY(D88,N88,1),1,1)))-SUMIFS(Holieday[Friday],Holieday[date],CONCATENATE("&gt;","=",D88),Holieday[date],CONCATENATE("&lt;","=",J_SUBDAY(J_ADDDAY(D88,N88,1),1,1)))=0,J_SUBDAY(J_ADDDAY(D88,N88,1),1,1),IF((N88+1-(NETWORKDAYS.INTL(J_GregorianDate(D88,1),J_GregorianDate(J_SUBDAY(J_ADDDAY(D88,N88+1,1),1,1),1),16,1)))+SUMIFS(Holieday[ok],Holieday[date],CONCATENATE("&gt;","=",D88),Holieday[date],CONCATENATE("&lt;","=",J_SUBDAY(J_ADDDAY(D88,N88+1,1),1,1)))-SUMIFS(Holieday[Friday],Holieday[date],CONCATENATE("&gt;","=",D88),Holieday[date],CONCATENATE("&lt;","=",J_SUBDAY(J_ADDDAY(D88,N88+1,1),1,1)))=1,J_SUBDAY(J_ADDDAY(D88,N88+1,1),1,1),IF((N88+2-(NETWORKDAYS.INTL(J_GregorianDate(D88,1),J_GregorianDate(J_SUBDAY(J_ADDDAY(D88,N88+2,1),1,1),1),16,1)))+SUMIFS(Holieday[ok],Holieday[date],CONCATENATE("&gt;","=",D88),Holieday[date],CONCATENATE("&lt;","=",J_SUBDAY(J_ADDDAY(D88,N88+2,1),1,1)))-SUMIFS(Holieday[Friday],Holieday[date],CONCATENATE("&gt;","=",D88),Holieday[date],CONCATENATE("&lt;","=",J_SUBDAY(J_ADDDAY(D88,N88+2,1),1,1)))=2,J_SUBDAY(J_ADDDAY(D88,N88+2,1),1,1),IF((N88+3-(NETWORKDAYS.INTL(J_GregorianDate(D88,1),J_GregorianDate(J_SUBDAY(J_ADDDAY(D88,N88+3,1),1,1),1),16,1)))+SUMIFS(Holieday[ok],Holieday[date],CONCATENATE("&gt;","=",D88),Holieday[date],CONCATENATE("&lt;","=",J_SUBDAY(J_ADDDAY(D88,N88+3,1),1,1)))-SUMIFS(Holieday[Friday],Holieday[date],CONCATENATE("&gt;","=",D88),Holieday[date],CONCATENATE("&lt;","=",J_SUBDAY(J_ADDDAY(D88,N88+3,1),1,1)))=3,J_SUBDAY(J_ADDDAY(D88,N88+3,1),1,1),IF((N88+4-(NETWORKDAYS.INTL(J_GregorianDate(D88,1),J_GregorianDate(J_SUBDAY(J_ADDDAY(D88,N88+4,1),1,1),1),16,1)))+SUMIFS(Holieday[ok],Holieday[date],CONCATENATE("&gt;","=",D88),Holieday[date],CONCATENATE("&lt;","=",J_SUBDAY(J_ADDDAY(D88,N88+4,1),1,1)))-SUMIFS(Holieday[Friday],Holieday[date],CONCATENATE("&gt;","=",D88),Holieday[date],CONCATENATE("&lt;","=",J_SUBDAY(J_ADDDAY(D88,N88+4,1),1,1)))=4,J_SUBDAY(J_ADDDAY(D88,N88+4,1),1,1),IF((N88+5-(NETWORKDAYS.INTL(J_GregorianDate(D88,1),J_GregorianDate(J_SUBDAY(J_ADDDAY(D88,N88+5,1),1,1),1),16,1)))+SUMIFS(Holieday[ok],Holieday[date],CONCATENATE("&gt;","=",D88),Holieday[date],CONCATENATE("&lt;","=",J_SUBDAY(J_ADDDAY(D88,N88+5,1),1,1)))-SUMIFS(Holieday[Friday],Holieday[date],CONCATENATE("&gt;","=",D88),Holieday[date],CONCATENATE("&lt;","=",J_SUBDAY(J_ADDDAY(D88,N88+5,1),1,1)))=5,J_SUBDAY(J_ADDDAY(D88,N88+5,1),1,1),J_SUBDAY(J_ADDDAY(D88,N88+6,1),1,1))))))))</f>
        <v>1398/09/24</v>
      </c>
      <c r="G88" s="2">
        <f t="shared" si="25"/>
        <v>13980924</v>
      </c>
      <c r="H88" s="109"/>
      <c r="I88" s="110">
        <v>3.33</v>
      </c>
      <c r="J88" s="9">
        <f>j_WEEKDAY(D88,2)</f>
        <v>2</v>
      </c>
      <c r="K88" s="21">
        <f t="shared" si="26"/>
        <v>0</v>
      </c>
      <c r="L88" s="8">
        <f t="shared" si="27"/>
        <v>0</v>
      </c>
      <c r="M88" s="111">
        <v>0</v>
      </c>
      <c r="N88" s="108">
        <v>0</v>
      </c>
      <c r="O88" s="10">
        <f t="shared" si="28"/>
        <v>0</v>
      </c>
      <c r="P88" s="10">
        <f>VALUE(J_normdate(J_ADDDAY($D88,$O88,1)))</f>
        <v>13980925</v>
      </c>
      <c r="Q88" s="9">
        <f t="shared" si="29"/>
        <v>0</v>
      </c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7"/>
      <c r="HA88" s="7"/>
      <c r="HB88" s="7"/>
      <c r="HC88" s="7"/>
      <c r="HD88" s="7"/>
      <c r="HE88" s="7"/>
      <c r="HF88" s="7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  <c r="IG88" s="7"/>
      <c r="IH88" s="7"/>
      <c r="II88" s="7"/>
      <c r="IJ88" s="7"/>
      <c r="IK88" s="7"/>
      <c r="IL88" s="7"/>
      <c r="IM88" s="7"/>
      <c r="IN88" s="7"/>
      <c r="IO88" s="7"/>
      <c r="IP88" s="7"/>
      <c r="IQ88" s="7"/>
      <c r="IR88" s="7"/>
      <c r="IS88" s="7"/>
      <c r="IT88" s="7"/>
      <c r="IU88" s="7"/>
      <c r="IV88" s="7"/>
      <c r="IW88" s="7"/>
      <c r="IX88" s="7"/>
      <c r="JA88" s="113"/>
      <c r="JB88" s="113"/>
      <c r="JC88" s="113"/>
      <c r="JD88" s="66"/>
    </row>
    <row r="89" spans="1:264" s="11" customFormat="1" ht="11.25" hidden="1">
      <c r="A89" s="30">
        <v>3.35</v>
      </c>
      <c r="B89" s="106"/>
      <c r="C89" s="107"/>
      <c r="D89" s="7" t="str">
        <f>IF(OR(j_WEEKDAY(J_ADDDAY(VLOOKUP(I89,A:F,6,FALSE),H89,1),0)=6,SUMIFS(Holieday[ok],Holieday[date],J_ADDDAY(VLOOKUP(I89,A:F,6,FALSE),H89,1)))=FALSE(),J_ADDDAY(VLOOKUP(I89,A:F,6,FALSE),H89,1),IF(OR(j_WEEKDAY(J_ADDDAY(VLOOKUP(I89,A:F,6,FALSE),H89+1,1),0)=6,SUMIFS(Holieday[ok],Holieday[date],J_ADDDAY(VLOOKUP(I89,A:F,6,FALSE),H89+1,1)))=FALSE(),J_ADDDAY(VLOOKUP(I89,A:F,6,FALSE),H89+1,1),IF(OR(j_WEEKDAY(J_ADDDAY(VLOOKUP(I89,A:F,6,FALSE),H89+2,1),0)=6,SUMIFS(Holieday[ok],Holieday[date],J_ADDDAY(VLOOKUP(I89,A:F,6,FALSE),H89+2,1)))=FALSE(),J_ADDDAY(VLOOKUP(I89,A:F,6,FALSE),H89+2,1),IF(OR(j_WEEKDAY(J_ADDDAY(VLOOKUP(I89,A:F,6,FALSE),H89+3,1),0)=6,SUMIFS(Holieday[ok],Holieday[date],J_ADDDAY(VLOOKUP(I89,A:F,6,FALSE),H89+3,1)))=FALSE(),J_ADDDAY(VLOOKUP(I89,A:F,6,FALSE),H89+3,1),IF(OR(j_WEEKDAY(J_ADDDAY(VLOOKUP(I89,A:F,6,FALSE),H89+4,1),0)=6,SUMIFS(Holieday[ok],Holieday[date],J_ADDDAY(VLOOKUP(I89,A:F,6,FALSE),H89+4,1)))=FALSE(),J_ADDDAY(VLOOKUP(I89,A:F,6,FALSE),H89+4,1),J_ADDDAY(VLOOKUP(I89,A:F,6,FALSE),H89+5,1))))))</f>
        <v>1398/09/25</v>
      </c>
      <c r="E89" s="1">
        <f t="shared" si="24"/>
        <v>13980925</v>
      </c>
      <c r="F89" s="12" t="str">
        <f>IF(N89=0,J_SUBDAY(D89,1,1),IF((N89-(NETWORKDAYS.INTL(J_GregorianDate(D89,1),J_GregorianDate(J_SUBDAY(J_ADDDAY(D89,N89,1),1,1),1),16,1)))+SUMIFS(Holieday[ok],Holieday[date],CONCATENATE("&gt;","=",D89),Holieday[date],CONCATENATE("&lt;","=",J_SUBDAY(J_ADDDAY(D89,N89,1),1,1)))-SUMIFS(Holieday[Friday],Holieday[date],CONCATENATE("&gt;","=",D89),Holieday[date],CONCATENATE("&lt;","=",J_SUBDAY(J_ADDDAY(D89,N89,1),1,1)))=0,J_SUBDAY(J_ADDDAY(D89,N89,1),1,1),IF((N89+1-(NETWORKDAYS.INTL(J_GregorianDate(D89,1),J_GregorianDate(J_SUBDAY(J_ADDDAY(D89,N89+1,1),1,1),1),16,1)))+SUMIFS(Holieday[ok],Holieday[date],CONCATENATE("&gt;","=",D89),Holieday[date],CONCATENATE("&lt;","=",J_SUBDAY(J_ADDDAY(D89,N89+1,1),1,1)))-SUMIFS(Holieday[Friday],Holieday[date],CONCATENATE("&gt;","=",D89),Holieday[date],CONCATENATE("&lt;","=",J_SUBDAY(J_ADDDAY(D89,N89+1,1),1,1)))=1,J_SUBDAY(J_ADDDAY(D89,N89+1,1),1,1),IF((N89+2-(NETWORKDAYS.INTL(J_GregorianDate(D89,1),J_GregorianDate(J_SUBDAY(J_ADDDAY(D89,N89+2,1),1,1),1),16,1)))+SUMIFS(Holieday[ok],Holieday[date],CONCATENATE("&gt;","=",D89),Holieday[date],CONCATENATE("&lt;","=",J_SUBDAY(J_ADDDAY(D89,N89+2,1),1,1)))-SUMIFS(Holieday[Friday],Holieday[date],CONCATENATE("&gt;","=",D89),Holieday[date],CONCATENATE("&lt;","=",J_SUBDAY(J_ADDDAY(D89,N89+2,1),1,1)))=2,J_SUBDAY(J_ADDDAY(D89,N89+2,1),1,1),IF((N89+3-(NETWORKDAYS.INTL(J_GregorianDate(D89,1),J_GregorianDate(J_SUBDAY(J_ADDDAY(D89,N89+3,1),1,1),1),16,1)))+SUMIFS(Holieday[ok],Holieday[date],CONCATENATE("&gt;","=",D89),Holieday[date],CONCATENATE("&lt;","=",J_SUBDAY(J_ADDDAY(D89,N89+3,1),1,1)))-SUMIFS(Holieday[Friday],Holieday[date],CONCATENATE("&gt;","=",D89),Holieday[date],CONCATENATE("&lt;","=",J_SUBDAY(J_ADDDAY(D89,N89+3,1),1,1)))=3,J_SUBDAY(J_ADDDAY(D89,N89+3,1),1,1),IF((N89+4-(NETWORKDAYS.INTL(J_GregorianDate(D89,1),J_GregorianDate(J_SUBDAY(J_ADDDAY(D89,N89+4,1),1,1),1),16,1)))+SUMIFS(Holieday[ok],Holieday[date],CONCATENATE("&gt;","=",D89),Holieday[date],CONCATENATE("&lt;","=",J_SUBDAY(J_ADDDAY(D89,N89+4,1),1,1)))-SUMIFS(Holieday[Friday],Holieday[date],CONCATENATE("&gt;","=",D89),Holieday[date],CONCATENATE("&lt;","=",J_SUBDAY(J_ADDDAY(D89,N89+4,1),1,1)))=4,J_SUBDAY(J_ADDDAY(D89,N89+4,1),1,1),IF((N89+5-(NETWORKDAYS.INTL(J_GregorianDate(D89,1),J_GregorianDate(J_SUBDAY(J_ADDDAY(D89,N89+5,1),1,1),1),16,1)))+SUMIFS(Holieday[ok],Holieday[date],CONCATENATE("&gt;","=",D89),Holieday[date],CONCATENATE("&lt;","=",J_SUBDAY(J_ADDDAY(D89,N89+5,1),1,1)))-SUMIFS(Holieday[Friday],Holieday[date],CONCATENATE("&gt;","=",D89),Holieday[date],CONCATENATE("&lt;","=",J_SUBDAY(J_ADDDAY(D89,N89+5,1),1,1)))=5,J_SUBDAY(J_ADDDAY(D89,N89+5,1),1,1),J_SUBDAY(J_ADDDAY(D89,N89+6,1),1,1))))))))</f>
        <v>1398/09/24</v>
      </c>
      <c r="G89" s="2">
        <f t="shared" si="25"/>
        <v>13980924</v>
      </c>
      <c r="H89" s="109"/>
      <c r="I89" s="110">
        <v>3.33</v>
      </c>
      <c r="J89" s="9">
        <f>j_WEEKDAY(D89,2)</f>
        <v>2</v>
      </c>
      <c r="K89" s="21">
        <f t="shared" si="26"/>
        <v>0</v>
      </c>
      <c r="L89" s="8">
        <f t="shared" si="27"/>
        <v>0</v>
      </c>
      <c r="M89" s="111">
        <v>0</v>
      </c>
      <c r="N89" s="108">
        <v>0</v>
      </c>
      <c r="O89" s="10">
        <f t="shared" si="28"/>
        <v>0</v>
      </c>
      <c r="P89" s="10">
        <f>VALUE(J_normdate(J_ADDDAY($D89,$O89,1)))</f>
        <v>13980925</v>
      </c>
      <c r="Q89" s="9">
        <f t="shared" si="29"/>
        <v>0</v>
      </c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7"/>
      <c r="HA89" s="7"/>
      <c r="HB89" s="7"/>
      <c r="HC89" s="7"/>
      <c r="HD89" s="7"/>
      <c r="HE89" s="7"/>
      <c r="HF89" s="7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  <c r="IG89" s="7"/>
      <c r="IH89" s="7"/>
      <c r="II89" s="7"/>
      <c r="IJ89" s="7"/>
      <c r="IK89" s="7"/>
      <c r="IL89" s="7"/>
      <c r="IM89" s="7"/>
      <c r="IN89" s="7"/>
      <c r="IO89" s="7"/>
      <c r="IP89" s="7"/>
      <c r="IQ89" s="7"/>
      <c r="IR89" s="7"/>
      <c r="IS89" s="7"/>
      <c r="IT89" s="7"/>
      <c r="IU89" s="7"/>
      <c r="IV89" s="7"/>
      <c r="IW89" s="7"/>
      <c r="IX89" s="7"/>
      <c r="JA89" s="113"/>
      <c r="JB89" s="113"/>
      <c r="JC89" s="113"/>
      <c r="JD89" s="66"/>
    </row>
    <row r="90" spans="1:264" s="11" customFormat="1" ht="11.25" hidden="1">
      <c r="A90" s="30">
        <v>3.36</v>
      </c>
      <c r="B90" s="106"/>
      <c r="C90" s="107"/>
      <c r="D90" s="7" t="str">
        <f>IF(OR(j_WEEKDAY(J_ADDDAY(VLOOKUP(I90,A:F,6,FALSE),H90,1),0)=6,SUMIFS(Holieday[ok],Holieday[date],J_ADDDAY(VLOOKUP(I90,A:F,6,FALSE),H90,1)))=FALSE(),J_ADDDAY(VLOOKUP(I90,A:F,6,FALSE),H90,1),IF(OR(j_WEEKDAY(J_ADDDAY(VLOOKUP(I90,A:F,6,FALSE),H90+1,1),0)=6,SUMIFS(Holieday[ok],Holieday[date],J_ADDDAY(VLOOKUP(I90,A:F,6,FALSE),H90+1,1)))=FALSE(),J_ADDDAY(VLOOKUP(I90,A:F,6,FALSE),H90+1,1),IF(OR(j_WEEKDAY(J_ADDDAY(VLOOKUP(I90,A:F,6,FALSE),H90+2,1),0)=6,SUMIFS(Holieday[ok],Holieday[date],J_ADDDAY(VLOOKUP(I90,A:F,6,FALSE),H90+2,1)))=FALSE(),J_ADDDAY(VLOOKUP(I90,A:F,6,FALSE),H90+2,1),IF(OR(j_WEEKDAY(J_ADDDAY(VLOOKUP(I90,A:F,6,FALSE),H90+3,1),0)=6,SUMIFS(Holieday[ok],Holieday[date],J_ADDDAY(VLOOKUP(I90,A:F,6,FALSE),H90+3,1)))=FALSE(),J_ADDDAY(VLOOKUP(I90,A:F,6,FALSE),H90+3,1),IF(OR(j_WEEKDAY(J_ADDDAY(VLOOKUP(I90,A:F,6,FALSE),H90+4,1),0)=6,SUMIFS(Holieday[ok],Holieday[date],J_ADDDAY(VLOOKUP(I90,A:F,6,FALSE),H90+4,1)))=FALSE(),J_ADDDAY(VLOOKUP(I90,A:F,6,FALSE),H90+4,1),J_ADDDAY(VLOOKUP(I90,A:F,6,FALSE),H90+5,1))))))</f>
        <v>1398/09/24</v>
      </c>
      <c r="E90" s="1">
        <f t="shared" si="24"/>
        <v>13980924</v>
      </c>
      <c r="F90" s="12" t="str">
        <f>IF(N90=0,J_SUBDAY(D90,1,1),IF((N90-(NETWORKDAYS.INTL(J_GregorianDate(D90,1),J_GregorianDate(J_SUBDAY(J_ADDDAY(D90,N90,1),1,1),1),16,1)))+SUMIFS(Holieday[ok],Holieday[date],CONCATENATE("&gt;","=",D90),Holieday[date],CONCATENATE("&lt;","=",J_SUBDAY(J_ADDDAY(D90,N90,1),1,1)))-SUMIFS(Holieday[Friday],Holieday[date],CONCATENATE("&gt;","=",D90),Holieday[date],CONCATENATE("&lt;","=",J_SUBDAY(J_ADDDAY(D90,N90,1),1,1)))=0,J_SUBDAY(J_ADDDAY(D90,N90,1),1,1),IF((N90+1-(NETWORKDAYS.INTL(J_GregorianDate(D90,1),J_GregorianDate(J_SUBDAY(J_ADDDAY(D90,N90+1,1),1,1),1),16,1)))+SUMIFS(Holieday[ok],Holieday[date],CONCATENATE("&gt;","=",D90),Holieday[date],CONCATENATE("&lt;","=",J_SUBDAY(J_ADDDAY(D90,N90+1,1),1,1)))-SUMIFS(Holieday[Friday],Holieday[date],CONCATENATE("&gt;","=",D90),Holieday[date],CONCATENATE("&lt;","=",J_SUBDAY(J_ADDDAY(D90,N90+1,1),1,1)))=1,J_SUBDAY(J_ADDDAY(D90,N90+1,1),1,1),IF((N90+2-(NETWORKDAYS.INTL(J_GregorianDate(D90,1),J_GregorianDate(J_SUBDAY(J_ADDDAY(D90,N90+2,1),1,1),1),16,1)))+SUMIFS(Holieday[ok],Holieday[date],CONCATENATE("&gt;","=",D90),Holieday[date],CONCATENATE("&lt;","=",J_SUBDAY(J_ADDDAY(D90,N90+2,1),1,1)))-SUMIFS(Holieday[Friday],Holieday[date],CONCATENATE("&gt;","=",D90),Holieday[date],CONCATENATE("&lt;","=",J_SUBDAY(J_ADDDAY(D90,N90+2,1),1,1)))=2,J_SUBDAY(J_ADDDAY(D90,N90+2,1),1,1),IF((N90+3-(NETWORKDAYS.INTL(J_GregorianDate(D90,1),J_GregorianDate(J_SUBDAY(J_ADDDAY(D90,N90+3,1),1,1),1),16,1)))+SUMIFS(Holieday[ok],Holieday[date],CONCATENATE("&gt;","=",D90),Holieday[date],CONCATENATE("&lt;","=",J_SUBDAY(J_ADDDAY(D90,N90+3,1),1,1)))-SUMIFS(Holieday[Friday],Holieday[date],CONCATENATE("&gt;","=",D90),Holieday[date],CONCATENATE("&lt;","=",J_SUBDAY(J_ADDDAY(D90,N90+3,1),1,1)))=3,J_SUBDAY(J_ADDDAY(D90,N90+3,1),1,1),IF((N90+4-(NETWORKDAYS.INTL(J_GregorianDate(D90,1),J_GregorianDate(J_SUBDAY(J_ADDDAY(D90,N90+4,1),1,1),1),16,1)))+SUMIFS(Holieday[ok],Holieday[date],CONCATENATE("&gt;","=",D90),Holieday[date],CONCATENATE("&lt;","=",J_SUBDAY(J_ADDDAY(D90,N90+4,1),1,1)))-SUMIFS(Holieday[Friday],Holieday[date],CONCATENATE("&gt;","=",D90),Holieday[date],CONCATENATE("&lt;","=",J_SUBDAY(J_ADDDAY(D90,N90+4,1),1,1)))=4,J_SUBDAY(J_ADDDAY(D90,N90+4,1),1,1),IF((N90+5-(NETWORKDAYS.INTL(J_GregorianDate(D90,1),J_GregorianDate(J_SUBDAY(J_ADDDAY(D90,N90+5,1),1,1),1),16,1)))+SUMIFS(Holieday[ok],Holieday[date],CONCATENATE("&gt;","=",D90),Holieday[date],CONCATENATE("&lt;","=",J_SUBDAY(J_ADDDAY(D90,N90+5,1),1,1)))-SUMIFS(Holieday[Friday],Holieday[date],CONCATENATE("&gt;","=",D90),Holieday[date],CONCATENATE("&lt;","=",J_SUBDAY(J_ADDDAY(D90,N90+5,1),1,1)))=5,J_SUBDAY(J_ADDDAY(D90,N90+5,1),1,1),J_SUBDAY(J_ADDDAY(D90,N90+6,1),1,1))))))))</f>
        <v>1398/09/23</v>
      </c>
      <c r="G90" s="2">
        <f t="shared" si="25"/>
        <v>13980923</v>
      </c>
      <c r="H90" s="109"/>
      <c r="I90" s="110">
        <v>3.35</v>
      </c>
      <c r="J90" s="9">
        <f>j_WEEKDAY(D90,2)</f>
        <v>1</v>
      </c>
      <c r="K90" s="21">
        <f t="shared" si="26"/>
        <v>0</v>
      </c>
      <c r="L90" s="8">
        <f t="shared" si="27"/>
        <v>0</v>
      </c>
      <c r="M90" s="111">
        <v>0</v>
      </c>
      <c r="N90" s="108">
        <v>0</v>
      </c>
      <c r="O90" s="10">
        <f t="shared" si="28"/>
        <v>0</v>
      </c>
      <c r="P90" s="10">
        <f>VALUE(J_normdate(J_ADDDAY($D90,$O90,1)))</f>
        <v>13980924</v>
      </c>
      <c r="Q90" s="9">
        <f t="shared" si="29"/>
        <v>0</v>
      </c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7"/>
      <c r="HA90" s="7"/>
      <c r="HB90" s="7"/>
      <c r="HC90" s="7"/>
      <c r="HD90" s="7"/>
      <c r="HE90" s="7"/>
      <c r="HF90" s="7"/>
      <c r="HG90" s="7"/>
      <c r="HH90" s="7"/>
      <c r="HI90" s="7"/>
      <c r="HJ90" s="7"/>
      <c r="HK90" s="7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  <c r="IG90" s="7"/>
      <c r="IH90" s="7"/>
      <c r="II90" s="7"/>
      <c r="IJ90" s="7"/>
      <c r="IK90" s="7"/>
      <c r="IL90" s="7"/>
      <c r="IM90" s="7"/>
      <c r="IN90" s="7"/>
      <c r="IO90" s="7"/>
      <c r="IP90" s="7"/>
      <c r="IQ90" s="7"/>
      <c r="IR90" s="7"/>
      <c r="IS90" s="7"/>
      <c r="IT90" s="7"/>
      <c r="IU90" s="7"/>
      <c r="IV90" s="7"/>
      <c r="IW90" s="7"/>
      <c r="IX90" s="7"/>
      <c r="JA90" s="113"/>
      <c r="JB90" s="113"/>
      <c r="JC90" s="113"/>
      <c r="JD90" s="66"/>
    </row>
    <row r="91" spans="1:264" s="382" customFormat="1" ht="13.5">
      <c r="A91" s="378">
        <v>4</v>
      </c>
      <c r="B91" s="365" t="s">
        <v>136</v>
      </c>
      <c r="C91" s="366"/>
      <c r="D91" s="381" t="str">
        <f>FDate(MIN(E92:E112))</f>
        <v>1398/07/02</v>
      </c>
      <c r="E91" s="160">
        <f>VALUE(J_normdate(D91))</f>
        <v>13980702</v>
      </c>
      <c r="F91" s="381" t="str">
        <f>J_SUBDAY(J_ADDDAY(D91,L91,1),1,1)</f>
        <v>1398/08/22</v>
      </c>
      <c r="G91" s="163">
        <f t="shared" ref="G91:G122" si="30">VALUE(J_normdate(F91))</f>
        <v>13980822</v>
      </c>
      <c r="H91" s="379"/>
      <c r="I91" s="380"/>
      <c r="J91" s="367">
        <f>j_WEEKDAY(D91,2)</f>
        <v>3</v>
      </c>
      <c r="K91" s="164">
        <f>SUM(K92:K112)</f>
        <v>0</v>
      </c>
      <c r="L91" s="370">
        <f>J_DIFF(D91,FDate(MAX(G92:G112)))+1</f>
        <v>51</v>
      </c>
      <c r="M91" s="371">
        <f>IF(SUM(L92:L112)&lt;&gt;0,SUMPRODUCT(L92:L112,M92:M112)/SUM(L92:L112),0)</f>
        <v>0</v>
      </c>
      <c r="N91" s="372">
        <f>IF(F91&gt;=D91,NETWORKDAYS.INTL(J_GregorianDate(D91,1),J_GregorianDate(F91,1),16,1)-SUMIFS(Holieday[ok],Holieday[date],CONCATENATE("&gt;","=",D91),Holieday[date],CONCATENATE("&lt;","=",F91))+SUMIFS(Holieday[Friday],Holieday[date],CONCATENATE("&gt;","=",D91),Holieday[date],CONCATENATE("&lt;","=",F91)),0)</f>
        <v>40</v>
      </c>
      <c r="O91" s="159">
        <f t="shared" ref="O91:O104" si="31">ROUNDDOWN(M91*L91,0)</f>
        <v>0</v>
      </c>
      <c r="P91" s="159">
        <f>VALUE(J_normdate(J_ADDDAY($D91,$O91,1)))</f>
        <v>13980702</v>
      </c>
      <c r="Q91" s="162">
        <f t="shared" ref="Q91:Q104" si="32">L91-O91</f>
        <v>51</v>
      </c>
      <c r="IY91" s="383"/>
      <c r="IZ91" s="384"/>
      <c r="JA91" s="385"/>
      <c r="JB91" s="385"/>
      <c r="JC91" s="385"/>
    </row>
    <row r="92" spans="1:264" s="276" customFormat="1" ht="13.5">
      <c r="A92" s="262">
        <v>4.0999999999999996</v>
      </c>
      <c r="B92" s="277" t="s">
        <v>115</v>
      </c>
      <c r="C92" s="263" t="s">
        <v>111</v>
      </c>
      <c r="D92" s="280" t="str">
        <f>IF(OR(j_WEEKDAY(J_ADDDAY(VLOOKUP(I92,A:F,6,FALSE),H92,1),0)=6,SUMIFS(Holieday[ok],Holieday[date],J_ADDDAY(VLOOKUP(I92,A:F,6,FALSE),H92,1)))=FALSE(),J_ADDDAY(VLOOKUP(I92,A:F,6,FALSE),H92,1),IF(OR(j_WEEKDAY(J_ADDDAY(VLOOKUP(I92,A:F,6,FALSE),H92+1,1),0)=6,SUMIFS(Holieday[ok],Holieday[date],J_ADDDAY(VLOOKUP(I92,A:F,6,FALSE),H92+1,1)))=FALSE(),J_ADDDAY(VLOOKUP(I92,A:F,6,FALSE),H92+1,1),IF(OR(j_WEEKDAY(J_ADDDAY(VLOOKUP(I92,A:F,6,FALSE),H92+2,1),0)=6,SUMIFS(Holieday[ok],Holieday[date],J_ADDDAY(VLOOKUP(I92,A:F,6,FALSE),H92+2,1)))=FALSE(),J_ADDDAY(VLOOKUP(I92,A:F,6,FALSE),H92+2,1),IF(OR(j_WEEKDAY(J_ADDDAY(VLOOKUP(I92,A:F,6,FALSE),H92+3,1),0)=6,SUMIFS(Holieday[ok],Holieday[date],J_ADDDAY(VLOOKUP(I92,A:F,6,FALSE),H92+3,1)))=FALSE(),J_ADDDAY(VLOOKUP(I92,A:F,6,FALSE),H92+3,1),IF(OR(j_WEEKDAY(J_ADDDAY(VLOOKUP(I92,A:F,6,FALSE),H92+4,1),0)=6,SUMIFS(Holieday[ok],Holieday[date],J_ADDDAY(VLOOKUP(I92,A:F,6,FALSE),H92+4,1)))=FALSE(),J_ADDDAY(VLOOKUP(I92,A:F,6,FALSE),H92+4,1),J_ADDDAY(VLOOKUP(I92,A:F,6,FALSE),H92+5,1))))))</f>
        <v>1398/07/02</v>
      </c>
      <c r="E92" s="160">
        <f t="shared" ref="E92:E122" si="33">VALUE(J_normdate(D92))</f>
        <v>13980702</v>
      </c>
      <c r="F92" s="280" t="str">
        <f>IF(N92=0,J_SUBDAY(D92,1,1),IF((N92-NETWORKDAYS.INTL(J_GregorianDate(D92,1),J_GregorianDate(J_SUBDAY(J_ADDDAY(D92,N92,1),1,1),1),16,1)-SUMIFS(Holieday[ok],Holieday[date],CONCATENATE("&gt;","=",D92),Holieday[date],CONCATENATE("&lt;","=",J_SUBDAY(J_ADDDAY(D92,N92,1),1,1)))+SUMIFS(Holieday[Friday],Holieday[date],CONCATENATE("&gt;","=",D92),Holieday[date],CONCATENATE("&lt;","=",J_SUBDAY(J_ADDDAY(D92,N92,1),1,1))))=0,J_SUBDAY(J_ADDDAY(D92,N92,1),1,1),IF((N92-NETWORKDAYS.INTL(J_GregorianDate(D92,1),J_GregorianDate(J_SUBDAY(J_ADDDAY(D92,N92,1),1,1),1),16,1)-SUMIFS(Holieday[ok],Holieday[date],CONCATENATE("&gt;","=",D92),Holieday[date],CONCATENATE("&lt;","=",J_SUBDAY(J_ADDDAY(D92,N92,1),1,1)))+SUMIFS(Holieday[Friday],Holieday[date],CONCATENATE("&gt;","=",D92),Holieday[date],CONCATENATE("&lt;","=",J_SUBDAY(J_ADDDAY(D92,N92,1),1,1))))=1,J_SUBDAY(J_ADDDAY(D92,N92+1,1),1,1),IF((N92-NETWORKDAYS.INTL(J_GregorianDate(D92,1),J_GregorianDate(J_SUBDAY(J_ADDDAY(D92,N92,1),1,1),1),16,1)-SUMIFS(Holieday[ok],Holieday[date],CONCATENATE("&gt;","=",D92),Holieday[date],CONCATENATE("&lt;","=",J_SUBDAY(J_ADDDAY(D92,N92,1),1,1)))+SUMIFS(Holieday[Friday],Holieday[date],CONCATENATE("&gt;","=",D92),Holieday[date],CONCATENATE("&lt;","=",J_SUBDAY(J_ADDDAY(D92,N92,1),1,1))))=2,J_SUBDAY(J_ADDDAY(D92,N92+2,1),1,1),J_SUBDAY(J_ADDDAY(D92,N92+3,1),1,1)))))</f>
        <v>1398/07/03</v>
      </c>
      <c r="G92" s="163">
        <f t="shared" si="30"/>
        <v>13980703</v>
      </c>
      <c r="H92" s="266"/>
      <c r="I92" s="267">
        <v>1.2</v>
      </c>
      <c r="J92" s="265">
        <f>j_WEEKDAY(D92,2)</f>
        <v>3</v>
      </c>
      <c r="K92" s="173">
        <f t="shared" ref="K92:K112" si="34">SUM(JA92:JC92)</f>
        <v>0</v>
      </c>
      <c r="L92" s="268">
        <f t="shared" ref="L92:L112" si="35">J_DIFF(D92,F92)+1</f>
        <v>2</v>
      </c>
      <c r="M92" s="269">
        <v>0</v>
      </c>
      <c r="N92" s="270">
        <v>2</v>
      </c>
      <c r="O92" s="175">
        <f t="shared" si="31"/>
        <v>0</v>
      </c>
      <c r="P92" s="175">
        <f>VALUE(J_normdate(J_ADDDAY($D92,$O92,1)))</f>
        <v>13980702</v>
      </c>
      <c r="Q92" s="171">
        <f t="shared" si="32"/>
        <v>2</v>
      </c>
      <c r="R92" s="271"/>
      <c r="S92" s="271"/>
      <c r="T92" s="271"/>
      <c r="U92" s="271"/>
      <c r="V92" s="271"/>
      <c r="W92" s="271"/>
      <c r="X92" s="271"/>
      <c r="Y92" s="271"/>
      <c r="Z92" s="271"/>
      <c r="AA92" s="271"/>
      <c r="AB92" s="271"/>
      <c r="AC92" s="271"/>
      <c r="AD92" s="271"/>
      <c r="AE92" s="271"/>
      <c r="AF92" s="271"/>
      <c r="AG92" s="271"/>
      <c r="AH92" s="271"/>
      <c r="AI92" s="271"/>
      <c r="AJ92" s="271"/>
      <c r="AK92" s="271"/>
      <c r="AL92" s="271"/>
      <c r="AM92" s="271"/>
      <c r="AN92" s="271"/>
      <c r="AO92" s="271"/>
      <c r="AP92" s="271"/>
      <c r="AQ92" s="271"/>
      <c r="AR92" s="271"/>
      <c r="AS92" s="271"/>
      <c r="AT92" s="271"/>
      <c r="AU92" s="271"/>
      <c r="AV92" s="271"/>
      <c r="AW92" s="271"/>
      <c r="AX92" s="271"/>
      <c r="AY92" s="271"/>
      <c r="AZ92" s="271"/>
      <c r="BA92" s="271"/>
      <c r="BB92" s="271"/>
      <c r="BC92" s="271"/>
      <c r="BD92" s="271"/>
      <c r="BE92" s="271"/>
      <c r="BF92" s="271"/>
      <c r="BG92" s="271"/>
      <c r="BH92" s="271"/>
      <c r="BI92" s="271"/>
      <c r="BJ92" s="271"/>
      <c r="BK92" s="271"/>
      <c r="BL92" s="271"/>
      <c r="BM92" s="271"/>
      <c r="BN92" s="271"/>
      <c r="BO92" s="271"/>
      <c r="BP92" s="271"/>
      <c r="BQ92" s="271"/>
      <c r="BR92" s="271"/>
      <c r="BS92" s="271"/>
      <c r="BT92" s="271"/>
      <c r="BU92" s="271"/>
      <c r="BV92" s="271"/>
      <c r="BW92" s="271"/>
      <c r="BX92" s="271"/>
      <c r="BY92" s="271"/>
      <c r="BZ92" s="271"/>
      <c r="CA92" s="271"/>
      <c r="CB92" s="271"/>
      <c r="CC92" s="271"/>
      <c r="CD92" s="271"/>
      <c r="CE92" s="271"/>
      <c r="CF92" s="271"/>
      <c r="CG92" s="271"/>
      <c r="CH92" s="271"/>
      <c r="CI92" s="271"/>
      <c r="CJ92" s="271"/>
      <c r="CK92" s="271"/>
      <c r="CL92" s="271"/>
      <c r="CM92" s="271"/>
      <c r="CN92" s="271"/>
      <c r="CO92" s="271"/>
      <c r="CP92" s="271"/>
      <c r="CQ92" s="271"/>
      <c r="CR92" s="271"/>
      <c r="CS92" s="271"/>
      <c r="CT92" s="271"/>
      <c r="CU92" s="271"/>
      <c r="CV92" s="271"/>
      <c r="CW92" s="271"/>
      <c r="CX92" s="271"/>
      <c r="CY92" s="271"/>
      <c r="CZ92" s="271"/>
      <c r="DA92" s="271"/>
      <c r="DB92" s="271"/>
      <c r="DC92" s="271"/>
      <c r="DD92" s="271"/>
      <c r="DE92" s="271"/>
      <c r="DF92" s="271"/>
      <c r="DG92" s="271"/>
      <c r="DH92" s="271"/>
      <c r="DI92" s="271"/>
      <c r="DJ92" s="271"/>
      <c r="DK92" s="271"/>
      <c r="DL92" s="271"/>
      <c r="DM92" s="271"/>
      <c r="DN92" s="271"/>
      <c r="DO92" s="271"/>
      <c r="DP92" s="271"/>
      <c r="DQ92" s="271"/>
      <c r="DR92" s="271"/>
      <c r="DS92" s="271"/>
      <c r="DT92" s="271"/>
      <c r="DU92" s="271"/>
      <c r="DV92" s="271"/>
      <c r="DW92" s="271"/>
      <c r="DX92" s="271"/>
      <c r="DY92" s="271"/>
      <c r="DZ92" s="271"/>
      <c r="EA92" s="271"/>
      <c r="EB92" s="271"/>
      <c r="EC92" s="271"/>
      <c r="ED92" s="271"/>
      <c r="EE92" s="271"/>
      <c r="EF92" s="271"/>
      <c r="EG92" s="271"/>
      <c r="EH92" s="271"/>
      <c r="EI92" s="271"/>
      <c r="EJ92" s="271"/>
      <c r="EK92" s="271"/>
      <c r="EL92" s="271"/>
      <c r="EM92" s="271"/>
      <c r="EN92" s="271"/>
      <c r="EO92" s="271"/>
      <c r="EP92" s="271"/>
      <c r="EQ92" s="271"/>
      <c r="ER92" s="271"/>
      <c r="ES92" s="271"/>
      <c r="ET92" s="271"/>
      <c r="EU92" s="271"/>
      <c r="EV92" s="271"/>
      <c r="EW92" s="271"/>
      <c r="EX92" s="271"/>
      <c r="EY92" s="271"/>
      <c r="EZ92" s="271"/>
      <c r="FA92" s="271"/>
      <c r="FB92" s="271"/>
      <c r="FC92" s="271"/>
      <c r="FD92" s="271"/>
      <c r="FE92" s="271"/>
      <c r="FF92" s="271"/>
      <c r="FG92" s="271"/>
      <c r="FH92" s="271"/>
      <c r="FI92" s="271"/>
      <c r="FJ92" s="271"/>
      <c r="FK92" s="271"/>
      <c r="FL92" s="271"/>
      <c r="FM92" s="271"/>
      <c r="FN92" s="271"/>
      <c r="FO92" s="271"/>
      <c r="FP92" s="271"/>
      <c r="FQ92" s="271"/>
      <c r="FR92" s="271"/>
      <c r="FS92" s="271"/>
      <c r="FT92" s="271"/>
      <c r="FU92" s="271"/>
      <c r="FV92" s="271"/>
      <c r="FW92" s="271"/>
      <c r="FX92" s="271"/>
      <c r="FY92" s="271"/>
      <c r="FZ92" s="271"/>
      <c r="GA92" s="271"/>
      <c r="GB92" s="271"/>
      <c r="GC92" s="271"/>
      <c r="GD92" s="271"/>
      <c r="GE92" s="271"/>
      <c r="GF92" s="271"/>
      <c r="GG92" s="271"/>
      <c r="GH92" s="271"/>
      <c r="GI92" s="271"/>
      <c r="GJ92" s="271"/>
      <c r="GK92" s="271"/>
      <c r="GL92" s="271"/>
      <c r="GM92" s="271"/>
      <c r="GN92" s="271"/>
      <c r="GO92" s="271"/>
      <c r="GP92" s="271"/>
      <c r="GQ92" s="271"/>
      <c r="GR92" s="271"/>
      <c r="GS92" s="271"/>
      <c r="GT92" s="271"/>
      <c r="GU92" s="271"/>
      <c r="GV92" s="271"/>
      <c r="GW92" s="271"/>
      <c r="GX92" s="271"/>
      <c r="GY92" s="271"/>
      <c r="GZ92" s="271"/>
      <c r="HA92" s="271"/>
      <c r="HB92" s="271"/>
      <c r="HC92" s="271"/>
      <c r="HD92" s="271"/>
      <c r="HE92" s="271"/>
      <c r="HF92" s="271"/>
      <c r="HG92" s="271"/>
      <c r="HH92" s="271"/>
      <c r="HI92" s="271"/>
      <c r="HJ92" s="271"/>
      <c r="HK92" s="271"/>
      <c r="HL92" s="271"/>
      <c r="HM92" s="271"/>
      <c r="HN92" s="271"/>
      <c r="HO92" s="271"/>
      <c r="HP92" s="271"/>
      <c r="HQ92" s="271"/>
      <c r="HR92" s="271"/>
      <c r="HS92" s="271"/>
      <c r="HT92" s="271"/>
      <c r="HU92" s="271"/>
      <c r="HV92" s="271"/>
      <c r="HW92" s="271"/>
      <c r="HX92" s="271"/>
      <c r="HY92" s="271"/>
      <c r="HZ92" s="271"/>
      <c r="IA92" s="271"/>
      <c r="IB92" s="271"/>
      <c r="IC92" s="271"/>
      <c r="ID92" s="271"/>
      <c r="IE92" s="271"/>
      <c r="IF92" s="271"/>
      <c r="IG92" s="271"/>
      <c r="IH92" s="271"/>
      <c r="II92" s="271"/>
      <c r="IJ92" s="271"/>
      <c r="IK92" s="271"/>
      <c r="IL92" s="271"/>
      <c r="IM92" s="271"/>
      <c r="IN92" s="271"/>
      <c r="IO92" s="271"/>
      <c r="IP92" s="271"/>
      <c r="IQ92" s="271"/>
      <c r="IR92" s="271"/>
      <c r="IS92" s="271"/>
      <c r="IT92" s="271"/>
      <c r="IU92" s="271"/>
      <c r="IV92" s="271"/>
      <c r="IW92" s="271"/>
      <c r="IX92" s="271"/>
      <c r="IY92" s="272">
        <v>2</v>
      </c>
      <c r="IZ92" s="273">
        <f>(TEXT(K92,"[m]")/60)*VLOOKUP(IY92,'Income Person-hours'!A$2:C$5,3,FALSE)</f>
        <v>0</v>
      </c>
      <c r="JA92" s="274"/>
      <c r="JB92" s="274"/>
      <c r="JC92" s="274"/>
      <c r="JD92" s="275">
        <f>SUM((TEXT(JA92,"[M]")/60)*'Income Person-hours'!$D$3,(TEXT(JB92,"[M]")/60)*'Income Person-hours'!$D$4,(TEXT(JC92,"[M]")/60)*'Income Person-hours'!$D$5)</f>
        <v>0</v>
      </c>
    </row>
    <row r="93" spans="1:264" s="276" customFormat="1" ht="13.5">
      <c r="A93" s="262">
        <v>4.2</v>
      </c>
      <c r="B93" s="277" t="s">
        <v>134</v>
      </c>
      <c r="C93" s="263" t="s">
        <v>79</v>
      </c>
      <c r="D93" s="280" t="str">
        <f>IF(OR(j_WEEKDAY(J_ADDDAY(VLOOKUP(I93,A:F,6,FALSE),H93,1),0)=6,SUMIFS(Holieday[ok],Holieday[date],J_ADDDAY(VLOOKUP(I93,A:F,6,FALSE),H93,1)))=FALSE(),J_ADDDAY(VLOOKUP(I93,A:F,6,FALSE),H93,1),IF(OR(j_WEEKDAY(J_ADDDAY(VLOOKUP(I93,A:F,6,FALSE),H93+1,1),0)=6,SUMIFS(Holieday[ok],Holieday[date],J_ADDDAY(VLOOKUP(I93,A:F,6,FALSE),H93+1,1)))=FALSE(),J_ADDDAY(VLOOKUP(I93,A:F,6,FALSE),H93+1,1),IF(OR(j_WEEKDAY(J_ADDDAY(VLOOKUP(I93,A:F,6,FALSE),H93+2,1),0)=6,SUMIFS(Holieday[ok],Holieday[date],J_ADDDAY(VLOOKUP(I93,A:F,6,FALSE),H93+2,1)))=FALSE(),J_ADDDAY(VLOOKUP(I93,A:F,6,FALSE),H93+2,1),IF(OR(j_WEEKDAY(J_ADDDAY(VLOOKUP(I93,A:F,6,FALSE),H93+3,1),0)=6,SUMIFS(Holieday[ok],Holieday[date],J_ADDDAY(VLOOKUP(I93,A:F,6,FALSE),H93+3,1)))=FALSE(),J_ADDDAY(VLOOKUP(I93,A:F,6,FALSE),H93+3,1),IF(OR(j_WEEKDAY(J_ADDDAY(VLOOKUP(I93,A:F,6,FALSE),H93+4,1),0)=6,SUMIFS(Holieday[ok],Holieday[date],J_ADDDAY(VLOOKUP(I93,A:F,6,FALSE),H93+4,1)))=FALSE(),J_ADDDAY(VLOOKUP(I93,A:F,6,FALSE),H93+4,1),J_ADDDAY(VLOOKUP(I93,A:F,6,FALSE),H93+5,1))))))</f>
        <v>1398/07/04</v>
      </c>
      <c r="E93" s="160">
        <f t="shared" si="33"/>
        <v>13980704</v>
      </c>
      <c r="F93" s="280" t="str">
        <f>IF(N93=0,J_SUBDAY(D93,1,1),IF((N93-NETWORKDAYS.INTL(J_GregorianDate(D93,1),J_GregorianDate(J_SUBDAY(J_ADDDAY(D93,N93,1),1,1),1),16,1)-SUMIFS(Holieday[ok],Holieday[date],CONCATENATE("&gt;","=",D93),Holieday[date],CONCATENATE("&lt;","=",J_SUBDAY(J_ADDDAY(D93,N93,1),1,1)))+SUMIFS(Holieday[Friday],Holieday[date],CONCATENATE("&gt;","=",D93),Holieday[date],CONCATENATE("&lt;","=",J_SUBDAY(J_ADDDAY(D93,N93,1),1,1))))=0,J_SUBDAY(J_ADDDAY(D93,N93,1),1,1),IF((N93-NETWORKDAYS.INTL(J_GregorianDate(D93,1),J_GregorianDate(J_SUBDAY(J_ADDDAY(D93,N93,1),1,1),1),16,1)-SUMIFS(Holieday[ok],Holieday[date],CONCATENATE("&gt;","=",D93),Holieday[date],CONCATENATE("&lt;","=",J_SUBDAY(J_ADDDAY(D93,N93,1),1,1)))+SUMIFS(Holieday[Friday],Holieday[date],CONCATENATE("&gt;","=",D93),Holieday[date],CONCATENATE("&lt;","=",J_SUBDAY(J_ADDDAY(D93,N93,1),1,1))))=1,J_SUBDAY(J_ADDDAY(D93,N93+1,1),1,1),IF((N93-NETWORKDAYS.INTL(J_GregorianDate(D93,1),J_GregorianDate(J_SUBDAY(J_ADDDAY(D93,N93,1),1,1),1),16,1)-SUMIFS(Holieday[ok],Holieday[date],CONCATENATE("&gt;","=",D93),Holieday[date],CONCATENATE("&lt;","=",J_SUBDAY(J_ADDDAY(D93,N93,1),1,1)))+SUMIFS(Holieday[Friday],Holieday[date],CONCATENATE("&gt;","=",D93),Holieday[date],CONCATENATE("&lt;","=",J_SUBDAY(J_ADDDAY(D93,N93,1),1,1))))=2,J_SUBDAY(J_ADDDAY(D93,N93+2,1),1,1),J_SUBDAY(J_ADDDAY(D93,N93+3,1),1,1)))))</f>
        <v>1398/07/09</v>
      </c>
      <c r="G93" s="163">
        <f t="shared" si="30"/>
        <v>13980709</v>
      </c>
      <c r="H93" s="266">
        <v>1</v>
      </c>
      <c r="I93" s="267">
        <v>4.0999999999999996</v>
      </c>
      <c r="J93" s="265">
        <f>j_WEEKDAY(D93,2)</f>
        <v>5</v>
      </c>
      <c r="K93" s="173">
        <f t="shared" si="34"/>
        <v>0</v>
      </c>
      <c r="L93" s="268">
        <f t="shared" si="35"/>
        <v>6</v>
      </c>
      <c r="M93" s="269">
        <v>0</v>
      </c>
      <c r="N93" s="270">
        <v>5</v>
      </c>
      <c r="O93" s="175">
        <f t="shared" si="31"/>
        <v>0</v>
      </c>
      <c r="P93" s="175">
        <f>VALUE(J_normdate(J_ADDDAY($D93,$O93,1)))</f>
        <v>13980704</v>
      </c>
      <c r="Q93" s="171">
        <f t="shared" si="32"/>
        <v>6</v>
      </c>
      <c r="R93" s="271"/>
      <c r="S93" s="271"/>
      <c r="T93" s="271"/>
      <c r="U93" s="271"/>
      <c r="V93" s="271"/>
      <c r="W93" s="271"/>
      <c r="X93" s="271"/>
      <c r="Y93" s="271"/>
      <c r="Z93" s="271"/>
      <c r="AA93" s="271"/>
      <c r="AB93" s="271"/>
      <c r="AC93" s="271"/>
      <c r="AD93" s="271"/>
      <c r="AE93" s="271"/>
      <c r="AF93" s="271"/>
      <c r="AG93" s="271"/>
      <c r="AH93" s="271"/>
      <c r="AI93" s="271"/>
      <c r="AJ93" s="271"/>
      <c r="AK93" s="271"/>
      <c r="AL93" s="271"/>
      <c r="AM93" s="271"/>
      <c r="AN93" s="271"/>
      <c r="AO93" s="271"/>
      <c r="AP93" s="271"/>
      <c r="AQ93" s="271"/>
      <c r="AR93" s="271"/>
      <c r="AS93" s="271"/>
      <c r="AT93" s="271"/>
      <c r="AU93" s="271"/>
      <c r="AV93" s="271"/>
      <c r="AW93" s="271"/>
      <c r="AX93" s="271"/>
      <c r="AY93" s="271"/>
      <c r="AZ93" s="271"/>
      <c r="BA93" s="271"/>
      <c r="BB93" s="271"/>
      <c r="BC93" s="271"/>
      <c r="BD93" s="271"/>
      <c r="BE93" s="271"/>
      <c r="BF93" s="271"/>
      <c r="BG93" s="271"/>
      <c r="BH93" s="271"/>
      <c r="BI93" s="271"/>
      <c r="BJ93" s="271"/>
      <c r="BK93" s="271"/>
      <c r="BL93" s="271"/>
      <c r="BM93" s="271"/>
      <c r="BN93" s="271"/>
      <c r="BO93" s="271"/>
      <c r="BP93" s="271"/>
      <c r="BQ93" s="271"/>
      <c r="BR93" s="271"/>
      <c r="BS93" s="271"/>
      <c r="BT93" s="271"/>
      <c r="BU93" s="271"/>
      <c r="BV93" s="271"/>
      <c r="BW93" s="271"/>
      <c r="BX93" s="271"/>
      <c r="BY93" s="271"/>
      <c r="BZ93" s="271"/>
      <c r="CA93" s="271"/>
      <c r="CB93" s="271"/>
      <c r="CC93" s="271"/>
      <c r="CD93" s="271"/>
      <c r="CE93" s="271"/>
      <c r="CF93" s="271"/>
      <c r="CG93" s="271"/>
      <c r="CH93" s="271"/>
      <c r="CI93" s="271"/>
      <c r="CJ93" s="271"/>
      <c r="CK93" s="271"/>
      <c r="CL93" s="271"/>
      <c r="CM93" s="271"/>
      <c r="CN93" s="271"/>
      <c r="CO93" s="271"/>
      <c r="CP93" s="271"/>
      <c r="CQ93" s="271"/>
      <c r="CR93" s="271"/>
      <c r="CS93" s="271"/>
      <c r="CT93" s="271"/>
      <c r="CU93" s="271"/>
      <c r="CV93" s="271"/>
      <c r="CW93" s="271"/>
      <c r="CX93" s="271"/>
      <c r="CY93" s="271"/>
      <c r="CZ93" s="271"/>
      <c r="DA93" s="271"/>
      <c r="DB93" s="271"/>
      <c r="DC93" s="271"/>
      <c r="DD93" s="271"/>
      <c r="DE93" s="271"/>
      <c r="DF93" s="271"/>
      <c r="DG93" s="271"/>
      <c r="DH93" s="271"/>
      <c r="DI93" s="271"/>
      <c r="DJ93" s="271"/>
      <c r="DK93" s="271"/>
      <c r="DL93" s="271"/>
      <c r="DM93" s="271"/>
      <c r="DN93" s="271"/>
      <c r="DO93" s="271"/>
      <c r="DP93" s="271"/>
      <c r="DQ93" s="271"/>
      <c r="DR93" s="271"/>
      <c r="DS93" s="271"/>
      <c r="DT93" s="271"/>
      <c r="DU93" s="271"/>
      <c r="DV93" s="271"/>
      <c r="DW93" s="271"/>
      <c r="DX93" s="271"/>
      <c r="DY93" s="271"/>
      <c r="DZ93" s="271"/>
      <c r="EA93" s="271"/>
      <c r="EB93" s="271"/>
      <c r="EC93" s="271"/>
      <c r="ED93" s="271"/>
      <c r="EE93" s="271"/>
      <c r="EF93" s="271"/>
      <c r="EG93" s="271"/>
      <c r="EH93" s="271"/>
      <c r="EI93" s="271"/>
      <c r="EJ93" s="271"/>
      <c r="EK93" s="271"/>
      <c r="EL93" s="271"/>
      <c r="EM93" s="271"/>
      <c r="EN93" s="271"/>
      <c r="EO93" s="271"/>
      <c r="EP93" s="271"/>
      <c r="EQ93" s="271"/>
      <c r="ER93" s="271"/>
      <c r="ES93" s="271"/>
      <c r="ET93" s="271"/>
      <c r="EU93" s="271"/>
      <c r="EV93" s="271"/>
      <c r="EW93" s="271"/>
      <c r="EX93" s="271"/>
      <c r="EY93" s="271"/>
      <c r="EZ93" s="271"/>
      <c r="FA93" s="271"/>
      <c r="FB93" s="271"/>
      <c r="FC93" s="271"/>
      <c r="FD93" s="271"/>
      <c r="FE93" s="271"/>
      <c r="FF93" s="271"/>
      <c r="FG93" s="271"/>
      <c r="FH93" s="271"/>
      <c r="FI93" s="271"/>
      <c r="FJ93" s="271"/>
      <c r="FK93" s="271"/>
      <c r="FL93" s="271"/>
      <c r="FM93" s="271"/>
      <c r="FN93" s="271"/>
      <c r="FO93" s="271"/>
      <c r="FP93" s="271"/>
      <c r="FQ93" s="271"/>
      <c r="FR93" s="271"/>
      <c r="FS93" s="271"/>
      <c r="FT93" s="271"/>
      <c r="FU93" s="271"/>
      <c r="FV93" s="271"/>
      <c r="FW93" s="271"/>
      <c r="FX93" s="271"/>
      <c r="FY93" s="271"/>
      <c r="FZ93" s="271"/>
      <c r="GA93" s="271"/>
      <c r="GB93" s="271"/>
      <c r="GC93" s="271"/>
      <c r="GD93" s="271"/>
      <c r="GE93" s="271"/>
      <c r="GF93" s="271"/>
      <c r="GG93" s="271"/>
      <c r="GH93" s="271"/>
      <c r="GI93" s="271"/>
      <c r="GJ93" s="271"/>
      <c r="GK93" s="271"/>
      <c r="GL93" s="271"/>
      <c r="GM93" s="271"/>
      <c r="GN93" s="271"/>
      <c r="GO93" s="271"/>
      <c r="GP93" s="271"/>
      <c r="GQ93" s="271"/>
      <c r="GR93" s="271"/>
      <c r="GS93" s="271"/>
      <c r="GT93" s="271"/>
      <c r="GU93" s="271"/>
      <c r="GV93" s="271"/>
      <c r="GW93" s="271"/>
      <c r="GX93" s="271"/>
      <c r="GY93" s="271"/>
      <c r="GZ93" s="271"/>
      <c r="HA93" s="271"/>
      <c r="HB93" s="271"/>
      <c r="HC93" s="271"/>
      <c r="HD93" s="271"/>
      <c r="HE93" s="271"/>
      <c r="HF93" s="271"/>
      <c r="HG93" s="271"/>
      <c r="HH93" s="271"/>
      <c r="HI93" s="271"/>
      <c r="HJ93" s="271"/>
      <c r="HK93" s="271"/>
      <c r="HL93" s="271"/>
      <c r="HM93" s="271"/>
      <c r="HN93" s="271"/>
      <c r="HO93" s="271"/>
      <c r="HP93" s="271"/>
      <c r="HQ93" s="271"/>
      <c r="HR93" s="271"/>
      <c r="HS93" s="271"/>
      <c r="HT93" s="271"/>
      <c r="HU93" s="271"/>
      <c r="HV93" s="271"/>
      <c r="HW93" s="271"/>
      <c r="HX93" s="271"/>
      <c r="HY93" s="271"/>
      <c r="HZ93" s="271"/>
      <c r="IA93" s="271"/>
      <c r="IB93" s="271"/>
      <c r="IC93" s="271"/>
      <c r="ID93" s="271"/>
      <c r="IE93" s="271"/>
      <c r="IF93" s="271"/>
      <c r="IG93" s="271"/>
      <c r="IH93" s="271"/>
      <c r="II93" s="271"/>
      <c r="IJ93" s="271"/>
      <c r="IK93" s="271"/>
      <c r="IL93" s="271"/>
      <c r="IM93" s="271"/>
      <c r="IN93" s="271"/>
      <c r="IO93" s="271"/>
      <c r="IP93" s="271"/>
      <c r="IQ93" s="271"/>
      <c r="IR93" s="271"/>
      <c r="IS93" s="271"/>
      <c r="IT93" s="271"/>
      <c r="IU93" s="271"/>
      <c r="IV93" s="271"/>
      <c r="IW93" s="271"/>
      <c r="IX93" s="271"/>
      <c r="IY93" s="272">
        <v>3</v>
      </c>
      <c r="IZ93" s="273">
        <f>(TEXT(K93,"[m]")/60)*VLOOKUP(IY93,'Income Person-hours'!A$2:C$5,3,FALSE)</f>
        <v>0</v>
      </c>
      <c r="JA93" s="274"/>
      <c r="JB93" s="274"/>
      <c r="JC93" s="274"/>
      <c r="JD93" s="275">
        <f>SUM((TEXT(JA93,"[M]")/60)*'Income Person-hours'!$D$3,(TEXT(JB93,"[M]")/60)*'Income Person-hours'!$D$4,(TEXT(JC93,"[M]")/60)*'Income Person-hours'!$D$5)</f>
        <v>0</v>
      </c>
    </row>
    <row r="94" spans="1:264" s="276" customFormat="1" ht="13.5">
      <c r="A94" s="262">
        <v>4.3</v>
      </c>
      <c r="B94" s="277" t="s">
        <v>149</v>
      </c>
      <c r="C94" s="263" t="s">
        <v>110</v>
      </c>
      <c r="D94" s="280" t="str">
        <f>IF(OR(j_WEEKDAY(J_ADDDAY(VLOOKUP(I94,A:F,6,FALSE),H94,1),0)=6,SUMIFS(Holieday[ok],Holieday[date],J_ADDDAY(VLOOKUP(I94,A:F,6,FALSE),H94,1)))=FALSE(),J_ADDDAY(VLOOKUP(I94,A:F,6,FALSE),H94,1),IF(OR(j_WEEKDAY(J_ADDDAY(VLOOKUP(I94,A:F,6,FALSE),H94+1,1),0)=6,SUMIFS(Holieday[ok],Holieday[date],J_ADDDAY(VLOOKUP(I94,A:F,6,FALSE),H94+1,1)))=FALSE(),J_ADDDAY(VLOOKUP(I94,A:F,6,FALSE),H94+1,1),IF(OR(j_WEEKDAY(J_ADDDAY(VLOOKUP(I94,A:F,6,FALSE),H94+2,1),0)=6,SUMIFS(Holieday[ok],Holieday[date],J_ADDDAY(VLOOKUP(I94,A:F,6,FALSE),H94+2,1)))=FALSE(),J_ADDDAY(VLOOKUP(I94,A:F,6,FALSE),H94+2,1),IF(OR(j_WEEKDAY(J_ADDDAY(VLOOKUP(I94,A:F,6,FALSE),H94+3,1),0)=6,SUMIFS(Holieday[ok],Holieday[date],J_ADDDAY(VLOOKUP(I94,A:F,6,FALSE),H94+3,1)))=FALSE(),J_ADDDAY(VLOOKUP(I94,A:F,6,FALSE),H94+3,1),IF(OR(j_WEEKDAY(J_ADDDAY(VLOOKUP(I94,A:F,6,FALSE),H94+4,1),0)=6,SUMIFS(Holieday[ok],Holieday[date],J_ADDDAY(VLOOKUP(I94,A:F,6,FALSE),H94+4,1)))=FALSE(),J_ADDDAY(VLOOKUP(I94,A:F,6,FALSE),H94+4,1),J_ADDDAY(VLOOKUP(I94,A:F,6,FALSE),H94+5,1))))))</f>
        <v>1398/07/20</v>
      </c>
      <c r="E94" s="160">
        <f t="shared" si="33"/>
        <v>13980720</v>
      </c>
      <c r="F94" s="280" t="str">
        <f>IF(N94=0,J_SUBDAY(D94,1,1),IF((N94-NETWORKDAYS.INTL(J_GregorianDate(D94,1),J_GregorianDate(J_SUBDAY(J_ADDDAY(D94,N94,1),1,1),1),16,1)-SUMIFS(Holieday[ok],Holieday[date],CONCATENATE("&gt;","=",D94),Holieday[date],CONCATENATE("&lt;","=",J_SUBDAY(J_ADDDAY(D94,N94,1),1,1)))+SUMIFS(Holieday[Friday],Holieday[date],CONCATENATE("&gt;","=",D94),Holieday[date],CONCATENATE("&lt;","=",J_SUBDAY(J_ADDDAY(D94,N94,1),1,1))))=0,J_SUBDAY(J_ADDDAY(D94,N94,1),1,1),IF((N94-NETWORKDAYS.INTL(J_GregorianDate(D94,1),J_GregorianDate(J_SUBDAY(J_ADDDAY(D94,N94,1),1,1),1),16,1)-SUMIFS(Holieday[ok],Holieday[date],CONCATENATE("&gt;","=",D94),Holieday[date],CONCATENATE("&lt;","=",J_SUBDAY(J_ADDDAY(D94,N94,1),1,1)))+SUMIFS(Holieday[Friday],Holieday[date],CONCATENATE("&gt;","=",D94),Holieday[date],CONCATENATE("&lt;","=",J_SUBDAY(J_ADDDAY(D94,N94,1),1,1))))=1,J_SUBDAY(J_ADDDAY(D94,N94+1,1),1,1),IF((N94-NETWORKDAYS.INTL(J_GregorianDate(D94,1),J_GregorianDate(J_SUBDAY(J_ADDDAY(D94,N94,1),1,1),1),16,1)-SUMIFS(Holieday[ok],Holieday[date],CONCATENATE("&gt;","=",D94),Holieday[date],CONCATENATE("&lt;","=",J_SUBDAY(J_ADDDAY(D94,N94,1),1,1)))+SUMIFS(Holieday[Friday],Holieday[date],CONCATENATE("&gt;","=",D94),Holieday[date],CONCATENATE("&lt;","=",J_SUBDAY(J_ADDDAY(D94,N94,1),1,1))))=2,J_SUBDAY(J_ADDDAY(D94,N94+2,1),1,1),J_SUBDAY(J_ADDDAY(D94,N94+3,1),1,1)))))</f>
        <v>1398/07/29</v>
      </c>
      <c r="G94" s="163">
        <f t="shared" si="30"/>
        <v>13980729</v>
      </c>
      <c r="H94" s="266">
        <v>10</v>
      </c>
      <c r="I94" s="267">
        <v>4.2</v>
      </c>
      <c r="J94" s="265">
        <f>j_WEEKDAY(D94,2)</f>
        <v>0</v>
      </c>
      <c r="K94" s="173">
        <f t="shared" si="34"/>
        <v>0</v>
      </c>
      <c r="L94" s="268">
        <f t="shared" si="35"/>
        <v>10</v>
      </c>
      <c r="M94" s="269">
        <v>0</v>
      </c>
      <c r="N94" s="270">
        <v>10</v>
      </c>
      <c r="O94" s="175">
        <f t="shared" si="31"/>
        <v>0</v>
      </c>
      <c r="P94" s="175">
        <f>VALUE(J_normdate(J_ADDDAY($D94,$O94,1)))</f>
        <v>13980720</v>
      </c>
      <c r="Q94" s="171">
        <f t="shared" si="32"/>
        <v>10</v>
      </c>
      <c r="R94" s="271"/>
      <c r="S94" s="271"/>
      <c r="T94" s="271"/>
      <c r="U94" s="271"/>
      <c r="V94" s="271"/>
      <c r="W94" s="271"/>
      <c r="X94" s="271"/>
      <c r="Y94" s="271"/>
      <c r="Z94" s="271"/>
      <c r="AA94" s="271"/>
      <c r="AB94" s="271"/>
      <c r="AC94" s="271"/>
      <c r="AD94" s="271"/>
      <c r="AE94" s="271"/>
      <c r="AF94" s="271"/>
      <c r="AG94" s="271"/>
      <c r="AH94" s="271"/>
      <c r="AI94" s="271"/>
      <c r="AJ94" s="271"/>
      <c r="AK94" s="271"/>
      <c r="AL94" s="271"/>
      <c r="AM94" s="271"/>
      <c r="AN94" s="271"/>
      <c r="AO94" s="271"/>
      <c r="AP94" s="271"/>
      <c r="AQ94" s="271"/>
      <c r="AR94" s="271"/>
      <c r="AS94" s="271"/>
      <c r="AT94" s="271"/>
      <c r="AU94" s="271"/>
      <c r="AV94" s="271"/>
      <c r="AW94" s="271"/>
      <c r="AX94" s="271"/>
      <c r="AY94" s="271"/>
      <c r="AZ94" s="271"/>
      <c r="BA94" s="271"/>
      <c r="BB94" s="271"/>
      <c r="BC94" s="271"/>
      <c r="BD94" s="271"/>
      <c r="BE94" s="271"/>
      <c r="BF94" s="271"/>
      <c r="BG94" s="271"/>
      <c r="BH94" s="271"/>
      <c r="BI94" s="271"/>
      <c r="BJ94" s="271"/>
      <c r="BK94" s="271"/>
      <c r="BL94" s="271"/>
      <c r="BM94" s="271"/>
      <c r="BN94" s="271"/>
      <c r="BO94" s="271"/>
      <c r="BP94" s="271"/>
      <c r="BQ94" s="271"/>
      <c r="BR94" s="271"/>
      <c r="BS94" s="271"/>
      <c r="BT94" s="271"/>
      <c r="BU94" s="271"/>
      <c r="BV94" s="271"/>
      <c r="BW94" s="271"/>
      <c r="BX94" s="271"/>
      <c r="BY94" s="271"/>
      <c r="BZ94" s="271"/>
      <c r="CA94" s="271"/>
      <c r="CB94" s="271"/>
      <c r="CC94" s="271"/>
      <c r="CD94" s="271"/>
      <c r="CE94" s="271"/>
      <c r="CF94" s="271"/>
      <c r="CG94" s="271"/>
      <c r="CH94" s="271"/>
      <c r="CI94" s="271"/>
      <c r="CJ94" s="271"/>
      <c r="CK94" s="271"/>
      <c r="CL94" s="271"/>
      <c r="CM94" s="271"/>
      <c r="CN94" s="271"/>
      <c r="CO94" s="271"/>
      <c r="CP94" s="271"/>
      <c r="CQ94" s="271"/>
      <c r="CR94" s="271"/>
      <c r="CS94" s="271"/>
      <c r="CT94" s="271"/>
      <c r="CU94" s="271"/>
      <c r="CV94" s="271"/>
      <c r="CW94" s="271"/>
      <c r="CX94" s="271"/>
      <c r="CY94" s="271"/>
      <c r="CZ94" s="271"/>
      <c r="DA94" s="271"/>
      <c r="DB94" s="271"/>
      <c r="DC94" s="271"/>
      <c r="DD94" s="271"/>
      <c r="DE94" s="271"/>
      <c r="DF94" s="271"/>
      <c r="DG94" s="271"/>
      <c r="DH94" s="271"/>
      <c r="DI94" s="271"/>
      <c r="DJ94" s="271"/>
      <c r="DK94" s="271"/>
      <c r="DL94" s="271"/>
      <c r="DM94" s="271"/>
      <c r="DN94" s="271"/>
      <c r="DO94" s="271"/>
      <c r="DP94" s="271"/>
      <c r="DQ94" s="271"/>
      <c r="DR94" s="271"/>
      <c r="DS94" s="271"/>
      <c r="DT94" s="271"/>
      <c r="DU94" s="271"/>
      <c r="DV94" s="271"/>
      <c r="DW94" s="271"/>
      <c r="DX94" s="271"/>
      <c r="DY94" s="271"/>
      <c r="DZ94" s="271"/>
      <c r="EA94" s="271"/>
      <c r="EB94" s="271"/>
      <c r="EC94" s="271"/>
      <c r="ED94" s="271"/>
      <c r="EE94" s="271"/>
      <c r="EF94" s="271"/>
      <c r="EG94" s="271"/>
      <c r="EH94" s="271"/>
      <c r="EI94" s="271"/>
      <c r="EJ94" s="271"/>
      <c r="EK94" s="271"/>
      <c r="EL94" s="271"/>
      <c r="EM94" s="271"/>
      <c r="EN94" s="271"/>
      <c r="EO94" s="271"/>
      <c r="EP94" s="271"/>
      <c r="EQ94" s="271"/>
      <c r="ER94" s="271"/>
      <c r="ES94" s="271"/>
      <c r="ET94" s="271"/>
      <c r="EU94" s="271"/>
      <c r="EV94" s="271"/>
      <c r="EW94" s="271"/>
      <c r="EX94" s="271"/>
      <c r="EY94" s="271"/>
      <c r="EZ94" s="271"/>
      <c r="FA94" s="271"/>
      <c r="FB94" s="271"/>
      <c r="FC94" s="271"/>
      <c r="FD94" s="271"/>
      <c r="FE94" s="271"/>
      <c r="FF94" s="271"/>
      <c r="FG94" s="271"/>
      <c r="FH94" s="271"/>
      <c r="FI94" s="271"/>
      <c r="FJ94" s="271"/>
      <c r="FK94" s="271"/>
      <c r="FL94" s="271"/>
      <c r="FM94" s="271"/>
      <c r="FN94" s="271"/>
      <c r="FO94" s="271"/>
      <c r="FP94" s="271"/>
      <c r="FQ94" s="271"/>
      <c r="FR94" s="271"/>
      <c r="FS94" s="271"/>
      <c r="FT94" s="271"/>
      <c r="FU94" s="271"/>
      <c r="FV94" s="271"/>
      <c r="FW94" s="271"/>
      <c r="FX94" s="271"/>
      <c r="FY94" s="271"/>
      <c r="FZ94" s="271"/>
      <c r="GA94" s="271"/>
      <c r="GB94" s="271"/>
      <c r="GC94" s="271"/>
      <c r="GD94" s="271"/>
      <c r="GE94" s="271"/>
      <c r="GF94" s="271"/>
      <c r="GG94" s="271"/>
      <c r="GH94" s="271"/>
      <c r="GI94" s="271"/>
      <c r="GJ94" s="271"/>
      <c r="GK94" s="271"/>
      <c r="GL94" s="271"/>
      <c r="GM94" s="271"/>
      <c r="GN94" s="271"/>
      <c r="GO94" s="271"/>
      <c r="GP94" s="271"/>
      <c r="GQ94" s="271"/>
      <c r="GR94" s="271"/>
      <c r="GS94" s="271"/>
      <c r="GT94" s="271"/>
      <c r="GU94" s="271"/>
      <c r="GV94" s="271"/>
      <c r="GW94" s="271"/>
      <c r="GX94" s="271"/>
      <c r="GY94" s="271"/>
      <c r="GZ94" s="271"/>
      <c r="HA94" s="271"/>
      <c r="HB94" s="271"/>
      <c r="HC94" s="271"/>
      <c r="HD94" s="271"/>
      <c r="HE94" s="271"/>
      <c r="HF94" s="271"/>
      <c r="HG94" s="271"/>
      <c r="HH94" s="271"/>
      <c r="HI94" s="271"/>
      <c r="HJ94" s="271"/>
      <c r="HK94" s="271"/>
      <c r="HL94" s="271"/>
      <c r="HM94" s="271"/>
      <c r="HN94" s="271"/>
      <c r="HO94" s="271"/>
      <c r="HP94" s="271"/>
      <c r="HQ94" s="271"/>
      <c r="HR94" s="271"/>
      <c r="HS94" s="271"/>
      <c r="HT94" s="271"/>
      <c r="HU94" s="271"/>
      <c r="HV94" s="271"/>
      <c r="HW94" s="271"/>
      <c r="HX94" s="271"/>
      <c r="HY94" s="271"/>
      <c r="HZ94" s="271"/>
      <c r="IA94" s="271"/>
      <c r="IB94" s="271"/>
      <c r="IC94" s="271"/>
      <c r="ID94" s="271"/>
      <c r="IE94" s="271"/>
      <c r="IF94" s="271"/>
      <c r="IG94" s="271"/>
      <c r="IH94" s="271"/>
      <c r="II94" s="271"/>
      <c r="IJ94" s="271"/>
      <c r="IK94" s="271"/>
      <c r="IL94" s="271"/>
      <c r="IM94" s="271"/>
      <c r="IN94" s="271"/>
      <c r="IO94" s="271"/>
      <c r="IP94" s="271"/>
      <c r="IQ94" s="271"/>
      <c r="IR94" s="271"/>
      <c r="IS94" s="271"/>
      <c r="IT94" s="271"/>
      <c r="IU94" s="271"/>
      <c r="IV94" s="271"/>
      <c r="IW94" s="271"/>
      <c r="IX94" s="271"/>
      <c r="IY94" s="272">
        <v>3</v>
      </c>
      <c r="IZ94" s="273">
        <f>(TEXT(K94,"[m]")/60)*VLOOKUP(IY94,'Income Person-hours'!A$2:C$5,3,FALSE)</f>
        <v>0</v>
      </c>
      <c r="JA94" s="274"/>
      <c r="JB94" s="274"/>
      <c r="JC94" s="274"/>
      <c r="JD94" s="275">
        <f>SUM((TEXT(JA94,"[M]")/60)*'Income Person-hours'!$D$3,(TEXT(JB94,"[M]")/60)*'Income Person-hours'!$D$4,(TEXT(JC94,"[M]")/60)*'Income Person-hours'!$D$5)</f>
        <v>0</v>
      </c>
    </row>
    <row r="95" spans="1:264" s="276" customFormat="1" ht="13.5">
      <c r="A95" s="262">
        <v>4.4000000000000004</v>
      </c>
      <c r="B95" s="277" t="s">
        <v>148</v>
      </c>
      <c r="C95" s="263" t="s">
        <v>110</v>
      </c>
      <c r="D95" s="280" t="str">
        <f>IF(OR(j_WEEKDAY(J_ADDDAY(VLOOKUP(I95,A:F,6,FALSE),H95,1),0)=6,SUMIFS(Holieday[ok],Holieday[date],J_ADDDAY(VLOOKUP(I95,A:F,6,FALSE),H95,1)))=FALSE(),J_ADDDAY(VLOOKUP(I95,A:F,6,FALSE),H95,1),IF(OR(j_WEEKDAY(J_ADDDAY(VLOOKUP(I95,A:F,6,FALSE),H95+1,1),0)=6,SUMIFS(Holieday[ok],Holieday[date],J_ADDDAY(VLOOKUP(I95,A:F,6,FALSE),H95+1,1)))=FALSE(),J_ADDDAY(VLOOKUP(I95,A:F,6,FALSE),H95+1,1),IF(OR(j_WEEKDAY(J_ADDDAY(VLOOKUP(I95,A:F,6,FALSE),H95+2,1),0)=6,SUMIFS(Holieday[ok],Holieday[date],J_ADDDAY(VLOOKUP(I95,A:F,6,FALSE),H95+2,1)))=FALSE(),J_ADDDAY(VLOOKUP(I95,A:F,6,FALSE),H95+2,1),IF(OR(j_WEEKDAY(J_ADDDAY(VLOOKUP(I95,A:F,6,FALSE),H95+3,1),0)=6,SUMIFS(Holieday[ok],Holieday[date],J_ADDDAY(VLOOKUP(I95,A:F,6,FALSE),H95+3,1)))=FALSE(),J_ADDDAY(VLOOKUP(I95,A:F,6,FALSE),H95+3,1),IF(OR(j_WEEKDAY(J_ADDDAY(VLOOKUP(I95,A:F,6,FALSE),H95+4,1),0)=6,SUMIFS(Holieday[ok],Holieday[date],J_ADDDAY(VLOOKUP(I95,A:F,6,FALSE),H95+4,1)))=FALSE(),J_ADDDAY(VLOOKUP(I95,A:F,6,FALSE),H95+4,1),J_ADDDAY(VLOOKUP(I95,A:F,6,FALSE),H95+5,1))))))</f>
        <v>1398/08/01</v>
      </c>
      <c r="E95" s="160">
        <f t="shared" si="33"/>
        <v>13980801</v>
      </c>
      <c r="F95" s="280" t="str">
        <f>IF(N95=0,J_SUBDAY(D95,1,1),IF((N95-NETWORKDAYS.INTL(J_GregorianDate(D95,1),J_GregorianDate(J_SUBDAY(J_ADDDAY(D95,N95,1),1,1),1),16,1)-SUMIFS(Holieday[ok],Holieday[date],CONCATENATE("&gt;","=",D95),Holieday[date],CONCATENATE("&lt;","=",J_SUBDAY(J_ADDDAY(D95,N95,1),1,1)))+SUMIFS(Holieday[Friday],Holieday[date],CONCATENATE("&gt;","=",D95),Holieday[date],CONCATENATE("&lt;","=",J_SUBDAY(J_ADDDAY(D95,N95,1),1,1))))=0,J_SUBDAY(J_ADDDAY(D95,N95,1),1,1),IF((N95-NETWORKDAYS.INTL(J_GregorianDate(D95,1),J_GregorianDate(J_SUBDAY(J_ADDDAY(D95,N95,1),1,1),1),16,1)-SUMIFS(Holieday[ok],Holieday[date],CONCATENATE("&gt;","=",D95),Holieday[date],CONCATENATE("&lt;","=",J_SUBDAY(J_ADDDAY(D95,N95,1),1,1)))+SUMIFS(Holieday[Friday],Holieday[date],CONCATENATE("&gt;","=",D95),Holieday[date],CONCATENATE("&lt;","=",J_SUBDAY(J_ADDDAY(D95,N95,1),1,1))))=1,J_SUBDAY(J_ADDDAY(D95,N95+1,1),1,1),IF((N95-NETWORKDAYS.INTL(J_GregorianDate(D95,1),J_GregorianDate(J_SUBDAY(J_ADDDAY(D95,N95,1),1,1),1),16,1)-SUMIFS(Holieday[ok],Holieday[date],CONCATENATE("&gt;","=",D95),Holieday[date],CONCATENATE("&lt;","=",J_SUBDAY(J_ADDDAY(D95,N95,1),1,1)))+SUMIFS(Holieday[Friday],Holieday[date],CONCATENATE("&gt;","=",D95),Holieday[date],CONCATENATE("&lt;","=",J_SUBDAY(J_ADDDAY(D95,N95,1),1,1))))=2,J_SUBDAY(J_ADDDAY(D95,N95+2,1),1,1),J_SUBDAY(J_ADDDAY(D95,N95+3,1),1,1)))))</f>
        <v>1398/08/11</v>
      </c>
      <c r="G95" s="163">
        <f t="shared" si="30"/>
        <v>13980811</v>
      </c>
      <c r="H95" s="266">
        <v>2</v>
      </c>
      <c r="I95" s="267">
        <v>4.3</v>
      </c>
      <c r="J95" s="265">
        <f>j_WEEKDAY(D95,2)</f>
        <v>4</v>
      </c>
      <c r="K95" s="173">
        <f t="shared" si="34"/>
        <v>0</v>
      </c>
      <c r="L95" s="268">
        <f t="shared" si="35"/>
        <v>11</v>
      </c>
      <c r="M95" s="269">
        <v>0</v>
      </c>
      <c r="N95" s="270">
        <v>8</v>
      </c>
      <c r="O95" s="175">
        <f t="shared" si="31"/>
        <v>0</v>
      </c>
      <c r="P95" s="175">
        <f>VALUE(J_normdate(J_ADDDAY($D95,$O95,1)))</f>
        <v>13980801</v>
      </c>
      <c r="Q95" s="171">
        <f t="shared" si="32"/>
        <v>11</v>
      </c>
      <c r="R95" s="271"/>
      <c r="S95" s="271"/>
      <c r="T95" s="271"/>
      <c r="U95" s="271"/>
      <c r="V95" s="271"/>
      <c r="W95" s="271"/>
      <c r="X95" s="271"/>
      <c r="Y95" s="271"/>
      <c r="Z95" s="271"/>
      <c r="AA95" s="271"/>
      <c r="AB95" s="271"/>
      <c r="AC95" s="271"/>
      <c r="AD95" s="271"/>
      <c r="AE95" s="271"/>
      <c r="AF95" s="271"/>
      <c r="AG95" s="271"/>
      <c r="AH95" s="271"/>
      <c r="AI95" s="271"/>
      <c r="AJ95" s="271"/>
      <c r="AK95" s="271"/>
      <c r="AL95" s="271"/>
      <c r="AM95" s="271"/>
      <c r="AN95" s="271"/>
      <c r="AO95" s="271"/>
      <c r="AP95" s="271"/>
      <c r="AQ95" s="271"/>
      <c r="AR95" s="271"/>
      <c r="AS95" s="271"/>
      <c r="AT95" s="271"/>
      <c r="AU95" s="271"/>
      <c r="AV95" s="271"/>
      <c r="AW95" s="271"/>
      <c r="AX95" s="271"/>
      <c r="AY95" s="271"/>
      <c r="AZ95" s="271"/>
      <c r="BA95" s="271"/>
      <c r="BB95" s="271"/>
      <c r="BC95" s="271"/>
      <c r="BD95" s="271"/>
      <c r="BE95" s="271"/>
      <c r="BF95" s="271"/>
      <c r="BG95" s="271"/>
      <c r="BH95" s="271"/>
      <c r="BI95" s="271"/>
      <c r="BJ95" s="271"/>
      <c r="BK95" s="271"/>
      <c r="BL95" s="271"/>
      <c r="BM95" s="271"/>
      <c r="BN95" s="271"/>
      <c r="BO95" s="271"/>
      <c r="BP95" s="271"/>
      <c r="BQ95" s="271"/>
      <c r="BR95" s="271"/>
      <c r="BS95" s="271"/>
      <c r="BT95" s="271"/>
      <c r="BU95" s="271"/>
      <c r="BV95" s="271"/>
      <c r="BW95" s="271"/>
      <c r="BX95" s="271"/>
      <c r="BY95" s="271"/>
      <c r="BZ95" s="271"/>
      <c r="CA95" s="271"/>
      <c r="CB95" s="271"/>
      <c r="CC95" s="271"/>
      <c r="CD95" s="271"/>
      <c r="CE95" s="271"/>
      <c r="CF95" s="271"/>
      <c r="CG95" s="271"/>
      <c r="CH95" s="271"/>
      <c r="CI95" s="271"/>
      <c r="CJ95" s="271"/>
      <c r="CK95" s="271"/>
      <c r="CL95" s="271"/>
      <c r="CM95" s="271"/>
      <c r="CN95" s="271"/>
      <c r="CO95" s="271"/>
      <c r="CP95" s="271"/>
      <c r="CQ95" s="271"/>
      <c r="CR95" s="271"/>
      <c r="CS95" s="271"/>
      <c r="CT95" s="271"/>
      <c r="CU95" s="271"/>
      <c r="CV95" s="271"/>
      <c r="CW95" s="271"/>
      <c r="CX95" s="271"/>
      <c r="CY95" s="271"/>
      <c r="CZ95" s="271"/>
      <c r="DA95" s="271"/>
      <c r="DB95" s="271"/>
      <c r="DC95" s="271"/>
      <c r="DD95" s="271"/>
      <c r="DE95" s="271"/>
      <c r="DF95" s="271"/>
      <c r="DG95" s="271"/>
      <c r="DH95" s="271"/>
      <c r="DI95" s="271"/>
      <c r="DJ95" s="271"/>
      <c r="DK95" s="271"/>
      <c r="DL95" s="271"/>
      <c r="DM95" s="271"/>
      <c r="DN95" s="271"/>
      <c r="DO95" s="271"/>
      <c r="DP95" s="271"/>
      <c r="DQ95" s="271"/>
      <c r="DR95" s="271"/>
      <c r="DS95" s="271"/>
      <c r="DT95" s="271"/>
      <c r="DU95" s="271"/>
      <c r="DV95" s="271"/>
      <c r="DW95" s="271"/>
      <c r="DX95" s="271"/>
      <c r="DY95" s="271"/>
      <c r="DZ95" s="271"/>
      <c r="EA95" s="271"/>
      <c r="EB95" s="271"/>
      <c r="EC95" s="271"/>
      <c r="ED95" s="271"/>
      <c r="EE95" s="271"/>
      <c r="EF95" s="271"/>
      <c r="EG95" s="271"/>
      <c r="EH95" s="271"/>
      <c r="EI95" s="271"/>
      <c r="EJ95" s="271"/>
      <c r="EK95" s="271"/>
      <c r="EL95" s="271"/>
      <c r="EM95" s="271"/>
      <c r="EN95" s="271"/>
      <c r="EO95" s="271"/>
      <c r="EP95" s="271"/>
      <c r="EQ95" s="271"/>
      <c r="ER95" s="271"/>
      <c r="ES95" s="271"/>
      <c r="ET95" s="271"/>
      <c r="EU95" s="271"/>
      <c r="EV95" s="271"/>
      <c r="EW95" s="271"/>
      <c r="EX95" s="271"/>
      <c r="EY95" s="271"/>
      <c r="EZ95" s="271"/>
      <c r="FA95" s="271"/>
      <c r="FB95" s="271"/>
      <c r="FC95" s="271"/>
      <c r="FD95" s="271"/>
      <c r="FE95" s="271"/>
      <c r="FF95" s="271"/>
      <c r="FG95" s="271"/>
      <c r="FH95" s="271"/>
      <c r="FI95" s="271"/>
      <c r="FJ95" s="271"/>
      <c r="FK95" s="271"/>
      <c r="FL95" s="271"/>
      <c r="FM95" s="271"/>
      <c r="FN95" s="271"/>
      <c r="FO95" s="271"/>
      <c r="FP95" s="271"/>
      <c r="FQ95" s="271"/>
      <c r="FR95" s="271"/>
      <c r="FS95" s="271"/>
      <c r="FT95" s="271"/>
      <c r="FU95" s="271"/>
      <c r="FV95" s="271"/>
      <c r="FW95" s="271"/>
      <c r="FX95" s="271"/>
      <c r="FY95" s="271"/>
      <c r="FZ95" s="271"/>
      <c r="GA95" s="271"/>
      <c r="GB95" s="271"/>
      <c r="GC95" s="271"/>
      <c r="GD95" s="271"/>
      <c r="GE95" s="271"/>
      <c r="GF95" s="271"/>
      <c r="GG95" s="271"/>
      <c r="GH95" s="271"/>
      <c r="GI95" s="271"/>
      <c r="GJ95" s="271"/>
      <c r="GK95" s="271"/>
      <c r="GL95" s="271"/>
      <c r="GM95" s="271"/>
      <c r="GN95" s="271"/>
      <c r="GO95" s="271"/>
      <c r="GP95" s="271"/>
      <c r="GQ95" s="271"/>
      <c r="GR95" s="271"/>
      <c r="GS95" s="271"/>
      <c r="GT95" s="271"/>
      <c r="GU95" s="271"/>
      <c r="GV95" s="271"/>
      <c r="GW95" s="271"/>
      <c r="GX95" s="271"/>
      <c r="GY95" s="271"/>
      <c r="GZ95" s="271"/>
      <c r="HA95" s="271"/>
      <c r="HB95" s="271"/>
      <c r="HC95" s="271"/>
      <c r="HD95" s="271"/>
      <c r="HE95" s="271"/>
      <c r="HF95" s="271"/>
      <c r="HG95" s="271"/>
      <c r="HH95" s="271"/>
      <c r="HI95" s="271"/>
      <c r="HJ95" s="271"/>
      <c r="HK95" s="271"/>
      <c r="HL95" s="271"/>
      <c r="HM95" s="271"/>
      <c r="HN95" s="271"/>
      <c r="HO95" s="271"/>
      <c r="HP95" s="271"/>
      <c r="HQ95" s="271"/>
      <c r="HR95" s="271"/>
      <c r="HS95" s="271"/>
      <c r="HT95" s="271"/>
      <c r="HU95" s="271"/>
      <c r="HV95" s="271"/>
      <c r="HW95" s="271"/>
      <c r="HX95" s="271"/>
      <c r="HY95" s="271"/>
      <c r="HZ95" s="271"/>
      <c r="IA95" s="271"/>
      <c r="IB95" s="271"/>
      <c r="IC95" s="271"/>
      <c r="ID95" s="271"/>
      <c r="IE95" s="271"/>
      <c r="IF95" s="271"/>
      <c r="IG95" s="271"/>
      <c r="IH95" s="271"/>
      <c r="II95" s="271"/>
      <c r="IJ95" s="271"/>
      <c r="IK95" s="271"/>
      <c r="IL95" s="271"/>
      <c r="IM95" s="271"/>
      <c r="IN95" s="271"/>
      <c r="IO95" s="271"/>
      <c r="IP95" s="271"/>
      <c r="IQ95" s="271"/>
      <c r="IR95" s="271"/>
      <c r="IS95" s="271"/>
      <c r="IT95" s="271"/>
      <c r="IU95" s="271"/>
      <c r="IV95" s="271"/>
      <c r="IW95" s="271"/>
      <c r="IX95" s="271"/>
      <c r="IY95" s="272">
        <v>3</v>
      </c>
      <c r="IZ95" s="273">
        <f>(TEXT(K95,"[m]")/60)*VLOOKUP(IY95,'Income Person-hours'!A$2:C$5,3,FALSE)</f>
        <v>0</v>
      </c>
      <c r="JA95" s="274"/>
      <c r="JB95" s="274"/>
      <c r="JC95" s="274"/>
      <c r="JD95" s="275">
        <f>SUM((TEXT(JA95,"[M]")/60)*'Income Person-hours'!$D$3,(TEXT(JB95,"[M]")/60)*'Income Person-hours'!$D$4,(TEXT(JC95,"[M]")/60)*'Income Person-hours'!$D$5)</f>
        <v>0</v>
      </c>
    </row>
    <row r="96" spans="1:264" s="291" customFormat="1" ht="13.5">
      <c r="A96" s="262">
        <v>4.5</v>
      </c>
      <c r="B96" s="277" t="s">
        <v>135</v>
      </c>
      <c r="C96" s="263" t="s">
        <v>110</v>
      </c>
      <c r="D96" s="287" t="str">
        <f>IF(OR(j_WEEKDAY(J_ADDDAY(VLOOKUP(I96,A:F,6,FALSE),H96,1),0)=6,SUMIFS(Holieday[ok],Holieday[date],J_ADDDAY(VLOOKUP(I96,A:F,6,FALSE),H96,1)))=FALSE(),J_ADDDAY(VLOOKUP(I96,A:F,6,FALSE),H96,1),IF(OR(j_WEEKDAY(J_ADDDAY(VLOOKUP(I96,A:F,6,FALSE),H96+1,1),0)=6,SUMIFS(Holieday[ok],Holieday[date],J_ADDDAY(VLOOKUP(I96,A:F,6,FALSE),H96+1,1)))=FALSE(),J_ADDDAY(VLOOKUP(I96,A:F,6,FALSE),H96+1,1),IF(OR(j_WEEKDAY(J_ADDDAY(VLOOKUP(I96,A:F,6,FALSE),H96+2,1),0)=6,SUMIFS(Holieday[ok],Holieday[date],J_ADDDAY(VLOOKUP(I96,A:F,6,FALSE),H96+2,1)))=FALSE(),J_ADDDAY(VLOOKUP(I96,A:F,6,FALSE),H96+2,1),IF(OR(j_WEEKDAY(J_ADDDAY(VLOOKUP(I96,A:F,6,FALSE),H96+3,1),0)=6,SUMIFS(Holieday[ok],Holieday[date],J_ADDDAY(VLOOKUP(I96,A:F,6,FALSE),H96+3,1)))=FALSE(),J_ADDDAY(VLOOKUP(I96,A:F,6,FALSE),H96+3,1),IF(OR(j_WEEKDAY(J_ADDDAY(VLOOKUP(I96,A:F,6,FALSE),H96+4,1),0)=6,SUMIFS(Holieday[ok],Holieday[date],J_ADDDAY(VLOOKUP(I96,A:F,6,FALSE),H96+4,1)))=FALSE(),J_ADDDAY(VLOOKUP(I96,A:F,6,FALSE),H96+4,1),J_ADDDAY(VLOOKUP(I96,A:F,6,FALSE),H96+5,1))))))</f>
        <v>1398/08/13</v>
      </c>
      <c r="E96" s="1">
        <f t="shared" si="33"/>
        <v>13980813</v>
      </c>
      <c r="F96" s="287" t="str">
        <f>IF(N96=0,J_SUBDAY(D96,1,1),IF((N96-NETWORKDAYS.INTL(J_GregorianDate(D96,1),J_GregorianDate(J_SUBDAY(J_ADDDAY(D96,N96,1),1,1),1),16,1)-SUMIFS(Holieday[ok],Holieday[date],CONCATENATE("&gt;","=",D96),Holieday[date],CONCATENATE("&lt;","=",J_SUBDAY(J_ADDDAY(D96,N96,1),1,1)))+SUMIFS(Holieday[Friday],Holieday[date],CONCATENATE("&gt;","=",D96),Holieday[date],CONCATENATE("&lt;","=",J_SUBDAY(J_ADDDAY(D96,N96,1),1,1))))=0,J_SUBDAY(J_ADDDAY(D96,N96,1),1,1),IF((N96-NETWORKDAYS.INTL(J_GregorianDate(D96,1),J_GregorianDate(J_SUBDAY(J_ADDDAY(D96,N96,1),1,1),1),16,1)-SUMIFS(Holieday[ok],Holieday[date],CONCATENATE("&gt;","=",D96),Holieday[date],CONCATENATE("&lt;","=",J_SUBDAY(J_ADDDAY(D96,N96,1),1,1)))+SUMIFS(Holieday[Friday],Holieday[date],CONCATENATE("&gt;","=",D96),Holieday[date],CONCATENATE("&lt;","=",J_SUBDAY(J_ADDDAY(D96,N96,1),1,1))))=1,J_SUBDAY(J_ADDDAY(D96,N96+1,1),1,1),IF((N96-NETWORKDAYS.INTL(J_GregorianDate(D96,1),J_GregorianDate(J_SUBDAY(J_ADDDAY(D96,N96,1),1,1),1),16,1)-SUMIFS(Holieday[ok],Holieday[date],CONCATENATE("&gt;","=",D96),Holieday[date],CONCATENATE("&lt;","=",J_SUBDAY(J_ADDDAY(D96,N96,1),1,1)))+SUMIFS(Holieday[Friday],Holieday[date],CONCATENATE("&gt;","=",D96),Holieday[date],CONCATENATE("&lt;","=",J_SUBDAY(J_ADDDAY(D96,N96,1),1,1))))=2,J_SUBDAY(J_ADDDAY(D96,N96+2,1),1,1),J_SUBDAY(J_ADDDAY(D96,N96+3,1),1,1)))))</f>
        <v>1398/08/13</v>
      </c>
      <c r="G96" s="2">
        <f t="shared" si="30"/>
        <v>13980813</v>
      </c>
      <c r="H96" s="266">
        <v>2</v>
      </c>
      <c r="I96" s="267">
        <v>4.4000000000000004</v>
      </c>
      <c r="J96" s="265">
        <f>j_WEEKDAY(D96,2)</f>
        <v>2</v>
      </c>
      <c r="K96" s="21">
        <f t="shared" si="34"/>
        <v>0</v>
      </c>
      <c r="L96" s="282">
        <f t="shared" si="35"/>
        <v>1</v>
      </c>
      <c r="M96" s="269">
        <v>0</v>
      </c>
      <c r="N96" s="270">
        <v>1</v>
      </c>
      <c r="O96" s="10">
        <f t="shared" si="31"/>
        <v>0</v>
      </c>
      <c r="P96" s="10">
        <f>VALUE(J_normdate(J_ADDDAY($D96,$O96,1)))</f>
        <v>13980813</v>
      </c>
      <c r="Q96" s="9">
        <f t="shared" si="32"/>
        <v>1</v>
      </c>
      <c r="R96" s="283"/>
      <c r="S96" s="283"/>
      <c r="T96" s="283"/>
      <c r="U96" s="283"/>
      <c r="V96" s="283"/>
      <c r="W96" s="283"/>
      <c r="X96" s="283"/>
      <c r="Y96" s="283"/>
      <c r="Z96" s="283"/>
      <c r="AA96" s="283"/>
      <c r="AB96" s="283"/>
      <c r="AC96" s="283"/>
      <c r="AD96" s="283"/>
      <c r="AE96" s="283"/>
      <c r="AF96" s="283"/>
      <c r="AG96" s="283"/>
      <c r="AH96" s="283"/>
      <c r="AI96" s="283"/>
      <c r="AJ96" s="283"/>
      <c r="AK96" s="283"/>
      <c r="AL96" s="283"/>
      <c r="AM96" s="283"/>
      <c r="AN96" s="283"/>
      <c r="AO96" s="283"/>
      <c r="AP96" s="283"/>
      <c r="AQ96" s="283"/>
      <c r="AR96" s="283"/>
      <c r="AS96" s="283"/>
      <c r="AT96" s="283"/>
      <c r="AU96" s="283"/>
      <c r="AV96" s="283"/>
      <c r="AW96" s="283"/>
      <c r="AX96" s="283"/>
      <c r="AY96" s="283"/>
      <c r="AZ96" s="283"/>
      <c r="BA96" s="283"/>
      <c r="BB96" s="283"/>
      <c r="BC96" s="283"/>
      <c r="BD96" s="283"/>
      <c r="BE96" s="283"/>
      <c r="BF96" s="283"/>
      <c r="BG96" s="283"/>
      <c r="BH96" s="283"/>
      <c r="BI96" s="283"/>
      <c r="BJ96" s="283"/>
      <c r="BK96" s="283"/>
      <c r="BL96" s="283"/>
      <c r="BM96" s="283"/>
      <c r="BN96" s="283"/>
      <c r="BO96" s="283"/>
      <c r="BP96" s="283"/>
      <c r="BQ96" s="283"/>
      <c r="BR96" s="283"/>
      <c r="BS96" s="283"/>
      <c r="BT96" s="283"/>
      <c r="BU96" s="283"/>
      <c r="BV96" s="283"/>
      <c r="BW96" s="283"/>
      <c r="BX96" s="283"/>
      <c r="BY96" s="283"/>
      <c r="BZ96" s="283"/>
      <c r="CA96" s="283"/>
      <c r="CB96" s="283"/>
      <c r="CC96" s="283"/>
      <c r="CD96" s="283"/>
      <c r="CE96" s="283"/>
      <c r="CF96" s="283"/>
      <c r="CG96" s="283"/>
      <c r="CH96" s="283"/>
      <c r="CI96" s="283"/>
      <c r="CJ96" s="283"/>
      <c r="CK96" s="283"/>
      <c r="CL96" s="283"/>
      <c r="CM96" s="283"/>
      <c r="CN96" s="283"/>
      <c r="CO96" s="283"/>
      <c r="CP96" s="283"/>
      <c r="CQ96" s="283"/>
      <c r="CR96" s="283"/>
      <c r="CS96" s="283"/>
      <c r="CT96" s="283"/>
      <c r="CU96" s="283"/>
      <c r="CV96" s="283"/>
      <c r="CW96" s="283"/>
      <c r="CX96" s="283"/>
      <c r="CY96" s="283"/>
      <c r="CZ96" s="283"/>
      <c r="DA96" s="283"/>
      <c r="DB96" s="283"/>
      <c r="DC96" s="283"/>
      <c r="DD96" s="283"/>
      <c r="DE96" s="283"/>
      <c r="DF96" s="283"/>
      <c r="DG96" s="283"/>
      <c r="DH96" s="283"/>
      <c r="DI96" s="283"/>
      <c r="DJ96" s="283"/>
      <c r="DK96" s="283"/>
      <c r="DL96" s="283"/>
      <c r="DM96" s="283"/>
      <c r="DN96" s="283"/>
      <c r="DO96" s="283"/>
      <c r="DP96" s="283"/>
      <c r="DQ96" s="283"/>
      <c r="DR96" s="283"/>
      <c r="DS96" s="283"/>
      <c r="DT96" s="283"/>
      <c r="DU96" s="283"/>
      <c r="DV96" s="283"/>
      <c r="DW96" s="283"/>
      <c r="DX96" s="283"/>
      <c r="DY96" s="283"/>
      <c r="DZ96" s="283"/>
      <c r="EA96" s="283"/>
      <c r="EB96" s="283"/>
      <c r="EC96" s="283"/>
      <c r="ED96" s="283"/>
      <c r="EE96" s="283"/>
      <c r="EF96" s="283"/>
      <c r="EG96" s="283"/>
      <c r="EH96" s="283"/>
      <c r="EI96" s="283"/>
      <c r="EJ96" s="283"/>
      <c r="EK96" s="283"/>
      <c r="EL96" s="283"/>
      <c r="EM96" s="283"/>
      <c r="EN96" s="283"/>
      <c r="EO96" s="283"/>
      <c r="EP96" s="283"/>
      <c r="EQ96" s="283"/>
      <c r="ER96" s="283"/>
      <c r="ES96" s="283"/>
      <c r="ET96" s="283"/>
      <c r="EU96" s="283"/>
      <c r="EV96" s="283"/>
      <c r="EW96" s="283"/>
      <c r="EX96" s="283"/>
      <c r="EY96" s="283"/>
      <c r="EZ96" s="283"/>
      <c r="FA96" s="283"/>
      <c r="FB96" s="283"/>
      <c r="FC96" s="283"/>
      <c r="FD96" s="283"/>
      <c r="FE96" s="283"/>
      <c r="FF96" s="283"/>
      <c r="FG96" s="283"/>
      <c r="FH96" s="283"/>
      <c r="FI96" s="283"/>
      <c r="FJ96" s="283"/>
      <c r="FK96" s="283"/>
      <c r="FL96" s="283"/>
      <c r="FM96" s="283"/>
      <c r="FN96" s="283"/>
      <c r="FO96" s="283"/>
      <c r="FP96" s="283"/>
      <c r="FQ96" s="283"/>
      <c r="FR96" s="283"/>
      <c r="FS96" s="283"/>
      <c r="FT96" s="283"/>
      <c r="FU96" s="283"/>
      <c r="FV96" s="283"/>
      <c r="FW96" s="283"/>
      <c r="FX96" s="283"/>
      <c r="FY96" s="283"/>
      <c r="FZ96" s="283"/>
      <c r="GA96" s="283"/>
      <c r="GB96" s="283"/>
      <c r="GC96" s="283"/>
      <c r="GD96" s="283"/>
      <c r="GE96" s="283"/>
      <c r="GF96" s="283"/>
      <c r="GG96" s="283"/>
      <c r="GH96" s="283"/>
      <c r="GI96" s="283"/>
      <c r="GJ96" s="283"/>
      <c r="GK96" s="283"/>
      <c r="GL96" s="283"/>
      <c r="GM96" s="283"/>
      <c r="GN96" s="283"/>
      <c r="GO96" s="283"/>
      <c r="GP96" s="283"/>
      <c r="GQ96" s="283"/>
      <c r="GR96" s="283"/>
      <c r="GS96" s="283"/>
      <c r="GT96" s="283"/>
      <c r="GU96" s="283"/>
      <c r="GV96" s="283"/>
      <c r="GW96" s="283"/>
      <c r="GX96" s="283"/>
      <c r="GY96" s="283"/>
      <c r="GZ96" s="283"/>
      <c r="HA96" s="283"/>
      <c r="HB96" s="283"/>
      <c r="HC96" s="283"/>
      <c r="HD96" s="283"/>
      <c r="HE96" s="283"/>
      <c r="HF96" s="283"/>
      <c r="HG96" s="283"/>
      <c r="HH96" s="283"/>
      <c r="HI96" s="283"/>
      <c r="HJ96" s="283"/>
      <c r="HK96" s="283"/>
      <c r="HL96" s="283"/>
      <c r="HM96" s="283"/>
      <c r="HN96" s="283"/>
      <c r="HO96" s="283"/>
      <c r="HP96" s="283"/>
      <c r="HQ96" s="283"/>
      <c r="HR96" s="283"/>
      <c r="HS96" s="283"/>
      <c r="HT96" s="283"/>
      <c r="HU96" s="283"/>
      <c r="HV96" s="283"/>
      <c r="HW96" s="283"/>
      <c r="HX96" s="283"/>
      <c r="HY96" s="283"/>
      <c r="HZ96" s="283"/>
      <c r="IA96" s="283"/>
      <c r="IB96" s="283"/>
      <c r="IC96" s="283"/>
      <c r="ID96" s="283"/>
      <c r="IE96" s="283"/>
      <c r="IF96" s="283"/>
      <c r="IG96" s="283"/>
      <c r="IH96" s="283"/>
      <c r="II96" s="283"/>
      <c r="IJ96" s="283"/>
      <c r="IK96" s="283"/>
      <c r="IL96" s="283"/>
      <c r="IM96" s="283"/>
      <c r="IN96" s="283"/>
      <c r="IO96" s="283"/>
      <c r="IP96" s="283"/>
      <c r="IQ96" s="283"/>
      <c r="IR96" s="283"/>
      <c r="IS96" s="283"/>
      <c r="IT96" s="283"/>
      <c r="IU96" s="283"/>
      <c r="IV96" s="283"/>
      <c r="IW96" s="283"/>
      <c r="IX96" s="283"/>
      <c r="IY96" s="272">
        <v>1</v>
      </c>
      <c r="IZ96" s="273">
        <f>(TEXT(K96,"[m]")/60)*VLOOKUP(IY96,'Income Person-hours'!A$2:C$5,3,FALSE)</f>
        <v>0</v>
      </c>
      <c r="JA96" s="289"/>
      <c r="JB96" s="289"/>
      <c r="JC96" s="289"/>
      <c r="JD96" s="290">
        <f>SUM((TEXT(JA96,"[M]")/60)*'Income Person-hours'!$D$3,(TEXT(JB96,"[M]")/60)*'Income Person-hours'!$D$4,(TEXT(JC96,"[M]")/60)*'Income Person-hours'!$D$5)</f>
        <v>0</v>
      </c>
    </row>
    <row r="97" spans="1:264" s="291" customFormat="1" ht="13.5">
      <c r="A97" s="262">
        <v>4.5999999999999996</v>
      </c>
      <c r="B97" s="277" t="s">
        <v>137</v>
      </c>
      <c r="C97" s="263" t="s">
        <v>110</v>
      </c>
      <c r="D97" s="287" t="str">
        <f>IF(OR(j_WEEKDAY(J_ADDDAY(VLOOKUP(I97,A:F,6,FALSE),H97,1),0)=6,SUMIFS(Holieday[ok],Holieday[date],J_ADDDAY(VLOOKUP(I97,A:F,6,FALSE),H97,1)))=FALSE(),J_ADDDAY(VLOOKUP(I97,A:F,6,FALSE),H97,1),IF(OR(j_WEEKDAY(J_ADDDAY(VLOOKUP(I97,A:F,6,FALSE),H97+1,1),0)=6,SUMIFS(Holieday[ok],Holieday[date],J_ADDDAY(VLOOKUP(I97,A:F,6,FALSE),H97+1,1)))=FALSE(),J_ADDDAY(VLOOKUP(I97,A:F,6,FALSE),H97+1,1),IF(OR(j_WEEKDAY(J_ADDDAY(VLOOKUP(I97,A:F,6,FALSE),H97+2,1),0)=6,SUMIFS(Holieday[ok],Holieday[date],J_ADDDAY(VLOOKUP(I97,A:F,6,FALSE),H97+2,1)))=FALSE(),J_ADDDAY(VLOOKUP(I97,A:F,6,FALSE),H97+2,1),IF(OR(j_WEEKDAY(J_ADDDAY(VLOOKUP(I97,A:F,6,FALSE),H97+3,1),0)=6,SUMIFS(Holieday[ok],Holieday[date],J_ADDDAY(VLOOKUP(I97,A:F,6,FALSE),H97+3,1)))=FALSE(),J_ADDDAY(VLOOKUP(I97,A:F,6,FALSE),H97+3,1),IF(OR(j_WEEKDAY(J_ADDDAY(VLOOKUP(I97,A:F,6,FALSE),H97+4,1),0)=6,SUMIFS(Holieday[ok],Holieday[date],J_ADDDAY(VLOOKUP(I97,A:F,6,FALSE),H97+4,1)))=FALSE(),J_ADDDAY(VLOOKUP(I97,A:F,6,FALSE),H97+4,1),J_ADDDAY(VLOOKUP(I97,A:F,6,FALSE),H97+5,1))))))</f>
        <v>1398/08/18</v>
      </c>
      <c r="E97" s="1">
        <f t="shared" si="33"/>
        <v>13980818</v>
      </c>
      <c r="F97" s="287" t="str">
        <f>IF(N97=0,J_SUBDAY(D97,1,1),IF((N97-NETWORKDAYS.INTL(J_GregorianDate(D97,1),J_GregorianDate(J_SUBDAY(J_ADDDAY(D97,N97,1),1,1),1),16,1)-SUMIFS(Holieday[ok],Holieday[date],CONCATENATE("&gt;","=",D97),Holieday[date],CONCATENATE("&lt;","=",J_SUBDAY(J_ADDDAY(D97,N97,1),1,1)))+SUMIFS(Holieday[Friday],Holieday[date],CONCATENATE("&gt;","=",D97),Holieday[date],CONCATENATE("&lt;","=",J_SUBDAY(J_ADDDAY(D97,N97,1),1,1))))=0,J_SUBDAY(J_ADDDAY(D97,N97,1),1,1),IF((N97-NETWORKDAYS.INTL(J_GregorianDate(D97,1),J_GregorianDate(J_SUBDAY(J_ADDDAY(D97,N97,1),1,1),1),16,1)-SUMIFS(Holieday[ok],Holieday[date],CONCATENATE("&gt;","=",D97),Holieday[date],CONCATENATE("&lt;","=",J_SUBDAY(J_ADDDAY(D97,N97,1),1,1)))+SUMIFS(Holieday[Friday],Holieday[date],CONCATENATE("&gt;","=",D97),Holieday[date],CONCATENATE("&lt;","=",J_SUBDAY(J_ADDDAY(D97,N97,1),1,1))))=1,J_SUBDAY(J_ADDDAY(D97,N97+1,1),1,1),IF((N97-NETWORKDAYS.INTL(J_GregorianDate(D97,1),J_GregorianDate(J_SUBDAY(J_ADDDAY(D97,N97,1),1,1),1),16,1)-SUMIFS(Holieday[ok],Holieday[date],CONCATENATE("&gt;","=",D97),Holieday[date],CONCATENATE("&lt;","=",J_SUBDAY(J_ADDDAY(D97,N97,1),1,1)))+SUMIFS(Holieday[Friday],Holieday[date],CONCATENATE("&gt;","=",D97),Holieday[date],CONCATENATE("&lt;","=",J_SUBDAY(J_ADDDAY(D97,N97,1),1,1))))=2,J_SUBDAY(J_ADDDAY(D97,N97+2,1),1,1),J_SUBDAY(J_ADDDAY(D97,N97+3,1),1,1)))))</f>
        <v>1398/08/22</v>
      </c>
      <c r="G97" s="2">
        <f t="shared" si="30"/>
        <v>13980822</v>
      </c>
      <c r="H97" s="266">
        <v>5</v>
      </c>
      <c r="I97" s="267">
        <v>4.5</v>
      </c>
      <c r="J97" s="265">
        <f>j_WEEKDAY(D97,2)</f>
        <v>0</v>
      </c>
      <c r="K97" s="21">
        <f t="shared" si="34"/>
        <v>0</v>
      </c>
      <c r="L97" s="282">
        <f t="shared" si="35"/>
        <v>5</v>
      </c>
      <c r="M97" s="269">
        <v>0</v>
      </c>
      <c r="N97" s="270">
        <v>5</v>
      </c>
      <c r="O97" s="10">
        <f t="shared" si="31"/>
        <v>0</v>
      </c>
      <c r="P97" s="10">
        <f>VALUE(J_normdate(J_ADDDAY($D97,$O97,1)))</f>
        <v>13980818</v>
      </c>
      <c r="Q97" s="9">
        <f t="shared" si="32"/>
        <v>5</v>
      </c>
      <c r="R97" s="283"/>
      <c r="S97" s="283"/>
      <c r="T97" s="283"/>
      <c r="U97" s="283"/>
      <c r="V97" s="283"/>
      <c r="W97" s="283"/>
      <c r="X97" s="283"/>
      <c r="Y97" s="283"/>
      <c r="Z97" s="283"/>
      <c r="AA97" s="283"/>
      <c r="AB97" s="283"/>
      <c r="AC97" s="283"/>
      <c r="AD97" s="283"/>
      <c r="AE97" s="283"/>
      <c r="AF97" s="283"/>
      <c r="AG97" s="283"/>
      <c r="AH97" s="283"/>
      <c r="AI97" s="283"/>
      <c r="AJ97" s="283"/>
      <c r="AK97" s="283"/>
      <c r="AL97" s="283"/>
      <c r="AM97" s="283"/>
      <c r="AN97" s="283"/>
      <c r="AO97" s="283"/>
      <c r="AP97" s="283"/>
      <c r="AQ97" s="283"/>
      <c r="AR97" s="283"/>
      <c r="AS97" s="283"/>
      <c r="AT97" s="283"/>
      <c r="AU97" s="283"/>
      <c r="AV97" s="283"/>
      <c r="AW97" s="283"/>
      <c r="AX97" s="283"/>
      <c r="AY97" s="283"/>
      <c r="AZ97" s="283"/>
      <c r="BA97" s="283"/>
      <c r="BB97" s="283"/>
      <c r="BC97" s="283"/>
      <c r="BD97" s="283"/>
      <c r="BE97" s="283"/>
      <c r="BF97" s="283"/>
      <c r="BG97" s="283"/>
      <c r="BH97" s="283"/>
      <c r="BI97" s="283"/>
      <c r="BJ97" s="283"/>
      <c r="BK97" s="283"/>
      <c r="BL97" s="283"/>
      <c r="BM97" s="283"/>
      <c r="BN97" s="283"/>
      <c r="BO97" s="283"/>
      <c r="BP97" s="283"/>
      <c r="BQ97" s="283"/>
      <c r="BR97" s="283"/>
      <c r="BS97" s="283"/>
      <c r="BT97" s="283"/>
      <c r="BU97" s="283"/>
      <c r="BV97" s="283"/>
      <c r="BW97" s="283"/>
      <c r="BX97" s="283"/>
      <c r="BY97" s="283"/>
      <c r="BZ97" s="283"/>
      <c r="CA97" s="283"/>
      <c r="CB97" s="283"/>
      <c r="CC97" s="283"/>
      <c r="CD97" s="283"/>
      <c r="CE97" s="283"/>
      <c r="CF97" s="283"/>
      <c r="CG97" s="283"/>
      <c r="CH97" s="283"/>
      <c r="CI97" s="283"/>
      <c r="CJ97" s="283"/>
      <c r="CK97" s="283"/>
      <c r="CL97" s="283"/>
      <c r="CM97" s="283"/>
      <c r="CN97" s="283"/>
      <c r="CO97" s="283"/>
      <c r="CP97" s="283"/>
      <c r="CQ97" s="283"/>
      <c r="CR97" s="283"/>
      <c r="CS97" s="283"/>
      <c r="CT97" s="283"/>
      <c r="CU97" s="283"/>
      <c r="CV97" s="283"/>
      <c r="CW97" s="283"/>
      <c r="CX97" s="283"/>
      <c r="CY97" s="283"/>
      <c r="CZ97" s="283"/>
      <c r="DA97" s="283"/>
      <c r="DB97" s="283"/>
      <c r="DC97" s="283"/>
      <c r="DD97" s="283"/>
      <c r="DE97" s="283"/>
      <c r="DF97" s="283"/>
      <c r="DG97" s="283"/>
      <c r="DH97" s="283"/>
      <c r="DI97" s="283"/>
      <c r="DJ97" s="283"/>
      <c r="DK97" s="283"/>
      <c r="DL97" s="283"/>
      <c r="DM97" s="283"/>
      <c r="DN97" s="283"/>
      <c r="DO97" s="283"/>
      <c r="DP97" s="283"/>
      <c r="DQ97" s="283"/>
      <c r="DR97" s="283"/>
      <c r="DS97" s="283"/>
      <c r="DT97" s="283"/>
      <c r="DU97" s="283"/>
      <c r="DV97" s="283"/>
      <c r="DW97" s="283"/>
      <c r="DX97" s="283"/>
      <c r="DY97" s="283"/>
      <c r="DZ97" s="283"/>
      <c r="EA97" s="283"/>
      <c r="EB97" s="283"/>
      <c r="EC97" s="283"/>
      <c r="ED97" s="283"/>
      <c r="EE97" s="283"/>
      <c r="EF97" s="283"/>
      <c r="EG97" s="283"/>
      <c r="EH97" s="283"/>
      <c r="EI97" s="283"/>
      <c r="EJ97" s="283"/>
      <c r="EK97" s="283"/>
      <c r="EL97" s="283"/>
      <c r="EM97" s="283"/>
      <c r="EN97" s="283"/>
      <c r="EO97" s="283"/>
      <c r="EP97" s="283"/>
      <c r="EQ97" s="283"/>
      <c r="ER97" s="283"/>
      <c r="ES97" s="283"/>
      <c r="ET97" s="283"/>
      <c r="EU97" s="283"/>
      <c r="EV97" s="283"/>
      <c r="EW97" s="283"/>
      <c r="EX97" s="283"/>
      <c r="EY97" s="283"/>
      <c r="EZ97" s="283"/>
      <c r="FA97" s="283"/>
      <c r="FB97" s="283"/>
      <c r="FC97" s="283"/>
      <c r="FD97" s="283"/>
      <c r="FE97" s="283"/>
      <c r="FF97" s="283"/>
      <c r="FG97" s="283"/>
      <c r="FH97" s="283"/>
      <c r="FI97" s="283"/>
      <c r="FJ97" s="283"/>
      <c r="FK97" s="283"/>
      <c r="FL97" s="283"/>
      <c r="FM97" s="283"/>
      <c r="FN97" s="283"/>
      <c r="FO97" s="283"/>
      <c r="FP97" s="283"/>
      <c r="FQ97" s="283"/>
      <c r="FR97" s="283"/>
      <c r="FS97" s="283"/>
      <c r="FT97" s="283"/>
      <c r="FU97" s="283"/>
      <c r="FV97" s="283"/>
      <c r="FW97" s="283"/>
      <c r="FX97" s="283"/>
      <c r="FY97" s="283"/>
      <c r="FZ97" s="283"/>
      <c r="GA97" s="283"/>
      <c r="GB97" s="283"/>
      <c r="GC97" s="283"/>
      <c r="GD97" s="283"/>
      <c r="GE97" s="283"/>
      <c r="GF97" s="283"/>
      <c r="GG97" s="283"/>
      <c r="GH97" s="283"/>
      <c r="GI97" s="283"/>
      <c r="GJ97" s="283"/>
      <c r="GK97" s="283"/>
      <c r="GL97" s="283"/>
      <c r="GM97" s="283"/>
      <c r="GN97" s="283"/>
      <c r="GO97" s="283"/>
      <c r="GP97" s="283"/>
      <c r="GQ97" s="283"/>
      <c r="GR97" s="283"/>
      <c r="GS97" s="283"/>
      <c r="GT97" s="283"/>
      <c r="GU97" s="283"/>
      <c r="GV97" s="283"/>
      <c r="GW97" s="283"/>
      <c r="GX97" s="283"/>
      <c r="GY97" s="283"/>
      <c r="GZ97" s="283"/>
      <c r="HA97" s="283"/>
      <c r="HB97" s="283"/>
      <c r="HC97" s="283"/>
      <c r="HD97" s="283"/>
      <c r="HE97" s="283"/>
      <c r="HF97" s="283"/>
      <c r="HG97" s="283"/>
      <c r="HH97" s="283"/>
      <c r="HI97" s="283"/>
      <c r="HJ97" s="283"/>
      <c r="HK97" s="283"/>
      <c r="HL97" s="283"/>
      <c r="HM97" s="283"/>
      <c r="HN97" s="283"/>
      <c r="HO97" s="283"/>
      <c r="HP97" s="283"/>
      <c r="HQ97" s="283"/>
      <c r="HR97" s="283"/>
      <c r="HS97" s="283"/>
      <c r="HT97" s="283"/>
      <c r="HU97" s="283"/>
      <c r="HV97" s="283"/>
      <c r="HW97" s="283"/>
      <c r="HX97" s="283"/>
      <c r="HY97" s="283"/>
      <c r="HZ97" s="283"/>
      <c r="IA97" s="283"/>
      <c r="IB97" s="283"/>
      <c r="IC97" s="283"/>
      <c r="ID97" s="283"/>
      <c r="IE97" s="283"/>
      <c r="IF97" s="283"/>
      <c r="IG97" s="283"/>
      <c r="IH97" s="283"/>
      <c r="II97" s="283"/>
      <c r="IJ97" s="283"/>
      <c r="IK97" s="283"/>
      <c r="IL97" s="283"/>
      <c r="IM97" s="283"/>
      <c r="IN97" s="283"/>
      <c r="IO97" s="283"/>
      <c r="IP97" s="283"/>
      <c r="IQ97" s="283"/>
      <c r="IR97" s="283"/>
      <c r="IS97" s="283"/>
      <c r="IT97" s="283"/>
      <c r="IU97" s="283"/>
      <c r="IV97" s="283"/>
      <c r="IW97" s="283"/>
      <c r="IX97" s="283"/>
      <c r="IY97" s="272">
        <v>3</v>
      </c>
      <c r="IZ97" s="273">
        <f>(TEXT(K97,"[m]")/60)*VLOOKUP(IY97,'Income Person-hours'!A$2:C$5,3,FALSE)</f>
        <v>0</v>
      </c>
      <c r="JA97" s="289"/>
      <c r="JB97" s="289"/>
      <c r="JC97" s="289"/>
      <c r="JD97" s="290">
        <f>SUM((TEXT(JA97,"[M]")/60)*'Income Person-hours'!$D$3,(TEXT(JB97,"[M]")/60)*'Income Person-hours'!$D$4,(TEXT(JC97,"[M]")/60)*'Income Person-hours'!$D$5)</f>
        <v>0</v>
      </c>
    </row>
    <row r="98" spans="1:264" s="11" customFormat="1" ht="11.25" hidden="1">
      <c r="A98" s="168">
        <v>4.7</v>
      </c>
      <c r="B98" s="106"/>
      <c r="C98" s="107"/>
      <c r="D98" s="12" t="str">
        <f>IF(OR(j_WEEKDAY(J_ADDDAY(VLOOKUP(I98,A:F,6,FALSE),H98,1),0)=6,SUMIFS(Holieday[ok],Holieday[date],J_ADDDAY(VLOOKUP(I98,A:F,6,FALSE),H98,1)))=FALSE(),J_ADDDAY(VLOOKUP(I98,A:F,6,FALSE),H98,1),IF(OR(j_WEEKDAY(J_ADDDAY(VLOOKUP(I98,A:F,6,FALSE),H98+1,1),0)=6,SUMIFS(Holieday[ok],Holieday[date],J_ADDDAY(VLOOKUP(I98,A:F,6,FALSE),H98+1,1)))=FALSE(),J_ADDDAY(VLOOKUP(I98,A:F,6,FALSE),H98+1,1),IF(OR(j_WEEKDAY(J_ADDDAY(VLOOKUP(I98,A:F,6,FALSE),H98+2,1),0)=6,SUMIFS(Holieday[ok],Holieday[date],J_ADDDAY(VLOOKUP(I98,A:F,6,FALSE),H98+2,1)))=FALSE(),J_ADDDAY(VLOOKUP(I98,A:F,6,FALSE),H98+2,1),IF(OR(j_WEEKDAY(J_ADDDAY(VLOOKUP(I98,A:F,6,FALSE),H98+3,1),0)=6,SUMIFS(Holieday[ok],Holieday[date],J_ADDDAY(VLOOKUP(I98,A:F,6,FALSE),H98+3,1)))=FALSE(),J_ADDDAY(VLOOKUP(I98,A:F,6,FALSE),H98+3,1),IF(OR(j_WEEKDAY(J_ADDDAY(VLOOKUP(I98,A:F,6,FALSE),H98+4,1),0)=6,SUMIFS(Holieday[ok],Holieday[date],J_ADDDAY(VLOOKUP(I98,A:F,6,FALSE),H98+4,1)))=FALSE(),J_ADDDAY(VLOOKUP(I98,A:F,6,FALSE),H98+4,1),J_ADDDAY(VLOOKUP(I98,A:F,6,FALSE),H98+5,1))))))</f>
        <v>1398/07/02</v>
      </c>
      <c r="E98" s="1">
        <f t="shared" si="33"/>
        <v>13980702</v>
      </c>
      <c r="F98" s="12" t="str">
        <f>IF(N98=0,J_SUBDAY(D98,1,1),IF((N98-NETWORKDAYS.INTL(J_GregorianDate(D98,1),J_GregorianDate(J_SUBDAY(J_ADDDAY(D98,N98,1),1,1),1),16,1)-SUMIFS(Holieday[ok],Holieday[date],CONCATENATE("&gt;","=",D98),Holieday[date],CONCATENATE("&lt;","=",J_SUBDAY(J_ADDDAY(D98,N98,1),1,1)))+SUMIFS(Holieday[Friday],Holieday[date],CONCATENATE("&gt;","=",D98),Holieday[date],CONCATENATE("&lt;","=",J_SUBDAY(J_ADDDAY(D98,N98,1),1,1))))=0,J_SUBDAY(J_ADDDAY(D98,N98,1),1,1),IF((N98-NETWORKDAYS.INTL(J_GregorianDate(D98,1),J_GregorianDate(J_SUBDAY(J_ADDDAY(D98,N98,1),1,1),1),16,1)-SUMIFS(Holieday[ok],Holieday[date],CONCATENATE("&gt;","=",D98),Holieday[date],CONCATENATE("&lt;","=",J_SUBDAY(J_ADDDAY(D98,N98,1),1,1)))+SUMIFS(Holieday[Friday],Holieday[date],CONCATENATE("&gt;","=",D98),Holieday[date],CONCATENATE("&lt;","=",J_SUBDAY(J_ADDDAY(D98,N98,1),1,1))))=1,J_SUBDAY(J_ADDDAY(D98,N98+1,1),1,1),IF((N98-NETWORKDAYS.INTL(J_GregorianDate(D98,1),J_GregorianDate(J_SUBDAY(J_ADDDAY(D98,N98,1),1,1),1),16,1)-SUMIFS(Holieday[ok],Holieday[date],CONCATENATE("&gt;","=",D98),Holieday[date],CONCATENATE("&lt;","=",J_SUBDAY(J_ADDDAY(D98,N98,1),1,1)))+SUMIFS(Holieday[Friday],Holieday[date],CONCATENATE("&gt;","=",D98),Holieday[date],CONCATENATE("&lt;","=",J_SUBDAY(J_ADDDAY(D98,N98,1),1,1))))=2,J_SUBDAY(J_ADDDAY(D98,N98+2,1),1,1),J_SUBDAY(J_ADDDAY(D98,N98+3,1),1,1)))))</f>
        <v>1398/07/01</v>
      </c>
      <c r="G98" s="2">
        <f t="shared" si="30"/>
        <v>13980701</v>
      </c>
      <c r="H98" s="109"/>
      <c r="I98" s="110">
        <v>1.2</v>
      </c>
      <c r="J98" s="171">
        <f>j_WEEKDAY(D98,2)</f>
        <v>3</v>
      </c>
      <c r="K98" s="21">
        <f t="shared" si="34"/>
        <v>0</v>
      </c>
      <c r="L98" s="8">
        <f t="shared" si="35"/>
        <v>0</v>
      </c>
      <c r="M98" s="111">
        <v>0</v>
      </c>
      <c r="N98" s="108">
        <v>0</v>
      </c>
      <c r="O98" s="10">
        <f t="shared" si="31"/>
        <v>0</v>
      </c>
      <c r="P98" s="10">
        <f>VALUE(J_normdate(J_ADDDAY($D98,$O98,1)))</f>
        <v>13980702</v>
      </c>
      <c r="Q98" s="9">
        <f t="shared" si="32"/>
        <v>0</v>
      </c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  <c r="HF98" s="7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7"/>
      <c r="HR98" s="7"/>
      <c r="HS98" s="7"/>
      <c r="HT98" s="7"/>
      <c r="HU98" s="7"/>
      <c r="HV98" s="7"/>
      <c r="HW98" s="7"/>
      <c r="HX98" s="7"/>
      <c r="HY98" s="7"/>
      <c r="HZ98" s="7"/>
      <c r="IA98" s="7"/>
      <c r="IB98" s="7"/>
      <c r="IC98" s="7"/>
      <c r="ID98" s="7"/>
      <c r="IE98" s="7"/>
      <c r="IF98" s="7"/>
      <c r="IG98" s="7"/>
      <c r="IH98" s="7"/>
      <c r="II98" s="7"/>
      <c r="IJ98" s="7"/>
      <c r="IK98" s="7"/>
      <c r="IL98" s="7"/>
      <c r="IM98" s="7"/>
      <c r="IN98" s="7"/>
      <c r="IO98" s="7"/>
      <c r="IP98" s="7"/>
      <c r="IQ98" s="7"/>
      <c r="IR98" s="7"/>
      <c r="IS98" s="7"/>
      <c r="IT98" s="7"/>
      <c r="IU98" s="7"/>
      <c r="IV98" s="7"/>
      <c r="IW98" s="7"/>
      <c r="IX98" s="7"/>
      <c r="IY98" s="29">
        <v>1</v>
      </c>
      <c r="IZ98" s="33">
        <f>(TEXT(K98,"[m]")/60)*VLOOKUP(IY98,'Income Person-hours'!A$2:C$5,3,FALSE)</f>
        <v>0</v>
      </c>
      <c r="JA98" s="113"/>
      <c r="JB98" s="113"/>
      <c r="JC98" s="113"/>
      <c r="JD98" s="66">
        <f>SUM((TEXT(JA98,"[M]")/60)*'Income Person-hours'!$D$3,(TEXT(JB98,"[M]")/60)*'Income Person-hours'!$D$4,(TEXT(JC98,"[M]")/60)*'Income Person-hours'!$D$5)</f>
        <v>0</v>
      </c>
    </row>
    <row r="99" spans="1:264" s="11" customFormat="1" ht="11.25" hidden="1">
      <c r="A99" s="168">
        <v>4.8</v>
      </c>
      <c r="B99" s="106"/>
      <c r="C99" s="107"/>
      <c r="D99" s="12" t="str">
        <f>IF(OR(j_WEEKDAY(J_ADDDAY(VLOOKUP(I99,A:F,6,FALSE),H99,1),0)=6,SUMIFS(Holieday[ok],Holieday[date],J_ADDDAY(VLOOKUP(I99,A:F,6,FALSE),H99,1)))=FALSE(),J_ADDDAY(VLOOKUP(I99,A:F,6,FALSE),H99,1),IF(OR(j_WEEKDAY(J_ADDDAY(VLOOKUP(I99,A:F,6,FALSE),H99+1,1),0)=6,SUMIFS(Holieday[ok],Holieday[date],J_ADDDAY(VLOOKUP(I99,A:F,6,FALSE),H99+1,1)))=FALSE(),J_ADDDAY(VLOOKUP(I99,A:F,6,FALSE),H99+1,1),IF(OR(j_WEEKDAY(J_ADDDAY(VLOOKUP(I99,A:F,6,FALSE),H99+2,1),0)=6,SUMIFS(Holieday[ok],Holieday[date],J_ADDDAY(VLOOKUP(I99,A:F,6,FALSE),H99+2,1)))=FALSE(),J_ADDDAY(VLOOKUP(I99,A:F,6,FALSE),H99+2,1),IF(OR(j_WEEKDAY(J_ADDDAY(VLOOKUP(I99,A:F,6,FALSE),H99+3,1),0)=6,SUMIFS(Holieday[ok],Holieday[date],J_ADDDAY(VLOOKUP(I99,A:F,6,FALSE),H99+3,1)))=FALSE(),J_ADDDAY(VLOOKUP(I99,A:F,6,FALSE),H99+3,1),IF(OR(j_WEEKDAY(J_ADDDAY(VLOOKUP(I99,A:F,6,FALSE),H99+4,1),0)=6,SUMIFS(Holieday[ok],Holieday[date],J_ADDDAY(VLOOKUP(I99,A:F,6,FALSE),H99+4,1)))=FALSE(),J_ADDDAY(VLOOKUP(I99,A:F,6,FALSE),H99+4,1),J_ADDDAY(VLOOKUP(I99,A:F,6,FALSE),H99+5,1))))))</f>
        <v>1398/07/02</v>
      </c>
      <c r="E99" s="1">
        <f t="shared" si="33"/>
        <v>13980702</v>
      </c>
      <c r="F99" s="12" t="str">
        <f>IF(N99=0,J_SUBDAY(D99,1,1),IF((N99-NETWORKDAYS.INTL(J_GregorianDate(D99,1),J_GregorianDate(J_SUBDAY(J_ADDDAY(D99,N99,1),1,1),1),16,1)-SUMIFS(Holieday[ok],Holieday[date],CONCATENATE("&gt;","=",D99),Holieday[date],CONCATENATE("&lt;","=",J_SUBDAY(J_ADDDAY(D99,N99,1),1,1)))+SUMIFS(Holieday[Friday],Holieday[date],CONCATENATE("&gt;","=",D99),Holieday[date],CONCATENATE("&lt;","=",J_SUBDAY(J_ADDDAY(D99,N99,1),1,1))))=0,J_SUBDAY(J_ADDDAY(D99,N99,1),1,1),IF((N99-NETWORKDAYS.INTL(J_GregorianDate(D99,1),J_GregorianDate(J_SUBDAY(J_ADDDAY(D99,N99,1),1,1),1),16,1)-SUMIFS(Holieday[ok],Holieday[date],CONCATENATE("&gt;","=",D99),Holieday[date],CONCATENATE("&lt;","=",J_SUBDAY(J_ADDDAY(D99,N99,1),1,1)))+SUMIFS(Holieday[Friday],Holieday[date],CONCATENATE("&gt;","=",D99),Holieday[date],CONCATENATE("&lt;","=",J_SUBDAY(J_ADDDAY(D99,N99,1),1,1))))=1,J_SUBDAY(J_ADDDAY(D99,N99+1,1),1,1),IF((N99-NETWORKDAYS.INTL(J_GregorianDate(D99,1),J_GregorianDate(J_SUBDAY(J_ADDDAY(D99,N99,1),1,1),1),16,1)-SUMIFS(Holieday[ok],Holieday[date],CONCATENATE("&gt;","=",D99),Holieday[date],CONCATENATE("&lt;","=",J_SUBDAY(J_ADDDAY(D99,N99,1),1,1)))+SUMIFS(Holieday[Friday],Holieday[date],CONCATENATE("&gt;","=",D99),Holieday[date],CONCATENATE("&lt;","=",J_SUBDAY(J_ADDDAY(D99,N99,1),1,1))))=2,J_SUBDAY(J_ADDDAY(D99,N99+2,1),1,1),J_SUBDAY(J_ADDDAY(D99,N99+3,1),1,1)))))</f>
        <v>1398/07/01</v>
      </c>
      <c r="G99" s="2">
        <f t="shared" si="30"/>
        <v>13980701</v>
      </c>
      <c r="H99" s="109"/>
      <c r="I99" s="110">
        <v>1.2</v>
      </c>
      <c r="J99" s="171">
        <f>j_WEEKDAY(D99,2)</f>
        <v>3</v>
      </c>
      <c r="K99" s="21">
        <f t="shared" si="34"/>
        <v>0</v>
      </c>
      <c r="L99" s="8">
        <f t="shared" si="35"/>
        <v>0</v>
      </c>
      <c r="M99" s="111">
        <v>0</v>
      </c>
      <c r="N99" s="108">
        <v>0</v>
      </c>
      <c r="O99" s="10">
        <f t="shared" si="31"/>
        <v>0</v>
      </c>
      <c r="P99" s="10">
        <f>VALUE(J_normdate(J_ADDDAY($D99,$O99,1)))</f>
        <v>13980702</v>
      </c>
      <c r="Q99" s="9">
        <f t="shared" si="32"/>
        <v>0</v>
      </c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7"/>
      <c r="EE99" s="7"/>
      <c r="EF99" s="7"/>
      <c r="EG99" s="7"/>
      <c r="EH99" s="7"/>
      <c r="EI99" s="7"/>
      <c r="EJ99" s="7"/>
      <c r="EK99" s="7"/>
      <c r="EL99" s="7"/>
      <c r="EM99" s="7"/>
      <c r="EN99" s="7"/>
      <c r="EO99" s="7"/>
      <c r="EP99" s="7"/>
      <c r="EQ99" s="7"/>
      <c r="ER99" s="7"/>
      <c r="ES99" s="7"/>
      <c r="ET99" s="7"/>
      <c r="EU99" s="7"/>
      <c r="EV99" s="7"/>
      <c r="EW99" s="7"/>
      <c r="EX99" s="7"/>
      <c r="EY99" s="7"/>
      <c r="EZ99" s="7"/>
      <c r="FA99" s="7"/>
      <c r="FB99" s="7"/>
      <c r="FC99" s="7"/>
      <c r="FD99" s="7"/>
      <c r="FE99" s="7"/>
      <c r="FF99" s="7"/>
      <c r="FG99" s="7"/>
      <c r="FH99" s="7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7"/>
      <c r="HA99" s="7"/>
      <c r="HB99" s="7"/>
      <c r="HC99" s="7"/>
      <c r="HD99" s="7"/>
      <c r="HE99" s="7"/>
      <c r="HF99" s="7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7"/>
      <c r="HR99" s="7"/>
      <c r="HS99" s="7"/>
      <c r="HT99" s="7"/>
      <c r="HU99" s="7"/>
      <c r="HV99" s="7"/>
      <c r="HW99" s="7"/>
      <c r="HX99" s="7"/>
      <c r="HY99" s="7"/>
      <c r="HZ99" s="7"/>
      <c r="IA99" s="7"/>
      <c r="IB99" s="7"/>
      <c r="IC99" s="7"/>
      <c r="ID99" s="7"/>
      <c r="IE99" s="7"/>
      <c r="IF99" s="7"/>
      <c r="IG99" s="7"/>
      <c r="IH99" s="7"/>
      <c r="II99" s="7"/>
      <c r="IJ99" s="7"/>
      <c r="IK99" s="7"/>
      <c r="IL99" s="7"/>
      <c r="IM99" s="7"/>
      <c r="IN99" s="7"/>
      <c r="IO99" s="7"/>
      <c r="IP99" s="7"/>
      <c r="IQ99" s="7"/>
      <c r="IR99" s="7"/>
      <c r="IS99" s="7"/>
      <c r="IT99" s="7"/>
      <c r="IU99" s="7"/>
      <c r="IV99" s="7"/>
      <c r="IW99" s="7"/>
      <c r="IX99" s="7"/>
      <c r="IY99" s="29">
        <v>1</v>
      </c>
      <c r="IZ99" s="33">
        <f>(TEXT(K99,"[m]")/60)*VLOOKUP(IY99,'Income Person-hours'!A$2:C$5,3,FALSE)</f>
        <v>0</v>
      </c>
      <c r="JA99" s="113"/>
      <c r="JB99" s="113"/>
      <c r="JC99" s="113"/>
      <c r="JD99" s="66">
        <f>SUM((TEXT(JA99,"[M]")/60)*'Income Person-hours'!$D$3,(TEXT(JB99,"[M]")/60)*'Income Person-hours'!$D$4,(TEXT(JC99,"[M]")/60)*'Income Person-hours'!$D$5)</f>
        <v>0</v>
      </c>
    </row>
    <row r="100" spans="1:264" s="11" customFormat="1" ht="11.25" hidden="1">
      <c r="A100" s="168">
        <v>4.9000000000000004</v>
      </c>
      <c r="B100" s="106"/>
      <c r="C100" s="107"/>
      <c r="D100" s="12" t="str">
        <f>IF(OR(j_WEEKDAY(J_ADDDAY(VLOOKUP(I100,A:F,6,FALSE),H100,1),0)=6,SUMIFS(Holieday[ok],Holieday[date],J_ADDDAY(VLOOKUP(I100,A:F,6,FALSE),H100,1)))=FALSE(),J_ADDDAY(VLOOKUP(I100,A:F,6,FALSE),H100,1),IF(OR(j_WEEKDAY(J_ADDDAY(VLOOKUP(I100,A:F,6,FALSE),H100+1,1),0)=6,SUMIFS(Holieday[ok],Holieday[date],J_ADDDAY(VLOOKUP(I100,A:F,6,FALSE),H100+1,1)))=FALSE(),J_ADDDAY(VLOOKUP(I100,A:F,6,FALSE),H100+1,1),IF(OR(j_WEEKDAY(J_ADDDAY(VLOOKUP(I100,A:F,6,FALSE),H100+2,1),0)=6,SUMIFS(Holieday[ok],Holieday[date],J_ADDDAY(VLOOKUP(I100,A:F,6,FALSE),H100+2,1)))=FALSE(),J_ADDDAY(VLOOKUP(I100,A:F,6,FALSE),H100+2,1),IF(OR(j_WEEKDAY(J_ADDDAY(VLOOKUP(I100,A:F,6,FALSE),H100+3,1),0)=6,SUMIFS(Holieday[ok],Holieday[date],J_ADDDAY(VLOOKUP(I100,A:F,6,FALSE),H100+3,1)))=FALSE(),J_ADDDAY(VLOOKUP(I100,A:F,6,FALSE),H100+3,1),IF(OR(j_WEEKDAY(J_ADDDAY(VLOOKUP(I100,A:F,6,FALSE),H100+4,1),0)=6,SUMIFS(Holieday[ok],Holieday[date],J_ADDDAY(VLOOKUP(I100,A:F,6,FALSE),H100+4,1)))=FALSE(),J_ADDDAY(VLOOKUP(I100,A:F,6,FALSE),H100+4,1),J_ADDDAY(VLOOKUP(I100,A:F,6,FALSE),H100+5,1))))))</f>
        <v>1398/07/02</v>
      </c>
      <c r="E100" s="1">
        <f t="shared" si="33"/>
        <v>13980702</v>
      </c>
      <c r="F100" s="12" t="str">
        <f>IF(N100=0,J_SUBDAY(D100,1,1),IF((N100-NETWORKDAYS.INTL(J_GregorianDate(D100,1),J_GregorianDate(J_SUBDAY(J_ADDDAY(D100,N100,1),1,1),1),16,1)-SUMIFS(Holieday[ok],Holieday[date],CONCATENATE("&gt;","=",D100),Holieday[date],CONCATENATE("&lt;","=",J_SUBDAY(J_ADDDAY(D100,N100,1),1,1)))+SUMIFS(Holieday[Friday],Holieday[date],CONCATENATE("&gt;","=",D100),Holieday[date],CONCATENATE("&lt;","=",J_SUBDAY(J_ADDDAY(D100,N100,1),1,1))))=0,J_SUBDAY(J_ADDDAY(D100,N100,1),1,1),IF((N100-NETWORKDAYS.INTL(J_GregorianDate(D100,1),J_GregorianDate(J_SUBDAY(J_ADDDAY(D100,N100,1),1,1),1),16,1)-SUMIFS(Holieday[ok],Holieday[date],CONCATENATE("&gt;","=",D100),Holieday[date],CONCATENATE("&lt;","=",J_SUBDAY(J_ADDDAY(D100,N100,1),1,1)))+SUMIFS(Holieday[Friday],Holieday[date],CONCATENATE("&gt;","=",D100),Holieday[date],CONCATENATE("&lt;","=",J_SUBDAY(J_ADDDAY(D100,N100,1),1,1))))=1,J_SUBDAY(J_ADDDAY(D100,N100+1,1),1,1),IF((N100-NETWORKDAYS.INTL(J_GregorianDate(D100,1),J_GregorianDate(J_SUBDAY(J_ADDDAY(D100,N100,1),1,1),1),16,1)-SUMIFS(Holieday[ok],Holieday[date],CONCATENATE("&gt;","=",D100),Holieday[date],CONCATENATE("&lt;","=",J_SUBDAY(J_ADDDAY(D100,N100,1),1,1)))+SUMIFS(Holieday[Friday],Holieday[date],CONCATENATE("&gt;","=",D100),Holieday[date],CONCATENATE("&lt;","=",J_SUBDAY(J_ADDDAY(D100,N100,1),1,1))))=2,J_SUBDAY(J_ADDDAY(D100,N100+2,1),1,1),J_SUBDAY(J_ADDDAY(D100,N100+3,1),1,1)))))</f>
        <v>1398/07/01</v>
      </c>
      <c r="G100" s="2">
        <f t="shared" si="30"/>
        <v>13980701</v>
      </c>
      <c r="H100" s="109"/>
      <c r="I100" s="110">
        <v>1.2</v>
      </c>
      <c r="J100" s="9">
        <f>j_WEEKDAY(D100,2)</f>
        <v>3</v>
      </c>
      <c r="K100" s="21">
        <f t="shared" si="34"/>
        <v>0</v>
      </c>
      <c r="L100" s="8">
        <f t="shared" si="35"/>
        <v>0</v>
      </c>
      <c r="M100" s="111">
        <v>0</v>
      </c>
      <c r="N100" s="108">
        <v>0</v>
      </c>
      <c r="O100" s="10">
        <f t="shared" si="31"/>
        <v>0</v>
      </c>
      <c r="P100" s="10">
        <f>VALUE(J_normdate(J_ADDDAY($D100,$O100,1)))</f>
        <v>13980702</v>
      </c>
      <c r="Q100" s="9">
        <f t="shared" si="32"/>
        <v>0</v>
      </c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  <c r="BG100" s="7"/>
      <c r="BH100" s="7"/>
      <c r="BI100" s="7"/>
      <c r="BJ100" s="7"/>
      <c r="BK100" s="7"/>
      <c r="BL100" s="7"/>
      <c r="BM100" s="7"/>
      <c r="BN100" s="7"/>
      <c r="BO100" s="7"/>
      <c r="BP100" s="7"/>
      <c r="BQ100" s="7"/>
      <c r="BR100" s="7"/>
      <c r="BS100" s="7"/>
      <c r="BT100" s="7"/>
      <c r="BU100" s="7"/>
      <c r="BV100" s="7"/>
      <c r="BW100" s="7"/>
      <c r="BX100" s="7"/>
      <c r="BY100" s="7"/>
      <c r="BZ100" s="7"/>
      <c r="CA100" s="7"/>
      <c r="CB100" s="7"/>
      <c r="CC100" s="7"/>
      <c r="CD100" s="7"/>
      <c r="CE100" s="7"/>
      <c r="CF100" s="7"/>
      <c r="CG100" s="7"/>
      <c r="CH100" s="7"/>
      <c r="CI100" s="7"/>
      <c r="CJ100" s="7"/>
      <c r="CK100" s="7"/>
      <c r="CL100" s="7"/>
      <c r="CM100" s="7"/>
      <c r="CN100" s="7"/>
      <c r="CO100" s="7"/>
      <c r="CP100" s="7"/>
      <c r="CQ100" s="7"/>
      <c r="CR100" s="7"/>
      <c r="CS100" s="7"/>
      <c r="CT100" s="7"/>
      <c r="CU100" s="7"/>
      <c r="CV100" s="7"/>
      <c r="CW100" s="7"/>
      <c r="CX100" s="7"/>
      <c r="CY100" s="7"/>
      <c r="CZ100" s="7"/>
      <c r="DA100" s="7"/>
      <c r="DB100" s="7"/>
      <c r="DC100" s="7"/>
      <c r="DD100" s="7"/>
      <c r="DE100" s="7"/>
      <c r="DF100" s="7"/>
      <c r="DG100" s="7"/>
      <c r="DH100" s="7"/>
      <c r="DI100" s="7"/>
      <c r="DJ100" s="7"/>
      <c r="DK100" s="7"/>
      <c r="DL100" s="7"/>
      <c r="DM100" s="7"/>
      <c r="DN100" s="7"/>
      <c r="DO100" s="7"/>
      <c r="DP100" s="7"/>
      <c r="DQ100" s="7"/>
      <c r="DR100" s="7"/>
      <c r="DS100" s="7"/>
      <c r="DT100" s="7"/>
      <c r="DU100" s="7"/>
      <c r="DV100" s="7"/>
      <c r="DW100" s="7"/>
      <c r="DX100" s="7"/>
      <c r="DY100" s="7"/>
      <c r="DZ100" s="7"/>
      <c r="EA100" s="7"/>
      <c r="EB100" s="7"/>
      <c r="EC100" s="7"/>
      <c r="ED100" s="7"/>
      <c r="EE100" s="7"/>
      <c r="EF100" s="7"/>
      <c r="EG100" s="7"/>
      <c r="EH100" s="7"/>
      <c r="EI100" s="7"/>
      <c r="EJ100" s="7"/>
      <c r="EK100" s="7"/>
      <c r="EL100" s="7"/>
      <c r="EM100" s="7"/>
      <c r="EN100" s="7"/>
      <c r="EO100" s="7"/>
      <c r="EP100" s="7"/>
      <c r="EQ100" s="7"/>
      <c r="ER100" s="7"/>
      <c r="ES100" s="7"/>
      <c r="ET100" s="7"/>
      <c r="EU100" s="7"/>
      <c r="EV100" s="7"/>
      <c r="EW100" s="7"/>
      <c r="EX100" s="7"/>
      <c r="EY100" s="7"/>
      <c r="EZ100" s="7"/>
      <c r="FA100" s="7"/>
      <c r="FB100" s="7"/>
      <c r="FC100" s="7"/>
      <c r="FD100" s="7"/>
      <c r="FE100" s="7"/>
      <c r="FF100" s="7"/>
      <c r="FG100" s="7"/>
      <c r="FH100" s="7"/>
      <c r="FI100" s="7"/>
      <c r="FJ100" s="7"/>
      <c r="FK100" s="7"/>
      <c r="FL100" s="7"/>
      <c r="FM100" s="7"/>
      <c r="FN100" s="7"/>
      <c r="FO100" s="7"/>
      <c r="FP100" s="7"/>
      <c r="FQ100" s="7"/>
      <c r="FR100" s="7"/>
      <c r="FS100" s="7"/>
      <c r="FT100" s="7"/>
      <c r="FU100" s="7"/>
      <c r="FV100" s="7"/>
      <c r="FW100" s="7"/>
      <c r="FX100" s="7"/>
      <c r="FY100" s="7"/>
      <c r="FZ100" s="7"/>
      <c r="GA100" s="7"/>
      <c r="GB100" s="7"/>
      <c r="GC100" s="7"/>
      <c r="GD100" s="7"/>
      <c r="GE100" s="7"/>
      <c r="GF100" s="7"/>
      <c r="GG100" s="7"/>
      <c r="GH100" s="7"/>
      <c r="GI100" s="7"/>
      <c r="GJ100" s="7"/>
      <c r="GK100" s="7"/>
      <c r="GL100" s="7"/>
      <c r="GM100" s="7"/>
      <c r="GN100" s="7"/>
      <c r="GO100" s="7"/>
      <c r="GP100" s="7"/>
      <c r="GQ100" s="7"/>
      <c r="GR100" s="7"/>
      <c r="GS100" s="7"/>
      <c r="GT100" s="7"/>
      <c r="GU100" s="7"/>
      <c r="GV100" s="7"/>
      <c r="GW100" s="7"/>
      <c r="GX100" s="7"/>
      <c r="GY100" s="7"/>
      <c r="GZ100" s="7"/>
      <c r="HA100" s="7"/>
      <c r="HB100" s="7"/>
      <c r="HC100" s="7"/>
      <c r="HD100" s="7"/>
      <c r="HE100" s="7"/>
      <c r="HF100" s="7"/>
      <c r="HG100" s="7"/>
      <c r="HH100" s="7"/>
      <c r="HI100" s="7"/>
      <c r="HJ100" s="7"/>
      <c r="HK100" s="7"/>
      <c r="HL100" s="7"/>
      <c r="HM100" s="7"/>
      <c r="HN100" s="7"/>
      <c r="HO100" s="7"/>
      <c r="HP100" s="7"/>
      <c r="HQ100" s="7"/>
      <c r="HR100" s="7"/>
      <c r="HS100" s="7"/>
      <c r="HT100" s="7"/>
      <c r="HU100" s="7"/>
      <c r="HV100" s="7"/>
      <c r="HW100" s="7"/>
      <c r="HX100" s="7"/>
      <c r="HY100" s="7"/>
      <c r="HZ100" s="7"/>
      <c r="IA100" s="7"/>
      <c r="IB100" s="7"/>
      <c r="IC100" s="7"/>
      <c r="ID100" s="7"/>
      <c r="IE100" s="7"/>
      <c r="IF100" s="7"/>
      <c r="IG100" s="7"/>
      <c r="IH100" s="7"/>
      <c r="II100" s="7"/>
      <c r="IJ100" s="7"/>
      <c r="IK100" s="7"/>
      <c r="IL100" s="7"/>
      <c r="IM100" s="7"/>
      <c r="IN100" s="7"/>
      <c r="IO100" s="7"/>
      <c r="IP100" s="7"/>
      <c r="IQ100" s="7"/>
      <c r="IR100" s="7"/>
      <c r="IS100" s="7"/>
      <c r="IT100" s="7"/>
      <c r="IU100" s="7"/>
      <c r="IV100" s="7"/>
      <c r="IW100" s="7"/>
      <c r="IX100" s="7"/>
      <c r="IY100" s="29">
        <v>1</v>
      </c>
      <c r="IZ100" s="33">
        <f>(TEXT(K100,"[m]")/60)*VLOOKUP(IY100,'Income Person-hours'!A$2:C$5,3,FALSE)</f>
        <v>0</v>
      </c>
      <c r="JA100" s="113"/>
      <c r="JB100" s="113"/>
      <c r="JC100" s="113"/>
      <c r="JD100" s="66">
        <f>SUM((TEXT(JA100,"[M]")/60)*'Income Person-hours'!$D$3,(TEXT(JB100,"[M]")/60)*'Income Person-hours'!$D$4,(TEXT(JC100,"[M]")/60)*'Income Person-hours'!$D$5)</f>
        <v>0</v>
      </c>
    </row>
    <row r="101" spans="1:264" s="11" customFormat="1" ht="11.25" hidden="1">
      <c r="A101" s="30">
        <v>4.1100000000000003</v>
      </c>
      <c r="B101" s="116"/>
      <c r="C101" s="107"/>
      <c r="D101" s="12" t="str">
        <f>IF(OR(j_WEEKDAY(J_ADDDAY(VLOOKUP(I101,A:F,6,FALSE),H101,1),0)=6,SUMIFS(Holieday[ok],Holieday[date],J_ADDDAY(VLOOKUP(I101,A:F,6,FALSE),H101,1)))=FALSE(),J_ADDDAY(VLOOKUP(I101,A:F,6,FALSE),H101,1),IF(OR(j_WEEKDAY(J_ADDDAY(VLOOKUP(I101,A:F,6,FALSE),H101+1,1),0)=6,SUMIFS(Holieday[ok],Holieday[date],J_ADDDAY(VLOOKUP(I101,A:F,6,FALSE),H101+1,1)))=FALSE(),J_ADDDAY(VLOOKUP(I101,A:F,6,FALSE),H101+1,1),IF(OR(j_WEEKDAY(J_ADDDAY(VLOOKUP(I101,A:F,6,FALSE),H101+2,1),0)=6,SUMIFS(Holieday[ok],Holieday[date],J_ADDDAY(VLOOKUP(I101,A:F,6,FALSE),H101+2,1)))=FALSE(),J_ADDDAY(VLOOKUP(I101,A:F,6,FALSE),H101+2,1),IF(OR(j_WEEKDAY(J_ADDDAY(VLOOKUP(I101,A:F,6,FALSE),H101+3,1),0)=6,SUMIFS(Holieday[ok],Holieday[date],J_ADDDAY(VLOOKUP(I101,A:F,6,FALSE),H101+3,1)))=FALSE(),J_ADDDAY(VLOOKUP(I101,A:F,6,FALSE),H101+3,1),IF(OR(j_WEEKDAY(J_ADDDAY(VLOOKUP(I101,A:F,6,FALSE),H101+4,1),0)=6,SUMIFS(Holieday[ok],Holieday[date],J_ADDDAY(VLOOKUP(I101,A:F,6,FALSE),H101+4,1)))=FALSE(),J_ADDDAY(VLOOKUP(I101,A:F,6,FALSE),H101+4,1),J_ADDDAY(VLOOKUP(I101,A:F,6,FALSE),H101+5,1))))))</f>
        <v>1398/07/02</v>
      </c>
      <c r="E101" s="1">
        <f t="shared" si="33"/>
        <v>13980702</v>
      </c>
      <c r="F101" s="12" t="str">
        <f>IF(N101=0,J_SUBDAY(D101,1,1),IF((N101-NETWORKDAYS.INTL(J_GregorianDate(D101,1),J_GregorianDate(J_SUBDAY(J_ADDDAY(D101,N101,1),1,1),1),16,1)-SUMIFS(Holieday[ok],Holieday[date],CONCATENATE("&gt;","=",D101),Holieday[date],CONCATENATE("&lt;","=",J_SUBDAY(J_ADDDAY(D101,N101,1),1,1)))+SUMIFS(Holieday[Friday],Holieday[date],CONCATENATE("&gt;","=",D101),Holieday[date],CONCATENATE("&lt;","=",J_SUBDAY(J_ADDDAY(D101,N101,1),1,1))))=0,J_SUBDAY(J_ADDDAY(D101,N101,1),1,1),IF((N101-NETWORKDAYS.INTL(J_GregorianDate(D101,1),J_GregorianDate(J_SUBDAY(J_ADDDAY(D101,N101,1),1,1),1),16,1)-SUMIFS(Holieday[ok],Holieday[date],CONCATENATE("&gt;","=",D101),Holieday[date],CONCATENATE("&lt;","=",J_SUBDAY(J_ADDDAY(D101,N101,1),1,1)))+SUMIFS(Holieday[Friday],Holieday[date],CONCATENATE("&gt;","=",D101),Holieday[date],CONCATENATE("&lt;","=",J_SUBDAY(J_ADDDAY(D101,N101,1),1,1))))=1,J_SUBDAY(J_ADDDAY(D101,N101+1,1),1,1),IF((N101-NETWORKDAYS.INTL(J_GregorianDate(D101,1),J_GregorianDate(J_SUBDAY(J_ADDDAY(D101,N101,1),1,1),1),16,1)-SUMIFS(Holieday[ok],Holieday[date],CONCATENATE("&gt;","=",D101),Holieday[date],CONCATENATE("&lt;","=",J_SUBDAY(J_ADDDAY(D101,N101,1),1,1)))+SUMIFS(Holieday[Friday],Holieday[date],CONCATENATE("&gt;","=",D101),Holieday[date],CONCATENATE("&lt;","=",J_SUBDAY(J_ADDDAY(D101,N101,1),1,1))))=2,J_SUBDAY(J_ADDDAY(D101,N101+2,1),1,1),J_SUBDAY(J_ADDDAY(D101,N101+3,1),1,1)))))</f>
        <v>1398/07/01</v>
      </c>
      <c r="G101" s="2">
        <f t="shared" si="30"/>
        <v>13980701</v>
      </c>
      <c r="H101" s="109"/>
      <c r="I101" s="110">
        <v>1.2</v>
      </c>
      <c r="J101" s="9">
        <f>j_WEEKDAY(D101,2)</f>
        <v>3</v>
      </c>
      <c r="K101" s="21">
        <f t="shared" si="34"/>
        <v>0</v>
      </c>
      <c r="L101" s="8">
        <f t="shared" si="35"/>
        <v>0</v>
      </c>
      <c r="M101" s="111">
        <v>0</v>
      </c>
      <c r="N101" s="108">
        <v>0</v>
      </c>
      <c r="O101" s="10">
        <f t="shared" si="31"/>
        <v>0</v>
      </c>
      <c r="P101" s="10">
        <f>VALUE(J_normdate(J_ADDDAY($D101,$O101,1)))</f>
        <v>13980702</v>
      </c>
      <c r="Q101" s="9">
        <f t="shared" si="32"/>
        <v>0</v>
      </c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/>
      <c r="BF101" s="7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7"/>
      <c r="BV101" s="7"/>
      <c r="BW101" s="7"/>
      <c r="BX101" s="7"/>
      <c r="BY101" s="7"/>
      <c r="BZ101" s="7"/>
      <c r="CA101" s="7"/>
      <c r="CB101" s="7"/>
      <c r="CC101" s="7"/>
      <c r="CD101" s="7"/>
      <c r="CE101" s="7"/>
      <c r="CF101" s="7"/>
      <c r="CG101" s="7"/>
      <c r="CH101" s="7"/>
      <c r="CI101" s="7"/>
      <c r="CJ101" s="7"/>
      <c r="CK101" s="7"/>
      <c r="CL101" s="7"/>
      <c r="CM101" s="7"/>
      <c r="CN101" s="7"/>
      <c r="CO101" s="7"/>
      <c r="CP101" s="7"/>
      <c r="CQ101" s="7"/>
      <c r="CR101" s="7"/>
      <c r="CS101" s="7"/>
      <c r="CT101" s="7"/>
      <c r="CU101" s="7"/>
      <c r="CV101" s="7"/>
      <c r="CW101" s="7"/>
      <c r="CX101" s="7"/>
      <c r="CY101" s="7"/>
      <c r="CZ101" s="7"/>
      <c r="DA101" s="7"/>
      <c r="DB101" s="7"/>
      <c r="DC101" s="7"/>
      <c r="DD101" s="7"/>
      <c r="DE101" s="7"/>
      <c r="DF101" s="7"/>
      <c r="DG101" s="7"/>
      <c r="DH101" s="7"/>
      <c r="DI101" s="7"/>
      <c r="DJ101" s="7"/>
      <c r="DK101" s="7"/>
      <c r="DL101" s="7"/>
      <c r="DM101" s="7"/>
      <c r="DN101" s="7"/>
      <c r="DO101" s="7"/>
      <c r="DP101" s="7"/>
      <c r="DQ101" s="7"/>
      <c r="DR101" s="7"/>
      <c r="DS101" s="7"/>
      <c r="DT101" s="7"/>
      <c r="DU101" s="7"/>
      <c r="DV101" s="7"/>
      <c r="DW101" s="7"/>
      <c r="DX101" s="7"/>
      <c r="DY101" s="7"/>
      <c r="DZ101" s="7"/>
      <c r="EA101" s="7"/>
      <c r="EB101" s="7"/>
      <c r="EC101" s="7"/>
      <c r="ED101" s="7"/>
      <c r="EE101" s="7"/>
      <c r="EF101" s="7"/>
      <c r="EG101" s="7"/>
      <c r="EH101" s="7"/>
      <c r="EI101" s="7"/>
      <c r="EJ101" s="7"/>
      <c r="EK101" s="7"/>
      <c r="EL101" s="7"/>
      <c r="EM101" s="7"/>
      <c r="EN101" s="7"/>
      <c r="EO101" s="7"/>
      <c r="EP101" s="7"/>
      <c r="EQ101" s="7"/>
      <c r="ER101" s="7"/>
      <c r="ES101" s="7"/>
      <c r="ET101" s="7"/>
      <c r="EU101" s="7"/>
      <c r="EV101" s="7"/>
      <c r="EW101" s="7"/>
      <c r="EX101" s="7"/>
      <c r="EY101" s="7"/>
      <c r="EZ101" s="7"/>
      <c r="FA101" s="7"/>
      <c r="FB101" s="7"/>
      <c r="FC101" s="7"/>
      <c r="FD101" s="7"/>
      <c r="FE101" s="7"/>
      <c r="FF101" s="7"/>
      <c r="FG101" s="7"/>
      <c r="FH101" s="7"/>
      <c r="FI101" s="7"/>
      <c r="FJ101" s="7"/>
      <c r="FK101" s="7"/>
      <c r="FL101" s="7"/>
      <c r="FM101" s="7"/>
      <c r="FN101" s="7"/>
      <c r="FO101" s="7"/>
      <c r="FP101" s="7"/>
      <c r="FQ101" s="7"/>
      <c r="FR101" s="7"/>
      <c r="FS101" s="7"/>
      <c r="FT101" s="7"/>
      <c r="FU101" s="7"/>
      <c r="FV101" s="7"/>
      <c r="FW101" s="7"/>
      <c r="FX101" s="7"/>
      <c r="FY101" s="7"/>
      <c r="FZ101" s="7"/>
      <c r="GA101" s="7"/>
      <c r="GB101" s="7"/>
      <c r="GC101" s="7"/>
      <c r="GD101" s="7"/>
      <c r="GE101" s="7"/>
      <c r="GF101" s="7"/>
      <c r="GG101" s="7"/>
      <c r="GH101" s="7"/>
      <c r="GI101" s="7"/>
      <c r="GJ101" s="7"/>
      <c r="GK101" s="7"/>
      <c r="GL101" s="7"/>
      <c r="GM101" s="7"/>
      <c r="GN101" s="7"/>
      <c r="GO101" s="7"/>
      <c r="GP101" s="7"/>
      <c r="GQ101" s="7"/>
      <c r="GR101" s="7"/>
      <c r="GS101" s="7"/>
      <c r="GT101" s="7"/>
      <c r="GU101" s="7"/>
      <c r="GV101" s="7"/>
      <c r="GW101" s="7"/>
      <c r="GX101" s="7"/>
      <c r="GY101" s="7"/>
      <c r="GZ101" s="7"/>
      <c r="HA101" s="7"/>
      <c r="HB101" s="7"/>
      <c r="HC101" s="7"/>
      <c r="HD101" s="7"/>
      <c r="HE101" s="7"/>
      <c r="HF101" s="7"/>
      <c r="HG101" s="7"/>
      <c r="HH101" s="7"/>
      <c r="HI101" s="7"/>
      <c r="HJ101" s="7"/>
      <c r="HK101" s="7"/>
      <c r="HL101" s="7"/>
      <c r="HM101" s="7"/>
      <c r="HN101" s="7"/>
      <c r="HO101" s="7"/>
      <c r="HP101" s="7"/>
      <c r="HQ101" s="7"/>
      <c r="HR101" s="7"/>
      <c r="HS101" s="7"/>
      <c r="HT101" s="7"/>
      <c r="HU101" s="7"/>
      <c r="HV101" s="7"/>
      <c r="HW101" s="7"/>
      <c r="HX101" s="7"/>
      <c r="HY101" s="7"/>
      <c r="HZ101" s="7"/>
      <c r="IA101" s="7"/>
      <c r="IB101" s="7"/>
      <c r="IC101" s="7"/>
      <c r="ID101" s="7"/>
      <c r="IE101" s="7"/>
      <c r="IF101" s="7"/>
      <c r="IG101" s="7"/>
      <c r="IH101" s="7"/>
      <c r="II101" s="7"/>
      <c r="IJ101" s="7"/>
      <c r="IK101" s="7"/>
      <c r="IL101" s="7"/>
      <c r="IM101" s="7"/>
      <c r="IN101" s="7"/>
      <c r="IO101" s="7"/>
      <c r="IP101" s="7"/>
      <c r="IQ101" s="7"/>
      <c r="IR101" s="7"/>
      <c r="IS101" s="7"/>
      <c r="IT101" s="7"/>
      <c r="IU101" s="7"/>
      <c r="IV101" s="7"/>
      <c r="IW101" s="7"/>
      <c r="IX101" s="7"/>
      <c r="IY101" s="29">
        <v>1</v>
      </c>
      <c r="IZ101" s="33">
        <f>(TEXT(K101,"[m]")/60)*VLOOKUP(IY101,'Income Person-hours'!A$2:C$5,3,FALSE)</f>
        <v>0</v>
      </c>
      <c r="JA101" s="113"/>
      <c r="JB101" s="113"/>
      <c r="JC101" s="113"/>
      <c r="JD101" s="66">
        <f>SUM((TEXT(JA101,"[M]")/60)*'Income Person-hours'!$D$3,(TEXT(JB101,"[M]")/60)*'Income Person-hours'!$D$4,(TEXT(JC101,"[M]")/60)*'Income Person-hours'!$D$5)</f>
        <v>0</v>
      </c>
    </row>
    <row r="102" spans="1:264" s="11" customFormat="1" ht="11.25" hidden="1">
      <c r="A102" s="30">
        <v>4.12</v>
      </c>
      <c r="B102" s="116"/>
      <c r="C102" s="107"/>
      <c r="D102" s="12" t="str">
        <f>IF(OR(j_WEEKDAY(J_ADDDAY(VLOOKUP(I102,A:F,6,FALSE),H102,1),0)=6,SUMIFS(Holieday[ok],Holieday[date],J_ADDDAY(VLOOKUP(I102,A:F,6,FALSE),H102,1)))=FALSE(),J_ADDDAY(VLOOKUP(I102,A:F,6,FALSE),H102,1),IF(OR(j_WEEKDAY(J_ADDDAY(VLOOKUP(I102,A:F,6,FALSE),H102+1,1),0)=6,SUMIFS(Holieday[ok],Holieday[date],J_ADDDAY(VLOOKUP(I102,A:F,6,FALSE),H102+1,1)))=FALSE(),J_ADDDAY(VLOOKUP(I102,A:F,6,FALSE),H102+1,1),IF(OR(j_WEEKDAY(J_ADDDAY(VLOOKUP(I102,A:F,6,FALSE),H102+2,1),0)=6,SUMIFS(Holieday[ok],Holieday[date],J_ADDDAY(VLOOKUP(I102,A:F,6,FALSE),H102+2,1)))=FALSE(),J_ADDDAY(VLOOKUP(I102,A:F,6,FALSE),H102+2,1),IF(OR(j_WEEKDAY(J_ADDDAY(VLOOKUP(I102,A:F,6,FALSE),H102+3,1),0)=6,SUMIFS(Holieday[ok],Holieday[date],J_ADDDAY(VLOOKUP(I102,A:F,6,FALSE),H102+3,1)))=FALSE(),J_ADDDAY(VLOOKUP(I102,A:F,6,FALSE),H102+3,1),IF(OR(j_WEEKDAY(J_ADDDAY(VLOOKUP(I102,A:F,6,FALSE),H102+4,1),0)=6,SUMIFS(Holieday[ok],Holieday[date],J_ADDDAY(VLOOKUP(I102,A:F,6,FALSE),H102+4,1)))=FALSE(),J_ADDDAY(VLOOKUP(I102,A:F,6,FALSE),H102+4,1),J_ADDDAY(VLOOKUP(I102,A:F,6,FALSE),H102+5,1))))))</f>
        <v>1398/07/02</v>
      </c>
      <c r="E102" s="1">
        <f t="shared" si="33"/>
        <v>13980702</v>
      </c>
      <c r="F102" s="12" t="str">
        <f>IF(N102=0,J_SUBDAY(D102,1,1),IF((N102-NETWORKDAYS.INTL(J_GregorianDate(D102,1),J_GregorianDate(J_SUBDAY(J_ADDDAY(D102,N102,1),1,1),1),16,1)-SUMIFS(Holieday[ok],Holieday[date],CONCATENATE("&gt;","=",D102),Holieday[date],CONCATENATE("&lt;","=",J_SUBDAY(J_ADDDAY(D102,N102,1),1,1)))+SUMIFS(Holieday[Friday],Holieday[date],CONCATENATE("&gt;","=",D102),Holieday[date],CONCATENATE("&lt;","=",J_SUBDAY(J_ADDDAY(D102,N102,1),1,1))))=0,J_SUBDAY(J_ADDDAY(D102,N102,1),1,1),IF((N102-NETWORKDAYS.INTL(J_GregorianDate(D102,1),J_GregorianDate(J_SUBDAY(J_ADDDAY(D102,N102,1),1,1),1),16,1)-SUMIFS(Holieday[ok],Holieday[date],CONCATENATE("&gt;","=",D102),Holieday[date],CONCATENATE("&lt;","=",J_SUBDAY(J_ADDDAY(D102,N102,1),1,1)))+SUMIFS(Holieday[Friday],Holieday[date],CONCATENATE("&gt;","=",D102),Holieday[date],CONCATENATE("&lt;","=",J_SUBDAY(J_ADDDAY(D102,N102,1),1,1))))=1,J_SUBDAY(J_ADDDAY(D102,N102+1,1),1,1),IF((N102-NETWORKDAYS.INTL(J_GregorianDate(D102,1),J_GregorianDate(J_SUBDAY(J_ADDDAY(D102,N102,1),1,1),1),16,1)-SUMIFS(Holieday[ok],Holieday[date],CONCATENATE("&gt;","=",D102),Holieday[date],CONCATENATE("&lt;","=",J_SUBDAY(J_ADDDAY(D102,N102,1),1,1)))+SUMIFS(Holieday[Friday],Holieday[date],CONCATENATE("&gt;","=",D102),Holieday[date],CONCATENATE("&lt;","=",J_SUBDAY(J_ADDDAY(D102,N102,1),1,1))))=2,J_SUBDAY(J_ADDDAY(D102,N102+2,1),1,1),J_SUBDAY(J_ADDDAY(D102,N102+3,1),1,1)))))</f>
        <v>1398/07/01</v>
      </c>
      <c r="G102" s="2">
        <f t="shared" si="30"/>
        <v>13980701</v>
      </c>
      <c r="H102" s="109"/>
      <c r="I102" s="110">
        <v>1.2</v>
      </c>
      <c r="J102" s="9">
        <f>j_WEEKDAY(D102,2)</f>
        <v>3</v>
      </c>
      <c r="K102" s="21">
        <f t="shared" si="34"/>
        <v>0</v>
      </c>
      <c r="L102" s="8">
        <f t="shared" si="35"/>
        <v>0</v>
      </c>
      <c r="M102" s="111">
        <v>0</v>
      </c>
      <c r="N102" s="108">
        <v>0</v>
      </c>
      <c r="O102" s="10">
        <f t="shared" si="31"/>
        <v>0</v>
      </c>
      <c r="P102" s="10">
        <f>VALUE(J_normdate(J_ADDDAY($D102,$O102,1)))</f>
        <v>13980702</v>
      </c>
      <c r="Q102" s="9">
        <f t="shared" si="32"/>
        <v>0</v>
      </c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7"/>
      <c r="BV102" s="7"/>
      <c r="BW102" s="7"/>
      <c r="BX102" s="7"/>
      <c r="BY102" s="7"/>
      <c r="BZ102" s="7"/>
      <c r="CA102" s="7"/>
      <c r="CB102" s="7"/>
      <c r="CC102" s="7"/>
      <c r="CD102" s="7"/>
      <c r="CE102" s="7"/>
      <c r="CF102" s="7"/>
      <c r="CG102" s="7"/>
      <c r="CH102" s="7"/>
      <c r="CI102" s="7"/>
      <c r="CJ102" s="7"/>
      <c r="CK102" s="7"/>
      <c r="CL102" s="7"/>
      <c r="CM102" s="7"/>
      <c r="CN102" s="7"/>
      <c r="CO102" s="7"/>
      <c r="CP102" s="7"/>
      <c r="CQ102" s="7"/>
      <c r="CR102" s="7"/>
      <c r="CS102" s="7"/>
      <c r="CT102" s="7"/>
      <c r="CU102" s="7"/>
      <c r="CV102" s="7"/>
      <c r="CW102" s="7"/>
      <c r="CX102" s="7"/>
      <c r="CY102" s="7"/>
      <c r="CZ102" s="7"/>
      <c r="DA102" s="7"/>
      <c r="DB102" s="7"/>
      <c r="DC102" s="7"/>
      <c r="DD102" s="7"/>
      <c r="DE102" s="7"/>
      <c r="DF102" s="7"/>
      <c r="DG102" s="7"/>
      <c r="DH102" s="7"/>
      <c r="DI102" s="7"/>
      <c r="DJ102" s="7"/>
      <c r="DK102" s="7"/>
      <c r="DL102" s="7"/>
      <c r="DM102" s="7"/>
      <c r="DN102" s="7"/>
      <c r="DO102" s="7"/>
      <c r="DP102" s="7"/>
      <c r="DQ102" s="7"/>
      <c r="DR102" s="7"/>
      <c r="DS102" s="7"/>
      <c r="DT102" s="7"/>
      <c r="DU102" s="7"/>
      <c r="DV102" s="7"/>
      <c r="DW102" s="7"/>
      <c r="DX102" s="7"/>
      <c r="DY102" s="7"/>
      <c r="DZ102" s="7"/>
      <c r="EA102" s="7"/>
      <c r="EB102" s="7"/>
      <c r="EC102" s="7"/>
      <c r="ED102" s="7"/>
      <c r="EE102" s="7"/>
      <c r="EF102" s="7"/>
      <c r="EG102" s="7"/>
      <c r="EH102" s="7"/>
      <c r="EI102" s="7"/>
      <c r="EJ102" s="7"/>
      <c r="EK102" s="7"/>
      <c r="EL102" s="7"/>
      <c r="EM102" s="7"/>
      <c r="EN102" s="7"/>
      <c r="EO102" s="7"/>
      <c r="EP102" s="7"/>
      <c r="EQ102" s="7"/>
      <c r="ER102" s="7"/>
      <c r="ES102" s="7"/>
      <c r="ET102" s="7"/>
      <c r="EU102" s="7"/>
      <c r="EV102" s="7"/>
      <c r="EW102" s="7"/>
      <c r="EX102" s="7"/>
      <c r="EY102" s="7"/>
      <c r="EZ102" s="7"/>
      <c r="FA102" s="7"/>
      <c r="FB102" s="7"/>
      <c r="FC102" s="7"/>
      <c r="FD102" s="7"/>
      <c r="FE102" s="7"/>
      <c r="FF102" s="7"/>
      <c r="FG102" s="7"/>
      <c r="FH102" s="7"/>
      <c r="FI102" s="7"/>
      <c r="FJ102" s="7"/>
      <c r="FK102" s="7"/>
      <c r="FL102" s="7"/>
      <c r="FM102" s="7"/>
      <c r="FN102" s="7"/>
      <c r="FO102" s="7"/>
      <c r="FP102" s="7"/>
      <c r="FQ102" s="7"/>
      <c r="FR102" s="7"/>
      <c r="FS102" s="7"/>
      <c r="FT102" s="7"/>
      <c r="FU102" s="7"/>
      <c r="FV102" s="7"/>
      <c r="FW102" s="7"/>
      <c r="FX102" s="7"/>
      <c r="FY102" s="7"/>
      <c r="FZ102" s="7"/>
      <c r="GA102" s="7"/>
      <c r="GB102" s="7"/>
      <c r="GC102" s="7"/>
      <c r="GD102" s="7"/>
      <c r="GE102" s="7"/>
      <c r="GF102" s="7"/>
      <c r="GG102" s="7"/>
      <c r="GH102" s="7"/>
      <c r="GI102" s="7"/>
      <c r="GJ102" s="7"/>
      <c r="GK102" s="7"/>
      <c r="GL102" s="7"/>
      <c r="GM102" s="7"/>
      <c r="GN102" s="7"/>
      <c r="GO102" s="7"/>
      <c r="GP102" s="7"/>
      <c r="GQ102" s="7"/>
      <c r="GR102" s="7"/>
      <c r="GS102" s="7"/>
      <c r="GT102" s="7"/>
      <c r="GU102" s="7"/>
      <c r="GV102" s="7"/>
      <c r="GW102" s="7"/>
      <c r="GX102" s="7"/>
      <c r="GY102" s="7"/>
      <c r="GZ102" s="7"/>
      <c r="HA102" s="7"/>
      <c r="HB102" s="7"/>
      <c r="HC102" s="7"/>
      <c r="HD102" s="7"/>
      <c r="HE102" s="7"/>
      <c r="HF102" s="7"/>
      <c r="HG102" s="7"/>
      <c r="HH102" s="7"/>
      <c r="HI102" s="7"/>
      <c r="HJ102" s="7"/>
      <c r="HK102" s="7"/>
      <c r="HL102" s="7"/>
      <c r="HM102" s="7"/>
      <c r="HN102" s="7"/>
      <c r="HO102" s="7"/>
      <c r="HP102" s="7"/>
      <c r="HQ102" s="7"/>
      <c r="HR102" s="7"/>
      <c r="HS102" s="7"/>
      <c r="HT102" s="7"/>
      <c r="HU102" s="7"/>
      <c r="HV102" s="7"/>
      <c r="HW102" s="7"/>
      <c r="HX102" s="7"/>
      <c r="HY102" s="7"/>
      <c r="HZ102" s="7"/>
      <c r="IA102" s="7"/>
      <c r="IB102" s="7"/>
      <c r="IC102" s="7"/>
      <c r="ID102" s="7"/>
      <c r="IE102" s="7"/>
      <c r="IF102" s="7"/>
      <c r="IG102" s="7"/>
      <c r="IH102" s="7"/>
      <c r="II102" s="7"/>
      <c r="IJ102" s="7"/>
      <c r="IK102" s="7"/>
      <c r="IL102" s="7"/>
      <c r="IM102" s="7"/>
      <c r="IN102" s="7"/>
      <c r="IO102" s="7"/>
      <c r="IP102" s="7"/>
      <c r="IQ102" s="7"/>
      <c r="IR102" s="7"/>
      <c r="IS102" s="7"/>
      <c r="IT102" s="7"/>
      <c r="IU102" s="7"/>
      <c r="IV102" s="7"/>
      <c r="IW102" s="7"/>
      <c r="IX102" s="7"/>
      <c r="IY102" s="29">
        <v>1</v>
      </c>
      <c r="IZ102" s="33">
        <f>(TEXT(K102,"[m]")/60)*VLOOKUP(IY102,'Income Person-hours'!A$2:C$5,3,FALSE)</f>
        <v>0</v>
      </c>
      <c r="JA102" s="113"/>
      <c r="JB102" s="113"/>
      <c r="JC102" s="113"/>
      <c r="JD102" s="66">
        <f>SUM((TEXT(JA102,"[M]")/60)*'Income Person-hours'!$D$3,(TEXT(JB102,"[M]")/60)*'Income Person-hours'!$D$4,(TEXT(JC102,"[M]")/60)*'Income Person-hours'!$D$5)</f>
        <v>0</v>
      </c>
    </row>
    <row r="103" spans="1:264" s="11" customFormat="1" ht="11.25" hidden="1">
      <c r="A103" s="30">
        <v>4.13</v>
      </c>
      <c r="B103" s="116"/>
      <c r="C103" s="107"/>
      <c r="D103" s="12" t="str">
        <f>IF(OR(j_WEEKDAY(J_ADDDAY(VLOOKUP(I103,A:F,6,FALSE),H103,1),0)=6,SUMIFS(Holieday[ok],Holieday[date],J_ADDDAY(VLOOKUP(I103,A:F,6,FALSE),H103,1)))=FALSE(),J_ADDDAY(VLOOKUP(I103,A:F,6,FALSE),H103,1),IF(OR(j_WEEKDAY(J_ADDDAY(VLOOKUP(I103,A:F,6,FALSE),H103+1,1),0)=6,SUMIFS(Holieday[ok],Holieday[date],J_ADDDAY(VLOOKUP(I103,A:F,6,FALSE),H103+1,1)))=FALSE(),J_ADDDAY(VLOOKUP(I103,A:F,6,FALSE),H103+1,1),IF(OR(j_WEEKDAY(J_ADDDAY(VLOOKUP(I103,A:F,6,FALSE),H103+2,1),0)=6,SUMIFS(Holieday[ok],Holieday[date],J_ADDDAY(VLOOKUP(I103,A:F,6,FALSE),H103+2,1)))=FALSE(),J_ADDDAY(VLOOKUP(I103,A:F,6,FALSE),H103+2,1),IF(OR(j_WEEKDAY(J_ADDDAY(VLOOKUP(I103,A:F,6,FALSE),H103+3,1),0)=6,SUMIFS(Holieday[ok],Holieday[date],J_ADDDAY(VLOOKUP(I103,A:F,6,FALSE),H103+3,1)))=FALSE(),J_ADDDAY(VLOOKUP(I103,A:F,6,FALSE),H103+3,1),IF(OR(j_WEEKDAY(J_ADDDAY(VLOOKUP(I103,A:F,6,FALSE),H103+4,1),0)=6,SUMIFS(Holieday[ok],Holieday[date],J_ADDDAY(VLOOKUP(I103,A:F,6,FALSE),H103+4,1)))=FALSE(),J_ADDDAY(VLOOKUP(I103,A:F,6,FALSE),H103+4,1),J_ADDDAY(VLOOKUP(I103,A:F,6,FALSE),H103+5,1))))))</f>
        <v>1398/07/02</v>
      </c>
      <c r="E103" s="1">
        <f t="shared" si="33"/>
        <v>13980702</v>
      </c>
      <c r="F103" s="12" t="str">
        <f>IF(N103=0,J_SUBDAY(D103,1,1),IF((N103-NETWORKDAYS.INTL(J_GregorianDate(D103,1),J_GregorianDate(J_SUBDAY(J_ADDDAY(D103,N103,1),1,1),1),16,1)-SUMIFS(Holieday[ok],Holieday[date],CONCATENATE("&gt;","=",D103),Holieday[date],CONCATENATE("&lt;","=",J_SUBDAY(J_ADDDAY(D103,N103,1),1,1)))+SUMIFS(Holieday[Friday],Holieday[date],CONCATENATE("&gt;","=",D103),Holieday[date],CONCATENATE("&lt;","=",J_SUBDAY(J_ADDDAY(D103,N103,1),1,1))))=0,J_SUBDAY(J_ADDDAY(D103,N103,1),1,1),IF((N103-NETWORKDAYS.INTL(J_GregorianDate(D103,1),J_GregorianDate(J_SUBDAY(J_ADDDAY(D103,N103,1),1,1),1),16,1)-SUMIFS(Holieday[ok],Holieday[date],CONCATENATE("&gt;","=",D103),Holieday[date],CONCATENATE("&lt;","=",J_SUBDAY(J_ADDDAY(D103,N103,1),1,1)))+SUMIFS(Holieday[Friday],Holieday[date],CONCATENATE("&gt;","=",D103),Holieday[date],CONCATENATE("&lt;","=",J_SUBDAY(J_ADDDAY(D103,N103,1),1,1))))=1,J_SUBDAY(J_ADDDAY(D103,N103+1,1),1,1),IF((N103-NETWORKDAYS.INTL(J_GregorianDate(D103,1),J_GregorianDate(J_SUBDAY(J_ADDDAY(D103,N103,1),1,1),1),16,1)-SUMIFS(Holieday[ok],Holieday[date],CONCATENATE("&gt;","=",D103),Holieday[date],CONCATENATE("&lt;","=",J_SUBDAY(J_ADDDAY(D103,N103,1),1,1)))+SUMIFS(Holieday[Friday],Holieday[date],CONCATENATE("&gt;","=",D103),Holieday[date],CONCATENATE("&lt;","=",J_SUBDAY(J_ADDDAY(D103,N103,1),1,1))))=2,J_SUBDAY(J_ADDDAY(D103,N103+2,1),1,1),J_SUBDAY(J_ADDDAY(D103,N103+3,1),1,1)))))</f>
        <v>1398/07/01</v>
      </c>
      <c r="G103" s="2">
        <f t="shared" si="30"/>
        <v>13980701</v>
      </c>
      <c r="H103" s="109"/>
      <c r="I103" s="110">
        <v>1.2</v>
      </c>
      <c r="J103" s="9">
        <f>j_WEEKDAY(D103,2)</f>
        <v>3</v>
      </c>
      <c r="K103" s="21">
        <f t="shared" si="34"/>
        <v>0</v>
      </c>
      <c r="L103" s="8">
        <f t="shared" si="35"/>
        <v>0</v>
      </c>
      <c r="M103" s="111">
        <v>0</v>
      </c>
      <c r="N103" s="108">
        <v>0</v>
      </c>
      <c r="O103" s="10">
        <f t="shared" si="31"/>
        <v>0</v>
      </c>
      <c r="P103" s="10">
        <f>VALUE(J_normdate(J_ADDDAY($D103,$O103,1)))</f>
        <v>13980702</v>
      </c>
      <c r="Q103" s="9">
        <f t="shared" si="32"/>
        <v>0</v>
      </c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  <c r="BE103" s="7"/>
      <c r="BF103" s="7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7"/>
      <c r="BV103" s="7"/>
      <c r="BW103" s="7"/>
      <c r="BX103" s="7"/>
      <c r="BY103" s="7"/>
      <c r="BZ103" s="7"/>
      <c r="CA103" s="7"/>
      <c r="CB103" s="7"/>
      <c r="CC103" s="7"/>
      <c r="CD103" s="7"/>
      <c r="CE103" s="7"/>
      <c r="CF103" s="7"/>
      <c r="CG103" s="7"/>
      <c r="CH103" s="7"/>
      <c r="CI103" s="7"/>
      <c r="CJ103" s="7"/>
      <c r="CK103" s="7"/>
      <c r="CL103" s="7"/>
      <c r="CM103" s="7"/>
      <c r="CN103" s="7"/>
      <c r="CO103" s="7"/>
      <c r="CP103" s="7"/>
      <c r="CQ103" s="7"/>
      <c r="CR103" s="7"/>
      <c r="CS103" s="7"/>
      <c r="CT103" s="7"/>
      <c r="CU103" s="7"/>
      <c r="CV103" s="7"/>
      <c r="CW103" s="7"/>
      <c r="CX103" s="7"/>
      <c r="CY103" s="7"/>
      <c r="CZ103" s="7"/>
      <c r="DA103" s="7"/>
      <c r="DB103" s="7"/>
      <c r="DC103" s="7"/>
      <c r="DD103" s="7"/>
      <c r="DE103" s="7"/>
      <c r="DF103" s="7"/>
      <c r="DG103" s="7"/>
      <c r="DH103" s="7"/>
      <c r="DI103" s="7"/>
      <c r="DJ103" s="7"/>
      <c r="DK103" s="7"/>
      <c r="DL103" s="7"/>
      <c r="DM103" s="7"/>
      <c r="DN103" s="7"/>
      <c r="DO103" s="7"/>
      <c r="DP103" s="7"/>
      <c r="DQ103" s="7"/>
      <c r="DR103" s="7"/>
      <c r="DS103" s="7"/>
      <c r="DT103" s="7"/>
      <c r="DU103" s="7"/>
      <c r="DV103" s="7"/>
      <c r="DW103" s="7"/>
      <c r="DX103" s="7"/>
      <c r="DY103" s="7"/>
      <c r="DZ103" s="7"/>
      <c r="EA103" s="7"/>
      <c r="EB103" s="7"/>
      <c r="EC103" s="7"/>
      <c r="ED103" s="7"/>
      <c r="EE103" s="7"/>
      <c r="EF103" s="7"/>
      <c r="EG103" s="7"/>
      <c r="EH103" s="7"/>
      <c r="EI103" s="7"/>
      <c r="EJ103" s="7"/>
      <c r="EK103" s="7"/>
      <c r="EL103" s="7"/>
      <c r="EM103" s="7"/>
      <c r="EN103" s="7"/>
      <c r="EO103" s="7"/>
      <c r="EP103" s="7"/>
      <c r="EQ103" s="7"/>
      <c r="ER103" s="7"/>
      <c r="ES103" s="7"/>
      <c r="ET103" s="7"/>
      <c r="EU103" s="7"/>
      <c r="EV103" s="7"/>
      <c r="EW103" s="7"/>
      <c r="EX103" s="7"/>
      <c r="EY103" s="7"/>
      <c r="EZ103" s="7"/>
      <c r="FA103" s="7"/>
      <c r="FB103" s="7"/>
      <c r="FC103" s="7"/>
      <c r="FD103" s="7"/>
      <c r="FE103" s="7"/>
      <c r="FF103" s="7"/>
      <c r="FG103" s="7"/>
      <c r="FH103" s="7"/>
      <c r="FI103" s="7"/>
      <c r="FJ103" s="7"/>
      <c r="FK103" s="7"/>
      <c r="FL103" s="7"/>
      <c r="FM103" s="7"/>
      <c r="FN103" s="7"/>
      <c r="FO103" s="7"/>
      <c r="FP103" s="7"/>
      <c r="FQ103" s="7"/>
      <c r="FR103" s="7"/>
      <c r="FS103" s="7"/>
      <c r="FT103" s="7"/>
      <c r="FU103" s="7"/>
      <c r="FV103" s="7"/>
      <c r="FW103" s="7"/>
      <c r="FX103" s="7"/>
      <c r="FY103" s="7"/>
      <c r="FZ103" s="7"/>
      <c r="GA103" s="7"/>
      <c r="GB103" s="7"/>
      <c r="GC103" s="7"/>
      <c r="GD103" s="7"/>
      <c r="GE103" s="7"/>
      <c r="GF103" s="7"/>
      <c r="GG103" s="7"/>
      <c r="GH103" s="7"/>
      <c r="GI103" s="7"/>
      <c r="GJ103" s="7"/>
      <c r="GK103" s="7"/>
      <c r="GL103" s="7"/>
      <c r="GM103" s="7"/>
      <c r="GN103" s="7"/>
      <c r="GO103" s="7"/>
      <c r="GP103" s="7"/>
      <c r="GQ103" s="7"/>
      <c r="GR103" s="7"/>
      <c r="GS103" s="7"/>
      <c r="GT103" s="7"/>
      <c r="GU103" s="7"/>
      <c r="GV103" s="7"/>
      <c r="GW103" s="7"/>
      <c r="GX103" s="7"/>
      <c r="GY103" s="7"/>
      <c r="GZ103" s="7"/>
      <c r="HA103" s="7"/>
      <c r="HB103" s="7"/>
      <c r="HC103" s="7"/>
      <c r="HD103" s="7"/>
      <c r="HE103" s="7"/>
      <c r="HF103" s="7"/>
      <c r="HG103" s="7"/>
      <c r="HH103" s="7"/>
      <c r="HI103" s="7"/>
      <c r="HJ103" s="7"/>
      <c r="HK103" s="7"/>
      <c r="HL103" s="7"/>
      <c r="HM103" s="7"/>
      <c r="HN103" s="7"/>
      <c r="HO103" s="7"/>
      <c r="HP103" s="7"/>
      <c r="HQ103" s="7"/>
      <c r="HR103" s="7"/>
      <c r="HS103" s="7"/>
      <c r="HT103" s="7"/>
      <c r="HU103" s="7"/>
      <c r="HV103" s="7"/>
      <c r="HW103" s="7"/>
      <c r="HX103" s="7"/>
      <c r="HY103" s="7"/>
      <c r="HZ103" s="7"/>
      <c r="IA103" s="7"/>
      <c r="IB103" s="7"/>
      <c r="IC103" s="7"/>
      <c r="ID103" s="7"/>
      <c r="IE103" s="7"/>
      <c r="IF103" s="7"/>
      <c r="IG103" s="7"/>
      <c r="IH103" s="7"/>
      <c r="II103" s="7"/>
      <c r="IJ103" s="7"/>
      <c r="IK103" s="7"/>
      <c r="IL103" s="7"/>
      <c r="IM103" s="7"/>
      <c r="IN103" s="7"/>
      <c r="IO103" s="7"/>
      <c r="IP103" s="7"/>
      <c r="IQ103" s="7"/>
      <c r="IR103" s="7"/>
      <c r="IS103" s="7"/>
      <c r="IT103" s="7"/>
      <c r="IU103" s="7"/>
      <c r="IV103" s="7"/>
      <c r="IW103" s="7"/>
      <c r="IX103" s="7"/>
      <c r="IY103" s="29">
        <v>1</v>
      </c>
      <c r="IZ103" s="33">
        <f>(TEXT(K103,"[m]")/60)*VLOOKUP(IY103,'Income Person-hours'!A$2:C$5,3,FALSE)</f>
        <v>0</v>
      </c>
      <c r="JA103" s="113"/>
      <c r="JB103" s="113"/>
      <c r="JC103" s="113"/>
      <c r="JD103" s="66">
        <f>SUM((TEXT(JA103,"[M]")/60)*'Income Person-hours'!$D$3,(TEXT(JB103,"[M]")/60)*'Income Person-hours'!$D$4,(TEXT(JC103,"[M]")/60)*'Income Person-hours'!$D$5)</f>
        <v>0</v>
      </c>
    </row>
    <row r="104" spans="1:264" s="11" customFormat="1" ht="11.25" hidden="1">
      <c r="A104" s="30">
        <v>4.1399999999999997</v>
      </c>
      <c r="B104" s="116"/>
      <c r="C104" s="107"/>
      <c r="D104" s="12" t="str">
        <f>IF(OR(j_WEEKDAY(J_ADDDAY(VLOOKUP(I104,A:F,6,FALSE),H104,1),0)=6,SUMIFS(Holieday[ok],Holieday[date],J_ADDDAY(VLOOKUP(I104,A:F,6,FALSE),H104,1)))=FALSE(),J_ADDDAY(VLOOKUP(I104,A:F,6,FALSE),H104,1),IF(OR(j_WEEKDAY(J_ADDDAY(VLOOKUP(I104,A:F,6,FALSE),H104+1,1),0)=6,SUMIFS(Holieday[ok],Holieday[date],J_ADDDAY(VLOOKUP(I104,A:F,6,FALSE),H104+1,1)))=FALSE(),J_ADDDAY(VLOOKUP(I104,A:F,6,FALSE),H104+1,1),IF(OR(j_WEEKDAY(J_ADDDAY(VLOOKUP(I104,A:F,6,FALSE),H104+2,1),0)=6,SUMIFS(Holieday[ok],Holieday[date],J_ADDDAY(VLOOKUP(I104,A:F,6,FALSE),H104+2,1)))=FALSE(),J_ADDDAY(VLOOKUP(I104,A:F,6,FALSE),H104+2,1),IF(OR(j_WEEKDAY(J_ADDDAY(VLOOKUP(I104,A:F,6,FALSE),H104+3,1),0)=6,SUMIFS(Holieday[ok],Holieday[date],J_ADDDAY(VLOOKUP(I104,A:F,6,FALSE),H104+3,1)))=FALSE(),J_ADDDAY(VLOOKUP(I104,A:F,6,FALSE),H104+3,1),IF(OR(j_WEEKDAY(J_ADDDAY(VLOOKUP(I104,A:F,6,FALSE),H104+4,1),0)=6,SUMIFS(Holieday[ok],Holieday[date],J_ADDDAY(VLOOKUP(I104,A:F,6,FALSE),H104+4,1)))=FALSE(),J_ADDDAY(VLOOKUP(I104,A:F,6,FALSE),H104+4,1),J_ADDDAY(VLOOKUP(I104,A:F,6,FALSE),H104+5,1))))))</f>
        <v>1398/07/02</v>
      </c>
      <c r="E104" s="1">
        <f t="shared" si="33"/>
        <v>13980702</v>
      </c>
      <c r="F104" s="12" t="str">
        <f>IF(N104=0,J_SUBDAY(D104,1,1),IF((N104-NETWORKDAYS.INTL(J_GregorianDate(D104,1),J_GregorianDate(J_SUBDAY(J_ADDDAY(D104,N104,1),1,1),1),16,1)-SUMIFS(Holieday[ok],Holieday[date],CONCATENATE("&gt;","=",D104),Holieday[date],CONCATENATE("&lt;","=",J_SUBDAY(J_ADDDAY(D104,N104,1),1,1)))+SUMIFS(Holieday[Friday],Holieday[date],CONCATENATE("&gt;","=",D104),Holieday[date],CONCATENATE("&lt;","=",J_SUBDAY(J_ADDDAY(D104,N104,1),1,1))))=0,J_SUBDAY(J_ADDDAY(D104,N104,1),1,1),IF((N104-NETWORKDAYS.INTL(J_GregorianDate(D104,1),J_GregorianDate(J_SUBDAY(J_ADDDAY(D104,N104,1),1,1),1),16,1)-SUMIFS(Holieday[ok],Holieday[date],CONCATENATE("&gt;","=",D104),Holieday[date],CONCATENATE("&lt;","=",J_SUBDAY(J_ADDDAY(D104,N104,1),1,1)))+SUMIFS(Holieday[Friday],Holieday[date],CONCATENATE("&gt;","=",D104),Holieday[date],CONCATENATE("&lt;","=",J_SUBDAY(J_ADDDAY(D104,N104,1),1,1))))=1,J_SUBDAY(J_ADDDAY(D104,N104+1,1),1,1),IF((N104-NETWORKDAYS.INTL(J_GregorianDate(D104,1),J_GregorianDate(J_SUBDAY(J_ADDDAY(D104,N104,1),1,1),1),16,1)-SUMIFS(Holieday[ok],Holieday[date],CONCATENATE("&gt;","=",D104),Holieday[date],CONCATENATE("&lt;","=",J_SUBDAY(J_ADDDAY(D104,N104,1),1,1)))+SUMIFS(Holieday[Friday],Holieday[date],CONCATENATE("&gt;","=",D104),Holieday[date],CONCATENATE("&lt;","=",J_SUBDAY(J_ADDDAY(D104,N104,1),1,1))))=2,J_SUBDAY(J_ADDDAY(D104,N104+2,1),1,1),J_SUBDAY(J_ADDDAY(D104,N104+3,1),1,1)))))</f>
        <v>1398/07/01</v>
      </c>
      <c r="G104" s="2">
        <f t="shared" si="30"/>
        <v>13980701</v>
      </c>
      <c r="H104" s="109"/>
      <c r="I104" s="110">
        <v>1.2</v>
      </c>
      <c r="J104" s="9">
        <f>j_WEEKDAY(D104,2)</f>
        <v>3</v>
      </c>
      <c r="K104" s="21">
        <f t="shared" si="34"/>
        <v>0</v>
      </c>
      <c r="L104" s="8">
        <f t="shared" si="35"/>
        <v>0</v>
      </c>
      <c r="M104" s="111">
        <v>0</v>
      </c>
      <c r="N104" s="108">
        <v>0</v>
      </c>
      <c r="O104" s="10">
        <f t="shared" si="31"/>
        <v>0</v>
      </c>
      <c r="P104" s="10">
        <f>VALUE(J_normdate(J_ADDDAY($D104,$O104,1)))</f>
        <v>13980702</v>
      </c>
      <c r="Q104" s="9">
        <f t="shared" si="32"/>
        <v>0</v>
      </c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/>
      <c r="BV104" s="7"/>
      <c r="BW104" s="7"/>
      <c r="BX104" s="7"/>
      <c r="BY104" s="7"/>
      <c r="BZ104" s="7"/>
      <c r="CA104" s="7"/>
      <c r="CB104" s="7"/>
      <c r="CC104" s="7"/>
      <c r="CD104" s="7"/>
      <c r="CE104" s="7"/>
      <c r="CF104" s="7"/>
      <c r="CG104" s="7"/>
      <c r="CH104" s="7"/>
      <c r="CI104" s="7"/>
      <c r="CJ104" s="7"/>
      <c r="CK104" s="7"/>
      <c r="CL104" s="7"/>
      <c r="CM104" s="7"/>
      <c r="CN104" s="7"/>
      <c r="CO104" s="7"/>
      <c r="CP104" s="7"/>
      <c r="CQ104" s="7"/>
      <c r="CR104" s="7"/>
      <c r="CS104" s="7"/>
      <c r="CT104" s="7"/>
      <c r="CU104" s="7"/>
      <c r="CV104" s="7"/>
      <c r="CW104" s="7"/>
      <c r="CX104" s="7"/>
      <c r="CY104" s="7"/>
      <c r="CZ104" s="7"/>
      <c r="DA104" s="7"/>
      <c r="DB104" s="7"/>
      <c r="DC104" s="7"/>
      <c r="DD104" s="7"/>
      <c r="DE104" s="7"/>
      <c r="DF104" s="7"/>
      <c r="DG104" s="7"/>
      <c r="DH104" s="7"/>
      <c r="DI104" s="7"/>
      <c r="DJ104" s="7"/>
      <c r="DK104" s="7"/>
      <c r="DL104" s="7"/>
      <c r="DM104" s="7"/>
      <c r="DN104" s="7"/>
      <c r="DO104" s="7"/>
      <c r="DP104" s="7"/>
      <c r="DQ104" s="7"/>
      <c r="DR104" s="7"/>
      <c r="DS104" s="7"/>
      <c r="DT104" s="7"/>
      <c r="DU104" s="7"/>
      <c r="DV104" s="7"/>
      <c r="DW104" s="7"/>
      <c r="DX104" s="7"/>
      <c r="DY104" s="7"/>
      <c r="DZ104" s="7"/>
      <c r="EA104" s="7"/>
      <c r="EB104" s="7"/>
      <c r="EC104" s="7"/>
      <c r="ED104" s="7"/>
      <c r="EE104" s="7"/>
      <c r="EF104" s="7"/>
      <c r="EG104" s="7"/>
      <c r="EH104" s="7"/>
      <c r="EI104" s="7"/>
      <c r="EJ104" s="7"/>
      <c r="EK104" s="7"/>
      <c r="EL104" s="7"/>
      <c r="EM104" s="7"/>
      <c r="EN104" s="7"/>
      <c r="EO104" s="7"/>
      <c r="EP104" s="7"/>
      <c r="EQ104" s="7"/>
      <c r="ER104" s="7"/>
      <c r="ES104" s="7"/>
      <c r="ET104" s="7"/>
      <c r="EU104" s="7"/>
      <c r="EV104" s="7"/>
      <c r="EW104" s="7"/>
      <c r="EX104" s="7"/>
      <c r="EY104" s="7"/>
      <c r="EZ104" s="7"/>
      <c r="FA104" s="7"/>
      <c r="FB104" s="7"/>
      <c r="FC104" s="7"/>
      <c r="FD104" s="7"/>
      <c r="FE104" s="7"/>
      <c r="FF104" s="7"/>
      <c r="FG104" s="7"/>
      <c r="FH104" s="7"/>
      <c r="FI104" s="7"/>
      <c r="FJ104" s="7"/>
      <c r="FK104" s="7"/>
      <c r="FL104" s="7"/>
      <c r="FM104" s="7"/>
      <c r="FN104" s="7"/>
      <c r="FO104" s="7"/>
      <c r="FP104" s="7"/>
      <c r="FQ104" s="7"/>
      <c r="FR104" s="7"/>
      <c r="FS104" s="7"/>
      <c r="FT104" s="7"/>
      <c r="FU104" s="7"/>
      <c r="FV104" s="7"/>
      <c r="FW104" s="7"/>
      <c r="FX104" s="7"/>
      <c r="FY104" s="7"/>
      <c r="FZ104" s="7"/>
      <c r="GA104" s="7"/>
      <c r="GB104" s="7"/>
      <c r="GC104" s="7"/>
      <c r="GD104" s="7"/>
      <c r="GE104" s="7"/>
      <c r="GF104" s="7"/>
      <c r="GG104" s="7"/>
      <c r="GH104" s="7"/>
      <c r="GI104" s="7"/>
      <c r="GJ104" s="7"/>
      <c r="GK104" s="7"/>
      <c r="GL104" s="7"/>
      <c r="GM104" s="7"/>
      <c r="GN104" s="7"/>
      <c r="GO104" s="7"/>
      <c r="GP104" s="7"/>
      <c r="GQ104" s="7"/>
      <c r="GR104" s="7"/>
      <c r="GS104" s="7"/>
      <c r="GT104" s="7"/>
      <c r="GU104" s="7"/>
      <c r="GV104" s="7"/>
      <c r="GW104" s="7"/>
      <c r="GX104" s="7"/>
      <c r="GY104" s="7"/>
      <c r="GZ104" s="7"/>
      <c r="HA104" s="7"/>
      <c r="HB104" s="7"/>
      <c r="HC104" s="7"/>
      <c r="HD104" s="7"/>
      <c r="HE104" s="7"/>
      <c r="HF104" s="7"/>
      <c r="HG104" s="7"/>
      <c r="HH104" s="7"/>
      <c r="HI104" s="7"/>
      <c r="HJ104" s="7"/>
      <c r="HK104" s="7"/>
      <c r="HL104" s="7"/>
      <c r="HM104" s="7"/>
      <c r="HN104" s="7"/>
      <c r="HO104" s="7"/>
      <c r="HP104" s="7"/>
      <c r="HQ104" s="7"/>
      <c r="HR104" s="7"/>
      <c r="HS104" s="7"/>
      <c r="HT104" s="7"/>
      <c r="HU104" s="7"/>
      <c r="HV104" s="7"/>
      <c r="HW104" s="7"/>
      <c r="HX104" s="7"/>
      <c r="HY104" s="7"/>
      <c r="HZ104" s="7"/>
      <c r="IA104" s="7"/>
      <c r="IB104" s="7"/>
      <c r="IC104" s="7"/>
      <c r="ID104" s="7"/>
      <c r="IE104" s="7"/>
      <c r="IF104" s="7"/>
      <c r="IG104" s="7"/>
      <c r="IH104" s="7"/>
      <c r="II104" s="7"/>
      <c r="IJ104" s="7"/>
      <c r="IK104" s="7"/>
      <c r="IL104" s="7"/>
      <c r="IM104" s="7"/>
      <c r="IN104" s="7"/>
      <c r="IO104" s="7"/>
      <c r="IP104" s="7"/>
      <c r="IQ104" s="7"/>
      <c r="IR104" s="7"/>
      <c r="IS104" s="7"/>
      <c r="IT104" s="7"/>
      <c r="IU104" s="7"/>
      <c r="IV104" s="7"/>
      <c r="IW104" s="7"/>
      <c r="IX104" s="7"/>
      <c r="JA104" s="113"/>
      <c r="JB104" s="113"/>
      <c r="JC104" s="113"/>
      <c r="JD104" s="66">
        <f>SUM((TEXT(JA104,"[M]")/60)*'Income Person-hours'!$D$3,(TEXT(JB104,"[M]")/60)*'Income Person-hours'!$D$4,(TEXT(JC104,"[M]")/60)*'Income Person-hours'!$D$5)</f>
        <v>0</v>
      </c>
    </row>
    <row r="105" spans="1:264" s="11" customFormat="1" ht="11.25" hidden="1">
      <c r="A105" s="30">
        <v>4.1500000000000004</v>
      </c>
      <c r="B105" s="116"/>
      <c r="C105" s="107"/>
      <c r="D105" s="12" t="str">
        <f>IF(OR(j_WEEKDAY(J_ADDDAY(VLOOKUP(I105,A:F,6,FALSE),H105,1),0)=6,SUMIFS(Holieday[ok],Holieday[date],J_ADDDAY(VLOOKUP(I105,A:F,6,FALSE),H105,1)))=FALSE(),J_ADDDAY(VLOOKUP(I105,A:F,6,FALSE),H105,1),IF(OR(j_WEEKDAY(J_ADDDAY(VLOOKUP(I105,A:F,6,FALSE),H105+1,1),0)=6,SUMIFS(Holieday[ok],Holieday[date],J_ADDDAY(VLOOKUP(I105,A:F,6,FALSE),H105+1,1)))=FALSE(),J_ADDDAY(VLOOKUP(I105,A:F,6,FALSE),H105+1,1),IF(OR(j_WEEKDAY(J_ADDDAY(VLOOKUP(I105,A:F,6,FALSE),H105+2,1),0)=6,SUMIFS(Holieday[ok],Holieday[date],J_ADDDAY(VLOOKUP(I105,A:F,6,FALSE),H105+2,1)))=FALSE(),J_ADDDAY(VLOOKUP(I105,A:F,6,FALSE),H105+2,1),IF(OR(j_WEEKDAY(J_ADDDAY(VLOOKUP(I105,A:F,6,FALSE),H105+3,1),0)=6,SUMIFS(Holieday[ok],Holieday[date],J_ADDDAY(VLOOKUP(I105,A:F,6,FALSE),H105+3,1)))=FALSE(),J_ADDDAY(VLOOKUP(I105,A:F,6,FALSE),H105+3,1),IF(OR(j_WEEKDAY(J_ADDDAY(VLOOKUP(I105,A:F,6,FALSE),H105+4,1),0)=6,SUMIFS(Holieday[ok],Holieday[date],J_ADDDAY(VLOOKUP(I105,A:F,6,FALSE),H105+4,1)))=FALSE(),J_ADDDAY(VLOOKUP(I105,A:F,6,FALSE),H105+4,1),J_ADDDAY(VLOOKUP(I105,A:F,6,FALSE),H105+5,1))))))</f>
        <v>1398/07/02</v>
      </c>
      <c r="E105" s="1">
        <f t="shared" si="33"/>
        <v>13980702</v>
      </c>
      <c r="F105" s="12" t="str">
        <f>IF(N105=0,J_SUBDAY(D105,1,1),IF((N105-NETWORKDAYS.INTL(J_GregorianDate(D105,1),J_GregorianDate(J_SUBDAY(J_ADDDAY(D105,N105,1),1,1),1),16,1)-SUMIFS(Holieday[ok],Holieday[date],CONCATENATE("&gt;","=",D105),Holieday[date],CONCATENATE("&lt;","=",J_SUBDAY(J_ADDDAY(D105,N105,1),1,1)))+SUMIFS(Holieday[Friday],Holieday[date],CONCATENATE("&gt;","=",D105),Holieday[date],CONCATENATE("&lt;","=",J_SUBDAY(J_ADDDAY(D105,N105,1),1,1))))=0,J_SUBDAY(J_ADDDAY(D105,N105,1),1,1),IF((N105-NETWORKDAYS.INTL(J_GregorianDate(D105,1),J_GregorianDate(J_SUBDAY(J_ADDDAY(D105,N105,1),1,1),1),16,1)-SUMIFS(Holieday[ok],Holieday[date],CONCATENATE("&gt;","=",D105),Holieday[date],CONCATENATE("&lt;","=",J_SUBDAY(J_ADDDAY(D105,N105,1),1,1)))+SUMIFS(Holieday[Friday],Holieday[date],CONCATENATE("&gt;","=",D105),Holieday[date],CONCATENATE("&lt;","=",J_SUBDAY(J_ADDDAY(D105,N105,1),1,1))))=1,J_SUBDAY(J_ADDDAY(D105,N105+1,1),1,1),IF((N105-NETWORKDAYS.INTL(J_GregorianDate(D105,1),J_GregorianDate(J_SUBDAY(J_ADDDAY(D105,N105,1),1,1),1),16,1)-SUMIFS(Holieday[ok],Holieday[date],CONCATENATE("&gt;","=",D105),Holieday[date],CONCATENATE("&lt;","=",J_SUBDAY(J_ADDDAY(D105,N105,1),1,1)))+SUMIFS(Holieday[Friday],Holieday[date],CONCATENATE("&gt;","=",D105),Holieday[date],CONCATENATE("&lt;","=",J_SUBDAY(J_ADDDAY(D105,N105,1),1,1))))=2,J_SUBDAY(J_ADDDAY(D105,N105+2,1),1,1),J_SUBDAY(J_ADDDAY(D105,N105+3,1),1,1)))))</f>
        <v>1398/07/01</v>
      </c>
      <c r="G105" s="2">
        <f t="shared" si="30"/>
        <v>13980701</v>
      </c>
      <c r="H105" s="109"/>
      <c r="I105" s="110">
        <v>1.2</v>
      </c>
      <c r="J105" s="9">
        <f>j_WEEKDAY(D105,2)</f>
        <v>3</v>
      </c>
      <c r="K105" s="21">
        <f t="shared" si="34"/>
        <v>0</v>
      </c>
      <c r="L105" s="8">
        <f t="shared" si="35"/>
        <v>0</v>
      </c>
      <c r="M105" s="111">
        <v>0</v>
      </c>
      <c r="N105" s="108">
        <v>0</v>
      </c>
      <c r="O105" s="10">
        <f t="shared" ref="O105:O112" si="36">ROUNDDOWN(M105*L105,0)</f>
        <v>0</v>
      </c>
      <c r="P105" s="10">
        <f>VALUE(J_normdate(J_ADDDAY($D105,$O105,1)))</f>
        <v>13980702</v>
      </c>
      <c r="Q105" s="9">
        <f t="shared" ref="Q105:Q112" si="37">L105-O105</f>
        <v>0</v>
      </c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7"/>
      <c r="BV105" s="7"/>
      <c r="BW105" s="7"/>
      <c r="BX105" s="7"/>
      <c r="BY105" s="7"/>
      <c r="BZ105" s="7"/>
      <c r="CA105" s="7"/>
      <c r="CB105" s="7"/>
      <c r="CC105" s="7"/>
      <c r="CD105" s="7"/>
      <c r="CE105" s="7"/>
      <c r="CF105" s="7"/>
      <c r="CG105" s="7"/>
      <c r="CH105" s="7"/>
      <c r="CI105" s="7"/>
      <c r="CJ105" s="7"/>
      <c r="CK105" s="7"/>
      <c r="CL105" s="7"/>
      <c r="CM105" s="7"/>
      <c r="CN105" s="7"/>
      <c r="CO105" s="7"/>
      <c r="CP105" s="7"/>
      <c r="CQ105" s="7"/>
      <c r="CR105" s="7"/>
      <c r="CS105" s="7"/>
      <c r="CT105" s="7"/>
      <c r="CU105" s="7"/>
      <c r="CV105" s="7"/>
      <c r="CW105" s="7"/>
      <c r="CX105" s="7"/>
      <c r="CY105" s="7"/>
      <c r="CZ105" s="7"/>
      <c r="DA105" s="7"/>
      <c r="DB105" s="7"/>
      <c r="DC105" s="7"/>
      <c r="DD105" s="7"/>
      <c r="DE105" s="7"/>
      <c r="DF105" s="7"/>
      <c r="DG105" s="7"/>
      <c r="DH105" s="7"/>
      <c r="DI105" s="7"/>
      <c r="DJ105" s="7"/>
      <c r="DK105" s="7"/>
      <c r="DL105" s="7"/>
      <c r="DM105" s="7"/>
      <c r="DN105" s="7"/>
      <c r="DO105" s="7"/>
      <c r="DP105" s="7"/>
      <c r="DQ105" s="7"/>
      <c r="DR105" s="7"/>
      <c r="DS105" s="7"/>
      <c r="DT105" s="7"/>
      <c r="DU105" s="7"/>
      <c r="DV105" s="7"/>
      <c r="DW105" s="7"/>
      <c r="DX105" s="7"/>
      <c r="DY105" s="7"/>
      <c r="DZ105" s="7"/>
      <c r="EA105" s="7"/>
      <c r="EB105" s="7"/>
      <c r="EC105" s="7"/>
      <c r="ED105" s="7"/>
      <c r="EE105" s="7"/>
      <c r="EF105" s="7"/>
      <c r="EG105" s="7"/>
      <c r="EH105" s="7"/>
      <c r="EI105" s="7"/>
      <c r="EJ105" s="7"/>
      <c r="EK105" s="7"/>
      <c r="EL105" s="7"/>
      <c r="EM105" s="7"/>
      <c r="EN105" s="7"/>
      <c r="EO105" s="7"/>
      <c r="EP105" s="7"/>
      <c r="EQ105" s="7"/>
      <c r="ER105" s="7"/>
      <c r="ES105" s="7"/>
      <c r="ET105" s="7"/>
      <c r="EU105" s="7"/>
      <c r="EV105" s="7"/>
      <c r="EW105" s="7"/>
      <c r="EX105" s="7"/>
      <c r="EY105" s="7"/>
      <c r="EZ105" s="7"/>
      <c r="FA105" s="7"/>
      <c r="FB105" s="7"/>
      <c r="FC105" s="7"/>
      <c r="FD105" s="7"/>
      <c r="FE105" s="7"/>
      <c r="FF105" s="7"/>
      <c r="FG105" s="7"/>
      <c r="FH105" s="7"/>
      <c r="FI105" s="7"/>
      <c r="FJ105" s="7"/>
      <c r="FK105" s="7"/>
      <c r="FL105" s="7"/>
      <c r="FM105" s="7"/>
      <c r="FN105" s="7"/>
      <c r="FO105" s="7"/>
      <c r="FP105" s="7"/>
      <c r="FQ105" s="7"/>
      <c r="FR105" s="7"/>
      <c r="FS105" s="7"/>
      <c r="FT105" s="7"/>
      <c r="FU105" s="7"/>
      <c r="FV105" s="7"/>
      <c r="FW105" s="7"/>
      <c r="FX105" s="7"/>
      <c r="FY105" s="7"/>
      <c r="FZ105" s="7"/>
      <c r="GA105" s="7"/>
      <c r="GB105" s="7"/>
      <c r="GC105" s="7"/>
      <c r="GD105" s="7"/>
      <c r="GE105" s="7"/>
      <c r="GF105" s="7"/>
      <c r="GG105" s="7"/>
      <c r="GH105" s="7"/>
      <c r="GI105" s="7"/>
      <c r="GJ105" s="7"/>
      <c r="GK105" s="7"/>
      <c r="GL105" s="7"/>
      <c r="GM105" s="7"/>
      <c r="GN105" s="7"/>
      <c r="GO105" s="7"/>
      <c r="GP105" s="7"/>
      <c r="GQ105" s="7"/>
      <c r="GR105" s="7"/>
      <c r="GS105" s="7"/>
      <c r="GT105" s="7"/>
      <c r="GU105" s="7"/>
      <c r="GV105" s="7"/>
      <c r="GW105" s="7"/>
      <c r="GX105" s="7"/>
      <c r="GY105" s="7"/>
      <c r="GZ105" s="7"/>
      <c r="HA105" s="7"/>
      <c r="HB105" s="7"/>
      <c r="HC105" s="7"/>
      <c r="HD105" s="7"/>
      <c r="HE105" s="7"/>
      <c r="HF105" s="7"/>
      <c r="HG105" s="7"/>
      <c r="HH105" s="7"/>
      <c r="HI105" s="7"/>
      <c r="HJ105" s="7"/>
      <c r="HK105" s="7"/>
      <c r="HL105" s="7"/>
      <c r="HM105" s="7"/>
      <c r="HN105" s="7"/>
      <c r="HO105" s="7"/>
      <c r="HP105" s="7"/>
      <c r="HQ105" s="7"/>
      <c r="HR105" s="7"/>
      <c r="HS105" s="7"/>
      <c r="HT105" s="7"/>
      <c r="HU105" s="7"/>
      <c r="HV105" s="7"/>
      <c r="HW105" s="7"/>
      <c r="HX105" s="7"/>
      <c r="HY105" s="7"/>
      <c r="HZ105" s="7"/>
      <c r="IA105" s="7"/>
      <c r="IB105" s="7"/>
      <c r="IC105" s="7"/>
      <c r="ID105" s="7"/>
      <c r="IE105" s="7"/>
      <c r="IF105" s="7"/>
      <c r="IG105" s="7"/>
      <c r="IH105" s="7"/>
      <c r="II105" s="7"/>
      <c r="IJ105" s="7"/>
      <c r="IK105" s="7"/>
      <c r="IL105" s="7"/>
      <c r="IM105" s="7"/>
      <c r="IN105" s="7"/>
      <c r="IO105" s="7"/>
      <c r="IP105" s="7"/>
      <c r="IQ105" s="7"/>
      <c r="IR105" s="7"/>
      <c r="IS105" s="7"/>
      <c r="IT105" s="7"/>
      <c r="IU105" s="7"/>
      <c r="IV105" s="7"/>
      <c r="IW105" s="7"/>
      <c r="IX105" s="7"/>
      <c r="JA105" s="113"/>
      <c r="JB105" s="113"/>
      <c r="JC105" s="113"/>
      <c r="JD105" s="66">
        <f>SUM((TEXT(JA105,"[M]")/60)*'Income Person-hours'!$D$3,(TEXT(JB105,"[M]")/60)*'Income Person-hours'!$D$4,(TEXT(JC105,"[M]")/60)*'Income Person-hours'!$D$5)</f>
        <v>0</v>
      </c>
    </row>
    <row r="106" spans="1:264" s="11" customFormat="1" ht="11.25" hidden="1">
      <c r="A106" s="30">
        <v>4.16</v>
      </c>
      <c r="B106" s="116"/>
      <c r="C106" s="107"/>
      <c r="D106" s="12" t="str">
        <f>IF(OR(j_WEEKDAY(J_ADDDAY(VLOOKUP(I106,A:F,6,FALSE),H106,1),0)=6,SUMIFS(Holieday[ok],Holieday[date],J_ADDDAY(VLOOKUP(I106,A:F,6,FALSE),H106,1)))=FALSE(),J_ADDDAY(VLOOKUP(I106,A:F,6,FALSE),H106,1),IF(OR(j_WEEKDAY(J_ADDDAY(VLOOKUP(I106,A:F,6,FALSE),H106+1,1),0)=6,SUMIFS(Holieday[ok],Holieday[date],J_ADDDAY(VLOOKUP(I106,A:F,6,FALSE),H106+1,1)))=FALSE(),J_ADDDAY(VLOOKUP(I106,A:F,6,FALSE),H106+1,1),IF(OR(j_WEEKDAY(J_ADDDAY(VLOOKUP(I106,A:F,6,FALSE),H106+2,1),0)=6,SUMIFS(Holieday[ok],Holieday[date],J_ADDDAY(VLOOKUP(I106,A:F,6,FALSE),H106+2,1)))=FALSE(),J_ADDDAY(VLOOKUP(I106,A:F,6,FALSE),H106+2,1),IF(OR(j_WEEKDAY(J_ADDDAY(VLOOKUP(I106,A:F,6,FALSE),H106+3,1),0)=6,SUMIFS(Holieday[ok],Holieday[date],J_ADDDAY(VLOOKUP(I106,A:F,6,FALSE),H106+3,1)))=FALSE(),J_ADDDAY(VLOOKUP(I106,A:F,6,FALSE),H106+3,1),IF(OR(j_WEEKDAY(J_ADDDAY(VLOOKUP(I106,A:F,6,FALSE),H106+4,1),0)=6,SUMIFS(Holieday[ok],Holieday[date],J_ADDDAY(VLOOKUP(I106,A:F,6,FALSE),H106+4,1)))=FALSE(),J_ADDDAY(VLOOKUP(I106,A:F,6,FALSE),H106+4,1),J_ADDDAY(VLOOKUP(I106,A:F,6,FALSE),H106+5,1))))))</f>
        <v>1398/07/02</v>
      </c>
      <c r="E106" s="1">
        <f t="shared" si="33"/>
        <v>13980702</v>
      </c>
      <c r="F106" s="12" t="str">
        <f>IF(N106=0,J_SUBDAY(D106,1,1),IF((N106-NETWORKDAYS.INTL(J_GregorianDate(D106,1),J_GregorianDate(J_SUBDAY(J_ADDDAY(D106,N106,1),1,1),1),16,1)-SUMIFS(Holieday[ok],Holieday[date],CONCATENATE("&gt;","=",D106),Holieday[date],CONCATENATE("&lt;","=",J_SUBDAY(J_ADDDAY(D106,N106,1),1,1)))+SUMIFS(Holieday[Friday],Holieday[date],CONCATENATE("&gt;","=",D106),Holieday[date],CONCATENATE("&lt;","=",J_SUBDAY(J_ADDDAY(D106,N106,1),1,1))))=0,J_SUBDAY(J_ADDDAY(D106,N106,1),1,1),IF((N106-NETWORKDAYS.INTL(J_GregorianDate(D106,1),J_GregorianDate(J_SUBDAY(J_ADDDAY(D106,N106,1),1,1),1),16,1)-SUMIFS(Holieday[ok],Holieday[date],CONCATENATE("&gt;","=",D106),Holieday[date],CONCATENATE("&lt;","=",J_SUBDAY(J_ADDDAY(D106,N106,1),1,1)))+SUMIFS(Holieday[Friday],Holieday[date],CONCATENATE("&gt;","=",D106),Holieday[date],CONCATENATE("&lt;","=",J_SUBDAY(J_ADDDAY(D106,N106,1),1,1))))=1,J_SUBDAY(J_ADDDAY(D106,N106+1,1),1,1),IF((N106-NETWORKDAYS.INTL(J_GregorianDate(D106,1),J_GregorianDate(J_SUBDAY(J_ADDDAY(D106,N106,1),1,1),1),16,1)-SUMIFS(Holieday[ok],Holieday[date],CONCATENATE("&gt;","=",D106),Holieday[date],CONCATENATE("&lt;","=",J_SUBDAY(J_ADDDAY(D106,N106,1),1,1)))+SUMIFS(Holieday[Friday],Holieday[date],CONCATENATE("&gt;","=",D106),Holieday[date],CONCATENATE("&lt;","=",J_SUBDAY(J_ADDDAY(D106,N106,1),1,1))))=2,J_SUBDAY(J_ADDDAY(D106,N106+2,1),1,1),J_SUBDAY(J_ADDDAY(D106,N106+3,1),1,1)))))</f>
        <v>1398/07/01</v>
      </c>
      <c r="G106" s="2">
        <f t="shared" si="30"/>
        <v>13980701</v>
      </c>
      <c r="H106" s="109"/>
      <c r="I106" s="110">
        <v>1.2</v>
      </c>
      <c r="J106" s="9">
        <f>j_WEEKDAY(D106,2)</f>
        <v>3</v>
      </c>
      <c r="K106" s="21">
        <f t="shared" si="34"/>
        <v>0</v>
      </c>
      <c r="L106" s="8">
        <f t="shared" si="35"/>
        <v>0</v>
      </c>
      <c r="M106" s="111">
        <v>0</v>
      </c>
      <c r="N106" s="108">
        <v>0</v>
      </c>
      <c r="O106" s="10">
        <f t="shared" si="36"/>
        <v>0</v>
      </c>
      <c r="P106" s="10">
        <f>VALUE(J_normdate(J_ADDDAY($D106,$O106,1)))</f>
        <v>13980702</v>
      </c>
      <c r="Q106" s="9">
        <f t="shared" si="37"/>
        <v>0</v>
      </c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  <c r="BG106" s="7"/>
      <c r="BH106" s="7"/>
      <c r="BI106" s="7"/>
      <c r="BJ106" s="7"/>
      <c r="BK106" s="7"/>
      <c r="BL106" s="7"/>
      <c r="BM106" s="7"/>
      <c r="BN106" s="7"/>
      <c r="BO106" s="7"/>
      <c r="BP106" s="7"/>
      <c r="BQ106" s="7"/>
      <c r="BR106" s="7"/>
      <c r="BS106" s="7"/>
      <c r="BT106" s="7"/>
      <c r="BU106" s="7"/>
      <c r="BV106" s="7"/>
      <c r="BW106" s="7"/>
      <c r="BX106" s="7"/>
      <c r="BY106" s="7"/>
      <c r="BZ106" s="7"/>
      <c r="CA106" s="7"/>
      <c r="CB106" s="7"/>
      <c r="CC106" s="7"/>
      <c r="CD106" s="7"/>
      <c r="CE106" s="7"/>
      <c r="CF106" s="7"/>
      <c r="CG106" s="7"/>
      <c r="CH106" s="7"/>
      <c r="CI106" s="7"/>
      <c r="CJ106" s="7"/>
      <c r="CK106" s="7"/>
      <c r="CL106" s="7"/>
      <c r="CM106" s="7"/>
      <c r="CN106" s="7"/>
      <c r="CO106" s="7"/>
      <c r="CP106" s="7"/>
      <c r="CQ106" s="7"/>
      <c r="CR106" s="7"/>
      <c r="CS106" s="7"/>
      <c r="CT106" s="7"/>
      <c r="CU106" s="7"/>
      <c r="CV106" s="7"/>
      <c r="CW106" s="7"/>
      <c r="CX106" s="7"/>
      <c r="CY106" s="7"/>
      <c r="CZ106" s="7"/>
      <c r="DA106" s="7"/>
      <c r="DB106" s="7"/>
      <c r="DC106" s="7"/>
      <c r="DD106" s="7"/>
      <c r="DE106" s="7"/>
      <c r="DF106" s="7"/>
      <c r="DG106" s="7"/>
      <c r="DH106" s="7"/>
      <c r="DI106" s="7"/>
      <c r="DJ106" s="7"/>
      <c r="DK106" s="7"/>
      <c r="DL106" s="7"/>
      <c r="DM106" s="7"/>
      <c r="DN106" s="7"/>
      <c r="DO106" s="7"/>
      <c r="DP106" s="7"/>
      <c r="DQ106" s="7"/>
      <c r="DR106" s="7"/>
      <c r="DS106" s="7"/>
      <c r="DT106" s="7"/>
      <c r="DU106" s="7"/>
      <c r="DV106" s="7"/>
      <c r="DW106" s="7"/>
      <c r="DX106" s="7"/>
      <c r="DY106" s="7"/>
      <c r="DZ106" s="7"/>
      <c r="EA106" s="7"/>
      <c r="EB106" s="7"/>
      <c r="EC106" s="7"/>
      <c r="ED106" s="7"/>
      <c r="EE106" s="7"/>
      <c r="EF106" s="7"/>
      <c r="EG106" s="7"/>
      <c r="EH106" s="7"/>
      <c r="EI106" s="7"/>
      <c r="EJ106" s="7"/>
      <c r="EK106" s="7"/>
      <c r="EL106" s="7"/>
      <c r="EM106" s="7"/>
      <c r="EN106" s="7"/>
      <c r="EO106" s="7"/>
      <c r="EP106" s="7"/>
      <c r="EQ106" s="7"/>
      <c r="ER106" s="7"/>
      <c r="ES106" s="7"/>
      <c r="ET106" s="7"/>
      <c r="EU106" s="7"/>
      <c r="EV106" s="7"/>
      <c r="EW106" s="7"/>
      <c r="EX106" s="7"/>
      <c r="EY106" s="7"/>
      <c r="EZ106" s="7"/>
      <c r="FA106" s="7"/>
      <c r="FB106" s="7"/>
      <c r="FC106" s="7"/>
      <c r="FD106" s="7"/>
      <c r="FE106" s="7"/>
      <c r="FF106" s="7"/>
      <c r="FG106" s="7"/>
      <c r="FH106" s="7"/>
      <c r="FI106" s="7"/>
      <c r="FJ106" s="7"/>
      <c r="FK106" s="7"/>
      <c r="FL106" s="7"/>
      <c r="FM106" s="7"/>
      <c r="FN106" s="7"/>
      <c r="FO106" s="7"/>
      <c r="FP106" s="7"/>
      <c r="FQ106" s="7"/>
      <c r="FR106" s="7"/>
      <c r="FS106" s="7"/>
      <c r="FT106" s="7"/>
      <c r="FU106" s="7"/>
      <c r="FV106" s="7"/>
      <c r="FW106" s="7"/>
      <c r="FX106" s="7"/>
      <c r="FY106" s="7"/>
      <c r="FZ106" s="7"/>
      <c r="GA106" s="7"/>
      <c r="GB106" s="7"/>
      <c r="GC106" s="7"/>
      <c r="GD106" s="7"/>
      <c r="GE106" s="7"/>
      <c r="GF106" s="7"/>
      <c r="GG106" s="7"/>
      <c r="GH106" s="7"/>
      <c r="GI106" s="7"/>
      <c r="GJ106" s="7"/>
      <c r="GK106" s="7"/>
      <c r="GL106" s="7"/>
      <c r="GM106" s="7"/>
      <c r="GN106" s="7"/>
      <c r="GO106" s="7"/>
      <c r="GP106" s="7"/>
      <c r="GQ106" s="7"/>
      <c r="GR106" s="7"/>
      <c r="GS106" s="7"/>
      <c r="GT106" s="7"/>
      <c r="GU106" s="7"/>
      <c r="GV106" s="7"/>
      <c r="GW106" s="7"/>
      <c r="GX106" s="7"/>
      <c r="GY106" s="7"/>
      <c r="GZ106" s="7"/>
      <c r="HA106" s="7"/>
      <c r="HB106" s="7"/>
      <c r="HC106" s="7"/>
      <c r="HD106" s="7"/>
      <c r="HE106" s="7"/>
      <c r="HF106" s="7"/>
      <c r="HG106" s="7"/>
      <c r="HH106" s="7"/>
      <c r="HI106" s="7"/>
      <c r="HJ106" s="7"/>
      <c r="HK106" s="7"/>
      <c r="HL106" s="7"/>
      <c r="HM106" s="7"/>
      <c r="HN106" s="7"/>
      <c r="HO106" s="7"/>
      <c r="HP106" s="7"/>
      <c r="HQ106" s="7"/>
      <c r="HR106" s="7"/>
      <c r="HS106" s="7"/>
      <c r="HT106" s="7"/>
      <c r="HU106" s="7"/>
      <c r="HV106" s="7"/>
      <c r="HW106" s="7"/>
      <c r="HX106" s="7"/>
      <c r="HY106" s="7"/>
      <c r="HZ106" s="7"/>
      <c r="IA106" s="7"/>
      <c r="IB106" s="7"/>
      <c r="IC106" s="7"/>
      <c r="ID106" s="7"/>
      <c r="IE106" s="7"/>
      <c r="IF106" s="7"/>
      <c r="IG106" s="7"/>
      <c r="IH106" s="7"/>
      <c r="II106" s="7"/>
      <c r="IJ106" s="7"/>
      <c r="IK106" s="7"/>
      <c r="IL106" s="7"/>
      <c r="IM106" s="7"/>
      <c r="IN106" s="7"/>
      <c r="IO106" s="7"/>
      <c r="IP106" s="7"/>
      <c r="IQ106" s="7"/>
      <c r="IR106" s="7"/>
      <c r="IS106" s="7"/>
      <c r="IT106" s="7"/>
      <c r="IU106" s="7"/>
      <c r="IV106" s="7"/>
      <c r="IW106" s="7"/>
      <c r="IX106" s="7"/>
      <c r="JA106" s="113"/>
      <c r="JB106" s="113"/>
      <c r="JC106" s="113"/>
      <c r="JD106" s="66">
        <f>SUM((TEXT(JA106,"[M]")/60)*'Income Person-hours'!$D$3,(TEXT(JB106,"[M]")/60)*'Income Person-hours'!$D$4,(TEXT(JC106,"[M]")/60)*'Income Person-hours'!$D$5)</f>
        <v>0</v>
      </c>
    </row>
    <row r="107" spans="1:264" s="11" customFormat="1" ht="11.25" hidden="1">
      <c r="A107" s="30">
        <v>4.17</v>
      </c>
      <c r="B107" s="116"/>
      <c r="C107" s="107"/>
      <c r="D107" s="12" t="str">
        <f>IF(OR(j_WEEKDAY(J_ADDDAY(VLOOKUP(I107,A:F,6,FALSE),H107,1),0)=6,SUMIFS(Holieday[ok],Holieday[date],J_ADDDAY(VLOOKUP(I107,A:F,6,FALSE),H107,1)))=FALSE(),J_ADDDAY(VLOOKUP(I107,A:F,6,FALSE),H107,1),IF(OR(j_WEEKDAY(J_ADDDAY(VLOOKUP(I107,A:F,6,FALSE),H107+1,1),0)=6,SUMIFS(Holieday[ok],Holieday[date],J_ADDDAY(VLOOKUP(I107,A:F,6,FALSE),H107+1,1)))=FALSE(),J_ADDDAY(VLOOKUP(I107,A:F,6,FALSE),H107+1,1),IF(OR(j_WEEKDAY(J_ADDDAY(VLOOKUP(I107,A:F,6,FALSE),H107+2,1),0)=6,SUMIFS(Holieday[ok],Holieday[date],J_ADDDAY(VLOOKUP(I107,A:F,6,FALSE),H107+2,1)))=FALSE(),J_ADDDAY(VLOOKUP(I107,A:F,6,FALSE),H107+2,1),IF(OR(j_WEEKDAY(J_ADDDAY(VLOOKUP(I107,A:F,6,FALSE),H107+3,1),0)=6,SUMIFS(Holieday[ok],Holieday[date],J_ADDDAY(VLOOKUP(I107,A:F,6,FALSE),H107+3,1)))=FALSE(),J_ADDDAY(VLOOKUP(I107,A:F,6,FALSE),H107+3,1),IF(OR(j_WEEKDAY(J_ADDDAY(VLOOKUP(I107,A:F,6,FALSE),H107+4,1),0)=6,SUMIFS(Holieday[ok],Holieday[date],J_ADDDAY(VLOOKUP(I107,A:F,6,FALSE),H107+4,1)))=FALSE(),J_ADDDAY(VLOOKUP(I107,A:F,6,FALSE),H107+4,1),J_ADDDAY(VLOOKUP(I107,A:F,6,FALSE),H107+5,1))))))</f>
        <v>1398/07/02</v>
      </c>
      <c r="E107" s="1">
        <f t="shared" si="33"/>
        <v>13980702</v>
      </c>
      <c r="F107" s="12" t="str">
        <f>IF(N107=0,J_SUBDAY(D107,1,1),IF((N107-NETWORKDAYS.INTL(J_GregorianDate(D107,1),J_GregorianDate(J_SUBDAY(J_ADDDAY(D107,N107,1),1,1),1),16,1)-SUMIFS(Holieday[ok],Holieday[date],CONCATENATE("&gt;","=",D107),Holieday[date],CONCATENATE("&lt;","=",J_SUBDAY(J_ADDDAY(D107,N107,1),1,1)))+SUMIFS(Holieday[Friday],Holieday[date],CONCATENATE("&gt;","=",D107),Holieday[date],CONCATENATE("&lt;","=",J_SUBDAY(J_ADDDAY(D107,N107,1),1,1))))=0,J_SUBDAY(J_ADDDAY(D107,N107,1),1,1),IF((N107-NETWORKDAYS.INTL(J_GregorianDate(D107,1),J_GregorianDate(J_SUBDAY(J_ADDDAY(D107,N107,1),1,1),1),16,1)-SUMIFS(Holieday[ok],Holieday[date],CONCATENATE("&gt;","=",D107),Holieday[date],CONCATENATE("&lt;","=",J_SUBDAY(J_ADDDAY(D107,N107,1),1,1)))+SUMIFS(Holieday[Friday],Holieday[date],CONCATENATE("&gt;","=",D107),Holieday[date],CONCATENATE("&lt;","=",J_SUBDAY(J_ADDDAY(D107,N107,1),1,1))))=1,J_SUBDAY(J_ADDDAY(D107,N107+1,1),1,1),IF((N107-NETWORKDAYS.INTL(J_GregorianDate(D107,1),J_GregorianDate(J_SUBDAY(J_ADDDAY(D107,N107,1),1,1),1),16,1)-SUMIFS(Holieday[ok],Holieday[date],CONCATENATE("&gt;","=",D107),Holieday[date],CONCATENATE("&lt;","=",J_SUBDAY(J_ADDDAY(D107,N107,1),1,1)))+SUMIFS(Holieday[Friday],Holieday[date],CONCATENATE("&gt;","=",D107),Holieday[date],CONCATENATE("&lt;","=",J_SUBDAY(J_ADDDAY(D107,N107,1),1,1))))=2,J_SUBDAY(J_ADDDAY(D107,N107+2,1),1,1),J_SUBDAY(J_ADDDAY(D107,N107+3,1),1,1)))))</f>
        <v>1398/07/01</v>
      </c>
      <c r="G107" s="2">
        <f t="shared" si="30"/>
        <v>13980701</v>
      </c>
      <c r="H107" s="109"/>
      <c r="I107" s="110">
        <v>1.2</v>
      </c>
      <c r="J107" s="9">
        <f>j_WEEKDAY(D107,2)</f>
        <v>3</v>
      </c>
      <c r="K107" s="21">
        <f t="shared" si="34"/>
        <v>0</v>
      </c>
      <c r="L107" s="8">
        <f t="shared" si="35"/>
        <v>0</v>
      </c>
      <c r="M107" s="111">
        <v>0</v>
      </c>
      <c r="N107" s="108">
        <v>0</v>
      </c>
      <c r="O107" s="10">
        <f t="shared" si="36"/>
        <v>0</v>
      </c>
      <c r="P107" s="10">
        <f>VALUE(J_normdate(J_ADDDAY($D107,$O107,1)))</f>
        <v>13980702</v>
      </c>
      <c r="Q107" s="9">
        <f t="shared" si="37"/>
        <v>0</v>
      </c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7"/>
      <c r="BV107" s="7"/>
      <c r="BW107" s="7"/>
      <c r="BX107" s="7"/>
      <c r="BY107" s="7"/>
      <c r="BZ107" s="7"/>
      <c r="CA107" s="7"/>
      <c r="CB107" s="7"/>
      <c r="CC107" s="7"/>
      <c r="CD107" s="7"/>
      <c r="CE107" s="7"/>
      <c r="CF107" s="7"/>
      <c r="CG107" s="7"/>
      <c r="CH107" s="7"/>
      <c r="CI107" s="7"/>
      <c r="CJ107" s="7"/>
      <c r="CK107" s="7"/>
      <c r="CL107" s="7"/>
      <c r="CM107" s="7"/>
      <c r="CN107" s="7"/>
      <c r="CO107" s="7"/>
      <c r="CP107" s="7"/>
      <c r="CQ107" s="7"/>
      <c r="CR107" s="7"/>
      <c r="CS107" s="7"/>
      <c r="CT107" s="7"/>
      <c r="CU107" s="7"/>
      <c r="CV107" s="7"/>
      <c r="CW107" s="7"/>
      <c r="CX107" s="7"/>
      <c r="CY107" s="7"/>
      <c r="CZ107" s="7"/>
      <c r="DA107" s="7"/>
      <c r="DB107" s="7"/>
      <c r="DC107" s="7"/>
      <c r="DD107" s="7"/>
      <c r="DE107" s="7"/>
      <c r="DF107" s="7"/>
      <c r="DG107" s="7"/>
      <c r="DH107" s="7"/>
      <c r="DI107" s="7"/>
      <c r="DJ107" s="7"/>
      <c r="DK107" s="7"/>
      <c r="DL107" s="7"/>
      <c r="DM107" s="7"/>
      <c r="DN107" s="7"/>
      <c r="DO107" s="7"/>
      <c r="DP107" s="7"/>
      <c r="DQ107" s="7"/>
      <c r="DR107" s="7"/>
      <c r="DS107" s="7"/>
      <c r="DT107" s="7"/>
      <c r="DU107" s="7"/>
      <c r="DV107" s="7"/>
      <c r="DW107" s="7"/>
      <c r="DX107" s="7"/>
      <c r="DY107" s="7"/>
      <c r="DZ107" s="7"/>
      <c r="EA107" s="7"/>
      <c r="EB107" s="7"/>
      <c r="EC107" s="7"/>
      <c r="ED107" s="7"/>
      <c r="EE107" s="7"/>
      <c r="EF107" s="7"/>
      <c r="EG107" s="7"/>
      <c r="EH107" s="7"/>
      <c r="EI107" s="7"/>
      <c r="EJ107" s="7"/>
      <c r="EK107" s="7"/>
      <c r="EL107" s="7"/>
      <c r="EM107" s="7"/>
      <c r="EN107" s="7"/>
      <c r="EO107" s="7"/>
      <c r="EP107" s="7"/>
      <c r="EQ107" s="7"/>
      <c r="ER107" s="7"/>
      <c r="ES107" s="7"/>
      <c r="ET107" s="7"/>
      <c r="EU107" s="7"/>
      <c r="EV107" s="7"/>
      <c r="EW107" s="7"/>
      <c r="EX107" s="7"/>
      <c r="EY107" s="7"/>
      <c r="EZ107" s="7"/>
      <c r="FA107" s="7"/>
      <c r="FB107" s="7"/>
      <c r="FC107" s="7"/>
      <c r="FD107" s="7"/>
      <c r="FE107" s="7"/>
      <c r="FF107" s="7"/>
      <c r="FG107" s="7"/>
      <c r="FH107" s="7"/>
      <c r="FI107" s="7"/>
      <c r="FJ107" s="7"/>
      <c r="FK107" s="7"/>
      <c r="FL107" s="7"/>
      <c r="FM107" s="7"/>
      <c r="FN107" s="7"/>
      <c r="FO107" s="7"/>
      <c r="FP107" s="7"/>
      <c r="FQ107" s="7"/>
      <c r="FR107" s="7"/>
      <c r="FS107" s="7"/>
      <c r="FT107" s="7"/>
      <c r="FU107" s="7"/>
      <c r="FV107" s="7"/>
      <c r="FW107" s="7"/>
      <c r="FX107" s="7"/>
      <c r="FY107" s="7"/>
      <c r="FZ107" s="7"/>
      <c r="GA107" s="7"/>
      <c r="GB107" s="7"/>
      <c r="GC107" s="7"/>
      <c r="GD107" s="7"/>
      <c r="GE107" s="7"/>
      <c r="GF107" s="7"/>
      <c r="GG107" s="7"/>
      <c r="GH107" s="7"/>
      <c r="GI107" s="7"/>
      <c r="GJ107" s="7"/>
      <c r="GK107" s="7"/>
      <c r="GL107" s="7"/>
      <c r="GM107" s="7"/>
      <c r="GN107" s="7"/>
      <c r="GO107" s="7"/>
      <c r="GP107" s="7"/>
      <c r="GQ107" s="7"/>
      <c r="GR107" s="7"/>
      <c r="GS107" s="7"/>
      <c r="GT107" s="7"/>
      <c r="GU107" s="7"/>
      <c r="GV107" s="7"/>
      <c r="GW107" s="7"/>
      <c r="GX107" s="7"/>
      <c r="GY107" s="7"/>
      <c r="GZ107" s="7"/>
      <c r="HA107" s="7"/>
      <c r="HB107" s="7"/>
      <c r="HC107" s="7"/>
      <c r="HD107" s="7"/>
      <c r="HE107" s="7"/>
      <c r="HF107" s="7"/>
      <c r="HG107" s="7"/>
      <c r="HH107" s="7"/>
      <c r="HI107" s="7"/>
      <c r="HJ107" s="7"/>
      <c r="HK107" s="7"/>
      <c r="HL107" s="7"/>
      <c r="HM107" s="7"/>
      <c r="HN107" s="7"/>
      <c r="HO107" s="7"/>
      <c r="HP107" s="7"/>
      <c r="HQ107" s="7"/>
      <c r="HR107" s="7"/>
      <c r="HS107" s="7"/>
      <c r="HT107" s="7"/>
      <c r="HU107" s="7"/>
      <c r="HV107" s="7"/>
      <c r="HW107" s="7"/>
      <c r="HX107" s="7"/>
      <c r="HY107" s="7"/>
      <c r="HZ107" s="7"/>
      <c r="IA107" s="7"/>
      <c r="IB107" s="7"/>
      <c r="IC107" s="7"/>
      <c r="ID107" s="7"/>
      <c r="IE107" s="7"/>
      <c r="IF107" s="7"/>
      <c r="IG107" s="7"/>
      <c r="IH107" s="7"/>
      <c r="II107" s="7"/>
      <c r="IJ107" s="7"/>
      <c r="IK107" s="7"/>
      <c r="IL107" s="7"/>
      <c r="IM107" s="7"/>
      <c r="IN107" s="7"/>
      <c r="IO107" s="7"/>
      <c r="IP107" s="7"/>
      <c r="IQ107" s="7"/>
      <c r="IR107" s="7"/>
      <c r="IS107" s="7"/>
      <c r="IT107" s="7"/>
      <c r="IU107" s="7"/>
      <c r="IV107" s="7"/>
      <c r="IW107" s="7"/>
      <c r="IX107" s="7"/>
      <c r="JA107" s="113"/>
      <c r="JB107" s="113"/>
      <c r="JC107" s="113"/>
      <c r="JD107" s="66">
        <f>SUM((TEXT(JA107,"[M]")/60)*'Income Person-hours'!$D$3,(TEXT(JB107,"[M]")/60)*'Income Person-hours'!$D$4,(TEXT(JC107,"[M]")/60)*'Income Person-hours'!$D$5)</f>
        <v>0</v>
      </c>
    </row>
    <row r="108" spans="1:264" s="11" customFormat="1" ht="11.25" hidden="1">
      <c r="A108" s="30">
        <v>4.18</v>
      </c>
      <c r="B108" s="116"/>
      <c r="C108" s="107"/>
      <c r="D108" s="12" t="str">
        <f>IF(OR(j_WEEKDAY(J_ADDDAY(VLOOKUP(I108,A:F,6,FALSE),H108,1),0)=6,SUMIFS(Holieday[ok],Holieday[date],J_ADDDAY(VLOOKUP(I108,A:F,6,FALSE),H108,1)))=FALSE(),J_ADDDAY(VLOOKUP(I108,A:F,6,FALSE),H108,1),IF(OR(j_WEEKDAY(J_ADDDAY(VLOOKUP(I108,A:F,6,FALSE),H108+1,1),0)=6,SUMIFS(Holieday[ok],Holieday[date],J_ADDDAY(VLOOKUP(I108,A:F,6,FALSE),H108+1,1)))=FALSE(),J_ADDDAY(VLOOKUP(I108,A:F,6,FALSE),H108+1,1),IF(OR(j_WEEKDAY(J_ADDDAY(VLOOKUP(I108,A:F,6,FALSE),H108+2,1),0)=6,SUMIFS(Holieday[ok],Holieday[date],J_ADDDAY(VLOOKUP(I108,A:F,6,FALSE),H108+2,1)))=FALSE(),J_ADDDAY(VLOOKUP(I108,A:F,6,FALSE),H108+2,1),IF(OR(j_WEEKDAY(J_ADDDAY(VLOOKUP(I108,A:F,6,FALSE),H108+3,1),0)=6,SUMIFS(Holieday[ok],Holieday[date],J_ADDDAY(VLOOKUP(I108,A:F,6,FALSE),H108+3,1)))=FALSE(),J_ADDDAY(VLOOKUP(I108,A:F,6,FALSE),H108+3,1),IF(OR(j_WEEKDAY(J_ADDDAY(VLOOKUP(I108,A:F,6,FALSE),H108+4,1),0)=6,SUMIFS(Holieday[ok],Holieday[date],J_ADDDAY(VLOOKUP(I108,A:F,6,FALSE),H108+4,1)))=FALSE(),J_ADDDAY(VLOOKUP(I108,A:F,6,FALSE),H108+4,1),J_ADDDAY(VLOOKUP(I108,A:F,6,FALSE),H108+5,1))))))</f>
        <v>1398/07/02</v>
      </c>
      <c r="E108" s="1">
        <f t="shared" si="33"/>
        <v>13980702</v>
      </c>
      <c r="F108" s="12" t="str">
        <f>IF(N108=0,J_SUBDAY(D108,1,1),IF((N108-NETWORKDAYS.INTL(J_GregorianDate(D108,1),J_GregorianDate(J_SUBDAY(J_ADDDAY(D108,N108,1),1,1),1),16,1)-SUMIFS(Holieday[ok],Holieday[date],CONCATENATE("&gt;","=",D108),Holieday[date],CONCATENATE("&lt;","=",J_SUBDAY(J_ADDDAY(D108,N108,1),1,1)))+SUMIFS(Holieday[Friday],Holieday[date],CONCATENATE("&gt;","=",D108),Holieday[date],CONCATENATE("&lt;","=",J_SUBDAY(J_ADDDAY(D108,N108,1),1,1))))=0,J_SUBDAY(J_ADDDAY(D108,N108,1),1,1),IF((N108-NETWORKDAYS.INTL(J_GregorianDate(D108,1),J_GregorianDate(J_SUBDAY(J_ADDDAY(D108,N108,1),1,1),1),16,1)-SUMIFS(Holieday[ok],Holieday[date],CONCATENATE("&gt;","=",D108),Holieday[date],CONCATENATE("&lt;","=",J_SUBDAY(J_ADDDAY(D108,N108,1),1,1)))+SUMIFS(Holieday[Friday],Holieday[date],CONCATENATE("&gt;","=",D108),Holieday[date],CONCATENATE("&lt;","=",J_SUBDAY(J_ADDDAY(D108,N108,1),1,1))))=1,J_SUBDAY(J_ADDDAY(D108,N108+1,1),1,1),IF((N108-NETWORKDAYS.INTL(J_GregorianDate(D108,1),J_GregorianDate(J_SUBDAY(J_ADDDAY(D108,N108,1),1,1),1),16,1)-SUMIFS(Holieday[ok],Holieday[date],CONCATENATE("&gt;","=",D108),Holieday[date],CONCATENATE("&lt;","=",J_SUBDAY(J_ADDDAY(D108,N108,1),1,1)))+SUMIFS(Holieday[Friday],Holieday[date],CONCATENATE("&gt;","=",D108),Holieday[date],CONCATENATE("&lt;","=",J_SUBDAY(J_ADDDAY(D108,N108,1),1,1))))=2,J_SUBDAY(J_ADDDAY(D108,N108+2,1),1,1),J_SUBDAY(J_ADDDAY(D108,N108+3,1),1,1)))))</f>
        <v>1398/07/01</v>
      </c>
      <c r="G108" s="2">
        <f t="shared" si="30"/>
        <v>13980701</v>
      </c>
      <c r="H108" s="109"/>
      <c r="I108" s="110">
        <v>1.2</v>
      </c>
      <c r="J108" s="9">
        <f>j_WEEKDAY(D108,2)</f>
        <v>3</v>
      </c>
      <c r="K108" s="21">
        <f t="shared" si="34"/>
        <v>0</v>
      </c>
      <c r="L108" s="8">
        <f t="shared" si="35"/>
        <v>0</v>
      </c>
      <c r="M108" s="111">
        <v>0</v>
      </c>
      <c r="N108" s="108">
        <v>0</v>
      </c>
      <c r="O108" s="10">
        <f t="shared" si="36"/>
        <v>0</v>
      </c>
      <c r="P108" s="10">
        <f>VALUE(J_normdate(J_ADDDAY($D108,$O108,1)))</f>
        <v>13980702</v>
      </c>
      <c r="Q108" s="9">
        <f t="shared" si="37"/>
        <v>0</v>
      </c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7"/>
      <c r="BV108" s="7"/>
      <c r="BW108" s="7"/>
      <c r="BX108" s="7"/>
      <c r="BY108" s="7"/>
      <c r="BZ108" s="7"/>
      <c r="CA108" s="7"/>
      <c r="CB108" s="7"/>
      <c r="CC108" s="7"/>
      <c r="CD108" s="7"/>
      <c r="CE108" s="7"/>
      <c r="CF108" s="7"/>
      <c r="CG108" s="7"/>
      <c r="CH108" s="7"/>
      <c r="CI108" s="7"/>
      <c r="CJ108" s="7"/>
      <c r="CK108" s="7"/>
      <c r="CL108" s="7"/>
      <c r="CM108" s="7"/>
      <c r="CN108" s="7"/>
      <c r="CO108" s="7"/>
      <c r="CP108" s="7"/>
      <c r="CQ108" s="7"/>
      <c r="CR108" s="7"/>
      <c r="CS108" s="7"/>
      <c r="CT108" s="7"/>
      <c r="CU108" s="7"/>
      <c r="CV108" s="7"/>
      <c r="CW108" s="7"/>
      <c r="CX108" s="7"/>
      <c r="CY108" s="7"/>
      <c r="CZ108" s="7"/>
      <c r="DA108" s="7"/>
      <c r="DB108" s="7"/>
      <c r="DC108" s="7"/>
      <c r="DD108" s="7"/>
      <c r="DE108" s="7"/>
      <c r="DF108" s="7"/>
      <c r="DG108" s="7"/>
      <c r="DH108" s="7"/>
      <c r="DI108" s="7"/>
      <c r="DJ108" s="7"/>
      <c r="DK108" s="7"/>
      <c r="DL108" s="7"/>
      <c r="DM108" s="7"/>
      <c r="DN108" s="7"/>
      <c r="DO108" s="7"/>
      <c r="DP108" s="7"/>
      <c r="DQ108" s="7"/>
      <c r="DR108" s="7"/>
      <c r="DS108" s="7"/>
      <c r="DT108" s="7"/>
      <c r="DU108" s="7"/>
      <c r="DV108" s="7"/>
      <c r="DW108" s="7"/>
      <c r="DX108" s="7"/>
      <c r="DY108" s="7"/>
      <c r="DZ108" s="7"/>
      <c r="EA108" s="7"/>
      <c r="EB108" s="7"/>
      <c r="EC108" s="7"/>
      <c r="ED108" s="7"/>
      <c r="EE108" s="7"/>
      <c r="EF108" s="7"/>
      <c r="EG108" s="7"/>
      <c r="EH108" s="7"/>
      <c r="EI108" s="7"/>
      <c r="EJ108" s="7"/>
      <c r="EK108" s="7"/>
      <c r="EL108" s="7"/>
      <c r="EM108" s="7"/>
      <c r="EN108" s="7"/>
      <c r="EO108" s="7"/>
      <c r="EP108" s="7"/>
      <c r="EQ108" s="7"/>
      <c r="ER108" s="7"/>
      <c r="ES108" s="7"/>
      <c r="ET108" s="7"/>
      <c r="EU108" s="7"/>
      <c r="EV108" s="7"/>
      <c r="EW108" s="7"/>
      <c r="EX108" s="7"/>
      <c r="EY108" s="7"/>
      <c r="EZ108" s="7"/>
      <c r="FA108" s="7"/>
      <c r="FB108" s="7"/>
      <c r="FC108" s="7"/>
      <c r="FD108" s="7"/>
      <c r="FE108" s="7"/>
      <c r="FF108" s="7"/>
      <c r="FG108" s="7"/>
      <c r="FH108" s="7"/>
      <c r="FI108" s="7"/>
      <c r="FJ108" s="7"/>
      <c r="FK108" s="7"/>
      <c r="FL108" s="7"/>
      <c r="FM108" s="7"/>
      <c r="FN108" s="7"/>
      <c r="FO108" s="7"/>
      <c r="FP108" s="7"/>
      <c r="FQ108" s="7"/>
      <c r="FR108" s="7"/>
      <c r="FS108" s="7"/>
      <c r="FT108" s="7"/>
      <c r="FU108" s="7"/>
      <c r="FV108" s="7"/>
      <c r="FW108" s="7"/>
      <c r="FX108" s="7"/>
      <c r="FY108" s="7"/>
      <c r="FZ108" s="7"/>
      <c r="GA108" s="7"/>
      <c r="GB108" s="7"/>
      <c r="GC108" s="7"/>
      <c r="GD108" s="7"/>
      <c r="GE108" s="7"/>
      <c r="GF108" s="7"/>
      <c r="GG108" s="7"/>
      <c r="GH108" s="7"/>
      <c r="GI108" s="7"/>
      <c r="GJ108" s="7"/>
      <c r="GK108" s="7"/>
      <c r="GL108" s="7"/>
      <c r="GM108" s="7"/>
      <c r="GN108" s="7"/>
      <c r="GO108" s="7"/>
      <c r="GP108" s="7"/>
      <c r="GQ108" s="7"/>
      <c r="GR108" s="7"/>
      <c r="GS108" s="7"/>
      <c r="GT108" s="7"/>
      <c r="GU108" s="7"/>
      <c r="GV108" s="7"/>
      <c r="GW108" s="7"/>
      <c r="GX108" s="7"/>
      <c r="GY108" s="7"/>
      <c r="GZ108" s="7"/>
      <c r="HA108" s="7"/>
      <c r="HB108" s="7"/>
      <c r="HC108" s="7"/>
      <c r="HD108" s="7"/>
      <c r="HE108" s="7"/>
      <c r="HF108" s="7"/>
      <c r="HG108" s="7"/>
      <c r="HH108" s="7"/>
      <c r="HI108" s="7"/>
      <c r="HJ108" s="7"/>
      <c r="HK108" s="7"/>
      <c r="HL108" s="7"/>
      <c r="HM108" s="7"/>
      <c r="HN108" s="7"/>
      <c r="HO108" s="7"/>
      <c r="HP108" s="7"/>
      <c r="HQ108" s="7"/>
      <c r="HR108" s="7"/>
      <c r="HS108" s="7"/>
      <c r="HT108" s="7"/>
      <c r="HU108" s="7"/>
      <c r="HV108" s="7"/>
      <c r="HW108" s="7"/>
      <c r="HX108" s="7"/>
      <c r="HY108" s="7"/>
      <c r="HZ108" s="7"/>
      <c r="IA108" s="7"/>
      <c r="IB108" s="7"/>
      <c r="IC108" s="7"/>
      <c r="ID108" s="7"/>
      <c r="IE108" s="7"/>
      <c r="IF108" s="7"/>
      <c r="IG108" s="7"/>
      <c r="IH108" s="7"/>
      <c r="II108" s="7"/>
      <c r="IJ108" s="7"/>
      <c r="IK108" s="7"/>
      <c r="IL108" s="7"/>
      <c r="IM108" s="7"/>
      <c r="IN108" s="7"/>
      <c r="IO108" s="7"/>
      <c r="IP108" s="7"/>
      <c r="IQ108" s="7"/>
      <c r="IR108" s="7"/>
      <c r="IS108" s="7"/>
      <c r="IT108" s="7"/>
      <c r="IU108" s="7"/>
      <c r="IV108" s="7"/>
      <c r="IW108" s="7"/>
      <c r="IX108" s="7"/>
      <c r="JA108" s="113"/>
      <c r="JB108" s="113"/>
      <c r="JC108" s="113"/>
      <c r="JD108" s="66">
        <f>SUM((TEXT(JA108,"[M]")/60)*'Income Person-hours'!$D$3,(TEXT(JB108,"[M]")/60)*'Income Person-hours'!$D$4,(TEXT(JC108,"[M]")/60)*'Income Person-hours'!$D$5)</f>
        <v>0</v>
      </c>
    </row>
    <row r="109" spans="1:264" s="11" customFormat="1" ht="11.25" hidden="1">
      <c r="A109" s="30">
        <v>4.1900000000000004</v>
      </c>
      <c r="B109" s="116"/>
      <c r="C109" s="107"/>
      <c r="D109" s="12" t="str">
        <f>IF(OR(j_WEEKDAY(J_ADDDAY(VLOOKUP(I109,A:F,6,FALSE),H109,1),0)=6,SUMIFS(Holieday[ok],Holieday[date],J_ADDDAY(VLOOKUP(I109,A:F,6,FALSE),H109,1)))=FALSE(),J_ADDDAY(VLOOKUP(I109,A:F,6,FALSE),H109,1),IF(OR(j_WEEKDAY(J_ADDDAY(VLOOKUP(I109,A:F,6,FALSE),H109+1,1),0)=6,SUMIFS(Holieday[ok],Holieday[date],J_ADDDAY(VLOOKUP(I109,A:F,6,FALSE),H109+1,1)))=FALSE(),J_ADDDAY(VLOOKUP(I109,A:F,6,FALSE),H109+1,1),IF(OR(j_WEEKDAY(J_ADDDAY(VLOOKUP(I109,A:F,6,FALSE),H109+2,1),0)=6,SUMIFS(Holieday[ok],Holieday[date],J_ADDDAY(VLOOKUP(I109,A:F,6,FALSE),H109+2,1)))=FALSE(),J_ADDDAY(VLOOKUP(I109,A:F,6,FALSE),H109+2,1),IF(OR(j_WEEKDAY(J_ADDDAY(VLOOKUP(I109,A:F,6,FALSE),H109+3,1),0)=6,SUMIFS(Holieday[ok],Holieday[date],J_ADDDAY(VLOOKUP(I109,A:F,6,FALSE),H109+3,1)))=FALSE(),J_ADDDAY(VLOOKUP(I109,A:F,6,FALSE),H109+3,1),IF(OR(j_WEEKDAY(J_ADDDAY(VLOOKUP(I109,A:F,6,FALSE),H109+4,1),0)=6,SUMIFS(Holieday[ok],Holieday[date],J_ADDDAY(VLOOKUP(I109,A:F,6,FALSE),H109+4,1)))=FALSE(),J_ADDDAY(VLOOKUP(I109,A:F,6,FALSE),H109+4,1),J_ADDDAY(VLOOKUP(I109,A:F,6,FALSE),H109+5,1))))))</f>
        <v>1398/07/02</v>
      </c>
      <c r="E109" s="1">
        <f t="shared" si="33"/>
        <v>13980702</v>
      </c>
      <c r="F109" s="12" t="str">
        <f>IF(N109=0,J_SUBDAY(D109,1,1),IF((N109-NETWORKDAYS.INTL(J_GregorianDate(D109,1),J_GregorianDate(J_SUBDAY(J_ADDDAY(D109,N109,1),1,1),1),16,1)-SUMIFS(Holieday[ok],Holieday[date],CONCATENATE("&gt;","=",D109),Holieday[date],CONCATENATE("&lt;","=",J_SUBDAY(J_ADDDAY(D109,N109,1),1,1)))+SUMIFS(Holieday[Friday],Holieday[date],CONCATENATE("&gt;","=",D109),Holieday[date],CONCATENATE("&lt;","=",J_SUBDAY(J_ADDDAY(D109,N109,1),1,1))))=0,J_SUBDAY(J_ADDDAY(D109,N109,1),1,1),IF((N109-NETWORKDAYS.INTL(J_GregorianDate(D109,1),J_GregorianDate(J_SUBDAY(J_ADDDAY(D109,N109,1),1,1),1),16,1)-SUMIFS(Holieday[ok],Holieday[date],CONCATENATE("&gt;","=",D109),Holieday[date],CONCATENATE("&lt;","=",J_SUBDAY(J_ADDDAY(D109,N109,1),1,1)))+SUMIFS(Holieday[Friday],Holieday[date],CONCATENATE("&gt;","=",D109),Holieday[date],CONCATENATE("&lt;","=",J_SUBDAY(J_ADDDAY(D109,N109,1),1,1))))=1,J_SUBDAY(J_ADDDAY(D109,N109+1,1),1,1),IF((N109-NETWORKDAYS.INTL(J_GregorianDate(D109,1),J_GregorianDate(J_SUBDAY(J_ADDDAY(D109,N109,1),1,1),1),16,1)-SUMIFS(Holieday[ok],Holieday[date],CONCATENATE("&gt;","=",D109),Holieday[date],CONCATENATE("&lt;","=",J_SUBDAY(J_ADDDAY(D109,N109,1),1,1)))+SUMIFS(Holieday[Friday],Holieday[date],CONCATENATE("&gt;","=",D109),Holieday[date],CONCATENATE("&lt;","=",J_SUBDAY(J_ADDDAY(D109,N109,1),1,1))))=2,J_SUBDAY(J_ADDDAY(D109,N109+2,1),1,1),J_SUBDAY(J_ADDDAY(D109,N109+3,1),1,1)))))</f>
        <v>1398/07/01</v>
      </c>
      <c r="G109" s="2">
        <f t="shared" si="30"/>
        <v>13980701</v>
      </c>
      <c r="H109" s="109"/>
      <c r="I109" s="110">
        <v>1.2</v>
      </c>
      <c r="J109" s="9">
        <f>j_WEEKDAY(D109,2)</f>
        <v>3</v>
      </c>
      <c r="K109" s="21">
        <f t="shared" si="34"/>
        <v>0</v>
      </c>
      <c r="L109" s="8">
        <f t="shared" si="35"/>
        <v>0</v>
      </c>
      <c r="M109" s="111">
        <v>0</v>
      </c>
      <c r="N109" s="108">
        <v>0</v>
      </c>
      <c r="O109" s="10">
        <f t="shared" si="36"/>
        <v>0</v>
      </c>
      <c r="P109" s="10">
        <f>VALUE(J_normdate(J_ADDDAY($D109,$O109,1)))</f>
        <v>13980702</v>
      </c>
      <c r="Q109" s="9">
        <f t="shared" si="37"/>
        <v>0</v>
      </c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7"/>
      <c r="BV109" s="7"/>
      <c r="BW109" s="7"/>
      <c r="BX109" s="7"/>
      <c r="BY109" s="7"/>
      <c r="BZ109" s="7"/>
      <c r="CA109" s="7"/>
      <c r="CB109" s="7"/>
      <c r="CC109" s="7"/>
      <c r="CD109" s="7"/>
      <c r="CE109" s="7"/>
      <c r="CF109" s="7"/>
      <c r="CG109" s="7"/>
      <c r="CH109" s="7"/>
      <c r="CI109" s="7"/>
      <c r="CJ109" s="7"/>
      <c r="CK109" s="7"/>
      <c r="CL109" s="7"/>
      <c r="CM109" s="7"/>
      <c r="CN109" s="7"/>
      <c r="CO109" s="7"/>
      <c r="CP109" s="7"/>
      <c r="CQ109" s="7"/>
      <c r="CR109" s="7"/>
      <c r="CS109" s="7"/>
      <c r="CT109" s="7"/>
      <c r="CU109" s="7"/>
      <c r="CV109" s="7"/>
      <c r="CW109" s="7"/>
      <c r="CX109" s="7"/>
      <c r="CY109" s="7"/>
      <c r="CZ109" s="7"/>
      <c r="DA109" s="7"/>
      <c r="DB109" s="7"/>
      <c r="DC109" s="7"/>
      <c r="DD109" s="7"/>
      <c r="DE109" s="7"/>
      <c r="DF109" s="7"/>
      <c r="DG109" s="7"/>
      <c r="DH109" s="7"/>
      <c r="DI109" s="7"/>
      <c r="DJ109" s="7"/>
      <c r="DK109" s="7"/>
      <c r="DL109" s="7"/>
      <c r="DM109" s="7"/>
      <c r="DN109" s="7"/>
      <c r="DO109" s="7"/>
      <c r="DP109" s="7"/>
      <c r="DQ109" s="7"/>
      <c r="DR109" s="7"/>
      <c r="DS109" s="7"/>
      <c r="DT109" s="7"/>
      <c r="DU109" s="7"/>
      <c r="DV109" s="7"/>
      <c r="DW109" s="7"/>
      <c r="DX109" s="7"/>
      <c r="DY109" s="7"/>
      <c r="DZ109" s="7"/>
      <c r="EA109" s="7"/>
      <c r="EB109" s="7"/>
      <c r="EC109" s="7"/>
      <c r="ED109" s="7"/>
      <c r="EE109" s="7"/>
      <c r="EF109" s="7"/>
      <c r="EG109" s="7"/>
      <c r="EH109" s="7"/>
      <c r="EI109" s="7"/>
      <c r="EJ109" s="7"/>
      <c r="EK109" s="7"/>
      <c r="EL109" s="7"/>
      <c r="EM109" s="7"/>
      <c r="EN109" s="7"/>
      <c r="EO109" s="7"/>
      <c r="EP109" s="7"/>
      <c r="EQ109" s="7"/>
      <c r="ER109" s="7"/>
      <c r="ES109" s="7"/>
      <c r="ET109" s="7"/>
      <c r="EU109" s="7"/>
      <c r="EV109" s="7"/>
      <c r="EW109" s="7"/>
      <c r="EX109" s="7"/>
      <c r="EY109" s="7"/>
      <c r="EZ109" s="7"/>
      <c r="FA109" s="7"/>
      <c r="FB109" s="7"/>
      <c r="FC109" s="7"/>
      <c r="FD109" s="7"/>
      <c r="FE109" s="7"/>
      <c r="FF109" s="7"/>
      <c r="FG109" s="7"/>
      <c r="FH109" s="7"/>
      <c r="FI109" s="7"/>
      <c r="FJ109" s="7"/>
      <c r="FK109" s="7"/>
      <c r="FL109" s="7"/>
      <c r="FM109" s="7"/>
      <c r="FN109" s="7"/>
      <c r="FO109" s="7"/>
      <c r="FP109" s="7"/>
      <c r="FQ109" s="7"/>
      <c r="FR109" s="7"/>
      <c r="FS109" s="7"/>
      <c r="FT109" s="7"/>
      <c r="FU109" s="7"/>
      <c r="FV109" s="7"/>
      <c r="FW109" s="7"/>
      <c r="FX109" s="7"/>
      <c r="FY109" s="7"/>
      <c r="FZ109" s="7"/>
      <c r="GA109" s="7"/>
      <c r="GB109" s="7"/>
      <c r="GC109" s="7"/>
      <c r="GD109" s="7"/>
      <c r="GE109" s="7"/>
      <c r="GF109" s="7"/>
      <c r="GG109" s="7"/>
      <c r="GH109" s="7"/>
      <c r="GI109" s="7"/>
      <c r="GJ109" s="7"/>
      <c r="GK109" s="7"/>
      <c r="GL109" s="7"/>
      <c r="GM109" s="7"/>
      <c r="GN109" s="7"/>
      <c r="GO109" s="7"/>
      <c r="GP109" s="7"/>
      <c r="GQ109" s="7"/>
      <c r="GR109" s="7"/>
      <c r="GS109" s="7"/>
      <c r="GT109" s="7"/>
      <c r="GU109" s="7"/>
      <c r="GV109" s="7"/>
      <c r="GW109" s="7"/>
      <c r="GX109" s="7"/>
      <c r="GY109" s="7"/>
      <c r="GZ109" s="7"/>
      <c r="HA109" s="7"/>
      <c r="HB109" s="7"/>
      <c r="HC109" s="7"/>
      <c r="HD109" s="7"/>
      <c r="HE109" s="7"/>
      <c r="HF109" s="7"/>
      <c r="HG109" s="7"/>
      <c r="HH109" s="7"/>
      <c r="HI109" s="7"/>
      <c r="HJ109" s="7"/>
      <c r="HK109" s="7"/>
      <c r="HL109" s="7"/>
      <c r="HM109" s="7"/>
      <c r="HN109" s="7"/>
      <c r="HO109" s="7"/>
      <c r="HP109" s="7"/>
      <c r="HQ109" s="7"/>
      <c r="HR109" s="7"/>
      <c r="HS109" s="7"/>
      <c r="HT109" s="7"/>
      <c r="HU109" s="7"/>
      <c r="HV109" s="7"/>
      <c r="HW109" s="7"/>
      <c r="HX109" s="7"/>
      <c r="HY109" s="7"/>
      <c r="HZ109" s="7"/>
      <c r="IA109" s="7"/>
      <c r="IB109" s="7"/>
      <c r="IC109" s="7"/>
      <c r="ID109" s="7"/>
      <c r="IE109" s="7"/>
      <c r="IF109" s="7"/>
      <c r="IG109" s="7"/>
      <c r="IH109" s="7"/>
      <c r="II109" s="7"/>
      <c r="IJ109" s="7"/>
      <c r="IK109" s="7"/>
      <c r="IL109" s="7"/>
      <c r="IM109" s="7"/>
      <c r="IN109" s="7"/>
      <c r="IO109" s="7"/>
      <c r="IP109" s="7"/>
      <c r="IQ109" s="7"/>
      <c r="IR109" s="7"/>
      <c r="IS109" s="7"/>
      <c r="IT109" s="7"/>
      <c r="IU109" s="7"/>
      <c r="IV109" s="7"/>
      <c r="IW109" s="7"/>
      <c r="IX109" s="7"/>
      <c r="JA109" s="113"/>
      <c r="JB109" s="113"/>
      <c r="JC109" s="113"/>
      <c r="JD109" s="66">
        <f>SUM((TEXT(JA109,"[M]")/60)*'Income Person-hours'!$D$3,(TEXT(JB109,"[M]")/60)*'Income Person-hours'!$D$4,(TEXT(JC109,"[M]")/60)*'Income Person-hours'!$D$5)</f>
        <v>0</v>
      </c>
    </row>
    <row r="110" spans="1:264" s="11" customFormat="1" ht="11.25" hidden="1">
      <c r="A110" s="30">
        <v>4.21</v>
      </c>
      <c r="B110" s="116"/>
      <c r="C110" s="107"/>
      <c r="D110" s="12" t="str">
        <f>IF(OR(j_WEEKDAY(J_ADDDAY(VLOOKUP(I110,A:F,6,FALSE),H110,1),0)=6,SUMIFS(Holieday[ok],Holieday[date],J_ADDDAY(VLOOKUP(I110,A:F,6,FALSE),H110,1)))=FALSE(),J_ADDDAY(VLOOKUP(I110,A:F,6,FALSE),H110,1),IF(OR(j_WEEKDAY(J_ADDDAY(VLOOKUP(I110,A:F,6,FALSE),H110+1,1),0)=6,SUMIFS(Holieday[ok],Holieday[date],J_ADDDAY(VLOOKUP(I110,A:F,6,FALSE),H110+1,1)))=FALSE(),J_ADDDAY(VLOOKUP(I110,A:F,6,FALSE),H110+1,1),IF(OR(j_WEEKDAY(J_ADDDAY(VLOOKUP(I110,A:F,6,FALSE),H110+2,1),0)=6,SUMIFS(Holieday[ok],Holieday[date],J_ADDDAY(VLOOKUP(I110,A:F,6,FALSE),H110+2,1)))=FALSE(),J_ADDDAY(VLOOKUP(I110,A:F,6,FALSE),H110+2,1),IF(OR(j_WEEKDAY(J_ADDDAY(VLOOKUP(I110,A:F,6,FALSE),H110+3,1),0)=6,SUMIFS(Holieday[ok],Holieday[date],J_ADDDAY(VLOOKUP(I110,A:F,6,FALSE),H110+3,1)))=FALSE(),J_ADDDAY(VLOOKUP(I110,A:F,6,FALSE),H110+3,1),IF(OR(j_WEEKDAY(J_ADDDAY(VLOOKUP(I110,A:F,6,FALSE),H110+4,1),0)=6,SUMIFS(Holieday[ok],Holieday[date],J_ADDDAY(VLOOKUP(I110,A:F,6,FALSE),H110+4,1)))=FALSE(),J_ADDDAY(VLOOKUP(I110,A:F,6,FALSE),H110+4,1),J_ADDDAY(VLOOKUP(I110,A:F,6,FALSE),H110+5,1))))))</f>
        <v>1398/07/02</v>
      </c>
      <c r="E110" s="1">
        <f t="shared" si="33"/>
        <v>13980702</v>
      </c>
      <c r="F110" s="12" t="str">
        <f>IF(N110=0,J_SUBDAY(D110,1,1),IF((N110-NETWORKDAYS.INTL(J_GregorianDate(D110,1),J_GregorianDate(J_SUBDAY(J_ADDDAY(D110,N110,1),1,1),1),16,1)-SUMIFS(Holieday[ok],Holieday[date],CONCATENATE("&gt;","=",D110),Holieday[date],CONCATENATE("&lt;","=",J_SUBDAY(J_ADDDAY(D110,N110,1),1,1)))+SUMIFS(Holieday[Friday],Holieday[date],CONCATENATE("&gt;","=",D110),Holieday[date],CONCATENATE("&lt;","=",J_SUBDAY(J_ADDDAY(D110,N110,1),1,1))))=0,J_SUBDAY(J_ADDDAY(D110,N110,1),1,1),IF((N110-NETWORKDAYS.INTL(J_GregorianDate(D110,1),J_GregorianDate(J_SUBDAY(J_ADDDAY(D110,N110,1),1,1),1),16,1)-SUMIFS(Holieday[ok],Holieday[date],CONCATENATE("&gt;","=",D110),Holieday[date],CONCATENATE("&lt;","=",J_SUBDAY(J_ADDDAY(D110,N110,1),1,1)))+SUMIFS(Holieday[Friday],Holieday[date],CONCATENATE("&gt;","=",D110),Holieday[date],CONCATENATE("&lt;","=",J_SUBDAY(J_ADDDAY(D110,N110,1),1,1))))=1,J_SUBDAY(J_ADDDAY(D110,N110+1,1),1,1),IF((N110-NETWORKDAYS.INTL(J_GregorianDate(D110,1),J_GregorianDate(J_SUBDAY(J_ADDDAY(D110,N110,1),1,1),1),16,1)-SUMIFS(Holieday[ok],Holieday[date],CONCATENATE("&gt;","=",D110),Holieday[date],CONCATENATE("&lt;","=",J_SUBDAY(J_ADDDAY(D110,N110,1),1,1)))+SUMIFS(Holieday[Friday],Holieday[date],CONCATENATE("&gt;","=",D110),Holieday[date],CONCATENATE("&lt;","=",J_SUBDAY(J_ADDDAY(D110,N110,1),1,1))))=2,J_SUBDAY(J_ADDDAY(D110,N110+2,1),1,1),J_SUBDAY(J_ADDDAY(D110,N110+3,1),1,1)))))</f>
        <v>1398/07/01</v>
      </c>
      <c r="G110" s="2">
        <f t="shared" si="30"/>
        <v>13980701</v>
      </c>
      <c r="H110" s="109"/>
      <c r="I110" s="110">
        <v>1.2</v>
      </c>
      <c r="J110" s="9">
        <f>j_WEEKDAY(D110,2)</f>
        <v>3</v>
      </c>
      <c r="K110" s="21">
        <f t="shared" si="34"/>
        <v>0</v>
      </c>
      <c r="L110" s="8">
        <f t="shared" si="35"/>
        <v>0</v>
      </c>
      <c r="M110" s="111">
        <v>0</v>
      </c>
      <c r="N110" s="108">
        <v>0</v>
      </c>
      <c r="O110" s="10">
        <f t="shared" si="36"/>
        <v>0</v>
      </c>
      <c r="P110" s="10">
        <f>VALUE(J_normdate(J_ADDDAY($D110,$O110,1)))</f>
        <v>13980702</v>
      </c>
      <c r="Q110" s="9">
        <f t="shared" si="37"/>
        <v>0</v>
      </c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7"/>
      <c r="BV110" s="7"/>
      <c r="BW110" s="7"/>
      <c r="BX110" s="7"/>
      <c r="BY110" s="7"/>
      <c r="BZ110" s="7"/>
      <c r="CA110" s="7"/>
      <c r="CB110" s="7"/>
      <c r="CC110" s="7"/>
      <c r="CD110" s="7"/>
      <c r="CE110" s="7"/>
      <c r="CF110" s="7"/>
      <c r="CG110" s="7"/>
      <c r="CH110" s="7"/>
      <c r="CI110" s="7"/>
      <c r="CJ110" s="7"/>
      <c r="CK110" s="7"/>
      <c r="CL110" s="7"/>
      <c r="CM110" s="7"/>
      <c r="CN110" s="7"/>
      <c r="CO110" s="7"/>
      <c r="CP110" s="7"/>
      <c r="CQ110" s="7"/>
      <c r="CR110" s="7"/>
      <c r="CS110" s="7"/>
      <c r="CT110" s="7"/>
      <c r="CU110" s="7"/>
      <c r="CV110" s="7"/>
      <c r="CW110" s="7"/>
      <c r="CX110" s="7"/>
      <c r="CY110" s="7"/>
      <c r="CZ110" s="7"/>
      <c r="DA110" s="7"/>
      <c r="DB110" s="7"/>
      <c r="DC110" s="7"/>
      <c r="DD110" s="7"/>
      <c r="DE110" s="7"/>
      <c r="DF110" s="7"/>
      <c r="DG110" s="7"/>
      <c r="DH110" s="7"/>
      <c r="DI110" s="7"/>
      <c r="DJ110" s="7"/>
      <c r="DK110" s="7"/>
      <c r="DL110" s="7"/>
      <c r="DM110" s="7"/>
      <c r="DN110" s="7"/>
      <c r="DO110" s="7"/>
      <c r="DP110" s="7"/>
      <c r="DQ110" s="7"/>
      <c r="DR110" s="7"/>
      <c r="DS110" s="7"/>
      <c r="DT110" s="7"/>
      <c r="DU110" s="7"/>
      <c r="DV110" s="7"/>
      <c r="DW110" s="7"/>
      <c r="DX110" s="7"/>
      <c r="DY110" s="7"/>
      <c r="DZ110" s="7"/>
      <c r="EA110" s="7"/>
      <c r="EB110" s="7"/>
      <c r="EC110" s="7"/>
      <c r="ED110" s="7"/>
      <c r="EE110" s="7"/>
      <c r="EF110" s="7"/>
      <c r="EG110" s="7"/>
      <c r="EH110" s="7"/>
      <c r="EI110" s="7"/>
      <c r="EJ110" s="7"/>
      <c r="EK110" s="7"/>
      <c r="EL110" s="7"/>
      <c r="EM110" s="7"/>
      <c r="EN110" s="7"/>
      <c r="EO110" s="7"/>
      <c r="EP110" s="7"/>
      <c r="EQ110" s="7"/>
      <c r="ER110" s="7"/>
      <c r="ES110" s="7"/>
      <c r="ET110" s="7"/>
      <c r="EU110" s="7"/>
      <c r="EV110" s="7"/>
      <c r="EW110" s="7"/>
      <c r="EX110" s="7"/>
      <c r="EY110" s="7"/>
      <c r="EZ110" s="7"/>
      <c r="FA110" s="7"/>
      <c r="FB110" s="7"/>
      <c r="FC110" s="7"/>
      <c r="FD110" s="7"/>
      <c r="FE110" s="7"/>
      <c r="FF110" s="7"/>
      <c r="FG110" s="7"/>
      <c r="FH110" s="7"/>
      <c r="FI110" s="7"/>
      <c r="FJ110" s="7"/>
      <c r="FK110" s="7"/>
      <c r="FL110" s="7"/>
      <c r="FM110" s="7"/>
      <c r="FN110" s="7"/>
      <c r="FO110" s="7"/>
      <c r="FP110" s="7"/>
      <c r="FQ110" s="7"/>
      <c r="FR110" s="7"/>
      <c r="FS110" s="7"/>
      <c r="FT110" s="7"/>
      <c r="FU110" s="7"/>
      <c r="FV110" s="7"/>
      <c r="FW110" s="7"/>
      <c r="FX110" s="7"/>
      <c r="FY110" s="7"/>
      <c r="FZ110" s="7"/>
      <c r="GA110" s="7"/>
      <c r="GB110" s="7"/>
      <c r="GC110" s="7"/>
      <c r="GD110" s="7"/>
      <c r="GE110" s="7"/>
      <c r="GF110" s="7"/>
      <c r="GG110" s="7"/>
      <c r="GH110" s="7"/>
      <c r="GI110" s="7"/>
      <c r="GJ110" s="7"/>
      <c r="GK110" s="7"/>
      <c r="GL110" s="7"/>
      <c r="GM110" s="7"/>
      <c r="GN110" s="7"/>
      <c r="GO110" s="7"/>
      <c r="GP110" s="7"/>
      <c r="GQ110" s="7"/>
      <c r="GR110" s="7"/>
      <c r="GS110" s="7"/>
      <c r="GT110" s="7"/>
      <c r="GU110" s="7"/>
      <c r="GV110" s="7"/>
      <c r="GW110" s="7"/>
      <c r="GX110" s="7"/>
      <c r="GY110" s="7"/>
      <c r="GZ110" s="7"/>
      <c r="HA110" s="7"/>
      <c r="HB110" s="7"/>
      <c r="HC110" s="7"/>
      <c r="HD110" s="7"/>
      <c r="HE110" s="7"/>
      <c r="HF110" s="7"/>
      <c r="HG110" s="7"/>
      <c r="HH110" s="7"/>
      <c r="HI110" s="7"/>
      <c r="HJ110" s="7"/>
      <c r="HK110" s="7"/>
      <c r="HL110" s="7"/>
      <c r="HM110" s="7"/>
      <c r="HN110" s="7"/>
      <c r="HO110" s="7"/>
      <c r="HP110" s="7"/>
      <c r="HQ110" s="7"/>
      <c r="HR110" s="7"/>
      <c r="HS110" s="7"/>
      <c r="HT110" s="7"/>
      <c r="HU110" s="7"/>
      <c r="HV110" s="7"/>
      <c r="HW110" s="7"/>
      <c r="HX110" s="7"/>
      <c r="HY110" s="7"/>
      <c r="HZ110" s="7"/>
      <c r="IA110" s="7"/>
      <c r="IB110" s="7"/>
      <c r="IC110" s="7"/>
      <c r="ID110" s="7"/>
      <c r="IE110" s="7"/>
      <c r="IF110" s="7"/>
      <c r="IG110" s="7"/>
      <c r="IH110" s="7"/>
      <c r="II110" s="7"/>
      <c r="IJ110" s="7"/>
      <c r="IK110" s="7"/>
      <c r="IL110" s="7"/>
      <c r="IM110" s="7"/>
      <c r="IN110" s="7"/>
      <c r="IO110" s="7"/>
      <c r="IP110" s="7"/>
      <c r="IQ110" s="7"/>
      <c r="IR110" s="7"/>
      <c r="IS110" s="7"/>
      <c r="IT110" s="7"/>
      <c r="IU110" s="7"/>
      <c r="IV110" s="7"/>
      <c r="IW110" s="7"/>
      <c r="IX110" s="7"/>
      <c r="JA110" s="113"/>
      <c r="JB110" s="113"/>
      <c r="JC110" s="113"/>
      <c r="JD110" s="66">
        <f>SUM((TEXT(JA110,"[M]")/60)*'Income Person-hours'!$D$3,(TEXT(JB110,"[M]")/60)*'Income Person-hours'!$D$4,(TEXT(JC110,"[M]")/60)*'Income Person-hours'!$D$5)</f>
        <v>0</v>
      </c>
    </row>
    <row r="111" spans="1:264" s="11" customFormat="1" ht="11.25" hidden="1">
      <c r="A111" s="30">
        <v>4.22</v>
      </c>
      <c r="B111" s="116"/>
      <c r="C111" s="107"/>
      <c r="D111" s="12" t="str">
        <f>IF(OR(j_WEEKDAY(J_ADDDAY(VLOOKUP(I111,A:F,6,FALSE),H111,1),0)=6,SUMIFS(Holieday[ok],Holieday[date],J_ADDDAY(VLOOKUP(I111,A:F,6,FALSE),H111,1)))=FALSE(),J_ADDDAY(VLOOKUP(I111,A:F,6,FALSE),H111,1),IF(OR(j_WEEKDAY(J_ADDDAY(VLOOKUP(I111,A:F,6,FALSE),H111+1,1),0)=6,SUMIFS(Holieday[ok],Holieday[date],J_ADDDAY(VLOOKUP(I111,A:F,6,FALSE),H111+1,1)))=FALSE(),J_ADDDAY(VLOOKUP(I111,A:F,6,FALSE),H111+1,1),IF(OR(j_WEEKDAY(J_ADDDAY(VLOOKUP(I111,A:F,6,FALSE),H111+2,1),0)=6,SUMIFS(Holieday[ok],Holieday[date],J_ADDDAY(VLOOKUP(I111,A:F,6,FALSE),H111+2,1)))=FALSE(),J_ADDDAY(VLOOKUP(I111,A:F,6,FALSE),H111+2,1),IF(OR(j_WEEKDAY(J_ADDDAY(VLOOKUP(I111,A:F,6,FALSE),H111+3,1),0)=6,SUMIFS(Holieday[ok],Holieday[date],J_ADDDAY(VLOOKUP(I111,A:F,6,FALSE),H111+3,1)))=FALSE(),J_ADDDAY(VLOOKUP(I111,A:F,6,FALSE),H111+3,1),IF(OR(j_WEEKDAY(J_ADDDAY(VLOOKUP(I111,A:F,6,FALSE),H111+4,1),0)=6,SUMIFS(Holieday[ok],Holieday[date],J_ADDDAY(VLOOKUP(I111,A:F,6,FALSE),H111+4,1)))=FALSE(),J_ADDDAY(VLOOKUP(I111,A:F,6,FALSE),H111+4,1),J_ADDDAY(VLOOKUP(I111,A:F,6,FALSE),H111+5,1))))))</f>
        <v>1398/07/02</v>
      </c>
      <c r="E111" s="1">
        <f t="shared" si="33"/>
        <v>13980702</v>
      </c>
      <c r="F111" s="12" t="str">
        <f>IF(N111=0,J_SUBDAY(D111,1,1),IF((N111-NETWORKDAYS.INTL(J_GregorianDate(D111,1),J_GregorianDate(J_SUBDAY(J_ADDDAY(D111,N111,1),1,1),1),16,1)-SUMIFS(Holieday[ok],Holieday[date],CONCATENATE("&gt;","=",D111),Holieday[date],CONCATENATE("&lt;","=",J_SUBDAY(J_ADDDAY(D111,N111,1),1,1)))+SUMIFS(Holieday[Friday],Holieday[date],CONCATENATE("&gt;","=",D111),Holieday[date],CONCATENATE("&lt;","=",J_SUBDAY(J_ADDDAY(D111,N111,1),1,1))))=0,J_SUBDAY(J_ADDDAY(D111,N111,1),1,1),IF((N111-NETWORKDAYS.INTL(J_GregorianDate(D111,1),J_GregorianDate(J_SUBDAY(J_ADDDAY(D111,N111,1),1,1),1),16,1)-SUMIFS(Holieday[ok],Holieday[date],CONCATENATE("&gt;","=",D111),Holieday[date],CONCATENATE("&lt;","=",J_SUBDAY(J_ADDDAY(D111,N111,1),1,1)))+SUMIFS(Holieday[Friday],Holieday[date],CONCATENATE("&gt;","=",D111),Holieday[date],CONCATENATE("&lt;","=",J_SUBDAY(J_ADDDAY(D111,N111,1),1,1))))=1,J_SUBDAY(J_ADDDAY(D111,N111+1,1),1,1),IF((N111-NETWORKDAYS.INTL(J_GregorianDate(D111,1),J_GregorianDate(J_SUBDAY(J_ADDDAY(D111,N111,1),1,1),1),16,1)-SUMIFS(Holieday[ok],Holieday[date],CONCATENATE("&gt;","=",D111),Holieday[date],CONCATENATE("&lt;","=",J_SUBDAY(J_ADDDAY(D111,N111,1),1,1)))+SUMIFS(Holieday[Friday],Holieday[date],CONCATENATE("&gt;","=",D111),Holieday[date],CONCATENATE("&lt;","=",J_SUBDAY(J_ADDDAY(D111,N111,1),1,1))))=2,J_SUBDAY(J_ADDDAY(D111,N111+2,1),1,1),J_SUBDAY(J_ADDDAY(D111,N111+3,1),1,1)))))</f>
        <v>1398/07/01</v>
      </c>
      <c r="G111" s="2">
        <f t="shared" si="30"/>
        <v>13980701</v>
      </c>
      <c r="H111" s="109"/>
      <c r="I111" s="110">
        <v>1.2</v>
      </c>
      <c r="J111" s="9">
        <f>j_WEEKDAY(D111,2)</f>
        <v>3</v>
      </c>
      <c r="K111" s="21">
        <f t="shared" si="34"/>
        <v>0</v>
      </c>
      <c r="L111" s="8">
        <f t="shared" si="35"/>
        <v>0</v>
      </c>
      <c r="M111" s="111">
        <v>0</v>
      </c>
      <c r="N111" s="108">
        <v>0</v>
      </c>
      <c r="O111" s="10">
        <f t="shared" si="36"/>
        <v>0</v>
      </c>
      <c r="P111" s="10">
        <f>VALUE(J_normdate(J_ADDDAY($D111,$O111,1)))</f>
        <v>13980702</v>
      </c>
      <c r="Q111" s="9">
        <f t="shared" si="37"/>
        <v>0</v>
      </c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  <c r="BE111" s="7"/>
      <c r="BF111" s="7"/>
      <c r="BG111" s="7"/>
      <c r="BH111" s="7"/>
      <c r="BI111" s="7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7"/>
      <c r="BV111" s="7"/>
      <c r="BW111" s="7"/>
      <c r="BX111" s="7"/>
      <c r="BY111" s="7"/>
      <c r="BZ111" s="7"/>
      <c r="CA111" s="7"/>
      <c r="CB111" s="7"/>
      <c r="CC111" s="7"/>
      <c r="CD111" s="7"/>
      <c r="CE111" s="7"/>
      <c r="CF111" s="7"/>
      <c r="CG111" s="7"/>
      <c r="CH111" s="7"/>
      <c r="CI111" s="7"/>
      <c r="CJ111" s="7"/>
      <c r="CK111" s="7"/>
      <c r="CL111" s="7"/>
      <c r="CM111" s="7"/>
      <c r="CN111" s="7"/>
      <c r="CO111" s="7"/>
      <c r="CP111" s="7"/>
      <c r="CQ111" s="7"/>
      <c r="CR111" s="7"/>
      <c r="CS111" s="7"/>
      <c r="CT111" s="7"/>
      <c r="CU111" s="7"/>
      <c r="CV111" s="7"/>
      <c r="CW111" s="7"/>
      <c r="CX111" s="7"/>
      <c r="CY111" s="7"/>
      <c r="CZ111" s="7"/>
      <c r="DA111" s="7"/>
      <c r="DB111" s="7"/>
      <c r="DC111" s="7"/>
      <c r="DD111" s="7"/>
      <c r="DE111" s="7"/>
      <c r="DF111" s="7"/>
      <c r="DG111" s="7"/>
      <c r="DH111" s="7"/>
      <c r="DI111" s="7"/>
      <c r="DJ111" s="7"/>
      <c r="DK111" s="7"/>
      <c r="DL111" s="7"/>
      <c r="DM111" s="7"/>
      <c r="DN111" s="7"/>
      <c r="DO111" s="7"/>
      <c r="DP111" s="7"/>
      <c r="DQ111" s="7"/>
      <c r="DR111" s="7"/>
      <c r="DS111" s="7"/>
      <c r="DT111" s="7"/>
      <c r="DU111" s="7"/>
      <c r="DV111" s="7"/>
      <c r="DW111" s="7"/>
      <c r="DX111" s="7"/>
      <c r="DY111" s="7"/>
      <c r="DZ111" s="7"/>
      <c r="EA111" s="7"/>
      <c r="EB111" s="7"/>
      <c r="EC111" s="7"/>
      <c r="ED111" s="7"/>
      <c r="EE111" s="7"/>
      <c r="EF111" s="7"/>
      <c r="EG111" s="7"/>
      <c r="EH111" s="7"/>
      <c r="EI111" s="7"/>
      <c r="EJ111" s="7"/>
      <c r="EK111" s="7"/>
      <c r="EL111" s="7"/>
      <c r="EM111" s="7"/>
      <c r="EN111" s="7"/>
      <c r="EO111" s="7"/>
      <c r="EP111" s="7"/>
      <c r="EQ111" s="7"/>
      <c r="ER111" s="7"/>
      <c r="ES111" s="7"/>
      <c r="ET111" s="7"/>
      <c r="EU111" s="7"/>
      <c r="EV111" s="7"/>
      <c r="EW111" s="7"/>
      <c r="EX111" s="7"/>
      <c r="EY111" s="7"/>
      <c r="EZ111" s="7"/>
      <c r="FA111" s="7"/>
      <c r="FB111" s="7"/>
      <c r="FC111" s="7"/>
      <c r="FD111" s="7"/>
      <c r="FE111" s="7"/>
      <c r="FF111" s="7"/>
      <c r="FG111" s="7"/>
      <c r="FH111" s="7"/>
      <c r="FI111" s="7"/>
      <c r="FJ111" s="7"/>
      <c r="FK111" s="7"/>
      <c r="FL111" s="7"/>
      <c r="FM111" s="7"/>
      <c r="FN111" s="7"/>
      <c r="FO111" s="7"/>
      <c r="FP111" s="7"/>
      <c r="FQ111" s="7"/>
      <c r="FR111" s="7"/>
      <c r="FS111" s="7"/>
      <c r="FT111" s="7"/>
      <c r="FU111" s="7"/>
      <c r="FV111" s="7"/>
      <c r="FW111" s="7"/>
      <c r="FX111" s="7"/>
      <c r="FY111" s="7"/>
      <c r="FZ111" s="7"/>
      <c r="GA111" s="7"/>
      <c r="GB111" s="7"/>
      <c r="GC111" s="7"/>
      <c r="GD111" s="7"/>
      <c r="GE111" s="7"/>
      <c r="GF111" s="7"/>
      <c r="GG111" s="7"/>
      <c r="GH111" s="7"/>
      <c r="GI111" s="7"/>
      <c r="GJ111" s="7"/>
      <c r="GK111" s="7"/>
      <c r="GL111" s="7"/>
      <c r="GM111" s="7"/>
      <c r="GN111" s="7"/>
      <c r="GO111" s="7"/>
      <c r="GP111" s="7"/>
      <c r="GQ111" s="7"/>
      <c r="GR111" s="7"/>
      <c r="GS111" s="7"/>
      <c r="GT111" s="7"/>
      <c r="GU111" s="7"/>
      <c r="GV111" s="7"/>
      <c r="GW111" s="7"/>
      <c r="GX111" s="7"/>
      <c r="GY111" s="7"/>
      <c r="GZ111" s="7"/>
      <c r="HA111" s="7"/>
      <c r="HB111" s="7"/>
      <c r="HC111" s="7"/>
      <c r="HD111" s="7"/>
      <c r="HE111" s="7"/>
      <c r="HF111" s="7"/>
      <c r="HG111" s="7"/>
      <c r="HH111" s="7"/>
      <c r="HI111" s="7"/>
      <c r="HJ111" s="7"/>
      <c r="HK111" s="7"/>
      <c r="HL111" s="7"/>
      <c r="HM111" s="7"/>
      <c r="HN111" s="7"/>
      <c r="HO111" s="7"/>
      <c r="HP111" s="7"/>
      <c r="HQ111" s="7"/>
      <c r="HR111" s="7"/>
      <c r="HS111" s="7"/>
      <c r="HT111" s="7"/>
      <c r="HU111" s="7"/>
      <c r="HV111" s="7"/>
      <c r="HW111" s="7"/>
      <c r="HX111" s="7"/>
      <c r="HY111" s="7"/>
      <c r="HZ111" s="7"/>
      <c r="IA111" s="7"/>
      <c r="IB111" s="7"/>
      <c r="IC111" s="7"/>
      <c r="ID111" s="7"/>
      <c r="IE111" s="7"/>
      <c r="IF111" s="7"/>
      <c r="IG111" s="7"/>
      <c r="IH111" s="7"/>
      <c r="II111" s="7"/>
      <c r="IJ111" s="7"/>
      <c r="IK111" s="7"/>
      <c r="IL111" s="7"/>
      <c r="IM111" s="7"/>
      <c r="IN111" s="7"/>
      <c r="IO111" s="7"/>
      <c r="IP111" s="7"/>
      <c r="IQ111" s="7"/>
      <c r="IR111" s="7"/>
      <c r="IS111" s="7"/>
      <c r="IT111" s="7"/>
      <c r="IU111" s="7"/>
      <c r="IV111" s="7"/>
      <c r="IW111" s="7"/>
      <c r="IX111" s="7"/>
      <c r="JA111" s="113"/>
      <c r="JB111" s="113"/>
      <c r="JC111" s="113"/>
      <c r="JD111" s="66">
        <f>SUM((TEXT(JA111,"[M]")/60)*'Income Person-hours'!$D$3,(TEXT(JB111,"[M]")/60)*'Income Person-hours'!$D$4,(TEXT(JC111,"[M]")/60)*'Income Person-hours'!$D$5)</f>
        <v>0</v>
      </c>
    </row>
    <row r="112" spans="1:264" s="11" customFormat="1" ht="11.25" hidden="1">
      <c r="A112" s="30">
        <v>4.2300000000000004</v>
      </c>
      <c r="B112" s="116"/>
      <c r="C112" s="107"/>
      <c r="D112" s="12" t="str">
        <f>IF(OR(j_WEEKDAY(J_ADDDAY(VLOOKUP(I112,A:F,6,FALSE),H112,1),0)=6,SUMIFS(Holieday[ok],Holieday[date],J_ADDDAY(VLOOKUP(I112,A:F,6,FALSE),H112,1)))=FALSE(),J_ADDDAY(VLOOKUP(I112,A:F,6,FALSE),H112,1),IF(OR(j_WEEKDAY(J_ADDDAY(VLOOKUP(I112,A:F,6,FALSE),H112+1,1),0)=6,SUMIFS(Holieday[ok],Holieday[date],J_ADDDAY(VLOOKUP(I112,A:F,6,FALSE),H112+1,1)))=FALSE(),J_ADDDAY(VLOOKUP(I112,A:F,6,FALSE),H112+1,1),IF(OR(j_WEEKDAY(J_ADDDAY(VLOOKUP(I112,A:F,6,FALSE),H112+2,1),0)=6,SUMIFS(Holieday[ok],Holieday[date],J_ADDDAY(VLOOKUP(I112,A:F,6,FALSE),H112+2,1)))=FALSE(),J_ADDDAY(VLOOKUP(I112,A:F,6,FALSE),H112+2,1),IF(OR(j_WEEKDAY(J_ADDDAY(VLOOKUP(I112,A:F,6,FALSE),H112+3,1),0)=6,SUMIFS(Holieday[ok],Holieday[date],J_ADDDAY(VLOOKUP(I112,A:F,6,FALSE),H112+3,1)))=FALSE(),J_ADDDAY(VLOOKUP(I112,A:F,6,FALSE),H112+3,1),IF(OR(j_WEEKDAY(J_ADDDAY(VLOOKUP(I112,A:F,6,FALSE),H112+4,1),0)=6,SUMIFS(Holieday[ok],Holieday[date],J_ADDDAY(VLOOKUP(I112,A:F,6,FALSE),H112+4,1)))=FALSE(),J_ADDDAY(VLOOKUP(I112,A:F,6,FALSE),H112+4,1),J_ADDDAY(VLOOKUP(I112,A:F,6,FALSE),H112+5,1))))))</f>
        <v>1398/07/02</v>
      </c>
      <c r="E112" s="1">
        <f t="shared" si="33"/>
        <v>13980702</v>
      </c>
      <c r="F112" s="12" t="str">
        <f>IF(N112=0,J_SUBDAY(D112,1,1),IF((N112-NETWORKDAYS.INTL(J_GregorianDate(D112,1),J_GregorianDate(J_SUBDAY(J_ADDDAY(D112,N112,1),1,1),1),16,1)-SUMIFS(Holieday[ok],Holieday[date],CONCATENATE("&gt;","=",D112),Holieday[date],CONCATENATE("&lt;","=",J_SUBDAY(J_ADDDAY(D112,N112,1),1,1)))+SUMIFS(Holieday[Friday],Holieday[date],CONCATENATE("&gt;","=",D112),Holieday[date],CONCATENATE("&lt;","=",J_SUBDAY(J_ADDDAY(D112,N112,1),1,1))))=0,J_SUBDAY(J_ADDDAY(D112,N112,1),1,1),IF((N112-NETWORKDAYS.INTL(J_GregorianDate(D112,1),J_GregorianDate(J_SUBDAY(J_ADDDAY(D112,N112,1),1,1),1),16,1)-SUMIFS(Holieday[ok],Holieday[date],CONCATENATE("&gt;","=",D112),Holieday[date],CONCATENATE("&lt;","=",J_SUBDAY(J_ADDDAY(D112,N112,1),1,1)))+SUMIFS(Holieday[Friday],Holieday[date],CONCATENATE("&gt;","=",D112),Holieday[date],CONCATENATE("&lt;","=",J_SUBDAY(J_ADDDAY(D112,N112,1),1,1))))=1,J_SUBDAY(J_ADDDAY(D112,N112+1,1),1,1),IF((N112-NETWORKDAYS.INTL(J_GregorianDate(D112,1),J_GregorianDate(J_SUBDAY(J_ADDDAY(D112,N112,1),1,1),1),16,1)-SUMIFS(Holieday[ok],Holieday[date],CONCATENATE("&gt;","=",D112),Holieday[date],CONCATENATE("&lt;","=",J_SUBDAY(J_ADDDAY(D112,N112,1),1,1)))+SUMIFS(Holieday[Friday],Holieday[date],CONCATENATE("&gt;","=",D112),Holieday[date],CONCATENATE("&lt;","=",J_SUBDAY(J_ADDDAY(D112,N112,1),1,1))))=2,J_SUBDAY(J_ADDDAY(D112,N112+2,1),1,1),J_SUBDAY(J_ADDDAY(D112,N112+3,1),1,1)))))</f>
        <v>1398/07/01</v>
      </c>
      <c r="G112" s="2">
        <f t="shared" si="30"/>
        <v>13980701</v>
      </c>
      <c r="H112" s="109"/>
      <c r="I112" s="110">
        <v>1.2</v>
      </c>
      <c r="J112" s="9">
        <f>j_WEEKDAY(D112,2)</f>
        <v>3</v>
      </c>
      <c r="K112" s="21">
        <f t="shared" si="34"/>
        <v>0</v>
      </c>
      <c r="L112" s="8">
        <f t="shared" si="35"/>
        <v>0</v>
      </c>
      <c r="M112" s="111">
        <v>0</v>
      </c>
      <c r="N112" s="108">
        <v>0</v>
      </c>
      <c r="O112" s="10">
        <f t="shared" si="36"/>
        <v>0</v>
      </c>
      <c r="P112" s="10">
        <f>VALUE(J_normdate(J_ADDDAY($D112,$O112,1)))</f>
        <v>13980702</v>
      </c>
      <c r="Q112" s="9">
        <f t="shared" si="37"/>
        <v>0</v>
      </c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  <c r="BE112" s="7"/>
      <c r="BF112" s="7"/>
      <c r="BG112" s="7"/>
      <c r="BH112" s="7"/>
      <c r="BI112" s="7"/>
      <c r="BJ112" s="7"/>
      <c r="BK112" s="7"/>
      <c r="BL112" s="7"/>
      <c r="BM112" s="7"/>
      <c r="BN112" s="7"/>
      <c r="BO112" s="7"/>
      <c r="BP112" s="7"/>
      <c r="BQ112" s="7"/>
      <c r="BR112" s="7"/>
      <c r="BS112" s="7"/>
      <c r="BT112" s="7"/>
      <c r="BU112" s="7"/>
      <c r="BV112" s="7"/>
      <c r="BW112" s="7"/>
      <c r="BX112" s="7"/>
      <c r="BY112" s="7"/>
      <c r="BZ112" s="7"/>
      <c r="CA112" s="7"/>
      <c r="CB112" s="7"/>
      <c r="CC112" s="7"/>
      <c r="CD112" s="7"/>
      <c r="CE112" s="7"/>
      <c r="CF112" s="7"/>
      <c r="CG112" s="7"/>
      <c r="CH112" s="7"/>
      <c r="CI112" s="7"/>
      <c r="CJ112" s="7"/>
      <c r="CK112" s="7"/>
      <c r="CL112" s="7"/>
      <c r="CM112" s="7"/>
      <c r="CN112" s="7"/>
      <c r="CO112" s="7"/>
      <c r="CP112" s="7"/>
      <c r="CQ112" s="7"/>
      <c r="CR112" s="7"/>
      <c r="CS112" s="7"/>
      <c r="CT112" s="7"/>
      <c r="CU112" s="7"/>
      <c r="CV112" s="7"/>
      <c r="CW112" s="7"/>
      <c r="CX112" s="7"/>
      <c r="CY112" s="7"/>
      <c r="CZ112" s="7"/>
      <c r="DA112" s="7"/>
      <c r="DB112" s="7"/>
      <c r="DC112" s="7"/>
      <c r="DD112" s="7"/>
      <c r="DE112" s="7"/>
      <c r="DF112" s="7"/>
      <c r="DG112" s="7"/>
      <c r="DH112" s="7"/>
      <c r="DI112" s="7"/>
      <c r="DJ112" s="7"/>
      <c r="DK112" s="7"/>
      <c r="DL112" s="7"/>
      <c r="DM112" s="7"/>
      <c r="DN112" s="7"/>
      <c r="DO112" s="7"/>
      <c r="DP112" s="7"/>
      <c r="DQ112" s="7"/>
      <c r="DR112" s="7"/>
      <c r="DS112" s="7"/>
      <c r="DT112" s="7"/>
      <c r="DU112" s="7"/>
      <c r="DV112" s="7"/>
      <c r="DW112" s="7"/>
      <c r="DX112" s="7"/>
      <c r="DY112" s="7"/>
      <c r="DZ112" s="7"/>
      <c r="EA112" s="7"/>
      <c r="EB112" s="7"/>
      <c r="EC112" s="7"/>
      <c r="ED112" s="7"/>
      <c r="EE112" s="7"/>
      <c r="EF112" s="7"/>
      <c r="EG112" s="7"/>
      <c r="EH112" s="7"/>
      <c r="EI112" s="7"/>
      <c r="EJ112" s="7"/>
      <c r="EK112" s="7"/>
      <c r="EL112" s="7"/>
      <c r="EM112" s="7"/>
      <c r="EN112" s="7"/>
      <c r="EO112" s="7"/>
      <c r="EP112" s="7"/>
      <c r="EQ112" s="7"/>
      <c r="ER112" s="7"/>
      <c r="ES112" s="7"/>
      <c r="ET112" s="7"/>
      <c r="EU112" s="7"/>
      <c r="EV112" s="7"/>
      <c r="EW112" s="7"/>
      <c r="EX112" s="7"/>
      <c r="EY112" s="7"/>
      <c r="EZ112" s="7"/>
      <c r="FA112" s="7"/>
      <c r="FB112" s="7"/>
      <c r="FC112" s="7"/>
      <c r="FD112" s="7"/>
      <c r="FE112" s="7"/>
      <c r="FF112" s="7"/>
      <c r="FG112" s="7"/>
      <c r="FH112" s="7"/>
      <c r="FI112" s="7"/>
      <c r="FJ112" s="7"/>
      <c r="FK112" s="7"/>
      <c r="FL112" s="7"/>
      <c r="FM112" s="7"/>
      <c r="FN112" s="7"/>
      <c r="FO112" s="7"/>
      <c r="FP112" s="7"/>
      <c r="FQ112" s="7"/>
      <c r="FR112" s="7"/>
      <c r="FS112" s="7"/>
      <c r="FT112" s="7"/>
      <c r="FU112" s="7"/>
      <c r="FV112" s="7"/>
      <c r="FW112" s="7"/>
      <c r="FX112" s="7"/>
      <c r="FY112" s="7"/>
      <c r="FZ112" s="7"/>
      <c r="GA112" s="7"/>
      <c r="GB112" s="7"/>
      <c r="GC112" s="7"/>
      <c r="GD112" s="7"/>
      <c r="GE112" s="7"/>
      <c r="GF112" s="7"/>
      <c r="GG112" s="7"/>
      <c r="GH112" s="7"/>
      <c r="GI112" s="7"/>
      <c r="GJ112" s="7"/>
      <c r="GK112" s="7"/>
      <c r="GL112" s="7"/>
      <c r="GM112" s="7"/>
      <c r="GN112" s="7"/>
      <c r="GO112" s="7"/>
      <c r="GP112" s="7"/>
      <c r="GQ112" s="7"/>
      <c r="GR112" s="7"/>
      <c r="GS112" s="7"/>
      <c r="GT112" s="7"/>
      <c r="GU112" s="7"/>
      <c r="GV112" s="7"/>
      <c r="GW112" s="7"/>
      <c r="GX112" s="7"/>
      <c r="GY112" s="7"/>
      <c r="GZ112" s="7"/>
      <c r="HA112" s="7"/>
      <c r="HB112" s="7"/>
      <c r="HC112" s="7"/>
      <c r="HD112" s="7"/>
      <c r="HE112" s="7"/>
      <c r="HF112" s="7"/>
      <c r="HG112" s="7"/>
      <c r="HH112" s="7"/>
      <c r="HI112" s="7"/>
      <c r="HJ112" s="7"/>
      <c r="HK112" s="7"/>
      <c r="HL112" s="7"/>
      <c r="HM112" s="7"/>
      <c r="HN112" s="7"/>
      <c r="HO112" s="7"/>
      <c r="HP112" s="7"/>
      <c r="HQ112" s="7"/>
      <c r="HR112" s="7"/>
      <c r="HS112" s="7"/>
      <c r="HT112" s="7"/>
      <c r="HU112" s="7"/>
      <c r="HV112" s="7"/>
      <c r="HW112" s="7"/>
      <c r="HX112" s="7"/>
      <c r="HY112" s="7"/>
      <c r="HZ112" s="7"/>
      <c r="IA112" s="7"/>
      <c r="IB112" s="7"/>
      <c r="IC112" s="7"/>
      <c r="ID112" s="7"/>
      <c r="IE112" s="7"/>
      <c r="IF112" s="7"/>
      <c r="IG112" s="7"/>
      <c r="IH112" s="7"/>
      <c r="II112" s="7"/>
      <c r="IJ112" s="7"/>
      <c r="IK112" s="7"/>
      <c r="IL112" s="7"/>
      <c r="IM112" s="7"/>
      <c r="IN112" s="7"/>
      <c r="IO112" s="7"/>
      <c r="IP112" s="7"/>
      <c r="IQ112" s="7"/>
      <c r="IR112" s="7"/>
      <c r="IS112" s="7"/>
      <c r="IT112" s="7"/>
      <c r="IU112" s="7"/>
      <c r="IV112" s="7"/>
      <c r="IW112" s="7"/>
      <c r="IX112" s="7"/>
      <c r="JA112" s="113"/>
      <c r="JB112" s="113"/>
      <c r="JC112" s="113"/>
      <c r="JD112" s="66">
        <f>SUM((TEXT(JA112,"[M]")/60)*'Income Person-hours'!$D$3,(TEXT(JB112,"[M]")/60)*'Income Person-hours'!$D$4,(TEXT(JC112,"[M]")/60)*'Income Person-hours'!$D$5)</f>
        <v>0</v>
      </c>
    </row>
    <row r="113" spans="1:264" s="382" customFormat="1" ht="13.5">
      <c r="A113" s="378">
        <v>5</v>
      </c>
      <c r="B113" s="365" t="s">
        <v>123</v>
      </c>
      <c r="C113" s="366"/>
      <c r="D113" s="367" t="str">
        <f>FDate(MIN(E114:E134))</f>
        <v>1398/06/31</v>
      </c>
      <c r="E113" s="160">
        <f t="shared" si="33"/>
        <v>13980631</v>
      </c>
      <c r="F113" s="367" t="str">
        <f>J_SUBDAY(J_ADDDAY(D113,L113,1),1,1)</f>
        <v>1398/09/20</v>
      </c>
      <c r="G113" s="163">
        <f t="shared" si="30"/>
        <v>13980920</v>
      </c>
      <c r="H113" s="379"/>
      <c r="I113" s="380"/>
      <c r="J113" s="367">
        <f>j_WEEKDAY(D113,2)</f>
        <v>1</v>
      </c>
      <c r="K113" s="164">
        <f>SUM(K114:K134)</f>
        <v>0</v>
      </c>
      <c r="L113" s="370">
        <f>J_DIFF(D113,FDate(MAX(G114:G134)))+1</f>
        <v>81</v>
      </c>
      <c r="M113" s="371">
        <f>IF(SUM(L114:L134)&lt;&gt;0,SUMPRODUCT(L114:L134,M114:M134)/SUM(L114:L134),0)</f>
        <v>2.7027027027027029E-2</v>
      </c>
      <c r="N113" s="372">
        <f>IF(F113&gt;=D113,NETWORKDAYS.INTL(J_GregorianDate(D113,1),J_GregorianDate(F113,1),16,1)-SUMIFS(Holieday[ok],Holieday[date],CONCATENATE("&gt;","=",D113),Holieday[date],CONCATENATE("&lt;","=",F113))+SUMIFS(Holieday[Friday],Holieday[date],CONCATENATE("&gt;","=",D113),Holieday[date],CONCATENATE("&lt;","=",F113)),0)</f>
        <v>66</v>
      </c>
      <c r="O113" s="159">
        <f>ROUNDDOWN(M113*L113,0)</f>
        <v>2</v>
      </c>
      <c r="P113" s="159">
        <f>VALUE(J_normdate(J_ADDDAY($D113,$O113,1)))</f>
        <v>13980702</v>
      </c>
      <c r="Q113" s="162">
        <f>L113-O113</f>
        <v>79</v>
      </c>
      <c r="IY113" s="383"/>
      <c r="IZ113" s="384"/>
      <c r="JA113" s="385"/>
      <c r="JB113" s="385"/>
      <c r="JC113" s="385"/>
      <c r="JD113" s="386"/>
    </row>
    <row r="114" spans="1:264" s="276" customFormat="1" ht="13.5">
      <c r="A114" s="262">
        <v>5.0999999999999996</v>
      </c>
      <c r="B114" s="304" t="s">
        <v>124</v>
      </c>
      <c r="C114" s="263" t="s">
        <v>79</v>
      </c>
      <c r="D114" s="265" t="str">
        <f>IF(OR(j_WEEKDAY(J_ADDDAY(VLOOKUP(I114,A:F,6,FALSE),H114,1),0)=6,SUMIFS(Holieday[ok],Holieday[date],J_ADDDAY(VLOOKUP(I114,A:F,6,FALSE),H114,1)))=FALSE(),J_ADDDAY(VLOOKUP(I114,A:F,6,FALSE),H114,1),IF(OR(j_WEEKDAY(J_ADDDAY(VLOOKUP(I114,A:F,6,FALSE),H114+1,1),0)=6,SUMIFS(Holieday[ok],Holieday[date],J_ADDDAY(VLOOKUP(I114,A:F,6,FALSE),H114+1,1)))=FALSE(),J_ADDDAY(VLOOKUP(I114,A:F,6,FALSE),H114+1,1),IF(OR(j_WEEKDAY(J_ADDDAY(VLOOKUP(I114,A:F,6,FALSE),H114+2,1),0)=6,SUMIFS(Holieday[ok],Holieday[date],J_ADDDAY(VLOOKUP(I114,A:F,6,FALSE),H114+2,1)))=FALSE(),J_ADDDAY(VLOOKUP(I114,A:F,6,FALSE),H114+2,1),IF(OR(j_WEEKDAY(J_ADDDAY(VLOOKUP(I114,A:F,6,FALSE),H114+3,1),0)=6,SUMIFS(Holieday[ok],Holieday[date],J_ADDDAY(VLOOKUP(I114,A:F,6,FALSE),H114+3,1)))=FALSE(),J_ADDDAY(VLOOKUP(I114,A:F,6,FALSE),H114+3,1),IF(OR(j_WEEKDAY(J_ADDDAY(VLOOKUP(I114,A:F,6,FALSE),H114+4,1),0)=6,SUMIFS(Holieday[ok],Holieday[date],J_ADDDAY(VLOOKUP(I114,A:F,6,FALSE),H114+4,1)))=FALSE(),J_ADDDAY(VLOOKUP(I114,A:F,6,FALSE),H114+4,1),J_ADDDAY(VLOOKUP(I114,A:F,6,FALSE),H114+5,1))))))</f>
        <v>1398/06/31</v>
      </c>
      <c r="E114" s="160">
        <f t="shared" si="33"/>
        <v>13980631</v>
      </c>
      <c r="F114" s="265" t="str">
        <f>IF(N114=0,J_SUBDAY(D114,1,1),IF((N114-NETWORKDAYS.INTL(J_GregorianDate(D114,1),J_GregorianDate(J_SUBDAY(J_ADDDAY(D114,N114,1),1,1),1),16,1)-SUMIFS(Holieday[ok],Holieday[date],CONCATENATE("&gt;","=",D114),Holieday[date],CONCATENATE("&lt;","=",J_SUBDAY(J_ADDDAY(D114,N114,1),1,1)))+SUMIFS(Holieday[Friday],Holieday[date],CONCATENATE("&gt;","=",D114),Holieday[date],CONCATENATE("&lt;","=",J_SUBDAY(J_ADDDAY(D114,N114,1),1,1))))=0,J_SUBDAY(J_ADDDAY(D114,N114,1),1,1),IF((N114-NETWORKDAYS.INTL(J_GregorianDate(D114,1),J_GregorianDate(J_SUBDAY(J_ADDDAY(D114,N114,1),1,1),1),16,1)-SUMIFS(Holieday[ok],Holieday[date],CONCATENATE("&gt;","=",D114),Holieday[date],CONCATENATE("&lt;","=",J_SUBDAY(J_ADDDAY(D114,N114,1),1,1)))+SUMIFS(Holieday[Friday],Holieday[date],CONCATENATE("&gt;","=",D114),Holieday[date],CONCATENATE("&lt;","=",J_SUBDAY(J_ADDDAY(D114,N114,1),1,1))))=1,J_SUBDAY(J_ADDDAY(D114,N114+1,1),1,1),IF((N114-NETWORKDAYS.INTL(J_GregorianDate(D114,1),J_GregorianDate(J_SUBDAY(J_ADDDAY(D114,N114,1),1,1),1),16,1)-SUMIFS(Holieday[ok],Holieday[date],CONCATENATE("&gt;","=",D114),Holieday[date],CONCATENATE("&lt;","=",J_SUBDAY(J_ADDDAY(D114,N114,1),1,1)))+SUMIFS(Holieday[Friday],Holieday[date],CONCATENATE("&gt;","=",D114),Holieday[date],CONCATENATE("&lt;","=",J_SUBDAY(J_ADDDAY(D114,N114,1),1,1))))=2,J_SUBDAY(J_ADDDAY(D114,N114+2,1),1,1),J_SUBDAY(J_ADDDAY(D114,N114+3,1),1,1)))))</f>
        <v>1398/07/07</v>
      </c>
      <c r="G114" s="163">
        <f t="shared" si="30"/>
        <v>13980707</v>
      </c>
      <c r="H114" s="266"/>
      <c r="I114" s="267">
        <v>1.1000000000000001</v>
      </c>
      <c r="J114" s="265">
        <f>j_WEEKDAY(D114,2)</f>
        <v>1</v>
      </c>
      <c r="K114" s="173">
        <f>SUM(JA114:JC114)</f>
        <v>0</v>
      </c>
      <c r="L114" s="268">
        <f t="shared" ref="L114:L134" si="38">J_DIFF(D114,F114)+1</f>
        <v>8</v>
      </c>
      <c r="M114" s="269">
        <v>0</v>
      </c>
      <c r="N114" s="270">
        <v>7</v>
      </c>
      <c r="O114" s="175">
        <f>ROUNDDOWN(M114*L114,0)</f>
        <v>0</v>
      </c>
      <c r="P114" s="175">
        <f>VALUE(J_normdate(J_ADDDAY($D114,$O114,1)))</f>
        <v>13980631</v>
      </c>
      <c r="Q114" s="171">
        <f>L114-O114</f>
        <v>8</v>
      </c>
      <c r="R114" s="271"/>
      <c r="S114" s="271"/>
      <c r="T114" s="271"/>
      <c r="U114" s="271"/>
      <c r="V114" s="271"/>
      <c r="W114" s="271"/>
      <c r="X114" s="271"/>
      <c r="Y114" s="271"/>
      <c r="Z114" s="271"/>
      <c r="AA114" s="271"/>
      <c r="AB114" s="271"/>
      <c r="AC114" s="271"/>
      <c r="AD114" s="271"/>
      <c r="AE114" s="271"/>
      <c r="AF114" s="271"/>
      <c r="AG114" s="271"/>
      <c r="AH114" s="271"/>
      <c r="AI114" s="271"/>
      <c r="AJ114" s="271"/>
      <c r="AK114" s="271"/>
      <c r="AL114" s="271"/>
      <c r="AM114" s="271"/>
      <c r="AN114" s="271"/>
      <c r="AO114" s="271"/>
      <c r="AP114" s="271"/>
      <c r="AQ114" s="271"/>
      <c r="AR114" s="271"/>
      <c r="AS114" s="271"/>
      <c r="AT114" s="271"/>
      <c r="AU114" s="271"/>
      <c r="AV114" s="271"/>
      <c r="AW114" s="271"/>
      <c r="AX114" s="271"/>
      <c r="AY114" s="271"/>
      <c r="AZ114" s="271"/>
      <c r="BA114" s="271"/>
      <c r="BB114" s="271"/>
      <c r="BC114" s="271"/>
      <c r="BD114" s="271"/>
      <c r="BE114" s="271"/>
      <c r="BF114" s="271"/>
      <c r="BG114" s="271"/>
      <c r="BH114" s="271"/>
      <c r="BI114" s="271"/>
      <c r="BJ114" s="271"/>
      <c r="BK114" s="271"/>
      <c r="BL114" s="271"/>
      <c r="BM114" s="271"/>
      <c r="BN114" s="271"/>
      <c r="BO114" s="271"/>
      <c r="BP114" s="271"/>
      <c r="BQ114" s="271"/>
      <c r="BR114" s="271"/>
      <c r="BS114" s="271"/>
      <c r="BT114" s="271"/>
      <c r="BU114" s="271"/>
      <c r="BV114" s="271"/>
      <c r="BW114" s="271"/>
      <c r="BX114" s="271"/>
      <c r="BY114" s="271"/>
      <c r="BZ114" s="271"/>
      <c r="CA114" s="271"/>
      <c r="CB114" s="271"/>
      <c r="CC114" s="271"/>
      <c r="CD114" s="271"/>
      <c r="CE114" s="271"/>
      <c r="CF114" s="271"/>
      <c r="CG114" s="271"/>
      <c r="CH114" s="271"/>
      <c r="CI114" s="271"/>
      <c r="CJ114" s="271"/>
      <c r="CK114" s="271"/>
      <c r="CL114" s="271"/>
      <c r="CM114" s="271"/>
      <c r="CN114" s="271"/>
      <c r="CO114" s="271"/>
      <c r="CP114" s="271"/>
      <c r="CQ114" s="271"/>
      <c r="CR114" s="271"/>
      <c r="CS114" s="271"/>
      <c r="CT114" s="271"/>
      <c r="CU114" s="271"/>
      <c r="CV114" s="271"/>
      <c r="CW114" s="271"/>
      <c r="CX114" s="271"/>
      <c r="CY114" s="271"/>
      <c r="CZ114" s="271"/>
      <c r="DA114" s="271"/>
      <c r="DB114" s="271"/>
      <c r="DC114" s="271"/>
      <c r="DD114" s="271"/>
      <c r="DE114" s="271"/>
      <c r="DF114" s="271"/>
      <c r="DG114" s="271"/>
      <c r="DH114" s="271"/>
      <c r="DI114" s="271"/>
      <c r="DJ114" s="271"/>
      <c r="DK114" s="271"/>
      <c r="DL114" s="271"/>
      <c r="DM114" s="271"/>
      <c r="DN114" s="271"/>
      <c r="DO114" s="271"/>
      <c r="DP114" s="271"/>
      <c r="DQ114" s="271"/>
      <c r="DR114" s="271"/>
      <c r="DS114" s="271"/>
      <c r="DT114" s="271"/>
      <c r="DU114" s="271"/>
      <c r="DV114" s="271"/>
      <c r="DW114" s="271"/>
      <c r="DX114" s="271"/>
      <c r="DY114" s="271"/>
      <c r="DZ114" s="271"/>
      <c r="EA114" s="271"/>
      <c r="EB114" s="271"/>
      <c r="EC114" s="271"/>
      <c r="ED114" s="271"/>
      <c r="EE114" s="271"/>
      <c r="EF114" s="271"/>
      <c r="EG114" s="271"/>
      <c r="EH114" s="271"/>
      <c r="EI114" s="271"/>
      <c r="EJ114" s="271"/>
      <c r="EK114" s="271"/>
      <c r="EL114" s="271"/>
      <c r="EM114" s="271"/>
      <c r="EN114" s="271"/>
      <c r="EO114" s="271"/>
      <c r="EP114" s="271"/>
      <c r="EQ114" s="271"/>
      <c r="ER114" s="271"/>
      <c r="ES114" s="271"/>
      <c r="ET114" s="271"/>
      <c r="EU114" s="271"/>
      <c r="EV114" s="271"/>
      <c r="EW114" s="271"/>
      <c r="EX114" s="271"/>
      <c r="EY114" s="271"/>
      <c r="EZ114" s="271"/>
      <c r="FA114" s="271"/>
      <c r="FB114" s="271"/>
      <c r="FC114" s="271"/>
      <c r="FD114" s="271"/>
      <c r="FE114" s="271"/>
      <c r="FF114" s="271"/>
      <c r="FG114" s="271"/>
      <c r="FH114" s="271"/>
      <c r="FI114" s="271"/>
      <c r="FJ114" s="271"/>
      <c r="FK114" s="271"/>
      <c r="FL114" s="271"/>
      <c r="FM114" s="271"/>
      <c r="FN114" s="271"/>
      <c r="FO114" s="271"/>
      <c r="FP114" s="271"/>
      <c r="FQ114" s="271"/>
      <c r="FR114" s="271"/>
      <c r="FS114" s="271"/>
      <c r="FT114" s="271"/>
      <c r="FU114" s="271"/>
      <c r="FV114" s="271"/>
      <c r="FW114" s="271"/>
      <c r="FX114" s="271"/>
      <c r="FY114" s="271"/>
      <c r="FZ114" s="271"/>
      <c r="GA114" s="271"/>
      <c r="GB114" s="271"/>
      <c r="GC114" s="271"/>
      <c r="GD114" s="271"/>
      <c r="GE114" s="271"/>
      <c r="GF114" s="271"/>
      <c r="GG114" s="271"/>
      <c r="GH114" s="271"/>
      <c r="GI114" s="271"/>
      <c r="GJ114" s="271"/>
      <c r="GK114" s="271"/>
      <c r="GL114" s="271"/>
      <c r="GM114" s="271"/>
      <c r="GN114" s="271"/>
      <c r="GO114" s="271"/>
      <c r="GP114" s="271"/>
      <c r="GQ114" s="271"/>
      <c r="GR114" s="271"/>
      <c r="GS114" s="271"/>
      <c r="GT114" s="271"/>
      <c r="GU114" s="271"/>
      <c r="GV114" s="271"/>
      <c r="GW114" s="271"/>
      <c r="GX114" s="271"/>
      <c r="GY114" s="271"/>
      <c r="GZ114" s="271"/>
      <c r="HA114" s="271"/>
      <c r="HB114" s="271"/>
      <c r="HC114" s="271"/>
      <c r="HD114" s="271"/>
      <c r="HE114" s="271"/>
      <c r="HF114" s="271"/>
      <c r="HG114" s="271"/>
      <c r="HH114" s="271"/>
      <c r="HI114" s="271"/>
      <c r="HJ114" s="271"/>
      <c r="HK114" s="271"/>
      <c r="HL114" s="271"/>
      <c r="HM114" s="271"/>
      <c r="HN114" s="271"/>
      <c r="HO114" s="271"/>
      <c r="HP114" s="271"/>
      <c r="HQ114" s="271"/>
      <c r="HR114" s="271"/>
      <c r="HS114" s="271"/>
      <c r="HT114" s="271"/>
      <c r="HU114" s="271"/>
      <c r="HV114" s="271"/>
      <c r="HW114" s="271"/>
      <c r="HX114" s="271"/>
      <c r="HY114" s="271"/>
      <c r="HZ114" s="271"/>
      <c r="IA114" s="271"/>
      <c r="IB114" s="271"/>
      <c r="IC114" s="271"/>
      <c r="ID114" s="271"/>
      <c r="IE114" s="271"/>
      <c r="IF114" s="271"/>
      <c r="IG114" s="271"/>
      <c r="IH114" s="271"/>
      <c r="II114" s="271"/>
      <c r="IJ114" s="271"/>
      <c r="IK114" s="271"/>
      <c r="IL114" s="271"/>
      <c r="IM114" s="271"/>
      <c r="IN114" s="271"/>
      <c r="IO114" s="271"/>
      <c r="IP114" s="271"/>
      <c r="IQ114" s="271"/>
      <c r="IR114" s="271"/>
      <c r="IS114" s="271"/>
      <c r="IT114" s="271"/>
      <c r="IU114" s="271"/>
      <c r="IV114" s="271"/>
      <c r="IW114" s="271"/>
      <c r="IX114" s="271"/>
      <c r="IY114" s="272">
        <v>2</v>
      </c>
      <c r="IZ114" s="273">
        <f>(TEXT(K114,"[m]")/60)*VLOOKUP(IY114,'Income Person-hours'!A$2:C$5,3,FALSE)</f>
        <v>0</v>
      </c>
      <c r="JA114" s="274"/>
      <c r="JB114" s="274"/>
      <c r="JC114" s="274"/>
      <c r="JD114" s="275">
        <f>SUM((TEXT(JA114,"[M]")/60)*'Income Person-hours'!$D$3,(TEXT(JB114,"[M]")/60)*'Income Person-hours'!$D$4,(TEXT(JC114,"[M]")/60)*'Income Person-hours'!$D$5)</f>
        <v>0</v>
      </c>
    </row>
    <row r="115" spans="1:264" s="276" customFormat="1" ht="13.5">
      <c r="A115" s="262">
        <v>5.2</v>
      </c>
      <c r="B115" s="277" t="s">
        <v>125</v>
      </c>
      <c r="C115" s="263" t="s">
        <v>111</v>
      </c>
      <c r="D115" s="280" t="str">
        <f>IF(OR(j_WEEKDAY(J_ADDDAY(VLOOKUP(I115,A:F,6,FALSE),H115,1),0)=6,SUMIFS(Holieday[ok],Holieday[date],J_ADDDAY(VLOOKUP(I115,A:F,6,FALSE),H115,1)))=FALSE(),J_ADDDAY(VLOOKUP(I115,A:F,6,FALSE),H115,1),IF(OR(j_WEEKDAY(J_ADDDAY(VLOOKUP(I115,A:F,6,FALSE),H115+1,1),0)=6,SUMIFS(Holieday[ok],Holieday[date],J_ADDDAY(VLOOKUP(I115,A:F,6,FALSE),H115+1,1)))=FALSE(),J_ADDDAY(VLOOKUP(I115,A:F,6,FALSE),H115+1,1),IF(OR(j_WEEKDAY(J_ADDDAY(VLOOKUP(I115,A:F,6,FALSE),H115+2,1),0)=6,SUMIFS(Holieday[ok],Holieday[date],J_ADDDAY(VLOOKUP(I115,A:F,6,FALSE),H115+2,1)))=FALSE(),J_ADDDAY(VLOOKUP(I115,A:F,6,FALSE),H115+2,1),IF(OR(j_WEEKDAY(J_ADDDAY(VLOOKUP(I115,A:F,6,FALSE),H115+3,1),0)=6,SUMIFS(Holieday[ok],Holieday[date],J_ADDDAY(VLOOKUP(I115,A:F,6,FALSE),H115+3,1)))=FALSE(),J_ADDDAY(VLOOKUP(I115,A:F,6,FALSE),H115+3,1),IF(OR(j_WEEKDAY(J_ADDDAY(VLOOKUP(I115,A:F,6,FALSE),H115+4,1),0)=6,SUMIFS(Holieday[ok],Holieday[date],J_ADDDAY(VLOOKUP(I115,A:F,6,FALSE),H115+4,1)))=FALSE(),J_ADDDAY(VLOOKUP(I115,A:F,6,FALSE),H115+4,1),J_ADDDAY(VLOOKUP(I115,A:F,6,FALSE),H115+5,1))))))</f>
        <v>1398/07/08</v>
      </c>
      <c r="E115" s="160">
        <f t="shared" si="33"/>
        <v>13980708</v>
      </c>
      <c r="F115" s="265" t="str">
        <f>IF(N115=0,J_SUBDAY(D115,1,1),IF((N115-NETWORKDAYS.INTL(J_GregorianDate(D115,1),J_GregorianDate(J_SUBDAY(J_ADDDAY(D115,N115,1),1,1),1),16,1)-SUMIFS(Holieday[ok],Holieday[date],CONCATENATE("&gt;","=",D115),Holieday[date],CONCATENATE("&lt;","=",J_SUBDAY(J_ADDDAY(D115,N115,1),1,1)))+SUMIFS(Holieday[Friday],Holieday[date],CONCATENATE("&gt;","=",D115),Holieday[date],CONCATENATE("&lt;","=",J_SUBDAY(J_ADDDAY(D115,N115,1),1,1))))=0,J_SUBDAY(J_ADDDAY(D115,N115,1),1,1),IF((N115-NETWORKDAYS.INTL(J_GregorianDate(D115,1),J_GregorianDate(J_SUBDAY(J_ADDDAY(D115,N115,1),1,1),1),16,1)-SUMIFS(Holieday[ok],Holieday[date],CONCATENATE("&gt;","=",D115),Holieday[date],CONCATENATE("&lt;","=",J_SUBDAY(J_ADDDAY(D115,N115,1),1,1)))+SUMIFS(Holieday[Friday],Holieday[date],CONCATENATE("&gt;","=",D115),Holieday[date],CONCATENATE("&lt;","=",J_SUBDAY(J_ADDDAY(D115,N115,1),1,1))))=1,J_SUBDAY(J_ADDDAY(D115,N115+1,1),1,1),IF((N115-NETWORKDAYS.INTL(J_GregorianDate(D115,1),J_GregorianDate(J_SUBDAY(J_ADDDAY(D115,N115,1),1,1),1),16,1)-SUMIFS(Holieday[ok],Holieday[date],CONCATENATE("&gt;","=",D115),Holieday[date],CONCATENATE("&lt;","=",J_SUBDAY(J_ADDDAY(D115,N115,1),1,1)))+SUMIFS(Holieday[Friday],Holieday[date],CONCATENATE("&gt;","=",D115),Holieday[date],CONCATENATE("&lt;","=",J_SUBDAY(J_ADDDAY(D115,N115,1),1,1))))=2,J_SUBDAY(J_ADDDAY(D115,N115+2,1),1,1),J_SUBDAY(J_ADDDAY(D115,N115+3,1),1,1)))))</f>
        <v>1398/07/10</v>
      </c>
      <c r="G115" s="163">
        <f t="shared" si="30"/>
        <v>13980710</v>
      </c>
      <c r="H115" s="266">
        <v>1</v>
      </c>
      <c r="I115" s="267">
        <v>5.0999999999999996</v>
      </c>
      <c r="J115" s="265">
        <f>j_WEEKDAY(D115,2)</f>
        <v>2</v>
      </c>
      <c r="K115" s="173">
        <f>SUM(JA115:JC115)</f>
        <v>0</v>
      </c>
      <c r="L115" s="268">
        <f t="shared" si="38"/>
        <v>3</v>
      </c>
      <c r="M115" s="269">
        <v>1</v>
      </c>
      <c r="N115" s="270">
        <v>3</v>
      </c>
      <c r="O115" s="175">
        <f t="shared" ref="O115:O134" si="39">ROUNDDOWN(M115*L115,0)</f>
        <v>3</v>
      </c>
      <c r="P115" s="175">
        <f>VALUE(J_normdate(J_ADDDAY($D115,$O115,1)))</f>
        <v>13980711</v>
      </c>
      <c r="Q115" s="171">
        <f t="shared" ref="Q115:Q134" si="40">L115-O115</f>
        <v>0</v>
      </c>
      <c r="R115" s="271"/>
      <c r="S115" s="271"/>
      <c r="T115" s="271"/>
      <c r="U115" s="271"/>
      <c r="V115" s="271"/>
      <c r="W115" s="271"/>
      <c r="X115" s="271"/>
      <c r="Y115" s="271"/>
      <c r="Z115" s="271"/>
      <c r="AA115" s="271"/>
      <c r="AB115" s="271"/>
      <c r="AC115" s="271"/>
      <c r="AD115" s="271"/>
      <c r="AE115" s="271"/>
      <c r="AF115" s="271"/>
      <c r="AG115" s="271"/>
      <c r="AH115" s="271"/>
      <c r="AI115" s="271"/>
      <c r="AJ115" s="271"/>
      <c r="AK115" s="271"/>
      <c r="AL115" s="271"/>
      <c r="AM115" s="271"/>
      <c r="AN115" s="271"/>
      <c r="AO115" s="271"/>
      <c r="AP115" s="271"/>
      <c r="AQ115" s="271"/>
      <c r="AR115" s="271"/>
      <c r="AS115" s="271"/>
      <c r="AT115" s="271"/>
      <c r="AU115" s="271"/>
      <c r="AV115" s="271"/>
      <c r="AW115" s="271"/>
      <c r="AX115" s="271"/>
      <c r="AY115" s="271"/>
      <c r="AZ115" s="271"/>
      <c r="BA115" s="271"/>
      <c r="BB115" s="271"/>
      <c r="BC115" s="271"/>
      <c r="BD115" s="271"/>
      <c r="BE115" s="271"/>
      <c r="BF115" s="271"/>
      <c r="BG115" s="271"/>
      <c r="BH115" s="271"/>
      <c r="BI115" s="271"/>
      <c r="BJ115" s="271"/>
      <c r="BK115" s="271"/>
      <c r="BL115" s="271"/>
      <c r="BM115" s="271"/>
      <c r="BN115" s="271"/>
      <c r="BO115" s="271"/>
      <c r="BP115" s="271"/>
      <c r="BQ115" s="271"/>
      <c r="BR115" s="271"/>
      <c r="BS115" s="271"/>
      <c r="BT115" s="271"/>
      <c r="BU115" s="271"/>
      <c r="BV115" s="271"/>
      <c r="BW115" s="271"/>
      <c r="BX115" s="271"/>
      <c r="BY115" s="271"/>
      <c r="BZ115" s="271"/>
      <c r="CA115" s="271"/>
      <c r="CB115" s="271"/>
      <c r="CC115" s="271"/>
      <c r="CD115" s="271"/>
      <c r="CE115" s="271"/>
      <c r="CF115" s="271"/>
      <c r="CG115" s="271"/>
      <c r="CH115" s="271"/>
      <c r="CI115" s="271"/>
      <c r="CJ115" s="271"/>
      <c r="CK115" s="271"/>
      <c r="CL115" s="271"/>
      <c r="CM115" s="271"/>
      <c r="CN115" s="271"/>
      <c r="CO115" s="271"/>
      <c r="CP115" s="271"/>
      <c r="CQ115" s="271"/>
      <c r="CR115" s="271"/>
      <c r="CS115" s="271"/>
      <c r="CT115" s="271"/>
      <c r="CU115" s="271"/>
      <c r="CV115" s="271"/>
      <c r="CW115" s="271"/>
      <c r="CX115" s="271"/>
      <c r="CY115" s="271"/>
      <c r="CZ115" s="271"/>
      <c r="DA115" s="271"/>
      <c r="DB115" s="271"/>
      <c r="DC115" s="271"/>
      <c r="DD115" s="271"/>
      <c r="DE115" s="271"/>
      <c r="DF115" s="271"/>
      <c r="DG115" s="271"/>
      <c r="DH115" s="271"/>
      <c r="DI115" s="271"/>
      <c r="DJ115" s="271"/>
      <c r="DK115" s="271"/>
      <c r="DL115" s="271"/>
      <c r="DM115" s="271"/>
      <c r="DN115" s="271"/>
      <c r="DO115" s="271"/>
      <c r="DP115" s="271"/>
      <c r="DQ115" s="271"/>
      <c r="DR115" s="271"/>
      <c r="DS115" s="271"/>
      <c r="DT115" s="271"/>
      <c r="DU115" s="271"/>
      <c r="DV115" s="271"/>
      <c r="DW115" s="271"/>
      <c r="DX115" s="271"/>
      <c r="DY115" s="271"/>
      <c r="DZ115" s="271"/>
      <c r="EA115" s="271"/>
      <c r="EB115" s="271"/>
      <c r="EC115" s="271"/>
      <c r="ED115" s="271"/>
      <c r="EE115" s="271"/>
      <c r="EF115" s="271"/>
      <c r="EG115" s="271"/>
      <c r="EH115" s="271"/>
      <c r="EI115" s="271"/>
      <c r="EJ115" s="271"/>
      <c r="EK115" s="271"/>
      <c r="EL115" s="271"/>
      <c r="EM115" s="271"/>
      <c r="EN115" s="271"/>
      <c r="EO115" s="271"/>
      <c r="EP115" s="271"/>
      <c r="EQ115" s="271"/>
      <c r="ER115" s="271"/>
      <c r="ES115" s="271"/>
      <c r="ET115" s="271"/>
      <c r="EU115" s="271"/>
      <c r="EV115" s="271"/>
      <c r="EW115" s="271"/>
      <c r="EX115" s="271"/>
      <c r="EY115" s="271"/>
      <c r="EZ115" s="271"/>
      <c r="FA115" s="271"/>
      <c r="FB115" s="271"/>
      <c r="FC115" s="271"/>
      <c r="FD115" s="271"/>
      <c r="FE115" s="271"/>
      <c r="FF115" s="271"/>
      <c r="FG115" s="271"/>
      <c r="FH115" s="271"/>
      <c r="FI115" s="271"/>
      <c r="FJ115" s="271"/>
      <c r="FK115" s="271"/>
      <c r="FL115" s="271"/>
      <c r="FM115" s="271"/>
      <c r="FN115" s="271"/>
      <c r="FO115" s="271"/>
      <c r="FP115" s="271"/>
      <c r="FQ115" s="271"/>
      <c r="FR115" s="271"/>
      <c r="FS115" s="271"/>
      <c r="FT115" s="271"/>
      <c r="FU115" s="271"/>
      <c r="FV115" s="271"/>
      <c r="FW115" s="271"/>
      <c r="FX115" s="271"/>
      <c r="FY115" s="271"/>
      <c r="FZ115" s="271"/>
      <c r="GA115" s="271"/>
      <c r="GB115" s="271"/>
      <c r="GC115" s="271"/>
      <c r="GD115" s="271"/>
      <c r="GE115" s="271"/>
      <c r="GF115" s="271"/>
      <c r="GG115" s="271"/>
      <c r="GH115" s="271"/>
      <c r="GI115" s="271"/>
      <c r="GJ115" s="271"/>
      <c r="GK115" s="271"/>
      <c r="GL115" s="271"/>
      <c r="GM115" s="271"/>
      <c r="GN115" s="271"/>
      <c r="GO115" s="271"/>
      <c r="GP115" s="271"/>
      <c r="GQ115" s="271"/>
      <c r="GR115" s="271"/>
      <c r="GS115" s="271"/>
      <c r="GT115" s="271"/>
      <c r="GU115" s="271"/>
      <c r="GV115" s="271"/>
      <c r="GW115" s="271"/>
      <c r="GX115" s="271"/>
      <c r="GY115" s="271"/>
      <c r="GZ115" s="271"/>
      <c r="HA115" s="271"/>
      <c r="HB115" s="271"/>
      <c r="HC115" s="271"/>
      <c r="HD115" s="271"/>
      <c r="HE115" s="271"/>
      <c r="HF115" s="271"/>
      <c r="HG115" s="271"/>
      <c r="HH115" s="271"/>
      <c r="HI115" s="271"/>
      <c r="HJ115" s="271"/>
      <c r="HK115" s="271"/>
      <c r="HL115" s="271"/>
      <c r="HM115" s="271"/>
      <c r="HN115" s="271"/>
      <c r="HO115" s="271"/>
      <c r="HP115" s="271"/>
      <c r="HQ115" s="271"/>
      <c r="HR115" s="271"/>
      <c r="HS115" s="271"/>
      <c r="HT115" s="271"/>
      <c r="HU115" s="271"/>
      <c r="HV115" s="271"/>
      <c r="HW115" s="271"/>
      <c r="HX115" s="271"/>
      <c r="HY115" s="271"/>
      <c r="HZ115" s="271"/>
      <c r="IA115" s="271"/>
      <c r="IB115" s="271"/>
      <c r="IC115" s="271"/>
      <c r="ID115" s="271"/>
      <c r="IE115" s="271"/>
      <c r="IF115" s="271"/>
      <c r="IG115" s="271"/>
      <c r="IH115" s="271"/>
      <c r="II115" s="271"/>
      <c r="IJ115" s="271"/>
      <c r="IK115" s="271"/>
      <c r="IL115" s="271"/>
      <c r="IM115" s="271"/>
      <c r="IN115" s="271"/>
      <c r="IO115" s="271"/>
      <c r="IP115" s="271"/>
      <c r="IQ115" s="271"/>
      <c r="IR115" s="271"/>
      <c r="IS115" s="271"/>
      <c r="IT115" s="271"/>
      <c r="IU115" s="271"/>
      <c r="IV115" s="271"/>
      <c r="IW115" s="271"/>
      <c r="IX115" s="271"/>
      <c r="IY115" s="272">
        <v>2</v>
      </c>
      <c r="IZ115" s="273">
        <f>(TEXT(K115,"[m]")/60)*VLOOKUP(IY115,'Income Person-hours'!A$2:C$5,3,FALSE)</f>
        <v>0</v>
      </c>
      <c r="JA115" s="274"/>
      <c r="JB115" s="274"/>
      <c r="JC115" s="274"/>
      <c r="JD115" s="275">
        <f>SUM((TEXT(JA115,"[M]")/60)*'Income Person-hours'!$D$3,(TEXT(JB115,"[M]")/60)*'Income Person-hours'!$D$4,(TEXT(JC115,"[M]")/60)*'Income Person-hours'!$D$5)</f>
        <v>0</v>
      </c>
    </row>
    <row r="116" spans="1:264" s="276" customFormat="1" ht="13.5">
      <c r="A116" s="288">
        <v>5.3</v>
      </c>
      <c r="B116" s="277" t="s">
        <v>126</v>
      </c>
      <c r="C116" s="263" t="s">
        <v>79</v>
      </c>
      <c r="D116" s="265" t="str">
        <f>IF(OR(j_WEEKDAY(J_ADDDAY(VLOOKUP(I116,A:F,6,FALSE),H116,1),0)=6,SUMIFS(Holieday[ok],Holieday[date],J_ADDDAY(VLOOKUP(I116,A:F,6,FALSE),H116,1)))=FALSE(),J_ADDDAY(VLOOKUP(I116,A:F,6,FALSE),H116,1),IF(OR(j_WEEKDAY(J_ADDDAY(VLOOKUP(I116,A:F,6,FALSE),H116+1,1),0)=6,SUMIFS(Holieday[ok],Holieday[date],J_ADDDAY(VLOOKUP(I116,A:F,6,FALSE),H116+1,1)))=FALSE(),J_ADDDAY(VLOOKUP(I116,A:F,6,FALSE),H116+1,1),IF(OR(j_WEEKDAY(J_ADDDAY(VLOOKUP(I116,A:F,6,FALSE),H116+2,1),0)=6,SUMIFS(Holieday[ok],Holieday[date],J_ADDDAY(VLOOKUP(I116,A:F,6,FALSE),H116+2,1)))=FALSE(),J_ADDDAY(VLOOKUP(I116,A:F,6,FALSE),H116+2,1),IF(OR(j_WEEKDAY(J_ADDDAY(VLOOKUP(I116,A:F,6,FALSE),H116+3,1),0)=6,SUMIFS(Holieday[ok],Holieday[date],J_ADDDAY(VLOOKUP(I116,A:F,6,FALSE),H116+3,1)))=FALSE(),J_ADDDAY(VLOOKUP(I116,A:F,6,FALSE),H116+3,1),IF(OR(j_WEEKDAY(J_ADDDAY(VLOOKUP(I116,A:F,6,FALSE),H116+4,1),0)=6,SUMIFS(Holieday[ok],Holieday[date],J_ADDDAY(VLOOKUP(I116,A:F,6,FALSE),H116+4,1)))=FALSE(),J_ADDDAY(VLOOKUP(I116,A:F,6,FALSE),H116+4,1),J_ADDDAY(VLOOKUP(I116,A:F,6,FALSE),H116+5,1))))))</f>
        <v>1398/07/11</v>
      </c>
      <c r="E116" s="160">
        <f t="shared" si="33"/>
        <v>13980711</v>
      </c>
      <c r="F116" s="265" t="str">
        <f>IF(N116=0,J_SUBDAY(D116,1,1),IF((N116-NETWORKDAYS.INTL(J_GregorianDate(D116,1),J_GregorianDate(J_SUBDAY(J_ADDDAY(D116,N116,1),1,1),1),16,1)-SUMIFS(Holieday[ok],Holieday[date],CONCATENATE("&gt;","=",D116),Holieday[date],CONCATENATE("&lt;","=",J_SUBDAY(J_ADDDAY(D116,N116,1),1,1)))+SUMIFS(Holieday[Friday],Holieday[date],CONCATENATE("&gt;","=",D116),Holieday[date],CONCATENATE("&lt;","=",J_SUBDAY(J_ADDDAY(D116,N116,1),1,1))))=0,J_SUBDAY(J_ADDDAY(D116,N116,1),1,1),IF((N116-NETWORKDAYS.INTL(J_GregorianDate(D116,1),J_GregorianDate(J_SUBDAY(J_ADDDAY(D116,N116,1),1,1),1),16,1)-SUMIFS(Holieday[ok],Holieday[date],CONCATENATE("&gt;","=",D116),Holieday[date],CONCATENATE("&lt;","=",J_SUBDAY(J_ADDDAY(D116,N116,1),1,1)))+SUMIFS(Holieday[Friday],Holieday[date],CONCATENATE("&gt;","=",D116),Holieday[date],CONCATENATE("&lt;","=",J_SUBDAY(J_ADDDAY(D116,N116,1),1,1))))=1,J_SUBDAY(J_ADDDAY(D116,N116+1,1),1,1),IF((N116-NETWORKDAYS.INTL(J_GregorianDate(D116,1),J_GregorianDate(J_SUBDAY(J_ADDDAY(D116,N116,1),1,1),1),16,1)-SUMIFS(Holieday[ok],Holieday[date],CONCATENATE("&gt;","=",D116),Holieday[date],CONCATENATE("&lt;","=",J_SUBDAY(J_ADDDAY(D116,N116,1),1,1)))+SUMIFS(Holieday[Friday],Holieday[date],CONCATENATE("&gt;","=",D116),Holieday[date],CONCATENATE("&lt;","=",J_SUBDAY(J_ADDDAY(D116,N116,1),1,1))))=2,J_SUBDAY(J_ADDDAY(D116,N116+2,1),1,1),J_SUBDAY(J_ADDDAY(D116,N116+3,1),1,1)))))</f>
        <v>1398/07/22</v>
      </c>
      <c r="G116" s="163">
        <f t="shared" si="30"/>
        <v>13980722</v>
      </c>
      <c r="H116" s="266">
        <v>1</v>
      </c>
      <c r="I116" s="267">
        <v>5.2</v>
      </c>
      <c r="J116" s="265">
        <f>j_WEEKDAY(D116,2)</f>
        <v>5</v>
      </c>
      <c r="K116" s="173">
        <f>SUM(JA116:JC116)</f>
        <v>0</v>
      </c>
      <c r="L116" s="268">
        <f t="shared" si="38"/>
        <v>12</v>
      </c>
      <c r="M116" s="269">
        <v>0</v>
      </c>
      <c r="N116" s="270">
        <v>10</v>
      </c>
      <c r="O116" s="175">
        <f t="shared" si="39"/>
        <v>0</v>
      </c>
      <c r="P116" s="175">
        <f>VALUE(J_normdate(J_ADDDAY($D116,$O116,1)))</f>
        <v>13980711</v>
      </c>
      <c r="Q116" s="171">
        <f t="shared" si="40"/>
        <v>12</v>
      </c>
      <c r="R116" s="271"/>
      <c r="S116" s="271"/>
      <c r="T116" s="271"/>
      <c r="U116" s="271"/>
      <c r="V116" s="271"/>
      <c r="W116" s="271"/>
      <c r="X116" s="271"/>
      <c r="Y116" s="271"/>
      <c r="Z116" s="271"/>
      <c r="AA116" s="271"/>
      <c r="AB116" s="271"/>
      <c r="AC116" s="271"/>
      <c r="AD116" s="271"/>
      <c r="AE116" s="271"/>
      <c r="AF116" s="271"/>
      <c r="AG116" s="271"/>
      <c r="AH116" s="271"/>
      <c r="AI116" s="271"/>
      <c r="AJ116" s="271"/>
      <c r="AK116" s="271"/>
      <c r="AL116" s="271"/>
      <c r="AM116" s="271"/>
      <c r="AN116" s="271"/>
      <c r="AO116" s="271"/>
      <c r="AP116" s="271"/>
      <c r="AQ116" s="271"/>
      <c r="AR116" s="271"/>
      <c r="AS116" s="271"/>
      <c r="AT116" s="271"/>
      <c r="AU116" s="271"/>
      <c r="AV116" s="271"/>
      <c r="AW116" s="271"/>
      <c r="AX116" s="271"/>
      <c r="AY116" s="271"/>
      <c r="AZ116" s="271"/>
      <c r="BA116" s="271"/>
      <c r="BB116" s="271"/>
      <c r="BC116" s="271"/>
      <c r="BD116" s="271"/>
      <c r="BE116" s="271"/>
      <c r="BF116" s="271"/>
      <c r="BG116" s="271"/>
      <c r="BH116" s="271"/>
      <c r="BI116" s="271"/>
      <c r="BJ116" s="271"/>
      <c r="BK116" s="271"/>
      <c r="BL116" s="271"/>
      <c r="BM116" s="271"/>
      <c r="BN116" s="271"/>
      <c r="BO116" s="271"/>
      <c r="BP116" s="271"/>
      <c r="BQ116" s="271"/>
      <c r="BR116" s="271"/>
      <c r="BS116" s="271"/>
      <c r="BT116" s="271"/>
      <c r="BU116" s="271"/>
      <c r="BV116" s="271"/>
      <c r="BW116" s="271"/>
      <c r="BX116" s="271"/>
      <c r="BY116" s="271"/>
      <c r="BZ116" s="271"/>
      <c r="CA116" s="271"/>
      <c r="CB116" s="271"/>
      <c r="CC116" s="271"/>
      <c r="CD116" s="271"/>
      <c r="CE116" s="271"/>
      <c r="CF116" s="271"/>
      <c r="CG116" s="271"/>
      <c r="CH116" s="271"/>
      <c r="CI116" s="271"/>
      <c r="CJ116" s="271"/>
      <c r="CK116" s="271"/>
      <c r="CL116" s="271"/>
      <c r="CM116" s="271"/>
      <c r="CN116" s="271"/>
      <c r="CO116" s="271"/>
      <c r="CP116" s="271"/>
      <c r="CQ116" s="271"/>
      <c r="CR116" s="271"/>
      <c r="CS116" s="271"/>
      <c r="CT116" s="271"/>
      <c r="CU116" s="271"/>
      <c r="CV116" s="271"/>
      <c r="CW116" s="271"/>
      <c r="CX116" s="271"/>
      <c r="CY116" s="271"/>
      <c r="CZ116" s="271"/>
      <c r="DA116" s="271"/>
      <c r="DB116" s="271"/>
      <c r="DC116" s="271"/>
      <c r="DD116" s="271"/>
      <c r="DE116" s="271"/>
      <c r="DF116" s="271"/>
      <c r="DG116" s="271"/>
      <c r="DH116" s="271"/>
      <c r="DI116" s="271"/>
      <c r="DJ116" s="271"/>
      <c r="DK116" s="271"/>
      <c r="DL116" s="271"/>
      <c r="DM116" s="271"/>
      <c r="DN116" s="271"/>
      <c r="DO116" s="271"/>
      <c r="DP116" s="271"/>
      <c r="DQ116" s="271"/>
      <c r="DR116" s="271"/>
      <c r="DS116" s="271"/>
      <c r="DT116" s="271"/>
      <c r="DU116" s="271"/>
      <c r="DV116" s="271"/>
      <c r="DW116" s="271"/>
      <c r="DX116" s="271"/>
      <c r="DY116" s="271"/>
      <c r="DZ116" s="271"/>
      <c r="EA116" s="271"/>
      <c r="EB116" s="271"/>
      <c r="EC116" s="271"/>
      <c r="ED116" s="271"/>
      <c r="EE116" s="271"/>
      <c r="EF116" s="271"/>
      <c r="EG116" s="271"/>
      <c r="EH116" s="271"/>
      <c r="EI116" s="271"/>
      <c r="EJ116" s="271"/>
      <c r="EK116" s="271"/>
      <c r="EL116" s="271"/>
      <c r="EM116" s="271"/>
      <c r="EN116" s="271"/>
      <c r="EO116" s="271"/>
      <c r="EP116" s="271"/>
      <c r="EQ116" s="271"/>
      <c r="ER116" s="271"/>
      <c r="ES116" s="271"/>
      <c r="ET116" s="271"/>
      <c r="EU116" s="271"/>
      <c r="EV116" s="271"/>
      <c r="EW116" s="271"/>
      <c r="EX116" s="271"/>
      <c r="EY116" s="271"/>
      <c r="EZ116" s="271"/>
      <c r="FA116" s="271"/>
      <c r="FB116" s="271"/>
      <c r="FC116" s="271"/>
      <c r="FD116" s="271"/>
      <c r="FE116" s="271"/>
      <c r="FF116" s="271"/>
      <c r="FG116" s="271"/>
      <c r="FH116" s="271"/>
      <c r="FI116" s="271"/>
      <c r="FJ116" s="271"/>
      <c r="FK116" s="271"/>
      <c r="FL116" s="271"/>
      <c r="FM116" s="271"/>
      <c r="FN116" s="271"/>
      <c r="FO116" s="271"/>
      <c r="FP116" s="271"/>
      <c r="FQ116" s="271"/>
      <c r="FR116" s="271"/>
      <c r="FS116" s="271"/>
      <c r="FT116" s="271"/>
      <c r="FU116" s="271"/>
      <c r="FV116" s="271"/>
      <c r="FW116" s="271"/>
      <c r="FX116" s="271"/>
      <c r="FY116" s="271"/>
      <c r="FZ116" s="271"/>
      <c r="GA116" s="271"/>
      <c r="GB116" s="271"/>
      <c r="GC116" s="271"/>
      <c r="GD116" s="271"/>
      <c r="GE116" s="271"/>
      <c r="GF116" s="271"/>
      <c r="GG116" s="271"/>
      <c r="GH116" s="271"/>
      <c r="GI116" s="271"/>
      <c r="GJ116" s="271"/>
      <c r="GK116" s="271"/>
      <c r="GL116" s="271"/>
      <c r="GM116" s="271"/>
      <c r="GN116" s="271"/>
      <c r="GO116" s="271"/>
      <c r="GP116" s="271"/>
      <c r="GQ116" s="271"/>
      <c r="GR116" s="271"/>
      <c r="GS116" s="271"/>
      <c r="GT116" s="271"/>
      <c r="GU116" s="271"/>
      <c r="GV116" s="271"/>
      <c r="GW116" s="271"/>
      <c r="GX116" s="271"/>
      <c r="GY116" s="271"/>
      <c r="GZ116" s="271"/>
      <c r="HA116" s="271"/>
      <c r="HB116" s="271"/>
      <c r="HC116" s="271"/>
      <c r="HD116" s="271"/>
      <c r="HE116" s="271"/>
      <c r="HF116" s="271"/>
      <c r="HG116" s="271"/>
      <c r="HH116" s="271"/>
      <c r="HI116" s="271"/>
      <c r="HJ116" s="271"/>
      <c r="HK116" s="271"/>
      <c r="HL116" s="271"/>
      <c r="HM116" s="271"/>
      <c r="HN116" s="271"/>
      <c r="HO116" s="271"/>
      <c r="HP116" s="271"/>
      <c r="HQ116" s="271"/>
      <c r="HR116" s="271"/>
      <c r="HS116" s="271"/>
      <c r="HT116" s="271"/>
      <c r="HU116" s="271"/>
      <c r="HV116" s="271"/>
      <c r="HW116" s="271"/>
      <c r="HX116" s="271"/>
      <c r="HY116" s="271"/>
      <c r="HZ116" s="271"/>
      <c r="IA116" s="271"/>
      <c r="IB116" s="271"/>
      <c r="IC116" s="271"/>
      <c r="ID116" s="271"/>
      <c r="IE116" s="271"/>
      <c r="IF116" s="271"/>
      <c r="IG116" s="271"/>
      <c r="IH116" s="271"/>
      <c r="II116" s="271"/>
      <c r="IJ116" s="271"/>
      <c r="IK116" s="271"/>
      <c r="IL116" s="271"/>
      <c r="IM116" s="271"/>
      <c r="IN116" s="271"/>
      <c r="IO116" s="271"/>
      <c r="IP116" s="271"/>
      <c r="IQ116" s="271"/>
      <c r="IR116" s="271"/>
      <c r="IS116" s="271"/>
      <c r="IT116" s="271"/>
      <c r="IU116" s="271"/>
      <c r="IV116" s="271"/>
      <c r="IW116" s="271"/>
      <c r="IX116" s="271"/>
      <c r="IY116" s="272">
        <v>3</v>
      </c>
      <c r="IZ116" s="273">
        <f>(TEXT(K116,"[m]")/60)*VLOOKUP(IY116,'Income Person-hours'!A$2:C$5,3,FALSE)</f>
        <v>0</v>
      </c>
      <c r="JA116" s="274"/>
      <c r="JB116" s="274"/>
      <c r="JC116" s="274"/>
      <c r="JD116" s="275">
        <f>SUM((TEXT(JA116,"[M]")/60)*'Income Person-hours'!$D$3,(TEXT(JB116,"[M]")/60)*'Income Person-hours'!$D$4,(TEXT(JC116,"[M]")/60)*'Income Person-hours'!$D$5)</f>
        <v>0</v>
      </c>
    </row>
    <row r="117" spans="1:264" s="291" customFormat="1" ht="13.5">
      <c r="A117" s="262">
        <v>5.4</v>
      </c>
      <c r="B117" s="277" t="s">
        <v>123</v>
      </c>
      <c r="C117" s="263" t="s">
        <v>111</v>
      </c>
      <c r="D117" s="287" t="str">
        <f>IF(OR(j_WEEKDAY(J_ADDDAY(VLOOKUP(I117,A:F,6,FALSE),H117,1),0)=6,SUMIFS(Holieday[ok],Holieday[date],J_ADDDAY(VLOOKUP(I117,A:F,6,FALSE),H117,1)))=FALSE(),J_ADDDAY(VLOOKUP(I117,A:F,6,FALSE),H117,1),IF(OR(j_WEEKDAY(J_ADDDAY(VLOOKUP(I117,A:F,6,FALSE),H117+1,1),0)=6,SUMIFS(Holieday[ok],Holieday[date],J_ADDDAY(VLOOKUP(I117,A:F,6,FALSE),H117+1,1)))=FALSE(),J_ADDDAY(VLOOKUP(I117,A:F,6,FALSE),H117+1,1),IF(OR(j_WEEKDAY(J_ADDDAY(VLOOKUP(I117,A:F,6,FALSE),H117+2,1),0)=6,SUMIFS(Holieday[ok],Holieday[date],J_ADDDAY(VLOOKUP(I117,A:F,6,FALSE),H117+2,1)))=FALSE(),J_ADDDAY(VLOOKUP(I117,A:F,6,FALSE),H117+2,1),IF(OR(j_WEEKDAY(J_ADDDAY(VLOOKUP(I117,A:F,6,FALSE),H117+3,1),0)=6,SUMIFS(Holieday[ok],Holieday[date],J_ADDDAY(VLOOKUP(I117,A:F,6,FALSE),H117+3,1)))=FALSE(),J_ADDDAY(VLOOKUP(I117,A:F,6,FALSE),H117+3,1),IF(OR(j_WEEKDAY(J_ADDDAY(VLOOKUP(I117,A:F,6,FALSE),H117+4,1),0)=6,SUMIFS(Holieday[ok],Holieday[date],J_ADDDAY(VLOOKUP(I117,A:F,6,FALSE),H117+4,1)))=FALSE(),J_ADDDAY(VLOOKUP(I117,A:F,6,FALSE),H117+4,1),J_ADDDAY(VLOOKUP(I117,A:F,6,FALSE),H117+5,1))))))</f>
        <v>1398/07/23</v>
      </c>
      <c r="E117" s="1">
        <f t="shared" si="33"/>
        <v>13980723</v>
      </c>
      <c r="F117" s="287" t="str">
        <f>IF(N117=0,J_SUBDAY(D117,1,1),IF((N117-NETWORKDAYS.INTL(J_GregorianDate(D117,1),J_GregorianDate(J_SUBDAY(J_ADDDAY(D117,N117,1),1,1),1),16,1)-SUMIFS(Holieday[ok],Holieday[date],CONCATENATE("&gt;","=",D117),Holieday[date],CONCATENATE("&lt;","=",J_SUBDAY(J_ADDDAY(D117,N117,1),1,1)))+SUMIFS(Holieday[Friday],Holieday[date],CONCATENATE("&gt;","=",D117),Holieday[date],CONCATENATE("&lt;","=",J_SUBDAY(J_ADDDAY(D117,N117,1),1,1))))=0,J_SUBDAY(J_ADDDAY(D117,N117,1),1,1),IF((N117-NETWORKDAYS.INTL(J_GregorianDate(D117,1),J_GregorianDate(J_SUBDAY(J_ADDDAY(D117,N117,1),1,1),1),16,1)-SUMIFS(Holieday[ok],Holieday[date],CONCATENATE("&gt;","=",D117),Holieday[date],CONCATENATE("&lt;","=",J_SUBDAY(J_ADDDAY(D117,N117,1),1,1)))+SUMIFS(Holieday[Friday],Holieday[date],CONCATENATE("&gt;","=",D117),Holieday[date],CONCATENATE("&lt;","=",J_SUBDAY(J_ADDDAY(D117,N117,1),1,1))))=1,J_SUBDAY(J_ADDDAY(D117,N117+1,1),1,1),IF((N117-NETWORKDAYS.INTL(J_GregorianDate(D117,1),J_GregorianDate(J_SUBDAY(J_ADDDAY(D117,N117,1),1,1),1),16,1)-SUMIFS(Holieday[ok],Holieday[date],CONCATENATE("&gt;","=",D117),Holieday[date],CONCATENATE("&lt;","=",J_SUBDAY(J_ADDDAY(D117,N117,1),1,1)))+SUMIFS(Holieday[Friday],Holieday[date],CONCATENATE("&gt;","=",D117),Holieday[date],CONCATENATE("&lt;","=",J_SUBDAY(J_ADDDAY(D117,N117,1),1,1))))=2,J_SUBDAY(J_ADDDAY(D117,N117+2,1),1,1),J_SUBDAY(J_ADDDAY(D117,N117+3,1),1,1)))))</f>
        <v>1398/08/12</v>
      </c>
      <c r="G117" s="2">
        <f t="shared" si="30"/>
        <v>13980812</v>
      </c>
      <c r="H117" s="266">
        <v>1</v>
      </c>
      <c r="I117" s="267">
        <v>5.3</v>
      </c>
      <c r="J117" s="281">
        <f>j_WEEKDAY(D117,2)</f>
        <v>3</v>
      </c>
      <c r="K117" s="21">
        <f>SUM(JA117:JC117)</f>
        <v>0</v>
      </c>
      <c r="L117" s="282">
        <f t="shared" si="38"/>
        <v>20</v>
      </c>
      <c r="M117" s="269">
        <v>0</v>
      </c>
      <c r="N117" s="270">
        <v>20</v>
      </c>
      <c r="O117" s="10">
        <f t="shared" si="39"/>
        <v>0</v>
      </c>
      <c r="P117" s="10">
        <f>VALUE(J_normdate(J_ADDDAY($D117,$O117,1)))</f>
        <v>13980723</v>
      </c>
      <c r="Q117" s="9">
        <f t="shared" si="40"/>
        <v>20</v>
      </c>
      <c r="R117" s="283"/>
      <c r="S117" s="283"/>
      <c r="T117" s="283"/>
      <c r="U117" s="283"/>
      <c r="V117" s="283"/>
      <c r="W117" s="283"/>
      <c r="X117" s="283"/>
      <c r="Y117" s="283"/>
      <c r="Z117" s="283"/>
      <c r="AA117" s="283"/>
      <c r="AB117" s="283"/>
      <c r="AC117" s="283"/>
      <c r="AD117" s="283"/>
      <c r="AE117" s="283"/>
      <c r="AF117" s="283"/>
      <c r="AG117" s="283"/>
      <c r="AH117" s="283"/>
      <c r="AI117" s="283"/>
      <c r="AJ117" s="283"/>
      <c r="AK117" s="283"/>
      <c r="AL117" s="283"/>
      <c r="AM117" s="283"/>
      <c r="AN117" s="283"/>
      <c r="AO117" s="283"/>
      <c r="AP117" s="283"/>
      <c r="AQ117" s="283"/>
      <c r="AR117" s="283"/>
      <c r="AS117" s="283"/>
      <c r="AT117" s="283"/>
      <c r="AU117" s="283"/>
      <c r="AV117" s="283"/>
      <c r="AW117" s="283"/>
      <c r="AX117" s="283"/>
      <c r="AY117" s="283"/>
      <c r="AZ117" s="283"/>
      <c r="BA117" s="283"/>
      <c r="BB117" s="283"/>
      <c r="BC117" s="283"/>
      <c r="BD117" s="283"/>
      <c r="BE117" s="283"/>
      <c r="BF117" s="283"/>
      <c r="BG117" s="283"/>
      <c r="BH117" s="283"/>
      <c r="BI117" s="283"/>
      <c r="BJ117" s="283"/>
      <c r="BK117" s="283"/>
      <c r="BL117" s="283"/>
      <c r="BM117" s="283"/>
      <c r="BN117" s="283"/>
      <c r="BO117" s="283"/>
      <c r="BP117" s="283"/>
      <c r="BQ117" s="283"/>
      <c r="BR117" s="283"/>
      <c r="BS117" s="283"/>
      <c r="BT117" s="283"/>
      <c r="BU117" s="283"/>
      <c r="BV117" s="283"/>
      <c r="BW117" s="283"/>
      <c r="BX117" s="283"/>
      <c r="BY117" s="283"/>
      <c r="BZ117" s="283"/>
      <c r="CA117" s="283"/>
      <c r="CB117" s="283"/>
      <c r="CC117" s="283"/>
      <c r="CD117" s="283"/>
      <c r="CE117" s="283"/>
      <c r="CF117" s="283"/>
      <c r="CG117" s="283"/>
      <c r="CH117" s="283"/>
      <c r="CI117" s="283"/>
      <c r="CJ117" s="283"/>
      <c r="CK117" s="283"/>
      <c r="CL117" s="283"/>
      <c r="CM117" s="283"/>
      <c r="CN117" s="283"/>
      <c r="CO117" s="283"/>
      <c r="CP117" s="283"/>
      <c r="CQ117" s="283"/>
      <c r="CR117" s="283"/>
      <c r="CS117" s="283"/>
      <c r="CT117" s="283"/>
      <c r="CU117" s="283"/>
      <c r="CV117" s="283"/>
      <c r="CW117" s="283"/>
      <c r="CX117" s="283"/>
      <c r="CY117" s="283"/>
      <c r="CZ117" s="283"/>
      <c r="DA117" s="283"/>
      <c r="DB117" s="283"/>
      <c r="DC117" s="283"/>
      <c r="DD117" s="283"/>
      <c r="DE117" s="283"/>
      <c r="DF117" s="283"/>
      <c r="DG117" s="283"/>
      <c r="DH117" s="283"/>
      <c r="DI117" s="283"/>
      <c r="DJ117" s="283"/>
      <c r="DK117" s="283"/>
      <c r="DL117" s="283"/>
      <c r="DM117" s="283"/>
      <c r="DN117" s="283"/>
      <c r="DO117" s="283"/>
      <c r="DP117" s="283"/>
      <c r="DQ117" s="283"/>
      <c r="DR117" s="283"/>
      <c r="DS117" s="283"/>
      <c r="DT117" s="283"/>
      <c r="DU117" s="283"/>
      <c r="DV117" s="283"/>
      <c r="DW117" s="283"/>
      <c r="DX117" s="283"/>
      <c r="DY117" s="283"/>
      <c r="DZ117" s="283"/>
      <c r="EA117" s="283"/>
      <c r="EB117" s="283"/>
      <c r="EC117" s="283"/>
      <c r="ED117" s="283"/>
      <c r="EE117" s="283"/>
      <c r="EF117" s="283"/>
      <c r="EG117" s="283"/>
      <c r="EH117" s="283"/>
      <c r="EI117" s="283"/>
      <c r="EJ117" s="283"/>
      <c r="EK117" s="283"/>
      <c r="EL117" s="283"/>
      <c r="EM117" s="283"/>
      <c r="EN117" s="283"/>
      <c r="EO117" s="283"/>
      <c r="EP117" s="283"/>
      <c r="EQ117" s="283"/>
      <c r="ER117" s="283"/>
      <c r="ES117" s="283"/>
      <c r="ET117" s="283"/>
      <c r="EU117" s="283"/>
      <c r="EV117" s="283"/>
      <c r="EW117" s="283"/>
      <c r="EX117" s="283"/>
      <c r="EY117" s="283"/>
      <c r="EZ117" s="283"/>
      <c r="FA117" s="283"/>
      <c r="FB117" s="283"/>
      <c r="FC117" s="283"/>
      <c r="FD117" s="283"/>
      <c r="FE117" s="283"/>
      <c r="FF117" s="283"/>
      <c r="FG117" s="283"/>
      <c r="FH117" s="283"/>
      <c r="FI117" s="283"/>
      <c r="FJ117" s="283"/>
      <c r="FK117" s="283"/>
      <c r="FL117" s="283"/>
      <c r="FM117" s="283"/>
      <c r="FN117" s="283"/>
      <c r="FO117" s="283"/>
      <c r="FP117" s="283"/>
      <c r="FQ117" s="283"/>
      <c r="FR117" s="283"/>
      <c r="FS117" s="283"/>
      <c r="FT117" s="283"/>
      <c r="FU117" s="283"/>
      <c r="FV117" s="283"/>
      <c r="FW117" s="283"/>
      <c r="FX117" s="283"/>
      <c r="FY117" s="283"/>
      <c r="FZ117" s="283"/>
      <c r="GA117" s="283"/>
      <c r="GB117" s="283"/>
      <c r="GC117" s="283"/>
      <c r="GD117" s="283"/>
      <c r="GE117" s="283"/>
      <c r="GF117" s="283"/>
      <c r="GG117" s="283"/>
      <c r="GH117" s="283"/>
      <c r="GI117" s="283"/>
      <c r="GJ117" s="283"/>
      <c r="GK117" s="283"/>
      <c r="GL117" s="283"/>
      <c r="GM117" s="283"/>
      <c r="GN117" s="283"/>
      <c r="GO117" s="283"/>
      <c r="GP117" s="283"/>
      <c r="GQ117" s="283"/>
      <c r="GR117" s="283"/>
      <c r="GS117" s="283"/>
      <c r="GT117" s="283"/>
      <c r="GU117" s="283"/>
      <c r="GV117" s="283"/>
      <c r="GW117" s="283"/>
      <c r="GX117" s="283"/>
      <c r="GY117" s="283"/>
      <c r="GZ117" s="283"/>
      <c r="HA117" s="283"/>
      <c r="HB117" s="283"/>
      <c r="HC117" s="283"/>
      <c r="HD117" s="283"/>
      <c r="HE117" s="283"/>
      <c r="HF117" s="283"/>
      <c r="HG117" s="283"/>
      <c r="HH117" s="283"/>
      <c r="HI117" s="283"/>
      <c r="HJ117" s="283"/>
      <c r="HK117" s="283"/>
      <c r="HL117" s="283"/>
      <c r="HM117" s="283"/>
      <c r="HN117" s="283"/>
      <c r="HO117" s="283"/>
      <c r="HP117" s="283"/>
      <c r="HQ117" s="283"/>
      <c r="HR117" s="283"/>
      <c r="HS117" s="283"/>
      <c r="HT117" s="283"/>
      <c r="HU117" s="283"/>
      <c r="HV117" s="283"/>
      <c r="HW117" s="283"/>
      <c r="HX117" s="283"/>
      <c r="HY117" s="283"/>
      <c r="HZ117" s="283"/>
      <c r="IA117" s="283"/>
      <c r="IB117" s="283"/>
      <c r="IC117" s="283"/>
      <c r="ID117" s="283"/>
      <c r="IE117" s="283"/>
      <c r="IF117" s="283"/>
      <c r="IG117" s="283"/>
      <c r="IH117" s="283"/>
      <c r="II117" s="283"/>
      <c r="IJ117" s="283"/>
      <c r="IK117" s="283"/>
      <c r="IL117" s="283"/>
      <c r="IM117" s="283"/>
      <c r="IN117" s="283"/>
      <c r="IO117" s="283"/>
      <c r="IP117" s="283"/>
      <c r="IQ117" s="283"/>
      <c r="IR117" s="283"/>
      <c r="IS117" s="283"/>
      <c r="IT117" s="283"/>
      <c r="IU117" s="283"/>
      <c r="IV117" s="283"/>
      <c r="IW117" s="283"/>
      <c r="IX117" s="283"/>
      <c r="IY117" s="272">
        <v>3</v>
      </c>
      <c r="IZ117" s="273">
        <f>(TEXT(K117,"[m]")/60)*VLOOKUP(IY117,'Income Person-hours'!A$2:C$5,3,FALSE)</f>
        <v>0</v>
      </c>
      <c r="JA117" s="274"/>
      <c r="JB117" s="274"/>
      <c r="JC117" s="274"/>
      <c r="JD117" s="290">
        <f>SUM((TEXT(JA117,"[M]")/60)*'Income Person-hours'!$D$3,(TEXT(JB117,"[M]")/60)*'Income Person-hours'!$D$4,(TEXT(JC117,"[M]")/60)*'Income Person-hours'!$D$5)</f>
        <v>0</v>
      </c>
    </row>
    <row r="118" spans="1:264" s="291" customFormat="1" ht="13.5">
      <c r="A118" s="262">
        <v>5.5</v>
      </c>
      <c r="B118" s="277" t="s">
        <v>127</v>
      </c>
      <c r="C118" s="263" t="s">
        <v>79</v>
      </c>
      <c r="D118" s="287" t="str">
        <f>IF(OR(j_WEEKDAY(J_ADDDAY(VLOOKUP(I118,A:F,6,FALSE),H118,1),0)=6,SUMIFS(Holieday[ok],Holieday[date],J_ADDDAY(VLOOKUP(I118,A:F,6,FALSE),H118,1)))=FALSE(),J_ADDDAY(VLOOKUP(I118,A:F,6,FALSE),H118,1),IF(OR(j_WEEKDAY(J_ADDDAY(VLOOKUP(I118,A:F,6,FALSE),H118+1,1),0)=6,SUMIFS(Holieday[ok],Holieday[date],J_ADDDAY(VLOOKUP(I118,A:F,6,FALSE),H118+1,1)))=FALSE(),J_ADDDAY(VLOOKUP(I118,A:F,6,FALSE),H118+1,1),IF(OR(j_WEEKDAY(J_ADDDAY(VLOOKUP(I118,A:F,6,FALSE),H118+2,1),0)=6,SUMIFS(Holieday[ok],Holieday[date],J_ADDDAY(VLOOKUP(I118,A:F,6,FALSE),H118+2,1)))=FALSE(),J_ADDDAY(VLOOKUP(I118,A:F,6,FALSE),H118+2,1),IF(OR(j_WEEKDAY(J_ADDDAY(VLOOKUP(I118,A:F,6,FALSE),H118+3,1),0)=6,SUMIFS(Holieday[ok],Holieday[date],J_ADDDAY(VLOOKUP(I118,A:F,6,FALSE),H118+3,1)))=FALSE(),J_ADDDAY(VLOOKUP(I118,A:F,6,FALSE),H118+3,1),IF(OR(j_WEEKDAY(J_ADDDAY(VLOOKUP(I118,A:F,6,FALSE),H118+4,1),0)=6,SUMIFS(Holieday[ok],Holieday[date],J_ADDDAY(VLOOKUP(I118,A:F,6,FALSE),H118+4,1)))=FALSE(),J_ADDDAY(VLOOKUP(I118,A:F,6,FALSE),H118+4,1),J_ADDDAY(VLOOKUP(I118,A:F,6,FALSE),H118+5,1))))))</f>
        <v>1398/08/13</v>
      </c>
      <c r="E118" s="1">
        <f t="shared" si="33"/>
        <v>13980813</v>
      </c>
      <c r="F118" s="287" t="str">
        <f>IF(N118=0,J_SUBDAY(D118,1,1),IF((N118-NETWORKDAYS.INTL(J_GregorianDate(D118,1),J_GregorianDate(J_SUBDAY(J_ADDDAY(D118,N118,1),1,1),1),16,1)-SUMIFS(Holieday[ok],Holieday[date],CONCATENATE("&gt;","=",D118),Holieday[date],CONCATENATE("&lt;","=",J_SUBDAY(J_ADDDAY(D118,N118,1),1,1)))+SUMIFS(Holieday[Friday],Holieday[date],CONCATENATE("&gt;","=",D118),Holieday[date],CONCATENATE("&lt;","=",J_SUBDAY(J_ADDDAY(D118,N118,1),1,1))))=0,J_SUBDAY(J_ADDDAY(D118,N118,1),1,1),IF((N118-NETWORKDAYS.INTL(J_GregorianDate(D118,1),J_GregorianDate(J_SUBDAY(J_ADDDAY(D118,N118,1),1,1),1),16,1)-SUMIFS(Holieday[ok],Holieday[date],CONCATENATE("&gt;","=",D118),Holieday[date],CONCATENATE("&lt;","=",J_SUBDAY(J_ADDDAY(D118,N118,1),1,1)))+SUMIFS(Holieday[Friday],Holieday[date],CONCATENATE("&gt;","=",D118),Holieday[date],CONCATENATE("&lt;","=",J_SUBDAY(J_ADDDAY(D118,N118,1),1,1))))=1,J_SUBDAY(J_ADDDAY(D118,N118+1,1),1,1),IF((N118-NETWORKDAYS.INTL(J_GregorianDate(D118,1),J_GregorianDate(J_SUBDAY(J_ADDDAY(D118,N118,1),1,1),1),16,1)-SUMIFS(Holieday[ok],Holieday[date],CONCATENATE("&gt;","=",D118),Holieday[date],CONCATENATE("&lt;","=",J_SUBDAY(J_ADDDAY(D118,N118,1),1,1)))+SUMIFS(Holieday[Friday],Holieday[date],CONCATENATE("&gt;","=",D118),Holieday[date],CONCATENATE("&lt;","=",J_SUBDAY(J_ADDDAY(D118,N118,1),1,1))))=2,J_SUBDAY(J_ADDDAY(D118,N118+2,1),1,1),J_SUBDAY(J_ADDDAY(D118,N118+3,1),1,1)))))</f>
        <v>1398/08/22</v>
      </c>
      <c r="G118" s="2">
        <f t="shared" si="30"/>
        <v>13980822</v>
      </c>
      <c r="H118" s="266">
        <v>1</v>
      </c>
      <c r="I118" s="267">
        <v>5.4</v>
      </c>
      <c r="J118" s="281">
        <f>j_WEEKDAY(D118,2)</f>
        <v>2</v>
      </c>
      <c r="K118" s="21">
        <f t="shared" ref="K118:K134" si="41">SUM(JA118:JC118)</f>
        <v>0</v>
      </c>
      <c r="L118" s="282">
        <f t="shared" si="38"/>
        <v>10</v>
      </c>
      <c r="M118" s="269">
        <v>0</v>
      </c>
      <c r="N118" s="270">
        <v>10</v>
      </c>
      <c r="O118" s="10">
        <f t="shared" si="39"/>
        <v>0</v>
      </c>
      <c r="P118" s="10">
        <f>VALUE(J_normdate(J_ADDDAY($D118,$O118,1)))</f>
        <v>13980813</v>
      </c>
      <c r="Q118" s="9">
        <f t="shared" si="40"/>
        <v>10</v>
      </c>
      <c r="R118" s="283"/>
      <c r="S118" s="283"/>
      <c r="T118" s="283"/>
      <c r="U118" s="283"/>
      <c r="V118" s="283"/>
      <c r="W118" s="283"/>
      <c r="X118" s="283"/>
      <c r="Y118" s="283"/>
      <c r="Z118" s="283"/>
      <c r="AA118" s="283"/>
      <c r="AB118" s="283"/>
      <c r="AC118" s="283"/>
      <c r="AD118" s="283"/>
      <c r="AE118" s="283"/>
      <c r="AF118" s="283"/>
      <c r="AG118" s="283"/>
      <c r="AH118" s="283"/>
      <c r="AI118" s="283"/>
      <c r="AJ118" s="283"/>
      <c r="AK118" s="283"/>
      <c r="AL118" s="283"/>
      <c r="AM118" s="283"/>
      <c r="AN118" s="283"/>
      <c r="AO118" s="283"/>
      <c r="AP118" s="283"/>
      <c r="AQ118" s="283"/>
      <c r="AR118" s="283"/>
      <c r="AS118" s="283"/>
      <c r="AT118" s="283"/>
      <c r="AU118" s="283"/>
      <c r="AV118" s="283"/>
      <c r="AW118" s="283"/>
      <c r="AX118" s="283"/>
      <c r="AY118" s="283"/>
      <c r="AZ118" s="283"/>
      <c r="BA118" s="283"/>
      <c r="BB118" s="283"/>
      <c r="BC118" s="283"/>
      <c r="BD118" s="283"/>
      <c r="BE118" s="283"/>
      <c r="BF118" s="283"/>
      <c r="BG118" s="283"/>
      <c r="BH118" s="283"/>
      <c r="BI118" s="283"/>
      <c r="BJ118" s="283"/>
      <c r="BK118" s="283"/>
      <c r="BL118" s="283"/>
      <c r="BM118" s="283"/>
      <c r="BN118" s="283"/>
      <c r="BO118" s="283"/>
      <c r="BP118" s="283"/>
      <c r="BQ118" s="283"/>
      <c r="BR118" s="283"/>
      <c r="BS118" s="283"/>
      <c r="BT118" s="283"/>
      <c r="BU118" s="283"/>
      <c r="BV118" s="283"/>
      <c r="BW118" s="283"/>
      <c r="BX118" s="283"/>
      <c r="BY118" s="283"/>
      <c r="BZ118" s="283"/>
      <c r="CA118" s="283"/>
      <c r="CB118" s="283"/>
      <c r="CC118" s="283"/>
      <c r="CD118" s="283"/>
      <c r="CE118" s="283"/>
      <c r="CF118" s="283"/>
      <c r="CG118" s="283"/>
      <c r="CH118" s="283"/>
      <c r="CI118" s="283"/>
      <c r="CJ118" s="283"/>
      <c r="CK118" s="283"/>
      <c r="CL118" s="283"/>
      <c r="CM118" s="283"/>
      <c r="CN118" s="283"/>
      <c r="CO118" s="283"/>
      <c r="CP118" s="283"/>
      <c r="CQ118" s="283"/>
      <c r="CR118" s="283"/>
      <c r="CS118" s="283"/>
      <c r="CT118" s="283"/>
      <c r="CU118" s="283"/>
      <c r="CV118" s="283"/>
      <c r="CW118" s="283"/>
      <c r="CX118" s="283"/>
      <c r="CY118" s="283"/>
      <c r="CZ118" s="283"/>
      <c r="DA118" s="283"/>
      <c r="DB118" s="283"/>
      <c r="DC118" s="283"/>
      <c r="DD118" s="283"/>
      <c r="DE118" s="283"/>
      <c r="DF118" s="283"/>
      <c r="DG118" s="283"/>
      <c r="DH118" s="283"/>
      <c r="DI118" s="283"/>
      <c r="DJ118" s="283"/>
      <c r="DK118" s="283"/>
      <c r="DL118" s="283"/>
      <c r="DM118" s="283"/>
      <c r="DN118" s="283"/>
      <c r="DO118" s="283"/>
      <c r="DP118" s="283"/>
      <c r="DQ118" s="283"/>
      <c r="DR118" s="283"/>
      <c r="DS118" s="283"/>
      <c r="DT118" s="283"/>
      <c r="DU118" s="283"/>
      <c r="DV118" s="283"/>
      <c r="DW118" s="283"/>
      <c r="DX118" s="283"/>
      <c r="DY118" s="283"/>
      <c r="DZ118" s="283"/>
      <c r="EA118" s="283"/>
      <c r="EB118" s="283"/>
      <c r="EC118" s="283"/>
      <c r="ED118" s="283"/>
      <c r="EE118" s="283"/>
      <c r="EF118" s="283"/>
      <c r="EG118" s="283"/>
      <c r="EH118" s="283"/>
      <c r="EI118" s="283"/>
      <c r="EJ118" s="283"/>
      <c r="EK118" s="283"/>
      <c r="EL118" s="283"/>
      <c r="EM118" s="283"/>
      <c r="EN118" s="283"/>
      <c r="EO118" s="283"/>
      <c r="EP118" s="283"/>
      <c r="EQ118" s="283"/>
      <c r="ER118" s="283"/>
      <c r="ES118" s="283"/>
      <c r="ET118" s="283"/>
      <c r="EU118" s="283"/>
      <c r="EV118" s="283"/>
      <c r="EW118" s="283"/>
      <c r="EX118" s="283"/>
      <c r="EY118" s="283"/>
      <c r="EZ118" s="283"/>
      <c r="FA118" s="283"/>
      <c r="FB118" s="283"/>
      <c r="FC118" s="283"/>
      <c r="FD118" s="283"/>
      <c r="FE118" s="283"/>
      <c r="FF118" s="283"/>
      <c r="FG118" s="283"/>
      <c r="FH118" s="283"/>
      <c r="FI118" s="283"/>
      <c r="FJ118" s="283"/>
      <c r="FK118" s="283"/>
      <c r="FL118" s="283"/>
      <c r="FM118" s="283"/>
      <c r="FN118" s="283"/>
      <c r="FO118" s="283"/>
      <c r="FP118" s="283"/>
      <c r="FQ118" s="283"/>
      <c r="FR118" s="283"/>
      <c r="FS118" s="283"/>
      <c r="FT118" s="283"/>
      <c r="FU118" s="283"/>
      <c r="FV118" s="283"/>
      <c r="FW118" s="283"/>
      <c r="FX118" s="283"/>
      <c r="FY118" s="283"/>
      <c r="FZ118" s="283"/>
      <c r="GA118" s="283"/>
      <c r="GB118" s="283"/>
      <c r="GC118" s="283"/>
      <c r="GD118" s="283"/>
      <c r="GE118" s="283"/>
      <c r="GF118" s="283"/>
      <c r="GG118" s="283"/>
      <c r="GH118" s="283"/>
      <c r="GI118" s="283"/>
      <c r="GJ118" s="283"/>
      <c r="GK118" s="283"/>
      <c r="GL118" s="283"/>
      <c r="GM118" s="283"/>
      <c r="GN118" s="283"/>
      <c r="GO118" s="283"/>
      <c r="GP118" s="283"/>
      <c r="GQ118" s="283"/>
      <c r="GR118" s="283"/>
      <c r="GS118" s="283"/>
      <c r="GT118" s="283"/>
      <c r="GU118" s="283"/>
      <c r="GV118" s="283"/>
      <c r="GW118" s="283"/>
      <c r="GX118" s="283"/>
      <c r="GY118" s="283"/>
      <c r="GZ118" s="283"/>
      <c r="HA118" s="283"/>
      <c r="HB118" s="283"/>
      <c r="HC118" s="283"/>
      <c r="HD118" s="283"/>
      <c r="HE118" s="283"/>
      <c r="HF118" s="283"/>
      <c r="HG118" s="283"/>
      <c r="HH118" s="283"/>
      <c r="HI118" s="283"/>
      <c r="HJ118" s="283"/>
      <c r="HK118" s="283"/>
      <c r="HL118" s="283"/>
      <c r="HM118" s="283"/>
      <c r="HN118" s="283"/>
      <c r="HO118" s="283"/>
      <c r="HP118" s="283"/>
      <c r="HQ118" s="283"/>
      <c r="HR118" s="283"/>
      <c r="HS118" s="283"/>
      <c r="HT118" s="283"/>
      <c r="HU118" s="283"/>
      <c r="HV118" s="283"/>
      <c r="HW118" s="283"/>
      <c r="HX118" s="283"/>
      <c r="HY118" s="283"/>
      <c r="HZ118" s="283"/>
      <c r="IA118" s="283"/>
      <c r="IB118" s="283"/>
      <c r="IC118" s="283"/>
      <c r="ID118" s="283"/>
      <c r="IE118" s="283"/>
      <c r="IF118" s="283"/>
      <c r="IG118" s="283"/>
      <c r="IH118" s="283"/>
      <c r="II118" s="283"/>
      <c r="IJ118" s="283"/>
      <c r="IK118" s="283"/>
      <c r="IL118" s="283"/>
      <c r="IM118" s="283"/>
      <c r="IN118" s="283"/>
      <c r="IO118" s="283"/>
      <c r="IP118" s="283"/>
      <c r="IQ118" s="283"/>
      <c r="IR118" s="283"/>
      <c r="IS118" s="283"/>
      <c r="IT118" s="283"/>
      <c r="IU118" s="283"/>
      <c r="IV118" s="283"/>
      <c r="IW118" s="283"/>
      <c r="IX118" s="283"/>
      <c r="JA118" s="289"/>
      <c r="JB118" s="289"/>
      <c r="JC118" s="289"/>
      <c r="JD118" s="290">
        <f>SUM((TEXT(JA118,"[M]")/60)*'Income Person-hours'!$D$3,(TEXT(JB118,"[M]")/60)*'Income Person-hours'!$D$4,(TEXT(JC118,"[M]")/60)*'Income Person-hours'!$D$5)</f>
        <v>0</v>
      </c>
    </row>
    <row r="119" spans="1:264" s="291" customFormat="1" ht="13.5">
      <c r="A119" s="279">
        <v>5.6</v>
      </c>
      <c r="B119" s="277" t="s">
        <v>128</v>
      </c>
      <c r="C119" s="263" t="s">
        <v>79</v>
      </c>
      <c r="D119" s="287" t="str">
        <f>IF(OR(j_WEEKDAY(J_ADDDAY(VLOOKUP(I119,A:F,6,FALSE),H119,1),0)=6,SUMIFS(Holieday[ok],Holieday[date],J_ADDDAY(VLOOKUP(I119,A:F,6,FALSE),H119,1)))=FALSE(),J_ADDDAY(VLOOKUP(I119,A:F,6,FALSE),H119,1),IF(OR(j_WEEKDAY(J_ADDDAY(VLOOKUP(I119,A:F,6,FALSE),H119+1,1),0)=6,SUMIFS(Holieday[ok],Holieday[date],J_ADDDAY(VLOOKUP(I119,A:F,6,FALSE),H119+1,1)))=FALSE(),J_ADDDAY(VLOOKUP(I119,A:F,6,FALSE),H119+1,1),IF(OR(j_WEEKDAY(J_ADDDAY(VLOOKUP(I119,A:F,6,FALSE),H119+2,1),0)=6,SUMIFS(Holieday[ok],Holieday[date],J_ADDDAY(VLOOKUP(I119,A:F,6,FALSE),H119+2,1)))=FALSE(),J_ADDDAY(VLOOKUP(I119,A:F,6,FALSE),H119+2,1),IF(OR(j_WEEKDAY(J_ADDDAY(VLOOKUP(I119,A:F,6,FALSE),H119+3,1),0)=6,SUMIFS(Holieday[ok],Holieday[date],J_ADDDAY(VLOOKUP(I119,A:F,6,FALSE),H119+3,1)))=FALSE(),J_ADDDAY(VLOOKUP(I119,A:F,6,FALSE),H119+3,1),IF(OR(j_WEEKDAY(J_ADDDAY(VLOOKUP(I119,A:F,6,FALSE),H119+4,1),0)=6,SUMIFS(Holieday[ok],Holieday[date],J_ADDDAY(VLOOKUP(I119,A:F,6,FALSE),H119+4,1)))=FALSE(),J_ADDDAY(VLOOKUP(I119,A:F,6,FALSE),H119+4,1),J_ADDDAY(VLOOKUP(I119,A:F,6,FALSE),H119+5,1))))))</f>
        <v>1398/07/23</v>
      </c>
      <c r="E119" s="1">
        <f t="shared" si="33"/>
        <v>13980723</v>
      </c>
      <c r="F119" s="287" t="str">
        <f>IF(N119=0,J_SUBDAY(D119,1,1),IF((N119-NETWORKDAYS.INTL(J_GregorianDate(D119,1),J_GregorianDate(J_SUBDAY(J_ADDDAY(D119,N119,1),1,1),1),16,1)-SUMIFS(Holieday[ok],Holieday[date],CONCATENATE("&gt;","=",D119),Holieday[date],CONCATENATE("&lt;","=",J_SUBDAY(J_ADDDAY(D119,N119,1),1,1)))+SUMIFS(Holieday[Friday],Holieday[date],CONCATENATE("&gt;","=",D119),Holieday[date],CONCATENATE("&lt;","=",J_SUBDAY(J_ADDDAY(D119,N119,1),1,1))))=0,J_SUBDAY(J_ADDDAY(D119,N119,1),1,1),IF((N119-NETWORKDAYS.INTL(J_GregorianDate(D119,1),J_GregorianDate(J_SUBDAY(J_ADDDAY(D119,N119,1),1,1),1),16,1)-SUMIFS(Holieday[ok],Holieday[date],CONCATENATE("&gt;","=",D119),Holieday[date],CONCATENATE("&lt;","=",J_SUBDAY(J_ADDDAY(D119,N119,1),1,1)))+SUMIFS(Holieday[Friday],Holieday[date],CONCATENATE("&gt;","=",D119),Holieday[date],CONCATENATE("&lt;","=",J_SUBDAY(J_ADDDAY(D119,N119,1),1,1))))=1,J_SUBDAY(J_ADDDAY(D119,N119+1,1),1,1),IF((N119-NETWORKDAYS.INTL(J_GregorianDate(D119,1),J_GregorianDate(J_SUBDAY(J_ADDDAY(D119,N119,1),1,1),1),16,1)-SUMIFS(Holieday[ok],Holieday[date],CONCATENATE("&gt;","=",D119),Holieday[date],CONCATENATE("&lt;","=",J_SUBDAY(J_ADDDAY(D119,N119,1),1,1)))+SUMIFS(Holieday[Friday],Holieday[date],CONCATENATE("&gt;","=",D119),Holieday[date],CONCATENATE("&lt;","=",J_SUBDAY(J_ADDDAY(D119,N119,1),1,1))))=2,J_SUBDAY(J_ADDDAY(D119,N119+2,1),1,1),J_SUBDAY(J_ADDDAY(D119,N119+3,1),1,1)))))</f>
        <v>1398/09/20</v>
      </c>
      <c r="G119" s="2">
        <f t="shared" si="30"/>
        <v>13980920</v>
      </c>
      <c r="H119" s="266">
        <v>1</v>
      </c>
      <c r="I119" s="267">
        <v>5.3</v>
      </c>
      <c r="J119" s="281">
        <f>j_WEEKDAY(D119,2)</f>
        <v>3</v>
      </c>
      <c r="K119" s="21">
        <f t="shared" si="41"/>
        <v>0</v>
      </c>
      <c r="L119" s="282">
        <f t="shared" si="38"/>
        <v>58</v>
      </c>
      <c r="M119" s="269">
        <v>0</v>
      </c>
      <c r="N119" s="270">
        <v>55</v>
      </c>
      <c r="O119" s="10">
        <f t="shared" si="39"/>
        <v>0</v>
      </c>
      <c r="P119" s="10">
        <f>VALUE(J_normdate(J_ADDDAY($D119,$O119,1)))</f>
        <v>13980723</v>
      </c>
      <c r="Q119" s="9">
        <f t="shared" si="40"/>
        <v>58</v>
      </c>
      <c r="R119" s="283"/>
      <c r="S119" s="283"/>
      <c r="T119" s="283"/>
      <c r="U119" s="283"/>
      <c r="V119" s="283"/>
      <c r="W119" s="283"/>
      <c r="X119" s="283"/>
      <c r="Y119" s="283"/>
      <c r="Z119" s="283"/>
      <c r="AA119" s="283"/>
      <c r="AB119" s="283"/>
      <c r="AC119" s="283"/>
      <c r="AD119" s="283"/>
      <c r="AE119" s="283"/>
      <c r="AF119" s="283"/>
      <c r="AG119" s="283"/>
      <c r="AH119" s="283"/>
      <c r="AI119" s="283"/>
      <c r="AJ119" s="283"/>
      <c r="AK119" s="283"/>
      <c r="AL119" s="283"/>
      <c r="AM119" s="283"/>
      <c r="AN119" s="283"/>
      <c r="AO119" s="283"/>
      <c r="AP119" s="283"/>
      <c r="AQ119" s="283"/>
      <c r="AR119" s="283"/>
      <c r="AS119" s="283"/>
      <c r="AT119" s="283"/>
      <c r="AU119" s="283"/>
      <c r="AV119" s="283"/>
      <c r="AW119" s="283"/>
      <c r="AX119" s="283"/>
      <c r="AY119" s="283"/>
      <c r="AZ119" s="283"/>
      <c r="BA119" s="283"/>
      <c r="BB119" s="283"/>
      <c r="BC119" s="283"/>
      <c r="BD119" s="283"/>
      <c r="BE119" s="283"/>
      <c r="BF119" s="283"/>
      <c r="BG119" s="283"/>
      <c r="BH119" s="283"/>
      <c r="BI119" s="283"/>
      <c r="BJ119" s="283"/>
      <c r="BK119" s="283"/>
      <c r="BL119" s="283"/>
      <c r="BM119" s="283"/>
      <c r="BN119" s="283"/>
      <c r="BO119" s="283"/>
      <c r="BP119" s="283"/>
      <c r="BQ119" s="283"/>
      <c r="BR119" s="283"/>
      <c r="BS119" s="283"/>
      <c r="BT119" s="283"/>
      <c r="BU119" s="283"/>
      <c r="BV119" s="283"/>
      <c r="BW119" s="283"/>
      <c r="BX119" s="283"/>
      <c r="BY119" s="283"/>
      <c r="BZ119" s="283"/>
      <c r="CA119" s="283"/>
      <c r="CB119" s="283"/>
      <c r="CC119" s="283"/>
      <c r="CD119" s="283"/>
      <c r="CE119" s="283"/>
      <c r="CF119" s="283"/>
      <c r="CG119" s="283"/>
      <c r="CH119" s="283"/>
      <c r="CI119" s="283"/>
      <c r="CJ119" s="283"/>
      <c r="CK119" s="283"/>
      <c r="CL119" s="283"/>
      <c r="CM119" s="283"/>
      <c r="CN119" s="283"/>
      <c r="CO119" s="283"/>
      <c r="CP119" s="283"/>
      <c r="CQ119" s="283"/>
      <c r="CR119" s="283"/>
      <c r="CS119" s="283"/>
      <c r="CT119" s="283"/>
      <c r="CU119" s="283"/>
      <c r="CV119" s="283"/>
      <c r="CW119" s="283"/>
      <c r="CX119" s="283"/>
      <c r="CY119" s="283"/>
      <c r="CZ119" s="283"/>
      <c r="DA119" s="283"/>
      <c r="DB119" s="283"/>
      <c r="DC119" s="283"/>
      <c r="DD119" s="283"/>
      <c r="DE119" s="283"/>
      <c r="DF119" s="283"/>
      <c r="DG119" s="283"/>
      <c r="DH119" s="283"/>
      <c r="DI119" s="283"/>
      <c r="DJ119" s="283"/>
      <c r="DK119" s="283"/>
      <c r="DL119" s="283"/>
      <c r="DM119" s="283"/>
      <c r="DN119" s="283"/>
      <c r="DO119" s="283"/>
      <c r="DP119" s="283"/>
      <c r="DQ119" s="283"/>
      <c r="DR119" s="283"/>
      <c r="DS119" s="283"/>
      <c r="DT119" s="283"/>
      <c r="DU119" s="283"/>
      <c r="DV119" s="283"/>
      <c r="DW119" s="283"/>
      <c r="DX119" s="283"/>
      <c r="DY119" s="283"/>
      <c r="DZ119" s="283"/>
      <c r="EA119" s="283"/>
      <c r="EB119" s="283"/>
      <c r="EC119" s="283"/>
      <c r="ED119" s="283"/>
      <c r="EE119" s="283"/>
      <c r="EF119" s="283"/>
      <c r="EG119" s="283"/>
      <c r="EH119" s="283"/>
      <c r="EI119" s="283"/>
      <c r="EJ119" s="283"/>
      <c r="EK119" s="283"/>
      <c r="EL119" s="283"/>
      <c r="EM119" s="283"/>
      <c r="EN119" s="283"/>
      <c r="EO119" s="283"/>
      <c r="EP119" s="283"/>
      <c r="EQ119" s="283"/>
      <c r="ER119" s="283"/>
      <c r="ES119" s="283"/>
      <c r="ET119" s="283"/>
      <c r="EU119" s="283"/>
      <c r="EV119" s="283"/>
      <c r="EW119" s="283"/>
      <c r="EX119" s="283"/>
      <c r="EY119" s="283"/>
      <c r="EZ119" s="283"/>
      <c r="FA119" s="283"/>
      <c r="FB119" s="283"/>
      <c r="FC119" s="283"/>
      <c r="FD119" s="283"/>
      <c r="FE119" s="283"/>
      <c r="FF119" s="283"/>
      <c r="FG119" s="283"/>
      <c r="FH119" s="283"/>
      <c r="FI119" s="283"/>
      <c r="FJ119" s="283"/>
      <c r="FK119" s="283"/>
      <c r="FL119" s="283"/>
      <c r="FM119" s="283"/>
      <c r="FN119" s="283"/>
      <c r="FO119" s="283"/>
      <c r="FP119" s="283"/>
      <c r="FQ119" s="283"/>
      <c r="FR119" s="283"/>
      <c r="FS119" s="283"/>
      <c r="FT119" s="283"/>
      <c r="FU119" s="283"/>
      <c r="FV119" s="283"/>
      <c r="FW119" s="283"/>
      <c r="FX119" s="283"/>
      <c r="FY119" s="283"/>
      <c r="FZ119" s="283"/>
      <c r="GA119" s="283"/>
      <c r="GB119" s="283"/>
      <c r="GC119" s="283"/>
      <c r="GD119" s="283"/>
      <c r="GE119" s="283"/>
      <c r="GF119" s="283"/>
      <c r="GG119" s="283"/>
      <c r="GH119" s="283"/>
      <c r="GI119" s="283"/>
      <c r="GJ119" s="283"/>
      <c r="GK119" s="283"/>
      <c r="GL119" s="283"/>
      <c r="GM119" s="283"/>
      <c r="GN119" s="283"/>
      <c r="GO119" s="283"/>
      <c r="GP119" s="283"/>
      <c r="GQ119" s="283"/>
      <c r="GR119" s="283"/>
      <c r="GS119" s="283"/>
      <c r="GT119" s="283"/>
      <c r="GU119" s="283"/>
      <c r="GV119" s="283"/>
      <c r="GW119" s="283"/>
      <c r="GX119" s="283"/>
      <c r="GY119" s="283"/>
      <c r="GZ119" s="283"/>
      <c r="HA119" s="283"/>
      <c r="HB119" s="283"/>
      <c r="HC119" s="283"/>
      <c r="HD119" s="283"/>
      <c r="HE119" s="283"/>
      <c r="HF119" s="283"/>
      <c r="HG119" s="283"/>
      <c r="HH119" s="283"/>
      <c r="HI119" s="283"/>
      <c r="HJ119" s="283"/>
      <c r="HK119" s="283"/>
      <c r="HL119" s="283"/>
      <c r="HM119" s="283"/>
      <c r="HN119" s="283"/>
      <c r="HO119" s="283"/>
      <c r="HP119" s="283"/>
      <c r="HQ119" s="283"/>
      <c r="HR119" s="283"/>
      <c r="HS119" s="283"/>
      <c r="HT119" s="283"/>
      <c r="HU119" s="283"/>
      <c r="HV119" s="283"/>
      <c r="HW119" s="283"/>
      <c r="HX119" s="283"/>
      <c r="HY119" s="283"/>
      <c r="HZ119" s="283"/>
      <c r="IA119" s="283"/>
      <c r="IB119" s="283"/>
      <c r="IC119" s="283"/>
      <c r="ID119" s="283"/>
      <c r="IE119" s="283"/>
      <c r="IF119" s="283"/>
      <c r="IG119" s="283"/>
      <c r="IH119" s="283"/>
      <c r="II119" s="283"/>
      <c r="IJ119" s="283"/>
      <c r="IK119" s="283"/>
      <c r="IL119" s="283"/>
      <c r="IM119" s="283"/>
      <c r="IN119" s="283"/>
      <c r="IO119" s="283"/>
      <c r="IP119" s="283"/>
      <c r="IQ119" s="283"/>
      <c r="IR119" s="283"/>
      <c r="IS119" s="283"/>
      <c r="IT119" s="283"/>
      <c r="IU119" s="283"/>
      <c r="IV119" s="283"/>
      <c r="IW119" s="283"/>
      <c r="IX119" s="283"/>
      <c r="JA119" s="274"/>
      <c r="JB119" s="274"/>
      <c r="JC119" s="274"/>
      <c r="JD119" s="290">
        <f>SUM((TEXT(JA119,"[M]")/60)*'Income Person-hours'!$D$3,(TEXT(JB119,"[M]")/60)*'Income Person-hours'!$D$4,(TEXT(JC119,"[M]")/60)*'Income Person-hours'!$D$5)</f>
        <v>0</v>
      </c>
    </row>
    <row r="120" spans="1:264" s="11" customFormat="1" ht="11.25" hidden="1">
      <c r="A120" s="168">
        <v>5.7</v>
      </c>
      <c r="B120" s="106"/>
      <c r="C120" s="107"/>
      <c r="D120" s="12" t="str">
        <f>IF(OR(j_WEEKDAY(J_ADDDAY(VLOOKUP(I120,A:F,6,FALSE),H120,1),0)=6,SUMIFS(Holieday[ok],Holieday[date],J_ADDDAY(VLOOKUP(I120,A:F,6,FALSE),H120,1)))=FALSE(),J_ADDDAY(VLOOKUP(I120,A:F,6,FALSE),H120,1),IF(OR(j_WEEKDAY(J_ADDDAY(VLOOKUP(I120,A:F,6,FALSE),H120+1,1),0)=6,SUMIFS(Holieday[ok],Holieday[date],J_ADDDAY(VLOOKUP(I120,A:F,6,FALSE),H120+1,1)))=FALSE(),J_ADDDAY(VLOOKUP(I120,A:F,6,FALSE),H120+1,1),IF(OR(j_WEEKDAY(J_ADDDAY(VLOOKUP(I120,A:F,6,FALSE),H120+2,1),0)=6,SUMIFS(Holieday[ok],Holieday[date],J_ADDDAY(VLOOKUP(I120,A:F,6,FALSE),H120+2,1)))=FALSE(),J_ADDDAY(VLOOKUP(I120,A:F,6,FALSE),H120+2,1),IF(OR(j_WEEKDAY(J_ADDDAY(VLOOKUP(I120,A:F,6,FALSE),H120+3,1),0)=6,SUMIFS(Holieday[ok],Holieday[date],J_ADDDAY(VLOOKUP(I120,A:F,6,FALSE),H120+3,1)))=FALSE(),J_ADDDAY(VLOOKUP(I120,A:F,6,FALSE),H120+3,1),IF(OR(j_WEEKDAY(J_ADDDAY(VLOOKUP(I120,A:F,6,FALSE),H120+4,1),0)=6,SUMIFS(Holieday[ok],Holieday[date],J_ADDDAY(VLOOKUP(I120,A:F,6,FALSE),H120+4,1)))=FALSE(),J_ADDDAY(VLOOKUP(I120,A:F,6,FALSE),H120+4,1),J_ADDDAY(VLOOKUP(I120,A:F,6,FALSE),H120+5,1))))))</f>
        <v>1398/09/12</v>
      </c>
      <c r="E120" s="1">
        <f t="shared" si="33"/>
        <v>13980912</v>
      </c>
      <c r="F120" s="12" t="str">
        <f>IF(N120=0,J_SUBDAY(D120,1,1),IF((N120-NETWORKDAYS.INTL(J_GregorianDate(D120,1),J_GregorianDate(J_SUBDAY(J_ADDDAY(D120,N120,1),1,1),1),16,1)-SUMIFS(Holieday[ok],Holieday[date],CONCATENATE("&gt;","=",D120),Holieday[date],CONCATENATE("&lt;","=",J_SUBDAY(J_ADDDAY(D120,N120,1),1,1)))+SUMIFS(Holieday[Friday],Holieday[date],CONCATENATE("&gt;","=",D120),Holieday[date],CONCATENATE("&lt;","=",J_SUBDAY(J_ADDDAY(D120,N120,1),1,1))))=0,J_SUBDAY(J_ADDDAY(D120,N120,1),1,1),IF((N120-NETWORKDAYS.INTL(J_GregorianDate(D120,1),J_GregorianDate(J_SUBDAY(J_ADDDAY(D120,N120,1),1,1),1),16,1)-SUMIFS(Holieday[ok],Holieday[date],CONCATENATE("&gt;","=",D120),Holieday[date],CONCATENATE("&lt;","=",J_SUBDAY(J_ADDDAY(D120,N120,1),1,1)))+SUMIFS(Holieday[Friday],Holieday[date],CONCATENATE("&gt;","=",D120),Holieday[date],CONCATENATE("&lt;","=",J_SUBDAY(J_ADDDAY(D120,N120,1),1,1))))=1,J_SUBDAY(J_ADDDAY(D120,N120+1,1),1,1),IF((N120-NETWORKDAYS.INTL(J_GregorianDate(D120,1),J_GregorianDate(J_SUBDAY(J_ADDDAY(D120,N120,1),1,1),1),16,1)-SUMIFS(Holieday[ok],Holieday[date],CONCATENATE("&gt;","=",D120),Holieday[date],CONCATENATE("&lt;","=",J_SUBDAY(J_ADDDAY(D120,N120,1),1,1)))+SUMIFS(Holieday[Friday],Holieday[date],CONCATENATE("&gt;","=",D120),Holieday[date],CONCATENATE("&lt;","=",J_SUBDAY(J_ADDDAY(D120,N120,1),1,1))))=2,J_SUBDAY(J_ADDDAY(D120,N120+2,1),1,1),J_SUBDAY(J_ADDDAY(D120,N120+3,1),1,1)))))</f>
        <v>1398/09/11</v>
      </c>
      <c r="G120" s="2">
        <f t="shared" si="30"/>
        <v>13980911</v>
      </c>
      <c r="H120" s="109">
        <v>-8</v>
      </c>
      <c r="I120" s="110">
        <v>5.6</v>
      </c>
      <c r="J120" s="9">
        <f>j_WEEKDAY(D120,2)</f>
        <v>3</v>
      </c>
      <c r="K120" s="21">
        <f t="shared" si="41"/>
        <v>0</v>
      </c>
      <c r="L120" s="8">
        <f t="shared" si="38"/>
        <v>0</v>
      </c>
      <c r="M120" s="111">
        <v>0</v>
      </c>
      <c r="N120" s="108">
        <v>0</v>
      </c>
      <c r="O120" s="10">
        <f t="shared" si="39"/>
        <v>0</v>
      </c>
      <c r="P120" s="10">
        <f>VALUE(J_normdate(J_ADDDAY($D120,$O120,1)))</f>
        <v>13980912</v>
      </c>
      <c r="Q120" s="9">
        <f t="shared" si="40"/>
        <v>0</v>
      </c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  <c r="BE120" s="7"/>
      <c r="BF120" s="7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7"/>
      <c r="BV120" s="7"/>
      <c r="BW120" s="7"/>
      <c r="BX120" s="7"/>
      <c r="BY120" s="7"/>
      <c r="BZ120" s="7"/>
      <c r="CA120" s="7"/>
      <c r="CB120" s="7"/>
      <c r="CC120" s="7"/>
      <c r="CD120" s="7"/>
      <c r="CE120" s="7"/>
      <c r="CF120" s="7"/>
      <c r="CG120" s="7"/>
      <c r="CH120" s="7"/>
      <c r="CI120" s="7"/>
      <c r="CJ120" s="7"/>
      <c r="CK120" s="7"/>
      <c r="CL120" s="7"/>
      <c r="CM120" s="7"/>
      <c r="CN120" s="7"/>
      <c r="CO120" s="7"/>
      <c r="CP120" s="7"/>
      <c r="CQ120" s="7"/>
      <c r="CR120" s="7"/>
      <c r="CS120" s="7"/>
      <c r="CT120" s="7"/>
      <c r="CU120" s="7"/>
      <c r="CV120" s="7"/>
      <c r="CW120" s="7"/>
      <c r="CX120" s="7"/>
      <c r="CY120" s="7"/>
      <c r="CZ120" s="7"/>
      <c r="DA120" s="7"/>
      <c r="DB120" s="7"/>
      <c r="DC120" s="7"/>
      <c r="DD120" s="7"/>
      <c r="DE120" s="7"/>
      <c r="DF120" s="7"/>
      <c r="DG120" s="7"/>
      <c r="DH120" s="7"/>
      <c r="DI120" s="7"/>
      <c r="DJ120" s="7"/>
      <c r="DK120" s="7"/>
      <c r="DL120" s="7"/>
      <c r="DM120" s="7"/>
      <c r="DN120" s="7"/>
      <c r="DO120" s="7"/>
      <c r="DP120" s="7"/>
      <c r="DQ120" s="7"/>
      <c r="DR120" s="7"/>
      <c r="DS120" s="7"/>
      <c r="DT120" s="7"/>
      <c r="DU120" s="7"/>
      <c r="DV120" s="7"/>
      <c r="DW120" s="7"/>
      <c r="DX120" s="7"/>
      <c r="DY120" s="7"/>
      <c r="DZ120" s="7"/>
      <c r="EA120" s="7"/>
      <c r="EB120" s="7"/>
      <c r="EC120" s="7"/>
      <c r="ED120" s="7"/>
      <c r="EE120" s="7"/>
      <c r="EF120" s="7"/>
      <c r="EG120" s="7"/>
      <c r="EH120" s="7"/>
      <c r="EI120" s="7"/>
      <c r="EJ120" s="7"/>
      <c r="EK120" s="7"/>
      <c r="EL120" s="7"/>
      <c r="EM120" s="7"/>
      <c r="EN120" s="7"/>
      <c r="EO120" s="7"/>
      <c r="EP120" s="7"/>
      <c r="EQ120" s="7"/>
      <c r="ER120" s="7"/>
      <c r="ES120" s="7"/>
      <c r="ET120" s="7"/>
      <c r="EU120" s="7"/>
      <c r="EV120" s="7"/>
      <c r="EW120" s="7"/>
      <c r="EX120" s="7"/>
      <c r="EY120" s="7"/>
      <c r="EZ120" s="7"/>
      <c r="FA120" s="7"/>
      <c r="FB120" s="7"/>
      <c r="FC120" s="7"/>
      <c r="FD120" s="7"/>
      <c r="FE120" s="7"/>
      <c r="FF120" s="7"/>
      <c r="FG120" s="7"/>
      <c r="FH120" s="7"/>
      <c r="FI120" s="7"/>
      <c r="FJ120" s="7"/>
      <c r="FK120" s="7"/>
      <c r="FL120" s="7"/>
      <c r="FM120" s="7"/>
      <c r="FN120" s="7"/>
      <c r="FO120" s="7"/>
      <c r="FP120" s="7"/>
      <c r="FQ120" s="7"/>
      <c r="FR120" s="7"/>
      <c r="FS120" s="7"/>
      <c r="FT120" s="7"/>
      <c r="FU120" s="7"/>
      <c r="FV120" s="7"/>
      <c r="FW120" s="7"/>
      <c r="FX120" s="7"/>
      <c r="FY120" s="7"/>
      <c r="FZ120" s="7"/>
      <c r="GA120" s="7"/>
      <c r="GB120" s="7"/>
      <c r="GC120" s="7"/>
      <c r="GD120" s="7"/>
      <c r="GE120" s="7"/>
      <c r="GF120" s="7"/>
      <c r="GG120" s="7"/>
      <c r="GH120" s="7"/>
      <c r="GI120" s="7"/>
      <c r="GJ120" s="7"/>
      <c r="GK120" s="7"/>
      <c r="GL120" s="7"/>
      <c r="GM120" s="7"/>
      <c r="GN120" s="7"/>
      <c r="GO120" s="7"/>
      <c r="GP120" s="7"/>
      <c r="GQ120" s="7"/>
      <c r="GR120" s="7"/>
      <c r="GS120" s="7"/>
      <c r="GT120" s="7"/>
      <c r="GU120" s="7"/>
      <c r="GV120" s="7"/>
      <c r="GW120" s="7"/>
      <c r="GX120" s="7"/>
      <c r="GY120" s="7"/>
      <c r="GZ120" s="7"/>
      <c r="HA120" s="7"/>
      <c r="HB120" s="7"/>
      <c r="HC120" s="7"/>
      <c r="HD120" s="7"/>
      <c r="HE120" s="7"/>
      <c r="HF120" s="7"/>
      <c r="HG120" s="7"/>
      <c r="HH120" s="7"/>
      <c r="HI120" s="7"/>
      <c r="HJ120" s="7"/>
      <c r="HK120" s="7"/>
      <c r="HL120" s="7"/>
      <c r="HM120" s="7"/>
      <c r="HN120" s="7"/>
      <c r="HO120" s="7"/>
      <c r="HP120" s="7"/>
      <c r="HQ120" s="7"/>
      <c r="HR120" s="7"/>
      <c r="HS120" s="7"/>
      <c r="HT120" s="7"/>
      <c r="HU120" s="7"/>
      <c r="HV120" s="7"/>
      <c r="HW120" s="7"/>
      <c r="HX120" s="7"/>
      <c r="HY120" s="7"/>
      <c r="HZ120" s="7"/>
      <c r="IA120" s="7"/>
      <c r="IB120" s="7"/>
      <c r="IC120" s="7"/>
      <c r="ID120" s="7"/>
      <c r="IE120" s="7"/>
      <c r="IF120" s="7"/>
      <c r="IG120" s="7"/>
      <c r="IH120" s="7"/>
      <c r="II120" s="7"/>
      <c r="IJ120" s="7"/>
      <c r="IK120" s="7"/>
      <c r="IL120" s="7"/>
      <c r="IM120" s="7"/>
      <c r="IN120" s="7"/>
      <c r="IO120" s="7"/>
      <c r="IP120" s="7"/>
      <c r="IQ120" s="7"/>
      <c r="IR120" s="7"/>
      <c r="IS120" s="7"/>
      <c r="IT120" s="7"/>
      <c r="IU120" s="7"/>
      <c r="IV120" s="7"/>
      <c r="IW120" s="7"/>
      <c r="IX120" s="7"/>
      <c r="JA120" s="112"/>
      <c r="JB120" s="112"/>
      <c r="JC120" s="112"/>
      <c r="JD120" s="66">
        <f>SUM((TEXT(JA120,"[M]")/60)*'Income Person-hours'!$D$3,(TEXT(JB120,"[M]")/60)*'Income Person-hours'!$D$4,(TEXT(JC120,"[M]")/60)*'Income Person-hours'!$D$5)</f>
        <v>0</v>
      </c>
    </row>
    <row r="121" spans="1:264" s="11" customFormat="1" ht="11.25" hidden="1">
      <c r="A121" s="168">
        <v>5.8</v>
      </c>
      <c r="B121" s="106"/>
      <c r="C121" s="107"/>
      <c r="D121" s="12" t="str">
        <f>IF(OR(j_WEEKDAY(J_ADDDAY(VLOOKUP(I121,A:F,6,FALSE),H121,1),0)=6,SUMIFS(Holieday[ok],Holieday[date],J_ADDDAY(VLOOKUP(I121,A:F,6,FALSE),H121,1)))=FALSE(),J_ADDDAY(VLOOKUP(I121,A:F,6,FALSE),H121,1),IF(OR(j_WEEKDAY(J_ADDDAY(VLOOKUP(I121,A:F,6,FALSE),H121+1,1),0)=6,SUMIFS(Holieday[ok],Holieday[date],J_ADDDAY(VLOOKUP(I121,A:F,6,FALSE),H121+1,1)))=FALSE(),J_ADDDAY(VLOOKUP(I121,A:F,6,FALSE),H121+1,1),IF(OR(j_WEEKDAY(J_ADDDAY(VLOOKUP(I121,A:F,6,FALSE),H121+2,1),0)=6,SUMIFS(Holieday[ok],Holieday[date],J_ADDDAY(VLOOKUP(I121,A:F,6,FALSE),H121+2,1)))=FALSE(),J_ADDDAY(VLOOKUP(I121,A:F,6,FALSE),H121+2,1),IF(OR(j_WEEKDAY(J_ADDDAY(VLOOKUP(I121,A:F,6,FALSE),H121+3,1),0)=6,SUMIFS(Holieday[ok],Holieday[date],J_ADDDAY(VLOOKUP(I121,A:F,6,FALSE),H121+3,1)))=FALSE(),J_ADDDAY(VLOOKUP(I121,A:F,6,FALSE),H121+3,1),IF(OR(j_WEEKDAY(J_ADDDAY(VLOOKUP(I121,A:F,6,FALSE),H121+4,1),0)=6,SUMIFS(Holieday[ok],Holieday[date],J_ADDDAY(VLOOKUP(I121,A:F,6,FALSE),H121+4,1)))=FALSE(),J_ADDDAY(VLOOKUP(I121,A:F,6,FALSE),H121+4,1),J_ADDDAY(VLOOKUP(I121,A:F,6,FALSE),H121+5,1))))))</f>
        <v>1398/09/11</v>
      </c>
      <c r="E121" s="1">
        <f t="shared" si="33"/>
        <v>13980911</v>
      </c>
      <c r="F121" s="12" t="str">
        <f>IF(N121=0,J_SUBDAY(D121,1,1),IF((N121-NETWORKDAYS.INTL(J_GregorianDate(D121,1),J_GregorianDate(J_SUBDAY(J_ADDDAY(D121,N121,1),1,1),1),16,1)-SUMIFS(Holieday[ok],Holieday[date],CONCATENATE("&gt;","=",D121),Holieday[date],CONCATENATE("&lt;","=",J_SUBDAY(J_ADDDAY(D121,N121,1),1,1)))+SUMIFS(Holieday[Friday],Holieday[date],CONCATENATE("&gt;","=",D121),Holieday[date],CONCATENATE("&lt;","=",J_SUBDAY(J_ADDDAY(D121,N121,1),1,1))))=0,J_SUBDAY(J_ADDDAY(D121,N121,1),1,1),IF((N121-NETWORKDAYS.INTL(J_GregorianDate(D121,1),J_GregorianDate(J_SUBDAY(J_ADDDAY(D121,N121,1),1,1),1),16,1)-SUMIFS(Holieday[ok],Holieday[date],CONCATENATE("&gt;","=",D121),Holieday[date],CONCATENATE("&lt;","=",J_SUBDAY(J_ADDDAY(D121,N121,1),1,1)))+SUMIFS(Holieday[Friday],Holieday[date],CONCATENATE("&gt;","=",D121),Holieday[date],CONCATENATE("&lt;","=",J_SUBDAY(J_ADDDAY(D121,N121,1),1,1))))=1,J_SUBDAY(J_ADDDAY(D121,N121+1,1),1,1),IF((N121-NETWORKDAYS.INTL(J_GregorianDate(D121,1),J_GregorianDate(J_SUBDAY(J_ADDDAY(D121,N121,1),1,1),1),16,1)-SUMIFS(Holieday[ok],Holieday[date],CONCATENATE("&gt;","=",D121),Holieday[date],CONCATENATE("&lt;","=",J_SUBDAY(J_ADDDAY(D121,N121,1),1,1)))+SUMIFS(Holieday[Friday],Holieday[date],CONCATENATE("&gt;","=",D121),Holieday[date],CONCATENATE("&lt;","=",J_SUBDAY(J_ADDDAY(D121,N121,1),1,1))))=2,J_SUBDAY(J_ADDDAY(D121,N121+2,1),1,1),J_SUBDAY(J_ADDDAY(D121,N121+3,1),1,1)))))</f>
        <v>1398/09/10</v>
      </c>
      <c r="G121" s="2">
        <f t="shared" si="30"/>
        <v>13980910</v>
      </c>
      <c r="H121" s="109"/>
      <c r="I121" s="110">
        <v>5.7</v>
      </c>
      <c r="J121" s="9">
        <f>j_WEEKDAY(D121,2)</f>
        <v>2</v>
      </c>
      <c r="K121" s="21">
        <f t="shared" si="41"/>
        <v>0</v>
      </c>
      <c r="L121" s="8">
        <f t="shared" si="38"/>
        <v>0</v>
      </c>
      <c r="M121" s="111">
        <v>0</v>
      </c>
      <c r="N121" s="108">
        <v>0</v>
      </c>
      <c r="O121" s="10">
        <f t="shared" si="39"/>
        <v>0</v>
      </c>
      <c r="P121" s="10">
        <f>VALUE(J_normdate(J_ADDDAY($D121,$O121,1)))</f>
        <v>13980911</v>
      </c>
      <c r="Q121" s="9">
        <f t="shared" si="40"/>
        <v>0</v>
      </c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  <c r="BE121" s="7"/>
      <c r="BF121" s="7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7"/>
      <c r="BV121" s="7"/>
      <c r="BW121" s="7"/>
      <c r="BX121" s="7"/>
      <c r="BY121" s="7"/>
      <c r="BZ121" s="7"/>
      <c r="CA121" s="7"/>
      <c r="CB121" s="7"/>
      <c r="CC121" s="7"/>
      <c r="CD121" s="7"/>
      <c r="CE121" s="7"/>
      <c r="CF121" s="7"/>
      <c r="CG121" s="7"/>
      <c r="CH121" s="7"/>
      <c r="CI121" s="7"/>
      <c r="CJ121" s="7"/>
      <c r="CK121" s="7"/>
      <c r="CL121" s="7"/>
      <c r="CM121" s="7"/>
      <c r="CN121" s="7"/>
      <c r="CO121" s="7"/>
      <c r="CP121" s="7"/>
      <c r="CQ121" s="7"/>
      <c r="CR121" s="7"/>
      <c r="CS121" s="7"/>
      <c r="CT121" s="7"/>
      <c r="CU121" s="7"/>
      <c r="CV121" s="7"/>
      <c r="CW121" s="7"/>
      <c r="CX121" s="7"/>
      <c r="CY121" s="7"/>
      <c r="CZ121" s="7"/>
      <c r="DA121" s="7"/>
      <c r="DB121" s="7"/>
      <c r="DC121" s="7"/>
      <c r="DD121" s="7"/>
      <c r="DE121" s="7"/>
      <c r="DF121" s="7"/>
      <c r="DG121" s="7"/>
      <c r="DH121" s="7"/>
      <c r="DI121" s="7"/>
      <c r="DJ121" s="7"/>
      <c r="DK121" s="7"/>
      <c r="DL121" s="7"/>
      <c r="DM121" s="7"/>
      <c r="DN121" s="7"/>
      <c r="DO121" s="7"/>
      <c r="DP121" s="7"/>
      <c r="DQ121" s="7"/>
      <c r="DR121" s="7"/>
      <c r="DS121" s="7"/>
      <c r="DT121" s="7"/>
      <c r="DU121" s="7"/>
      <c r="DV121" s="7"/>
      <c r="DW121" s="7"/>
      <c r="DX121" s="7"/>
      <c r="DY121" s="7"/>
      <c r="DZ121" s="7"/>
      <c r="EA121" s="7"/>
      <c r="EB121" s="7"/>
      <c r="EC121" s="7"/>
      <c r="ED121" s="7"/>
      <c r="EE121" s="7"/>
      <c r="EF121" s="7"/>
      <c r="EG121" s="7"/>
      <c r="EH121" s="7"/>
      <c r="EI121" s="7"/>
      <c r="EJ121" s="7"/>
      <c r="EK121" s="7"/>
      <c r="EL121" s="7"/>
      <c r="EM121" s="7"/>
      <c r="EN121" s="7"/>
      <c r="EO121" s="7"/>
      <c r="EP121" s="7"/>
      <c r="EQ121" s="7"/>
      <c r="ER121" s="7"/>
      <c r="ES121" s="7"/>
      <c r="ET121" s="7"/>
      <c r="EU121" s="7"/>
      <c r="EV121" s="7"/>
      <c r="EW121" s="7"/>
      <c r="EX121" s="7"/>
      <c r="EY121" s="7"/>
      <c r="EZ121" s="7"/>
      <c r="FA121" s="7"/>
      <c r="FB121" s="7"/>
      <c r="FC121" s="7"/>
      <c r="FD121" s="7"/>
      <c r="FE121" s="7"/>
      <c r="FF121" s="7"/>
      <c r="FG121" s="7"/>
      <c r="FH121" s="7"/>
      <c r="FI121" s="7"/>
      <c r="FJ121" s="7"/>
      <c r="FK121" s="7"/>
      <c r="FL121" s="7"/>
      <c r="FM121" s="7"/>
      <c r="FN121" s="7"/>
      <c r="FO121" s="7"/>
      <c r="FP121" s="7"/>
      <c r="FQ121" s="7"/>
      <c r="FR121" s="7"/>
      <c r="FS121" s="7"/>
      <c r="FT121" s="7"/>
      <c r="FU121" s="7"/>
      <c r="FV121" s="7"/>
      <c r="FW121" s="7"/>
      <c r="FX121" s="7"/>
      <c r="FY121" s="7"/>
      <c r="FZ121" s="7"/>
      <c r="GA121" s="7"/>
      <c r="GB121" s="7"/>
      <c r="GC121" s="7"/>
      <c r="GD121" s="7"/>
      <c r="GE121" s="7"/>
      <c r="GF121" s="7"/>
      <c r="GG121" s="7"/>
      <c r="GH121" s="7"/>
      <c r="GI121" s="7"/>
      <c r="GJ121" s="7"/>
      <c r="GK121" s="7"/>
      <c r="GL121" s="7"/>
      <c r="GM121" s="7"/>
      <c r="GN121" s="7"/>
      <c r="GO121" s="7"/>
      <c r="GP121" s="7"/>
      <c r="GQ121" s="7"/>
      <c r="GR121" s="7"/>
      <c r="GS121" s="7"/>
      <c r="GT121" s="7"/>
      <c r="GU121" s="7"/>
      <c r="GV121" s="7"/>
      <c r="GW121" s="7"/>
      <c r="GX121" s="7"/>
      <c r="GY121" s="7"/>
      <c r="GZ121" s="7"/>
      <c r="HA121" s="7"/>
      <c r="HB121" s="7"/>
      <c r="HC121" s="7"/>
      <c r="HD121" s="7"/>
      <c r="HE121" s="7"/>
      <c r="HF121" s="7"/>
      <c r="HG121" s="7"/>
      <c r="HH121" s="7"/>
      <c r="HI121" s="7"/>
      <c r="HJ121" s="7"/>
      <c r="HK121" s="7"/>
      <c r="HL121" s="7"/>
      <c r="HM121" s="7"/>
      <c r="HN121" s="7"/>
      <c r="HO121" s="7"/>
      <c r="HP121" s="7"/>
      <c r="HQ121" s="7"/>
      <c r="HR121" s="7"/>
      <c r="HS121" s="7"/>
      <c r="HT121" s="7"/>
      <c r="HU121" s="7"/>
      <c r="HV121" s="7"/>
      <c r="HW121" s="7"/>
      <c r="HX121" s="7"/>
      <c r="HY121" s="7"/>
      <c r="HZ121" s="7"/>
      <c r="IA121" s="7"/>
      <c r="IB121" s="7"/>
      <c r="IC121" s="7"/>
      <c r="ID121" s="7"/>
      <c r="IE121" s="7"/>
      <c r="IF121" s="7"/>
      <c r="IG121" s="7"/>
      <c r="IH121" s="7"/>
      <c r="II121" s="7"/>
      <c r="IJ121" s="7"/>
      <c r="IK121" s="7"/>
      <c r="IL121" s="7"/>
      <c r="IM121" s="7"/>
      <c r="IN121" s="7"/>
      <c r="IO121" s="7"/>
      <c r="IP121" s="7"/>
      <c r="IQ121" s="7"/>
      <c r="IR121" s="7"/>
      <c r="IS121" s="7"/>
      <c r="IT121" s="7"/>
      <c r="IU121" s="7"/>
      <c r="IV121" s="7"/>
      <c r="IW121" s="7"/>
      <c r="IX121" s="7"/>
      <c r="JA121" s="113"/>
      <c r="JB121" s="113"/>
      <c r="JC121" s="113"/>
      <c r="JD121" s="66">
        <f>SUM((TEXT(JA121,"[M]")/60)*'Income Person-hours'!$D$3,(TEXT(JB121,"[M]")/60)*'Income Person-hours'!$D$4,(TEXT(JC121,"[M]")/60)*'Income Person-hours'!$D$5)</f>
        <v>0</v>
      </c>
    </row>
    <row r="122" spans="1:264" s="11" customFormat="1" ht="11.25" hidden="1">
      <c r="A122" s="176">
        <v>5.9</v>
      </c>
      <c r="B122" s="106"/>
      <c r="C122" s="107"/>
      <c r="D122" s="12" t="str">
        <f>IF(OR(j_WEEKDAY(J_ADDDAY(VLOOKUP(I122,A:F,6,FALSE),H122,1),0)=6,SUMIFS(Holieday[ok],Holieday[date],J_ADDDAY(VLOOKUP(I122,A:F,6,FALSE),H122,1)))=FALSE(),J_ADDDAY(VLOOKUP(I122,A:F,6,FALSE),H122,1),IF(OR(j_WEEKDAY(J_ADDDAY(VLOOKUP(I122,A:F,6,FALSE),H122+1,1),0)=6,SUMIFS(Holieday[ok],Holieday[date],J_ADDDAY(VLOOKUP(I122,A:F,6,FALSE),H122+1,1)))=FALSE(),J_ADDDAY(VLOOKUP(I122,A:F,6,FALSE),H122+1,1),IF(OR(j_WEEKDAY(J_ADDDAY(VLOOKUP(I122,A:F,6,FALSE),H122+2,1),0)=6,SUMIFS(Holieday[ok],Holieday[date],J_ADDDAY(VLOOKUP(I122,A:F,6,FALSE),H122+2,1)))=FALSE(),J_ADDDAY(VLOOKUP(I122,A:F,6,FALSE),H122+2,1),IF(OR(j_WEEKDAY(J_ADDDAY(VLOOKUP(I122,A:F,6,FALSE),H122+3,1),0)=6,SUMIFS(Holieday[ok],Holieday[date],J_ADDDAY(VLOOKUP(I122,A:F,6,FALSE),H122+3,1)))=FALSE(),J_ADDDAY(VLOOKUP(I122,A:F,6,FALSE),H122+3,1),IF(OR(j_WEEKDAY(J_ADDDAY(VLOOKUP(I122,A:F,6,FALSE),H122+4,1),0)=6,SUMIFS(Holieday[ok],Holieday[date],J_ADDDAY(VLOOKUP(I122,A:F,6,FALSE),H122+4,1)))=FALSE(),J_ADDDAY(VLOOKUP(I122,A:F,6,FALSE),H122+4,1),J_ADDDAY(VLOOKUP(I122,A:F,6,FALSE),H122+5,1))))))</f>
        <v>1398/09/11</v>
      </c>
      <c r="E122" s="1">
        <f t="shared" si="33"/>
        <v>13980911</v>
      </c>
      <c r="F122" s="12" t="str">
        <f>IF(N122=0,J_SUBDAY(D122,1,1),IF((N122-NETWORKDAYS.INTL(J_GregorianDate(D122,1),J_GregorianDate(J_SUBDAY(J_ADDDAY(D122,N122,1),1,1),1),16,1)-SUMIFS(Holieday[ok],Holieday[date],CONCATENATE("&gt;","=",D122),Holieday[date],CONCATENATE("&lt;","=",J_SUBDAY(J_ADDDAY(D122,N122,1),1,1)))+SUMIFS(Holieday[Friday],Holieday[date],CONCATENATE("&gt;","=",D122),Holieday[date],CONCATENATE("&lt;","=",J_SUBDAY(J_ADDDAY(D122,N122,1),1,1))))=0,J_SUBDAY(J_ADDDAY(D122,N122,1),1,1),IF((N122-NETWORKDAYS.INTL(J_GregorianDate(D122,1),J_GregorianDate(J_SUBDAY(J_ADDDAY(D122,N122,1),1,1),1),16,1)-SUMIFS(Holieday[ok],Holieday[date],CONCATENATE("&gt;","=",D122),Holieday[date],CONCATENATE("&lt;","=",J_SUBDAY(J_ADDDAY(D122,N122,1),1,1)))+SUMIFS(Holieday[Friday],Holieday[date],CONCATENATE("&gt;","=",D122),Holieday[date],CONCATENATE("&lt;","=",J_SUBDAY(J_ADDDAY(D122,N122,1),1,1))))=1,J_SUBDAY(J_ADDDAY(D122,N122+1,1),1,1),IF((N122-NETWORKDAYS.INTL(J_GregorianDate(D122,1),J_GregorianDate(J_SUBDAY(J_ADDDAY(D122,N122,1),1,1),1),16,1)-SUMIFS(Holieday[ok],Holieday[date],CONCATENATE("&gt;","=",D122),Holieday[date],CONCATENATE("&lt;","=",J_SUBDAY(J_ADDDAY(D122,N122,1),1,1)))+SUMIFS(Holieday[Friday],Holieday[date],CONCATENATE("&gt;","=",D122),Holieday[date],CONCATENATE("&lt;","=",J_SUBDAY(J_ADDDAY(D122,N122,1),1,1))))=2,J_SUBDAY(J_ADDDAY(D122,N122+2,1),1,1),J_SUBDAY(J_ADDDAY(D122,N122+3,1),1,1)))))</f>
        <v>1398/09/10</v>
      </c>
      <c r="G122" s="2">
        <f t="shared" si="30"/>
        <v>13980910</v>
      </c>
      <c r="H122" s="109"/>
      <c r="I122" s="110">
        <v>5.7</v>
      </c>
      <c r="J122" s="9">
        <f>j_WEEKDAY(D122,2)</f>
        <v>2</v>
      </c>
      <c r="K122" s="21">
        <f t="shared" si="41"/>
        <v>0</v>
      </c>
      <c r="L122" s="8">
        <f t="shared" si="38"/>
        <v>0</v>
      </c>
      <c r="M122" s="111">
        <v>0</v>
      </c>
      <c r="N122" s="108">
        <v>0</v>
      </c>
      <c r="O122" s="10">
        <f t="shared" si="39"/>
        <v>0</v>
      </c>
      <c r="P122" s="10">
        <f>VALUE(J_normdate(J_ADDDAY($D122,$O122,1)))</f>
        <v>13980911</v>
      </c>
      <c r="Q122" s="9">
        <f t="shared" si="40"/>
        <v>0</v>
      </c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  <c r="BE122" s="7"/>
      <c r="BF122" s="7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7"/>
      <c r="BV122" s="7"/>
      <c r="BW122" s="7"/>
      <c r="BX122" s="7"/>
      <c r="BY122" s="7"/>
      <c r="BZ122" s="7"/>
      <c r="CA122" s="7"/>
      <c r="CB122" s="7"/>
      <c r="CC122" s="7"/>
      <c r="CD122" s="7"/>
      <c r="CE122" s="7"/>
      <c r="CF122" s="7"/>
      <c r="CG122" s="7"/>
      <c r="CH122" s="7"/>
      <c r="CI122" s="7"/>
      <c r="CJ122" s="7"/>
      <c r="CK122" s="7"/>
      <c r="CL122" s="7"/>
      <c r="CM122" s="7"/>
      <c r="CN122" s="7"/>
      <c r="CO122" s="7"/>
      <c r="CP122" s="7"/>
      <c r="CQ122" s="7"/>
      <c r="CR122" s="7"/>
      <c r="CS122" s="7"/>
      <c r="CT122" s="7"/>
      <c r="CU122" s="7"/>
      <c r="CV122" s="7"/>
      <c r="CW122" s="7"/>
      <c r="CX122" s="7"/>
      <c r="CY122" s="7"/>
      <c r="CZ122" s="7"/>
      <c r="DA122" s="7"/>
      <c r="DB122" s="7"/>
      <c r="DC122" s="7"/>
      <c r="DD122" s="7"/>
      <c r="DE122" s="7"/>
      <c r="DF122" s="7"/>
      <c r="DG122" s="7"/>
      <c r="DH122" s="7"/>
      <c r="DI122" s="7"/>
      <c r="DJ122" s="7"/>
      <c r="DK122" s="7"/>
      <c r="DL122" s="7"/>
      <c r="DM122" s="7"/>
      <c r="DN122" s="7"/>
      <c r="DO122" s="7"/>
      <c r="DP122" s="7"/>
      <c r="DQ122" s="7"/>
      <c r="DR122" s="7"/>
      <c r="DS122" s="7"/>
      <c r="DT122" s="7"/>
      <c r="DU122" s="7"/>
      <c r="DV122" s="7"/>
      <c r="DW122" s="7"/>
      <c r="DX122" s="7"/>
      <c r="DY122" s="7"/>
      <c r="DZ122" s="7"/>
      <c r="EA122" s="7"/>
      <c r="EB122" s="7"/>
      <c r="EC122" s="7"/>
      <c r="ED122" s="7"/>
      <c r="EE122" s="7"/>
      <c r="EF122" s="7"/>
      <c r="EG122" s="7"/>
      <c r="EH122" s="7"/>
      <c r="EI122" s="7"/>
      <c r="EJ122" s="7"/>
      <c r="EK122" s="7"/>
      <c r="EL122" s="7"/>
      <c r="EM122" s="7"/>
      <c r="EN122" s="7"/>
      <c r="EO122" s="7"/>
      <c r="EP122" s="7"/>
      <c r="EQ122" s="7"/>
      <c r="ER122" s="7"/>
      <c r="ES122" s="7"/>
      <c r="ET122" s="7"/>
      <c r="EU122" s="7"/>
      <c r="EV122" s="7"/>
      <c r="EW122" s="7"/>
      <c r="EX122" s="7"/>
      <c r="EY122" s="7"/>
      <c r="EZ122" s="7"/>
      <c r="FA122" s="7"/>
      <c r="FB122" s="7"/>
      <c r="FC122" s="7"/>
      <c r="FD122" s="7"/>
      <c r="FE122" s="7"/>
      <c r="FF122" s="7"/>
      <c r="FG122" s="7"/>
      <c r="FH122" s="7"/>
      <c r="FI122" s="7"/>
      <c r="FJ122" s="7"/>
      <c r="FK122" s="7"/>
      <c r="FL122" s="7"/>
      <c r="FM122" s="7"/>
      <c r="FN122" s="7"/>
      <c r="FO122" s="7"/>
      <c r="FP122" s="7"/>
      <c r="FQ122" s="7"/>
      <c r="FR122" s="7"/>
      <c r="FS122" s="7"/>
      <c r="FT122" s="7"/>
      <c r="FU122" s="7"/>
      <c r="FV122" s="7"/>
      <c r="FW122" s="7"/>
      <c r="FX122" s="7"/>
      <c r="FY122" s="7"/>
      <c r="FZ122" s="7"/>
      <c r="GA122" s="7"/>
      <c r="GB122" s="7"/>
      <c r="GC122" s="7"/>
      <c r="GD122" s="7"/>
      <c r="GE122" s="7"/>
      <c r="GF122" s="7"/>
      <c r="GG122" s="7"/>
      <c r="GH122" s="7"/>
      <c r="GI122" s="7"/>
      <c r="GJ122" s="7"/>
      <c r="GK122" s="7"/>
      <c r="GL122" s="7"/>
      <c r="GM122" s="7"/>
      <c r="GN122" s="7"/>
      <c r="GO122" s="7"/>
      <c r="GP122" s="7"/>
      <c r="GQ122" s="7"/>
      <c r="GR122" s="7"/>
      <c r="GS122" s="7"/>
      <c r="GT122" s="7"/>
      <c r="GU122" s="7"/>
      <c r="GV122" s="7"/>
      <c r="GW122" s="7"/>
      <c r="GX122" s="7"/>
      <c r="GY122" s="7"/>
      <c r="GZ122" s="7"/>
      <c r="HA122" s="7"/>
      <c r="HB122" s="7"/>
      <c r="HC122" s="7"/>
      <c r="HD122" s="7"/>
      <c r="HE122" s="7"/>
      <c r="HF122" s="7"/>
      <c r="HG122" s="7"/>
      <c r="HH122" s="7"/>
      <c r="HI122" s="7"/>
      <c r="HJ122" s="7"/>
      <c r="HK122" s="7"/>
      <c r="HL122" s="7"/>
      <c r="HM122" s="7"/>
      <c r="HN122" s="7"/>
      <c r="HO122" s="7"/>
      <c r="HP122" s="7"/>
      <c r="HQ122" s="7"/>
      <c r="HR122" s="7"/>
      <c r="HS122" s="7"/>
      <c r="HT122" s="7"/>
      <c r="HU122" s="7"/>
      <c r="HV122" s="7"/>
      <c r="HW122" s="7"/>
      <c r="HX122" s="7"/>
      <c r="HY122" s="7"/>
      <c r="HZ122" s="7"/>
      <c r="IA122" s="7"/>
      <c r="IB122" s="7"/>
      <c r="IC122" s="7"/>
      <c r="ID122" s="7"/>
      <c r="IE122" s="7"/>
      <c r="IF122" s="7"/>
      <c r="IG122" s="7"/>
      <c r="IH122" s="7"/>
      <c r="II122" s="7"/>
      <c r="IJ122" s="7"/>
      <c r="IK122" s="7"/>
      <c r="IL122" s="7"/>
      <c r="IM122" s="7"/>
      <c r="IN122" s="7"/>
      <c r="IO122" s="7"/>
      <c r="IP122" s="7"/>
      <c r="IQ122" s="7"/>
      <c r="IR122" s="7"/>
      <c r="IS122" s="7"/>
      <c r="IT122" s="7"/>
      <c r="IU122" s="7"/>
      <c r="IV122" s="7"/>
      <c r="IW122" s="7"/>
      <c r="IX122" s="7"/>
      <c r="JA122" s="113"/>
      <c r="JB122" s="113"/>
      <c r="JC122" s="113"/>
      <c r="JD122" s="66">
        <f>SUM((TEXT(JA122,"[M]")/60)*'Income Person-hours'!$D$3,(TEXT(JB122,"[M]")/60)*'Income Person-hours'!$D$4,(TEXT(JC122,"[M]")/60)*'Income Person-hours'!$D$5)</f>
        <v>0</v>
      </c>
    </row>
    <row r="123" spans="1:264" s="11" customFormat="1" ht="11.25" hidden="1">
      <c r="A123" s="30">
        <v>5.1100000000000003</v>
      </c>
      <c r="B123" s="106"/>
      <c r="C123" s="107"/>
      <c r="D123" s="12" t="str">
        <f>IF(OR(j_WEEKDAY(J_ADDDAY(VLOOKUP(I123,A:F,6,FALSE),H123,1),0)=6,SUMIFS(Holieday[ok],Holieday[date],J_ADDDAY(VLOOKUP(I123,A:F,6,FALSE),H123,1)))=FALSE(),J_ADDDAY(VLOOKUP(I123,A:F,6,FALSE),H123,1),IF(OR(j_WEEKDAY(J_ADDDAY(VLOOKUP(I123,A:F,6,FALSE),H123+1,1),0)=6,SUMIFS(Holieday[ok],Holieday[date],J_ADDDAY(VLOOKUP(I123,A:F,6,FALSE),H123+1,1)))=FALSE(),J_ADDDAY(VLOOKUP(I123,A:F,6,FALSE),H123+1,1),IF(OR(j_WEEKDAY(J_ADDDAY(VLOOKUP(I123,A:F,6,FALSE),H123+2,1),0)=6,SUMIFS(Holieday[ok],Holieday[date],J_ADDDAY(VLOOKUP(I123,A:F,6,FALSE),H123+2,1)))=FALSE(),J_ADDDAY(VLOOKUP(I123,A:F,6,FALSE),H123+2,1),IF(OR(j_WEEKDAY(J_ADDDAY(VLOOKUP(I123,A:F,6,FALSE),H123+3,1),0)=6,SUMIFS(Holieday[ok],Holieday[date],J_ADDDAY(VLOOKUP(I123,A:F,6,FALSE),H123+3,1)))=FALSE(),J_ADDDAY(VLOOKUP(I123,A:F,6,FALSE),H123+3,1),IF(OR(j_WEEKDAY(J_ADDDAY(VLOOKUP(I123,A:F,6,FALSE),H123+4,1),0)=6,SUMIFS(Holieday[ok],Holieday[date],J_ADDDAY(VLOOKUP(I123,A:F,6,FALSE),H123+4,1)))=FALSE(),J_ADDDAY(VLOOKUP(I123,A:F,6,FALSE),H123+4,1),J_ADDDAY(VLOOKUP(I123,A:F,6,FALSE),H123+5,1))))))</f>
        <v>1398/09/11</v>
      </c>
      <c r="E123" s="1">
        <f t="shared" ref="E123:E154" si="42">VALUE(J_normdate(D123))</f>
        <v>13980911</v>
      </c>
      <c r="F123" s="12" t="str">
        <f>IF(N123=0,J_SUBDAY(D123,1,1),IF((N123-NETWORKDAYS.INTL(J_GregorianDate(D123,1),J_GregorianDate(J_SUBDAY(J_ADDDAY(D123,N123,1),1,1),1),16,1)-SUMIFS(Holieday[ok],Holieday[date],CONCATENATE("&gt;","=",D123),Holieday[date],CONCATENATE("&lt;","=",J_SUBDAY(J_ADDDAY(D123,N123,1),1,1)))+SUMIFS(Holieday[Friday],Holieday[date],CONCATENATE("&gt;","=",D123),Holieday[date],CONCATENATE("&lt;","=",J_SUBDAY(J_ADDDAY(D123,N123,1),1,1))))=0,J_SUBDAY(J_ADDDAY(D123,N123,1),1,1),IF((N123-NETWORKDAYS.INTL(J_GregorianDate(D123,1),J_GregorianDate(J_SUBDAY(J_ADDDAY(D123,N123,1),1,1),1),16,1)-SUMIFS(Holieday[ok],Holieday[date],CONCATENATE("&gt;","=",D123),Holieday[date],CONCATENATE("&lt;","=",J_SUBDAY(J_ADDDAY(D123,N123,1),1,1)))+SUMIFS(Holieday[Friday],Holieday[date],CONCATENATE("&gt;","=",D123),Holieday[date],CONCATENATE("&lt;","=",J_SUBDAY(J_ADDDAY(D123,N123,1),1,1))))=1,J_SUBDAY(J_ADDDAY(D123,N123+1,1),1,1),IF((N123-NETWORKDAYS.INTL(J_GregorianDate(D123,1),J_GregorianDate(J_SUBDAY(J_ADDDAY(D123,N123,1),1,1),1),16,1)-SUMIFS(Holieday[ok],Holieday[date],CONCATENATE("&gt;","=",D123),Holieday[date],CONCATENATE("&lt;","=",J_SUBDAY(J_ADDDAY(D123,N123,1),1,1)))+SUMIFS(Holieday[Friday],Holieday[date],CONCATENATE("&gt;","=",D123),Holieday[date],CONCATENATE("&lt;","=",J_SUBDAY(J_ADDDAY(D123,N123,1),1,1))))=2,J_SUBDAY(J_ADDDAY(D123,N123+2,1),1,1),J_SUBDAY(J_ADDDAY(D123,N123+3,1),1,1)))))</f>
        <v>1398/09/10</v>
      </c>
      <c r="G123" s="2">
        <f t="shared" ref="G123:G154" si="43">VALUE(J_normdate(F123))</f>
        <v>13980910</v>
      </c>
      <c r="H123" s="109"/>
      <c r="I123" s="110">
        <v>5.7</v>
      </c>
      <c r="J123" s="9">
        <f>j_WEEKDAY(D123,2)</f>
        <v>2</v>
      </c>
      <c r="K123" s="21">
        <f t="shared" si="41"/>
        <v>0</v>
      </c>
      <c r="L123" s="8">
        <f t="shared" si="38"/>
        <v>0</v>
      </c>
      <c r="M123" s="111">
        <v>0</v>
      </c>
      <c r="N123" s="108">
        <v>0</v>
      </c>
      <c r="O123" s="10">
        <f t="shared" si="39"/>
        <v>0</v>
      </c>
      <c r="P123" s="10">
        <f>VALUE(J_normdate(J_ADDDAY($D123,$O123,1)))</f>
        <v>13980911</v>
      </c>
      <c r="Q123" s="9">
        <f t="shared" si="40"/>
        <v>0</v>
      </c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7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7"/>
      <c r="BV123" s="7"/>
      <c r="BW123" s="7"/>
      <c r="BX123" s="7"/>
      <c r="BY123" s="7"/>
      <c r="BZ123" s="7"/>
      <c r="CA123" s="7"/>
      <c r="CB123" s="7"/>
      <c r="CC123" s="7"/>
      <c r="CD123" s="7"/>
      <c r="CE123" s="7"/>
      <c r="CF123" s="7"/>
      <c r="CG123" s="7"/>
      <c r="CH123" s="7"/>
      <c r="CI123" s="7"/>
      <c r="CJ123" s="7"/>
      <c r="CK123" s="7"/>
      <c r="CL123" s="7"/>
      <c r="CM123" s="7"/>
      <c r="CN123" s="7"/>
      <c r="CO123" s="7"/>
      <c r="CP123" s="7"/>
      <c r="CQ123" s="7"/>
      <c r="CR123" s="7"/>
      <c r="CS123" s="7"/>
      <c r="CT123" s="7"/>
      <c r="CU123" s="7"/>
      <c r="CV123" s="7"/>
      <c r="CW123" s="7"/>
      <c r="CX123" s="7"/>
      <c r="CY123" s="7"/>
      <c r="CZ123" s="7"/>
      <c r="DA123" s="7"/>
      <c r="DB123" s="7"/>
      <c r="DC123" s="7"/>
      <c r="DD123" s="7"/>
      <c r="DE123" s="7"/>
      <c r="DF123" s="7"/>
      <c r="DG123" s="7"/>
      <c r="DH123" s="7"/>
      <c r="DI123" s="7"/>
      <c r="DJ123" s="7"/>
      <c r="DK123" s="7"/>
      <c r="DL123" s="7"/>
      <c r="DM123" s="7"/>
      <c r="DN123" s="7"/>
      <c r="DO123" s="7"/>
      <c r="DP123" s="7"/>
      <c r="DQ123" s="7"/>
      <c r="DR123" s="7"/>
      <c r="DS123" s="7"/>
      <c r="DT123" s="7"/>
      <c r="DU123" s="7"/>
      <c r="DV123" s="7"/>
      <c r="DW123" s="7"/>
      <c r="DX123" s="7"/>
      <c r="DY123" s="7"/>
      <c r="DZ123" s="7"/>
      <c r="EA123" s="7"/>
      <c r="EB123" s="7"/>
      <c r="EC123" s="7"/>
      <c r="ED123" s="7"/>
      <c r="EE123" s="7"/>
      <c r="EF123" s="7"/>
      <c r="EG123" s="7"/>
      <c r="EH123" s="7"/>
      <c r="EI123" s="7"/>
      <c r="EJ123" s="7"/>
      <c r="EK123" s="7"/>
      <c r="EL123" s="7"/>
      <c r="EM123" s="7"/>
      <c r="EN123" s="7"/>
      <c r="EO123" s="7"/>
      <c r="EP123" s="7"/>
      <c r="EQ123" s="7"/>
      <c r="ER123" s="7"/>
      <c r="ES123" s="7"/>
      <c r="ET123" s="7"/>
      <c r="EU123" s="7"/>
      <c r="EV123" s="7"/>
      <c r="EW123" s="7"/>
      <c r="EX123" s="7"/>
      <c r="EY123" s="7"/>
      <c r="EZ123" s="7"/>
      <c r="FA123" s="7"/>
      <c r="FB123" s="7"/>
      <c r="FC123" s="7"/>
      <c r="FD123" s="7"/>
      <c r="FE123" s="7"/>
      <c r="FF123" s="7"/>
      <c r="FG123" s="7"/>
      <c r="FH123" s="7"/>
      <c r="FI123" s="7"/>
      <c r="FJ123" s="7"/>
      <c r="FK123" s="7"/>
      <c r="FL123" s="7"/>
      <c r="FM123" s="7"/>
      <c r="FN123" s="7"/>
      <c r="FO123" s="7"/>
      <c r="FP123" s="7"/>
      <c r="FQ123" s="7"/>
      <c r="FR123" s="7"/>
      <c r="FS123" s="7"/>
      <c r="FT123" s="7"/>
      <c r="FU123" s="7"/>
      <c r="FV123" s="7"/>
      <c r="FW123" s="7"/>
      <c r="FX123" s="7"/>
      <c r="FY123" s="7"/>
      <c r="FZ123" s="7"/>
      <c r="GA123" s="7"/>
      <c r="GB123" s="7"/>
      <c r="GC123" s="7"/>
      <c r="GD123" s="7"/>
      <c r="GE123" s="7"/>
      <c r="GF123" s="7"/>
      <c r="GG123" s="7"/>
      <c r="GH123" s="7"/>
      <c r="GI123" s="7"/>
      <c r="GJ123" s="7"/>
      <c r="GK123" s="7"/>
      <c r="GL123" s="7"/>
      <c r="GM123" s="7"/>
      <c r="GN123" s="7"/>
      <c r="GO123" s="7"/>
      <c r="GP123" s="7"/>
      <c r="GQ123" s="7"/>
      <c r="GR123" s="7"/>
      <c r="GS123" s="7"/>
      <c r="GT123" s="7"/>
      <c r="GU123" s="7"/>
      <c r="GV123" s="7"/>
      <c r="GW123" s="7"/>
      <c r="GX123" s="7"/>
      <c r="GY123" s="7"/>
      <c r="GZ123" s="7"/>
      <c r="HA123" s="7"/>
      <c r="HB123" s="7"/>
      <c r="HC123" s="7"/>
      <c r="HD123" s="7"/>
      <c r="HE123" s="7"/>
      <c r="HF123" s="7"/>
      <c r="HG123" s="7"/>
      <c r="HH123" s="7"/>
      <c r="HI123" s="7"/>
      <c r="HJ123" s="7"/>
      <c r="HK123" s="7"/>
      <c r="HL123" s="7"/>
      <c r="HM123" s="7"/>
      <c r="HN123" s="7"/>
      <c r="HO123" s="7"/>
      <c r="HP123" s="7"/>
      <c r="HQ123" s="7"/>
      <c r="HR123" s="7"/>
      <c r="HS123" s="7"/>
      <c r="HT123" s="7"/>
      <c r="HU123" s="7"/>
      <c r="HV123" s="7"/>
      <c r="HW123" s="7"/>
      <c r="HX123" s="7"/>
      <c r="HY123" s="7"/>
      <c r="HZ123" s="7"/>
      <c r="IA123" s="7"/>
      <c r="IB123" s="7"/>
      <c r="IC123" s="7"/>
      <c r="ID123" s="7"/>
      <c r="IE123" s="7"/>
      <c r="IF123" s="7"/>
      <c r="IG123" s="7"/>
      <c r="IH123" s="7"/>
      <c r="II123" s="7"/>
      <c r="IJ123" s="7"/>
      <c r="IK123" s="7"/>
      <c r="IL123" s="7"/>
      <c r="IM123" s="7"/>
      <c r="IN123" s="7"/>
      <c r="IO123" s="7"/>
      <c r="IP123" s="7"/>
      <c r="IQ123" s="7"/>
      <c r="IR123" s="7"/>
      <c r="IS123" s="7"/>
      <c r="IT123" s="7"/>
      <c r="IU123" s="7"/>
      <c r="IV123" s="7"/>
      <c r="IW123" s="7"/>
      <c r="IX123" s="7"/>
      <c r="JA123" s="113"/>
      <c r="JB123" s="113"/>
      <c r="JC123" s="113"/>
      <c r="JD123" s="66">
        <f>SUM((TEXT(JA123,"[M]")/60)*'Income Person-hours'!$D$3,(TEXT(JB123,"[M]")/60)*'Income Person-hours'!$D$4,(TEXT(JC123,"[M]")/60)*'Income Person-hours'!$D$5)</f>
        <v>0</v>
      </c>
    </row>
    <row r="124" spans="1:264" s="11" customFormat="1" ht="11.25" hidden="1">
      <c r="A124" s="30">
        <v>5.12</v>
      </c>
      <c r="B124" s="106"/>
      <c r="C124" s="107"/>
      <c r="D124" s="12" t="str">
        <f>IF(OR(j_WEEKDAY(J_ADDDAY(VLOOKUP(I124,A:F,6,FALSE),H124,1),0)=6,SUMIFS(Holieday[ok],Holieday[date],J_ADDDAY(VLOOKUP(I124,A:F,6,FALSE),H124,1)))=FALSE(),J_ADDDAY(VLOOKUP(I124,A:F,6,FALSE),H124,1),IF(OR(j_WEEKDAY(J_ADDDAY(VLOOKUP(I124,A:F,6,FALSE),H124+1,1),0)=6,SUMIFS(Holieday[ok],Holieday[date],J_ADDDAY(VLOOKUP(I124,A:F,6,FALSE),H124+1,1)))=FALSE(),J_ADDDAY(VLOOKUP(I124,A:F,6,FALSE),H124+1,1),IF(OR(j_WEEKDAY(J_ADDDAY(VLOOKUP(I124,A:F,6,FALSE),H124+2,1),0)=6,SUMIFS(Holieday[ok],Holieday[date],J_ADDDAY(VLOOKUP(I124,A:F,6,FALSE),H124+2,1)))=FALSE(),J_ADDDAY(VLOOKUP(I124,A:F,6,FALSE),H124+2,1),IF(OR(j_WEEKDAY(J_ADDDAY(VLOOKUP(I124,A:F,6,FALSE),H124+3,1),0)=6,SUMIFS(Holieday[ok],Holieday[date],J_ADDDAY(VLOOKUP(I124,A:F,6,FALSE),H124+3,1)))=FALSE(),J_ADDDAY(VLOOKUP(I124,A:F,6,FALSE),H124+3,1),IF(OR(j_WEEKDAY(J_ADDDAY(VLOOKUP(I124,A:F,6,FALSE),H124+4,1),0)=6,SUMIFS(Holieday[ok],Holieday[date],J_ADDDAY(VLOOKUP(I124,A:F,6,FALSE),H124+4,1)))=FALSE(),J_ADDDAY(VLOOKUP(I124,A:F,6,FALSE),H124+4,1),J_ADDDAY(VLOOKUP(I124,A:F,6,FALSE),H124+5,1))))))</f>
        <v>1398/09/11</v>
      </c>
      <c r="E124" s="1">
        <f t="shared" si="42"/>
        <v>13980911</v>
      </c>
      <c r="F124" s="12" t="str">
        <f>IF(N124=0,J_SUBDAY(D124,1,1),IF((N124-NETWORKDAYS.INTL(J_GregorianDate(D124,1),J_GregorianDate(J_SUBDAY(J_ADDDAY(D124,N124,1),1,1),1),16,1)-SUMIFS(Holieday[ok],Holieday[date],CONCATENATE("&gt;","=",D124),Holieday[date],CONCATENATE("&lt;","=",J_SUBDAY(J_ADDDAY(D124,N124,1),1,1)))+SUMIFS(Holieday[Friday],Holieday[date],CONCATENATE("&gt;","=",D124),Holieday[date],CONCATENATE("&lt;","=",J_SUBDAY(J_ADDDAY(D124,N124,1),1,1))))=0,J_SUBDAY(J_ADDDAY(D124,N124,1),1,1),IF((N124-NETWORKDAYS.INTL(J_GregorianDate(D124,1),J_GregorianDate(J_SUBDAY(J_ADDDAY(D124,N124,1),1,1),1),16,1)-SUMIFS(Holieday[ok],Holieday[date],CONCATENATE("&gt;","=",D124),Holieday[date],CONCATENATE("&lt;","=",J_SUBDAY(J_ADDDAY(D124,N124,1),1,1)))+SUMIFS(Holieday[Friday],Holieday[date],CONCATENATE("&gt;","=",D124),Holieday[date],CONCATENATE("&lt;","=",J_SUBDAY(J_ADDDAY(D124,N124,1),1,1))))=1,J_SUBDAY(J_ADDDAY(D124,N124+1,1),1,1),IF((N124-NETWORKDAYS.INTL(J_GregorianDate(D124,1),J_GregorianDate(J_SUBDAY(J_ADDDAY(D124,N124,1),1,1),1),16,1)-SUMIFS(Holieday[ok],Holieday[date],CONCATENATE("&gt;","=",D124),Holieday[date],CONCATENATE("&lt;","=",J_SUBDAY(J_ADDDAY(D124,N124,1),1,1)))+SUMIFS(Holieday[Friday],Holieday[date],CONCATENATE("&gt;","=",D124),Holieday[date],CONCATENATE("&lt;","=",J_SUBDAY(J_ADDDAY(D124,N124,1),1,1))))=2,J_SUBDAY(J_ADDDAY(D124,N124+2,1),1,1),J_SUBDAY(J_ADDDAY(D124,N124+3,1),1,1)))))</f>
        <v>1398/09/10</v>
      </c>
      <c r="G124" s="2">
        <f t="shared" si="43"/>
        <v>13980910</v>
      </c>
      <c r="H124" s="109"/>
      <c r="I124" s="110">
        <v>5.7</v>
      </c>
      <c r="J124" s="9">
        <f>j_WEEKDAY(D124,2)</f>
        <v>2</v>
      </c>
      <c r="K124" s="21">
        <f t="shared" si="41"/>
        <v>0</v>
      </c>
      <c r="L124" s="8">
        <f t="shared" si="38"/>
        <v>0</v>
      </c>
      <c r="M124" s="111">
        <v>0</v>
      </c>
      <c r="N124" s="108">
        <v>0</v>
      </c>
      <c r="O124" s="10">
        <f t="shared" si="39"/>
        <v>0</v>
      </c>
      <c r="P124" s="10">
        <f>VALUE(J_normdate(J_ADDDAY($D124,$O124,1)))</f>
        <v>13980911</v>
      </c>
      <c r="Q124" s="9">
        <f t="shared" si="40"/>
        <v>0</v>
      </c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  <c r="BE124" s="7"/>
      <c r="BF124" s="7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7"/>
      <c r="BV124" s="7"/>
      <c r="BW124" s="7"/>
      <c r="BX124" s="7"/>
      <c r="BY124" s="7"/>
      <c r="BZ124" s="7"/>
      <c r="CA124" s="7"/>
      <c r="CB124" s="7"/>
      <c r="CC124" s="7"/>
      <c r="CD124" s="7"/>
      <c r="CE124" s="7"/>
      <c r="CF124" s="7"/>
      <c r="CG124" s="7"/>
      <c r="CH124" s="7"/>
      <c r="CI124" s="7"/>
      <c r="CJ124" s="7"/>
      <c r="CK124" s="7"/>
      <c r="CL124" s="7"/>
      <c r="CM124" s="7"/>
      <c r="CN124" s="7"/>
      <c r="CO124" s="7"/>
      <c r="CP124" s="7"/>
      <c r="CQ124" s="7"/>
      <c r="CR124" s="7"/>
      <c r="CS124" s="7"/>
      <c r="CT124" s="7"/>
      <c r="CU124" s="7"/>
      <c r="CV124" s="7"/>
      <c r="CW124" s="7"/>
      <c r="CX124" s="7"/>
      <c r="CY124" s="7"/>
      <c r="CZ124" s="7"/>
      <c r="DA124" s="7"/>
      <c r="DB124" s="7"/>
      <c r="DC124" s="7"/>
      <c r="DD124" s="7"/>
      <c r="DE124" s="7"/>
      <c r="DF124" s="7"/>
      <c r="DG124" s="7"/>
      <c r="DH124" s="7"/>
      <c r="DI124" s="7"/>
      <c r="DJ124" s="7"/>
      <c r="DK124" s="7"/>
      <c r="DL124" s="7"/>
      <c r="DM124" s="7"/>
      <c r="DN124" s="7"/>
      <c r="DO124" s="7"/>
      <c r="DP124" s="7"/>
      <c r="DQ124" s="7"/>
      <c r="DR124" s="7"/>
      <c r="DS124" s="7"/>
      <c r="DT124" s="7"/>
      <c r="DU124" s="7"/>
      <c r="DV124" s="7"/>
      <c r="DW124" s="7"/>
      <c r="DX124" s="7"/>
      <c r="DY124" s="7"/>
      <c r="DZ124" s="7"/>
      <c r="EA124" s="7"/>
      <c r="EB124" s="7"/>
      <c r="EC124" s="7"/>
      <c r="ED124" s="7"/>
      <c r="EE124" s="7"/>
      <c r="EF124" s="7"/>
      <c r="EG124" s="7"/>
      <c r="EH124" s="7"/>
      <c r="EI124" s="7"/>
      <c r="EJ124" s="7"/>
      <c r="EK124" s="7"/>
      <c r="EL124" s="7"/>
      <c r="EM124" s="7"/>
      <c r="EN124" s="7"/>
      <c r="EO124" s="7"/>
      <c r="EP124" s="7"/>
      <c r="EQ124" s="7"/>
      <c r="ER124" s="7"/>
      <c r="ES124" s="7"/>
      <c r="ET124" s="7"/>
      <c r="EU124" s="7"/>
      <c r="EV124" s="7"/>
      <c r="EW124" s="7"/>
      <c r="EX124" s="7"/>
      <c r="EY124" s="7"/>
      <c r="EZ124" s="7"/>
      <c r="FA124" s="7"/>
      <c r="FB124" s="7"/>
      <c r="FC124" s="7"/>
      <c r="FD124" s="7"/>
      <c r="FE124" s="7"/>
      <c r="FF124" s="7"/>
      <c r="FG124" s="7"/>
      <c r="FH124" s="7"/>
      <c r="FI124" s="7"/>
      <c r="FJ124" s="7"/>
      <c r="FK124" s="7"/>
      <c r="FL124" s="7"/>
      <c r="FM124" s="7"/>
      <c r="FN124" s="7"/>
      <c r="FO124" s="7"/>
      <c r="FP124" s="7"/>
      <c r="FQ124" s="7"/>
      <c r="FR124" s="7"/>
      <c r="FS124" s="7"/>
      <c r="FT124" s="7"/>
      <c r="FU124" s="7"/>
      <c r="FV124" s="7"/>
      <c r="FW124" s="7"/>
      <c r="FX124" s="7"/>
      <c r="FY124" s="7"/>
      <c r="FZ124" s="7"/>
      <c r="GA124" s="7"/>
      <c r="GB124" s="7"/>
      <c r="GC124" s="7"/>
      <c r="GD124" s="7"/>
      <c r="GE124" s="7"/>
      <c r="GF124" s="7"/>
      <c r="GG124" s="7"/>
      <c r="GH124" s="7"/>
      <c r="GI124" s="7"/>
      <c r="GJ124" s="7"/>
      <c r="GK124" s="7"/>
      <c r="GL124" s="7"/>
      <c r="GM124" s="7"/>
      <c r="GN124" s="7"/>
      <c r="GO124" s="7"/>
      <c r="GP124" s="7"/>
      <c r="GQ124" s="7"/>
      <c r="GR124" s="7"/>
      <c r="GS124" s="7"/>
      <c r="GT124" s="7"/>
      <c r="GU124" s="7"/>
      <c r="GV124" s="7"/>
      <c r="GW124" s="7"/>
      <c r="GX124" s="7"/>
      <c r="GY124" s="7"/>
      <c r="GZ124" s="7"/>
      <c r="HA124" s="7"/>
      <c r="HB124" s="7"/>
      <c r="HC124" s="7"/>
      <c r="HD124" s="7"/>
      <c r="HE124" s="7"/>
      <c r="HF124" s="7"/>
      <c r="HG124" s="7"/>
      <c r="HH124" s="7"/>
      <c r="HI124" s="7"/>
      <c r="HJ124" s="7"/>
      <c r="HK124" s="7"/>
      <c r="HL124" s="7"/>
      <c r="HM124" s="7"/>
      <c r="HN124" s="7"/>
      <c r="HO124" s="7"/>
      <c r="HP124" s="7"/>
      <c r="HQ124" s="7"/>
      <c r="HR124" s="7"/>
      <c r="HS124" s="7"/>
      <c r="HT124" s="7"/>
      <c r="HU124" s="7"/>
      <c r="HV124" s="7"/>
      <c r="HW124" s="7"/>
      <c r="HX124" s="7"/>
      <c r="HY124" s="7"/>
      <c r="HZ124" s="7"/>
      <c r="IA124" s="7"/>
      <c r="IB124" s="7"/>
      <c r="IC124" s="7"/>
      <c r="ID124" s="7"/>
      <c r="IE124" s="7"/>
      <c r="IF124" s="7"/>
      <c r="IG124" s="7"/>
      <c r="IH124" s="7"/>
      <c r="II124" s="7"/>
      <c r="IJ124" s="7"/>
      <c r="IK124" s="7"/>
      <c r="IL124" s="7"/>
      <c r="IM124" s="7"/>
      <c r="IN124" s="7"/>
      <c r="IO124" s="7"/>
      <c r="IP124" s="7"/>
      <c r="IQ124" s="7"/>
      <c r="IR124" s="7"/>
      <c r="IS124" s="7"/>
      <c r="IT124" s="7"/>
      <c r="IU124" s="7"/>
      <c r="IV124" s="7"/>
      <c r="IW124" s="7"/>
      <c r="IX124" s="7"/>
      <c r="JA124" s="113"/>
      <c r="JB124" s="113"/>
      <c r="JC124" s="113"/>
      <c r="JD124" s="66">
        <f>SUM((TEXT(JA124,"[M]")/60)*'Income Person-hours'!$D$3,(TEXT(JB124,"[M]")/60)*'Income Person-hours'!$D$4,(TEXT(JC124,"[M]")/60)*'Income Person-hours'!$D$5)</f>
        <v>0</v>
      </c>
    </row>
    <row r="125" spans="1:264" s="11" customFormat="1" ht="11.25" hidden="1">
      <c r="A125" s="30">
        <v>5.13</v>
      </c>
      <c r="B125" s="106"/>
      <c r="C125" s="107"/>
      <c r="D125" s="12" t="str">
        <f>IF(OR(j_WEEKDAY(J_ADDDAY(VLOOKUP(I125,A:F,6,FALSE),H125,1),0)=6,SUMIFS(Holieday[ok],Holieday[date],J_ADDDAY(VLOOKUP(I125,A:F,6,FALSE),H125,1)))=FALSE(),J_ADDDAY(VLOOKUP(I125,A:F,6,FALSE),H125,1),IF(OR(j_WEEKDAY(J_ADDDAY(VLOOKUP(I125,A:F,6,FALSE),H125+1,1),0)=6,SUMIFS(Holieday[ok],Holieday[date],J_ADDDAY(VLOOKUP(I125,A:F,6,FALSE),H125+1,1)))=FALSE(),J_ADDDAY(VLOOKUP(I125,A:F,6,FALSE),H125+1,1),IF(OR(j_WEEKDAY(J_ADDDAY(VLOOKUP(I125,A:F,6,FALSE),H125+2,1),0)=6,SUMIFS(Holieday[ok],Holieday[date],J_ADDDAY(VLOOKUP(I125,A:F,6,FALSE),H125+2,1)))=FALSE(),J_ADDDAY(VLOOKUP(I125,A:F,6,FALSE),H125+2,1),IF(OR(j_WEEKDAY(J_ADDDAY(VLOOKUP(I125,A:F,6,FALSE),H125+3,1),0)=6,SUMIFS(Holieday[ok],Holieday[date],J_ADDDAY(VLOOKUP(I125,A:F,6,FALSE),H125+3,1)))=FALSE(),J_ADDDAY(VLOOKUP(I125,A:F,6,FALSE),H125+3,1),IF(OR(j_WEEKDAY(J_ADDDAY(VLOOKUP(I125,A:F,6,FALSE),H125+4,1),0)=6,SUMIFS(Holieday[ok],Holieday[date],J_ADDDAY(VLOOKUP(I125,A:F,6,FALSE),H125+4,1)))=FALSE(),J_ADDDAY(VLOOKUP(I125,A:F,6,FALSE),H125+4,1),J_ADDDAY(VLOOKUP(I125,A:F,6,FALSE),H125+5,1))))))</f>
        <v>1398/09/11</v>
      </c>
      <c r="E125" s="1">
        <f t="shared" si="42"/>
        <v>13980911</v>
      </c>
      <c r="F125" s="12" t="str">
        <f>IF(N125=0,J_SUBDAY(D125,1,1),IF((N125-NETWORKDAYS.INTL(J_GregorianDate(D125,1),J_GregorianDate(J_SUBDAY(J_ADDDAY(D125,N125,1),1,1),1),16,1)-SUMIFS(Holieday[ok],Holieday[date],CONCATENATE("&gt;","=",D125),Holieday[date],CONCATENATE("&lt;","=",J_SUBDAY(J_ADDDAY(D125,N125,1),1,1)))+SUMIFS(Holieday[Friday],Holieday[date],CONCATENATE("&gt;","=",D125),Holieday[date],CONCATENATE("&lt;","=",J_SUBDAY(J_ADDDAY(D125,N125,1),1,1))))=0,J_SUBDAY(J_ADDDAY(D125,N125,1),1,1),IF((N125-NETWORKDAYS.INTL(J_GregorianDate(D125,1),J_GregorianDate(J_SUBDAY(J_ADDDAY(D125,N125,1),1,1),1),16,1)-SUMIFS(Holieday[ok],Holieday[date],CONCATENATE("&gt;","=",D125),Holieday[date],CONCATENATE("&lt;","=",J_SUBDAY(J_ADDDAY(D125,N125,1),1,1)))+SUMIFS(Holieday[Friday],Holieday[date],CONCATENATE("&gt;","=",D125),Holieday[date],CONCATENATE("&lt;","=",J_SUBDAY(J_ADDDAY(D125,N125,1),1,1))))=1,J_SUBDAY(J_ADDDAY(D125,N125+1,1),1,1),IF((N125-NETWORKDAYS.INTL(J_GregorianDate(D125,1),J_GregorianDate(J_SUBDAY(J_ADDDAY(D125,N125,1),1,1),1),16,1)-SUMIFS(Holieday[ok],Holieday[date],CONCATENATE("&gt;","=",D125),Holieday[date],CONCATENATE("&lt;","=",J_SUBDAY(J_ADDDAY(D125,N125,1),1,1)))+SUMIFS(Holieday[Friday],Holieday[date],CONCATENATE("&gt;","=",D125),Holieday[date],CONCATENATE("&lt;","=",J_SUBDAY(J_ADDDAY(D125,N125,1),1,1))))=2,J_SUBDAY(J_ADDDAY(D125,N125+2,1),1,1),J_SUBDAY(J_ADDDAY(D125,N125+3,1),1,1)))))</f>
        <v>1398/09/10</v>
      </c>
      <c r="G125" s="2">
        <f t="shared" si="43"/>
        <v>13980910</v>
      </c>
      <c r="H125" s="109"/>
      <c r="I125" s="110">
        <v>5.7</v>
      </c>
      <c r="J125" s="9">
        <f>j_WEEKDAY(D125,2)</f>
        <v>2</v>
      </c>
      <c r="K125" s="21">
        <f t="shared" si="41"/>
        <v>0</v>
      </c>
      <c r="L125" s="8">
        <f t="shared" si="38"/>
        <v>0</v>
      </c>
      <c r="M125" s="111">
        <v>0</v>
      </c>
      <c r="N125" s="108">
        <v>0</v>
      </c>
      <c r="O125" s="10">
        <f t="shared" si="39"/>
        <v>0</v>
      </c>
      <c r="P125" s="10">
        <f>VALUE(J_normdate(J_ADDDAY($D125,$O125,1)))</f>
        <v>13980911</v>
      </c>
      <c r="Q125" s="9">
        <f t="shared" si="40"/>
        <v>0</v>
      </c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7"/>
      <c r="BV125" s="7"/>
      <c r="BW125" s="7"/>
      <c r="BX125" s="7"/>
      <c r="BY125" s="7"/>
      <c r="BZ125" s="7"/>
      <c r="CA125" s="7"/>
      <c r="CB125" s="7"/>
      <c r="CC125" s="7"/>
      <c r="CD125" s="7"/>
      <c r="CE125" s="7"/>
      <c r="CF125" s="7"/>
      <c r="CG125" s="7"/>
      <c r="CH125" s="7"/>
      <c r="CI125" s="7"/>
      <c r="CJ125" s="7"/>
      <c r="CK125" s="7"/>
      <c r="CL125" s="7"/>
      <c r="CM125" s="7"/>
      <c r="CN125" s="7"/>
      <c r="CO125" s="7"/>
      <c r="CP125" s="7"/>
      <c r="CQ125" s="7"/>
      <c r="CR125" s="7"/>
      <c r="CS125" s="7"/>
      <c r="CT125" s="7"/>
      <c r="CU125" s="7"/>
      <c r="CV125" s="7"/>
      <c r="CW125" s="7"/>
      <c r="CX125" s="7"/>
      <c r="CY125" s="7"/>
      <c r="CZ125" s="7"/>
      <c r="DA125" s="7"/>
      <c r="DB125" s="7"/>
      <c r="DC125" s="7"/>
      <c r="DD125" s="7"/>
      <c r="DE125" s="7"/>
      <c r="DF125" s="7"/>
      <c r="DG125" s="7"/>
      <c r="DH125" s="7"/>
      <c r="DI125" s="7"/>
      <c r="DJ125" s="7"/>
      <c r="DK125" s="7"/>
      <c r="DL125" s="7"/>
      <c r="DM125" s="7"/>
      <c r="DN125" s="7"/>
      <c r="DO125" s="7"/>
      <c r="DP125" s="7"/>
      <c r="DQ125" s="7"/>
      <c r="DR125" s="7"/>
      <c r="DS125" s="7"/>
      <c r="DT125" s="7"/>
      <c r="DU125" s="7"/>
      <c r="DV125" s="7"/>
      <c r="DW125" s="7"/>
      <c r="DX125" s="7"/>
      <c r="DY125" s="7"/>
      <c r="DZ125" s="7"/>
      <c r="EA125" s="7"/>
      <c r="EB125" s="7"/>
      <c r="EC125" s="7"/>
      <c r="ED125" s="7"/>
      <c r="EE125" s="7"/>
      <c r="EF125" s="7"/>
      <c r="EG125" s="7"/>
      <c r="EH125" s="7"/>
      <c r="EI125" s="7"/>
      <c r="EJ125" s="7"/>
      <c r="EK125" s="7"/>
      <c r="EL125" s="7"/>
      <c r="EM125" s="7"/>
      <c r="EN125" s="7"/>
      <c r="EO125" s="7"/>
      <c r="EP125" s="7"/>
      <c r="EQ125" s="7"/>
      <c r="ER125" s="7"/>
      <c r="ES125" s="7"/>
      <c r="ET125" s="7"/>
      <c r="EU125" s="7"/>
      <c r="EV125" s="7"/>
      <c r="EW125" s="7"/>
      <c r="EX125" s="7"/>
      <c r="EY125" s="7"/>
      <c r="EZ125" s="7"/>
      <c r="FA125" s="7"/>
      <c r="FB125" s="7"/>
      <c r="FC125" s="7"/>
      <c r="FD125" s="7"/>
      <c r="FE125" s="7"/>
      <c r="FF125" s="7"/>
      <c r="FG125" s="7"/>
      <c r="FH125" s="7"/>
      <c r="FI125" s="7"/>
      <c r="FJ125" s="7"/>
      <c r="FK125" s="7"/>
      <c r="FL125" s="7"/>
      <c r="FM125" s="7"/>
      <c r="FN125" s="7"/>
      <c r="FO125" s="7"/>
      <c r="FP125" s="7"/>
      <c r="FQ125" s="7"/>
      <c r="FR125" s="7"/>
      <c r="FS125" s="7"/>
      <c r="FT125" s="7"/>
      <c r="FU125" s="7"/>
      <c r="FV125" s="7"/>
      <c r="FW125" s="7"/>
      <c r="FX125" s="7"/>
      <c r="FY125" s="7"/>
      <c r="FZ125" s="7"/>
      <c r="GA125" s="7"/>
      <c r="GB125" s="7"/>
      <c r="GC125" s="7"/>
      <c r="GD125" s="7"/>
      <c r="GE125" s="7"/>
      <c r="GF125" s="7"/>
      <c r="GG125" s="7"/>
      <c r="GH125" s="7"/>
      <c r="GI125" s="7"/>
      <c r="GJ125" s="7"/>
      <c r="GK125" s="7"/>
      <c r="GL125" s="7"/>
      <c r="GM125" s="7"/>
      <c r="GN125" s="7"/>
      <c r="GO125" s="7"/>
      <c r="GP125" s="7"/>
      <c r="GQ125" s="7"/>
      <c r="GR125" s="7"/>
      <c r="GS125" s="7"/>
      <c r="GT125" s="7"/>
      <c r="GU125" s="7"/>
      <c r="GV125" s="7"/>
      <c r="GW125" s="7"/>
      <c r="GX125" s="7"/>
      <c r="GY125" s="7"/>
      <c r="GZ125" s="7"/>
      <c r="HA125" s="7"/>
      <c r="HB125" s="7"/>
      <c r="HC125" s="7"/>
      <c r="HD125" s="7"/>
      <c r="HE125" s="7"/>
      <c r="HF125" s="7"/>
      <c r="HG125" s="7"/>
      <c r="HH125" s="7"/>
      <c r="HI125" s="7"/>
      <c r="HJ125" s="7"/>
      <c r="HK125" s="7"/>
      <c r="HL125" s="7"/>
      <c r="HM125" s="7"/>
      <c r="HN125" s="7"/>
      <c r="HO125" s="7"/>
      <c r="HP125" s="7"/>
      <c r="HQ125" s="7"/>
      <c r="HR125" s="7"/>
      <c r="HS125" s="7"/>
      <c r="HT125" s="7"/>
      <c r="HU125" s="7"/>
      <c r="HV125" s="7"/>
      <c r="HW125" s="7"/>
      <c r="HX125" s="7"/>
      <c r="HY125" s="7"/>
      <c r="HZ125" s="7"/>
      <c r="IA125" s="7"/>
      <c r="IB125" s="7"/>
      <c r="IC125" s="7"/>
      <c r="ID125" s="7"/>
      <c r="IE125" s="7"/>
      <c r="IF125" s="7"/>
      <c r="IG125" s="7"/>
      <c r="IH125" s="7"/>
      <c r="II125" s="7"/>
      <c r="IJ125" s="7"/>
      <c r="IK125" s="7"/>
      <c r="IL125" s="7"/>
      <c r="IM125" s="7"/>
      <c r="IN125" s="7"/>
      <c r="IO125" s="7"/>
      <c r="IP125" s="7"/>
      <c r="IQ125" s="7"/>
      <c r="IR125" s="7"/>
      <c r="IS125" s="7"/>
      <c r="IT125" s="7"/>
      <c r="IU125" s="7"/>
      <c r="IV125" s="7"/>
      <c r="IW125" s="7"/>
      <c r="IX125" s="7"/>
      <c r="JA125" s="113"/>
      <c r="JB125" s="113"/>
      <c r="JC125" s="113"/>
      <c r="JD125" s="66">
        <f>SUM((TEXT(JA125,"[M]")/60)*'Income Person-hours'!$D$3,(TEXT(JB125,"[M]")/60)*'Income Person-hours'!$D$4,(TEXT(JC125,"[M]")/60)*'Income Person-hours'!$D$5)</f>
        <v>0</v>
      </c>
    </row>
    <row r="126" spans="1:264" s="11" customFormat="1" ht="11.25" hidden="1">
      <c r="A126" s="30">
        <v>5.14</v>
      </c>
      <c r="B126" s="106"/>
      <c r="C126" s="107"/>
      <c r="D126" s="12" t="str">
        <f>IF(OR(j_WEEKDAY(J_ADDDAY(VLOOKUP(I126,A:F,6,FALSE),H126,1),0)=6,SUMIFS(Holieday[ok],Holieday[date],J_ADDDAY(VLOOKUP(I126,A:F,6,FALSE),H126,1)))=FALSE(),J_ADDDAY(VLOOKUP(I126,A:F,6,FALSE),H126,1),IF(OR(j_WEEKDAY(J_ADDDAY(VLOOKUP(I126,A:F,6,FALSE),H126+1,1),0)=6,SUMIFS(Holieday[ok],Holieday[date],J_ADDDAY(VLOOKUP(I126,A:F,6,FALSE),H126+1,1)))=FALSE(),J_ADDDAY(VLOOKUP(I126,A:F,6,FALSE),H126+1,1),IF(OR(j_WEEKDAY(J_ADDDAY(VLOOKUP(I126,A:F,6,FALSE),H126+2,1),0)=6,SUMIFS(Holieday[ok],Holieday[date],J_ADDDAY(VLOOKUP(I126,A:F,6,FALSE),H126+2,1)))=FALSE(),J_ADDDAY(VLOOKUP(I126,A:F,6,FALSE),H126+2,1),IF(OR(j_WEEKDAY(J_ADDDAY(VLOOKUP(I126,A:F,6,FALSE),H126+3,1),0)=6,SUMIFS(Holieday[ok],Holieday[date],J_ADDDAY(VLOOKUP(I126,A:F,6,FALSE),H126+3,1)))=FALSE(),J_ADDDAY(VLOOKUP(I126,A:F,6,FALSE),H126+3,1),IF(OR(j_WEEKDAY(J_ADDDAY(VLOOKUP(I126,A:F,6,FALSE),H126+4,1),0)=6,SUMIFS(Holieday[ok],Holieday[date],J_ADDDAY(VLOOKUP(I126,A:F,6,FALSE),H126+4,1)))=FALSE(),J_ADDDAY(VLOOKUP(I126,A:F,6,FALSE),H126+4,1),J_ADDDAY(VLOOKUP(I126,A:F,6,FALSE),H126+5,1))))))</f>
        <v>1398/09/11</v>
      </c>
      <c r="E126" s="1">
        <f t="shared" si="42"/>
        <v>13980911</v>
      </c>
      <c r="F126" s="12" t="str">
        <f>IF(N126=0,J_SUBDAY(D126,1,1),IF((N126-NETWORKDAYS.INTL(J_GregorianDate(D126,1),J_GregorianDate(J_SUBDAY(J_ADDDAY(D126,N126,1),1,1),1),16,1)-SUMIFS(Holieday[ok],Holieday[date],CONCATENATE("&gt;","=",D126),Holieday[date],CONCATENATE("&lt;","=",J_SUBDAY(J_ADDDAY(D126,N126,1),1,1)))+SUMIFS(Holieday[Friday],Holieday[date],CONCATENATE("&gt;","=",D126),Holieday[date],CONCATENATE("&lt;","=",J_SUBDAY(J_ADDDAY(D126,N126,1),1,1))))=0,J_SUBDAY(J_ADDDAY(D126,N126,1),1,1),IF((N126-NETWORKDAYS.INTL(J_GregorianDate(D126,1),J_GregorianDate(J_SUBDAY(J_ADDDAY(D126,N126,1),1,1),1),16,1)-SUMIFS(Holieday[ok],Holieday[date],CONCATENATE("&gt;","=",D126),Holieday[date],CONCATENATE("&lt;","=",J_SUBDAY(J_ADDDAY(D126,N126,1),1,1)))+SUMIFS(Holieday[Friday],Holieday[date],CONCATENATE("&gt;","=",D126),Holieday[date],CONCATENATE("&lt;","=",J_SUBDAY(J_ADDDAY(D126,N126,1),1,1))))=1,J_SUBDAY(J_ADDDAY(D126,N126+1,1),1,1),IF((N126-NETWORKDAYS.INTL(J_GregorianDate(D126,1),J_GregorianDate(J_SUBDAY(J_ADDDAY(D126,N126,1),1,1),1),16,1)-SUMIFS(Holieday[ok],Holieday[date],CONCATENATE("&gt;","=",D126),Holieday[date],CONCATENATE("&lt;","=",J_SUBDAY(J_ADDDAY(D126,N126,1),1,1)))+SUMIFS(Holieday[Friday],Holieday[date],CONCATENATE("&gt;","=",D126),Holieday[date],CONCATENATE("&lt;","=",J_SUBDAY(J_ADDDAY(D126,N126,1),1,1))))=2,J_SUBDAY(J_ADDDAY(D126,N126+2,1),1,1),J_SUBDAY(J_ADDDAY(D126,N126+3,1),1,1)))))</f>
        <v>1398/09/10</v>
      </c>
      <c r="G126" s="2">
        <f t="shared" si="43"/>
        <v>13980910</v>
      </c>
      <c r="H126" s="109"/>
      <c r="I126" s="110">
        <v>5.7</v>
      </c>
      <c r="J126" s="9">
        <f>j_WEEKDAY(D126,2)</f>
        <v>2</v>
      </c>
      <c r="K126" s="21">
        <f t="shared" si="41"/>
        <v>0</v>
      </c>
      <c r="L126" s="8">
        <f t="shared" si="38"/>
        <v>0</v>
      </c>
      <c r="M126" s="111">
        <v>0</v>
      </c>
      <c r="N126" s="108">
        <v>0</v>
      </c>
      <c r="O126" s="10">
        <f t="shared" si="39"/>
        <v>0</v>
      </c>
      <c r="P126" s="10">
        <f>VALUE(J_normdate(J_ADDDAY($D126,$O126,1)))</f>
        <v>13980911</v>
      </c>
      <c r="Q126" s="9">
        <f t="shared" si="40"/>
        <v>0</v>
      </c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  <c r="BB126" s="7"/>
      <c r="BC126" s="7"/>
      <c r="BD126" s="7"/>
      <c r="BE126" s="7"/>
      <c r="BF126" s="7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7"/>
      <c r="BV126" s="7"/>
      <c r="BW126" s="7"/>
      <c r="BX126" s="7"/>
      <c r="BY126" s="7"/>
      <c r="BZ126" s="7"/>
      <c r="CA126" s="7"/>
      <c r="CB126" s="7"/>
      <c r="CC126" s="7"/>
      <c r="CD126" s="7"/>
      <c r="CE126" s="7"/>
      <c r="CF126" s="7"/>
      <c r="CG126" s="7"/>
      <c r="CH126" s="7"/>
      <c r="CI126" s="7"/>
      <c r="CJ126" s="7"/>
      <c r="CK126" s="7"/>
      <c r="CL126" s="7"/>
      <c r="CM126" s="7"/>
      <c r="CN126" s="7"/>
      <c r="CO126" s="7"/>
      <c r="CP126" s="7"/>
      <c r="CQ126" s="7"/>
      <c r="CR126" s="7"/>
      <c r="CS126" s="7"/>
      <c r="CT126" s="7"/>
      <c r="CU126" s="7"/>
      <c r="CV126" s="7"/>
      <c r="CW126" s="7"/>
      <c r="CX126" s="7"/>
      <c r="CY126" s="7"/>
      <c r="CZ126" s="7"/>
      <c r="DA126" s="7"/>
      <c r="DB126" s="7"/>
      <c r="DC126" s="7"/>
      <c r="DD126" s="7"/>
      <c r="DE126" s="7"/>
      <c r="DF126" s="7"/>
      <c r="DG126" s="7"/>
      <c r="DH126" s="7"/>
      <c r="DI126" s="7"/>
      <c r="DJ126" s="7"/>
      <c r="DK126" s="7"/>
      <c r="DL126" s="7"/>
      <c r="DM126" s="7"/>
      <c r="DN126" s="7"/>
      <c r="DO126" s="7"/>
      <c r="DP126" s="7"/>
      <c r="DQ126" s="7"/>
      <c r="DR126" s="7"/>
      <c r="DS126" s="7"/>
      <c r="DT126" s="7"/>
      <c r="DU126" s="7"/>
      <c r="DV126" s="7"/>
      <c r="DW126" s="7"/>
      <c r="DX126" s="7"/>
      <c r="DY126" s="7"/>
      <c r="DZ126" s="7"/>
      <c r="EA126" s="7"/>
      <c r="EB126" s="7"/>
      <c r="EC126" s="7"/>
      <c r="ED126" s="7"/>
      <c r="EE126" s="7"/>
      <c r="EF126" s="7"/>
      <c r="EG126" s="7"/>
      <c r="EH126" s="7"/>
      <c r="EI126" s="7"/>
      <c r="EJ126" s="7"/>
      <c r="EK126" s="7"/>
      <c r="EL126" s="7"/>
      <c r="EM126" s="7"/>
      <c r="EN126" s="7"/>
      <c r="EO126" s="7"/>
      <c r="EP126" s="7"/>
      <c r="EQ126" s="7"/>
      <c r="ER126" s="7"/>
      <c r="ES126" s="7"/>
      <c r="ET126" s="7"/>
      <c r="EU126" s="7"/>
      <c r="EV126" s="7"/>
      <c r="EW126" s="7"/>
      <c r="EX126" s="7"/>
      <c r="EY126" s="7"/>
      <c r="EZ126" s="7"/>
      <c r="FA126" s="7"/>
      <c r="FB126" s="7"/>
      <c r="FC126" s="7"/>
      <c r="FD126" s="7"/>
      <c r="FE126" s="7"/>
      <c r="FF126" s="7"/>
      <c r="FG126" s="7"/>
      <c r="FH126" s="7"/>
      <c r="FI126" s="7"/>
      <c r="FJ126" s="7"/>
      <c r="FK126" s="7"/>
      <c r="FL126" s="7"/>
      <c r="FM126" s="7"/>
      <c r="FN126" s="7"/>
      <c r="FO126" s="7"/>
      <c r="FP126" s="7"/>
      <c r="FQ126" s="7"/>
      <c r="FR126" s="7"/>
      <c r="FS126" s="7"/>
      <c r="FT126" s="7"/>
      <c r="FU126" s="7"/>
      <c r="FV126" s="7"/>
      <c r="FW126" s="7"/>
      <c r="FX126" s="7"/>
      <c r="FY126" s="7"/>
      <c r="FZ126" s="7"/>
      <c r="GA126" s="7"/>
      <c r="GB126" s="7"/>
      <c r="GC126" s="7"/>
      <c r="GD126" s="7"/>
      <c r="GE126" s="7"/>
      <c r="GF126" s="7"/>
      <c r="GG126" s="7"/>
      <c r="GH126" s="7"/>
      <c r="GI126" s="7"/>
      <c r="GJ126" s="7"/>
      <c r="GK126" s="7"/>
      <c r="GL126" s="7"/>
      <c r="GM126" s="7"/>
      <c r="GN126" s="7"/>
      <c r="GO126" s="7"/>
      <c r="GP126" s="7"/>
      <c r="GQ126" s="7"/>
      <c r="GR126" s="7"/>
      <c r="GS126" s="7"/>
      <c r="GT126" s="7"/>
      <c r="GU126" s="7"/>
      <c r="GV126" s="7"/>
      <c r="GW126" s="7"/>
      <c r="GX126" s="7"/>
      <c r="GY126" s="7"/>
      <c r="GZ126" s="7"/>
      <c r="HA126" s="7"/>
      <c r="HB126" s="7"/>
      <c r="HC126" s="7"/>
      <c r="HD126" s="7"/>
      <c r="HE126" s="7"/>
      <c r="HF126" s="7"/>
      <c r="HG126" s="7"/>
      <c r="HH126" s="7"/>
      <c r="HI126" s="7"/>
      <c r="HJ126" s="7"/>
      <c r="HK126" s="7"/>
      <c r="HL126" s="7"/>
      <c r="HM126" s="7"/>
      <c r="HN126" s="7"/>
      <c r="HO126" s="7"/>
      <c r="HP126" s="7"/>
      <c r="HQ126" s="7"/>
      <c r="HR126" s="7"/>
      <c r="HS126" s="7"/>
      <c r="HT126" s="7"/>
      <c r="HU126" s="7"/>
      <c r="HV126" s="7"/>
      <c r="HW126" s="7"/>
      <c r="HX126" s="7"/>
      <c r="HY126" s="7"/>
      <c r="HZ126" s="7"/>
      <c r="IA126" s="7"/>
      <c r="IB126" s="7"/>
      <c r="IC126" s="7"/>
      <c r="ID126" s="7"/>
      <c r="IE126" s="7"/>
      <c r="IF126" s="7"/>
      <c r="IG126" s="7"/>
      <c r="IH126" s="7"/>
      <c r="II126" s="7"/>
      <c r="IJ126" s="7"/>
      <c r="IK126" s="7"/>
      <c r="IL126" s="7"/>
      <c r="IM126" s="7"/>
      <c r="IN126" s="7"/>
      <c r="IO126" s="7"/>
      <c r="IP126" s="7"/>
      <c r="IQ126" s="7"/>
      <c r="IR126" s="7"/>
      <c r="IS126" s="7"/>
      <c r="IT126" s="7"/>
      <c r="IU126" s="7"/>
      <c r="IV126" s="7"/>
      <c r="IW126" s="7"/>
      <c r="IX126" s="7"/>
      <c r="JA126" s="113"/>
      <c r="JB126" s="113"/>
      <c r="JC126" s="113"/>
      <c r="JD126" s="66">
        <f>SUM((TEXT(JA126,"[M]")/60)*'Income Person-hours'!$D$3,(TEXT(JB126,"[M]")/60)*'Income Person-hours'!$D$4,(TEXT(JC126,"[M]")/60)*'Income Person-hours'!$D$5)</f>
        <v>0</v>
      </c>
    </row>
    <row r="127" spans="1:264" s="11" customFormat="1" ht="11.25" hidden="1">
      <c r="A127" s="30">
        <v>5.15</v>
      </c>
      <c r="B127" s="116"/>
      <c r="C127" s="107"/>
      <c r="D127" s="12" t="str">
        <f>IF(OR(j_WEEKDAY(J_ADDDAY(VLOOKUP(I127,A:F,6,FALSE),H127,1),0)=6,SUMIFS(Holieday[ok],Holieday[date],J_ADDDAY(VLOOKUP(I127,A:F,6,FALSE),H127,1)))=FALSE(),J_ADDDAY(VLOOKUP(I127,A:F,6,FALSE),H127,1),IF(OR(j_WEEKDAY(J_ADDDAY(VLOOKUP(I127,A:F,6,FALSE),H127+1,1),0)=6,SUMIFS(Holieday[ok],Holieday[date],J_ADDDAY(VLOOKUP(I127,A:F,6,FALSE),H127+1,1)))=FALSE(),J_ADDDAY(VLOOKUP(I127,A:F,6,FALSE),H127+1,1),IF(OR(j_WEEKDAY(J_ADDDAY(VLOOKUP(I127,A:F,6,FALSE),H127+2,1),0)=6,SUMIFS(Holieday[ok],Holieday[date],J_ADDDAY(VLOOKUP(I127,A:F,6,FALSE),H127+2,1)))=FALSE(),J_ADDDAY(VLOOKUP(I127,A:F,6,FALSE),H127+2,1),IF(OR(j_WEEKDAY(J_ADDDAY(VLOOKUP(I127,A:F,6,FALSE),H127+3,1),0)=6,SUMIFS(Holieday[ok],Holieday[date],J_ADDDAY(VLOOKUP(I127,A:F,6,FALSE),H127+3,1)))=FALSE(),J_ADDDAY(VLOOKUP(I127,A:F,6,FALSE),H127+3,1),IF(OR(j_WEEKDAY(J_ADDDAY(VLOOKUP(I127,A:F,6,FALSE),H127+4,1),0)=6,SUMIFS(Holieday[ok],Holieday[date],J_ADDDAY(VLOOKUP(I127,A:F,6,FALSE),H127+4,1)))=FALSE(),J_ADDDAY(VLOOKUP(I127,A:F,6,FALSE),H127+4,1),J_ADDDAY(VLOOKUP(I127,A:F,6,FALSE),H127+5,1))))))</f>
        <v>1398/09/11</v>
      </c>
      <c r="E127" s="1">
        <f t="shared" si="42"/>
        <v>13980911</v>
      </c>
      <c r="F127" s="12" t="str">
        <f>IF(N127=0,J_SUBDAY(D127,1,1),IF((N127-NETWORKDAYS.INTL(J_GregorianDate(D127,1),J_GregorianDate(J_SUBDAY(J_ADDDAY(D127,N127,1),1,1),1),16,1)-SUMIFS(Holieday[ok],Holieday[date],CONCATENATE("&gt;","=",D127),Holieday[date],CONCATENATE("&lt;","=",J_SUBDAY(J_ADDDAY(D127,N127,1),1,1)))+SUMIFS(Holieday[Friday],Holieday[date],CONCATENATE("&gt;","=",D127),Holieday[date],CONCATENATE("&lt;","=",J_SUBDAY(J_ADDDAY(D127,N127,1),1,1))))=0,J_SUBDAY(J_ADDDAY(D127,N127,1),1,1),IF((N127-NETWORKDAYS.INTL(J_GregorianDate(D127,1),J_GregorianDate(J_SUBDAY(J_ADDDAY(D127,N127,1),1,1),1),16,1)-SUMIFS(Holieday[ok],Holieday[date],CONCATENATE("&gt;","=",D127),Holieday[date],CONCATENATE("&lt;","=",J_SUBDAY(J_ADDDAY(D127,N127,1),1,1)))+SUMIFS(Holieday[Friday],Holieday[date],CONCATENATE("&gt;","=",D127),Holieday[date],CONCATENATE("&lt;","=",J_SUBDAY(J_ADDDAY(D127,N127,1),1,1))))=1,J_SUBDAY(J_ADDDAY(D127,N127+1,1),1,1),IF((N127-NETWORKDAYS.INTL(J_GregorianDate(D127,1),J_GregorianDate(J_SUBDAY(J_ADDDAY(D127,N127,1),1,1),1),16,1)-SUMIFS(Holieday[ok],Holieday[date],CONCATENATE("&gt;","=",D127),Holieday[date],CONCATENATE("&lt;","=",J_SUBDAY(J_ADDDAY(D127,N127,1),1,1)))+SUMIFS(Holieday[Friday],Holieday[date],CONCATENATE("&gt;","=",D127),Holieday[date],CONCATENATE("&lt;","=",J_SUBDAY(J_ADDDAY(D127,N127,1),1,1))))=2,J_SUBDAY(J_ADDDAY(D127,N127+2,1),1,1),J_SUBDAY(J_ADDDAY(D127,N127+3,1),1,1)))))</f>
        <v>1398/09/10</v>
      </c>
      <c r="G127" s="2">
        <f t="shared" si="43"/>
        <v>13980910</v>
      </c>
      <c r="H127" s="109"/>
      <c r="I127" s="110">
        <v>5.7</v>
      </c>
      <c r="J127" s="9">
        <f>j_WEEKDAY(D127,2)</f>
        <v>2</v>
      </c>
      <c r="K127" s="21">
        <f t="shared" si="41"/>
        <v>0</v>
      </c>
      <c r="L127" s="8">
        <f t="shared" si="38"/>
        <v>0</v>
      </c>
      <c r="M127" s="111">
        <v>0</v>
      </c>
      <c r="N127" s="108">
        <v>0</v>
      </c>
      <c r="O127" s="10">
        <f t="shared" si="39"/>
        <v>0</v>
      </c>
      <c r="P127" s="10">
        <f>VALUE(J_normdate(J_ADDDAY($D127,$O127,1)))</f>
        <v>13980911</v>
      </c>
      <c r="Q127" s="9">
        <f t="shared" si="40"/>
        <v>0</v>
      </c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  <c r="BE127" s="7"/>
      <c r="BF127" s="7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7"/>
      <c r="BV127" s="7"/>
      <c r="BW127" s="7"/>
      <c r="BX127" s="7"/>
      <c r="BY127" s="7"/>
      <c r="BZ127" s="7"/>
      <c r="CA127" s="7"/>
      <c r="CB127" s="7"/>
      <c r="CC127" s="7"/>
      <c r="CD127" s="7"/>
      <c r="CE127" s="7"/>
      <c r="CF127" s="7"/>
      <c r="CG127" s="7"/>
      <c r="CH127" s="7"/>
      <c r="CI127" s="7"/>
      <c r="CJ127" s="7"/>
      <c r="CK127" s="7"/>
      <c r="CL127" s="7"/>
      <c r="CM127" s="7"/>
      <c r="CN127" s="7"/>
      <c r="CO127" s="7"/>
      <c r="CP127" s="7"/>
      <c r="CQ127" s="7"/>
      <c r="CR127" s="7"/>
      <c r="CS127" s="7"/>
      <c r="CT127" s="7"/>
      <c r="CU127" s="7"/>
      <c r="CV127" s="7"/>
      <c r="CW127" s="7"/>
      <c r="CX127" s="7"/>
      <c r="CY127" s="7"/>
      <c r="CZ127" s="7"/>
      <c r="DA127" s="7"/>
      <c r="DB127" s="7"/>
      <c r="DC127" s="7"/>
      <c r="DD127" s="7"/>
      <c r="DE127" s="7"/>
      <c r="DF127" s="7"/>
      <c r="DG127" s="7"/>
      <c r="DH127" s="7"/>
      <c r="DI127" s="7"/>
      <c r="DJ127" s="7"/>
      <c r="DK127" s="7"/>
      <c r="DL127" s="7"/>
      <c r="DM127" s="7"/>
      <c r="DN127" s="7"/>
      <c r="DO127" s="7"/>
      <c r="DP127" s="7"/>
      <c r="DQ127" s="7"/>
      <c r="DR127" s="7"/>
      <c r="DS127" s="7"/>
      <c r="DT127" s="7"/>
      <c r="DU127" s="7"/>
      <c r="DV127" s="7"/>
      <c r="DW127" s="7"/>
      <c r="DX127" s="7"/>
      <c r="DY127" s="7"/>
      <c r="DZ127" s="7"/>
      <c r="EA127" s="7"/>
      <c r="EB127" s="7"/>
      <c r="EC127" s="7"/>
      <c r="ED127" s="7"/>
      <c r="EE127" s="7"/>
      <c r="EF127" s="7"/>
      <c r="EG127" s="7"/>
      <c r="EH127" s="7"/>
      <c r="EI127" s="7"/>
      <c r="EJ127" s="7"/>
      <c r="EK127" s="7"/>
      <c r="EL127" s="7"/>
      <c r="EM127" s="7"/>
      <c r="EN127" s="7"/>
      <c r="EO127" s="7"/>
      <c r="EP127" s="7"/>
      <c r="EQ127" s="7"/>
      <c r="ER127" s="7"/>
      <c r="ES127" s="7"/>
      <c r="ET127" s="7"/>
      <c r="EU127" s="7"/>
      <c r="EV127" s="7"/>
      <c r="EW127" s="7"/>
      <c r="EX127" s="7"/>
      <c r="EY127" s="7"/>
      <c r="EZ127" s="7"/>
      <c r="FA127" s="7"/>
      <c r="FB127" s="7"/>
      <c r="FC127" s="7"/>
      <c r="FD127" s="7"/>
      <c r="FE127" s="7"/>
      <c r="FF127" s="7"/>
      <c r="FG127" s="7"/>
      <c r="FH127" s="7"/>
      <c r="FI127" s="7"/>
      <c r="FJ127" s="7"/>
      <c r="FK127" s="7"/>
      <c r="FL127" s="7"/>
      <c r="FM127" s="7"/>
      <c r="FN127" s="7"/>
      <c r="FO127" s="7"/>
      <c r="FP127" s="7"/>
      <c r="FQ127" s="7"/>
      <c r="FR127" s="7"/>
      <c r="FS127" s="7"/>
      <c r="FT127" s="7"/>
      <c r="FU127" s="7"/>
      <c r="FV127" s="7"/>
      <c r="FW127" s="7"/>
      <c r="FX127" s="7"/>
      <c r="FY127" s="7"/>
      <c r="FZ127" s="7"/>
      <c r="GA127" s="7"/>
      <c r="GB127" s="7"/>
      <c r="GC127" s="7"/>
      <c r="GD127" s="7"/>
      <c r="GE127" s="7"/>
      <c r="GF127" s="7"/>
      <c r="GG127" s="7"/>
      <c r="GH127" s="7"/>
      <c r="GI127" s="7"/>
      <c r="GJ127" s="7"/>
      <c r="GK127" s="7"/>
      <c r="GL127" s="7"/>
      <c r="GM127" s="7"/>
      <c r="GN127" s="7"/>
      <c r="GO127" s="7"/>
      <c r="GP127" s="7"/>
      <c r="GQ127" s="7"/>
      <c r="GR127" s="7"/>
      <c r="GS127" s="7"/>
      <c r="GT127" s="7"/>
      <c r="GU127" s="7"/>
      <c r="GV127" s="7"/>
      <c r="GW127" s="7"/>
      <c r="GX127" s="7"/>
      <c r="GY127" s="7"/>
      <c r="GZ127" s="7"/>
      <c r="HA127" s="7"/>
      <c r="HB127" s="7"/>
      <c r="HC127" s="7"/>
      <c r="HD127" s="7"/>
      <c r="HE127" s="7"/>
      <c r="HF127" s="7"/>
      <c r="HG127" s="7"/>
      <c r="HH127" s="7"/>
      <c r="HI127" s="7"/>
      <c r="HJ127" s="7"/>
      <c r="HK127" s="7"/>
      <c r="HL127" s="7"/>
      <c r="HM127" s="7"/>
      <c r="HN127" s="7"/>
      <c r="HO127" s="7"/>
      <c r="HP127" s="7"/>
      <c r="HQ127" s="7"/>
      <c r="HR127" s="7"/>
      <c r="HS127" s="7"/>
      <c r="HT127" s="7"/>
      <c r="HU127" s="7"/>
      <c r="HV127" s="7"/>
      <c r="HW127" s="7"/>
      <c r="HX127" s="7"/>
      <c r="HY127" s="7"/>
      <c r="HZ127" s="7"/>
      <c r="IA127" s="7"/>
      <c r="IB127" s="7"/>
      <c r="IC127" s="7"/>
      <c r="ID127" s="7"/>
      <c r="IE127" s="7"/>
      <c r="IF127" s="7"/>
      <c r="IG127" s="7"/>
      <c r="IH127" s="7"/>
      <c r="II127" s="7"/>
      <c r="IJ127" s="7"/>
      <c r="IK127" s="7"/>
      <c r="IL127" s="7"/>
      <c r="IM127" s="7"/>
      <c r="IN127" s="7"/>
      <c r="IO127" s="7"/>
      <c r="IP127" s="7"/>
      <c r="IQ127" s="7"/>
      <c r="IR127" s="7"/>
      <c r="IS127" s="7"/>
      <c r="IT127" s="7"/>
      <c r="IU127" s="7"/>
      <c r="IV127" s="7"/>
      <c r="IW127" s="7"/>
      <c r="IX127" s="7"/>
      <c r="JA127" s="113"/>
      <c r="JB127" s="113"/>
      <c r="JC127" s="113"/>
      <c r="JD127" s="66">
        <f>SUM((TEXT(JA127,"[M]")/60)*'Income Person-hours'!$D$3,(TEXT(JB127,"[M]")/60)*'Income Person-hours'!$D$4,(TEXT(JC127,"[M]")/60)*'Income Person-hours'!$D$5)</f>
        <v>0</v>
      </c>
    </row>
    <row r="128" spans="1:264" s="11" customFormat="1" ht="11.25" hidden="1">
      <c r="A128" s="30">
        <v>5.16</v>
      </c>
      <c r="B128" s="116"/>
      <c r="C128" s="107"/>
      <c r="D128" s="12" t="str">
        <f>IF(OR(j_WEEKDAY(J_ADDDAY(VLOOKUP(I128,A:F,6,FALSE),H128,1),0)=6,SUMIFS(Holieday[ok],Holieday[date],J_ADDDAY(VLOOKUP(I128,A:F,6,FALSE),H128,1)))=FALSE(),J_ADDDAY(VLOOKUP(I128,A:F,6,FALSE),H128,1),IF(OR(j_WEEKDAY(J_ADDDAY(VLOOKUP(I128,A:F,6,FALSE),H128+1,1),0)=6,SUMIFS(Holieday[ok],Holieday[date],J_ADDDAY(VLOOKUP(I128,A:F,6,FALSE),H128+1,1)))=FALSE(),J_ADDDAY(VLOOKUP(I128,A:F,6,FALSE),H128+1,1),IF(OR(j_WEEKDAY(J_ADDDAY(VLOOKUP(I128,A:F,6,FALSE),H128+2,1),0)=6,SUMIFS(Holieday[ok],Holieday[date],J_ADDDAY(VLOOKUP(I128,A:F,6,FALSE),H128+2,1)))=FALSE(),J_ADDDAY(VLOOKUP(I128,A:F,6,FALSE),H128+2,1),IF(OR(j_WEEKDAY(J_ADDDAY(VLOOKUP(I128,A:F,6,FALSE),H128+3,1),0)=6,SUMIFS(Holieday[ok],Holieday[date],J_ADDDAY(VLOOKUP(I128,A:F,6,FALSE),H128+3,1)))=FALSE(),J_ADDDAY(VLOOKUP(I128,A:F,6,FALSE),H128+3,1),IF(OR(j_WEEKDAY(J_ADDDAY(VLOOKUP(I128,A:F,6,FALSE),H128+4,1),0)=6,SUMIFS(Holieday[ok],Holieday[date],J_ADDDAY(VLOOKUP(I128,A:F,6,FALSE),H128+4,1)))=FALSE(),J_ADDDAY(VLOOKUP(I128,A:F,6,FALSE),H128+4,1),J_ADDDAY(VLOOKUP(I128,A:F,6,FALSE),H128+5,1))))))</f>
        <v>1398/09/11</v>
      </c>
      <c r="E128" s="1">
        <f t="shared" si="42"/>
        <v>13980911</v>
      </c>
      <c r="F128" s="12" t="str">
        <f>IF(N128=0,J_SUBDAY(D128,1,1),IF((N128-NETWORKDAYS.INTL(J_GregorianDate(D128,1),J_GregorianDate(J_SUBDAY(J_ADDDAY(D128,N128,1),1,1),1),16,1)-SUMIFS(Holieday[ok],Holieday[date],CONCATENATE("&gt;","=",D128),Holieday[date],CONCATENATE("&lt;","=",J_SUBDAY(J_ADDDAY(D128,N128,1),1,1)))+SUMIFS(Holieday[Friday],Holieday[date],CONCATENATE("&gt;","=",D128),Holieday[date],CONCATENATE("&lt;","=",J_SUBDAY(J_ADDDAY(D128,N128,1),1,1))))=0,J_SUBDAY(J_ADDDAY(D128,N128,1),1,1),IF((N128-NETWORKDAYS.INTL(J_GregorianDate(D128,1),J_GregorianDate(J_SUBDAY(J_ADDDAY(D128,N128,1),1,1),1),16,1)-SUMIFS(Holieday[ok],Holieday[date],CONCATENATE("&gt;","=",D128),Holieday[date],CONCATENATE("&lt;","=",J_SUBDAY(J_ADDDAY(D128,N128,1),1,1)))+SUMIFS(Holieday[Friday],Holieday[date],CONCATENATE("&gt;","=",D128),Holieday[date],CONCATENATE("&lt;","=",J_SUBDAY(J_ADDDAY(D128,N128,1),1,1))))=1,J_SUBDAY(J_ADDDAY(D128,N128+1,1),1,1),IF((N128-NETWORKDAYS.INTL(J_GregorianDate(D128,1),J_GregorianDate(J_SUBDAY(J_ADDDAY(D128,N128,1),1,1),1),16,1)-SUMIFS(Holieday[ok],Holieday[date],CONCATENATE("&gt;","=",D128),Holieday[date],CONCATENATE("&lt;","=",J_SUBDAY(J_ADDDAY(D128,N128,1),1,1)))+SUMIFS(Holieday[Friday],Holieday[date],CONCATENATE("&gt;","=",D128),Holieday[date],CONCATENATE("&lt;","=",J_SUBDAY(J_ADDDAY(D128,N128,1),1,1))))=2,J_SUBDAY(J_ADDDAY(D128,N128+2,1),1,1),J_SUBDAY(J_ADDDAY(D128,N128+3,1),1,1)))))</f>
        <v>1398/09/10</v>
      </c>
      <c r="G128" s="2">
        <f t="shared" si="43"/>
        <v>13980910</v>
      </c>
      <c r="H128" s="109"/>
      <c r="I128" s="110">
        <v>5.7</v>
      </c>
      <c r="J128" s="9">
        <f>j_WEEKDAY(D128,2)</f>
        <v>2</v>
      </c>
      <c r="K128" s="21">
        <f t="shared" si="41"/>
        <v>0</v>
      </c>
      <c r="L128" s="8">
        <f t="shared" si="38"/>
        <v>0</v>
      </c>
      <c r="M128" s="111">
        <v>0</v>
      </c>
      <c r="N128" s="108">
        <v>0</v>
      </c>
      <c r="O128" s="10">
        <f t="shared" si="39"/>
        <v>0</v>
      </c>
      <c r="P128" s="10">
        <f>VALUE(J_normdate(J_ADDDAY($D128,$O128,1)))</f>
        <v>13980911</v>
      </c>
      <c r="Q128" s="9">
        <f t="shared" si="40"/>
        <v>0</v>
      </c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  <c r="BB128" s="7"/>
      <c r="BC128" s="7"/>
      <c r="BD128" s="7"/>
      <c r="BE128" s="7"/>
      <c r="BF128" s="7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7"/>
      <c r="BV128" s="7"/>
      <c r="BW128" s="7"/>
      <c r="BX128" s="7"/>
      <c r="BY128" s="7"/>
      <c r="BZ128" s="7"/>
      <c r="CA128" s="7"/>
      <c r="CB128" s="7"/>
      <c r="CC128" s="7"/>
      <c r="CD128" s="7"/>
      <c r="CE128" s="7"/>
      <c r="CF128" s="7"/>
      <c r="CG128" s="7"/>
      <c r="CH128" s="7"/>
      <c r="CI128" s="7"/>
      <c r="CJ128" s="7"/>
      <c r="CK128" s="7"/>
      <c r="CL128" s="7"/>
      <c r="CM128" s="7"/>
      <c r="CN128" s="7"/>
      <c r="CO128" s="7"/>
      <c r="CP128" s="7"/>
      <c r="CQ128" s="7"/>
      <c r="CR128" s="7"/>
      <c r="CS128" s="7"/>
      <c r="CT128" s="7"/>
      <c r="CU128" s="7"/>
      <c r="CV128" s="7"/>
      <c r="CW128" s="7"/>
      <c r="CX128" s="7"/>
      <c r="CY128" s="7"/>
      <c r="CZ128" s="7"/>
      <c r="DA128" s="7"/>
      <c r="DB128" s="7"/>
      <c r="DC128" s="7"/>
      <c r="DD128" s="7"/>
      <c r="DE128" s="7"/>
      <c r="DF128" s="7"/>
      <c r="DG128" s="7"/>
      <c r="DH128" s="7"/>
      <c r="DI128" s="7"/>
      <c r="DJ128" s="7"/>
      <c r="DK128" s="7"/>
      <c r="DL128" s="7"/>
      <c r="DM128" s="7"/>
      <c r="DN128" s="7"/>
      <c r="DO128" s="7"/>
      <c r="DP128" s="7"/>
      <c r="DQ128" s="7"/>
      <c r="DR128" s="7"/>
      <c r="DS128" s="7"/>
      <c r="DT128" s="7"/>
      <c r="DU128" s="7"/>
      <c r="DV128" s="7"/>
      <c r="DW128" s="7"/>
      <c r="DX128" s="7"/>
      <c r="DY128" s="7"/>
      <c r="DZ128" s="7"/>
      <c r="EA128" s="7"/>
      <c r="EB128" s="7"/>
      <c r="EC128" s="7"/>
      <c r="ED128" s="7"/>
      <c r="EE128" s="7"/>
      <c r="EF128" s="7"/>
      <c r="EG128" s="7"/>
      <c r="EH128" s="7"/>
      <c r="EI128" s="7"/>
      <c r="EJ128" s="7"/>
      <c r="EK128" s="7"/>
      <c r="EL128" s="7"/>
      <c r="EM128" s="7"/>
      <c r="EN128" s="7"/>
      <c r="EO128" s="7"/>
      <c r="EP128" s="7"/>
      <c r="EQ128" s="7"/>
      <c r="ER128" s="7"/>
      <c r="ES128" s="7"/>
      <c r="ET128" s="7"/>
      <c r="EU128" s="7"/>
      <c r="EV128" s="7"/>
      <c r="EW128" s="7"/>
      <c r="EX128" s="7"/>
      <c r="EY128" s="7"/>
      <c r="EZ128" s="7"/>
      <c r="FA128" s="7"/>
      <c r="FB128" s="7"/>
      <c r="FC128" s="7"/>
      <c r="FD128" s="7"/>
      <c r="FE128" s="7"/>
      <c r="FF128" s="7"/>
      <c r="FG128" s="7"/>
      <c r="FH128" s="7"/>
      <c r="FI128" s="7"/>
      <c r="FJ128" s="7"/>
      <c r="FK128" s="7"/>
      <c r="FL128" s="7"/>
      <c r="FM128" s="7"/>
      <c r="FN128" s="7"/>
      <c r="FO128" s="7"/>
      <c r="FP128" s="7"/>
      <c r="FQ128" s="7"/>
      <c r="FR128" s="7"/>
      <c r="FS128" s="7"/>
      <c r="FT128" s="7"/>
      <c r="FU128" s="7"/>
      <c r="FV128" s="7"/>
      <c r="FW128" s="7"/>
      <c r="FX128" s="7"/>
      <c r="FY128" s="7"/>
      <c r="FZ128" s="7"/>
      <c r="GA128" s="7"/>
      <c r="GB128" s="7"/>
      <c r="GC128" s="7"/>
      <c r="GD128" s="7"/>
      <c r="GE128" s="7"/>
      <c r="GF128" s="7"/>
      <c r="GG128" s="7"/>
      <c r="GH128" s="7"/>
      <c r="GI128" s="7"/>
      <c r="GJ128" s="7"/>
      <c r="GK128" s="7"/>
      <c r="GL128" s="7"/>
      <c r="GM128" s="7"/>
      <c r="GN128" s="7"/>
      <c r="GO128" s="7"/>
      <c r="GP128" s="7"/>
      <c r="GQ128" s="7"/>
      <c r="GR128" s="7"/>
      <c r="GS128" s="7"/>
      <c r="GT128" s="7"/>
      <c r="GU128" s="7"/>
      <c r="GV128" s="7"/>
      <c r="GW128" s="7"/>
      <c r="GX128" s="7"/>
      <c r="GY128" s="7"/>
      <c r="GZ128" s="7"/>
      <c r="HA128" s="7"/>
      <c r="HB128" s="7"/>
      <c r="HC128" s="7"/>
      <c r="HD128" s="7"/>
      <c r="HE128" s="7"/>
      <c r="HF128" s="7"/>
      <c r="HG128" s="7"/>
      <c r="HH128" s="7"/>
      <c r="HI128" s="7"/>
      <c r="HJ128" s="7"/>
      <c r="HK128" s="7"/>
      <c r="HL128" s="7"/>
      <c r="HM128" s="7"/>
      <c r="HN128" s="7"/>
      <c r="HO128" s="7"/>
      <c r="HP128" s="7"/>
      <c r="HQ128" s="7"/>
      <c r="HR128" s="7"/>
      <c r="HS128" s="7"/>
      <c r="HT128" s="7"/>
      <c r="HU128" s="7"/>
      <c r="HV128" s="7"/>
      <c r="HW128" s="7"/>
      <c r="HX128" s="7"/>
      <c r="HY128" s="7"/>
      <c r="HZ128" s="7"/>
      <c r="IA128" s="7"/>
      <c r="IB128" s="7"/>
      <c r="IC128" s="7"/>
      <c r="ID128" s="7"/>
      <c r="IE128" s="7"/>
      <c r="IF128" s="7"/>
      <c r="IG128" s="7"/>
      <c r="IH128" s="7"/>
      <c r="II128" s="7"/>
      <c r="IJ128" s="7"/>
      <c r="IK128" s="7"/>
      <c r="IL128" s="7"/>
      <c r="IM128" s="7"/>
      <c r="IN128" s="7"/>
      <c r="IO128" s="7"/>
      <c r="IP128" s="7"/>
      <c r="IQ128" s="7"/>
      <c r="IR128" s="7"/>
      <c r="IS128" s="7"/>
      <c r="IT128" s="7"/>
      <c r="IU128" s="7"/>
      <c r="IV128" s="7"/>
      <c r="IW128" s="7"/>
      <c r="IX128" s="7"/>
      <c r="JA128" s="113"/>
      <c r="JB128" s="113"/>
      <c r="JC128" s="113"/>
      <c r="JD128" s="66">
        <f>SUM((TEXT(JA128,"[M]")/60)*'Income Person-hours'!$D$3,(TEXT(JB128,"[M]")/60)*'Income Person-hours'!$D$4,(TEXT(JC128,"[M]")/60)*'Income Person-hours'!$D$5)</f>
        <v>0</v>
      </c>
    </row>
    <row r="129" spans="1:16382" s="11" customFormat="1" ht="11.25" hidden="1">
      <c r="A129" s="30">
        <v>5.17</v>
      </c>
      <c r="B129" s="116"/>
      <c r="C129" s="107"/>
      <c r="D129" s="12" t="str">
        <f>IF(OR(j_WEEKDAY(J_ADDDAY(VLOOKUP(I129,A:F,6,FALSE),H129,1),0)=6,SUMIFS(Holieday[ok],Holieday[date],J_ADDDAY(VLOOKUP(I129,A:F,6,FALSE),H129,1)))=FALSE(),J_ADDDAY(VLOOKUP(I129,A:F,6,FALSE),H129,1),IF(OR(j_WEEKDAY(J_ADDDAY(VLOOKUP(I129,A:F,6,FALSE),H129+1,1),0)=6,SUMIFS(Holieday[ok],Holieday[date],J_ADDDAY(VLOOKUP(I129,A:F,6,FALSE),H129+1,1)))=FALSE(),J_ADDDAY(VLOOKUP(I129,A:F,6,FALSE),H129+1,1),IF(OR(j_WEEKDAY(J_ADDDAY(VLOOKUP(I129,A:F,6,FALSE),H129+2,1),0)=6,SUMIFS(Holieday[ok],Holieday[date],J_ADDDAY(VLOOKUP(I129,A:F,6,FALSE),H129+2,1)))=FALSE(),J_ADDDAY(VLOOKUP(I129,A:F,6,FALSE),H129+2,1),IF(OR(j_WEEKDAY(J_ADDDAY(VLOOKUP(I129,A:F,6,FALSE),H129+3,1),0)=6,SUMIFS(Holieday[ok],Holieday[date],J_ADDDAY(VLOOKUP(I129,A:F,6,FALSE),H129+3,1)))=FALSE(),J_ADDDAY(VLOOKUP(I129,A:F,6,FALSE),H129+3,1),IF(OR(j_WEEKDAY(J_ADDDAY(VLOOKUP(I129,A:F,6,FALSE),H129+4,1),0)=6,SUMIFS(Holieday[ok],Holieday[date],J_ADDDAY(VLOOKUP(I129,A:F,6,FALSE),H129+4,1)))=FALSE(),J_ADDDAY(VLOOKUP(I129,A:F,6,FALSE),H129+4,1),J_ADDDAY(VLOOKUP(I129,A:F,6,FALSE),H129+5,1))))))</f>
        <v>1398/09/11</v>
      </c>
      <c r="E129" s="1">
        <f t="shared" si="42"/>
        <v>13980911</v>
      </c>
      <c r="F129" s="12" t="str">
        <f>IF(N129=0,J_SUBDAY(D129,1,1),IF((N129-NETWORKDAYS.INTL(J_GregorianDate(D129,1),J_GregorianDate(J_SUBDAY(J_ADDDAY(D129,N129,1),1,1),1),16,1)-SUMIFS(Holieday[ok],Holieday[date],CONCATENATE("&gt;","=",D129),Holieday[date],CONCATENATE("&lt;","=",J_SUBDAY(J_ADDDAY(D129,N129,1),1,1)))+SUMIFS(Holieday[Friday],Holieday[date],CONCATENATE("&gt;","=",D129),Holieday[date],CONCATENATE("&lt;","=",J_SUBDAY(J_ADDDAY(D129,N129,1),1,1))))=0,J_SUBDAY(J_ADDDAY(D129,N129,1),1,1),IF((N129-NETWORKDAYS.INTL(J_GregorianDate(D129,1),J_GregorianDate(J_SUBDAY(J_ADDDAY(D129,N129,1),1,1),1),16,1)-SUMIFS(Holieday[ok],Holieday[date],CONCATENATE("&gt;","=",D129),Holieday[date],CONCATENATE("&lt;","=",J_SUBDAY(J_ADDDAY(D129,N129,1),1,1)))+SUMIFS(Holieday[Friday],Holieday[date],CONCATENATE("&gt;","=",D129),Holieday[date],CONCATENATE("&lt;","=",J_SUBDAY(J_ADDDAY(D129,N129,1),1,1))))=1,J_SUBDAY(J_ADDDAY(D129,N129+1,1),1,1),IF((N129-NETWORKDAYS.INTL(J_GregorianDate(D129,1),J_GregorianDate(J_SUBDAY(J_ADDDAY(D129,N129,1),1,1),1),16,1)-SUMIFS(Holieday[ok],Holieday[date],CONCATENATE("&gt;","=",D129),Holieday[date],CONCATENATE("&lt;","=",J_SUBDAY(J_ADDDAY(D129,N129,1),1,1)))+SUMIFS(Holieday[Friday],Holieday[date],CONCATENATE("&gt;","=",D129),Holieday[date],CONCATENATE("&lt;","=",J_SUBDAY(J_ADDDAY(D129,N129,1),1,1))))=2,J_SUBDAY(J_ADDDAY(D129,N129+2,1),1,1),J_SUBDAY(J_ADDDAY(D129,N129+3,1),1,1)))))</f>
        <v>1398/09/10</v>
      </c>
      <c r="G129" s="2">
        <f t="shared" si="43"/>
        <v>13980910</v>
      </c>
      <c r="H129" s="109"/>
      <c r="I129" s="110">
        <v>5.7</v>
      </c>
      <c r="J129" s="9">
        <f>j_WEEKDAY(D129,2)</f>
        <v>2</v>
      </c>
      <c r="K129" s="21">
        <f t="shared" si="41"/>
        <v>0</v>
      </c>
      <c r="L129" s="8">
        <f t="shared" si="38"/>
        <v>0</v>
      </c>
      <c r="M129" s="111">
        <v>0</v>
      </c>
      <c r="N129" s="108">
        <v>0</v>
      </c>
      <c r="O129" s="10">
        <f t="shared" si="39"/>
        <v>0</v>
      </c>
      <c r="P129" s="10">
        <f>VALUE(J_normdate(J_ADDDAY($D129,$O129,1)))</f>
        <v>13980911</v>
      </c>
      <c r="Q129" s="9">
        <f t="shared" si="40"/>
        <v>0</v>
      </c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  <c r="BB129" s="7"/>
      <c r="BC129" s="7"/>
      <c r="BD129" s="7"/>
      <c r="BE129" s="7"/>
      <c r="BF129" s="7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7"/>
      <c r="BV129" s="7"/>
      <c r="BW129" s="7"/>
      <c r="BX129" s="7"/>
      <c r="BY129" s="7"/>
      <c r="BZ129" s="7"/>
      <c r="CA129" s="7"/>
      <c r="CB129" s="7"/>
      <c r="CC129" s="7"/>
      <c r="CD129" s="7"/>
      <c r="CE129" s="7"/>
      <c r="CF129" s="7"/>
      <c r="CG129" s="7"/>
      <c r="CH129" s="7"/>
      <c r="CI129" s="7"/>
      <c r="CJ129" s="7"/>
      <c r="CK129" s="7"/>
      <c r="CL129" s="7"/>
      <c r="CM129" s="7"/>
      <c r="CN129" s="7"/>
      <c r="CO129" s="7"/>
      <c r="CP129" s="7"/>
      <c r="CQ129" s="7"/>
      <c r="CR129" s="7"/>
      <c r="CS129" s="7"/>
      <c r="CT129" s="7"/>
      <c r="CU129" s="7"/>
      <c r="CV129" s="7"/>
      <c r="CW129" s="7"/>
      <c r="CX129" s="7"/>
      <c r="CY129" s="7"/>
      <c r="CZ129" s="7"/>
      <c r="DA129" s="7"/>
      <c r="DB129" s="7"/>
      <c r="DC129" s="7"/>
      <c r="DD129" s="7"/>
      <c r="DE129" s="7"/>
      <c r="DF129" s="7"/>
      <c r="DG129" s="7"/>
      <c r="DH129" s="7"/>
      <c r="DI129" s="7"/>
      <c r="DJ129" s="7"/>
      <c r="DK129" s="7"/>
      <c r="DL129" s="7"/>
      <c r="DM129" s="7"/>
      <c r="DN129" s="7"/>
      <c r="DO129" s="7"/>
      <c r="DP129" s="7"/>
      <c r="DQ129" s="7"/>
      <c r="DR129" s="7"/>
      <c r="DS129" s="7"/>
      <c r="DT129" s="7"/>
      <c r="DU129" s="7"/>
      <c r="DV129" s="7"/>
      <c r="DW129" s="7"/>
      <c r="DX129" s="7"/>
      <c r="DY129" s="7"/>
      <c r="DZ129" s="7"/>
      <c r="EA129" s="7"/>
      <c r="EB129" s="7"/>
      <c r="EC129" s="7"/>
      <c r="ED129" s="7"/>
      <c r="EE129" s="7"/>
      <c r="EF129" s="7"/>
      <c r="EG129" s="7"/>
      <c r="EH129" s="7"/>
      <c r="EI129" s="7"/>
      <c r="EJ129" s="7"/>
      <c r="EK129" s="7"/>
      <c r="EL129" s="7"/>
      <c r="EM129" s="7"/>
      <c r="EN129" s="7"/>
      <c r="EO129" s="7"/>
      <c r="EP129" s="7"/>
      <c r="EQ129" s="7"/>
      <c r="ER129" s="7"/>
      <c r="ES129" s="7"/>
      <c r="ET129" s="7"/>
      <c r="EU129" s="7"/>
      <c r="EV129" s="7"/>
      <c r="EW129" s="7"/>
      <c r="EX129" s="7"/>
      <c r="EY129" s="7"/>
      <c r="EZ129" s="7"/>
      <c r="FA129" s="7"/>
      <c r="FB129" s="7"/>
      <c r="FC129" s="7"/>
      <c r="FD129" s="7"/>
      <c r="FE129" s="7"/>
      <c r="FF129" s="7"/>
      <c r="FG129" s="7"/>
      <c r="FH129" s="7"/>
      <c r="FI129" s="7"/>
      <c r="FJ129" s="7"/>
      <c r="FK129" s="7"/>
      <c r="FL129" s="7"/>
      <c r="FM129" s="7"/>
      <c r="FN129" s="7"/>
      <c r="FO129" s="7"/>
      <c r="FP129" s="7"/>
      <c r="FQ129" s="7"/>
      <c r="FR129" s="7"/>
      <c r="FS129" s="7"/>
      <c r="FT129" s="7"/>
      <c r="FU129" s="7"/>
      <c r="FV129" s="7"/>
      <c r="FW129" s="7"/>
      <c r="FX129" s="7"/>
      <c r="FY129" s="7"/>
      <c r="FZ129" s="7"/>
      <c r="GA129" s="7"/>
      <c r="GB129" s="7"/>
      <c r="GC129" s="7"/>
      <c r="GD129" s="7"/>
      <c r="GE129" s="7"/>
      <c r="GF129" s="7"/>
      <c r="GG129" s="7"/>
      <c r="GH129" s="7"/>
      <c r="GI129" s="7"/>
      <c r="GJ129" s="7"/>
      <c r="GK129" s="7"/>
      <c r="GL129" s="7"/>
      <c r="GM129" s="7"/>
      <c r="GN129" s="7"/>
      <c r="GO129" s="7"/>
      <c r="GP129" s="7"/>
      <c r="GQ129" s="7"/>
      <c r="GR129" s="7"/>
      <c r="GS129" s="7"/>
      <c r="GT129" s="7"/>
      <c r="GU129" s="7"/>
      <c r="GV129" s="7"/>
      <c r="GW129" s="7"/>
      <c r="GX129" s="7"/>
      <c r="GY129" s="7"/>
      <c r="GZ129" s="7"/>
      <c r="HA129" s="7"/>
      <c r="HB129" s="7"/>
      <c r="HC129" s="7"/>
      <c r="HD129" s="7"/>
      <c r="HE129" s="7"/>
      <c r="HF129" s="7"/>
      <c r="HG129" s="7"/>
      <c r="HH129" s="7"/>
      <c r="HI129" s="7"/>
      <c r="HJ129" s="7"/>
      <c r="HK129" s="7"/>
      <c r="HL129" s="7"/>
      <c r="HM129" s="7"/>
      <c r="HN129" s="7"/>
      <c r="HO129" s="7"/>
      <c r="HP129" s="7"/>
      <c r="HQ129" s="7"/>
      <c r="HR129" s="7"/>
      <c r="HS129" s="7"/>
      <c r="HT129" s="7"/>
      <c r="HU129" s="7"/>
      <c r="HV129" s="7"/>
      <c r="HW129" s="7"/>
      <c r="HX129" s="7"/>
      <c r="HY129" s="7"/>
      <c r="HZ129" s="7"/>
      <c r="IA129" s="7"/>
      <c r="IB129" s="7"/>
      <c r="IC129" s="7"/>
      <c r="ID129" s="7"/>
      <c r="IE129" s="7"/>
      <c r="IF129" s="7"/>
      <c r="IG129" s="7"/>
      <c r="IH129" s="7"/>
      <c r="II129" s="7"/>
      <c r="IJ129" s="7"/>
      <c r="IK129" s="7"/>
      <c r="IL129" s="7"/>
      <c r="IM129" s="7"/>
      <c r="IN129" s="7"/>
      <c r="IO129" s="7"/>
      <c r="IP129" s="7"/>
      <c r="IQ129" s="7"/>
      <c r="IR129" s="7"/>
      <c r="IS129" s="7"/>
      <c r="IT129" s="7"/>
      <c r="IU129" s="7"/>
      <c r="IV129" s="7"/>
      <c r="IW129" s="7"/>
      <c r="IX129" s="7"/>
      <c r="JA129" s="113"/>
      <c r="JB129" s="113"/>
      <c r="JC129" s="113"/>
      <c r="JD129" s="66">
        <f>SUM((TEXT(JA129,"[M]")/60)*'Income Person-hours'!$D$3,(TEXT(JB129,"[M]")/60)*'Income Person-hours'!$D$4,(TEXT(JC129,"[M]")/60)*'Income Person-hours'!$D$5)</f>
        <v>0</v>
      </c>
    </row>
    <row r="130" spans="1:16382" s="11" customFormat="1" ht="11.25" hidden="1">
      <c r="A130" s="30">
        <v>5.18</v>
      </c>
      <c r="B130" s="116"/>
      <c r="C130" s="107"/>
      <c r="D130" s="12" t="str">
        <f>IF(OR(j_WEEKDAY(J_ADDDAY(VLOOKUP(I130,A:F,6,FALSE),H130,1),0)=6,SUMIFS(Holieday[ok],Holieday[date],J_ADDDAY(VLOOKUP(I130,A:F,6,FALSE),H130,1)))=FALSE(),J_ADDDAY(VLOOKUP(I130,A:F,6,FALSE),H130,1),IF(OR(j_WEEKDAY(J_ADDDAY(VLOOKUP(I130,A:F,6,FALSE),H130+1,1),0)=6,SUMIFS(Holieday[ok],Holieday[date],J_ADDDAY(VLOOKUP(I130,A:F,6,FALSE),H130+1,1)))=FALSE(),J_ADDDAY(VLOOKUP(I130,A:F,6,FALSE),H130+1,1),IF(OR(j_WEEKDAY(J_ADDDAY(VLOOKUP(I130,A:F,6,FALSE),H130+2,1),0)=6,SUMIFS(Holieday[ok],Holieday[date],J_ADDDAY(VLOOKUP(I130,A:F,6,FALSE),H130+2,1)))=FALSE(),J_ADDDAY(VLOOKUP(I130,A:F,6,FALSE),H130+2,1),IF(OR(j_WEEKDAY(J_ADDDAY(VLOOKUP(I130,A:F,6,FALSE),H130+3,1),0)=6,SUMIFS(Holieday[ok],Holieday[date],J_ADDDAY(VLOOKUP(I130,A:F,6,FALSE),H130+3,1)))=FALSE(),J_ADDDAY(VLOOKUP(I130,A:F,6,FALSE),H130+3,1),IF(OR(j_WEEKDAY(J_ADDDAY(VLOOKUP(I130,A:F,6,FALSE),H130+4,1),0)=6,SUMIFS(Holieday[ok],Holieday[date],J_ADDDAY(VLOOKUP(I130,A:F,6,FALSE),H130+4,1)))=FALSE(),J_ADDDAY(VLOOKUP(I130,A:F,6,FALSE),H130+4,1),J_ADDDAY(VLOOKUP(I130,A:F,6,FALSE),H130+5,1))))))</f>
        <v>1398/09/11</v>
      </c>
      <c r="E130" s="1">
        <f t="shared" si="42"/>
        <v>13980911</v>
      </c>
      <c r="F130" s="12" t="str">
        <f>IF(N130=0,J_SUBDAY(D130,1,1),IF((N130-NETWORKDAYS.INTL(J_GregorianDate(D130,1),J_GregorianDate(J_SUBDAY(J_ADDDAY(D130,N130,1),1,1),1),16,1)-SUMIFS(Holieday[ok],Holieday[date],CONCATENATE("&gt;","=",D130),Holieday[date],CONCATENATE("&lt;","=",J_SUBDAY(J_ADDDAY(D130,N130,1),1,1)))+SUMIFS(Holieday[Friday],Holieday[date],CONCATENATE("&gt;","=",D130),Holieday[date],CONCATENATE("&lt;","=",J_SUBDAY(J_ADDDAY(D130,N130,1),1,1))))=0,J_SUBDAY(J_ADDDAY(D130,N130,1),1,1),IF((N130-NETWORKDAYS.INTL(J_GregorianDate(D130,1),J_GregorianDate(J_SUBDAY(J_ADDDAY(D130,N130,1),1,1),1),16,1)-SUMIFS(Holieday[ok],Holieday[date],CONCATENATE("&gt;","=",D130),Holieday[date],CONCATENATE("&lt;","=",J_SUBDAY(J_ADDDAY(D130,N130,1),1,1)))+SUMIFS(Holieday[Friday],Holieday[date],CONCATENATE("&gt;","=",D130),Holieday[date],CONCATENATE("&lt;","=",J_SUBDAY(J_ADDDAY(D130,N130,1),1,1))))=1,J_SUBDAY(J_ADDDAY(D130,N130+1,1),1,1),IF((N130-NETWORKDAYS.INTL(J_GregorianDate(D130,1),J_GregorianDate(J_SUBDAY(J_ADDDAY(D130,N130,1),1,1),1),16,1)-SUMIFS(Holieday[ok],Holieday[date],CONCATENATE("&gt;","=",D130),Holieday[date],CONCATENATE("&lt;","=",J_SUBDAY(J_ADDDAY(D130,N130,1),1,1)))+SUMIFS(Holieday[Friday],Holieday[date],CONCATENATE("&gt;","=",D130),Holieday[date],CONCATENATE("&lt;","=",J_SUBDAY(J_ADDDAY(D130,N130,1),1,1))))=2,J_SUBDAY(J_ADDDAY(D130,N130+2,1),1,1),J_SUBDAY(J_ADDDAY(D130,N130+3,1),1,1)))))</f>
        <v>1398/09/10</v>
      </c>
      <c r="G130" s="2">
        <f t="shared" si="43"/>
        <v>13980910</v>
      </c>
      <c r="H130" s="109"/>
      <c r="I130" s="110">
        <v>5.7</v>
      </c>
      <c r="J130" s="9">
        <f>j_WEEKDAY(D130,2)</f>
        <v>2</v>
      </c>
      <c r="K130" s="21">
        <f t="shared" si="41"/>
        <v>0</v>
      </c>
      <c r="L130" s="8">
        <f t="shared" si="38"/>
        <v>0</v>
      </c>
      <c r="M130" s="111">
        <v>0</v>
      </c>
      <c r="N130" s="108">
        <v>0</v>
      </c>
      <c r="O130" s="10">
        <f t="shared" si="39"/>
        <v>0</v>
      </c>
      <c r="P130" s="10">
        <f>VALUE(J_normdate(J_ADDDAY($D130,$O130,1)))</f>
        <v>13980911</v>
      </c>
      <c r="Q130" s="9">
        <f t="shared" si="40"/>
        <v>0</v>
      </c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  <c r="BB130" s="7"/>
      <c r="BC130" s="7"/>
      <c r="BD130" s="7"/>
      <c r="BE130" s="7"/>
      <c r="BF130" s="7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7"/>
      <c r="BV130" s="7"/>
      <c r="BW130" s="7"/>
      <c r="BX130" s="7"/>
      <c r="BY130" s="7"/>
      <c r="BZ130" s="7"/>
      <c r="CA130" s="7"/>
      <c r="CB130" s="7"/>
      <c r="CC130" s="7"/>
      <c r="CD130" s="7"/>
      <c r="CE130" s="7"/>
      <c r="CF130" s="7"/>
      <c r="CG130" s="7"/>
      <c r="CH130" s="7"/>
      <c r="CI130" s="7"/>
      <c r="CJ130" s="7"/>
      <c r="CK130" s="7"/>
      <c r="CL130" s="7"/>
      <c r="CM130" s="7"/>
      <c r="CN130" s="7"/>
      <c r="CO130" s="7"/>
      <c r="CP130" s="7"/>
      <c r="CQ130" s="7"/>
      <c r="CR130" s="7"/>
      <c r="CS130" s="7"/>
      <c r="CT130" s="7"/>
      <c r="CU130" s="7"/>
      <c r="CV130" s="7"/>
      <c r="CW130" s="7"/>
      <c r="CX130" s="7"/>
      <c r="CY130" s="7"/>
      <c r="CZ130" s="7"/>
      <c r="DA130" s="7"/>
      <c r="DB130" s="7"/>
      <c r="DC130" s="7"/>
      <c r="DD130" s="7"/>
      <c r="DE130" s="7"/>
      <c r="DF130" s="7"/>
      <c r="DG130" s="7"/>
      <c r="DH130" s="7"/>
      <c r="DI130" s="7"/>
      <c r="DJ130" s="7"/>
      <c r="DK130" s="7"/>
      <c r="DL130" s="7"/>
      <c r="DM130" s="7"/>
      <c r="DN130" s="7"/>
      <c r="DO130" s="7"/>
      <c r="DP130" s="7"/>
      <c r="DQ130" s="7"/>
      <c r="DR130" s="7"/>
      <c r="DS130" s="7"/>
      <c r="DT130" s="7"/>
      <c r="DU130" s="7"/>
      <c r="DV130" s="7"/>
      <c r="DW130" s="7"/>
      <c r="DX130" s="7"/>
      <c r="DY130" s="7"/>
      <c r="DZ130" s="7"/>
      <c r="EA130" s="7"/>
      <c r="EB130" s="7"/>
      <c r="EC130" s="7"/>
      <c r="ED130" s="7"/>
      <c r="EE130" s="7"/>
      <c r="EF130" s="7"/>
      <c r="EG130" s="7"/>
      <c r="EH130" s="7"/>
      <c r="EI130" s="7"/>
      <c r="EJ130" s="7"/>
      <c r="EK130" s="7"/>
      <c r="EL130" s="7"/>
      <c r="EM130" s="7"/>
      <c r="EN130" s="7"/>
      <c r="EO130" s="7"/>
      <c r="EP130" s="7"/>
      <c r="EQ130" s="7"/>
      <c r="ER130" s="7"/>
      <c r="ES130" s="7"/>
      <c r="ET130" s="7"/>
      <c r="EU130" s="7"/>
      <c r="EV130" s="7"/>
      <c r="EW130" s="7"/>
      <c r="EX130" s="7"/>
      <c r="EY130" s="7"/>
      <c r="EZ130" s="7"/>
      <c r="FA130" s="7"/>
      <c r="FB130" s="7"/>
      <c r="FC130" s="7"/>
      <c r="FD130" s="7"/>
      <c r="FE130" s="7"/>
      <c r="FF130" s="7"/>
      <c r="FG130" s="7"/>
      <c r="FH130" s="7"/>
      <c r="FI130" s="7"/>
      <c r="FJ130" s="7"/>
      <c r="FK130" s="7"/>
      <c r="FL130" s="7"/>
      <c r="FM130" s="7"/>
      <c r="FN130" s="7"/>
      <c r="FO130" s="7"/>
      <c r="FP130" s="7"/>
      <c r="FQ130" s="7"/>
      <c r="FR130" s="7"/>
      <c r="FS130" s="7"/>
      <c r="FT130" s="7"/>
      <c r="FU130" s="7"/>
      <c r="FV130" s="7"/>
      <c r="FW130" s="7"/>
      <c r="FX130" s="7"/>
      <c r="FY130" s="7"/>
      <c r="FZ130" s="7"/>
      <c r="GA130" s="7"/>
      <c r="GB130" s="7"/>
      <c r="GC130" s="7"/>
      <c r="GD130" s="7"/>
      <c r="GE130" s="7"/>
      <c r="GF130" s="7"/>
      <c r="GG130" s="7"/>
      <c r="GH130" s="7"/>
      <c r="GI130" s="7"/>
      <c r="GJ130" s="7"/>
      <c r="GK130" s="7"/>
      <c r="GL130" s="7"/>
      <c r="GM130" s="7"/>
      <c r="GN130" s="7"/>
      <c r="GO130" s="7"/>
      <c r="GP130" s="7"/>
      <c r="GQ130" s="7"/>
      <c r="GR130" s="7"/>
      <c r="GS130" s="7"/>
      <c r="GT130" s="7"/>
      <c r="GU130" s="7"/>
      <c r="GV130" s="7"/>
      <c r="GW130" s="7"/>
      <c r="GX130" s="7"/>
      <c r="GY130" s="7"/>
      <c r="GZ130" s="7"/>
      <c r="HA130" s="7"/>
      <c r="HB130" s="7"/>
      <c r="HC130" s="7"/>
      <c r="HD130" s="7"/>
      <c r="HE130" s="7"/>
      <c r="HF130" s="7"/>
      <c r="HG130" s="7"/>
      <c r="HH130" s="7"/>
      <c r="HI130" s="7"/>
      <c r="HJ130" s="7"/>
      <c r="HK130" s="7"/>
      <c r="HL130" s="7"/>
      <c r="HM130" s="7"/>
      <c r="HN130" s="7"/>
      <c r="HO130" s="7"/>
      <c r="HP130" s="7"/>
      <c r="HQ130" s="7"/>
      <c r="HR130" s="7"/>
      <c r="HS130" s="7"/>
      <c r="HT130" s="7"/>
      <c r="HU130" s="7"/>
      <c r="HV130" s="7"/>
      <c r="HW130" s="7"/>
      <c r="HX130" s="7"/>
      <c r="HY130" s="7"/>
      <c r="HZ130" s="7"/>
      <c r="IA130" s="7"/>
      <c r="IB130" s="7"/>
      <c r="IC130" s="7"/>
      <c r="ID130" s="7"/>
      <c r="IE130" s="7"/>
      <c r="IF130" s="7"/>
      <c r="IG130" s="7"/>
      <c r="IH130" s="7"/>
      <c r="II130" s="7"/>
      <c r="IJ130" s="7"/>
      <c r="IK130" s="7"/>
      <c r="IL130" s="7"/>
      <c r="IM130" s="7"/>
      <c r="IN130" s="7"/>
      <c r="IO130" s="7"/>
      <c r="IP130" s="7"/>
      <c r="IQ130" s="7"/>
      <c r="IR130" s="7"/>
      <c r="IS130" s="7"/>
      <c r="IT130" s="7"/>
      <c r="IU130" s="7"/>
      <c r="IV130" s="7"/>
      <c r="IW130" s="7"/>
      <c r="IX130" s="7"/>
      <c r="JA130" s="113"/>
      <c r="JB130" s="113"/>
      <c r="JC130" s="113"/>
      <c r="JD130" s="66">
        <f>SUM((TEXT(JA130,"[M]")/60)*'Income Person-hours'!$D$3,(TEXT(JB130,"[M]")/60)*'Income Person-hours'!$D$4,(TEXT(JC130,"[M]")/60)*'Income Person-hours'!$D$5)</f>
        <v>0</v>
      </c>
    </row>
    <row r="131" spans="1:16382" s="11" customFormat="1" ht="11.25" hidden="1">
      <c r="A131" s="30">
        <v>5.19</v>
      </c>
      <c r="B131" s="116"/>
      <c r="C131" s="107"/>
      <c r="D131" s="12" t="str">
        <f>IF(OR(j_WEEKDAY(J_ADDDAY(VLOOKUP(I131,A:F,6,FALSE),H131,1),0)=6,SUMIFS(Holieday[ok],Holieday[date],J_ADDDAY(VLOOKUP(I131,A:F,6,FALSE),H131,1)))=FALSE(),J_ADDDAY(VLOOKUP(I131,A:F,6,FALSE),H131,1),IF(OR(j_WEEKDAY(J_ADDDAY(VLOOKUP(I131,A:F,6,FALSE),H131+1,1),0)=6,SUMIFS(Holieday[ok],Holieday[date],J_ADDDAY(VLOOKUP(I131,A:F,6,FALSE),H131+1,1)))=FALSE(),J_ADDDAY(VLOOKUP(I131,A:F,6,FALSE),H131+1,1),IF(OR(j_WEEKDAY(J_ADDDAY(VLOOKUP(I131,A:F,6,FALSE),H131+2,1),0)=6,SUMIFS(Holieday[ok],Holieday[date],J_ADDDAY(VLOOKUP(I131,A:F,6,FALSE),H131+2,1)))=FALSE(),J_ADDDAY(VLOOKUP(I131,A:F,6,FALSE),H131+2,1),IF(OR(j_WEEKDAY(J_ADDDAY(VLOOKUP(I131,A:F,6,FALSE),H131+3,1),0)=6,SUMIFS(Holieday[ok],Holieday[date],J_ADDDAY(VLOOKUP(I131,A:F,6,FALSE),H131+3,1)))=FALSE(),J_ADDDAY(VLOOKUP(I131,A:F,6,FALSE),H131+3,1),IF(OR(j_WEEKDAY(J_ADDDAY(VLOOKUP(I131,A:F,6,FALSE),H131+4,1),0)=6,SUMIFS(Holieday[ok],Holieday[date],J_ADDDAY(VLOOKUP(I131,A:F,6,FALSE),H131+4,1)))=FALSE(),J_ADDDAY(VLOOKUP(I131,A:F,6,FALSE),H131+4,1),J_ADDDAY(VLOOKUP(I131,A:F,6,FALSE),H131+5,1))))))</f>
        <v>1398/09/11</v>
      </c>
      <c r="E131" s="1">
        <f t="shared" si="42"/>
        <v>13980911</v>
      </c>
      <c r="F131" s="12" t="str">
        <f>IF(N131=0,J_SUBDAY(D131,1,1),IF((N131-NETWORKDAYS.INTL(J_GregorianDate(D131,1),J_GregorianDate(J_SUBDAY(J_ADDDAY(D131,N131,1),1,1),1),16,1)-SUMIFS(Holieday[ok],Holieday[date],CONCATENATE("&gt;","=",D131),Holieday[date],CONCATENATE("&lt;","=",J_SUBDAY(J_ADDDAY(D131,N131,1),1,1)))+SUMIFS(Holieday[Friday],Holieday[date],CONCATENATE("&gt;","=",D131),Holieday[date],CONCATENATE("&lt;","=",J_SUBDAY(J_ADDDAY(D131,N131,1),1,1))))=0,J_SUBDAY(J_ADDDAY(D131,N131,1),1,1),IF((N131-NETWORKDAYS.INTL(J_GregorianDate(D131,1),J_GregorianDate(J_SUBDAY(J_ADDDAY(D131,N131,1),1,1),1),16,1)-SUMIFS(Holieday[ok],Holieday[date],CONCATENATE("&gt;","=",D131),Holieday[date],CONCATENATE("&lt;","=",J_SUBDAY(J_ADDDAY(D131,N131,1),1,1)))+SUMIFS(Holieday[Friday],Holieday[date],CONCATENATE("&gt;","=",D131),Holieday[date],CONCATENATE("&lt;","=",J_SUBDAY(J_ADDDAY(D131,N131,1),1,1))))=1,J_SUBDAY(J_ADDDAY(D131,N131+1,1),1,1),IF((N131-NETWORKDAYS.INTL(J_GregorianDate(D131,1),J_GregorianDate(J_SUBDAY(J_ADDDAY(D131,N131,1),1,1),1),16,1)-SUMIFS(Holieday[ok],Holieday[date],CONCATENATE("&gt;","=",D131),Holieday[date],CONCATENATE("&lt;","=",J_SUBDAY(J_ADDDAY(D131,N131,1),1,1)))+SUMIFS(Holieday[Friday],Holieday[date],CONCATENATE("&gt;","=",D131),Holieday[date],CONCATENATE("&lt;","=",J_SUBDAY(J_ADDDAY(D131,N131,1),1,1))))=2,J_SUBDAY(J_ADDDAY(D131,N131+2,1),1,1),J_SUBDAY(J_ADDDAY(D131,N131+3,1),1,1)))))</f>
        <v>1398/09/10</v>
      </c>
      <c r="G131" s="2">
        <f t="shared" si="43"/>
        <v>13980910</v>
      </c>
      <c r="H131" s="109"/>
      <c r="I131" s="110">
        <v>5.7</v>
      </c>
      <c r="J131" s="9">
        <f>j_WEEKDAY(D131,2)</f>
        <v>2</v>
      </c>
      <c r="K131" s="21">
        <f t="shared" si="41"/>
        <v>0</v>
      </c>
      <c r="L131" s="8">
        <f t="shared" si="38"/>
        <v>0</v>
      </c>
      <c r="M131" s="111">
        <v>0</v>
      </c>
      <c r="N131" s="108">
        <v>0</v>
      </c>
      <c r="O131" s="10">
        <f t="shared" si="39"/>
        <v>0</v>
      </c>
      <c r="P131" s="10">
        <f>VALUE(J_normdate(J_ADDDAY($D131,$O131,1)))</f>
        <v>13980911</v>
      </c>
      <c r="Q131" s="9">
        <f t="shared" si="40"/>
        <v>0</v>
      </c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7"/>
      <c r="BV131" s="7"/>
      <c r="BW131" s="7"/>
      <c r="BX131" s="7"/>
      <c r="BY131" s="7"/>
      <c r="BZ131" s="7"/>
      <c r="CA131" s="7"/>
      <c r="CB131" s="7"/>
      <c r="CC131" s="7"/>
      <c r="CD131" s="7"/>
      <c r="CE131" s="7"/>
      <c r="CF131" s="7"/>
      <c r="CG131" s="7"/>
      <c r="CH131" s="7"/>
      <c r="CI131" s="7"/>
      <c r="CJ131" s="7"/>
      <c r="CK131" s="7"/>
      <c r="CL131" s="7"/>
      <c r="CM131" s="7"/>
      <c r="CN131" s="7"/>
      <c r="CO131" s="7"/>
      <c r="CP131" s="7"/>
      <c r="CQ131" s="7"/>
      <c r="CR131" s="7"/>
      <c r="CS131" s="7"/>
      <c r="CT131" s="7"/>
      <c r="CU131" s="7"/>
      <c r="CV131" s="7"/>
      <c r="CW131" s="7"/>
      <c r="CX131" s="7"/>
      <c r="CY131" s="7"/>
      <c r="CZ131" s="7"/>
      <c r="DA131" s="7"/>
      <c r="DB131" s="7"/>
      <c r="DC131" s="7"/>
      <c r="DD131" s="7"/>
      <c r="DE131" s="7"/>
      <c r="DF131" s="7"/>
      <c r="DG131" s="7"/>
      <c r="DH131" s="7"/>
      <c r="DI131" s="7"/>
      <c r="DJ131" s="7"/>
      <c r="DK131" s="7"/>
      <c r="DL131" s="7"/>
      <c r="DM131" s="7"/>
      <c r="DN131" s="7"/>
      <c r="DO131" s="7"/>
      <c r="DP131" s="7"/>
      <c r="DQ131" s="7"/>
      <c r="DR131" s="7"/>
      <c r="DS131" s="7"/>
      <c r="DT131" s="7"/>
      <c r="DU131" s="7"/>
      <c r="DV131" s="7"/>
      <c r="DW131" s="7"/>
      <c r="DX131" s="7"/>
      <c r="DY131" s="7"/>
      <c r="DZ131" s="7"/>
      <c r="EA131" s="7"/>
      <c r="EB131" s="7"/>
      <c r="EC131" s="7"/>
      <c r="ED131" s="7"/>
      <c r="EE131" s="7"/>
      <c r="EF131" s="7"/>
      <c r="EG131" s="7"/>
      <c r="EH131" s="7"/>
      <c r="EI131" s="7"/>
      <c r="EJ131" s="7"/>
      <c r="EK131" s="7"/>
      <c r="EL131" s="7"/>
      <c r="EM131" s="7"/>
      <c r="EN131" s="7"/>
      <c r="EO131" s="7"/>
      <c r="EP131" s="7"/>
      <c r="EQ131" s="7"/>
      <c r="ER131" s="7"/>
      <c r="ES131" s="7"/>
      <c r="ET131" s="7"/>
      <c r="EU131" s="7"/>
      <c r="EV131" s="7"/>
      <c r="EW131" s="7"/>
      <c r="EX131" s="7"/>
      <c r="EY131" s="7"/>
      <c r="EZ131" s="7"/>
      <c r="FA131" s="7"/>
      <c r="FB131" s="7"/>
      <c r="FC131" s="7"/>
      <c r="FD131" s="7"/>
      <c r="FE131" s="7"/>
      <c r="FF131" s="7"/>
      <c r="FG131" s="7"/>
      <c r="FH131" s="7"/>
      <c r="FI131" s="7"/>
      <c r="FJ131" s="7"/>
      <c r="FK131" s="7"/>
      <c r="FL131" s="7"/>
      <c r="FM131" s="7"/>
      <c r="FN131" s="7"/>
      <c r="FO131" s="7"/>
      <c r="FP131" s="7"/>
      <c r="FQ131" s="7"/>
      <c r="FR131" s="7"/>
      <c r="FS131" s="7"/>
      <c r="FT131" s="7"/>
      <c r="FU131" s="7"/>
      <c r="FV131" s="7"/>
      <c r="FW131" s="7"/>
      <c r="FX131" s="7"/>
      <c r="FY131" s="7"/>
      <c r="FZ131" s="7"/>
      <c r="GA131" s="7"/>
      <c r="GB131" s="7"/>
      <c r="GC131" s="7"/>
      <c r="GD131" s="7"/>
      <c r="GE131" s="7"/>
      <c r="GF131" s="7"/>
      <c r="GG131" s="7"/>
      <c r="GH131" s="7"/>
      <c r="GI131" s="7"/>
      <c r="GJ131" s="7"/>
      <c r="GK131" s="7"/>
      <c r="GL131" s="7"/>
      <c r="GM131" s="7"/>
      <c r="GN131" s="7"/>
      <c r="GO131" s="7"/>
      <c r="GP131" s="7"/>
      <c r="GQ131" s="7"/>
      <c r="GR131" s="7"/>
      <c r="GS131" s="7"/>
      <c r="GT131" s="7"/>
      <c r="GU131" s="7"/>
      <c r="GV131" s="7"/>
      <c r="GW131" s="7"/>
      <c r="GX131" s="7"/>
      <c r="GY131" s="7"/>
      <c r="GZ131" s="7"/>
      <c r="HA131" s="7"/>
      <c r="HB131" s="7"/>
      <c r="HC131" s="7"/>
      <c r="HD131" s="7"/>
      <c r="HE131" s="7"/>
      <c r="HF131" s="7"/>
      <c r="HG131" s="7"/>
      <c r="HH131" s="7"/>
      <c r="HI131" s="7"/>
      <c r="HJ131" s="7"/>
      <c r="HK131" s="7"/>
      <c r="HL131" s="7"/>
      <c r="HM131" s="7"/>
      <c r="HN131" s="7"/>
      <c r="HO131" s="7"/>
      <c r="HP131" s="7"/>
      <c r="HQ131" s="7"/>
      <c r="HR131" s="7"/>
      <c r="HS131" s="7"/>
      <c r="HT131" s="7"/>
      <c r="HU131" s="7"/>
      <c r="HV131" s="7"/>
      <c r="HW131" s="7"/>
      <c r="HX131" s="7"/>
      <c r="HY131" s="7"/>
      <c r="HZ131" s="7"/>
      <c r="IA131" s="7"/>
      <c r="IB131" s="7"/>
      <c r="IC131" s="7"/>
      <c r="ID131" s="7"/>
      <c r="IE131" s="7"/>
      <c r="IF131" s="7"/>
      <c r="IG131" s="7"/>
      <c r="IH131" s="7"/>
      <c r="II131" s="7"/>
      <c r="IJ131" s="7"/>
      <c r="IK131" s="7"/>
      <c r="IL131" s="7"/>
      <c r="IM131" s="7"/>
      <c r="IN131" s="7"/>
      <c r="IO131" s="7"/>
      <c r="IP131" s="7"/>
      <c r="IQ131" s="7"/>
      <c r="IR131" s="7"/>
      <c r="IS131" s="7"/>
      <c r="IT131" s="7"/>
      <c r="IU131" s="7"/>
      <c r="IV131" s="7"/>
      <c r="IW131" s="7"/>
      <c r="IX131" s="7"/>
      <c r="JA131" s="113"/>
      <c r="JB131" s="113"/>
      <c r="JC131" s="113"/>
      <c r="JD131" s="66">
        <f>SUM((TEXT(JA131,"[M]")/60)*'Income Person-hours'!$D$3,(TEXT(JB131,"[M]")/60)*'Income Person-hours'!$D$4,(TEXT(JC131,"[M]")/60)*'Income Person-hours'!$D$5)</f>
        <v>0</v>
      </c>
    </row>
    <row r="132" spans="1:16382" s="11" customFormat="1" ht="11.25" hidden="1">
      <c r="A132" s="30">
        <v>5.21</v>
      </c>
      <c r="B132" s="116"/>
      <c r="C132" s="107"/>
      <c r="D132" s="12" t="str">
        <f>IF(OR(j_WEEKDAY(J_ADDDAY(VLOOKUP(I132,A:F,6,FALSE),H132,1),0)=6,SUMIFS(Holieday[ok],Holieday[date],J_ADDDAY(VLOOKUP(I132,A:F,6,FALSE),H132,1)))=FALSE(),J_ADDDAY(VLOOKUP(I132,A:F,6,FALSE),H132,1),IF(OR(j_WEEKDAY(J_ADDDAY(VLOOKUP(I132,A:F,6,FALSE),H132+1,1),0)=6,SUMIFS(Holieday[ok],Holieday[date],J_ADDDAY(VLOOKUP(I132,A:F,6,FALSE),H132+1,1)))=FALSE(),J_ADDDAY(VLOOKUP(I132,A:F,6,FALSE),H132+1,1),IF(OR(j_WEEKDAY(J_ADDDAY(VLOOKUP(I132,A:F,6,FALSE),H132+2,1),0)=6,SUMIFS(Holieday[ok],Holieday[date],J_ADDDAY(VLOOKUP(I132,A:F,6,FALSE),H132+2,1)))=FALSE(),J_ADDDAY(VLOOKUP(I132,A:F,6,FALSE),H132+2,1),IF(OR(j_WEEKDAY(J_ADDDAY(VLOOKUP(I132,A:F,6,FALSE),H132+3,1),0)=6,SUMIFS(Holieday[ok],Holieday[date],J_ADDDAY(VLOOKUP(I132,A:F,6,FALSE),H132+3,1)))=FALSE(),J_ADDDAY(VLOOKUP(I132,A:F,6,FALSE),H132+3,1),IF(OR(j_WEEKDAY(J_ADDDAY(VLOOKUP(I132,A:F,6,FALSE),H132+4,1),0)=6,SUMIFS(Holieday[ok],Holieday[date],J_ADDDAY(VLOOKUP(I132,A:F,6,FALSE),H132+4,1)))=FALSE(),J_ADDDAY(VLOOKUP(I132,A:F,6,FALSE),H132+4,1),J_ADDDAY(VLOOKUP(I132,A:F,6,FALSE),H132+5,1))))))</f>
        <v>1398/09/11</v>
      </c>
      <c r="E132" s="1">
        <f t="shared" si="42"/>
        <v>13980911</v>
      </c>
      <c r="F132" s="12" t="str">
        <f>IF(N132=0,J_SUBDAY(D132,1,1),IF((N132-NETWORKDAYS.INTL(J_GregorianDate(D132,1),J_GregorianDate(J_SUBDAY(J_ADDDAY(D132,N132,1),1,1),1),16,1)-SUMIFS(Holieday[ok],Holieday[date],CONCATENATE("&gt;","=",D132),Holieday[date],CONCATENATE("&lt;","=",J_SUBDAY(J_ADDDAY(D132,N132,1),1,1)))+SUMIFS(Holieday[Friday],Holieday[date],CONCATENATE("&gt;","=",D132),Holieday[date],CONCATENATE("&lt;","=",J_SUBDAY(J_ADDDAY(D132,N132,1),1,1))))=0,J_SUBDAY(J_ADDDAY(D132,N132,1),1,1),IF((N132-NETWORKDAYS.INTL(J_GregorianDate(D132,1),J_GregorianDate(J_SUBDAY(J_ADDDAY(D132,N132,1),1,1),1),16,1)-SUMIFS(Holieday[ok],Holieday[date],CONCATENATE("&gt;","=",D132),Holieday[date],CONCATENATE("&lt;","=",J_SUBDAY(J_ADDDAY(D132,N132,1),1,1)))+SUMIFS(Holieday[Friday],Holieday[date],CONCATENATE("&gt;","=",D132),Holieday[date],CONCATENATE("&lt;","=",J_SUBDAY(J_ADDDAY(D132,N132,1),1,1))))=1,J_SUBDAY(J_ADDDAY(D132,N132+1,1),1,1),IF((N132-NETWORKDAYS.INTL(J_GregorianDate(D132,1),J_GregorianDate(J_SUBDAY(J_ADDDAY(D132,N132,1),1,1),1),16,1)-SUMIFS(Holieday[ok],Holieday[date],CONCATENATE("&gt;","=",D132),Holieday[date],CONCATENATE("&lt;","=",J_SUBDAY(J_ADDDAY(D132,N132,1),1,1)))+SUMIFS(Holieday[Friday],Holieday[date],CONCATENATE("&gt;","=",D132),Holieday[date],CONCATENATE("&lt;","=",J_SUBDAY(J_ADDDAY(D132,N132,1),1,1))))=2,J_SUBDAY(J_ADDDAY(D132,N132+2,1),1,1),J_SUBDAY(J_ADDDAY(D132,N132+3,1),1,1)))))</f>
        <v>1398/09/10</v>
      </c>
      <c r="G132" s="2">
        <f t="shared" si="43"/>
        <v>13980910</v>
      </c>
      <c r="H132" s="109"/>
      <c r="I132" s="110">
        <v>5.7</v>
      </c>
      <c r="J132" s="9">
        <f>j_WEEKDAY(D132,2)</f>
        <v>2</v>
      </c>
      <c r="K132" s="21">
        <f t="shared" si="41"/>
        <v>0</v>
      </c>
      <c r="L132" s="8">
        <f t="shared" si="38"/>
        <v>0</v>
      </c>
      <c r="M132" s="111">
        <v>0</v>
      </c>
      <c r="N132" s="108">
        <v>0</v>
      </c>
      <c r="O132" s="10">
        <f t="shared" si="39"/>
        <v>0</v>
      </c>
      <c r="P132" s="10">
        <f>VALUE(J_normdate(J_ADDDAY($D132,$O132,1)))</f>
        <v>13980911</v>
      </c>
      <c r="Q132" s="9">
        <f t="shared" si="40"/>
        <v>0</v>
      </c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  <c r="BE132" s="7"/>
      <c r="BF132" s="7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7"/>
      <c r="BV132" s="7"/>
      <c r="BW132" s="7"/>
      <c r="BX132" s="7"/>
      <c r="BY132" s="7"/>
      <c r="BZ132" s="7"/>
      <c r="CA132" s="7"/>
      <c r="CB132" s="7"/>
      <c r="CC132" s="7"/>
      <c r="CD132" s="7"/>
      <c r="CE132" s="7"/>
      <c r="CF132" s="7"/>
      <c r="CG132" s="7"/>
      <c r="CH132" s="7"/>
      <c r="CI132" s="7"/>
      <c r="CJ132" s="7"/>
      <c r="CK132" s="7"/>
      <c r="CL132" s="7"/>
      <c r="CM132" s="7"/>
      <c r="CN132" s="7"/>
      <c r="CO132" s="7"/>
      <c r="CP132" s="7"/>
      <c r="CQ132" s="7"/>
      <c r="CR132" s="7"/>
      <c r="CS132" s="7"/>
      <c r="CT132" s="7"/>
      <c r="CU132" s="7"/>
      <c r="CV132" s="7"/>
      <c r="CW132" s="7"/>
      <c r="CX132" s="7"/>
      <c r="CY132" s="7"/>
      <c r="CZ132" s="7"/>
      <c r="DA132" s="7"/>
      <c r="DB132" s="7"/>
      <c r="DC132" s="7"/>
      <c r="DD132" s="7"/>
      <c r="DE132" s="7"/>
      <c r="DF132" s="7"/>
      <c r="DG132" s="7"/>
      <c r="DH132" s="7"/>
      <c r="DI132" s="7"/>
      <c r="DJ132" s="7"/>
      <c r="DK132" s="7"/>
      <c r="DL132" s="7"/>
      <c r="DM132" s="7"/>
      <c r="DN132" s="7"/>
      <c r="DO132" s="7"/>
      <c r="DP132" s="7"/>
      <c r="DQ132" s="7"/>
      <c r="DR132" s="7"/>
      <c r="DS132" s="7"/>
      <c r="DT132" s="7"/>
      <c r="DU132" s="7"/>
      <c r="DV132" s="7"/>
      <c r="DW132" s="7"/>
      <c r="DX132" s="7"/>
      <c r="DY132" s="7"/>
      <c r="DZ132" s="7"/>
      <c r="EA132" s="7"/>
      <c r="EB132" s="7"/>
      <c r="EC132" s="7"/>
      <c r="ED132" s="7"/>
      <c r="EE132" s="7"/>
      <c r="EF132" s="7"/>
      <c r="EG132" s="7"/>
      <c r="EH132" s="7"/>
      <c r="EI132" s="7"/>
      <c r="EJ132" s="7"/>
      <c r="EK132" s="7"/>
      <c r="EL132" s="7"/>
      <c r="EM132" s="7"/>
      <c r="EN132" s="7"/>
      <c r="EO132" s="7"/>
      <c r="EP132" s="7"/>
      <c r="EQ132" s="7"/>
      <c r="ER132" s="7"/>
      <c r="ES132" s="7"/>
      <c r="ET132" s="7"/>
      <c r="EU132" s="7"/>
      <c r="EV132" s="7"/>
      <c r="EW132" s="7"/>
      <c r="EX132" s="7"/>
      <c r="EY132" s="7"/>
      <c r="EZ132" s="7"/>
      <c r="FA132" s="7"/>
      <c r="FB132" s="7"/>
      <c r="FC132" s="7"/>
      <c r="FD132" s="7"/>
      <c r="FE132" s="7"/>
      <c r="FF132" s="7"/>
      <c r="FG132" s="7"/>
      <c r="FH132" s="7"/>
      <c r="FI132" s="7"/>
      <c r="FJ132" s="7"/>
      <c r="FK132" s="7"/>
      <c r="FL132" s="7"/>
      <c r="FM132" s="7"/>
      <c r="FN132" s="7"/>
      <c r="FO132" s="7"/>
      <c r="FP132" s="7"/>
      <c r="FQ132" s="7"/>
      <c r="FR132" s="7"/>
      <c r="FS132" s="7"/>
      <c r="FT132" s="7"/>
      <c r="FU132" s="7"/>
      <c r="FV132" s="7"/>
      <c r="FW132" s="7"/>
      <c r="FX132" s="7"/>
      <c r="FY132" s="7"/>
      <c r="FZ132" s="7"/>
      <c r="GA132" s="7"/>
      <c r="GB132" s="7"/>
      <c r="GC132" s="7"/>
      <c r="GD132" s="7"/>
      <c r="GE132" s="7"/>
      <c r="GF132" s="7"/>
      <c r="GG132" s="7"/>
      <c r="GH132" s="7"/>
      <c r="GI132" s="7"/>
      <c r="GJ132" s="7"/>
      <c r="GK132" s="7"/>
      <c r="GL132" s="7"/>
      <c r="GM132" s="7"/>
      <c r="GN132" s="7"/>
      <c r="GO132" s="7"/>
      <c r="GP132" s="7"/>
      <c r="GQ132" s="7"/>
      <c r="GR132" s="7"/>
      <c r="GS132" s="7"/>
      <c r="GT132" s="7"/>
      <c r="GU132" s="7"/>
      <c r="GV132" s="7"/>
      <c r="GW132" s="7"/>
      <c r="GX132" s="7"/>
      <c r="GY132" s="7"/>
      <c r="GZ132" s="7"/>
      <c r="HA132" s="7"/>
      <c r="HB132" s="7"/>
      <c r="HC132" s="7"/>
      <c r="HD132" s="7"/>
      <c r="HE132" s="7"/>
      <c r="HF132" s="7"/>
      <c r="HG132" s="7"/>
      <c r="HH132" s="7"/>
      <c r="HI132" s="7"/>
      <c r="HJ132" s="7"/>
      <c r="HK132" s="7"/>
      <c r="HL132" s="7"/>
      <c r="HM132" s="7"/>
      <c r="HN132" s="7"/>
      <c r="HO132" s="7"/>
      <c r="HP132" s="7"/>
      <c r="HQ132" s="7"/>
      <c r="HR132" s="7"/>
      <c r="HS132" s="7"/>
      <c r="HT132" s="7"/>
      <c r="HU132" s="7"/>
      <c r="HV132" s="7"/>
      <c r="HW132" s="7"/>
      <c r="HX132" s="7"/>
      <c r="HY132" s="7"/>
      <c r="HZ132" s="7"/>
      <c r="IA132" s="7"/>
      <c r="IB132" s="7"/>
      <c r="IC132" s="7"/>
      <c r="ID132" s="7"/>
      <c r="IE132" s="7"/>
      <c r="IF132" s="7"/>
      <c r="IG132" s="7"/>
      <c r="IH132" s="7"/>
      <c r="II132" s="7"/>
      <c r="IJ132" s="7"/>
      <c r="IK132" s="7"/>
      <c r="IL132" s="7"/>
      <c r="IM132" s="7"/>
      <c r="IN132" s="7"/>
      <c r="IO132" s="7"/>
      <c r="IP132" s="7"/>
      <c r="IQ132" s="7"/>
      <c r="IR132" s="7"/>
      <c r="IS132" s="7"/>
      <c r="IT132" s="7"/>
      <c r="IU132" s="7"/>
      <c r="IV132" s="7"/>
      <c r="IW132" s="7"/>
      <c r="IX132" s="7"/>
      <c r="JA132" s="113"/>
      <c r="JB132" s="113"/>
      <c r="JC132" s="113"/>
      <c r="JD132" s="66">
        <f>SUM((TEXT(JA132,"[M]")/60)*'Income Person-hours'!$D$3,(TEXT(JB132,"[M]")/60)*'Income Person-hours'!$D$4,(TEXT(JC132,"[M]")/60)*'Income Person-hours'!$D$5)</f>
        <v>0</v>
      </c>
    </row>
    <row r="133" spans="1:16382" s="11" customFormat="1" ht="11.25" hidden="1">
      <c r="A133" s="30">
        <v>5.22</v>
      </c>
      <c r="B133" s="116"/>
      <c r="C133" s="107"/>
      <c r="D133" s="12" t="str">
        <f>IF(OR(j_WEEKDAY(J_ADDDAY(VLOOKUP(I133,A:F,6,FALSE),H133,1),0)=6,SUMIFS(Holieday[ok],Holieday[date],J_ADDDAY(VLOOKUP(I133,A:F,6,FALSE),H133,1)))=FALSE(),J_ADDDAY(VLOOKUP(I133,A:F,6,FALSE),H133,1),IF(OR(j_WEEKDAY(J_ADDDAY(VLOOKUP(I133,A:F,6,FALSE),H133+1,1),0)=6,SUMIFS(Holieday[ok],Holieday[date],J_ADDDAY(VLOOKUP(I133,A:F,6,FALSE),H133+1,1)))=FALSE(),J_ADDDAY(VLOOKUP(I133,A:F,6,FALSE),H133+1,1),IF(OR(j_WEEKDAY(J_ADDDAY(VLOOKUP(I133,A:F,6,FALSE),H133+2,1),0)=6,SUMIFS(Holieday[ok],Holieday[date],J_ADDDAY(VLOOKUP(I133,A:F,6,FALSE),H133+2,1)))=FALSE(),J_ADDDAY(VLOOKUP(I133,A:F,6,FALSE),H133+2,1),IF(OR(j_WEEKDAY(J_ADDDAY(VLOOKUP(I133,A:F,6,FALSE),H133+3,1),0)=6,SUMIFS(Holieday[ok],Holieday[date],J_ADDDAY(VLOOKUP(I133,A:F,6,FALSE),H133+3,1)))=FALSE(),J_ADDDAY(VLOOKUP(I133,A:F,6,FALSE),H133+3,1),IF(OR(j_WEEKDAY(J_ADDDAY(VLOOKUP(I133,A:F,6,FALSE),H133+4,1),0)=6,SUMIFS(Holieday[ok],Holieday[date],J_ADDDAY(VLOOKUP(I133,A:F,6,FALSE),H133+4,1)))=FALSE(),J_ADDDAY(VLOOKUP(I133,A:F,6,FALSE),H133+4,1),J_ADDDAY(VLOOKUP(I133,A:F,6,FALSE),H133+5,1))))))</f>
        <v>1398/09/11</v>
      </c>
      <c r="E133" s="1">
        <f t="shared" si="42"/>
        <v>13980911</v>
      </c>
      <c r="F133" s="12" t="str">
        <f>IF(N133=0,J_SUBDAY(D133,1,1),IF((N133-NETWORKDAYS.INTL(J_GregorianDate(D133,1),J_GregorianDate(J_SUBDAY(J_ADDDAY(D133,N133,1),1,1),1),16,1)-SUMIFS(Holieday[ok],Holieday[date],CONCATENATE("&gt;","=",D133),Holieday[date],CONCATENATE("&lt;","=",J_SUBDAY(J_ADDDAY(D133,N133,1),1,1)))+SUMIFS(Holieday[Friday],Holieday[date],CONCATENATE("&gt;","=",D133),Holieday[date],CONCATENATE("&lt;","=",J_SUBDAY(J_ADDDAY(D133,N133,1),1,1))))=0,J_SUBDAY(J_ADDDAY(D133,N133,1),1,1),IF((N133-NETWORKDAYS.INTL(J_GregorianDate(D133,1),J_GregorianDate(J_SUBDAY(J_ADDDAY(D133,N133,1),1,1),1),16,1)-SUMIFS(Holieday[ok],Holieday[date],CONCATENATE("&gt;","=",D133),Holieday[date],CONCATENATE("&lt;","=",J_SUBDAY(J_ADDDAY(D133,N133,1),1,1)))+SUMIFS(Holieday[Friday],Holieday[date],CONCATENATE("&gt;","=",D133),Holieday[date],CONCATENATE("&lt;","=",J_SUBDAY(J_ADDDAY(D133,N133,1),1,1))))=1,J_SUBDAY(J_ADDDAY(D133,N133+1,1),1,1),IF((N133-NETWORKDAYS.INTL(J_GregorianDate(D133,1),J_GregorianDate(J_SUBDAY(J_ADDDAY(D133,N133,1),1,1),1),16,1)-SUMIFS(Holieday[ok],Holieday[date],CONCATENATE("&gt;","=",D133),Holieday[date],CONCATENATE("&lt;","=",J_SUBDAY(J_ADDDAY(D133,N133,1),1,1)))+SUMIFS(Holieday[Friday],Holieday[date],CONCATENATE("&gt;","=",D133),Holieday[date],CONCATENATE("&lt;","=",J_SUBDAY(J_ADDDAY(D133,N133,1),1,1))))=2,J_SUBDAY(J_ADDDAY(D133,N133+2,1),1,1),J_SUBDAY(J_ADDDAY(D133,N133+3,1),1,1)))))</f>
        <v>1398/09/10</v>
      </c>
      <c r="G133" s="2">
        <f t="shared" si="43"/>
        <v>13980910</v>
      </c>
      <c r="H133" s="109"/>
      <c r="I133" s="110">
        <v>5.7</v>
      </c>
      <c r="J133" s="9">
        <f>j_WEEKDAY(D133,2)</f>
        <v>2</v>
      </c>
      <c r="K133" s="21">
        <f t="shared" si="41"/>
        <v>0</v>
      </c>
      <c r="L133" s="8">
        <f t="shared" si="38"/>
        <v>0</v>
      </c>
      <c r="M133" s="111">
        <v>0</v>
      </c>
      <c r="N133" s="108">
        <v>0</v>
      </c>
      <c r="O133" s="10">
        <f t="shared" si="39"/>
        <v>0</v>
      </c>
      <c r="P133" s="10">
        <f>VALUE(J_normdate(J_ADDDAY($D133,$O133,1)))</f>
        <v>13980911</v>
      </c>
      <c r="Q133" s="9">
        <f t="shared" si="40"/>
        <v>0</v>
      </c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  <c r="BE133" s="7"/>
      <c r="BF133" s="7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7"/>
      <c r="BV133" s="7"/>
      <c r="BW133" s="7"/>
      <c r="BX133" s="7"/>
      <c r="BY133" s="7"/>
      <c r="BZ133" s="7"/>
      <c r="CA133" s="7"/>
      <c r="CB133" s="7"/>
      <c r="CC133" s="7"/>
      <c r="CD133" s="7"/>
      <c r="CE133" s="7"/>
      <c r="CF133" s="7"/>
      <c r="CG133" s="7"/>
      <c r="CH133" s="7"/>
      <c r="CI133" s="7"/>
      <c r="CJ133" s="7"/>
      <c r="CK133" s="7"/>
      <c r="CL133" s="7"/>
      <c r="CM133" s="7"/>
      <c r="CN133" s="7"/>
      <c r="CO133" s="7"/>
      <c r="CP133" s="7"/>
      <c r="CQ133" s="7"/>
      <c r="CR133" s="7"/>
      <c r="CS133" s="7"/>
      <c r="CT133" s="7"/>
      <c r="CU133" s="7"/>
      <c r="CV133" s="7"/>
      <c r="CW133" s="7"/>
      <c r="CX133" s="7"/>
      <c r="CY133" s="7"/>
      <c r="CZ133" s="7"/>
      <c r="DA133" s="7"/>
      <c r="DB133" s="7"/>
      <c r="DC133" s="7"/>
      <c r="DD133" s="7"/>
      <c r="DE133" s="7"/>
      <c r="DF133" s="7"/>
      <c r="DG133" s="7"/>
      <c r="DH133" s="7"/>
      <c r="DI133" s="7"/>
      <c r="DJ133" s="7"/>
      <c r="DK133" s="7"/>
      <c r="DL133" s="7"/>
      <c r="DM133" s="7"/>
      <c r="DN133" s="7"/>
      <c r="DO133" s="7"/>
      <c r="DP133" s="7"/>
      <c r="DQ133" s="7"/>
      <c r="DR133" s="7"/>
      <c r="DS133" s="7"/>
      <c r="DT133" s="7"/>
      <c r="DU133" s="7"/>
      <c r="DV133" s="7"/>
      <c r="DW133" s="7"/>
      <c r="DX133" s="7"/>
      <c r="DY133" s="7"/>
      <c r="DZ133" s="7"/>
      <c r="EA133" s="7"/>
      <c r="EB133" s="7"/>
      <c r="EC133" s="7"/>
      <c r="ED133" s="7"/>
      <c r="EE133" s="7"/>
      <c r="EF133" s="7"/>
      <c r="EG133" s="7"/>
      <c r="EH133" s="7"/>
      <c r="EI133" s="7"/>
      <c r="EJ133" s="7"/>
      <c r="EK133" s="7"/>
      <c r="EL133" s="7"/>
      <c r="EM133" s="7"/>
      <c r="EN133" s="7"/>
      <c r="EO133" s="7"/>
      <c r="EP133" s="7"/>
      <c r="EQ133" s="7"/>
      <c r="ER133" s="7"/>
      <c r="ES133" s="7"/>
      <c r="ET133" s="7"/>
      <c r="EU133" s="7"/>
      <c r="EV133" s="7"/>
      <c r="EW133" s="7"/>
      <c r="EX133" s="7"/>
      <c r="EY133" s="7"/>
      <c r="EZ133" s="7"/>
      <c r="FA133" s="7"/>
      <c r="FB133" s="7"/>
      <c r="FC133" s="7"/>
      <c r="FD133" s="7"/>
      <c r="FE133" s="7"/>
      <c r="FF133" s="7"/>
      <c r="FG133" s="7"/>
      <c r="FH133" s="7"/>
      <c r="FI133" s="7"/>
      <c r="FJ133" s="7"/>
      <c r="FK133" s="7"/>
      <c r="FL133" s="7"/>
      <c r="FM133" s="7"/>
      <c r="FN133" s="7"/>
      <c r="FO133" s="7"/>
      <c r="FP133" s="7"/>
      <c r="FQ133" s="7"/>
      <c r="FR133" s="7"/>
      <c r="FS133" s="7"/>
      <c r="FT133" s="7"/>
      <c r="FU133" s="7"/>
      <c r="FV133" s="7"/>
      <c r="FW133" s="7"/>
      <c r="FX133" s="7"/>
      <c r="FY133" s="7"/>
      <c r="FZ133" s="7"/>
      <c r="GA133" s="7"/>
      <c r="GB133" s="7"/>
      <c r="GC133" s="7"/>
      <c r="GD133" s="7"/>
      <c r="GE133" s="7"/>
      <c r="GF133" s="7"/>
      <c r="GG133" s="7"/>
      <c r="GH133" s="7"/>
      <c r="GI133" s="7"/>
      <c r="GJ133" s="7"/>
      <c r="GK133" s="7"/>
      <c r="GL133" s="7"/>
      <c r="GM133" s="7"/>
      <c r="GN133" s="7"/>
      <c r="GO133" s="7"/>
      <c r="GP133" s="7"/>
      <c r="GQ133" s="7"/>
      <c r="GR133" s="7"/>
      <c r="GS133" s="7"/>
      <c r="GT133" s="7"/>
      <c r="GU133" s="7"/>
      <c r="GV133" s="7"/>
      <c r="GW133" s="7"/>
      <c r="GX133" s="7"/>
      <c r="GY133" s="7"/>
      <c r="GZ133" s="7"/>
      <c r="HA133" s="7"/>
      <c r="HB133" s="7"/>
      <c r="HC133" s="7"/>
      <c r="HD133" s="7"/>
      <c r="HE133" s="7"/>
      <c r="HF133" s="7"/>
      <c r="HG133" s="7"/>
      <c r="HH133" s="7"/>
      <c r="HI133" s="7"/>
      <c r="HJ133" s="7"/>
      <c r="HK133" s="7"/>
      <c r="HL133" s="7"/>
      <c r="HM133" s="7"/>
      <c r="HN133" s="7"/>
      <c r="HO133" s="7"/>
      <c r="HP133" s="7"/>
      <c r="HQ133" s="7"/>
      <c r="HR133" s="7"/>
      <c r="HS133" s="7"/>
      <c r="HT133" s="7"/>
      <c r="HU133" s="7"/>
      <c r="HV133" s="7"/>
      <c r="HW133" s="7"/>
      <c r="HX133" s="7"/>
      <c r="HY133" s="7"/>
      <c r="HZ133" s="7"/>
      <c r="IA133" s="7"/>
      <c r="IB133" s="7"/>
      <c r="IC133" s="7"/>
      <c r="ID133" s="7"/>
      <c r="IE133" s="7"/>
      <c r="IF133" s="7"/>
      <c r="IG133" s="7"/>
      <c r="IH133" s="7"/>
      <c r="II133" s="7"/>
      <c r="IJ133" s="7"/>
      <c r="IK133" s="7"/>
      <c r="IL133" s="7"/>
      <c r="IM133" s="7"/>
      <c r="IN133" s="7"/>
      <c r="IO133" s="7"/>
      <c r="IP133" s="7"/>
      <c r="IQ133" s="7"/>
      <c r="IR133" s="7"/>
      <c r="IS133" s="7"/>
      <c r="IT133" s="7"/>
      <c r="IU133" s="7"/>
      <c r="IV133" s="7"/>
      <c r="IW133" s="7"/>
      <c r="IX133" s="7"/>
      <c r="JA133" s="113"/>
      <c r="JB133" s="113"/>
      <c r="JC133" s="113"/>
      <c r="JD133" s="66">
        <f>SUM((TEXT(JA133,"[M]")/60)*'Income Person-hours'!$D$3,(TEXT(JB133,"[M]")/60)*'Income Person-hours'!$D$4,(TEXT(JC133,"[M]")/60)*'Income Person-hours'!$D$5)</f>
        <v>0</v>
      </c>
    </row>
    <row r="134" spans="1:16382" s="11" customFormat="1" ht="11.25" hidden="1">
      <c r="A134" s="30">
        <v>5.23</v>
      </c>
      <c r="B134" s="116"/>
      <c r="C134" s="107"/>
      <c r="D134" s="12" t="str">
        <f>IF(OR(j_WEEKDAY(J_ADDDAY(VLOOKUP(I134,A:F,6,FALSE),H134,1),0)=6,SUMIFS(Holieday[ok],Holieday[date],J_ADDDAY(VLOOKUP(I134,A:F,6,FALSE),H134,1)))=FALSE(),J_ADDDAY(VLOOKUP(I134,A:F,6,FALSE),H134,1),IF(OR(j_WEEKDAY(J_ADDDAY(VLOOKUP(I134,A:F,6,FALSE),H134+1,1),0)=6,SUMIFS(Holieday[ok],Holieday[date],J_ADDDAY(VLOOKUP(I134,A:F,6,FALSE),H134+1,1)))=FALSE(),J_ADDDAY(VLOOKUP(I134,A:F,6,FALSE),H134+1,1),IF(OR(j_WEEKDAY(J_ADDDAY(VLOOKUP(I134,A:F,6,FALSE),H134+2,1),0)=6,SUMIFS(Holieday[ok],Holieday[date],J_ADDDAY(VLOOKUP(I134,A:F,6,FALSE),H134+2,1)))=FALSE(),J_ADDDAY(VLOOKUP(I134,A:F,6,FALSE),H134+2,1),IF(OR(j_WEEKDAY(J_ADDDAY(VLOOKUP(I134,A:F,6,FALSE),H134+3,1),0)=6,SUMIFS(Holieday[ok],Holieday[date],J_ADDDAY(VLOOKUP(I134,A:F,6,FALSE),H134+3,1)))=FALSE(),J_ADDDAY(VLOOKUP(I134,A:F,6,FALSE),H134+3,1),IF(OR(j_WEEKDAY(J_ADDDAY(VLOOKUP(I134,A:F,6,FALSE),H134+4,1),0)=6,SUMIFS(Holieday[ok],Holieday[date],J_ADDDAY(VLOOKUP(I134,A:F,6,FALSE),H134+4,1)))=FALSE(),J_ADDDAY(VLOOKUP(I134,A:F,6,FALSE),H134+4,1),J_ADDDAY(VLOOKUP(I134,A:F,6,FALSE),H134+5,1))))))</f>
        <v>1398/09/11</v>
      </c>
      <c r="E134" s="1">
        <f t="shared" si="42"/>
        <v>13980911</v>
      </c>
      <c r="F134" s="12" t="str">
        <f>IF(N134=0,J_SUBDAY(D134,1,1),IF((N134-NETWORKDAYS.INTL(J_GregorianDate(D134,1),J_GregorianDate(J_SUBDAY(J_ADDDAY(D134,N134,1),1,1),1),16,1)-SUMIFS(Holieday[ok],Holieday[date],CONCATENATE("&gt;","=",D134),Holieday[date],CONCATENATE("&lt;","=",J_SUBDAY(J_ADDDAY(D134,N134,1),1,1)))+SUMIFS(Holieday[Friday],Holieday[date],CONCATENATE("&gt;","=",D134),Holieday[date],CONCATENATE("&lt;","=",J_SUBDAY(J_ADDDAY(D134,N134,1),1,1))))=0,J_SUBDAY(J_ADDDAY(D134,N134,1),1,1),IF((N134-NETWORKDAYS.INTL(J_GregorianDate(D134,1),J_GregorianDate(J_SUBDAY(J_ADDDAY(D134,N134,1),1,1),1),16,1)-SUMIFS(Holieday[ok],Holieday[date],CONCATENATE("&gt;","=",D134),Holieday[date],CONCATENATE("&lt;","=",J_SUBDAY(J_ADDDAY(D134,N134,1),1,1)))+SUMIFS(Holieday[Friday],Holieday[date],CONCATENATE("&gt;","=",D134),Holieday[date],CONCATENATE("&lt;","=",J_SUBDAY(J_ADDDAY(D134,N134,1),1,1))))=1,J_SUBDAY(J_ADDDAY(D134,N134+1,1),1,1),IF((N134-NETWORKDAYS.INTL(J_GregorianDate(D134,1),J_GregorianDate(J_SUBDAY(J_ADDDAY(D134,N134,1),1,1),1),16,1)-SUMIFS(Holieday[ok],Holieday[date],CONCATENATE("&gt;","=",D134),Holieday[date],CONCATENATE("&lt;","=",J_SUBDAY(J_ADDDAY(D134,N134,1),1,1)))+SUMIFS(Holieday[Friday],Holieday[date],CONCATENATE("&gt;","=",D134),Holieday[date],CONCATENATE("&lt;","=",J_SUBDAY(J_ADDDAY(D134,N134,1),1,1))))=2,J_SUBDAY(J_ADDDAY(D134,N134+2,1),1,1),J_SUBDAY(J_ADDDAY(D134,N134+3,1),1,1)))))</f>
        <v>1398/09/10</v>
      </c>
      <c r="G134" s="2">
        <f t="shared" si="43"/>
        <v>13980910</v>
      </c>
      <c r="H134" s="109"/>
      <c r="I134" s="110">
        <v>5.7</v>
      </c>
      <c r="J134" s="9">
        <f>j_WEEKDAY(D134,2)</f>
        <v>2</v>
      </c>
      <c r="K134" s="21">
        <f t="shared" si="41"/>
        <v>0</v>
      </c>
      <c r="L134" s="8">
        <f t="shared" si="38"/>
        <v>0</v>
      </c>
      <c r="M134" s="111">
        <v>0</v>
      </c>
      <c r="N134" s="108">
        <v>0</v>
      </c>
      <c r="O134" s="10">
        <f t="shared" si="39"/>
        <v>0</v>
      </c>
      <c r="P134" s="10">
        <f>VALUE(J_normdate(J_ADDDAY($D134,$O134,1)))</f>
        <v>13980911</v>
      </c>
      <c r="Q134" s="9">
        <f t="shared" si="40"/>
        <v>0</v>
      </c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  <c r="BE134" s="7"/>
      <c r="BF134" s="7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7"/>
      <c r="BV134" s="7"/>
      <c r="BW134" s="7"/>
      <c r="BX134" s="7"/>
      <c r="BY134" s="7"/>
      <c r="BZ134" s="7"/>
      <c r="CA134" s="7"/>
      <c r="CB134" s="7"/>
      <c r="CC134" s="7"/>
      <c r="CD134" s="7"/>
      <c r="CE134" s="7"/>
      <c r="CF134" s="7"/>
      <c r="CG134" s="7"/>
      <c r="CH134" s="7"/>
      <c r="CI134" s="7"/>
      <c r="CJ134" s="7"/>
      <c r="CK134" s="7"/>
      <c r="CL134" s="7"/>
      <c r="CM134" s="7"/>
      <c r="CN134" s="7"/>
      <c r="CO134" s="7"/>
      <c r="CP134" s="7"/>
      <c r="CQ134" s="7"/>
      <c r="CR134" s="7"/>
      <c r="CS134" s="7"/>
      <c r="CT134" s="7"/>
      <c r="CU134" s="7"/>
      <c r="CV134" s="7"/>
      <c r="CW134" s="7"/>
      <c r="CX134" s="7"/>
      <c r="CY134" s="7"/>
      <c r="CZ134" s="7"/>
      <c r="DA134" s="7"/>
      <c r="DB134" s="7"/>
      <c r="DC134" s="7"/>
      <c r="DD134" s="7"/>
      <c r="DE134" s="7"/>
      <c r="DF134" s="7"/>
      <c r="DG134" s="7"/>
      <c r="DH134" s="7"/>
      <c r="DI134" s="7"/>
      <c r="DJ134" s="7"/>
      <c r="DK134" s="7"/>
      <c r="DL134" s="7"/>
      <c r="DM134" s="7"/>
      <c r="DN134" s="7"/>
      <c r="DO134" s="7"/>
      <c r="DP134" s="7"/>
      <c r="DQ134" s="7"/>
      <c r="DR134" s="7"/>
      <c r="DS134" s="7"/>
      <c r="DT134" s="7"/>
      <c r="DU134" s="7"/>
      <c r="DV134" s="7"/>
      <c r="DW134" s="7"/>
      <c r="DX134" s="7"/>
      <c r="DY134" s="7"/>
      <c r="DZ134" s="7"/>
      <c r="EA134" s="7"/>
      <c r="EB134" s="7"/>
      <c r="EC134" s="7"/>
      <c r="ED134" s="7"/>
      <c r="EE134" s="7"/>
      <c r="EF134" s="7"/>
      <c r="EG134" s="7"/>
      <c r="EH134" s="7"/>
      <c r="EI134" s="7"/>
      <c r="EJ134" s="7"/>
      <c r="EK134" s="7"/>
      <c r="EL134" s="7"/>
      <c r="EM134" s="7"/>
      <c r="EN134" s="7"/>
      <c r="EO134" s="7"/>
      <c r="EP134" s="7"/>
      <c r="EQ134" s="7"/>
      <c r="ER134" s="7"/>
      <c r="ES134" s="7"/>
      <c r="ET134" s="7"/>
      <c r="EU134" s="7"/>
      <c r="EV134" s="7"/>
      <c r="EW134" s="7"/>
      <c r="EX134" s="7"/>
      <c r="EY134" s="7"/>
      <c r="EZ134" s="7"/>
      <c r="FA134" s="7"/>
      <c r="FB134" s="7"/>
      <c r="FC134" s="7"/>
      <c r="FD134" s="7"/>
      <c r="FE134" s="7"/>
      <c r="FF134" s="7"/>
      <c r="FG134" s="7"/>
      <c r="FH134" s="7"/>
      <c r="FI134" s="7"/>
      <c r="FJ134" s="7"/>
      <c r="FK134" s="7"/>
      <c r="FL134" s="7"/>
      <c r="FM134" s="7"/>
      <c r="FN134" s="7"/>
      <c r="FO134" s="7"/>
      <c r="FP134" s="7"/>
      <c r="FQ134" s="7"/>
      <c r="FR134" s="7"/>
      <c r="FS134" s="7"/>
      <c r="FT134" s="7"/>
      <c r="FU134" s="7"/>
      <c r="FV134" s="7"/>
      <c r="FW134" s="7"/>
      <c r="FX134" s="7"/>
      <c r="FY134" s="7"/>
      <c r="FZ134" s="7"/>
      <c r="GA134" s="7"/>
      <c r="GB134" s="7"/>
      <c r="GC134" s="7"/>
      <c r="GD134" s="7"/>
      <c r="GE134" s="7"/>
      <c r="GF134" s="7"/>
      <c r="GG134" s="7"/>
      <c r="GH134" s="7"/>
      <c r="GI134" s="7"/>
      <c r="GJ134" s="7"/>
      <c r="GK134" s="7"/>
      <c r="GL134" s="7"/>
      <c r="GM134" s="7"/>
      <c r="GN134" s="7"/>
      <c r="GO134" s="7"/>
      <c r="GP134" s="7"/>
      <c r="GQ134" s="7"/>
      <c r="GR134" s="7"/>
      <c r="GS134" s="7"/>
      <c r="GT134" s="7"/>
      <c r="GU134" s="7"/>
      <c r="GV134" s="7"/>
      <c r="GW134" s="7"/>
      <c r="GX134" s="7"/>
      <c r="GY134" s="7"/>
      <c r="GZ134" s="7"/>
      <c r="HA134" s="7"/>
      <c r="HB134" s="7"/>
      <c r="HC134" s="7"/>
      <c r="HD134" s="7"/>
      <c r="HE134" s="7"/>
      <c r="HF134" s="7"/>
      <c r="HG134" s="7"/>
      <c r="HH134" s="7"/>
      <c r="HI134" s="7"/>
      <c r="HJ134" s="7"/>
      <c r="HK134" s="7"/>
      <c r="HL134" s="7"/>
      <c r="HM134" s="7"/>
      <c r="HN134" s="7"/>
      <c r="HO134" s="7"/>
      <c r="HP134" s="7"/>
      <c r="HQ134" s="7"/>
      <c r="HR134" s="7"/>
      <c r="HS134" s="7"/>
      <c r="HT134" s="7"/>
      <c r="HU134" s="7"/>
      <c r="HV134" s="7"/>
      <c r="HW134" s="7"/>
      <c r="HX134" s="7"/>
      <c r="HY134" s="7"/>
      <c r="HZ134" s="7"/>
      <c r="IA134" s="7"/>
      <c r="IB134" s="7"/>
      <c r="IC134" s="7"/>
      <c r="ID134" s="7"/>
      <c r="IE134" s="7"/>
      <c r="IF134" s="7"/>
      <c r="IG134" s="7"/>
      <c r="IH134" s="7"/>
      <c r="II134" s="7"/>
      <c r="IJ134" s="7"/>
      <c r="IK134" s="7"/>
      <c r="IL134" s="7"/>
      <c r="IM134" s="7"/>
      <c r="IN134" s="7"/>
      <c r="IO134" s="7"/>
      <c r="IP134" s="7"/>
      <c r="IQ134" s="7"/>
      <c r="IR134" s="7"/>
      <c r="IS134" s="7"/>
      <c r="IT134" s="7"/>
      <c r="IU134" s="7"/>
      <c r="IV134" s="7"/>
      <c r="IW134" s="7"/>
      <c r="IX134" s="7"/>
      <c r="JA134" s="113"/>
      <c r="JB134" s="113"/>
      <c r="JC134" s="113"/>
      <c r="JD134" s="66">
        <f>SUM((TEXT(JA134,"[M]")/60)*'Income Person-hours'!$D$3,(TEXT(JB134,"[M]")/60)*'Income Person-hours'!$D$4,(TEXT(JC134,"[M]")/60)*'Income Person-hours'!$D$5)</f>
        <v>0</v>
      </c>
    </row>
    <row r="135" spans="1:16382" s="382" customFormat="1" ht="13.5">
      <c r="A135" s="378">
        <v>6</v>
      </c>
      <c r="B135" s="365" t="s">
        <v>114</v>
      </c>
      <c r="C135" s="366"/>
      <c r="D135" s="367" t="str">
        <f>FDate(MIN(E136:E156))</f>
        <v>1398/07/01</v>
      </c>
      <c r="E135" s="160">
        <f t="shared" si="42"/>
        <v>13980701</v>
      </c>
      <c r="F135" s="367" t="str">
        <f>J_SUBDAY(J_ADDDAY(D135,L135,1),1,1)</f>
        <v>1398/07/29</v>
      </c>
      <c r="G135" s="163">
        <f t="shared" si="43"/>
        <v>13980729</v>
      </c>
      <c r="H135" s="379"/>
      <c r="I135" s="380"/>
      <c r="J135" s="367">
        <f>j_WEEKDAY(D135,2)</f>
        <v>2</v>
      </c>
      <c r="K135" s="164">
        <f>SUM(K136:K156)</f>
        <v>0</v>
      </c>
      <c r="L135" s="370">
        <f>J_DIFF(D135,FDate(MAX(G136:G156)))+1</f>
        <v>29</v>
      </c>
      <c r="M135" s="371">
        <f>IF(SUM(L136:L156)&lt;&gt;0,SUMPRODUCT(L136:L156,M136:M156)/SUM(L136:L156),0)</f>
        <v>0</v>
      </c>
      <c r="N135" s="372">
        <f>IF(F135&gt;=D135,NETWORKDAYS.INTL(J_GregorianDate(D135,1),J_GregorianDate(F135,1),16,1)-SUMIFS(Holieday[ok],Holieday[date],CONCATENATE("&gt;","=",D135),Holieday[date],CONCATENATE("&lt;","=",F135))+SUMIFS(Holieday[Friday],Holieday[date],CONCATENATE("&gt;","=",D135),Holieday[date],CONCATENATE("&lt;","=",F135)),0)</f>
        <v>24</v>
      </c>
      <c r="O135" s="159">
        <f t="shared" ref="O135:O136" si="44">ROUNDDOWN(M135*L135,0)</f>
        <v>0</v>
      </c>
      <c r="P135" s="159">
        <f>VALUE(J_normdate(J_ADDDAY($D135,$O135,1)))</f>
        <v>13980701</v>
      </c>
      <c r="Q135" s="162">
        <f t="shared" ref="Q135:Q136" si="45">L135-O135</f>
        <v>29</v>
      </c>
      <c r="IY135" s="383"/>
      <c r="IZ135" s="384"/>
      <c r="JA135" s="385"/>
      <c r="JB135" s="385"/>
      <c r="JC135" s="385"/>
      <c r="JD135" s="386"/>
    </row>
    <row r="136" spans="1:16382" s="312" customFormat="1" ht="13.5">
      <c r="A136" s="305">
        <v>6.1</v>
      </c>
      <c r="B136" s="277" t="s">
        <v>138</v>
      </c>
      <c r="C136" s="263" t="s">
        <v>79</v>
      </c>
      <c r="D136" s="280" t="str">
        <f>IF(OR(j_WEEKDAY(J_ADDDAY(VLOOKUP(I136,A:F,6,FALSE),H136,1),0)=6,SUMIFS(Holieday[ok],Holieday[date],J_ADDDAY(VLOOKUP(I136,A:F,6,FALSE),H136,1)))=FALSE(),J_ADDDAY(VLOOKUP(I136,A:F,6,FALSE),H136,1),IF(OR(j_WEEKDAY(J_ADDDAY(VLOOKUP(I136,A:F,6,FALSE),H136+1,1),0)=6,SUMIFS(Holieday[ok],Holieday[date],J_ADDDAY(VLOOKUP(I136,A:F,6,FALSE),H136+1,1)))=FALSE(),J_ADDDAY(VLOOKUP(I136,A:F,6,FALSE),H136+1,1),IF(OR(j_WEEKDAY(J_ADDDAY(VLOOKUP(I136,A:F,6,FALSE),H136+2,1),0)=6,SUMIFS(Holieday[ok],Holieday[date],J_ADDDAY(VLOOKUP(I136,A:F,6,FALSE),H136+2,1)))=FALSE(),J_ADDDAY(VLOOKUP(I136,A:F,6,FALSE),H136+2,1),IF(OR(j_WEEKDAY(J_ADDDAY(VLOOKUP(I136,A:F,6,FALSE),H136+3,1),0)=6,SUMIFS(Holieday[ok],Holieday[date],J_ADDDAY(VLOOKUP(I136,A:F,6,FALSE),H136+3,1)))=FALSE(),J_ADDDAY(VLOOKUP(I136,A:F,6,FALSE),H136+3,1),IF(OR(j_WEEKDAY(J_ADDDAY(VLOOKUP(I136,A:F,6,FALSE),H136+4,1),0)=6,SUMIFS(Holieday[ok],Holieday[date],J_ADDDAY(VLOOKUP(I136,A:F,6,FALSE),H136+4,1)))=FALSE(),J_ADDDAY(VLOOKUP(I136,A:F,6,FALSE),H136+4,1),J_ADDDAY(VLOOKUP(I136,A:F,6,FALSE),H136+5,1))))))</f>
        <v>1398/07/01</v>
      </c>
      <c r="E136" s="160">
        <f t="shared" si="42"/>
        <v>13980701</v>
      </c>
      <c r="F136" s="265" t="str">
        <f>IF(N136=0,J_SUBDAY(D136,1,1),IF((N136-NETWORKDAYS.INTL(J_GregorianDate(D136,1),J_GregorianDate(J_SUBDAY(J_ADDDAY(D136,N136,1),1,1),1),16,1)-SUMIFS(Holieday[ok],Holieday[date],CONCATENATE("&gt;","=",D136),Holieday[date],CONCATENATE("&lt;","=",J_SUBDAY(J_ADDDAY(D136,N136,1),1,1)))+SUMIFS(Holieday[Friday],Holieday[date],CONCATENATE("&gt;","=",D136),Holieday[date],CONCATENATE("&lt;","=",J_SUBDAY(J_ADDDAY(D136,N136,1),1,1))))=0,J_SUBDAY(J_ADDDAY(D136,N136,1),1,1),IF((N136-NETWORKDAYS.INTL(J_GregorianDate(D136,1),J_GregorianDate(J_SUBDAY(J_ADDDAY(D136,N136,1),1,1),1),16,1)-SUMIFS(Holieday[ok],Holieday[date],CONCATENATE("&gt;","=",D136),Holieday[date],CONCATENATE("&lt;","=",J_SUBDAY(J_ADDDAY(D136,N136,1),1,1)))+SUMIFS(Holieday[Friday],Holieday[date],CONCATENATE("&gt;","=",D136),Holieday[date],CONCATENATE("&lt;","=",J_SUBDAY(J_ADDDAY(D136,N136,1),1,1))))=1,J_SUBDAY(J_ADDDAY(D136,N136+1,1),1,1),IF((N136-NETWORKDAYS.INTL(J_GregorianDate(D136,1),J_GregorianDate(J_SUBDAY(J_ADDDAY(D136,N136,1),1,1),1),16,1)-SUMIFS(Holieday[ok],Holieday[date],CONCATENATE("&gt;","=",D136),Holieday[date],CONCATENATE("&lt;","=",J_SUBDAY(J_ADDDAY(D136,N136,1),1,1)))+SUMIFS(Holieday[Friday],Holieday[date],CONCATENATE("&gt;","=",D136),Holieday[date],CONCATENATE("&lt;","=",J_SUBDAY(J_ADDDAY(D136,N136,1),1,1))))=2,J_SUBDAY(J_ADDDAY(D136,N136+2,1),1,1),J_SUBDAY(J_ADDDAY(D136,N136+3,1),1,1)))))</f>
        <v>1398/07/11</v>
      </c>
      <c r="G136" s="163">
        <f t="shared" si="43"/>
        <v>13980711</v>
      </c>
      <c r="H136" s="266">
        <v>1</v>
      </c>
      <c r="I136" s="267">
        <v>1.1000000000000001</v>
      </c>
      <c r="J136" s="265">
        <f>j_WEEKDAY(D136,2)</f>
        <v>2</v>
      </c>
      <c r="K136" s="173">
        <f t="shared" ref="K136:K156" si="46">SUM(JA136:JC136)</f>
        <v>0</v>
      </c>
      <c r="L136" s="306">
        <f t="shared" ref="L136:L156" si="47">J_DIFF(D136,F136)+1</f>
        <v>11</v>
      </c>
      <c r="M136" s="307">
        <v>0</v>
      </c>
      <c r="N136" s="270">
        <v>10</v>
      </c>
      <c r="O136" s="175">
        <f t="shared" si="44"/>
        <v>0</v>
      </c>
      <c r="P136" s="175">
        <f>VALUE(J_normdate(J_ADDDAY($D136,$O136,1)))</f>
        <v>13980701</v>
      </c>
      <c r="Q136" s="171">
        <f t="shared" si="45"/>
        <v>11</v>
      </c>
      <c r="R136" s="271"/>
      <c r="S136" s="271"/>
      <c r="T136" s="271"/>
      <c r="U136" s="271"/>
      <c r="V136" s="271"/>
      <c r="W136" s="271"/>
      <c r="X136" s="271"/>
      <c r="Y136" s="271"/>
      <c r="Z136" s="271"/>
      <c r="AA136" s="271"/>
      <c r="AB136" s="271"/>
      <c r="AC136" s="271"/>
      <c r="AD136" s="271"/>
      <c r="AE136" s="271"/>
      <c r="AF136" s="271"/>
      <c r="AG136" s="271"/>
      <c r="AH136" s="271"/>
      <c r="AI136" s="271"/>
      <c r="AJ136" s="271"/>
      <c r="AK136" s="271"/>
      <c r="AL136" s="271"/>
      <c r="AM136" s="271"/>
      <c r="AN136" s="271"/>
      <c r="AO136" s="271"/>
      <c r="AP136" s="271"/>
      <c r="AQ136" s="271"/>
      <c r="AR136" s="271"/>
      <c r="AS136" s="271"/>
      <c r="AT136" s="271"/>
      <c r="AU136" s="271"/>
      <c r="AV136" s="271"/>
      <c r="AW136" s="271"/>
      <c r="AX136" s="271"/>
      <c r="AY136" s="271"/>
      <c r="AZ136" s="271"/>
      <c r="BA136" s="271"/>
      <c r="BB136" s="271"/>
      <c r="BC136" s="271"/>
      <c r="BD136" s="271"/>
      <c r="BE136" s="271"/>
      <c r="BF136" s="271"/>
      <c r="BG136" s="271"/>
      <c r="BH136" s="271"/>
      <c r="BI136" s="271"/>
      <c r="BJ136" s="271"/>
      <c r="BK136" s="271"/>
      <c r="BL136" s="271"/>
      <c r="BM136" s="271"/>
      <c r="BN136" s="271"/>
      <c r="BO136" s="271"/>
      <c r="BP136" s="271"/>
      <c r="BQ136" s="271"/>
      <c r="BR136" s="271"/>
      <c r="BS136" s="271"/>
      <c r="BT136" s="271"/>
      <c r="BU136" s="271"/>
      <c r="BV136" s="271"/>
      <c r="BW136" s="271"/>
      <c r="BX136" s="271"/>
      <c r="BY136" s="271"/>
      <c r="BZ136" s="271"/>
      <c r="CA136" s="271"/>
      <c r="CB136" s="271"/>
      <c r="CC136" s="271"/>
      <c r="CD136" s="271"/>
      <c r="CE136" s="271"/>
      <c r="CF136" s="271"/>
      <c r="CG136" s="271"/>
      <c r="CH136" s="271"/>
      <c r="CI136" s="271"/>
      <c r="CJ136" s="271"/>
      <c r="CK136" s="271"/>
      <c r="CL136" s="271"/>
      <c r="CM136" s="271"/>
      <c r="CN136" s="271"/>
      <c r="CO136" s="271"/>
      <c r="CP136" s="271"/>
      <c r="CQ136" s="271"/>
      <c r="CR136" s="271"/>
      <c r="CS136" s="271"/>
      <c r="CT136" s="271"/>
      <c r="CU136" s="271"/>
      <c r="CV136" s="271"/>
      <c r="CW136" s="271"/>
      <c r="CX136" s="271"/>
      <c r="CY136" s="271"/>
      <c r="CZ136" s="271"/>
      <c r="DA136" s="271"/>
      <c r="DB136" s="271"/>
      <c r="DC136" s="271"/>
      <c r="DD136" s="271"/>
      <c r="DE136" s="271"/>
      <c r="DF136" s="271"/>
      <c r="DG136" s="271"/>
      <c r="DH136" s="271"/>
      <c r="DI136" s="271"/>
      <c r="DJ136" s="271"/>
      <c r="DK136" s="271"/>
      <c r="DL136" s="271"/>
      <c r="DM136" s="271"/>
      <c r="DN136" s="271"/>
      <c r="DO136" s="271"/>
      <c r="DP136" s="271"/>
      <c r="DQ136" s="271"/>
      <c r="DR136" s="271"/>
      <c r="DS136" s="271"/>
      <c r="DT136" s="271"/>
      <c r="DU136" s="271"/>
      <c r="DV136" s="271"/>
      <c r="DW136" s="271"/>
      <c r="DX136" s="271"/>
      <c r="DY136" s="271"/>
      <c r="DZ136" s="271"/>
      <c r="EA136" s="271"/>
      <c r="EB136" s="271"/>
      <c r="EC136" s="271"/>
      <c r="ED136" s="271"/>
      <c r="EE136" s="271"/>
      <c r="EF136" s="271"/>
      <c r="EG136" s="271"/>
      <c r="EH136" s="271"/>
      <c r="EI136" s="271"/>
      <c r="EJ136" s="271"/>
      <c r="EK136" s="271"/>
      <c r="EL136" s="271"/>
      <c r="EM136" s="271"/>
      <c r="EN136" s="271"/>
      <c r="EO136" s="271"/>
      <c r="EP136" s="271"/>
      <c r="EQ136" s="271"/>
      <c r="ER136" s="271"/>
      <c r="ES136" s="271"/>
      <c r="ET136" s="271"/>
      <c r="EU136" s="271"/>
      <c r="EV136" s="271"/>
      <c r="EW136" s="271"/>
      <c r="EX136" s="271"/>
      <c r="EY136" s="271"/>
      <c r="EZ136" s="271"/>
      <c r="FA136" s="271"/>
      <c r="FB136" s="271"/>
      <c r="FC136" s="271"/>
      <c r="FD136" s="271"/>
      <c r="FE136" s="271"/>
      <c r="FF136" s="271"/>
      <c r="FG136" s="271"/>
      <c r="FH136" s="271"/>
      <c r="FI136" s="271"/>
      <c r="FJ136" s="271"/>
      <c r="FK136" s="271"/>
      <c r="FL136" s="271"/>
      <c r="FM136" s="271"/>
      <c r="FN136" s="271"/>
      <c r="FO136" s="271"/>
      <c r="FP136" s="271"/>
      <c r="FQ136" s="271"/>
      <c r="FR136" s="271"/>
      <c r="FS136" s="271"/>
      <c r="FT136" s="271"/>
      <c r="FU136" s="271"/>
      <c r="FV136" s="271"/>
      <c r="FW136" s="271"/>
      <c r="FX136" s="271"/>
      <c r="FY136" s="271"/>
      <c r="FZ136" s="271"/>
      <c r="GA136" s="271"/>
      <c r="GB136" s="271"/>
      <c r="GC136" s="271"/>
      <c r="GD136" s="271"/>
      <c r="GE136" s="271"/>
      <c r="GF136" s="271"/>
      <c r="GG136" s="271"/>
      <c r="GH136" s="271"/>
      <c r="GI136" s="271"/>
      <c r="GJ136" s="271"/>
      <c r="GK136" s="271"/>
      <c r="GL136" s="271"/>
      <c r="GM136" s="271"/>
      <c r="GN136" s="271"/>
      <c r="GO136" s="271"/>
      <c r="GP136" s="271"/>
      <c r="GQ136" s="271"/>
      <c r="GR136" s="271"/>
      <c r="GS136" s="271"/>
      <c r="GT136" s="271"/>
      <c r="GU136" s="271"/>
      <c r="GV136" s="271"/>
      <c r="GW136" s="271"/>
      <c r="GX136" s="271"/>
      <c r="GY136" s="271"/>
      <c r="GZ136" s="271"/>
      <c r="HA136" s="271"/>
      <c r="HB136" s="271"/>
      <c r="HC136" s="271"/>
      <c r="HD136" s="271"/>
      <c r="HE136" s="271"/>
      <c r="HF136" s="271"/>
      <c r="HG136" s="271"/>
      <c r="HH136" s="271"/>
      <c r="HI136" s="271"/>
      <c r="HJ136" s="271"/>
      <c r="HK136" s="271"/>
      <c r="HL136" s="271"/>
      <c r="HM136" s="271"/>
      <c r="HN136" s="271"/>
      <c r="HO136" s="271"/>
      <c r="HP136" s="271"/>
      <c r="HQ136" s="271"/>
      <c r="HR136" s="271"/>
      <c r="HS136" s="271"/>
      <c r="HT136" s="271"/>
      <c r="HU136" s="271"/>
      <c r="HV136" s="271"/>
      <c r="HW136" s="271"/>
      <c r="HX136" s="271"/>
      <c r="HY136" s="271"/>
      <c r="HZ136" s="271"/>
      <c r="IA136" s="271"/>
      <c r="IB136" s="271"/>
      <c r="IC136" s="271"/>
      <c r="ID136" s="271"/>
      <c r="IE136" s="271"/>
      <c r="IF136" s="271"/>
      <c r="IG136" s="271"/>
      <c r="IH136" s="271"/>
      <c r="II136" s="271"/>
      <c r="IJ136" s="271"/>
      <c r="IK136" s="271"/>
      <c r="IL136" s="271"/>
      <c r="IM136" s="271"/>
      <c r="IN136" s="271"/>
      <c r="IO136" s="271"/>
      <c r="IP136" s="271"/>
      <c r="IQ136" s="271"/>
      <c r="IR136" s="271"/>
      <c r="IS136" s="271"/>
      <c r="IT136" s="271"/>
      <c r="IU136" s="271"/>
      <c r="IV136" s="271"/>
      <c r="IW136" s="271"/>
      <c r="IX136" s="271"/>
      <c r="IY136" s="308">
        <v>1</v>
      </c>
      <c r="IZ136" s="308">
        <f>(TEXT(K136,"[m]")/60)*VLOOKUP(IY136,'Income Person-hours'!A$2:C$5,3,FALSE)</f>
        <v>0</v>
      </c>
      <c r="JA136" s="285"/>
      <c r="JB136" s="309"/>
      <c r="JC136" s="310"/>
      <c r="JD136" s="311">
        <f>SUM((TEXT(JA136,"[M]")/60)*'Income Person-hours'!$D$3,(TEXT(JB136,"[M]")/60)*'Income Person-hours'!$D$4,(TEXT(JC136,"[M]")/60)*'Income Person-hours'!$D$5)</f>
        <v>0</v>
      </c>
      <c r="JE136" s="271"/>
      <c r="JF136" s="271"/>
      <c r="JG136" s="271"/>
      <c r="JH136" s="271"/>
      <c r="JI136" s="271"/>
      <c r="JJ136" s="271"/>
      <c r="JK136" s="271"/>
      <c r="JL136" s="271"/>
      <c r="JM136" s="271"/>
      <c r="JN136" s="271"/>
      <c r="JO136" s="271"/>
      <c r="JP136" s="271"/>
      <c r="JQ136" s="271"/>
      <c r="JR136" s="271"/>
      <c r="JS136" s="271"/>
      <c r="JT136" s="271"/>
      <c r="JU136" s="271"/>
      <c r="JV136" s="271"/>
      <c r="JW136" s="271"/>
      <c r="JX136" s="271"/>
      <c r="JY136" s="271"/>
      <c r="JZ136" s="271"/>
      <c r="KA136" s="271"/>
      <c r="KB136" s="271"/>
      <c r="KC136" s="271"/>
      <c r="KD136" s="271"/>
      <c r="KE136" s="271"/>
      <c r="KF136" s="271"/>
      <c r="KG136" s="271"/>
      <c r="KH136" s="271"/>
      <c r="KI136" s="271"/>
      <c r="KJ136" s="271"/>
      <c r="KK136" s="271"/>
      <c r="KL136" s="271"/>
      <c r="KM136" s="271"/>
      <c r="KN136" s="271"/>
      <c r="KO136" s="271"/>
      <c r="KP136" s="271"/>
      <c r="KQ136" s="271"/>
      <c r="KR136" s="271"/>
      <c r="KS136" s="271"/>
      <c r="KT136" s="271"/>
      <c r="KU136" s="271"/>
      <c r="KV136" s="271"/>
      <c r="KW136" s="271"/>
      <c r="KX136" s="271"/>
      <c r="KY136" s="271"/>
      <c r="KZ136" s="271"/>
      <c r="LA136" s="271"/>
      <c r="LB136" s="271"/>
      <c r="LC136" s="271"/>
      <c r="LD136" s="271"/>
      <c r="LE136" s="271"/>
      <c r="LF136" s="271"/>
      <c r="LG136" s="271"/>
      <c r="LH136" s="271"/>
      <c r="LI136" s="271"/>
      <c r="LJ136" s="271"/>
      <c r="LK136" s="271"/>
      <c r="LL136" s="271"/>
      <c r="LM136" s="271"/>
      <c r="LN136" s="271"/>
      <c r="LO136" s="271"/>
      <c r="LP136" s="271"/>
      <c r="LQ136" s="271"/>
      <c r="LR136" s="271"/>
      <c r="LS136" s="271"/>
      <c r="LT136" s="271"/>
      <c r="LU136" s="271"/>
      <c r="LV136" s="271"/>
      <c r="LW136" s="271"/>
      <c r="LX136" s="271"/>
      <c r="LY136" s="271"/>
      <c r="LZ136" s="271"/>
      <c r="MA136" s="271"/>
      <c r="MB136" s="271"/>
      <c r="MC136" s="271"/>
      <c r="MD136" s="271"/>
      <c r="ME136" s="271"/>
      <c r="MF136" s="271"/>
      <c r="MG136" s="271"/>
      <c r="MH136" s="271"/>
      <c r="MI136" s="271"/>
      <c r="MJ136" s="271"/>
      <c r="MK136" s="271"/>
      <c r="ML136" s="271"/>
      <c r="MM136" s="271"/>
      <c r="MN136" s="271"/>
      <c r="MO136" s="271"/>
      <c r="MP136" s="271"/>
      <c r="MQ136" s="271"/>
      <c r="MR136" s="271"/>
      <c r="MS136" s="271"/>
      <c r="MT136" s="271"/>
      <c r="MU136" s="271"/>
      <c r="MV136" s="271"/>
      <c r="MW136" s="271"/>
      <c r="MX136" s="271"/>
      <c r="MY136" s="271"/>
      <c r="MZ136" s="271"/>
      <c r="NA136" s="271"/>
      <c r="NB136" s="271"/>
      <c r="NC136" s="271"/>
      <c r="ND136" s="271"/>
      <c r="NE136" s="271"/>
      <c r="NF136" s="271"/>
      <c r="NG136" s="271"/>
      <c r="NH136" s="271"/>
      <c r="NI136" s="271"/>
      <c r="NJ136" s="271"/>
      <c r="NK136" s="271"/>
      <c r="NL136" s="271"/>
      <c r="NM136" s="271"/>
      <c r="NN136" s="271"/>
      <c r="NO136" s="271"/>
      <c r="NP136" s="271"/>
      <c r="NQ136" s="271"/>
      <c r="NR136" s="271"/>
      <c r="NS136" s="271"/>
      <c r="NT136" s="271"/>
      <c r="NU136" s="271"/>
      <c r="NV136" s="271"/>
      <c r="NW136" s="271"/>
      <c r="NX136" s="271"/>
      <c r="NY136" s="271"/>
      <c r="NZ136" s="271"/>
      <c r="OA136" s="271"/>
      <c r="OB136" s="271"/>
      <c r="OC136" s="271"/>
      <c r="OD136" s="271"/>
      <c r="OE136" s="271"/>
      <c r="OF136" s="271"/>
      <c r="OG136" s="271"/>
      <c r="OH136" s="271"/>
      <c r="OI136" s="271"/>
      <c r="OJ136" s="271"/>
      <c r="OK136" s="271"/>
      <c r="OL136" s="271"/>
      <c r="OM136" s="271"/>
      <c r="ON136" s="271"/>
      <c r="OO136" s="271"/>
      <c r="OP136" s="271"/>
      <c r="OQ136" s="271"/>
      <c r="OR136" s="271"/>
      <c r="OS136" s="271"/>
      <c r="OT136" s="271"/>
      <c r="OU136" s="271"/>
      <c r="OV136" s="271"/>
      <c r="OW136" s="271"/>
      <c r="OX136" s="271"/>
      <c r="OY136" s="271"/>
      <c r="OZ136" s="271"/>
      <c r="PA136" s="271"/>
      <c r="PB136" s="271"/>
      <c r="PC136" s="271"/>
      <c r="PD136" s="271"/>
      <c r="PE136" s="271"/>
      <c r="PF136" s="271"/>
      <c r="PG136" s="271"/>
      <c r="PH136" s="271"/>
      <c r="PI136" s="271"/>
      <c r="PJ136" s="271"/>
      <c r="PK136" s="271"/>
      <c r="PL136" s="271"/>
      <c r="PM136" s="271"/>
      <c r="PN136" s="271"/>
      <c r="PO136" s="271"/>
      <c r="PP136" s="271"/>
      <c r="PQ136" s="271"/>
      <c r="PR136" s="271"/>
      <c r="PS136" s="271"/>
      <c r="PT136" s="271"/>
      <c r="PU136" s="271"/>
      <c r="PV136" s="271"/>
      <c r="PW136" s="271"/>
      <c r="PX136" s="271"/>
      <c r="PY136" s="271"/>
      <c r="PZ136" s="271"/>
      <c r="QA136" s="271"/>
      <c r="QB136" s="271"/>
      <c r="QC136" s="271"/>
      <c r="QD136" s="271"/>
      <c r="QE136" s="271"/>
      <c r="QF136" s="271"/>
      <c r="QG136" s="271"/>
      <c r="QH136" s="271"/>
      <c r="QI136" s="271"/>
      <c r="QJ136" s="271"/>
      <c r="QK136" s="271"/>
      <c r="QL136" s="271"/>
      <c r="QM136" s="271"/>
      <c r="QN136" s="271"/>
      <c r="QO136" s="271"/>
      <c r="QP136" s="271"/>
      <c r="QQ136" s="271"/>
      <c r="QR136" s="271"/>
      <c r="QS136" s="271"/>
      <c r="QT136" s="271"/>
      <c r="QU136" s="271"/>
      <c r="QV136" s="271"/>
      <c r="QW136" s="271"/>
      <c r="QX136" s="271"/>
      <c r="QY136" s="271"/>
      <c r="QZ136" s="271"/>
      <c r="RA136" s="271"/>
      <c r="RB136" s="271"/>
      <c r="RC136" s="271"/>
      <c r="RD136" s="271"/>
      <c r="RE136" s="271"/>
      <c r="RF136" s="271"/>
      <c r="RG136" s="271"/>
      <c r="RH136" s="271"/>
      <c r="RI136" s="271"/>
      <c r="RJ136" s="271"/>
      <c r="RK136" s="271"/>
      <c r="RL136" s="271"/>
      <c r="RM136" s="271"/>
      <c r="RN136" s="271"/>
      <c r="RO136" s="271"/>
      <c r="RP136" s="271"/>
      <c r="RQ136" s="271"/>
      <c r="RR136" s="271"/>
      <c r="RS136" s="271"/>
      <c r="RT136" s="271"/>
      <c r="RU136" s="271"/>
      <c r="RV136" s="271"/>
      <c r="RW136" s="271"/>
      <c r="RX136" s="271"/>
      <c r="RY136" s="271"/>
      <c r="RZ136" s="271"/>
      <c r="SA136" s="271"/>
      <c r="SB136" s="271"/>
      <c r="SC136" s="271"/>
      <c r="SD136" s="271"/>
      <c r="SE136" s="271"/>
      <c r="SF136" s="271"/>
      <c r="SG136" s="271"/>
      <c r="SH136" s="271"/>
      <c r="SI136" s="271"/>
      <c r="SJ136" s="271"/>
      <c r="SK136" s="271"/>
      <c r="SL136" s="271"/>
      <c r="SM136" s="271"/>
      <c r="SN136" s="271"/>
      <c r="SO136" s="271"/>
      <c r="SP136" s="271"/>
      <c r="SQ136" s="271"/>
      <c r="SR136" s="271"/>
      <c r="SS136" s="271"/>
      <c r="ST136" s="271"/>
      <c r="SU136" s="271"/>
      <c r="SV136" s="271"/>
      <c r="SW136" s="271"/>
      <c r="SX136" s="271"/>
      <c r="SY136" s="271"/>
      <c r="SZ136" s="271"/>
      <c r="TA136" s="271"/>
      <c r="TB136" s="271"/>
      <c r="TC136" s="271"/>
      <c r="TD136" s="271"/>
      <c r="TE136" s="271"/>
      <c r="TF136" s="271"/>
      <c r="TG136" s="271"/>
      <c r="TH136" s="271"/>
      <c r="TI136" s="271"/>
      <c r="TJ136" s="271"/>
      <c r="TK136" s="271"/>
      <c r="TL136" s="271"/>
      <c r="TM136" s="271"/>
      <c r="TN136" s="271"/>
      <c r="TO136" s="271"/>
      <c r="TP136" s="271"/>
      <c r="TQ136" s="271"/>
      <c r="TR136" s="271"/>
      <c r="TS136" s="271"/>
      <c r="TT136" s="271"/>
      <c r="TU136" s="271"/>
      <c r="TV136" s="271"/>
      <c r="TW136" s="271"/>
      <c r="TX136" s="271"/>
      <c r="TY136" s="271"/>
      <c r="TZ136" s="271"/>
      <c r="UA136" s="271"/>
      <c r="UB136" s="271"/>
      <c r="UC136" s="271"/>
      <c r="UD136" s="271"/>
      <c r="UE136" s="271"/>
      <c r="UF136" s="271"/>
      <c r="UG136" s="271"/>
      <c r="UH136" s="271"/>
      <c r="UI136" s="271"/>
      <c r="UJ136" s="271"/>
      <c r="UK136" s="271"/>
      <c r="UL136" s="271"/>
      <c r="UM136" s="271"/>
      <c r="UN136" s="271"/>
      <c r="UO136" s="271"/>
      <c r="UP136" s="271"/>
      <c r="UQ136" s="271"/>
      <c r="UR136" s="271"/>
      <c r="US136" s="271"/>
      <c r="UT136" s="271"/>
      <c r="UU136" s="271"/>
      <c r="UV136" s="271"/>
      <c r="UW136" s="271"/>
      <c r="UX136" s="271"/>
      <c r="UY136" s="271"/>
      <c r="UZ136" s="271"/>
      <c r="VA136" s="271"/>
      <c r="VB136" s="271"/>
      <c r="VC136" s="271"/>
      <c r="VD136" s="271"/>
      <c r="VE136" s="271"/>
      <c r="VF136" s="271"/>
      <c r="VG136" s="271"/>
      <c r="VH136" s="271"/>
      <c r="VI136" s="271"/>
      <c r="VJ136" s="271"/>
      <c r="VK136" s="271"/>
      <c r="VL136" s="271"/>
      <c r="VM136" s="271"/>
      <c r="VN136" s="271"/>
      <c r="VO136" s="271"/>
      <c r="VP136" s="271"/>
      <c r="VQ136" s="271"/>
      <c r="VR136" s="271"/>
      <c r="VS136" s="271"/>
      <c r="VT136" s="271"/>
      <c r="VU136" s="271"/>
      <c r="VV136" s="271"/>
      <c r="VW136" s="271"/>
      <c r="VX136" s="271"/>
      <c r="VY136" s="271"/>
      <c r="VZ136" s="271"/>
      <c r="WA136" s="271"/>
      <c r="WB136" s="271"/>
      <c r="WC136" s="271"/>
      <c r="WD136" s="271"/>
      <c r="WE136" s="271"/>
      <c r="WF136" s="271"/>
      <c r="WG136" s="271"/>
      <c r="WH136" s="271"/>
      <c r="WI136" s="271"/>
      <c r="WJ136" s="271"/>
      <c r="WK136" s="271"/>
      <c r="WL136" s="271"/>
      <c r="WM136" s="271"/>
      <c r="WN136" s="271"/>
      <c r="WO136" s="271"/>
      <c r="WP136" s="271"/>
      <c r="WQ136" s="271"/>
      <c r="WR136" s="271"/>
      <c r="WS136" s="271"/>
      <c r="WT136" s="271"/>
      <c r="WU136" s="271"/>
      <c r="WV136" s="271"/>
      <c r="WW136" s="271"/>
      <c r="WX136" s="271"/>
      <c r="WY136" s="271"/>
      <c r="WZ136" s="271"/>
      <c r="XA136" s="271"/>
      <c r="XB136" s="271"/>
      <c r="XC136" s="271"/>
      <c r="XD136" s="271"/>
      <c r="XE136" s="271"/>
      <c r="XF136" s="271"/>
      <c r="XG136" s="271"/>
      <c r="XH136" s="271"/>
      <c r="XI136" s="271"/>
      <c r="XJ136" s="271"/>
      <c r="XK136" s="271"/>
      <c r="XL136" s="271"/>
      <c r="XM136" s="271"/>
      <c r="XN136" s="271"/>
      <c r="XO136" s="271"/>
      <c r="XP136" s="271"/>
      <c r="XQ136" s="271"/>
      <c r="XR136" s="271"/>
      <c r="XS136" s="271"/>
      <c r="XT136" s="271"/>
      <c r="XU136" s="271"/>
      <c r="XV136" s="271"/>
      <c r="XW136" s="271"/>
      <c r="XX136" s="271"/>
      <c r="XY136" s="271"/>
      <c r="XZ136" s="271"/>
      <c r="YA136" s="271"/>
      <c r="YB136" s="271"/>
      <c r="YC136" s="271"/>
      <c r="YD136" s="271"/>
      <c r="YE136" s="271"/>
      <c r="YF136" s="271"/>
      <c r="YG136" s="271"/>
      <c r="YH136" s="271"/>
      <c r="YI136" s="271"/>
      <c r="YJ136" s="271"/>
      <c r="YK136" s="271"/>
      <c r="YL136" s="271"/>
      <c r="YM136" s="271"/>
      <c r="YN136" s="271"/>
      <c r="YO136" s="271"/>
      <c r="YP136" s="271"/>
      <c r="YQ136" s="271"/>
      <c r="YR136" s="271"/>
      <c r="YS136" s="271"/>
      <c r="YT136" s="271"/>
      <c r="YU136" s="271"/>
      <c r="YV136" s="271"/>
      <c r="YW136" s="271"/>
      <c r="YX136" s="271"/>
      <c r="YY136" s="271"/>
      <c r="YZ136" s="271"/>
      <c r="ZA136" s="271"/>
      <c r="ZB136" s="271"/>
      <c r="ZC136" s="271"/>
      <c r="ZD136" s="271"/>
      <c r="ZE136" s="271"/>
      <c r="ZF136" s="271"/>
      <c r="ZG136" s="271"/>
      <c r="ZH136" s="271"/>
      <c r="ZI136" s="271"/>
      <c r="ZJ136" s="271"/>
      <c r="ZK136" s="271"/>
      <c r="ZL136" s="271"/>
      <c r="ZM136" s="271"/>
      <c r="ZN136" s="271"/>
      <c r="ZO136" s="271"/>
      <c r="ZP136" s="271"/>
      <c r="ZQ136" s="271"/>
      <c r="ZR136" s="271"/>
      <c r="ZS136" s="271"/>
      <c r="ZT136" s="271"/>
      <c r="ZU136" s="271"/>
      <c r="ZV136" s="271"/>
      <c r="ZW136" s="271"/>
      <c r="ZX136" s="271"/>
      <c r="ZY136" s="271"/>
      <c r="ZZ136" s="271"/>
      <c r="AAA136" s="271"/>
      <c r="AAB136" s="271"/>
      <c r="AAC136" s="271"/>
      <c r="AAD136" s="271"/>
      <c r="AAE136" s="271"/>
      <c r="AAF136" s="271"/>
      <c r="AAG136" s="271"/>
      <c r="AAH136" s="271"/>
      <c r="AAI136" s="271"/>
      <c r="AAJ136" s="271"/>
      <c r="AAK136" s="271"/>
      <c r="AAL136" s="271"/>
      <c r="AAM136" s="271"/>
      <c r="AAN136" s="271"/>
      <c r="AAO136" s="271"/>
      <c r="AAP136" s="271"/>
      <c r="AAQ136" s="271"/>
      <c r="AAR136" s="271"/>
      <c r="AAS136" s="271"/>
      <c r="AAT136" s="271"/>
      <c r="AAU136" s="271"/>
      <c r="AAV136" s="271"/>
      <c r="AAW136" s="271"/>
      <c r="AAX136" s="271"/>
      <c r="AAY136" s="271"/>
      <c r="AAZ136" s="271"/>
      <c r="ABA136" s="271"/>
      <c r="ABB136" s="271"/>
      <c r="ABC136" s="271"/>
      <c r="ABD136" s="271"/>
      <c r="ABE136" s="271"/>
      <c r="ABF136" s="271"/>
      <c r="ABG136" s="271"/>
      <c r="ABH136" s="271"/>
      <c r="ABI136" s="271"/>
      <c r="ABJ136" s="271"/>
      <c r="ABK136" s="271"/>
      <c r="ABL136" s="271"/>
      <c r="ABM136" s="271"/>
      <c r="ABN136" s="271"/>
      <c r="ABO136" s="271"/>
      <c r="ABP136" s="271"/>
      <c r="ABQ136" s="271"/>
      <c r="ABR136" s="271"/>
      <c r="ABS136" s="271"/>
      <c r="ABT136" s="271"/>
      <c r="ABU136" s="271"/>
      <c r="ABV136" s="271"/>
      <c r="ABW136" s="271"/>
      <c r="ABX136" s="271"/>
      <c r="ABY136" s="271"/>
      <c r="ABZ136" s="271"/>
      <c r="ACA136" s="271"/>
      <c r="ACB136" s="271"/>
      <c r="ACC136" s="271"/>
      <c r="ACD136" s="271"/>
      <c r="ACE136" s="271"/>
      <c r="ACF136" s="271"/>
      <c r="ACG136" s="271"/>
      <c r="ACH136" s="271"/>
      <c r="ACI136" s="271"/>
      <c r="ACJ136" s="271"/>
      <c r="ACK136" s="271"/>
      <c r="ACL136" s="271"/>
      <c r="ACM136" s="271"/>
      <c r="ACN136" s="271"/>
      <c r="ACO136" s="271"/>
      <c r="ACP136" s="271"/>
      <c r="ACQ136" s="271"/>
      <c r="ACR136" s="271"/>
      <c r="ACS136" s="271"/>
      <c r="ACT136" s="271"/>
      <c r="ACU136" s="271"/>
      <c r="ACV136" s="271"/>
      <c r="ACW136" s="271"/>
      <c r="ACX136" s="271"/>
      <c r="ACY136" s="271"/>
      <c r="ACZ136" s="271"/>
      <c r="ADA136" s="271"/>
      <c r="ADB136" s="271"/>
      <c r="ADC136" s="271"/>
      <c r="ADD136" s="271"/>
      <c r="ADE136" s="271"/>
      <c r="ADF136" s="271"/>
      <c r="ADG136" s="271"/>
      <c r="ADH136" s="271"/>
      <c r="ADI136" s="271"/>
      <c r="ADJ136" s="271"/>
      <c r="ADK136" s="271"/>
      <c r="ADL136" s="271"/>
      <c r="ADM136" s="271"/>
      <c r="ADN136" s="271"/>
      <c r="ADO136" s="271"/>
      <c r="ADP136" s="271"/>
      <c r="ADQ136" s="271"/>
      <c r="ADR136" s="271"/>
      <c r="ADS136" s="271"/>
      <c r="ADT136" s="271"/>
      <c r="ADU136" s="271"/>
      <c r="ADV136" s="271"/>
      <c r="ADW136" s="271"/>
      <c r="ADX136" s="271"/>
      <c r="ADY136" s="271"/>
      <c r="ADZ136" s="271"/>
      <c r="AEA136" s="271"/>
      <c r="AEB136" s="271"/>
      <c r="AEC136" s="271"/>
      <c r="AED136" s="271"/>
      <c r="AEE136" s="271"/>
      <c r="AEF136" s="271"/>
      <c r="AEG136" s="271"/>
      <c r="AEH136" s="271"/>
      <c r="AEI136" s="271"/>
      <c r="AEJ136" s="271"/>
      <c r="AEK136" s="271"/>
      <c r="AEL136" s="271"/>
      <c r="AEM136" s="271"/>
      <c r="AEN136" s="271"/>
      <c r="AEO136" s="271"/>
      <c r="AEP136" s="271"/>
      <c r="AEQ136" s="271"/>
      <c r="AER136" s="271"/>
      <c r="AES136" s="271"/>
      <c r="AET136" s="271"/>
      <c r="AEU136" s="271"/>
      <c r="AEV136" s="271"/>
      <c r="AEW136" s="271"/>
      <c r="AEX136" s="271"/>
      <c r="AEY136" s="271"/>
      <c r="AEZ136" s="271"/>
      <c r="AFA136" s="271"/>
      <c r="AFB136" s="271"/>
      <c r="AFC136" s="271"/>
      <c r="AFD136" s="271"/>
      <c r="AFE136" s="271"/>
      <c r="AFF136" s="271"/>
      <c r="AFG136" s="271"/>
      <c r="AFH136" s="271"/>
      <c r="AFI136" s="271"/>
      <c r="AFJ136" s="271"/>
      <c r="AFK136" s="271"/>
      <c r="AFL136" s="271"/>
      <c r="AFM136" s="271"/>
      <c r="AFN136" s="271"/>
      <c r="AFO136" s="271"/>
      <c r="AFP136" s="271"/>
      <c r="AFQ136" s="271"/>
      <c r="AFR136" s="271"/>
      <c r="AFS136" s="271"/>
      <c r="AFT136" s="271"/>
      <c r="AFU136" s="271"/>
      <c r="AFV136" s="271"/>
      <c r="AFW136" s="271"/>
      <c r="AFX136" s="271"/>
      <c r="AFY136" s="271"/>
      <c r="AFZ136" s="271"/>
      <c r="AGA136" s="271"/>
      <c r="AGB136" s="271"/>
      <c r="AGC136" s="271"/>
      <c r="AGD136" s="271"/>
      <c r="AGE136" s="271"/>
      <c r="AGF136" s="271"/>
      <c r="AGG136" s="271"/>
      <c r="AGH136" s="271"/>
      <c r="AGI136" s="271"/>
      <c r="AGJ136" s="271"/>
      <c r="AGK136" s="271"/>
      <c r="AGL136" s="271"/>
      <c r="AGM136" s="271"/>
      <c r="AGN136" s="271"/>
      <c r="AGO136" s="271"/>
      <c r="AGP136" s="271"/>
      <c r="AGQ136" s="271"/>
      <c r="AGR136" s="271"/>
      <c r="AGS136" s="271"/>
      <c r="AGT136" s="271"/>
      <c r="AGU136" s="271"/>
      <c r="AGV136" s="271"/>
      <c r="AGW136" s="271"/>
      <c r="AGX136" s="271"/>
      <c r="AGY136" s="271"/>
      <c r="AGZ136" s="271"/>
      <c r="AHA136" s="271"/>
      <c r="AHB136" s="271"/>
      <c r="AHC136" s="271"/>
      <c r="AHD136" s="271"/>
      <c r="AHE136" s="271"/>
      <c r="AHF136" s="271"/>
      <c r="AHG136" s="271"/>
      <c r="AHH136" s="271"/>
      <c r="AHI136" s="271"/>
      <c r="AHJ136" s="271"/>
      <c r="AHK136" s="271"/>
      <c r="AHL136" s="271"/>
      <c r="AHM136" s="271"/>
      <c r="AHN136" s="271"/>
      <c r="AHO136" s="271"/>
      <c r="AHP136" s="271"/>
      <c r="AHQ136" s="271"/>
      <c r="AHR136" s="271"/>
      <c r="AHS136" s="271"/>
      <c r="AHT136" s="271"/>
      <c r="AHU136" s="271"/>
      <c r="AHV136" s="271"/>
      <c r="AHW136" s="271"/>
      <c r="AHX136" s="271"/>
      <c r="AHY136" s="271"/>
      <c r="AHZ136" s="271"/>
      <c r="AIA136" s="271"/>
      <c r="AIB136" s="271"/>
      <c r="AIC136" s="271"/>
      <c r="AID136" s="271"/>
      <c r="AIE136" s="271"/>
      <c r="AIF136" s="271"/>
      <c r="AIG136" s="271"/>
      <c r="AIH136" s="271"/>
      <c r="AII136" s="271"/>
      <c r="AIJ136" s="271"/>
      <c r="AIK136" s="271"/>
      <c r="AIL136" s="271"/>
      <c r="AIM136" s="271"/>
      <c r="AIN136" s="271"/>
      <c r="AIO136" s="271"/>
      <c r="AIP136" s="271"/>
      <c r="AIQ136" s="271"/>
      <c r="AIR136" s="271"/>
      <c r="AIS136" s="271"/>
      <c r="AIT136" s="271"/>
      <c r="AIU136" s="271"/>
      <c r="AIV136" s="271"/>
      <c r="AIW136" s="271"/>
      <c r="AIX136" s="271"/>
      <c r="AIY136" s="271"/>
      <c r="AIZ136" s="271"/>
      <c r="AJA136" s="271"/>
      <c r="AJB136" s="271"/>
      <c r="AJC136" s="271"/>
      <c r="AJD136" s="271"/>
      <c r="AJE136" s="271"/>
      <c r="AJF136" s="271"/>
      <c r="AJG136" s="271"/>
      <c r="AJH136" s="271"/>
      <c r="AJI136" s="271"/>
      <c r="AJJ136" s="271"/>
      <c r="AJK136" s="271"/>
      <c r="AJL136" s="271"/>
      <c r="AJM136" s="271"/>
      <c r="AJN136" s="271"/>
      <c r="AJO136" s="271"/>
      <c r="AJP136" s="271"/>
      <c r="AJQ136" s="271"/>
      <c r="AJR136" s="271"/>
      <c r="AJS136" s="271"/>
      <c r="AJT136" s="271"/>
      <c r="AJU136" s="271"/>
      <c r="AJV136" s="271"/>
      <c r="AJW136" s="271"/>
      <c r="AJX136" s="271"/>
      <c r="AJY136" s="271"/>
      <c r="AJZ136" s="271"/>
      <c r="AKA136" s="271"/>
      <c r="AKB136" s="271"/>
      <c r="AKC136" s="271"/>
      <c r="AKD136" s="271"/>
      <c r="AKE136" s="271"/>
      <c r="AKF136" s="271"/>
      <c r="AKG136" s="271"/>
      <c r="AKH136" s="271"/>
      <c r="AKI136" s="271"/>
      <c r="AKJ136" s="271"/>
      <c r="AKK136" s="271"/>
      <c r="AKL136" s="271"/>
      <c r="AKM136" s="271"/>
      <c r="AKN136" s="271"/>
      <c r="AKO136" s="271"/>
      <c r="AKP136" s="271"/>
      <c r="AKQ136" s="271"/>
      <c r="AKR136" s="271"/>
      <c r="AKS136" s="271"/>
      <c r="AKT136" s="271"/>
      <c r="AKU136" s="271"/>
      <c r="AKV136" s="271"/>
      <c r="AKW136" s="271"/>
      <c r="AKX136" s="271"/>
      <c r="AKY136" s="271"/>
      <c r="AKZ136" s="271"/>
      <c r="ALA136" s="271"/>
      <c r="ALB136" s="271"/>
      <c r="ALC136" s="271"/>
      <c r="ALD136" s="271"/>
      <c r="ALE136" s="271"/>
      <c r="ALF136" s="271"/>
      <c r="ALG136" s="271"/>
      <c r="ALH136" s="271"/>
      <c r="ALI136" s="271"/>
      <c r="ALJ136" s="271"/>
      <c r="ALK136" s="271"/>
      <c r="ALL136" s="271"/>
      <c r="ALM136" s="271"/>
      <c r="ALN136" s="271"/>
      <c r="ALO136" s="271"/>
      <c r="ALP136" s="271"/>
      <c r="ALQ136" s="271"/>
      <c r="ALR136" s="271"/>
      <c r="ALS136" s="271"/>
      <c r="ALT136" s="271"/>
      <c r="ALU136" s="271"/>
      <c r="ALV136" s="271"/>
      <c r="ALW136" s="271"/>
      <c r="ALX136" s="271"/>
      <c r="ALY136" s="271"/>
      <c r="ALZ136" s="271"/>
      <c r="AMA136" s="271"/>
      <c r="AMB136" s="271"/>
      <c r="AMC136" s="271"/>
      <c r="AMD136" s="271"/>
      <c r="AME136" s="271"/>
      <c r="AMF136" s="271"/>
      <c r="AMG136" s="271"/>
      <c r="AMH136" s="271"/>
      <c r="AMI136" s="271"/>
      <c r="AMJ136" s="271"/>
      <c r="AMK136" s="271"/>
      <c r="AML136" s="271"/>
      <c r="AMM136" s="271"/>
      <c r="AMN136" s="271"/>
      <c r="AMO136" s="271"/>
      <c r="AMP136" s="271"/>
      <c r="AMQ136" s="271"/>
      <c r="AMR136" s="271"/>
      <c r="AMS136" s="271"/>
      <c r="AMT136" s="271"/>
      <c r="AMU136" s="271"/>
      <c r="AMV136" s="271"/>
      <c r="AMW136" s="271"/>
      <c r="AMX136" s="271"/>
      <c r="AMY136" s="271"/>
      <c r="AMZ136" s="271"/>
      <c r="ANA136" s="271"/>
      <c r="ANB136" s="271"/>
      <c r="ANC136" s="271"/>
      <c r="AND136" s="271"/>
      <c r="ANE136" s="271"/>
      <c r="ANF136" s="271"/>
      <c r="ANG136" s="271"/>
      <c r="ANH136" s="271"/>
      <c r="ANI136" s="271"/>
      <c r="ANJ136" s="271"/>
      <c r="ANK136" s="271"/>
      <c r="ANL136" s="271"/>
      <c r="ANM136" s="271"/>
      <c r="ANN136" s="271"/>
      <c r="ANO136" s="271"/>
      <c r="ANP136" s="271"/>
      <c r="ANQ136" s="271"/>
      <c r="ANR136" s="271"/>
      <c r="ANS136" s="271"/>
      <c r="ANT136" s="271"/>
      <c r="ANU136" s="271"/>
      <c r="ANV136" s="271"/>
      <c r="ANW136" s="271"/>
      <c r="ANX136" s="271"/>
      <c r="ANY136" s="271"/>
      <c r="ANZ136" s="271"/>
      <c r="AOA136" s="271"/>
      <c r="AOB136" s="271"/>
      <c r="AOC136" s="271"/>
      <c r="AOD136" s="271"/>
      <c r="AOE136" s="271"/>
      <c r="AOF136" s="271"/>
      <c r="AOG136" s="271"/>
      <c r="AOH136" s="271"/>
      <c r="AOI136" s="271"/>
      <c r="AOJ136" s="271"/>
      <c r="AOK136" s="271"/>
      <c r="AOL136" s="271"/>
      <c r="AOM136" s="271"/>
      <c r="AON136" s="271"/>
      <c r="AOO136" s="271"/>
      <c r="AOP136" s="271"/>
      <c r="AOQ136" s="271"/>
      <c r="AOR136" s="271"/>
      <c r="AOS136" s="271"/>
      <c r="AOT136" s="271"/>
      <c r="AOU136" s="271"/>
      <c r="AOV136" s="271"/>
      <c r="AOW136" s="271"/>
      <c r="AOX136" s="271"/>
      <c r="AOY136" s="271"/>
      <c r="AOZ136" s="271"/>
      <c r="APA136" s="271"/>
      <c r="APB136" s="271"/>
      <c r="APC136" s="271"/>
      <c r="APD136" s="271"/>
      <c r="APE136" s="271"/>
      <c r="APF136" s="271"/>
      <c r="APG136" s="271"/>
      <c r="APH136" s="271"/>
      <c r="API136" s="271"/>
      <c r="APJ136" s="271"/>
      <c r="APK136" s="271"/>
      <c r="APL136" s="271"/>
      <c r="APM136" s="271"/>
      <c r="APN136" s="271"/>
      <c r="APO136" s="271"/>
      <c r="APP136" s="271"/>
      <c r="APQ136" s="271"/>
      <c r="APR136" s="271"/>
      <c r="APS136" s="271"/>
      <c r="APT136" s="271"/>
      <c r="APU136" s="271"/>
      <c r="APV136" s="271"/>
      <c r="APW136" s="271"/>
      <c r="APX136" s="271"/>
      <c r="APY136" s="271"/>
      <c r="APZ136" s="271"/>
      <c r="AQA136" s="271"/>
      <c r="AQB136" s="271"/>
      <c r="AQC136" s="271"/>
      <c r="AQD136" s="271"/>
      <c r="AQE136" s="271"/>
      <c r="AQF136" s="271"/>
      <c r="AQG136" s="271"/>
      <c r="AQH136" s="271"/>
      <c r="AQI136" s="271"/>
      <c r="AQJ136" s="271"/>
      <c r="AQK136" s="271"/>
      <c r="AQL136" s="271"/>
      <c r="AQM136" s="271"/>
      <c r="AQN136" s="271"/>
      <c r="AQO136" s="271"/>
      <c r="AQP136" s="271"/>
      <c r="AQQ136" s="271"/>
      <c r="AQR136" s="271"/>
      <c r="AQS136" s="271"/>
      <c r="AQT136" s="271"/>
      <c r="AQU136" s="271"/>
      <c r="AQV136" s="271"/>
      <c r="AQW136" s="271"/>
      <c r="AQX136" s="271"/>
      <c r="AQY136" s="271"/>
      <c r="AQZ136" s="271"/>
      <c r="ARA136" s="271"/>
      <c r="ARB136" s="271"/>
      <c r="ARC136" s="271"/>
      <c r="ARD136" s="271"/>
      <c r="ARE136" s="271"/>
      <c r="ARF136" s="271"/>
      <c r="ARG136" s="271"/>
      <c r="ARH136" s="271"/>
      <c r="ARI136" s="271"/>
      <c r="ARJ136" s="271"/>
      <c r="ARK136" s="271"/>
      <c r="ARL136" s="271"/>
      <c r="ARM136" s="271"/>
      <c r="ARN136" s="271"/>
      <c r="ARO136" s="271"/>
      <c r="ARP136" s="271"/>
      <c r="ARQ136" s="271"/>
      <c r="ARR136" s="271"/>
      <c r="ARS136" s="271"/>
      <c r="ART136" s="271"/>
      <c r="ARU136" s="271"/>
      <c r="ARV136" s="271"/>
      <c r="ARW136" s="271"/>
      <c r="ARX136" s="271"/>
      <c r="ARY136" s="271"/>
      <c r="ARZ136" s="271"/>
      <c r="ASA136" s="271"/>
      <c r="ASB136" s="271"/>
      <c r="ASC136" s="271"/>
      <c r="ASD136" s="271"/>
      <c r="ASE136" s="271"/>
      <c r="ASF136" s="271"/>
      <c r="ASG136" s="271"/>
      <c r="ASH136" s="271"/>
      <c r="ASI136" s="271"/>
      <c r="ASJ136" s="271"/>
      <c r="ASK136" s="271"/>
      <c r="ASL136" s="271"/>
      <c r="ASM136" s="271"/>
      <c r="ASN136" s="271"/>
      <c r="ASO136" s="271"/>
      <c r="ASP136" s="271"/>
      <c r="ASQ136" s="271"/>
      <c r="ASR136" s="271"/>
      <c r="ASS136" s="271"/>
      <c r="AST136" s="271"/>
      <c r="ASU136" s="271"/>
      <c r="ASV136" s="271"/>
      <c r="ASW136" s="271"/>
      <c r="ASX136" s="271"/>
      <c r="ASY136" s="271"/>
      <c r="ASZ136" s="271"/>
      <c r="ATA136" s="271"/>
      <c r="ATB136" s="271"/>
      <c r="ATC136" s="271"/>
      <c r="ATD136" s="271"/>
      <c r="ATE136" s="271"/>
      <c r="ATF136" s="271"/>
      <c r="ATG136" s="271"/>
      <c r="ATH136" s="271"/>
      <c r="ATI136" s="271"/>
      <c r="ATJ136" s="271"/>
      <c r="ATK136" s="271"/>
      <c r="ATL136" s="271"/>
      <c r="ATM136" s="271"/>
      <c r="ATN136" s="271"/>
      <c r="ATO136" s="271"/>
      <c r="ATP136" s="271"/>
      <c r="ATQ136" s="271"/>
      <c r="ATR136" s="271"/>
      <c r="ATS136" s="271"/>
      <c r="ATT136" s="271"/>
      <c r="ATU136" s="271"/>
      <c r="ATV136" s="271"/>
      <c r="ATW136" s="271"/>
      <c r="ATX136" s="271"/>
      <c r="ATY136" s="271"/>
      <c r="ATZ136" s="271"/>
      <c r="AUA136" s="271"/>
      <c r="AUB136" s="271"/>
      <c r="AUC136" s="271"/>
      <c r="AUD136" s="271"/>
      <c r="AUE136" s="271"/>
      <c r="AUF136" s="271"/>
      <c r="AUG136" s="271"/>
      <c r="AUH136" s="271"/>
      <c r="AUI136" s="271"/>
      <c r="AUJ136" s="271"/>
      <c r="AUK136" s="271"/>
      <c r="AUL136" s="271"/>
      <c r="AUM136" s="271"/>
      <c r="AUN136" s="271"/>
      <c r="AUO136" s="271"/>
      <c r="AUP136" s="271"/>
      <c r="AUQ136" s="271"/>
      <c r="AUR136" s="271"/>
      <c r="AUS136" s="271"/>
      <c r="AUT136" s="271"/>
      <c r="AUU136" s="271"/>
      <c r="AUV136" s="271"/>
      <c r="AUW136" s="271"/>
      <c r="AUX136" s="271"/>
      <c r="AUY136" s="271"/>
      <c r="AUZ136" s="271"/>
      <c r="AVA136" s="271"/>
      <c r="AVB136" s="271"/>
      <c r="AVC136" s="271"/>
      <c r="AVD136" s="271"/>
      <c r="AVE136" s="271"/>
      <c r="AVF136" s="271"/>
      <c r="AVG136" s="271"/>
      <c r="AVH136" s="271"/>
      <c r="AVI136" s="271"/>
      <c r="AVJ136" s="271"/>
      <c r="AVK136" s="271"/>
      <c r="AVL136" s="271"/>
      <c r="AVM136" s="271"/>
      <c r="AVN136" s="271"/>
      <c r="AVO136" s="271"/>
      <c r="AVP136" s="271"/>
      <c r="AVQ136" s="271"/>
      <c r="AVR136" s="271"/>
      <c r="AVS136" s="271"/>
      <c r="AVT136" s="271"/>
      <c r="AVU136" s="271"/>
      <c r="AVV136" s="271"/>
      <c r="AVW136" s="271"/>
      <c r="AVX136" s="271"/>
      <c r="AVY136" s="271"/>
      <c r="AVZ136" s="271"/>
      <c r="AWA136" s="271"/>
      <c r="AWB136" s="271"/>
      <c r="AWC136" s="271"/>
      <c r="AWD136" s="271"/>
      <c r="AWE136" s="271"/>
      <c r="AWF136" s="271"/>
      <c r="AWG136" s="271"/>
      <c r="AWH136" s="271"/>
      <c r="AWI136" s="271"/>
      <c r="AWJ136" s="271"/>
      <c r="AWK136" s="271"/>
      <c r="AWL136" s="271"/>
      <c r="AWM136" s="271"/>
      <c r="AWN136" s="271"/>
      <c r="AWO136" s="271"/>
      <c r="AWP136" s="271"/>
      <c r="AWQ136" s="271"/>
      <c r="AWR136" s="271"/>
      <c r="AWS136" s="271"/>
      <c r="AWT136" s="271"/>
      <c r="AWU136" s="271"/>
      <c r="AWV136" s="271"/>
      <c r="AWW136" s="271"/>
      <c r="AWX136" s="271"/>
      <c r="AWY136" s="271"/>
      <c r="AWZ136" s="271"/>
      <c r="AXA136" s="271"/>
      <c r="AXB136" s="271"/>
      <c r="AXC136" s="271"/>
      <c r="AXD136" s="271"/>
      <c r="AXE136" s="271"/>
      <c r="AXF136" s="271"/>
      <c r="AXG136" s="271"/>
      <c r="AXH136" s="271"/>
      <c r="AXI136" s="271"/>
      <c r="AXJ136" s="271"/>
      <c r="AXK136" s="271"/>
      <c r="AXL136" s="271"/>
      <c r="AXM136" s="271"/>
      <c r="AXN136" s="271"/>
      <c r="AXO136" s="271"/>
      <c r="AXP136" s="271"/>
      <c r="AXQ136" s="271"/>
      <c r="AXR136" s="271"/>
      <c r="AXS136" s="271"/>
      <c r="AXT136" s="271"/>
      <c r="AXU136" s="271"/>
      <c r="AXV136" s="271"/>
      <c r="AXW136" s="271"/>
      <c r="AXX136" s="271"/>
      <c r="AXY136" s="271"/>
      <c r="AXZ136" s="271"/>
      <c r="AYA136" s="271"/>
      <c r="AYB136" s="271"/>
      <c r="AYC136" s="271"/>
      <c r="AYD136" s="271"/>
      <c r="AYE136" s="271"/>
      <c r="AYF136" s="271"/>
      <c r="AYG136" s="271"/>
      <c r="AYH136" s="271"/>
      <c r="AYI136" s="271"/>
      <c r="AYJ136" s="271"/>
      <c r="AYK136" s="271"/>
      <c r="AYL136" s="271"/>
      <c r="AYM136" s="271"/>
      <c r="AYN136" s="271"/>
      <c r="AYO136" s="271"/>
      <c r="AYP136" s="271"/>
      <c r="AYQ136" s="271"/>
      <c r="AYR136" s="271"/>
      <c r="AYS136" s="271"/>
      <c r="AYT136" s="271"/>
      <c r="AYU136" s="271"/>
      <c r="AYV136" s="271"/>
      <c r="AYW136" s="271"/>
      <c r="AYX136" s="271"/>
      <c r="AYY136" s="271"/>
      <c r="AYZ136" s="271"/>
      <c r="AZA136" s="271"/>
      <c r="AZB136" s="271"/>
      <c r="AZC136" s="271"/>
      <c r="AZD136" s="271"/>
      <c r="AZE136" s="271"/>
      <c r="AZF136" s="271"/>
      <c r="AZG136" s="271"/>
      <c r="AZH136" s="271"/>
      <c r="AZI136" s="271"/>
      <c r="AZJ136" s="271"/>
      <c r="AZK136" s="271"/>
      <c r="AZL136" s="271"/>
      <c r="AZM136" s="271"/>
      <c r="AZN136" s="271"/>
      <c r="AZO136" s="271"/>
      <c r="AZP136" s="271"/>
      <c r="AZQ136" s="271"/>
      <c r="AZR136" s="271"/>
      <c r="AZS136" s="271"/>
      <c r="AZT136" s="271"/>
      <c r="AZU136" s="271"/>
      <c r="AZV136" s="271"/>
      <c r="AZW136" s="271"/>
      <c r="AZX136" s="271"/>
      <c r="AZY136" s="271"/>
      <c r="AZZ136" s="271"/>
      <c r="BAA136" s="271"/>
      <c r="BAB136" s="271"/>
      <c r="BAC136" s="271"/>
      <c r="BAD136" s="271"/>
      <c r="BAE136" s="271"/>
      <c r="BAF136" s="271"/>
      <c r="BAG136" s="271"/>
      <c r="BAH136" s="271"/>
      <c r="BAI136" s="271"/>
      <c r="BAJ136" s="271"/>
      <c r="BAK136" s="271"/>
      <c r="BAL136" s="271"/>
      <c r="BAM136" s="271"/>
      <c r="BAN136" s="271"/>
      <c r="BAO136" s="271"/>
      <c r="BAP136" s="271"/>
      <c r="BAQ136" s="271"/>
      <c r="BAR136" s="271"/>
      <c r="BAS136" s="271"/>
      <c r="BAT136" s="271"/>
      <c r="BAU136" s="271"/>
      <c r="BAV136" s="271"/>
      <c r="BAW136" s="271"/>
      <c r="BAX136" s="271"/>
      <c r="BAY136" s="271"/>
      <c r="BAZ136" s="271"/>
      <c r="BBA136" s="271"/>
      <c r="BBB136" s="271"/>
      <c r="BBC136" s="271"/>
      <c r="BBD136" s="271"/>
      <c r="BBE136" s="271"/>
      <c r="BBF136" s="271"/>
      <c r="BBG136" s="271"/>
      <c r="BBH136" s="271"/>
      <c r="BBI136" s="271"/>
      <c r="BBJ136" s="271"/>
      <c r="BBK136" s="271"/>
      <c r="BBL136" s="271"/>
      <c r="BBM136" s="271"/>
      <c r="BBN136" s="271"/>
      <c r="BBO136" s="271"/>
      <c r="BBP136" s="271"/>
      <c r="BBQ136" s="271"/>
      <c r="BBR136" s="271"/>
      <c r="BBS136" s="271"/>
      <c r="BBT136" s="271"/>
      <c r="BBU136" s="271"/>
      <c r="BBV136" s="271"/>
      <c r="BBW136" s="271"/>
      <c r="BBX136" s="271"/>
      <c r="BBY136" s="271"/>
      <c r="BBZ136" s="271"/>
      <c r="BCA136" s="271"/>
      <c r="BCB136" s="271"/>
      <c r="BCC136" s="271"/>
      <c r="BCD136" s="271"/>
      <c r="BCE136" s="271"/>
      <c r="BCF136" s="271"/>
      <c r="BCG136" s="271"/>
      <c r="BCH136" s="271"/>
      <c r="BCI136" s="271"/>
      <c r="BCJ136" s="271"/>
      <c r="BCK136" s="271"/>
      <c r="BCL136" s="271"/>
      <c r="BCM136" s="271"/>
      <c r="BCN136" s="271"/>
      <c r="BCO136" s="271"/>
      <c r="BCP136" s="271"/>
      <c r="BCQ136" s="271"/>
      <c r="BCR136" s="271"/>
      <c r="BCS136" s="271"/>
      <c r="BCT136" s="271"/>
      <c r="BCU136" s="271"/>
      <c r="BCV136" s="271"/>
      <c r="BCW136" s="271"/>
      <c r="BCX136" s="271"/>
      <c r="BCY136" s="271"/>
      <c r="BCZ136" s="271"/>
      <c r="BDA136" s="271"/>
      <c r="BDB136" s="271"/>
      <c r="BDC136" s="271"/>
      <c r="BDD136" s="271"/>
      <c r="BDE136" s="271"/>
      <c r="BDF136" s="271"/>
      <c r="BDG136" s="271"/>
      <c r="BDH136" s="271"/>
      <c r="BDI136" s="271"/>
      <c r="BDJ136" s="271"/>
      <c r="BDK136" s="271"/>
      <c r="BDL136" s="271"/>
      <c r="BDM136" s="271"/>
      <c r="BDN136" s="271"/>
      <c r="BDO136" s="271"/>
      <c r="BDP136" s="271"/>
      <c r="BDQ136" s="271"/>
      <c r="BDR136" s="271"/>
      <c r="BDS136" s="271"/>
      <c r="BDT136" s="271"/>
      <c r="BDU136" s="271"/>
      <c r="BDV136" s="271"/>
      <c r="BDW136" s="271"/>
      <c r="BDX136" s="271"/>
      <c r="BDY136" s="271"/>
      <c r="BDZ136" s="271"/>
      <c r="BEA136" s="271"/>
      <c r="BEB136" s="271"/>
      <c r="BEC136" s="271"/>
      <c r="BED136" s="271"/>
      <c r="BEE136" s="271"/>
      <c r="BEF136" s="271"/>
      <c r="BEG136" s="271"/>
      <c r="BEH136" s="271"/>
      <c r="BEI136" s="271"/>
      <c r="BEJ136" s="271"/>
      <c r="BEK136" s="271"/>
      <c r="BEL136" s="271"/>
      <c r="BEM136" s="271"/>
      <c r="BEN136" s="271"/>
      <c r="BEO136" s="271"/>
      <c r="BEP136" s="271"/>
      <c r="BEQ136" s="271"/>
      <c r="BER136" s="271"/>
      <c r="BES136" s="271"/>
      <c r="BET136" s="271"/>
      <c r="BEU136" s="271"/>
      <c r="BEV136" s="271"/>
      <c r="BEW136" s="271"/>
      <c r="BEX136" s="271"/>
      <c r="BEY136" s="271"/>
      <c r="BEZ136" s="271"/>
      <c r="BFA136" s="271"/>
      <c r="BFB136" s="271"/>
      <c r="BFC136" s="271"/>
      <c r="BFD136" s="271"/>
      <c r="BFE136" s="271"/>
      <c r="BFF136" s="271"/>
      <c r="BFG136" s="271"/>
      <c r="BFH136" s="271"/>
      <c r="BFI136" s="271"/>
      <c r="BFJ136" s="271"/>
      <c r="BFK136" s="271"/>
      <c r="BFL136" s="271"/>
      <c r="BFM136" s="271"/>
      <c r="BFN136" s="271"/>
      <c r="BFO136" s="271"/>
      <c r="BFP136" s="271"/>
      <c r="BFQ136" s="271"/>
      <c r="BFR136" s="271"/>
      <c r="BFS136" s="271"/>
      <c r="BFT136" s="271"/>
      <c r="BFU136" s="271"/>
      <c r="BFV136" s="271"/>
      <c r="BFW136" s="271"/>
      <c r="BFX136" s="271"/>
      <c r="BFY136" s="271"/>
      <c r="BFZ136" s="271"/>
      <c r="BGA136" s="271"/>
      <c r="BGB136" s="271"/>
      <c r="BGC136" s="271"/>
      <c r="BGD136" s="271"/>
      <c r="BGE136" s="271"/>
      <c r="BGF136" s="271"/>
      <c r="BGG136" s="271"/>
      <c r="BGH136" s="271"/>
      <c r="BGI136" s="271"/>
      <c r="BGJ136" s="271"/>
      <c r="BGK136" s="271"/>
      <c r="BGL136" s="271"/>
      <c r="BGM136" s="271"/>
      <c r="BGN136" s="271"/>
      <c r="BGO136" s="271"/>
      <c r="BGP136" s="271"/>
      <c r="BGQ136" s="271"/>
      <c r="BGR136" s="271"/>
      <c r="BGS136" s="271"/>
      <c r="BGT136" s="271"/>
      <c r="BGU136" s="271"/>
      <c r="BGV136" s="271"/>
      <c r="BGW136" s="271"/>
      <c r="BGX136" s="271"/>
      <c r="BGY136" s="271"/>
      <c r="BGZ136" s="271"/>
      <c r="BHA136" s="271"/>
      <c r="BHB136" s="271"/>
      <c r="BHC136" s="271"/>
      <c r="BHD136" s="271"/>
      <c r="BHE136" s="271"/>
      <c r="BHF136" s="271"/>
      <c r="BHG136" s="271"/>
      <c r="BHH136" s="271"/>
      <c r="BHI136" s="271"/>
      <c r="BHJ136" s="271"/>
      <c r="BHK136" s="271"/>
      <c r="BHL136" s="271"/>
      <c r="BHM136" s="271"/>
      <c r="BHN136" s="271"/>
      <c r="BHO136" s="271"/>
      <c r="BHP136" s="271"/>
      <c r="BHQ136" s="271"/>
      <c r="BHR136" s="271"/>
      <c r="BHS136" s="271"/>
      <c r="BHT136" s="271"/>
      <c r="BHU136" s="271"/>
      <c r="BHV136" s="271"/>
      <c r="BHW136" s="271"/>
      <c r="BHX136" s="271"/>
      <c r="BHY136" s="271"/>
      <c r="BHZ136" s="271"/>
      <c r="BIA136" s="271"/>
      <c r="BIB136" s="271"/>
      <c r="BIC136" s="271"/>
      <c r="BID136" s="271"/>
      <c r="BIE136" s="271"/>
      <c r="BIF136" s="271"/>
      <c r="BIG136" s="271"/>
      <c r="BIH136" s="271"/>
      <c r="BII136" s="271"/>
      <c r="BIJ136" s="271"/>
      <c r="BIK136" s="271"/>
      <c r="BIL136" s="271"/>
      <c r="BIM136" s="271"/>
      <c r="BIN136" s="271"/>
      <c r="BIO136" s="271"/>
      <c r="BIP136" s="271"/>
      <c r="BIQ136" s="271"/>
      <c r="BIR136" s="271"/>
      <c r="BIS136" s="271"/>
      <c r="BIT136" s="271"/>
      <c r="BIU136" s="271"/>
      <c r="BIV136" s="271"/>
      <c r="BIW136" s="271"/>
      <c r="BIX136" s="271"/>
      <c r="BIY136" s="271"/>
      <c r="BIZ136" s="271"/>
      <c r="BJA136" s="271"/>
      <c r="BJB136" s="271"/>
      <c r="BJC136" s="271"/>
      <c r="BJD136" s="271"/>
      <c r="BJE136" s="271"/>
      <c r="BJF136" s="271"/>
      <c r="BJG136" s="271"/>
      <c r="BJH136" s="271"/>
      <c r="BJI136" s="271"/>
      <c r="BJJ136" s="271"/>
      <c r="BJK136" s="271"/>
      <c r="BJL136" s="271"/>
      <c r="BJM136" s="271"/>
      <c r="BJN136" s="271"/>
      <c r="BJO136" s="271"/>
      <c r="BJP136" s="271"/>
      <c r="BJQ136" s="271"/>
      <c r="BJR136" s="271"/>
      <c r="BJS136" s="271"/>
      <c r="BJT136" s="271"/>
      <c r="BJU136" s="271"/>
      <c r="BJV136" s="271"/>
      <c r="BJW136" s="271"/>
      <c r="BJX136" s="271"/>
      <c r="BJY136" s="271"/>
      <c r="BJZ136" s="271"/>
      <c r="BKA136" s="271"/>
      <c r="BKB136" s="271"/>
      <c r="BKC136" s="271"/>
      <c r="BKD136" s="271"/>
      <c r="BKE136" s="271"/>
      <c r="BKF136" s="271"/>
      <c r="BKG136" s="271"/>
      <c r="BKH136" s="271"/>
      <c r="BKI136" s="271"/>
      <c r="BKJ136" s="271"/>
      <c r="BKK136" s="271"/>
      <c r="BKL136" s="271"/>
      <c r="BKM136" s="271"/>
      <c r="BKN136" s="271"/>
      <c r="BKO136" s="271"/>
      <c r="BKP136" s="271"/>
      <c r="BKQ136" s="271"/>
      <c r="BKR136" s="271"/>
      <c r="BKS136" s="271"/>
      <c r="BKT136" s="271"/>
      <c r="BKU136" s="271"/>
      <c r="BKV136" s="271"/>
      <c r="BKW136" s="271"/>
      <c r="BKX136" s="271"/>
      <c r="BKY136" s="271"/>
      <c r="BKZ136" s="271"/>
      <c r="BLA136" s="271"/>
      <c r="BLB136" s="271"/>
      <c r="BLC136" s="271"/>
      <c r="BLD136" s="271"/>
      <c r="BLE136" s="271"/>
      <c r="BLF136" s="271"/>
      <c r="BLG136" s="271"/>
      <c r="BLH136" s="271"/>
      <c r="BLI136" s="271"/>
      <c r="BLJ136" s="271"/>
      <c r="BLK136" s="271"/>
      <c r="BLL136" s="271"/>
      <c r="BLM136" s="271"/>
      <c r="BLN136" s="271"/>
      <c r="BLO136" s="271"/>
      <c r="BLP136" s="271"/>
      <c r="BLQ136" s="271"/>
      <c r="BLR136" s="271"/>
      <c r="BLS136" s="271"/>
      <c r="BLT136" s="271"/>
      <c r="BLU136" s="271"/>
      <c r="BLV136" s="271"/>
      <c r="BLW136" s="271"/>
      <c r="BLX136" s="271"/>
      <c r="BLY136" s="271"/>
      <c r="BLZ136" s="271"/>
      <c r="BMA136" s="271"/>
      <c r="BMB136" s="271"/>
      <c r="BMC136" s="271"/>
      <c r="BMD136" s="271"/>
      <c r="BME136" s="271"/>
      <c r="BMF136" s="271"/>
      <c r="BMG136" s="271"/>
      <c r="BMH136" s="271"/>
      <c r="BMI136" s="271"/>
      <c r="BMJ136" s="271"/>
      <c r="BMK136" s="271"/>
      <c r="BML136" s="271"/>
      <c r="BMM136" s="271"/>
      <c r="BMN136" s="271"/>
      <c r="BMO136" s="271"/>
      <c r="BMP136" s="271"/>
      <c r="BMQ136" s="271"/>
      <c r="BMR136" s="271"/>
      <c r="BMS136" s="271"/>
      <c r="BMT136" s="271"/>
      <c r="BMU136" s="271"/>
      <c r="BMV136" s="271"/>
      <c r="BMW136" s="271"/>
      <c r="BMX136" s="271"/>
      <c r="BMY136" s="271"/>
      <c r="BMZ136" s="271"/>
      <c r="BNA136" s="271"/>
      <c r="BNB136" s="271"/>
      <c r="BNC136" s="271"/>
      <c r="BND136" s="271"/>
      <c r="BNE136" s="271"/>
      <c r="BNF136" s="271"/>
      <c r="BNG136" s="271"/>
      <c r="BNH136" s="271"/>
      <c r="BNI136" s="271"/>
      <c r="BNJ136" s="271"/>
      <c r="BNK136" s="271"/>
      <c r="BNL136" s="271"/>
      <c r="BNM136" s="271"/>
      <c r="BNN136" s="271"/>
      <c r="BNO136" s="271"/>
      <c r="BNP136" s="271"/>
      <c r="BNQ136" s="271"/>
      <c r="BNR136" s="271"/>
      <c r="BNS136" s="271"/>
      <c r="BNT136" s="271"/>
      <c r="BNU136" s="271"/>
      <c r="BNV136" s="271"/>
      <c r="BNW136" s="271"/>
      <c r="BNX136" s="271"/>
      <c r="BNY136" s="271"/>
      <c r="BNZ136" s="271"/>
      <c r="BOA136" s="271"/>
      <c r="BOB136" s="271"/>
      <c r="BOC136" s="271"/>
      <c r="BOD136" s="271"/>
      <c r="BOE136" s="271"/>
      <c r="BOF136" s="271"/>
      <c r="BOG136" s="271"/>
      <c r="BOH136" s="271"/>
      <c r="BOI136" s="271"/>
      <c r="BOJ136" s="271"/>
      <c r="BOK136" s="271"/>
      <c r="BOL136" s="271"/>
      <c r="BOM136" s="271"/>
      <c r="BON136" s="271"/>
      <c r="BOO136" s="271"/>
      <c r="BOP136" s="271"/>
      <c r="BOQ136" s="271"/>
      <c r="BOR136" s="271"/>
      <c r="BOS136" s="271"/>
      <c r="BOT136" s="271"/>
      <c r="BOU136" s="271"/>
      <c r="BOV136" s="271"/>
      <c r="BOW136" s="271"/>
      <c r="BOX136" s="271"/>
      <c r="BOY136" s="271"/>
      <c r="BOZ136" s="271"/>
      <c r="BPA136" s="271"/>
      <c r="BPB136" s="271"/>
      <c r="BPC136" s="271"/>
      <c r="BPD136" s="271"/>
      <c r="BPE136" s="271"/>
      <c r="BPF136" s="271"/>
      <c r="BPG136" s="271"/>
      <c r="BPH136" s="271"/>
      <c r="BPI136" s="271"/>
      <c r="BPJ136" s="271"/>
      <c r="BPK136" s="271"/>
      <c r="BPL136" s="271"/>
      <c r="BPM136" s="271"/>
      <c r="BPN136" s="271"/>
      <c r="BPO136" s="271"/>
      <c r="BPP136" s="271"/>
      <c r="BPQ136" s="271"/>
      <c r="BPR136" s="271"/>
      <c r="BPS136" s="271"/>
      <c r="BPT136" s="271"/>
      <c r="BPU136" s="271"/>
      <c r="BPV136" s="271"/>
      <c r="BPW136" s="271"/>
      <c r="BPX136" s="271"/>
      <c r="BPY136" s="271"/>
      <c r="BPZ136" s="271"/>
      <c r="BQA136" s="271"/>
      <c r="BQB136" s="271"/>
      <c r="BQC136" s="271"/>
      <c r="BQD136" s="271"/>
      <c r="BQE136" s="271"/>
      <c r="BQF136" s="271"/>
      <c r="BQG136" s="271"/>
      <c r="BQH136" s="271"/>
      <c r="BQI136" s="271"/>
      <c r="BQJ136" s="271"/>
      <c r="BQK136" s="271"/>
      <c r="BQL136" s="271"/>
      <c r="BQM136" s="271"/>
      <c r="BQN136" s="271"/>
      <c r="BQO136" s="271"/>
      <c r="BQP136" s="271"/>
      <c r="BQQ136" s="271"/>
      <c r="BQR136" s="271"/>
      <c r="BQS136" s="271"/>
      <c r="BQT136" s="271"/>
      <c r="BQU136" s="271"/>
      <c r="BQV136" s="271"/>
      <c r="BQW136" s="271"/>
      <c r="BQX136" s="271"/>
      <c r="BQY136" s="271"/>
      <c r="BQZ136" s="271"/>
      <c r="BRA136" s="271"/>
      <c r="BRB136" s="271"/>
      <c r="BRC136" s="271"/>
      <c r="BRD136" s="271"/>
      <c r="BRE136" s="271"/>
      <c r="BRF136" s="271"/>
      <c r="BRG136" s="271"/>
      <c r="BRH136" s="271"/>
      <c r="BRI136" s="271"/>
      <c r="BRJ136" s="271"/>
      <c r="BRK136" s="271"/>
      <c r="BRL136" s="271"/>
      <c r="BRM136" s="271"/>
      <c r="BRN136" s="271"/>
      <c r="BRO136" s="271"/>
      <c r="BRP136" s="271"/>
      <c r="BRQ136" s="271"/>
      <c r="BRR136" s="271"/>
      <c r="BRS136" s="271"/>
      <c r="BRT136" s="271"/>
      <c r="BRU136" s="271"/>
      <c r="BRV136" s="271"/>
      <c r="BRW136" s="271"/>
      <c r="BRX136" s="271"/>
      <c r="BRY136" s="271"/>
      <c r="BRZ136" s="271"/>
      <c r="BSA136" s="271"/>
      <c r="BSB136" s="271"/>
      <c r="BSC136" s="271"/>
      <c r="BSD136" s="271"/>
      <c r="BSE136" s="271"/>
      <c r="BSF136" s="271"/>
      <c r="BSG136" s="271"/>
      <c r="BSH136" s="271"/>
      <c r="BSI136" s="271"/>
      <c r="BSJ136" s="271"/>
      <c r="BSK136" s="271"/>
      <c r="BSL136" s="271"/>
      <c r="BSM136" s="271"/>
      <c r="BSN136" s="271"/>
      <c r="BSO136" s="271"/>
      <c r="BSP136" s="271"/>
      <c r="BSQ136" s="271"/>
      <c r="BSR136" s="271"/>
      <c r="BSS136" s="271"/>
      <c r="BST136" s="271"/>
      <c r="BSU136" s="271"/>
      <c r="BSV136" s="271"/>
      <c r="BSW136" s="271"/>
      <c r="BSX136" s="271"/>
      <c r="BSY136" s="271"/>
      <c r="BSZ136" s="271"/>
      <c r="BTA136" s="271"/>
      <c r="BTB136" s="271"/>
      <c r="BTC136" s="271"/>
      <c r="BTD136" s="271"/>
      <c r="BTE136" s="271"/>
      <c r="BTF136" s="271"/>
      <c r="BTG136" s="271"/>
      <c r="BTH136" s="271"/>
      <c r="BTI136" s="271"/>
      <c r="BTJ136" s="271"/>
      <c r="BTK136" s="271"/>
      <c r="BTL136" s="271"/>
      <c r="BTM136" s="271"/>
      <c r="BTN136" s="271"/>
      <c r="BTO136" s="271"/>
      <c r="BTP136" s="271"/>
      <c r="BTQ136" s="271"/>
      <c r="BTR136" s="271"/>
      <c r="BTS136" s="271"/>
      <c r="BTT136" s="271"/>
      <c r="BTU136" s="271"/>
      <c r="BTV136" s="271"/>
      <c r="BTW136" s="271"/>
      <c r="BTX136" s="271"/>
      <c r="BTY136" s="271"/>
      <c r="BTZ136" s="271"/>
      <c r="BUA136" s="271"/>
      <c r="BUB136" s="271"/>
      <c r="BUC136" s="271"/>
      <c r="BUD136" s="271"/>
      <c r="BUE136" s="271"/>
      <c r="BUF136" s="271"/>
      <c r="BUG136" s="271"/>
      <c r="BUH136" s="271"/>
      <c r="BUI136" s="271"/>
      <c r="BUJ136" s="271"/>
      <c r="BUK136" s="271"/>
      <c r="BUL136" s="271"/>
      <c r="BUM136" s="271"/>
      <c r="BUN136" s="271"/>
      <c r="BUO136" s="271"/>
      <c r="BUP136" s="271"/>
      <c r="BUQ136" s="271"/>
      <c r="BUR136" s="271"/>
      <c r="BUS136" s="271"/>
      <c r="BUT136" s="271"/>
      <c r="BUU136" s="271"/>
      <c r="BUV136" s="271"/>
      <c r="BUW136" s="271"/>
      <c r="BUX136" s="271"/>
      <c r="BUY136" s="271"/>
      <c r="BUZ136" s="271"/>
      <c r="BVA136" s="271"/>
      <c r="BVB136" s="271"/>
      <c r="BVC136" s="271"/>
      <c r="BVD136" s="271"/>
      <c r="BVE136" s="271"/>
      <c r="BVF136" s="271"/>
      <c r="BVG136" s="271"/>
      <c r="BVH136" s="271"/>
      <c r="BVI136" s="271"/>
      <c r="BVJ136" s="271"/>
      <c r="BVK136" s="271"/>
      <c r="BVL136" s="271"/>
      <c r="BVM136" s="271"/>
      <c r="BVN136" s="271"/>
      <c r="BVO136" s="271"/>
      <c r="BVP136" s="271"/>
      <c r="BVQ136" s="271"/>
      <c r="BVR136" s="271"/>
      <c r="BVS136" s="271"/>
      <c r="BVT136" s="271"/>
      <c r="BVU136" s="271"/>
      <c r="BVV136" s="271"/>
      <c r="BVW136" s="271"/>
      <c r="BVX136" s="271"/>
      <c r="BVY136" s="271"/>
      <c r="BVZ136" s="271"/>
      <c r="BWA136" s="271"/>
      <c r="BWB136" s="271"/>
      <c r="BWC136" s="271"/>
      <c r="BWD136" s="271"/>
      <c r="BWE136" s="271"/>
      <c r="BWF136" s="271"/>
      <c r="BWG136" s="271"/>
      <c r="BWH136" s="271"/>
      <c r="BWI136" s="271"/>
      <c r="BWJ136" s="271"/>
      <c r="BWK136" s="271"/>
      <c r="BWL136" s="271"/>
      <c r="BWM136" s="271"/>
      <c r="BWN136" s="271"/>
      <c r="BWO136" s="271"/>
      <c r="BWP136" s="271"/>
      <c r="BWQ136" s="271"/>
      <c r="BWR136" s="271"/>
      <c r="BWS136" s="271"/>
      <c r="BWT136" s="271"/>
      <c r="BWU136" s="271"/>
      <c r="BWV136" s="271"/>
      <c r="BWW136" s="271"/>
      <c r="BWX136" s="271"/>
      <c r="BWY136" s="271"/>
      <c r="BWZ136" s="271"/>
      <c r="BXA136" s="271"/>
      <c r="BXB136" s="271"/>
      <c r="BXC136" s="271"/>
      <c r="BXD136" s="271"/>
      <c r="BXE136" s="271"/>
      <c r="BXF136" s="271"/>
      <c r="BXG136" s="271"/>
      <c r="BXH136" s="271"/>
      <c r="BXI136" s="271"/>
      <c r="BXJ136" s="271"/>
      <c r="BXK136" s="271"/>
      <c r="BXL136" s="271"/>
      <c r="BXM136" s="271"/>
      <c r="BXN136" s="271"/>
      <c r="BXO136" s="271"/>
      <c r="BXP136" s="271"/>
      <c r="BXQ136" s="271"/>
      <c r="BXR136" s="271"/>
      <c r="BXS136" s="271"/>
      <c r="BXT136" s="271"/>
      <c r="BXU136" s="271"/>
      <c r="BXV136" s="271"/>
      <c r="BXW136" s="271"/>
      <c r="BXX136" s="271"/>
      <c r="BXY136" s="271"/>
      <c r="BXZ136" s="271"/>
      <c r="BYA136" s="271"/>
      <c r="BYB136" s="271"/>
      <c r="BYC136" s="271"/>
      <c r="BYD136" s="271"/>
      <c r="BYE136" s="271"/>
      <c r="BYF136" s="271"/>
      <c r="BYG136" s="271"/>
      <c r="BYH136" s="271"/>
      <c r="BYI136" s="271"/>
      <c r="BYJ136" s="271"/>
      <c r="BYK136" s="271"/>
      <c r="BYL136" s="271"/>
      <c r="BYM136" s="271"/>
      <c r="BYN136" s="271"/>
      <c r="BYO136" s="271"/>
      <c r="BYP136" s="271"/>
      <c r="BYQ136" s="271"/>
      <c r="BYR136" s="271"/>
      <c r="BYS136" s="271"/>
      <c r="BYT136" s="271"/>
      <c r="BYU136" s="271"/>
      <c r="BYV136" s="271"/>
      <c r="BYW136" s="271"/>
      <c r="BYX136" s="271"/>
      <c r="BYY136" s="271"/>
      <c r="BYZ136" s="271"/>
      <c r="BZA136" s="271"/>
      <c r="BZB136" s="271"/>
      <c r="BZC136" s="271"/>
      <c r="BZD136" s="271"/>
      <c r="BZE136" s="271"/>
      <c r="BZF136" s="271"/>
      <c r="BZG136" s="271"/>
      <c r="BZH136" s="271"/>
      <c r="BZI136" s="271"/>
      <c r="BZJ136" s="271"/>
      <c r="BZK136" s="271"/>
      <c r="BZL136" s="271"/>
      <c r="BZM136" s="271"/>
      <c r="BZN136" s="271"/>
      <c r="BZO136" s="271"/>
      <c r="BZP136" s="271"/>
      <c r="BZQ136" s="271"/>
      <c r="BZR136" s="271"/>
      <c r="BZS136" s="271"/>
      <c r="BZT136" s="271"/>
      <c r="BZU136" s="271"/>
      <c r="BZV136" s="271"/>
      <c r="BZW136" s="271"/>
      <c r="BZX136" s="271"/>
      <c r="BZY136" s="271"/>
      <c r="BZZ136" s="271"/>
      <c r="CAA136" s="271"/>
      <c r="CAB136" s="271"/>
      <c r="CAC136" s="271"/>
      <c r="CAD136" s="271"/>
      <c r="CAE136" s="271"/>
      <c r="CAF136" s="271"/>
      <c r="CAG136" s="271"/>
      <c r="CAH136" s="271"/>
      <c r="CAI136" s="271"/>
      <c r="CAJ136" s="271"/>
      <c r="CAK136" s="271"/>
      <c r="CAL136" s="271"/>
      <c r="CAM136" s="271"/>
      <c r="CAN136" s="271"/>
      <c r="CAO136" s="271"/>
      <c r="CAP136" s="271"/>
      <c r="CAQ136" s="271"/>
      <c r="CAR136" s="271"/>
      <c r="CAS136" s="271"/>
      <c r="CAT136" s="271"/>
      <c r="CAU136" s="271"/>
      <c r="CAV136" s="271"/>
      <c r="CAW136" s="271"/>
      <c r="CAX136" s="271"/>
      <c r="CAY136" s="271"/>
      <c r="CAZ136" s="271"/>
      <c r="CBA136" s="271"/>
      <c r="CBB136" s="271"/>
      <c r="CBC136" s="271"/>
      <c r="CBD136" s="271"/>
      <c r="CBE136" s="271"/>
      <c r="CBF136" s="271"/>
      <c r="CBG136" s="271"/>
      <c r="CBH136" s="271"/>
      <c r="CBI136" s="271"/>
      <c r="CBJ136" s="271"/>
      <c r="CBK136" s="271"/>
      <c r="CBL136" s="271"/>
      <c r="CBM136" s="271"/>
      <c r="CBN136" s="271"/>
      <c r="CBO136" s="271"/>
      <c r="CBP136" s="271"/>
      <c r="CBQ136" s="271"/>
      <c r="CBR136" s="271"/>
      <c r="CBS136" s="271"/>
      <c r="CBT136" s="271"/>
      <c r="CBU136" s="271"/>
      <c r="CBV136" s="271"/>
      <c r="CBW136" s="271"/>
      <c r="CBX136" s="271"/>
      <c r="CBY136" s="271"/>
      <c r="CBZ136" s="271"/>
      <c r="CCA136" s="271"/>
      <c r="CCB136" s="271"/>
      <c r="CCC136" s="271"/>
      <c r="CCD136" s="271"/>
      <c r="CCE136" s="271"/>
      <c r="CCF136" s="271"/>
      <c r="CCG136" s="271"/>
      <c r="CCH136" s="271"/>
      <c r="CCI136" s="271"/>
      <c r="CCJ136" s="271"/>
      <c r="CCK136" s="271"/>
      <c r="CCL136" s="271"/>
      <c r="CCM136" s="271"/>
      <c r="CCN136" s="271"/>
      <c r="CCO136" s="271"/>
      <c r="CCP136" s="271"/>
      <c r="CCQ136" s="271"/>
      <c r="CCR136" s="271"/>
      <c r="CCS136" s="271"/>
      <c r="CCT136" s="271"/>
      <c r="CCU136" s="271"/>
      <c r="CCV136" s="271"/>
      <c r="CCW136" s="271"/>
      <c r="CCX136" s="271"/>
      <c r="CCY136" s="271"/>
      <c r="CCZ136" s="271"/>
      <c r="CDA136" s="271"/>
      <c r="CDB136" s="271"/>
      <c r="CDC136" s="271"/>
      <c r="CDD136" s="271"/>
      <c r="CDE136" s="271"/>
      <c r="CDF136" s="271"/>
      <c r="CDG136" s="271"/>
      <c r="CDH136" s="271"/>
      <c r="CDI136" s="271"/>
      <c r="CDJ136" s="271"/>
      <c r="CDK136" s="271"/>
      <c r="CDL136" s="271"/>
      <c r="CDM136" s="271"/>
      <c r="CDN136" s="271"/>
      <c r="CDO136" s="271"/>
      <c r="CDP136" s="271"/>
      <c r="CDQ136" s="271"/>
      <c r="CDR136" s="271"/>
      <c r="CDS136" s="271"/>
      <c r="CDT136" s="271"/>
      <c r="CDU136" s="271"/>
      <c r="CDV136" s="271"/>
      <c r="CDW136" s="271"/>
      <c r="CDX136" s="271"/>
      <c r="CDY136" s="271"/>
      <c r="CDZ136" s="271"/>
      <c r="CEA136" s="271"/>
      <c r="CEB136" s="271"/>
      <c r="CEC136" s="271"/>
      <c r="CED136" s="271"/>
      <c r="CEE136" s="271"/>
      <c r="CEF136" s="271"/>
      <c r="CEG136" s="271"/>
      <c r="CEH136" s="271"/>
      <c r="CEI136" s="271"/>
      <c r="CEJ136" s="271"/>
      <c r="CEK136" s="271"/>
      <c r="CEL136" s="271"/>
      <c r="CEM136" s="271"/>
      <c r="CEN136" s="271"/>
      <c r="CEO136" s="271"/>
      <c r="CEP136" s="271"/>
      <c r="CEQ136" s="271"/>
      <c r="CER136" s="271"/>
      <c r="CES136" s="271"/>
      <c r="CET136" s="271"/>
      <c r="CEU136" s="271"/>
      <c r="CEV136" s="271"/>
      <c r="CEW136" s="271"/>
      <c r="CEX136" s="271"/>
      <c r="CEY136" s="271"/>
      <c r="CEZ136" s="271"/>
      <c r="CFA136" s="271"/>
      <c r="CFB136" s="271"/>
      <c r="CFC136" s="271"/>
      <c r="CFD136" s="271"/>
      <c r="CFE136" s="271"/>
      <c r="CFF136" s="271"/>
      <c r="CFG136" s="271"/>
      <c r="CFH136" s="271"/>
      <c r="CFI136" s="271"/>
      <c r="CFJ136" s="271"/>
      <c r="CFK136" s="271"/>
      <c r="CFL136" s="271"/>
      <c r="CFM136" s="271"/>
      <c r="CFN136" s="271"/>
      <c r="CFO136" s="271"/>
      <c r="CFP136" s="271"/>
      <c r="CFQ136" s="271"/>
      <c r="CFR136" s="271"/>
      <c r="CFS136" s="271"/>
      <c r="CFT136" s="271"/>
      <c r="CFU136" s="271"/>
      <c r="CFV136" s="271"/>
      <c r="CFW136" s="271"/>
      <c r="CFX136" s="271"/>
      <c r="CFY136" s="271"/>
      <c r="CFZ136" s="271"/>
      <c r="CGA136" s="271"/>
      <c r="CGB136" s="271"/>
      <c r="CGC136" s="271"/>
      <c r="CGD136" s="271"/>
      <c r="CGE136" s="271"/>
      <c r="CGF136" s="271"/>
      <c r="CGG136" s="271"/>
      <c r="CGH136" s="271"/>
      <c r="CGI136" s="271"/>
      <c r="CGJ136" s="271"/>
      <c r="CGK136" s="271"/>
      <c r="CGL136" s="271"/>
      <c r="CGM136" s="271"/>
      <c r="CGN136" s="271"/>
      <c r="CGO136" s="271"/>
      <c r="CGP136" s="271"/>
      <c r="CGQ136" s="271"/>
      <c r="CGR136" s="271"/>
      <c r="CGS136" s="271"/>
      <c r="CGT136" s="271"/>
      <c r="CGU136" s="271"/>
      <c r="CGV136" s="271"/>
      <c r="CGW136" s="271"/>
      <c r="CGX136" s="271"/>
      <c r="CGY136" s="271"/>
      <c r="CGZ136" s="271"/>
      <c r="CHA136" s="271"/>
      <c r="CHB136" s="271"/>
      <c r="CHC136" s="271"/>
      <c r="CHD136" s="271"/>
      <c r="CHE136" s="271"/>
      <c r="CHF136" s="271"/>
      <c r="CHG136" s="271"/>
      <c r="CHH136" s="271"/>
      <c r="CHI136" s="271"/>
      <c r="CHJ136" s="271"/>
      <c r="CHK136" s="271"/>
      <c r="CHL136" s="271"/>
      <c r="CHM136" s="271"/>
      <c r="CHN136" s="271"/>
      <c r="CHO136" s="271"/>
      <c r="CHP136" s="271"/>
      <c r="CHQ136" s="271"/>
      <c r="CHR136" s="271"/>
      <c r="CHS136" s="271"/>
      <c r="CHT136" s="271"/>
      <c r="CHU136" s="271"/>
      <c r="CHV136" s="271"/>
      <c r="CHW136" s="271"/>
      <c r="CHX136" s="271"/>
      <c r="CHY136" s="271"/>
      <c r="CHZ136" s="271"/>
      <c r="CIA136" s="271"/>
      <c r="CIB136" s="271"/>
      <c r="CIC136" s="271"/>
      <c r="CID136" s="271"/>
      <c r="CIE136" s="271"/>
      <c r="CIF136" s="271"/>
      <c r="CIG136" s="271"/>
      <c r="CIH136" s="271"/>
      <c r="CII136" s="271"/>
      <c r="CIJ136" s="271"/>
      <c r="CIK136" s="271"/>
      <c r="CIL136" s="271"/>
      <c r="CIM136" s="271"/>
      <c r="CIN136" s="271"/>
      <c r="CIO136" s="271"/>
      <c r="CIP136" s="271"/>
      <c r="CIQ136" s="271"/>
      <c r="CIR136" s="271"/>
      <c r="CIS136" s="271"/>
      <c r="CIT136" s="271"/>
      <c r="CIU136" s="271"/>
      <c r="CIV136" s="271"/>
      <c r="CIW136" s="271"/>
      <c r="CIX136" s="271"/>
      <c r="CIY136" s="271"/>
      <c r="CIZ136" s="271"/>
      <c r="CJA136" s="271"/>
      <c r="CJB136" s="271"/>
      <c r="CJC136" s="271"/>
      <c r="CJD136" s="271"/>
      <c r="CJE136" s="271"/>
      <c r="CJF136" s="271"/>
      <c r="CJG136" s="271"/>
      <c r="CJH136" s="271"/>
      <c r="CJI136" s="271"/>
      <c r="CJJ136" s="271"/>
      <c r="CJK136" s="271"/>
      <c r="CJL136" s="271"/>
      <c r="CJM136" s="271"/>
      <c r="CJN136" s="271"/>
      <c r="CJO136" s="271"/>
      <c r="CJP136" s="271"/>
      <c r="CJQ136" s="271"/>
      <c r="CJR136" s="271"/>
      <c r="CJS136" s="271"/>
      <c r="CJT136" s="271"/>
      <c r="CJU136" s="271"/>
      <c r="CJV136" s="271"/>
      <c r="CJW136" s="271"/>
      <c r="CJX136" s="271"/>
      <c r="CJY136" s="271"/>
      <c r="CJZ136" s="271"/>
      <c r="CKA136" s="271"/>
      <c r="CKB136" s="271"/>
      <c r="CKC136" s="271"/>
      <c r="CKD136" s="271"/>
      <c r="CKE136" s="271"/>
      <c r="CKF136" s="271"/>
      <c r="CKG136" s="271"/>
      <c r="CKH136" s="271"/>
      <c r="CKI136" s="271"/>
      <c r="CKJ136" s="271"/>
      <c r="CKK136" s="271"/>
      <c r="CKL136" s="271"/>
      <c r="CKM136" s="271"/>
      <c r="CKN136" s="271"/>
      <c r="CKO136" s="271"/>
      <c r="CKP136" s="271"/>
      <c r="CKQ136" s="271"/>
      <c r="CKR136" s="271"/>
      <c r="CKS136" s="271"/>
      <c r="CKT136" s="271"/>
      <c r="CKU136" s="271"/>
      <c r="CKV136" s="271"/>
      <c r="CKW136" s="271"/>
      <c r="CKX136" s="271"/>
      <c r="CKY136" s="271"/>
      <c r="CKZ136" s="271"/>
      <c r="CLA136" s="271"/>
      <c r="CLB136" s="271"/>
      <c r="CLC136" s="271"/>
      <c r="CLD136" s="271"/>
      <c r="CLE136" s="271"/>
      <c r="CLF136" s="271"/>
      <c r="CLG136" s="271"/>
      <c r="CLH136" s="271"/>
      <c r="CLI136" s="271"/>
      <c r="CLJ136" s="271"/>
      <c r="CLK136" s="271"/>
      <c r="CLL136" s="271"/>
      <c r="CLM136" s="271"/>
      <c r="CLN136" s="271"/>
      <c r="CLO136" s="271"/>
      <c r="CLP136" s="271"/>
      <c r="CLQ136" s="271"/>
      <c r="CLR136" s="271"/>
      <c r="CLS136" s="271"/>
      <c r="CLT136" s="271"/>
      <c r="CLU136" s="271"/>
      <c r="CLV136" s="271"/>
      <c r="CLW136" s="271"/>
      <c r="CLX136" s="271"/>
      <c r="CLY136" s="271"/>
      <c r="CLZ136" s="271"/>
      <c r="CMA136" s="271"/>
      <c r="CMB136" s="271"/>
      <c r="CMC136" s="271"/>
      <c r="CMD136" s="271"/>
      <c r="CME136" s="271"/>
      <c r="CMF136" s="271"/>
      <c r="CMG136" s="271"/>
      <c r="CMH136" s="271"/>
      <c r="CMI136" s="271"/>
      <c r="CMJ136" s="271"/>
      <c r="CMK136" s="271"/>
      <c r="CML136" s="271"/>
      <c r="CMM136" s="271"/>
      <c r="CMN136" s="271"/>
      <c r="CMO136" s="271"/>
      <c r="CMP136" s="271"/>
      <c r="CMQ136" s="271"/>
      <c r="CMR136" s="271"/>
      <c r="CMS136" s="271"/>
      <c r="CMT136" s="271"/>
      <c r="CMU136" s="271"/>
      <c r="CMV136" s="271"/>
      <c r="CMW136" s="271"/>
      <c r="CMX136" s="271"/>
      <c r="CMY136" s="271"/>
      <c r="CMZ136" s="271"/>
      <c r="CNA136" s="271"/>
      <c r="CNB136" s="271"/>
      <c r="CNC136" s="271"/>
      <c r="CND136" s="271"/>
      <c r="CNE136" s="271"/>
      <c r="CNF136" s="271"/>
      <c r="CNG136" s="271"/>
      <c r="CNH136" s="271"/>
      <c r="CNI136" s="271"/>
      <c r="CNJ136" s="271"/>
      <c r="CNK136" s="271"/>
      <c r="CNL136" s="271"/>
      <c r="CNM136" s="271"/>
      <c r="CNN136" s="271"/>
      <c r="CNO136" s="271"/>
      <c r="CNP136" s="271"/>
      <c r="CNQ136" s="271"/>
      <c r="CNR136" s="271"/>
      <c r="CNS136" s="271"/>
      <c r="CNT136" s="271"/>
      <c r="CNU136" s="271"/>
      <c r="CNV136" s="271"/>
      <c r="CNW136" s="271"/>
      <c r="CNX136" s="271"/>
      <c r="CNY136" s="271"/>
      <c r="CNZ136" s="271"/>
      <c r="COA136" s="271"/>
      <c r="COB136" s="271"/>
      <c r="COC136" s="271"/>
      <c r="COD136" s="271"/>
      <c r="COE136" s="271"/>
      <c r="COF136" s="271"/>
      <c r="COG136" s="271"/>
      <c r="COH136" s="271"/>
      <c r="COI136" s="271"/>
      <c r="COJ136" s="271"/>
      <c r="COK136" s="271"/>
      <c r="COL136" s="271"/>
      <c r="COM136" s="271"/>
      <c r="CON136" s="271"/>
      <c r="COO136" s="271"/>
      <c r="COP136" s="271"/>
      <c r="COQ136" s="271"/>
      <c r="COR136" s="271"/>
      <c r="COS136" s="271"/>
      <c r="COT136" s="271"/>
      <c r="COU136" s="271"/>
      <c r="COV136" s="271"/>
      <c r="COW136" s="271"/>
      <c r="COX136" s="271"/>
      <c r="COY136" s="271"/>
      <c r="COZ136" s="271"/>
      <c r="CPA136" s="271"/>
      <c r="CPB136" s="271"/>
      <c r="CPC136" s="271"/>
      <c r="CPD136" s="271"/>
      <c r="CPE136" s="271"/>
      <c r="CPF136" s="271"/>
      <c r="CPG136" s="271"/>
      <c r="CPH136" s="271"/>
      <c r="CPI136" s="271"/>
      <c r="CPJ136" s="271"/>
      <c r="CPK136" s="271"/>
      <c r="CPL136" s="271"/>
      <c r="CPM136" s="271"/>
      <c r="CPN136" s="271"/>
      <c r="CPO136" s="271"/>
      <c r="CPP136" s="271"/>
      <c r="CPQ136" s="271"/>
      <c r="CPR136" s="271"/>
      <c r="CPS136" s="271"/>
      <c r="CPT136" s="271"/>
      <c r="CPU136" s="271"/>
      <c r="CPV136" s="271"/>
      <c r="CPW136" s="271"/>
      <c r="CPX136" s="271"/>
      <c r="CPY136" s="271"/>
      <c r="CPZ136" s="271"/>
      <c r="CQA136" s="271"/>
      <c r="CQB136" s="271"/>
      <c r="CQC136" s="271"/>
      <c r="CQD136" s="271"/>
      <c r="CQE136" s="271"/>
      <c r="CQF136" s="271"/>
      <c r="CQG136" s="271"/>
      <c r="CQH136" s="271"/>
      <c r="CQI136" s="271"/>
      <c r="CQJ136" s="271"/>
      <c r="CQK136" s="271"/>
      <c r="CQL136" s="271"/>
      <c r="CQM136" s="271"/>
      <c r="CQN136" s="271"/>
      <c r="CQO136" s="271"/>
      <c r="CQP136" s="271"/>
      <c r="CQQ136" s="271"/>
      <c r="CQR136" s="271"/>
      <c r="CQS136" s="271"/>
      <c r="CQT136" s="271"/>
      <c r="CQU136" s="271"/>
      <c r="CQV136" s="271"/>
      <c r="CQW136" s="271"/>
      <c r="CQX136" s="271"/>
      <c r="CQY136" s="271"/>
      <c r="CQZ136" s="271"/>
      <c r="CRA136" s="271"/>
      <c r="CRB136" s="271"/>
      <c r="CRC136" s="271"/>
      <c r="CRD136" s="271"/>
      <c r="CRE136" s="271"/>
      <c r="CRF136" s="271"/>
      <c r="CRG136" s="271"/>
      <c r="CRH136" s="271"/>
      <c r="CRI136" s="271"/>
      <c r="CRJ136" s="271"/>
      <c r="CRK136" s="271"/>
      <c r="CRL136" s="271"/>
      <c r="CRM136" s="271"/>
      <c r="CRN136" s="271"/>
      <c r="CRO136" s="271"/>
      <c r="CRP136" s="271"/>
      <c r="CRQ136" s="271"/>
      <c r="CRR136" s="271"/>
      <c r="CRS136" s="271"/>
      <c r="CRT136" s="271"/>
      <c r="CRU136" s="271"/>
      <c r="CRV136" s="271"/>
      <c r="CRW136" s="271"/>
      <c r="CRX136" s="271"/>
      <c r="CRY136" s="271"/>
      <c r="CRZ136" s="271"/>
      <c r="CSA136" s="271"/>
      <c r="CSB136" s="271"/>
      <c r="CSC136" s="271"/>
      <c r="CSD136" s="271"/>
      <c r="CSE136" s="271"/>
      <c r="CSF136" s="271"/>
      <c r="CSG136" s="271"/>
      <c r="CSH136" s="271"/>
      <c r="CSI136" s="271"/>
      <c r="CSJ136" s="271"/>
      <c r="CSK136" s="271"/>
      <c r="CSL136" s="271"/>
      <c r="CSM136" s="271"/>
      <c r="CSN136" s="271"/>
      <c r="CSO136" s="271"/>
      <c r="CSP136" s="271"/>
      <c r="CSQ136" s="271"/>
      <c r="CSR136" s="271"/>
      <c r="CSS136" s="271"/>
      <c r="CST136" s="271"/>
      <c r="CSU136" s="271"/>
      <c r="CSV136" s="271"/>
      <c r="CSW136" s="271"/>
      <c r="CSX136" s="271"/>
      <c r="CSY136" s="271"/>
      <c r="CSZ136" s="271"/>
      <c r="CTA136" s="271"/>
      <c r="CTB136" s="271"/>
      <c r="CTC136" s="271"/>
      <c r="CTD136" s="271"/>
      <c r="CTE136" s="271"/>
      <c r="CTF136" s="271"/>
      <c r="CTG136" s="271"/>
      <c r="CTH136" s="271"/>
      <c r="CTI136" s="271"/>
      <c r="CTJ136" s="271"/>
      <c r="CTK136" s="271"/>
      <c r="CTL136" s="271"/>
      <c r="CTM136" s="271"/>
      <c r="CTN136" s="271"/>
      <c r="CTO136" s="271"/>
      <c r="CTP136" s="271"/>
      <c r="CTQ136" s="271"/>
      <c r="CTR136" s="271"/>
      <c r="CTS136" s="271"/>
      <c r="CTT136" s="271"/>
      <c r="CTU136" s="271"/>
      <c r="CTV136" s="271"/>
      <c r="CTW136" s="271"/>
      <c r="CTX136" s="271"/>
      <c r="CTY136" s="271"/>
      <c r="CTZ136" s="271"/>
      <c r="CUA136" s="271"/>
      <c r="CUB136" s="271"/>
      <c r="CUC136" s="271"/>
      <c r="CUD136" s="271"/>
      <c r="CUE136" s="271"/>
      <c r="CUF136" s="271"/>
      <c r="CUG136" s="271"/>
      <c r="CUH136" s="271"/>
      <c r="CUI136" s="271"/>
      <c r="CUJ136" s="271"/>
      <c r="CUK136" s="271"/>
      <c r="CUL136" s="271"/>
      <c r="CUM136" s="271"/>
      <c r="CUN136" s="271"/>
      <c r="CUO136" s="271"/>
      <c r="CUP136" s="271"/>
      <c r="CUQ136" s="271"/>
      <c r="CUR136" s="271"/>
      <c r="CUS136" s="271"/>
      <c r="CUT136" s="271"/>
      <c r="CUU136" s="271"/>
      <c r="CUV136" s="271"/>
      <c r="CUW136" s="271"/>
      <c r="CUX136" s="271"/>
      <c r="CUY136" s="271"/>
      <c r="CUZ136" s="271"/>
      <c r="CVA136" s="271"/>
      <c r="CVB136" s="271"/>
      <c r="CVC136" s="271"/>
      <c r="CVD136" s="271"/>
      <c r="CVE136" s="271"/>
      <c r="CVF136" s="271"/>
      <c r="CVG136" s="271"/>
      <c r="CVH136" s="271"/>
      <c r="CVI136" s="271"/>
      <c r="CVJ136" s="271"/>
      <c r="CVK136" s="271"/>
      <c r="CVL136" s="271"/>
      <c r="CVM136" s="271"/>
      <c r="CVN136" s="271"/>
      <c r="CVO136" s="271"/>
      <c r="CVP136" s="271"/>
      <c r="CVQ136" s="271"/>
      <c r="CVR136" s="271"/>
      <c r="CVS136" s="271"/>
      <c r="CVT136" s="271"/>
      <c r="CVU136" s="271"/>
      <c r="CVV136" s="271"/>
      <c r="CVW136" s="271"/>
      <c r="CVX136" s="271"/>
      <c r="CVY136" s="271"/>
      <c r="CVZ136" s="271"/>
      <c r="CWA136" s="271"/>
      <c r="CWB136" s="271"/>
      <c r="CWC136" s="271"/>
      <c r="CWD136" s="271"/>
      <c r="CWE136" s="271"/>
      <c r="CWF136" s="271"/>
      <c r="CWG136" s="271"/>
      <c r="CWH136" s="271"/>
      <c r="CWI136" s="271"/>
      <c r="CWJ136" s="271"/>
      <c r="CWK136" s="271"/>
      <c r="CWL136" s="271"/>
      <c r="CWM136" s="271"/>
      <c r="CWN136" s="271"/>
      <c r="CWO136" s="271"/>
      <c r="CWP136" s="271"/>
      <c r="CWQ136" s="271"/>
      <c r="CWR136" s="271"/>
      <c r="CWS136" s="271"/>
      <c r="CWT136" s="271"/>
      <c r="CWU136" s="271"/>
      <c r="CWV136" s="271"/>
      <c r="CWW136" s="271"/>
      <c r="CWX136" s="271"/>
      <c r="CWY136" s="271"/>
      <c r="CWZ136" s="271"/>
      <c r="CXA136" s="271"/>
      <c r="CXB136" s="271"/>
      <c r="CXC136" s="271"/>
      <c r="CXD136" s="271"/>
      <c r="CXE136" s="271"/>
      <c r="CXF136" s="271"/>
      <c r="CXG136" s="271"/>
      <c r="CXH136" s="271"/>
      <c r="CXI136" s="271"/>
      <c r="CXJ136" s="271"/>
      <c r="CXK136" s="271"/>
      <c r="CXL136" s="271"/>
      <c r="CXM136" s="271"/>
      <c r="CXN136" s="271"/>
      <c r="CXO136" s="271"/>
      <c r="CXP136" s="271"/>
      <c r="CXQ136" s="271"/>
      <c r="CXR136" s="271"/>
      <c r="CXS136" s="271"/>
      <c r="CXT136" s="271"/>
      <c r="CXU136" s="271"/>
      <c r="CXV136" s="271"/>
      <c r="CXW136" s="271"/>
      <c r="CXX136" s="271"/>
      <c r="CXY136" s="271"/>
      <c r="CXZ136" s="271"/>
      <c r="CYA136" s="271"/>
      <c r="CYB136" s="271"/>
      <c r="CYC136" s="271"/>
      <c r="CYD136" s="271"/>
      <c r="CYE136" s="271"/>
      <c r="CYF136" s="271"/>
      <c r="CYG136" s="271"/>
      <c r="CYH136" s="271"/>
      <c r="CYI136" s="271"/>
      <c r="CYJ136" s="271"/>
      <c r="CYK136" s="271"/>
      <c r="CYL136" s="271"/>
      <c r="CYM136" s="271"/>
      <c r="CYN136" s="271"/>
      <c r="CYO136" s="271"/>
      <c r="CYP136" s="271"/>
      <c r="CYQ136" s="271"/>
      <c r="CYR136" s="271"/>
      <c r="CYS136" s="271"/>
      <c r="CYT136" s="271"/>
      <c r="CYU136" s="271"/>
      <c r="CYV136" s="271"/>
      <c r="CYW136" s="271"/>
      <c r="CYX136" s="271"/>
      <c r="CYY136" s="271"/>
      <c r="CYZ136" s="271"/>
      <c r="CZA136" s="271"/>
      <c r="CZB136" s="271"/>
      <c r="CZC136" s="271"/>
      <c r="CZD136" s="271"/>
      <c r="CZE136" s="271"/>
      <c r="CZF136" s="271"/>
      <c r="CZG136" s="271"/>
      <c r="CZH136" s="271"/>
      <c r="CZI136" s="271"/>
      <c r="CZJ136" s="271"/>
      <c r="CZK136" s="271"/>
      <c r="CZL136" s="271"/>
      <c r="CZM136" s="271"/>
      <c r="CZN136" s="271"/>
      <c r="CZO136" s="271"/>
      <c r="CZP136" s="271"/>
      <c r="CZQ136" s="271"/>
      <c r="CZR136" s="271"/>
      <c r="CZS136" s="271"/>
      <c r="CZT136" s="271"/>
      <c r="CZU136" s="271"/>
      <c r="CZV136" s="271"/>
      <c r="CZW136" s="271"/>
      <c r="CZX136" s="271"/>
      <c r="CZY136" s="271"/>
      <c r="CZZ136" s="271"/>
      <c r="DAA136" s="271"/>
      <c r="DAB136" s="271"/>
      <c r="DAC136" s="271"/>
      <c r="DAD136" s="271"/>
      <c r="DAE136" s="271"/>
      <c r="DAF136" s="271"/>
      <c r="DAG136" s="271"/>
      <c r="DAH136" s="271"/>
      <c r="DAI136" s="271"/>
      <c r="DAJ136" s="271"/>
      <c r="DAK136" s="271"/>
      <c r="DAL136" s="271"/>
      <c r="DAM136" s="271"/>
      <c r="DAN136" s="271"/>
      <c r="DAO136" s="271"/>
      <c r="DAP136" s="271"/>
      <c r="DAQ136" s="271"/>
      <c r="DAR136" s="271"/>
      <c r="DAS136" s="271"/>
      <c r="DAT136" s="271"/>
      <c r="DAU136" s="271"/>
      <c r="DAV136" s="271"/>
      <c r="DAW136" s="271"/>
      <c r="DAX136" s="271"/>
      <c r="DAY136" s="271"/>
      <c r="DAZ136" s="271"/>
      <c r="DBA136" s="271"/>
      <c r="DBB136" s="271"/>
      <c r="DBC136" s="271"/>
      <c r="DBD136" s="271"/>
      <c r="DBE136" s="271"/>
      <c r="DBF136" s="271"/>
      <c r="DBG136" s="271"/>
      <c r="DBH136" s="271"/>
      <c r="DBI136" s="271"/>
      <c r="DBJ136" s="271"/>
      <c r="DBK136" s="271"/>
      <c r="DBL136" s="271"/>
      <c r="DBM136" s="271"/>
      <c r="DBN136" s="271"/>
      <c r="DBO136" s="271"/>
      <c r="DBP136" s="271"/>
      <c r="DBQ136" s="271"/>
      <c r="DBR136" s="271"/>
      <c r="DBS136" s="271"/>
      <c r="DBT136" s="271"/>
      <c r="DBU136" s="271"/>
      <c r="DBV136" s="271"/>
      <c r="DBW136" s="271"/>
      <c r="DBX136" s="271"/>
      <c r="DBY136" s="271"/>
      <c r="DBZ136" s="271"/>
      <c r="DCA136" s="271"/>
      <c r="DCB136" s="271"/>
      <c r="DCC136" s="271"/>
      <c r="DCD136" s="271"/>
      <c r="DCE136" s="271"/>
      <c r="DCF136" s="271"/>
      <c r="DCG136" s="271"/>
      <c r="DCH136" s="271"/>
      <c r="DCI136" s="271"/>
      <c r="DCJ136" s="271"/>
      <c r="DCK136" s="271"/>
      <c r="DCL136" s="271"/>
      <c r="DCM136" s="271"/>
      <c r="DCN136" s="271"/>
      <c r="DCO136" s="271"/>
      <c r="DCP136" s="271"/>
      <c r="DCQ136" s="271"/>
      <c r="DCR136" s="271"/>
      <c r="DCS136" s="271"/>
      <c r="DCT136" s="271"/>
      <c r="DCU136" s="271"/>
      <c r="DCV136" s="271"/>
      <c r="DCW136" s="271"/>
      <c r="DCX136" s="271"/>
      <c r="DCY136" s="271"/>
      <c r="DCZ136" s="271"/>
      <c r="DDA136" s="271"/>
      <c r="DDB136" s="271"/>
      <c r="DDC136" s="271"/>
      <c r="DDD136" s="271"/>
      <c r="DDE136" s="271"/>
      <c r="DDF136" s="271"/>
      <c r="DDG136" s="271"/>
      <c r="DDH136" s="271"/>
      <c r="DDI136" s="271"/>
      <c r="DDJ136" s="271"/>
      <c r="DDK136" s="271"/>
      <c r="DDL136" s="271"/>
      <c r="DDM136" s="271"/>
      <c r="DDN136" s="271"/>
      <c r="DDO136" s="271"/>
      <c r="DDP136" s="271"/>
      <c r="DDQ136" s="271"/>
      <c r="DDR136" s="271"/>
      <c r="DDS136" s="271"/>
      <c r="DDT136" s="271"/>
      <c r="DDU136" s="271"/>
      <c r="DDV136" s="271"/>
      <c r="DDW136" s="271"/>
      <c r="DDX136" s="271"/>
      <c r="DDY136" s="271"/>
      <c r="DDZ136" s="271"/>
      <c r="DEA136" s="271"/>
      <c r="DEB136" s="271"/>
      <c r="DEC136" s="271"/>
      <c r="DED136" s="271"/>
      <c r="DEE136" s="271"/>
      <c r="DEF136" s="271"/>
      <c r="DEG136" s="271"/>
      <c r="DEH136" s="271"/>
      <c r="DEI136" s="271"/>
      <c r="DEJ136" s="271"/>
      <c r="DEK136" s="271"/>
      <c r="DEL136" s="271"/>
      <c r="DEM136" s="271"/>
      <c r="DEN136" s="271"/>
      <c r="DEO136" s="271"/>
      <c r="DEP136" s="271"/>
      <c r="DEQ136" s="271"/>
      <c r="DER136" s="271"/>
      <c r="DES136" s="271"/>
      <c r="DET136" s="271"/>
      <c r="DEU136" s="271"/>
      <c r="DEV136" s="271"/>
      <c r="DEW136" s="271"/>
      <c r="DEX136" s="271"/>
      <c r="DEY136" s="271"/>
      <c r="DEZ136" s="271"/>
      <c r="DFA136" s="271"/>
      <c r="DFB136" s="271"/>
      <c r="DFC136" s="271"/>
      <c r="DFD136" s="271"/>
      <c r="DFE136" s="271"/>
      <c r="DFF136" s="271"/>
      <c r="DFG136" s="271"/>
      <c r="DFH136" s="271"/>
      <c r="DFI136" s="271"/>
      <c r="DFJ136" s="271"/>
      <c r="DFK136" s="271"/>
      <c r="DFL136" s="271"/>
      <c r="DFM136" s="271"/>
      <c r="DFN136" s="271"/>
      <c r="DFO136" s="271"/>
      <c r="DFP136" s="271"/>
      <c r="DFQ136" s="271"/>
      <c r="DFR136" s="271"/>
      <c r="DFS136" s="271"/>
      <c r="DFT136" s="271"/>
      <c r="DFU136" s="271"/>
      <c r="DFV136" s="271"/>
      <c r="DFW136" s="271"/>
      <c r="DFX136" s="271"/>
      <c r="DFY136" s="271"/>
      <c r="DFZ136" s="271"/>
      <c r="DGA136" s="271"/>
      <c r="DGB136" s="271"/>
      <c r="DGC136" s="271"/>
      <c r="DGD136" s="271"/>
      <c r="DGE136" s="271"/>
      <c r="DGF136" s="271"/>
      <c r="DGG136" s="271"/>
      <c r="DGH136" s="271"/>
      <c r="DGI136" s="271"/>
      <c r="DGJ136" s="271"/>
      <c r="DGK136" s="271"/>
      <c r="DGL136" s="271"/>
      <c r="DGM136" s="271"/>
      <c r="DGN136" s="271"/>
      <c r="DGO136" s="271"/>
      <c r="DGP136" s="271"/>
      <c r="DGQ136" s="271"/>
      <c r="DGR136" s="271"/>
      <c r="DGS136" s="271"/>
      <c r="DGT136" s="271"/>
      <c r="DGU136" s="271"/>
      <c r="DGV136" s="271"/>
      <c r="DGW136" s="271"/>
      <c r="DGX136" s="271"/>
      <c r="DGY136" s="271"/>
      <c r="DGZ136" s="271"/>
      <c r="DHA136" s="271"/>
      <c r="DHB136" s="271"/>
      <c r="DHC136" s="271"/>
      <c r="DHD136" s="271"/>
      <c r="DHE136" s="271"/>
      <c r="DHF136" s="271"/>
      <c r="DHG136" s="271"/>
      <c r="DHH136" s="271"/>
      <c r="DHI136" s="271"/>
      <c r="DHJ136" s="271"/>
      <c r="DHK136" s="271"/>
      <c r="DHL136" s="271"/>
      <c r="DHM136" s="271"/>
      <c r="DHN136" s="271"/>
      <c r="DHO136" s="271"/>
      <c r="DHP136" s="271"/>
      <c r="DHQ136" s="271"/>
      <c r="DHR136" s="271"/>
      <c r="DHS136" s="271"/>
      <c r="DHT136" s="271"/>
      <c r="DHU136" s="271"/>
      <c r="DHV136" s="271"/>
      <c r="DHW136" s="271"/>
      <c r="DHX136" s="271"/>
      <c r="DHY136" s="271"/>
      <c r="DHZ136" s="271"/>
      <c r="DIA136" s="271"/>
      <c r="DIB136" s="271"/>
      <c r="DIC136" s="271"/>
      <c r="DID136" s="271"/>
      <c r="DIE136" s="271"/>
      <c r="DIF136" s="271"/>
      <c r="DIG136" s="271"/>
      <c r="DIH136" s="271"/>
      <c r="DII136" s="271"/>
      <c r="DIJ136" s="271"/>
      <c r="DIK136" s="271"/>
      <c r="DIL136" s="271"/>
      <c r="DIM136" s="271"/>
      <c r="DIN136" s="271"/>
      <c r="DIO136" s="271"/>
      <c r="DIP136" s="271"/>
      <c r="DIQ136" s="271"/>
      <c r="DIR136" s="271"/>
      <c r="DIS136" s="271"/>
      <c r="DIT136" s="271"/>
      <c r="DIU136" s="271"/>
      <c r="DIV136" s="271"/>
      <c r="DIW136" s="271"/>
      <c r="DIX136" s="271"/>
      <c r="DIY136" s="271"/>
      <c r="DIZ136" s="271"/>
      <c r="DJA136" s="271"/>
      <c r="DJB136" s="271"/>
      <c r="DJC136" s="271"/>
      <c r="DJD136" s="271"/>
      <c r="DJE136" s="271"/>
      <c r="DJF136" s="271"/>
      <c r="DJG136" s="271"/>
      <c r="DJH136" s="271"/>
      <c r="DJI136" s="271"/>
      <c r="DJJ136" s="271"/>
      <c r="DJK136" s="271"/>
      <c r="DJL136" s="271"/>
      <c r="DJM136" s="271"/>
      <c r="DJN136" s="271"/>
      <c r="DJO136" s="271"/>
      <c r="DJP136" s="271"/>
      <c r="DJQ136" s="271"/>
      <c r="DJR136" s="271"/>
      <c r="DJS136" s="271"/>
      <c r="DJT136" s="271"/>
      <c r="DJU136" s="271"/>
      <c r="DJV136" s="271"/>
      <c r="DJW136" s="271"/>
      <c r="DJX136" s="271"/>
      <c r="DJY136" s="271"/>
      <c r="DJZ136" s="271"/>
      <c r="DKA136" s="271"/>
      <c r="DKB136" s="271"/>
      <c r="DKC136" s="271"/>
      <c r="DKD136" s="271"/>
      <c r="DKE136" s="271"/>
      <c r="DKF136" s="271"/>
      <c r="DKG136" s="271"/>
      <c r="DKH136" s="271"/>
      <c r="DKI136" s="271"/>
      <c r="DKJ136" s="271"/>
      <c r="DKK136" s="271"/>
      <c r="DKL136" s="271"/>
      <c r="DKM136" s="271"/>
      <c r="DKN136" s="271"/>
      <c r="DKO136" s="271"/>
      <c r="DKP136" s="271"/>
      <c r="DKQ136" s="271"/>
      <c r="DKR136" s="271"/>
      <c r="DKS136" s="271"/>
      <c r="DKT136" s="271"/>
      <c r="DKU136" s="271"/>
      <c r="DKV136" s="271"/>
      <c r="DKW136" s="271"/>
      <c r="DKX136" s="271"/>
      <c r="DKY136" s="271"/>
      <c r="DKZ136" s="271"/>
      <c r="DLA136" s="271"/>
      <c r="DLB136" s="271"/>
      <c r="DLC136" s="271"/>
      <c r="DLD136" s="271"/>
      <c r="DLE136" s="271"/>
      <c r="DLF136" s="271"/>
      <c r="DLG136" s="271"/>
      <c r="DLH136" s="271"/>
      <c r="DLI136" s="271"/>
      <c r="DLJ136" s="271"/>
      <c r="DLK136" s="271"/>
      <c r="DLL136" s="271"/>
      <c r="DLM136" s="271"/>
      <c r="DLN136" s="271"/>
      <c r="DLO136" s="271"/>
      <c r="DLP136" s="271"/>
      <c r="DLQ136" s="271"/>
      <c r="DLR136" s="271"/>
      <c r="DLS136" s="271"/>
      <c r="DLT136" s="271"/>
      <c r="DLU136" s="271"/>
      <c r="DLV136" s="271"/>
      <c r="DLW136" s="271"/>
      <c r="DLX136" s="271"/>
      <c r="DLY136" s="271"/>
      <c r="DLZ136" s="271"/>
      <c r="DMA136" s="271"/>
      <c r="DMB136" s="271"/>
      <c r="DMC136" s="271"/>
      <c r="DMD136" s="271"/>
      <c r="DME136" s="271"/>
      <c r="DMF136" s="271"/>
      <c r="DMG136" s="271"/>
      <c r="DMH136" s="271"/>
      <c r="DMI136" s="271"/>
      <c r="DMJ136" s="271"/>
      <c r="DMK136" s="271"/>
      <c r="DML136" s="271"/>
      <c r="DMM136" s="271"/>
      <c r="DMN136" s="271"/>
      <c r="DMO136" s="271"/>
      <c r="DMP136" s="271"/>
      <c r="DMQ136" s="271"/>
      <c r="DMR136" s="271"/>
      <c r="DMS136" s="271"/>
      <c r="DMT136" s="271"/>
      <c r="DMU136" s="271"/>
      <c r="DMV136" s="271"/>
      <c r="DMW136" s="271"/>
      <c r="DMX136" s="271"/>
      <c r="DMY136" s="271"/>
      <c r="DMZ136" s="271"/>
      <c r="DNA136" s="271"/>
      <c r="DNB136" s="271"/>
      <c r="DNC136" s="271"/>
      <c r="DND136" s="271"/>
      <c r="DNE136" s="271"/>
      <c r="DNF136" s="271"/>
      <c r="DNG136" s="271"/>
      <c r="DNH136" s="271"/>
      <c r="DNI136" s="271"/>
      <c r="DNJ136" s="271"/>
      <c r="DNK136" s="271"/>
      <c r="DNL136" s="271"/>
      <c r="DNM136" s="271"/>
      <c r="DNN136" s="271"/>
      <c r="DNO136" s="271"/>
      <c r="DNP136" s="271"/>
      <c r="DNQ136" s="271"/>
      <c r="DNR136" s="271"/>
      <c r="DNS136" s="271"/>
      <c r="DNT136" s="271"/>
      <c r="DNU136" s="271"/>
      <c r="DNV136" s="271"/>
      <c r="DNW136" s="271"/>
      <c r="DNX136" s="271"/>
      <c r="DNY136" s="271"/>
      <c r="DNZ136" s="271"/>
      <c r="DOA136" s="271"/>
      <c r="DOB136" s="271"/>
      <c r="DOC136" s="271"/>
      <c r="DOD136" s="271"/>
      <c r="DOE136" s="271"/>
      <c r="DOF136" s="271"/>
      <c r="DOG136" s="271"/>
      <c r="DOH136" s="271"/>
      <c r="DOI136" s="271"/>
      <c r="DOJ136" s="271"/>
      <c r="DOK136" s="271"/>
      <c r="DOL136" s="271"/>
      <c r="DOM136" s="271"/>
      <c r="DON136" s="271"/>
      <c r="DOO136" s="271"/>
      <c r="DOP136" s="271"/>
      <c r="DOQ136" s="271"/>
      <c r="DOR136" s="271"/>
      <c r="DOS136" s="271"/>
      <c r="DOT136" s="271"/>
      <c r="DOU136" s="271"/>
      <c r="DOV136" s="271"/>
      <c r="DOW136" s="271"/>
      <c r="DOX136" s="271"/>
      <c r="DOY136" s="271"/>
      <c r="DOZ136" s="271"/>
      <c r="DPA136" s="271"/>
      <c r="DPB136" s="271"/>
      <c r="DPC136" s="271"/>
      <c r="DPD136" s="271"/>
      <c r="DPE136" s="271"/>
      <c r="DPF136" s="271"/>
      <c r="DPG136" s="271"/>
      <c r="DPH136" s="271"/>
      <c r="DPI136" s="271"/>
      <c r="DPJ136" s="271"/>
      <c r="DPK136" s="271"/>
      <c r="DPL136" s="271"/>
      <c r="DPM136" s="271"/>
      <c r="DPN136" s="271"/>
      <c r="DPO136" s="271"/>
      <c r="DPP136" s="271"/>
      <c r="DPQ136" s="271"/>
      <c r="DPR136" s="271"/>
      <c r="DPS136" s="271"/>
      <c r="DPT136" s="271"/>
      <c r="DPU136" s="271"/>
      <c r="DPV136" s="271"/>
      <c r="DPW136" s="271"/>
      <c r="DPX136" s="271"/>
      <c r="DPY136" s="271"/>
      <c r="DPZ136" s="271"/>
      <c r="DQA136" s="271"/>
      <c r="DQB136" s="271"/>
      <c r="DQC136" s="271"/>
      <c r="DQD136" s="271"/>
      <c r="DQE136" s="271"/>
      <c r="DQF136" s="271"/>
      <c r="DQG136" s="271"/>
      <c r="DQH136" s="271"/>
      <c r="DQI136" s="271"/>
      <c r="DQJ136" s="271"/>
      <c r="DQK136" s="271"/>
      <c r="DQL136" s="271"/>
      <c r="DQM136" s="271"/>
      <c r="DQN136" s="271"/>
      <c r="DQO136" s="271"/>
      <c r="DQP136" s="271"/>
      <c r="DQQ136" s="271"/>
      <c r="DQR136" s="271"/>
      <c r="DQS136" s="271"/>
      <c r="DQT136" s="271"/>
      <c r="DQU136" s="271"/>
      <c r="DQV136" s="271"/>
      <c r="DQW136" s="271"/>
      <c r="DQX136" s="271"/>
      <c r="DQY136" s="271"/>
      <c r="DQZ136" s="271"/>
      <c r="DRA136" s="271"/>
      <c r="DRB136" s="271"/>
      <c r="DRC136" s="271"/>
      <c r="DRD136" s="271"/>
      <c r="DRE136" s="271"/>
      <c r="DRF136" s="271"/>
      <c r="DRG136" s="271"/>
      <c r="DRH136" s="271"/>
      <c r="DRI136" s="271"/>
      <c r="DRJ136" s="271"/>
      <c r="DRK136" s="271"/>
      <c r="DRL136" s="271"/>
      <c r="DRM136" s="271"/>
      <c r="DRN136" s="271"/>
      <c r="DRO136" s="271"/>
      <c r="DRP136" s="271"/>
      <c r="DRQ136" s="271"/>
      <c r="DRR136" s="271"/>
      <c r="DRS136" s="271"/>
      <c r="DRT136" s="271"/>
      <c r="DRU136" s="271"/>
      <c r="DRV136" s="271"/>
      <c r="DRW136" s="271"/>
      <c r="DRX136" s="271"/>
      <c r="DRY136" s="271"/>
      <c r="DRZ136" s="271"/>
      <c r="DSA136" s="271"/>
      <c r="DSB136" s="271"/>
      <c r="DSC136" s="271"/>
      <c r="DSD136" s="271"/>
      <c r="DSE136" s="271"/>
      <c r="DSF136" s="271"/>
      <c r="DSG136" s="271"/>
      <c r="DSH136" s="271"/>
      <c r="DSI136" s="271"/>
      <c r="DSJ136" s="271"/>
      <c r="DSK136" s="271"/>
      <c r="DSL136" s="271"/>
      <c r="DSM136" s="271"/>
      <c r="DSN136" s="271"/>
      <c r="DSO136" s="271"/>
      <c r="DSP136" s="271"/>
      <c r="DSQ136" s="271"/>
      <c r="DSR136" s="271"/>
      <c r="DSS136" s="271"/>
      <c r="DST136" s="271"/>
      <c r="DSU136" s="271"/>
      <c r="DSV136" s="271"/>
      <c r="DSW136" s="271"/>
      <c r="DSX136" s="271"/>
      <c r="DSY136" s="271"/>
      <c r="DSZ136" s="271"/>
      <c r="DTA136" s="271"/>
      <c r="DTB136" s="271"/>
      <c r="DTC136" s="271"/>
      <c r="DTD136" s="271"/>
      <c r="DTE136" s="271"/>
      <c r="DTF136" s="271"/>
      <c r="DTG136" s="271"/>
      <c r="DTH136" s="271"/>
      <c r="DTI136" s="271"/>
      <c r="DTJ136" s="271"/>
      <c r="DTK136" s="271"/>
      <c r="DTL136" s="271"/>
      <c r="DTM136" s="271"/>
      <c r="DTN136" s="271"/>
      <c r="DTO136" s="271"/>
      <c r="DTP136" s="271"/>
      <c r="DTQ136" s="271"/>
      <c r="DTR136" s="271"/>
      <c r="DTS136" s="271"/>
      <c r="DTT136" s="271"/>
      <c r="DTU136" s="271"/>
      <c r="DTV136" s="271"/>
      <c r="DTW136" s="271"/>
      <c r="DTX136" s="271"/>
      <c r="DTY136" s="271"/>
      <c r="DTZ136" s="271"/>
      <c r="DUA136" s="271"/>
      <c r="DUB136" s="271"/>
      <c r="DUC136" s="271"/>
      <c r="DUD136" s="271"/>
      <c r="DUE136" s="271"/>
      <c r="DUF136" s="271"/>
      <c r="DUG136" s="271"/>
      <c r="DUH136" s="271"/>
      <c r="DUI136" s="271"/>
      <c r="DUJ136" s="271"/>
      <c r="DUK136" s="271"/>
      <c r="DUL136" s="271"/>
      <c r="DUM136" s="271"/>
      <c r="DUN136" s="271"/>
      <c r="DUO136" s="271"/>
      <c r="DUP136" s="271"/>
      <c r="DUQ136" s="271"/>
      <c r="DUR136" s="271"/>
      <c r="DUS136" s="271"/>
      <c r="DUT136" s="271"/>
      <c r="DUU136" s="271"/>
      <c r="DUV136" s="271"/>
      <c r="DUW136" s="271"/>
      <c r="DUX136" s="271"/>
      <c r="DUY136" s="271"/>
      <c r="DUZ136" s="271"/>
      <c r="DVA136" s="271"/>
      <c r="DVB136" s="271"/>
      <c r="DVC136" s="271"/>
      <c r="DVD136" s="271"/>
      <c r="DVE136" s="271"/>
      <c r="DVF136" s="271"/>
      <c r="DVG136" s="271"/>
      <c r="DVH136" s="271"/>
      <c r="DVI136" s="271"/>
      <c r="DVJ136" s="271"/>
      <c r="DVK136" s="271"/>
      <c r="DVL136" s="271"/>
      <c r="DVM136" s="271"/>
      <c r="DVN136" s="271"/>
      <c r="DVO136" s="271"/>
      <c r="DVP136" s="271"/>
      <c r="DVQ136" s="271"/>
      <c r="DVR136" s="271"/>
      <c r="DVS136" s="271"/>
      <c r="DVT136" s="271"/>
      <c r="DVU136" s="271"/>
      <c r="DVV136" s="271"/>
      <c r="DVW136" s="271"/>
      <c r="DVX136" s="271"/>
      <c r="DVY136" s="271"/>
      <c r="DVZ136" s="271"/>
      <c r="DWA136" s="271"/>
      <c r="DWB136" s="271"/>
      <c r="DWC136" s="271"/>
      <c r="DWD136" s="271"/>
      <c r="DWE136" s="271"/>
      <c r="DWF136" s="271"/>
      <c r="DWG136" s="271"/>
      <c r="DWH136" s="271"/>
      <c r="DWI136" s="271"/>
      <c r="DWJ136" s="271"/>
      <c r="DWK136" s="271"/>
      <c r="DWL136" s="271"/>
      <c r="DWM136" s="271"/>
      <c r="DWN136" s="271"/>
      <c r="DWO136" s="271"/>
      <c r="DWP136" s="271"/>
      <c r="DWQ136" s="271"/>
      <c r="DWR136" s="271"/>
      <c r="DWS136" s="271"/>
      <c r="DWT136" s="271"/>
      <c r="DWU136" s="271"/>
      <c r="DWV136" s="271"/>
      <c r="DWW136" s="271"/>
      <c r="DWX136" s="271"/>
      <c r="DWY136" s="271"/>
      <c r="DWZ136" s="271"/>
      <c r="DXA136" s="271"/>
      <c r="DXB136" s="271"/>
      <c r="DXC136" s="271"/>
      <c r="DXD136" s="271"/>
      <c r="DXE136" s="271"/>
      <c r="DXF136" s="271"/>
      <c r="DXG136" s="271"/>
      <c r="DXH136" s="271"/>
      <c r="DXI136" s="271"/>
      <c r="DXJ136" s="271"/>
      <c r="DXK136" s="271"/>
      <c r="DXL136" s="271"/>
      <c r="DXM136" s="271"/>
      <c r="DXN136" s="271"/>
      <c r="DXO136" s="271"/>
      <c r="DXP136" s="271"/>
      <c r="DXQ136" s="271"/>
      <c r="DXR136" s="271"/>
      <c r="DXS136" s="271"/>
      <c r="DXT136" s="271"/>
      <c r="DXU136" s="271"/>
      <c r="DXV136" s="271"/>
      <c r="DXW136" s="271"/>
      <c r="DXX136" s="271"/>
      <c r="DXY136" s="271"/>
      <c r="DXZ136" s="271"/>
      <c r="DYA136" s="271"/>
      <c r="DYB136" s="271"/>
      <c r="DYC136" s="271"/>
      <c r="DYD136" s="271"/>
      <c r="DYE136" s="271"/>
      <c r="DYF136" s="271"/>
      <c r="DYG136" s="271"/>
      <c r="DYH136" s="271"/>
      <c r="DYI136" s="271"/>
      <c r="DYJ136" s="271"/>
      <c r="DYK136" s="271"/>
      <c r="DYL136" s="271"/>
      <c r="DYM136" s="271"/>
      <c r="DYN136" s="271"/>
      <c r="DYO136" s="271"/>
      <c r="DYP136" s="271"/>
      <c r="DYQ136" s="271"/>
      <c r="DYR136" s="271"/>
      <c r="DYS136" s="271"/>
      <c r="DYT136" s="271"/>
      <c r="DYU136" s="271"/>
      <c r="DYV136" s="271"/>
      <c r="DYW136" s="271"/>
      <c r="DYX136" s="271"/>
      <c r="DYY136" s="271"/>
      <c r="DYZ136" s="271"/>
      <c r="DZA136" s="271"/>
      <c r="DZB136" s="271"/>
      <c r="DZC136" s="271"/>
      <c r="DZD136" s="271"/>
      <c r="DZE136" s="271"/>
      <c r="DZF136" s="271"/>
      <c r="DZG136" s="271"/>
      <c r="DZH136" s="271"/>
      <c r="DZI136" s="271"/>
      <c r="DZJ136" s="271"/>
      <c r="DZK136" s="271"/>
      <c r="DZL136" s="271"/>
      <c r="DZM136" s="271"/>
      <c r="DZN136" s="271"/>
      <c r="DZO136" s="271"/>
      <c r="DZP136" s="271"/>
      <c r="DZQ136" s="271"/>
      <c r="DZR136" s="271"/>
      <c r="DZS136" s="271"/>
      <c r="DZT136" s="271"/>
      <c r="DZU136" s="271"/>
      <c r="DZV136" s="271"/>
      <c r="DZW136" s="271"/>
      <c r="DZX136" s="271"/>
      <c r="DZY136" s="271"/>
      <c r="DZZ136" s="271"/>
      <c r="EAA136" s="271"/>
      <c r="EAB136" s="271"/>
      <c r="EAC136" s="271"/>
      <c r="EAD136" s="271"/>
      <c r="EAE136" s="271"/>
      <c r="EAF136" s="271"/>
      <c r="EAG136" s="271"/>
      <c r="EAH136" s="271"/>
      <c r="EAI136" s="271"/>
      <c r="EAJ136" s="271"/>
      <c r="EAK136" s="271"/>
      <c r="EAL136" s="271"/>
      <c r="EAM136" s="271"/>
      <c r="EAN136" s="271"/>
      <c r="EAO136" s="271"/>
      <c r="EAP136" s="271"/>
      <c r="EAQ136" s="271"/>
      <c r="EAR136" s="271"/>
      <c r="EAS136" s="271"/>
      <c r="EAT136" s="271"/>
      <c r="EAU136" s="271"/>
      <c r="EAV136" s="271"/>
      <c r="EAW136" s="271"/>
      <c r="EAX136" s="271"/>
      <c r="EAY136" s="271"/>
      <c r="EAZ136" s="271"/>
      <c r="EBA136" s="271"/>
      <c r="EBB136" s="271"/>
      <c r="EBC136" s="271"/>
      <c r="EBD136" s="271"/>
      <c r="EBE136" s="271"/>
      <c r="EBF136" s="271"/>
      <c r="EBG136" s="271"/>
      <c r="EBH136" s="271"/>
      <c r="EBI136" s="271"/>
      <c r="EBJ136" s="271"/>
      <c r="EBK136" s="271"/>
      <c r="EBL136" s="271"/>
      <c r="EBM136" s="271"/>
      <c r="EBN136" s="271"/>
      <c r="EBO136" s="271"/>
      <c r="EBP136" s="271"/>
      <c r="EBQ136" s="271"/>
      <c r="EBR136" s="271"/>
      <c r="EBS136" s="271"/>
      <c r="EBT136" s="271"/>
      <c r="EBU136" s="271"/>
      <c r="EBV136" s="271"/>
      <c r="EBW136" s="271"/>
      <c r="EBX136" s="271"/>
      <c r="EBY136" s="271"/>
      <c r="EBZ136" s="271"/>
      <c r="ECA136" s="271"/>
      <c r="ECB136" s="271"/>
      <c r="ECC136" s="271"/>
      <c r="ECD136" s="271"/>
      <c r="ECE136" s="271"/>
      <c r="ECF136" s="271"/>
      <c r="ECG136" s="271"/>
      <c r="ECH136" s="271"/>
      <c r="ECI136" s="271"/>
      <c r="ECJ136" s="271"/>
      <c r="ECK136" s="271"/>
      <c r="ECL136" s="271"/>
      <c r="ECM136" s="271"/>
      <c r="ECN136" s="271"/>
      <c r="ECO136" s="271"/>
      <c r="ECP136" s="271"/>
      <c r="ECQ136" s="271"/>
      <c r="ECR136" s="271"/>
      <c r="ECS136" s="271"/>
      <c r="ECT136" s="271"/>
      <c r="ECU136" s="271"/>
      <c r="ECV136" s="271"/>
      <c r="ECW136" s="271"/>
      <c r="ECX136" s="271"/>
      <c r="ECY136" s="271"/>
      <c r="ECZ136" s="271"/>
      <c r="EDA136" s="271"/>
      <c r="EDB136" s="271"/>
      <c r="EDC136" s="271"/>
      <c r="EDD136" s="271"/>
      <c r="EDE136" s="271"/>
      <c r="EDF136" s="271"/>
      <c r="EDG136" s="271"/>
      <c r="EDH136" s="271"/>
      <c r="EDI136" s="271"/>
      <c r="EDJ136" s="271"/>
      <c r="EDK136" s="271"/>
      <c r="EDL136" s="271"/>
      <c r="EDM136" s="271"/>
      <c r="EDN136" s="271"/>
      <c r="EDO136" s="271"/>
      <c r="EDP136" s="271"/>
      <c r="EDQ136" s="271"/>
      <c r="EDR136" s="271"/>
      <c r="EDS136" s="271"/>
      <c r="EDT136" s="271"/>
      <c r="EDU136" s="271"/>
      <c r="EDV136" s="271"/>
      <c r="EDW136" s="271"/>
      <c r="EDX136" s="271"/>
      <c r="EDY136" s="271"/>
      <c r="EDZ136" s="271"/>
      <c r="EEA136" s="271"/>
      <c r="EEB136" s="271"/>
      <c r="EEC136" s="271"/>
      <c r="EED136" s="271"/>
      <c r="EEE136" s="271"/>
      <c r="EEF136" s="271"/>
      <c r="EEG136" s="271"/>
      <c r="EEH136" s="271"/>
      <c r="EEI136" s="271"/>
      <c r="EEJ136" s="271"/>
      <c r="EEK136" s="271"/>
      <c r="EEL136" s="271"/>
      <c r="EEM136" s="271"/>
      <c r="EEN136" s="271"/>
      <c r="EEO136" s="271"/>
      <c r="EEP136" s="271"/>
      <c r="EEQ136" s="271"/>
      <c r="EER136" s="271"/>
      <c r="EES136" s="271"/>
      <c r="EET136" s="271"/>
      <c r="EEU136" s="271"/>
      <c r="EEV136" s="271"/>
      <c r="EEW136" s="271"/>
      <c r="EEX136" s="271"/>
      <c r="EEY136" s="271"/>
      <c r="EEZ136" s="271"/>
      <c r="EFA136" s="271"/>
      <c r="EFB136" s="271"/>
      <c r="EFC136" s="271"/>
      <c r="EFD136" s="271"/>
      <c r="EFE136" s="271"/>
      <c r="EFF136" s="271"/>
      <c r="EFG136" s="271"/>
      <c r="EFH136" s="271"/>
      <c r="EFI136" s="271"/>
      <c r="EFJ136" s="271"/>
      <c r="EFK136" s="271"/>
      <c r="EFL136" s="271"/>
      <c r="EFM136" s="271"/>
      <c r="EFN136" s="271"/>
      <c r="EFO136" s="271"/>
      <c r="EFP136" s="271"/>
      <c r="EFQ136" s="271"/>
      <c r="EFR136" s="271"/>
      <c r="EFS136" s="271"/>
      <c r="EFT136" s="271"/>
      <c r="EFU136" s="271"/>
      <c r="EFV136" s="271"/>
      <c r="EFW136" s="271"/>
      <c r="EFX136" s="271"/>
      <c r="EFY136" s="271"/>
      <c r="EFZ136" s="271"/>
      <c r="EGA136" s="271"/>
      <c r="EGB136" s="271"/>
      <c r="EGC136" s="271"/>
      <c r="EGD136" s="271"/>
      <c r="EGE136" s="271"/>
      <c r="EGF136" s="271"/>
      <c r="EGG136" s="271"/>
      <c r="EGH136" s="271"/>
      <c r="EGI136" s="271"/>
      <c r="EGJ136" s="271"/>
      <c r="EGK136" s="271"/>
      <c r="EGL136" s="271"/>
      <c r="EGM136" s="271"/>
      <c r="EGN136" s="271"/>
      <c r="EGO136" s="271"/>
      <c r="EGP136" s="271"/>
      <c r="EGQ136" s="271"/>
      <c r="EGR136" s="271"/>
      <c r="EGS136" s="271"/>
      <c r="EGT136" s="271"/>
      <c r="EGU136" s="271"/>
      <c r="EGV136" s="271"/>
      <c r="EGW136" s="271"/>
      <c r="EGX136" s="271"/>
      <c r="EGY136" s="271"/>
      <c r="EGZ136" s="271"/>
      <c r="EHA136" s="271"/>
      <c r="EHB136" s="271"/>
      <c r="EHC136" s="271"/>
      <c r="EHD136" s="271"/>
      <c r="EHE136" s="271"/>
      <c r="EHF136" s="271"/>
      <c r="EHG136" s="271"/>
      <c r="EHH136" s="271"/>
      <c r="EHI136" s="271"/>
      <c r="EHJ136" s="271"/>
      <c r="EHK136" s="271"/>
      <c r="EHL136" s="271"/>
      <c r="EHM136" s="271"/>
      <c r="EHN136" s="271"/>
      <c r="EHO136" s="271"/>
      <c r="EHP136" s="271"/>
      <c r="EHQ136" s="271"/>
      <c r="EHR136" s="271"/>
      <c r="EHS136" s="271"/>
      <c r="EHT136" s="271"/>
      <c r="EHU136" s="271"/>
      <c r="EHV136" s="271"/>
      <c r="EHW136" s="271"/>
      <c r="EHX136" s="271"/>
      <c r="EHY136" s="271"/>
      <c r="EHZ136" s="271"/>
      <c r="EIA136" s="271"/>
      <c r="EIB136" s="271"/>
      <c r="EIC136" s="271"/>
      <c r="EID136" s="271"/>
      <c r="EIE136" s="271"/>
      <c r="EIF136" s="271"/>
      <c r="EIG136" s="271"/>
      <c r="EIH136" s="271"/>
      <c r="EII136" s="271"/>
      <c r="EIJ136" s="271"/>
      <c r="EIK136" s="271"/>
      <c r="EIL136" s="271"/>
      <c r="EIM136" s="271"/>
      <c r="EIN136" s="271"/>
      <c r="EIO136" s="271"/>
      <c r="EIP136" s="271"/>
      <c r="EIQ136" s="271"/>
      <c r="EIR136" s="271"/>
      <c r="EIS136" s="271"/>
      <c r="EIT136" s="271"/>
      <c r="EIU136" s="271"/>
      <c r="EIV136" s="271"/>
      <c r="EIW136" s="271"/>
      <c r="EIX136" s="271"/>
      <c r="EIY136" s="271"/>
      <c r="EIZ136" s="271"/>
      <c r="EJA136" s="271"/>
      <c r="EJB136" s="271"/>
      <c r="EJC136" s="271"/>
      <c r="EJD136" s="271"/>
      <c r="EJE136" s="271"/>
      <c r="EJF136" s="271"/>
      <c r="EJG136" s="271"/>
      <c r="EJH136" s="271"/>
      <c r="EJI136" s="271"/>
      <c r="EJJ136" s="271"/>
      <c r="EJK136" s="271"/>
      <c r="EJL136" s="271"/>
      <c r="EJM136" s="271"/>
      <c r="EJN136" s="271"/>
      <c r="EJO136" s="271"/>
      <c r="EJP136" s="271"/>
      <c r="EJQ136" s="271"/>
      <c r="EJR136" s="271"/>
      <c r="EJS136" s="271"/>
      <c r="EJT136" s="271"/>
      <c r="EJU136" s="271"/>
      <c r="EJV136" s="271"/>
      <c r="EJW136" s="271"/>
      <c r="EJX136" s="271"/>
      <c r="EJY136" s="271"/>
      <c r="EJZ136" s="271"/>
      <c r="EKA136" s="271"/>
      <c r="EKB136" s="271"/>
      <c r="EKC136" s="271"/>
      <c r="EKD136" s="271"/>
      <c r="EKE136" s="271"/>
      <c r="EKF136" s="271"/>
      <c r="EKG136" s="271"/>
      <c r="EKH136" s="271"/>
      <c r="EKI136" s="271"/>
      <c r="EKJ136" s="271"/>
      <c r="EKK136" s="271"/>
      <c r="EKL136" s="271"/>
      <c r="EKM136" s="271"/>
      <c r="EKN136" s="271"/>
      <c r="EKO136" s="271"/>
      <c r="EKP136" s="271"/>
      <c r="EKQ136" s="271"/>
      <c r="EKR136" s="271"/>
      <c r="EKS136" s="271"/>
      <c r="EKT136" s="271"/>
      <c r="EKU136" s="271"/>
      <c r="EKV136" s="271"/>
      <c r="EKW136" s="271"/>
      <c r="EKX136" s="271"/>
      <c r="EKY136" s="271"/>
      <c r="EKZ136" s="271"/>
      <c r="ELA136" s="271"/>
      <c r="ELB136" s="271"/>
      <c r="ELC136" s="271"/>
      <c r="ELD136" s="271"/>
      <c r="ELE136" s="271"/>
      <c r="ELF136" s="271"/>
      <c r="ELG136" s="271"/>
      <c r="ELH136" s="271"/>
      <c r="ELI136" s="271"/>
      <c r="ELJ136" s="271"/>
      <c r="ELK136" s="271"/>
      <c r="ELL136" s="271"/>
      <c r="ELM136" s="271"/>
      <c r="ELN136" s="271"/>
      <c r="ELO136" s="271"/>
      <c r="ELP136" s="271"/>
      <c r="ELQ136" s="271"/>
      <c r="ELR136" s="271"/>
      <c r="ELS136" s="271"/>
      <c r="ELT136" s="271"/>
      <c r="ELU136" s="271"/>
      <c r="ELV136" s="271"/>
      <c r="ELW136" s="271"/>
      <c r="ELX136" s="271"/>
      <c r="ELY136" s="271"/>
      <c r="ELZ136" s="271"/>
      <c r="EMA136" s="271"/>
      <c r="EMB136" s="271"/>
      <c r="EMC136" s="271"/>
      <c r="EMD136" s="271"/>
      <c r="EME136" s="271"/>
      <c r="EMF136" s="271"/>
      <c r="EMG136" s="271"/>
      <c r="EMH136" s="271"/>
      <c r="EMI136" s="271"/>
      <c r="EMJ136" s="271"/>
      <c r="EMK136" s="271"/>
      <c r="EML136" s="271"/>
      <c r="EMM136" s="271"/>
      <c r="EMN136" s="271"/>
      <c r="EMO136" s="271"/>
      <c r="EMP136" s="271"/>
      <c r="EMQ136" s="271"/>
      <c r="EMR136" s="271"/>
      <c r="EMS136" s="271"/>
      <c r="EMT136" s="271"/>
      <c r="EMU136" s="271"/>
      <c r="EMV136" s="271"/>
      <c r="EMW136" s="271"/>
      <c r="EMX136" s="271"/>
      <c r="EMY136" s="271"/>
      <c r="EMZ136" s="271"/>
      <c r="ENA136" s="271"/>
      <c r="ENB136" s="271"/>
      <c r="ENC136" s="271"/>
      <c r="END136" s="271"/>
      <c r="ENE136" s="271"/>
      <c r="ENF136" s="271"/>
      <c r="ENG136" s="271"/>
      <c r="ENH136" s="271"/>
      <c r="ENI136" s="271"/>
      <c r="ENJ136" s="271"/>
      <c r="ENK136" s="271"/>
      <c r="ENL136" s="271"/>
      <c r="ENM136" s="271"/>
      <c r="ENN136" s="271"/>
      <c r="ENO136" s="271"/>
      <c r="ENP136" s="271"/>
      <c r="ENQ136" s="271"/>
      <c r="ENR136" s="271"/>
      <c r="ENS136" s="271"/>
      <c r="ENT136" s="271"/>
      <c r="ENU136" s="271"/>
      <c r="ENV136" s="271"/>
      <c r="ENW136" s="271"/>
      <c r="ENX136" s="271"/>
      <c r="ENY136" s="271"/>
      <c r="ENZ136" s="271"/>
      <c r="EOA136" s="271"/>
      <c r="EOB136" s="271"/>
      <c r="EOC136" s="271"/>
      <c r="EOD136" s="271"/>
      <c r="EOE136" s="271"/>
      <c r="EOF136" s="271"/>
      <c r="EOG136" s="271"/>
      <c r="EOH136" s="271"/>
      <c r="EOI136" s="271"/>
      <c r="EOJ136" s="271"/>
      <c r="EOK136" s="271"/>
      <c r="EOL136" s="271"/>
      <c r="EOM136" s="271"/>
      <c r="EON136" s="271"/>
      <c r="EOO136" s="271"/>
      <c r="EOP136" s="271"/>
      <c r="EOQ136" s="271"/>
      <c r="EOR136" s="271"/>
      <c r="EOS136" s="271"/>
      <c r="EOT136" s="271"/>
      <c r="EOU136" s="271"/>
      <c r="EOV136" s="271"/>
      <c r="EOW136" s="271"/>
      <c r="EOX136" s="271"/>
      <c r="EOY136" s="271"/>
      <c r="EOZ136" s="271"/>
      <c r="EPA136" s="271"/>
      <c r="EPB136" s="271"/>
      <c r="EPC136" s="271"/>
      <c r="EPD136" s="271"/>
      <c r="EPE136" s="271"/>
      <c r="EPF136" s="271"/>
      <c r="EPG136" s="271"/>
      <c r="EPH136" s="271"/>
      <c r="EPI136" s="271"/>
      <c r="EPJ136" s="271"/>
      <c r="EPK136" s="271"/>
      <c r="EPL136" s="271"/>
      <c r="EPM136" s="271"/>
      <c r="EPN136" s="271"/>
      <c r="EPO136" s="271"/>
      <c r="EPP136" s="271"/>
      <c r="EPQ136" s="271"/>
      <c r="EPR136" s="271"/>
      <c r="EPS136" s="271"/>
      <c r="EPT136" s="271"/>
      <c r="EPU136" s="271"/>
      <c r="EPV136" s="271"/>
      <c r="EPW136" s="271"/>
      <c r="EPX136" s="271"/>
      <c r="EPY136" s="271"/>
      <c r="EPZ136" s="271"/>
      <c r="EQA136" s="271"/>
      <c r="EQB136" s="271"/>
      <c r="EQC136" s="271"/>
      <c r="EQD136" s="271"/>
      <c r="EQE136" s="271"/>
      <c r="EQF136" s="271"/>
      <c r="EQG136" s="271"/>
      <c r="EQH136" s="271"/>
      <c r="EQI136" s="271"/>
      <c r="EQJ136" s="271"/>
      <c r="EQK136" s="271"/>
      <c r="EQL136" s="271"/>
      <c r="EQM136" s="271"/>
      <c r="EQN136" s="271"/>
      <c r="EQO136" s="271"/>
      <c r="EQP136" s="271"/>
      <c r="EQQ136" s="271"/>
      <c r="EQR136" s="271"/>
      <c r="EQS136" s="271"/>
      <c r="EQT136" s="271"/>
      <c r="EQU136" s="271"/>
      <c r="EQV136" s="271"/>
      <c r="EQW136" s="271"/>
      <c r="EQX136" s="271"/>
      <c r="EQY136" s="271"/>
      <c r="EQZ136" s="271"/>
      <c r="ERA136" s="271"/>
      <c r="ERB136" s="271"/>
      <c r="ERC136" s="271"/>
      <c r="ERD136" s="271"/>
      <c r="ERE136" s="271"/>
      <c r="ERF136" s="271"/>
      <c r="ERG136" s="271"/>
      <c r="ERH136" s="271"/>
      <c r="ERI136" s="271"/>
      <c r="ERJ136" s="271"/>
      <c r="ERK136" s="271"/>
      <c r="ERL136" s="271"/>
      <c r="ERM136" s="271"/>
      <c r="ERN136" s="271"/>
      <c r="ERO136" s="271"/>
      <c r="ERP136" s="271"/>
      <c r="ERQ136" s="271"/>
      <c r="ERR136" s="271"/>
      <c r="ERS136" s="271"/>
      <c r="ERT136" s="271"/>
      <c r="ERU136" s="271"/>
      <c r="ERV136" s="271"/>
      <c r="ERW136" s="271"/>
      <c r="ERX136" s="271"/>
      <c r="ERY136" s="271"/>
      <c r="ERZ136" s="271"/>
      <c r="ESA136" s="271"/>
      <c r="ESB136" s="271"/>
      <c r="ESC136" s="271"/>
      <c r="ESD136" s="271"/>
      <c r="ESE136" s="271"/>
      <c r="ESF136" s="271"/>
      <c r="ESG136" s="271"/>
      <c r="ESH136" s="271"/>
      <c r="ESI136" s="271"/>
      <c r="ESJ136" s="271"/>
      <c r="ESK136" s="271"/>
      <c r="ESL136" s="271"/>
      <c r="ESM136" s="271"/>
      <c r="ESN136" s="271"/>
      <c r="ESO136" s="271"/>
      <c r="ESP136" s="271"/>
      <c r="ESQ136" s="271"/>
      <c r="ESR136" s="271"/>
      <c r="ESS136" s="271"/>
      <c r="EST136" s="271"/>
      <c r="ESU136" s="271"/>
      <c r="ESV136" s="271"/>
      <c r="ESW136" s="271"/>
      <c r="ESX136" s="271"/>
      <c r="ESY136" s="271"/>
      <c r="ESZ136" s="271"/>
      <c r="ETA136" s="271"/>
      <c r="ETB136" s="271"/>
      <c r="ETC136" s="271"/>
      <c r="ETD136" s="271"/>
      <c r="ETE136" s="271"/>
      <c r="ETF136" s="271"/>
      <c r="ETG136" s="271"/>
      <c r="ETH136" s="271"/>
      <c r="ETI136" s="271"/>
      <c r="ETJ136" s="271"/>
      <c r="ETK136" s="271"/>
      <c r="ETL136" s="271"/>
      <c r="ETM136" s="271"/>
      <c r="ETN136" s="271"/>
      <c r="ETO136" s="271"/>
      <c r="ETP136" s="271"/>
      <c r="ETQ136" s="271"/>
      <c r="ETR136" s="271"/>
      <c r="ETS136" s="271"/>
      <c r="ETT136" s="271"/>
      <c r="ETU136" s="271"/>
      <c r="ETV136" s="271"/>
      <c r="ETW136" s="271"/>
      <c r="ETX136" s="271"/>
      <c r="ETY136" s="271"/>
      <c r="ETZ136" s="271"/>
      <c r="EUA136" s="271"/>
      <c r="EUB136" s="271"/>
      <c r="EUC136" s="271"/>
      <c r="EUD136" s="271"/>
      <c r="EUE136" s="271"/>
      <c r="EUF136" s="271"/>
      <c r="EUG136" s="271"/>
      <c r="EUH136" s="271"/>
      <c r="EUI136" s="271"/>
      <c r="EUJ136" s="271"/>
      <c r="EUK136" s="271"/>
      <c r="EUL136" s="271"/>
      <c r="EUM136" s="271"/>
      <c r="EUN136" s="271"/>
      <c r="EUO136" s="271"/>
      <c r="EUP136" s="271"/>
      <c r="EUQ136" s="271"/>
      <c r="EUR136" s="271"/>
      <c r="EUS136" s="271"/>
      <c r="EUT136" s="271"/>
      <c r="EUU136" s="271"/>
      <c r="EUV136" s="271"/>
      <c r="EUW136" s="271"/>
      <c r="EUX136" s="271"/>
      <c r="EUY136" s="271"/>
      <c r="EUZ136" s="271"/>
      <c r="EVA136" s="271"/>
      <c r="EVB136" s="271"/>
      <c r="EVC136" s="271"/>
      <c r="EVD136" s="271"/>
      <c r="EVE136" s="271"/>
      <c r="EVF136" s="271"/>
      <c r="EVG136" s="271"/>
      <c r="EVH136" s="271"/>
      <c r="EVI136" s="271"/>
      <c r="EVJ136" s="271"/>
      <c r="EVK136" s="271"/>
      <c r="EVL136" s="271"/>
      <c r="EVM136" s="271"/>
      <c r="EVN136" s="271"/>
      <c r="EVO136" s="271"/>
      <c r="EVP136" s="271"/>
      <c r="EVQ136" s="271"/>
      <c r="EVR136" s="271"/>
      <c r="EVS136" s="271"/>
      <c r="EVT136" s="271"/>
      <c r="EVU136" s="271"/>
      <c r="EVV136" s="271"/>
      <c r="EVW136" s="271"/>
      <c r="EVX136" s="271"/>
      <c r="EVY136" s="271"/>
      <c r="EVZ136" s="271"/>
      <c r="EWA136" s="271"/>
      <c r="EWB136" s="271"/>
      <c r="EWC136" s="271"/>
      <c r="EWD136" s="271"/>
      <c r="EWE136" s="271"/>
      <c r="EWF136" s="271"/>
      <c r="EWG136" s="271"/>
      <c r="EWH136" s="271"/>
      <c r="EWI136" s="271"/>
      <c r="EWJ136" s="271"/>
      <c r="EWK136" s="271"/>
      <c r="EWL136" s="271"/>
      <c r="EWM136" s="271"/>
      <c r="EWN136" s="271"/>
      <c r="EWO136" s="271"/>
      <c r="EWP136" s="271"/>
      <c r="EWQ136" s="271"/>
      <c r="EWR136" s="271"/>
      <c r="EWS136" s="271"/>
      <c r="EWT136" s="271"/>
      <c r="EWU136" s="271"/>
      <c r="EWV136" s="271"/>
      <c r="EWW136" s="271"/>
      <c r="EWX136" s="271"/>
      <c r="EWY136" s="271"/>
      <c r="EWZ136" s="271"/>
      <c r="EXA136" s="271"/>
      <c r="EXB136" s="271"/>
      <c r="EXC136" s="271"/>
      <c r="EXD136" s="271"/>
      <c r="EXE136" s="271"/>
      <c r="EXF136" s="271"/>
      <c r="EXG136" s="271"/>
      <c r="EXH136" s="271"/>
      <c r="EXI136" s="271"/>
      <c r="EXJ136" s="271"/>
      <c r="EXK136" s="271"/>
      <c r="EXL136" s="271"/>
      <c r="EXM136" s="271"/>
      <c r="EXN136" s="271"/>
      <c r="EXO136" s="271"/>
      <c r="EXP136" s="271"/>
      <c r="EXQ136" s="271"/>
      <c r="EXR136" s="271"/>
      <c r="EXS136" s="271"/>
      <c r="EXT136" s="271"/>
      <c r="EXU136" s="271"/>
      <c r="EXV136" s="271"/>
      <c r="EXW136" s="271"/>
      <c r="EXX136" s="271"/>
      <c r="EXY136" s="271"/>
      <c r="EXZ136" s="271"/>
      <c r="EYA136" s="271"/>
      <c r="EYB136" s="271"/>
      <c r="EYC136" s="271"/>
      <c r="EYD136" s="271"/>
      <c r="EYE136" s="271"/>
      <c r="EYF136" s="271"/>
      <c r="EYG136" s="271"/>
      <c r="EYH136" s="271"/>
      <c r="EYI136" s="271"/>
      <c r="EYJ136" s="271"/>
      <c r="EYK136" s="271"/>
      <c r="EYL136" s="271"/>
      <c r="EYM136" s="271"/>
      <c r="EYN136" s="271"/>
      <c r="EYO136" s="271"/>
      <c r="EYP136" s="271"/>
      <c r="EYQ136" s="271"/>
      <c r="EYR136" s="271"/>
      <c r="EYS136" s="271"/>
      <c r="EYT136" s="271"/>
      <c r="EYU136" s="271"/>
      <c r="EYV136" s="271"/>
      <c r="EYW136" s="271"/>
      <c r="EYX136" s="271"/>
      <c r="EYY136" s="271"/>
      <c r="EYZ136" s="271"/>
      <c r="EZA136" s="271"/>
      <c r="EZB136" s="271"/>
      <c r="EZC136" s="271"/>
      <c r="EZD136" s="271"/>
      <c r="EZE136" s="271"/>
      <c r="EZF136" s="271"/>
      <c r="EZG136" s="271"/>
      <c r="EZH136" s="271"/>
      <c r="EZI136" s="271"/>
      <c r="EZJ136" s="271"/>
      <c r="EZK136" s="271"/>
      <c r="EZL136" s="271"/>
      <c r="EZM136" s="271"/>
      <c r="EZN136" s="271"/>
      <c r="EZO136" s="271"/>
      <c r="EZP136" s="271"/>
      <c r="EZQ136" s="271"/>
      <c r="EZR136" s="271"/>
      <c r="EZS136" s="271"/>
      <c r="EZT136" s="271"/>
      <c r="EZU136" s="271"/>
      <c r="EZV136" s="271"/>
      <c r="EZW136" s="271"/>
      <c r="EZX136" s="271"/>
      <c r="EZY136" s="271"/>
      <c r="EZZ136" s="271"/>
      <c r="FAA136" s="271"/>
      <c r="FAB136" s="271"/>
      <c r="FAC136" s="271"/>
      <c r="FAD136" s="271"/>
      <c r="FAE136" s="271"/>
      <c r="FAF136" s="271"/>
      <c r="FAG136" s="271"/>
      <c r="FAH136" s="271"/>
      <c r="FAI136" s="271"/>
      <c r="FAJ136" s="271"/>
      <c r="FAK136" s="271"/>
      <c r="FAL136" s="271"/>
      <c r="FAM136" s="271"/>
      <c r="FAN136" s="271"/>
      <c r="FAO136" s="271"/>
      <c r="FAP136" s="271"/>
      <c r="FAQ136" s="271"/>
      <c r="FAR136" s="271"/>
      <c r="FAS136" s="271"/>
      <c r="FAT136" s="271"/>
      <c r="FAU136" s="271"/>
      <c r="FAV136" s="271"/>
      <c r="FAW136" s="271"/>
      <c r="FAX136" s="271"/>
      <c r="FAY136" s="271"/>
      <c r="FAZ136" s="271"/>
      <c r="FBA136" s="271"/>
      <c r="FBB136" s="271"/>
      <c r="FBC136" s="271"/>
      <c r="FBD136" s="271"/>
      <c r="FBE136" s="271"/>
      <c r="FBF136" s="271"/>
      <c r="FBG136" s="271"/>
      <c r="FBH136" s="271"/>
      <c r="FBI136" s="271"/>
      <c r="FBJ136" s="271"/>
      <c r="FBK136" s="271"/>
      <c r="FBL136" s="271"/>
      <c r="FBM136" s="271"/>
      <c r="FBN136" s="271"/>
      <c r="FBO136" s="271"/>
      <c r="FBP136" s="271"/>
      <c r="FBQ136" s="271"/>
      <c r="FBR136" s="271"/>
      <c r="FBS136" s="271"/>
      <c r="FBT136" s="271"/>
      <c r="FBU136" s="271"/>
      <c r="FBV136" s="271"/>
      <c r="FBW136" s="271"/>
      <c r="FBX136" s="271"/>
      <c r="FBY136" s="271"/>
      <c r="FBZ136" s="271"/>
      <c r="FCA136" s="271"/>
      <c r="FCB136" s="271"/>
      <c r="FCC136" s="271"/>
      <c r="FCD136" s="271"/>
      <c r="FCE136" s="271"/>
      <c r="FCF136" s="271"/>
      <c r="FCG136" s="271"/>
      <c r="FCH136" s="271"/>
      <c r="FCI136" s="271"/>
      <c r="FCJ136" s="271"/>
      <c r="FCK136" s="271"/>
      <c r="FCL136" s="271"/>
      <c r="FCM136" s="271"/>
      <c r="FCN136" s="271"/>
      <c r="FCO136" s="271"/>
      <c r="FCP136" s="271"/>
      <c r="FCQ136" s="271"/>
      <c r="FCR136" s="271"/>
      <c r="FCS136" s="271"/>
      <c r="FCT136" s="271"/>
      <c r="FCU136" s="271"/>
      <c r="FCV136" s="271"/>
      <c r="FCW136" s="271"/>
      <c r="FCX136" s="271"/>
      <c r="FCY136" s="271"/>
      <c r="FCZ136" s="271"/>
      <c r="FDA136" s="271"/>
      <c r="FDB136" s="271"/>
      <c r="FDC136" s="271"/>
      <c r="FDD136" s="271"/>
      <c r="FDE136" s="271"/>
      <c r="FDF136" s="271"/>
      <c r="FDG136" s="271"/>
      <c r="FDH136" s="271"/>
      <c r="FDI136" s="271"/>
      <c r="FDJ136" s="271"/>
      <c r="FDK136" s="271"/>
      <c r="FDL136" s="271"/>
      <c r="FDM136" s="271"/>
      <c r="FDN136" s="271"/>
      <c r="FDO136" s="271"/>
      <c r="FDP136" s="271"/>
      <c r="FDQ136" s="271"/>
      <c r="FDR136" s="271"/>
      <c r="FDS136" s="271"/>
      <c r="FDT136" s="271"/>
      <c r="FDU136" s="271"/>
      <c r="FDV136" s="271"/>
      <c r="FDW136" s="271"/>
      <c r="FDX136" s="271"/>
      <c r="FDY136" s="271"/>
      <c r="FDZ136" s="271"/>
      <c r="FEA136" s="271"/>
      <c r="FEB136" s="271"/>
      <c r="FEC136" s="271"/>
      <c r="FED136" s="271"/>
      <c r="FEE136" s="271"/>
      <c r="FEF136" s="271"/>
      <c r="FEG136" s="271"/>
      <c r="FEH136" s="271"/>
      <c r="FEI136" s="271"/>
      <c r="FEJ136" s="271"/>
      <c r="FEK136" s="271"/>
      <c r="FEL136" s="271"/>
      <c r="FEM136" s="271"/>
      <c r="FEN136" s="271"/>
      <c r="FEO136" s="271"/>
      <c r="FEP136" s="271"/>
      <c r="FEQ136" s="271"/>
      <c r="FER136" s="271"/>
      <c r="FES136" s="271"/>
      <c r="FET136" s="271"/>
      <c r="FEU136" s="271"/>
      <c r="FEV136" s="271"/>
      <c r="FEW136" s="271"/>
      <c r="FEX136" s="271"/>
      <c r="FEY136" s="271"/>
      <c r="FEZ136" s="271"/>
      <c r="FFA136" s="271"/>
      <c r="FFB136" s="271"/>
      <c r="FFC136" s="271"/>
      <c r="FFD136" s="271"/>
      <c r="FFE136" s="271"/>
      <c r="FFF136" s="271"/>
      <c r="FFG136" s="271"/>
      <c r="FFH136" s="271"/>
      <c r="FFI136" s="271"/>
      <c r="FFJ136" s="271"/>
      <c r="FFK136" s="271"/>
      <c r="FFL136" s="271"/>
      <c r="FFM136" s="271"/>
      <c r="FFN136" s="271"/>
      <c r="FFO136" s="271"/>
      <c r="FFP136" s="271"/>
      <c r="FFQ136" s="271"/>
      <c r="FFR136" s="271"/>
      <c r="FFS136" s="271"/>
      <c r="FFT136" s="271"/>
      <c r="FFU136" s="271"/>
      <c r="FFV136" s="271"/>
      <c r="FFW136" s="271"/>
      <c r="FFX136" s="271"/>
      <c r="FFY136" s="271"/>
      <c r="FFZ136" s="271"/>
      <c r="FGA136" s="271"/>
      <c r="FGB136" s="271"/>
      <c r="FGC136" s="271"/>
      <c r="FGD136" s="271"/>
      <c r="FGE136" s="271"/>
      <c r="FGF136" s="271"/>
      <c r="FGG136" s="271"/>
      <c r="FGH136" s="271"/>
      <c r="FGI136" s="271"/>
      <c r="FGJ136" s="271"/>
      <c r="FGK136" s="271"/>
      <c r="FGL136" s="271"/>
      <c r="FGM136" s="271"/>
      <c r="FGN136" s="271"/>
      <c r="FGO136" s="271"/>
      <c r="FGP136" s="271"/>
      <c r="FGQ136" s="271"/>
      <c r="FGR136" s="271"/>
      <c r="FGS136" s="271"/>
      <c r="FGT136" s="271"/>
      <c r="FGU136" s="271"/>
      <c r="FGV136" s="271"/>
      <c r="FGW136" s="271"/>
      <c r="FGX136" s="271"/>
      <c r="FGY136" s="271"/>
      <c r="FGZ136" s="271"/>
      <c r="FHA136" s="271"/>
      <c r="FHB136" s="271"/>
      <c r="FHC136" s="271"/>
      <c r="FHD136" s="271"/>
      <c r="FHE136" s="271"/>
      <c r="FHF136" s="271"/>
      <c r="FHG136" s="271"/>
      <c r="FHH136" s="271"/>
      <c r="FHI136" s="271"/>
      <c r="FHJ136" s="271"/>
      <c r="FHK136" s="271"/>
      <c r="FHL136" s="271"/>
      <c r="FHM136" s="271"/>
      <c r="FHN136" s="271"/>
      <c r="FHO136" s="271"/>
      <c r="FHP136" s="271"/>
      <c r="FHQ136" s="271"/>
      <c r="FHR136" s="271"/>
      <c r="FHS136" s="271"/>
      <c r="FHT136" s="271"/>
      <c r="FHU136" s="271"/>
      <c r="FHV136" s="271"/>
      <c r="FHW136" s="271"/>
      <c r="FHX136" s="271"/>
      <c r="FHY136" s="271"/>
      <c r="FHZ136" s="271"/>
      <c r="FIA136" s="271"/>
      <c r="FIB136" s="271"/>
      <c r="FIC136" s="271"/>
      <c r="FID136" s="271"/>
      <c r="FIE136" s="271"/>
      <c r="FIF136" s="271"/>
      <c r="FIG136" s="271"/>
      <c r="FIH136" s="271"/>
      <c r="FII136" s="271"/>
      <c r="FIJ136" s="271"/>
      <c r="FIK136" s="271"/>
      <c r="FIL136" s="271"/>
      <c r="FIM136" s="271"/>
      <c r="FIN136" s="271"/>
      <c r="FIO136" s="271"/>
      <c r="FIP136" s="271"/>
      <c r="FIQ136" s="271"/>
      <c r="FIR136" s="271"/>
      <c r="FIS136" s="271"/>
      <c r="FIT136" s="271"/>
      <c r="FIU136" s="271"/>
      <c r="FIV136" s="271"/>
      <c r="FIW136" s="271"/>
      <c r="FIX136" s="271"/>
      <c r="FIY136" s="271"/>
      <c r="FIZ136" s="271"/>
      <c r="FJA136" s="271"/>
      <c r="FJB136" s="271"/>
      <c r="FJC136" s="271"/>
      <c r="FJD136" s="271"/>
      <c r="FJE136" s="271"/>
      <c r="FJF136" s="271"/>
      <c r="FJG136" s="271"/>
      <c r="FJH136" s="271"/>
      <c r="FJI136" s="271"/>
      <c r="FJJ136" s="271"/>
      <c r="FJK136" s="271"/>
      <c r="FJL136" s="271"/>
      <c r="FJM136" s="271"/>
      <c r="FJN136" s="271"/>
      <c r="FJO136" s="271"/>
      <c r="FJP136" s="271"/>
      <c r="FJQ136" s="271"/>
      <c r="FJR136" s="271"/>
      <c r="FJS136" s="271"/>
      <c r="FJT136" s="271"/>
      <c r="FJU136" s="271"/>
      <c r="FJV136" s="271"/>
      <c r="FJW136" s="271"/>
      <c r="FJX136" s="271"/>
      <c r="FJY136" s="271"/>
      <c r="FJZ136" s="271"/>
      <c r="FKA136" s="271"/>
      <c r="FKB136" s="271"/>
      <c r="FKC136" s="271"/>
      <c r="FKD136" s="271"/>
      <c r="FKE136" s="271"/>
      <c r="FKF136" s="271"/>
      <c r="FKG136" s="271"/>
      <c r="FKH136" s="271"/>
      <c r="FKI136" s="271"/>
      <c r="FKJ136" s="271"/>
      <c r="FKK136" s="271"/>
      <c r="FKL136" s="271"/>
      <c r="FKM136" s="271"/>
      <c r="FKN136" s="271"/>
      <c r="FKO136" s="271"/>
      <c r="FKP136" s="271"/>
      <c r="FKQ136" s="271"/>
      <c r="FKR136" s="271"/>
      <c r="FKS136" s="271"/>
      <c r="FKT136" s="271"/>
      <c r="FKU136" s="271"/>
      <c r="FKV136" s="271"/>
      <c r="FKW136" s="271"/>
      <c r="FKX136" s="271"/>
      <c r="FKY136" s="271"/>
      <c r="FKZ136" s="271"/>
      <c r="FLA136" s="271"/>
      <c r="FLB136" s="271"/>
      <c r="FLC136" s="271"/>
      <c r="FLD136" s="271"/>
      <c r="FLE136" s="271"/>
      <c r="FLF136" s="271"/>
      <c r="FLG136" s="271"/>
      <c r="FLH136" s="271"/>
      <c r="FLI136" s="271"/>
      <c r="FLJ136" s="271"/>
      <c r="FLK136" s="271"/>
      <c r="FLL136" s="271"/>
      <c r="FLM136" s="271"/>
      <c r="FLN136" s="271"/>
      <c r="FLO136" s="271"/>
      <c r="FLP136" s="271"/>
      <c r="FLQ136" s="271"/>
      <c r="FLR136" s="271"/>
      <c r="FLS136" s="271"/>
      <c r="FLT136" s="271"/>
      <c r="FLU136" s="271"/>
      <c r="FLV136" s="271"/>
      <c r="FLW136" s="271"/>
      <c r="FLX136" s="271"/>
      <c r="FLY136" s="271"/>
      <c r="FLZ136" s="271"/>
      <c r="FMA136" s="271"/>
      <c r="FMB136" s="271"/>
      <c r="FMC136" s="271"/>
      <c r="FMD136" s="271"/>
      <c r="FME136" s="271"/>
      <c r="FMF136" s="271"/>
      <c r="FMG136" s="271"/>
      <c r="FMH136" s="271"/>
      <c r="FMI136" s="271"/>
      <c r="FMJ136" s="271"/>
      <c r="FMK136" s="271"/>
      <c r="FML136" s="271"/>
      <c r="FMM136" s="271"/>
      <c r="FMN136" s="271"/>
      <c r="FMO136" s="271"/>
      <c r="FMP136" s="271"/>
      <c r="FMQ136" s="271"/>
      <c r="FMR136" s="271"/>
      <c r="FMS136" s="271"/>
      <c r="FMT136" s="271"/>
      <c r="FMU136" s="271"/>
      <c r="FMV136" s="271"/>
      <c r="FMW136" s="271"/>
      <c r="FMX136" s="271"/>
      <c r="FMY136" s="271"/>
      <c r="FMZ136" s="271"/>
      <c r="FNA136" s="271"/>
      <c r="FNB136" s="271"/>
      <c r="FNC136" s="271"/>
      <c r="FND136" s="271"/>
      <c r="FNE136" s="271"/>
      <c r="FNF136" s="271"/>
      <c r="FNG136" s="271"/>
      <c r="FNH136" s="271"/>
      <c r="FNI136" s="271"/>
      <c r="FNJ136" s="271"/>
      <c r="FNK136" s="271"/>
      <c r="FNL136" s="271"/>
      <c r="FNM136" s="271"/>
      <c r="FNN136" s="271"/>
      <c r="FNO136" s="271"/>
      <c r="FNP136" s="271"/>
      <c r="FNQ136" s="271"/>
      <c r="FNR136" s="271"/>
      <c r="FNS136" s="271"/>
      <c r="FNT136" s="271"/>
      <c r="FNU136" s="271"/>
      <c r="FNV136" s="271"/>
      <c r="FNW136" s="271"/>
      <c r="FNX136" s="271"/>
      <c r="FNY136" s="271"/>
      <c r="FNZ136" s="271"/>
      <c r="FOA136" s="271"/>
      <c r="FOB136" s="271"/>
      <c r="FOC136" s="271"/>
      <c r="FOD136" s="271"/>
      <c r="FOE136" s="271"/>
      <c r="FOF136" s="271"/>
      <c r="FOG136" s="271"/>
      <c r="FOH136" s="271"/>
      <c r="FOI136" s="271"/>
      <c r="FOJ136" s="271"/>
      <c r="FOK136" s="271"/>
      <c r="FOL136" s="271"/>
      <c r="FOM136" s="271"/>
      <c r="FON136" s="271"/>
      <c r="FOO136" s="271"/>
      <c r="FOP136" s="271"/>
      <c r="FOQ136" s="271"/>
      <c r="FOR136" s="271"/>
      <c r="FOS136" s="271"/>
      <c r="FOT136" s="271"/>
      <c r="FOU136" s="271"/>
      <c r="FOV136" s="271"/>
      <c r="FOW136" s="271"/>
      <c r="FOX136" s="271"/>
      <c r="FOY136" s="271"/>
      <c r="FOZ136" s="271"/>
      <c r="FPA136" s="271"/>
      <c r="FPB136" s="271"/>
      <c r="FPC136" s="271"/>
      <c r="FPD136" s="271"/>
      <c r="FPE136" s="271"/>
      <c r="FPF136" s="271"/>
      <c r="FPG136" s="271"/>
      <c r="FPH136" s="271"/>
      <c r="FPI136" s="271"/>
      <c r="FPJ136" s="271"/>
      <c r="FPK136" s="271"/>
      <c r="FPL136" s="271"/>
      <c r="FPM136" s="271"/>
      <c r="FPN136" s="271"/>
      <c r="FPO136" s="271"/>
      <c r="FPP136" s="271"/>
      <c r="FPQ136" s="271"/>
      <c r="FPR136" s="271"/>
      <c r="FPS136" s="271"/>
      <c r="FPT136" s="271"/>
      <c r="FPU136" s="271"/>
      <c r="FPV136" s="271"/>
      <c r="FPW136" s="271"/>
      <c r="FPX136" s="271"/>
      <c r="FPY136" s="271"/>
      <c r="FPZ136" s="271"/>
      <c r="FQA136" s="271"/>
      <c r="FQB136" s="271"/>
      <c r="FQC136" s="271"/>
      <c r="FQD136" s="271"/>
      <c r="FQE136" s="271"/>
      <c r="FQF136" s="271"/>
      <c r="FQG136" s="271"/>
      <c r="FQH136" s="271"/>
      <c r="FQI136" s="271"/>
      <c r="FQJ136" s="271"/>
      <c r="FQK136" s="271"/>
      <c r="FQL136" s="271"/>
      <c r="FQM136" s="271"/>
      <c r="FQN136" s="271"/>
      <c r="FQO136" s="271"/>
      <c r="FQP136" s="271"/>
      <c r="FQQ136" s="271"/>
      <c r="FQR136" s="271"/>
      <c r="FQS136" s="271"/>
      <c r="FQT136" s="271"/>
      <c r="FQU136" s="271"/>
      <c r="FQV136" s="271"/>
      <c r="FQW136" s="271"/>
      <c r="FQX136" s="271"/>
      <c r="FQY136" s="271"/>
      <c r="FQZ136" s="271"/>
      <c r="FRA136" s="271"/>
      <c r="FRB136" s="271"/>
      <c r="FRC136" s="271"/>
      <c r="FRD136" s="271"/>
      <c r="FRE136" s="271"/>
      <c r="FRF136" s="271"/>
      <c r="FRG136" s="271"/>
      <c r="FRH136" s="271"/>
      <c r="FRI136" s="271"/>
      <c r="FRJ136" s="271"/>
      <c r="FRK136" s="271"/>
      <c r="FRL136" s="271"/>
      <c r="FRM136" s="271"/>
      <c r="FRN136" s="271"/>
      <c r="FRO136" s="271"/>
      <c r="FRP136" s="271"/>
      <c r="FRQ136" s="271"/>
      <c r="FRR136" s="271"/>
      <c r="FRS136" s="271"/>
      <c r="FRT136" s="271"/>
      <c r="FRU136" s="271"/>
      <c r="FRV136" s="271"/>
      <c r="FRW136" s="271"/>
      <c r="FRX136" s="271"/>
      <c r="FRY136" s="271"/>
      <c r="FRZ136" s="271"/>
      <c r="FSA136" s="271"/>
      <c r="FSB136" s="271"/>
      <c r="FSC136" s="271"/>
      <c r="FSD136" s="271"/>
      <c r="FSE136" s="271"/>
      <c r="FSF136" s="271"/>
      <c r="FSG136" s="271"/>
      <c r="FSH136" s="271"/>
      <c r="FSI136" s="271"/>
      <c r="FSJ136" s="271"/>
      <c r="FSK136" s="271"/>
      <c r="FSL136" s="271"/>
      <c r="FSM136" s="271"/>
      <c r="FSN136" s="271"/>
      <c r="FSO136" s="271"/>
      <c r="FSP136" s="271"/>
      <c r="FSQ136" s="271"/>
      <c r="FSR136" s="271"/>
      <c r="FSS136" s="271"/>
      <c r="FST136" s="271"/>
      <c r="FSU136" s="271"/>
      <c r="FSV136" s="271"/>
      <c r="FSW136" s="271"/>
      <c r="FSX136" s="271"/>
      <c r="FSY136" s="271"/>
      <c r="FSZ136" s="271"/>
      <c r="FTA136" s="271"/>
      <c r="FTB136" s="271"/>
      <c r="FTC136" s="271"/>
      <c r="FTD136" s="271"/>
      <c r="FTE136" s="271"/>
      <c r="FTF136" s="271"/>
      <c r="FTG136" s="271"/>
      <c r="FTH136" s="271"/>
      <c r="FTI136" s="271"/>
      <c r="FTJ136" s="271"/>
      <c r="FTK136" s="271"/>
      <c r="FTL136" s="271"/>
      <c r="FTM136" s="271"/>
      <c r="FTN136" s="271"/>
      <c r="FTO136" s="271"/>
      <c r="FTP136" s="271"/>
      <c r="FTQ136" s="271"/>
      <c r="FTR136" s="271"/>
      <c r="FTS136" s="271"/>
      <c r="FTT136" s="271"/>
      <c r="FTU136" s="271"/>
      <c r="FTV136" s="271"/>
      <c r="FTW136" s="271"/>
      <c r="FTX136" s="271"/>
      <c r="FTY136" s="271"/>
      <c r="FTZ136" s="271"/>
      <c r="FUA136" s="271"/>
      <c r="FUB136" s="271"/>
      <c r="FUC136" s="271"/>
      <c r="FUD136" s="271"/>
      <c r="FUE136" s="271"/>
      <c r="FUF136" s="271"/>
      <c r="FUG136" s="271"/>
      <c r="FUH136" s="271"/>
      <c r="FUI136" s="271"/>
      <c r="FUJ136" s="271"/>
      <c r="FUK136" s="271"/>
      <c r="FUL136" s="271"/>
      <c r="FUM136" s="271"/>
      <c r="FUN136" s="271"/>
      <c r="FUO136" s="271"/>
      <c r="FUP136" s="271"/>
      <c r="FUQ136" s="271"/>
      <c r="FUR136" s="271"/>
      <c r="FUS136" s="271"/>
      <c r="FUT136" s="271"/>
      <c r="FUU136" s="271"/>
      <c r="FUV136" s="271"/>
      <c r="FUW136" s="271"/>
      <c r="FUX136" s="271"/>
      <c r="FUY136" s="271"/>
      <c r="FUZ136" s="271"/>
      <c r="FVA136" s="271"/>
      <c r="FVB136" s="271"/>
      <c r="FVC136" s="271"/>
      <c r="FVD136" s="271"/>
      <c r="FVE136" s="271"/>
      <c r="FVF136" s="271"/>
      <c r="FVG136" s="271"/>
      <c r="FVH136" s="271"/>
      <c r="FVI136" s="271"/>
      <c r="FVJ136" s="271"/>
      <c r="FVK136" s="271"/>
      <c r="FVL136" s="271"/>
      <c r="FVM136" s="271"/>
      <c r="FVN136" s="271"/>
      <c r="FVO136" s="271"/>
      <c r="FVP136" s="271"/>
      <c r="FVQ136" s="271"/>
      <c r="FVR136" s="271"/>
      <c r="FVS136" s="271"/>
      <c r="FVT136" s="271"/>
      <c r="FVU136" s="271"/>
      <c r="FVV136" s="271"/>
      <c r="FVW136" s="271"/>
      <c r="FVX136" s="271"/>
      <c r="FVY136" s="271"/>
      <c r="FVZ136" s="271"/>
      <c r="FWA136" s="271"/>
      <c r="FWB136" s="271"/>
      <c r="FWC136" s="271"/>
      <c r="FWD136" s="271"/>
      <c r="FWE136" s="271"/>
      <c r="FWF136" s="271"/>
      <c r="FWG136" s="271"/>
      <c r="FWH136" s="271"/>
      <c r="FWI136" s="271"/>
      <c r="FWJ136" s="271"/>
      <c r="FWK136" s="271"/>
      <c r="FWL136" s="271"/>
      <c r="FWM136" s="271"/>
      <c r="FWN136" s="271"/>
      <c r="FWO136" s="271"/>
      <c r="FWP136" s="271"/>
      <c r="FWQ136" s="271"/>
      <c r="FWR136" s="271"/>
      <c r="FWS136" s="271"/>
      <c r="FWT136" s="271"/>
      <c r="FWU136" s="271"/>
      <c r="FWV136" s="271"/>
      <c r="FWW136" s="271"/>
      <c r="FWX136" s="271"/>
      <c r="FWY136" s="271"/>
      <c r="FWZ136" s="271"/>
      <c r="FXA136" s="271"/>
      <c r="FXB136" s="271"/>
      <c r="FXC136" s="271"/>
      <c r="FXD136" s="271"/>
      <c r="FXE136" s="271"/>
      <c r="FXF136" s="271"/>
      <c r="FXG136" s="271"/>
      <c r="FXH136" s="271"/>
      <c r="FXI136" s="271"/>
      <c r="FXJ136" s="271"/>
      <c r="FXK136" s="271"/>
      <c r="FXL136" s="271"/>
      <c r="FXM136" s="271"/>
      <c r="FXN136" s="271"/>
      <c r="FXO136" s="271"/>
      <c r="FXP136" s="271"/>
      <c r="FXQ136" s="271"/>
      <c r="FXR136" s="271"/>
      <c r="FXS136" s="271"/>
      <c r="FXT136" s="271"/>
      <c r="FXU136" s="271"/>
      <c r="FXV136" s="271"/>
      <c r="FXW136" s="271"/>
      <c r="FXX136" s="271"/>
      <c r="FXY136" s="271"/>
      <c r="FXZ136" s="271"/>
      <c r="FYA136" s="271"/>
      <c r="FYB136" s="271"/>
      <c r="FYC136" s="271"/>
      <c r="FYD136" s="271"/>
      <c r="FYE136" s="271"/>
      <c r="FYF136" s="271"/>
      <c r="FYG136" s="271"/>
      <c r="FYH136" s="271"/>
      <c r="FYI136" s="271"/>
      <c r="FYJ136" s="271"/>
      <c r="FYK136" s="271"/>
      <c r="FYL136" s="271"/>
      <c r="FYM136" s="271"/>
      <c r="FYN136" s="271"/>
      <c r="FYO136" s="271"/>
      <c r="FYP136" s="271"/>
      <c r="FYQ136" s="271"/>
      <c r="FYR136" s="271"/>
      <c r="FYS136" s="271"/>
      <c r="FYT136" s="271"/>
      <c r="FYU136" s="271"/>
      <c r="FYV136" s="271"/>
      <c r="FYW136" s="271"/>
      <c r="FYX136" s="271"/>
      <c r="FYY136" s="271"/>
      <c r="FYZ136" s="271"/>
      <c r="FZA136" s="271"/>
      <c r="FZB136" s="271"/>
      <c r="FZC136" s="271"/>
      <c r="FZD136" s="271"/>
      <c r="FZE136" s="271"/>
      <c r="FZF136" s="271"/>
      <c r="FZG136" s="271"/>
      <c r="FZH136" s="271"/>
      <c r="FZI136" s="271"/>
      <c r="FZJ136" s="271"/>
      <c r="FZK136" s="271"/>
      <c r="FZL136" s="271"/>
      <c r="FZM136" s="271"/>
      <c r="FZN136" s="271"/>
      <c r="FZO136" s="271"/>
      <c r="FZP136" s="271"/>
      <c r="FZQ136" s="271"/>
      <c r="FZR136" s="271"/>
      <c r="FZS136" s="271"/>
      <c r="FZT136" s="271"/>
      <c r="FZU136" s="271"/>
      <c r="FZV136" s="271"/>
      <c r="FZW136" s="271"/>
      <c r="FZX136" s="271"/>
      <c r="FZY136" s="271"/>
      <c r="FZZ136" s="271"/>
      <c r="GAA136" s="271"/>
      <c r="GAB136" s="271"/>
      <c r="GAC136" s="271"/>
      <c r="GAD136" s="271"/>
      <c r="GAE136" s="271"/>
      <c r="GAF136" s="271"/>
      <c r="GAG136" s="271"/>
      <c r="GAH136" s="271"/>
      <c r="GAI136" s="271"/>
      <c r="GAJ136" s="271"/>
      <c r="GAK136" s="271"/>
      <c r="GAL136" s="271"/>
      <c r="GAM136" s="271"/>
      <c r="GAN136" s="271"/>
      <c r="GAO136" s="271"/>
      <c r="GAP136" s="271"/>
      <c r="GAQ136" s="271"/>
      <c r="GAR136" s="271"/>
      <c r="GAS136" s="271"/>
      <c r="GAT136" s="271"/>
      <c r="GAU136" s="271"/>
      <c r="GAV136" s="271"/>
      <c r="GAW136" s="271"/>
      <c r="GAX136" s="271"/>
      <c r="GAY136" s="271"/>
      <c r="GAZ136" s="271"/>
      <c r="GBA136" s="271"/>
      <c r="GBB136" s="271"/>
      <c r="GBC136" s="271"/>
      <c r="GBD136" s="271"/>
      <c r="GBE136" s="271"/>
      <c r="GBF136" s="271"/>
      <c r="GBG136" s="271"/>
      <c r="GBH136" s="271"/>
      <c r="GBI136" s="271"/>
      <c r="GBJ136" s="271"/>
      <c r="GBK136" s="271"/>
      <c r="GBL136" s="271"/>
      <c r="GBM136" s="271"/>
      <c r="GBN136" s="271"/>
      <c r="GBO136" s="271"/>
      <c r="GBP136" s="271"/>
      <c r="GBQ136" s="271"/>
      <c r="GBR136" s="271"/>
      <c r="GBS136" s="271"/>
      <c r="GBT136" s="271"/>
      <c r="GBU136" s="271"/>
      <c r="GBV136" s="271"/>
      <c r="GBW136" s="271"/>
      <c r="GBX136" s="271"/>
      <c r="GBY136" s="271"/>
      <c r="GBZ136" s="271"/>
      <c r="GCA136" s="271"/>
      <c r="GCB136" s="271"/>
      <c r="GCC136" s="271"/>
      <c r="GCD136" s="271"/>
      <c r="GCE136" s="271"/>
      <c r="GCF136" s="271"/>
      <c r="GCG136" s="271"/>
      <c r="GCH136" s="271"/>
      <c r="GCI136" s="271"/>
      <c r="GCJ136" s="271"/>
      <c r="GCK136" s="271"/>
      <c r="GCL136" s="271"/>
      <c r="GCM136" s="271"/>
      <c r="GCN136" s="271"/>
      <c r="GCO136" s="271"/>
      <c r="GCP136" s="271"/>
      <c r="GCQ136" s="271"/>
      <c r="GCR136" s="271"/>
      <c r="GCS136" s="271"/>
      <c r="GCT136" s="271"/>
      <c r="GCU136" s="271"/>
      <c r="GCV136" s="271"/>
      <c r="GCW136" s="271"/>
      <c r="GCX136" s="271"/>
      <c r="GCY136" s="271"/>
      <c r="GCZ136" s="271"/>
      <c r="GDA136" s="271"/>
      <c r="GDB136" s="271"/>
      <c r="GDC136" s="271"/>
      <c r="GDD136" s="271"/>
      <c r="GDE136" s="271"/>
      <c r="GDF136" s="271"/>
      <c r="GDG136" s="271"/>
      <c r="GDH136" s="271"/>
      <c r="GDI136" s="271"/>
      <c r="GDJ136" s="271"/>
      <c r="GDK136" s="271"/>
      <c r="GDL136" s="271"/>
      <c r="GDM136" s="271"/>
      <c r="GDN136" s="271"/>
      <c r="GDO136" s="271"/>
      <c r="GDP136" s="271"/>
      <c r="GDQ136" s="271"/>
      <c r="GDR136" s="271"/>
      <c r="GDS136" s="271"/>
      <c r="GDT136" s="271"/>
      <c r="GDU136" s="271"/>
      <c r="GDV136" s="271"/>
      <c r="GDW136" s="271"/>
      <c r="GDX136" s="271"/>
      <c r="GDY136" s="271"/>
      <c r="GDZ136" s="271"/>
      <c r="GEA136" s="271"/>
      <c r="GEB136" s="271"/>
      <c r="GEC136" s="271"/>
      <c r="GED136" s="271"/>
      <c r="GEE136" s="271"/>
      <c r="GEF136" s="271"/>
      <c r="GEG136" s="271"/>
      <c r="GEH136" s="271"/>
      <c r="GEI136" s="271"/>
      <c r="GEJ136" s="271"/>
      <c r="GEK136" s="271"/>
      <c r="GEL136" s="271"/>
      <c r="GEM136" s="271"/>
      <c r="GEN136" s="271"/>
      <c r="GEO136" s="271"/>
      <c r="GEP136" s="271"/>
      <c r="GEQ136" s="271"/>
      <c r="GER136" s="271"/>
      <c r="GES136" s="271"/>
      <c r="GET136" s="271"/>
      <c r="GEU136" s="271"/>
      <c r="GEV136" s="271"/>
      <c r="GEW136" s="271"/>
      <c r="GEX136" s="271"/>
      <c r="GEY136" s="271"/>
      <c r="GEZ136" s="271"/>
      <c r="GFA136" s="271"/>
      <c r="GFB136" s="271"/>
      <c r="GFC136" s="271"/>
      <c r="GFD136" s="271"/>
      <c r="GFE136" s="271"/>
      <c r="GFF136" s="271"/>
      <c r="GFG136" s="271"/>
      <c r="GFH136" s="271"/>
      <c r="GFI136" s="271"/>
      <c r="GFJ136" s="271"/>
      <c r="GFK136" s="271"/>
      <c r="GFL136" s="271"/>
      <c r="GFM136" s="271"/>
      <c r="GFN136" s="271"/>
      <c r="GFO136" s="271"/>
      <c r="GFP136" s="271"/>
      <c r="GFQ136" s="271"/>
      <c r="GFR136" s="271"/>
      <c r="GFS136" s="271"/>
      <c r="GFT136" s="271"/>
      <c r="GFU136" s="271"/>
      <c r="GFV136" s="271"/>
      <c r="GFW136" s="271"/>
      <c r="GFX136" s="271"/>
      <c r="GFY136" s="271"/>
      <c r="GFZ136" s="271"/>
      <c r="GGA136" s="271"/>
      <c r="GGB136" s="271"/>
      <c r="GGC136" s="271"/>
      <c r="GGD136" s="271"/>
      <c r="GGE136" s="271"/>
      <c r="GGF136" s="271"/>
      <c r="GGG136" s="271"/>
      <c r="GGH136" s="271"/>
      <c r="GGI136" s="271"/>
      <c r="GGJ136" s="271"/>
      <c r="GGK136" s="271"/>
      <c r="GGL136" s="271"/>
      <c r="GGM136" s="271"/>
      <c r="GGN136" s="271"/>
      <c r="GGO136" s="271"/>
      <c r="GGP136" s="271"/>
      <c r="GGQ136" s="271"/>
      <c r="GGR136" s="271"/>
      <c r="GGS136" s="271"/>
      <c r="GGT136" s="271"/>
      <c r="GGU136" s="271"/>
      <c r="GGV136" s="271"/>
      <c r="GGW136" s="271"/>
      <c r="GGX136" s="271"/>
      <c r="GGY136" s="271"/>
      <c r="GGZ136" s="271"/>
      <c r="GHA136" s="271"/>
      <c r="GHB136" s="271"/>
      <c r="GHC136" s="271"/>
      <c r="GHD136" s="271"/>
      <c r="GHE136" s="271"/>
      <c r="GHF136" s="271"/>
      <c r="GHG136" s="271"/>
      <c r="GHH136" s="271"/>
      <c r="GHI136" s="271"/>
      <c r="GHJ136" s="271"/>
      <c r="GHK136" s="271"/>
      <c r="GHL136" s="271"/>
      <c r="GHM136" s="271"/>
      <c r="GHN136" s="271"/>
      <c r="GHO136" s="271"/>
      <c r="GHP136" s="271"/>
      <c r="GHQ136" s="271"/>
      <c r="GHR136" s="271"/>
      <c r="GHS136" s="271"/>
      <c r="GHT136" s="271"/>
      <c r="GHU136" s="271"/>
      <c r="GHV136" s="271"/>
      <c r="GHW136" s="271"/>
      <c r="GHX136" s="271"/>
      <c r="GHY136" s="271"/>
      <c r="GHZ136" s="271"/>
      <c r="GIA136" s="271"/>
      <c r="GIB136" s="271"/>
      <c r="GIC136" s="271"/>
      <c r="GID136" s="271"/>
      <c r="GIE136" s="271"/>
      <c r="GIF136" s="271"/>
      <c r="GIG136" s="271"/>
      <c r="GIH136" s="271"/>
      <c r="GII136" s="271"/>
      <c r="GIJ136" s="271"/>
      <c r="GIK136" s="271"/>
      <c r="GIL136" s="271"/>
      <c r="GIM136" s="271"/>
      <c r="GIN136" s="271"/>
      <c r="GIO136" s="271"/>
      <c r="GIP136" s="271"/>
      <c r="GIQ136" s="271"/>
      <c r="GIR136" s="271"/>
      <c r="GIS136" s="271"/>
      <c r="GIT136" s="271"/>
      <c r="GIU136" s="271"/>
      <c r="GIV136" s="271"/>
      <c r="GIW136" s="271"/>
      <c r="GIX136" s="271"/>
      <c r="GIY136" s="271"/>
      <c r="GIZ136" s="271"/>
      <c r="GJA136" s="271"/>
      <c r="GJB136" s="271"/>
      <c r="GJC136" s="271"/>
      <c r="GJD136" s="271"/>
      <c r="GJE136" s="271"/>
      <c r="GJF136" s="271"/>
      <c r="GJG136" s="271"/>
      <c r="GJH136" s="271"/>
      <c r="GJI136" s="271"/>
      <c r="GJJ136" s="271"/>
      <c r="GJK136" s="271"/>
      <c r="GJL136" s="271"/>
      <c r="GJM136" s="271"/>
      <c r="GJN136" s="271"/>
      <c r="GJO136" s="271"/>
      <c r="GJP136" s="271"/>
      <c r="GJQ136" s="271"/>
      <c r="GJR136" s="271"/>
      <c r="GJS136" s="271"/>
      <c r="GJT136" s="271"/>
      <c r="GJU136" s="271"/>
      <c r="GJV136" s="271"/>
      <c r="GJW136" s="271"/>
      <c r="GJX136" s="271"/>
      <c r="GJY136" s="271"/>
      <c r="GJZ136" s="271"/>
      <c r="GKA136" s="271"/>
      <c r="GKB136" s="271"/>
      <c r="GKC136" s="271"/>
      <c r="GKD136" s="271"/>
      <c r="GKE136" s="271"/>
      <c r="GKF136" s="271"/>
      <c r="GKG136" s="271"/>
      <c r="GKH136" s="271"/>
      <c r="GKI136" s="271"/>
      <c r="GKJ136" s="271"/>
      <c r="GKK136" s="271"/>
      <c r="GKL136" s="271"/>
      <c r="GKM136" s="271"/>
      <c r="GKN136" s="271"/>
      <c r="GKO136" s="271"/>
      <c r="GKP136" s="271"/>
      <c r="GKQ136" s="271"/>
      <c r="GKR136" s="271"/>
      <c r="GKS136" s="271"/>
      <c r="GKT136" s="271"/>
      <c r="GKU136" s="271"/>
      <c r="GKV136" s="271"/>
      <c r="GKW136" s="271"/>
      <c r="GKX136" s="271"/>
      <c r="GKY136" s="271"/>
      <c r="GKZ136" s="271"/>
      <c r="GLA136" s="271"/>
      <c r="GLB136" s="271"/>
      <c r="GLC136" s="271"/>
      <c r="GLD136" s="271"/>
      <c r="GLE136" s="271"/>
      <c r="GLF136" s="271"/>
      <c r="GLG136" s="271"/>
      <c r="GLH136" s="271"/>
      <c r="GLI136" s="271"/>
      <c r="GLJ136" s="271"/>
      <c r="GLK136" s="271"/>
      <c r="GLL136" s="271"/>
      <c r="GLM136" s="271"/>
      <c r="GLN136" s="271"/>
      <c r="GLO136" s="271"/>
      <c r="GLP136" s="271"/>
      <c r="GLQ136" s="271"/>
      <c r="GLR136" s="271"/>
      <c r="GLS136" s="271"/>
      <c r="GLT136" s="271"/>
      <c r="GLU136" s="271"/>
      <c r="GLV136" s="271"/>
      <c r="GLW136" s="271"/>
      <c r="GLX136" s="271"/>
      <c r="GLY136" s="271"/>
      <c r="GLZ136" s="271"/>
      <c r="GMA136" s="271"/>
      <c r="GMB136" s="271"/>
      <c r="GMC136" s="271"/>
      <c r="GMD136" s="271"/>
      <c r="GME136" s="271"/>
      <c r="GMF136" s="271"/>
      <c r="GMG136" s="271"/>
      <c r="GMH136" s="271"/>
      <c r="GMI136" s="271"/>
      <c r="GMJ136" s="271"/>
      <c r="GMK136" s="271"/>
      <c r="GML136" s="271"/>
      <c r="GMM136" s="271"/>
      <c r="GMN136" s="271"/>
      <c r="GMO136" s="271"/>
      <c r="GMP136" s="271"/>
      <c r="GMQ136" s="271"/>
      <c r="GMR136" s="271"/>
      <c r="GMS136" s="271"/>
      <c r="GMT136" s="271"/>
      <c r="GMU136" s="271"/>
      <c r="GMV136" s="271"/>
      <c r="GMW136" s="271"/>
      <c r="GMX136" s="271"/>
      <c r="GMY136" s="271"/>
      <c r="GMZ136" s="271"/>
      <c r="GNA136" s="271"/>
      <c r="GNB136" s="271"/>
      <c r="GNC136" s="271"/>
      <c r="GND136" s="271"/>
      <c r="GNE136" s="271"/>
      <c r="GNF136" s="271"/>
      <c r="GNG136" s="271"/>
      <c r="GNH136" s="271"/>
      <c r="GNI136" s="271"/>
      <c r="GNJ136" s="271"/>
      <c r="GNK136" s="271"/>
      <c r="GNL136" s="271"/>
      <c r="GNM136" s="271"/>
      <c r="GNN136" s="271"/>
      <c r="GNO136" s="271"/>
      <c r="GNP136" s="271"/>
      <c r="GNQ136" s="271"/>
      <c r="GNR136" s="271"/>
      <c r="GNS136" s="271"/>
      <c r="GNT136" s="271"/>
      <c r="GNU136" s="271"/>
      <c r="GNV136" s="271"/>
      <c r="GNW136" s="271"/>
      <c r="GNX136" s="271"/>
      <c r="GNY136" s="271"/>
      <c r="GNZ136" s="271"/>
      <c r="GOA136" s="271"/>
      <c r="GOB136" s="271"/>
      <c r="GOC136" s="271"/>
      <c r="GOD136" s="271"/>
      <c r="GOE136" s="271"/>
      <c r="GOF136" s="271"/>
      <c r="GOG136" s="271"/>
      <c r="GOH136" s="271"/>
      <c r="GOI136" s="271"/>
      <c r="GOJ136" s="271"/>
      <c r="GOK136" s="271"/>
      <c r="GOL136" s="271"/>
      <c r="GOM136" s="271"/>
      <c r="GON136" s="271"/>
      <c r="GOO136" s="271"/>
      <c r="GOP136" s="271"/>
      <c r="GOQ136" s="271"/>
      <c r="GOR136" s="271"/>
      <c r="GOS136" s="271"/>
      <c r="GOT136" s="271"/>
      <c r="GOU136" s="271"/>
      <c r="GOV136" s="271"/>
      <c r="GOW136" s="271"/>
      <c r="GOX136" s="271"/>
      <c r="GOY136" s="271"/>
      <c r="GOZ136" s="271"/>
      <c r="GPA136" s="271"/>
      <c r="GPB136" s="271"/>
      <c r="GPC136" s="271"/>
      <c r="GPD136" s="271"/>
      <c r="GPE136" s="271"/>
      <c r="GPF136" s="271"/>
      <c r="GPG136" s="271"/>
      <c r="GPH136" s="271"/>
      <c r="GPI136" s="271"/>
      <c r="GPJ136" s="271"/>
      <c r="GPK136" s="271"/>
      <c r="GPL136" s="271"/>
      <c r="GPM136" s="271"/>
      <c r="GPN136" s="271"/>
      <c r="GPO136" s="271"/>
      <c r="GPP136" s="271"/>
      <c r="GPQ136" s="271"/>
      <c r="GPR136" s="271"/>
      <c r="GPS136" s="271"/>
      <c r="GPT136" s="271"/>
      <c r="GPU136" s="271"/>
      <c r="GPV136" s="271"/>
      <c r="GPW136" s="271"/>
      <c r="GPX136" s="271"/>
      <c r="GPY136" s="271"/>
      <c r="GPZ136" s="271"/>
      <c r="GQA136" s="271"/>
      <c r="GQB136" s="271"/>
      <c r="GQC136" s="271"/>
      <c r="GQD136" s="271"/>
      <c r="GQE136" s="271"/>
      <c r="GQF136" s="271"/>
      <c r="GQG136" s="271"/>
      <c r="GQH136" s="271"/>
      <c r="GQI136" s="271"/>
      <c r="GQJ136" s="271"/>
      <c r="GQK136" s="271"/>
      <c r="GQL136" s="271"/>
      <c r="GQM136" s="271"/>
      <c r="GQN136" s="271"/>
      <c r="GQO136" s="271"/>
      <c r="GQP136" s="271"/>
      <c r="GQQ136" s="271"/>
      <c r="GQR136" s="271"/>
      <c r="GQS136" s="271"/>
      <c r="GQT136" s="271"/>
      <c r="GQU136" s="271"/>
      <c r="GQV136" s="271"/>
      <c r="GQW136" s="271"/>
      <c r="GQX136" s="271"/>
      <c r="GQY136" s="271"/>
      <c r="GQZ136" s="271"/>
      <c r="GRA136" s="271"/>
      <c r="GRB136" s="271"/>
      <c r="GRC136" s="271"/>
      <c r="GRD136" s="271"/>
      <c r="GRE136" s="271"/>
      <c r="GRF136" s="271"/>
      <c r="GRG136" s="271"/>
      <c r="GRH136" s="271"/>
      <c r="GRI136" s="271"/>
      <c r="GRJ136" s="271"/>
      <c r="GRK136" s="271"/>
      <c r="GRL136" s="271"/>
      <c r="GRM136" s="271"/>
      <c r="GRN136" s="271"/>
      <c r="GRO136" s="271"/>
      <c r="GRP136" s="271"/>
      <c r="GRQ136" s="271"/>
      <c r="GRR136" s="271"/>
      <c r="GRS136" s="271"/>
      <c r="GRT136" s="271"/>
      <c r="GRU136" s="271"/>
      <c r="GRV136" s="271"/>
      <c r="GRW136" s="271"/>
      <c r="GRX136" s="271"/>
      <c r="GRY136" s="271"/>
      <c r="GRZ136" s="271"/>
      <c r="GSA136" s="271"/>
      <c r="GSB136" s="271"/>
      <c r="GSC136" s="271"/>
      <c r="GSD136" s="271"/>
      <c r="GSE136" s="271"/>
      <c r="GSF136" s="271"/>
      <c r="GSG136" s="271"/>
      <c r="GSH136" s="271"/>
      <c r="GSI136" s="271"/>
      <c r="GSJ136" s="271"/>
      <c r="GSK136" s="271"/>
      <c r="GSL136" s="271"/>
      <c r="GSM136" s="271"/>
      <c r="GSN136" s="271"/>
      <c r="GSO136" s="271"/>
      <c r="GSP136" s="271"/>
      <c r="GSQ136" s="271"/>
      <c r="GSR136" s="271"/>
      <c r="GSS136" s="271"/>
      <c r="GST136" s="271"/>
      <c r="GSU136" s="271"/>
      <c r="GSV136" s="271"/>
      <c r="GSW136" s="271"/>
      <c r="GSX136" s="271"/>
      <c r="GSY136" s="271"/>
      <c r="GSZ136" s="271"/>
      <c r="GTA136" s="271"/>
      <c r="GTB136" s="271"/>
      <c r="GTC136" s="271"/>
      <c r="GTD136" s="271"/>
      <c r="GTE136" s="271"/>
      <c r="GTF136" s="271"/>
      <c r="GTG136" s="271"/>
      <c r="GTH136" s="271"/>
      <c r="GTI136" s="271"/>
      <c r="GTJ136" s="271"/>
      <c r="GTK136" s="271"/>
      <c r="GTL136" s="271"/>
      <c r="GTM136" s="271"/>
      <c r="GTN136" s="271"/>
      <c r="GTO136" s="271"/>
      <c r="GTP136" s="271"/>
      <c r="GTQ136" s="271"/>
      <c r="GTR136" s="271"/>
      <c r="GTS136" s="271"/>
      <c r="GTT136" s="271"/>
      <c r="GTU136" s="271"/>
      <c r="GTV136" s="271"/>
      <c r="GTW136" s="271"/>
      <c r="GTX136" s="271"/>
      <c r="GTY136" s="271"/>
      <c r="GTZ136" s="271"/>
      <c r="GUA136" s="271"/>
      <c r="GUB136" s="271"/>
      <c r="GUC136" s="271"/>
      <c r="GUD136" s="271"/>
      <c r="GUE136" s="271"/>
      <c r="GUF136" s="271"/>
      <c r="GUG136" s="271"/>
      <c r="GUH136" s="271"/>
      <c r="GUI136" s="271"/>
      <c r="GUJ136" s="271"/>
      <c r="GUK136" s="271"/>
      <c r="GUL136" s="271"/>
      <c r="GUM136" s="271"/>
      <c r="GUN136" s="271"/>
      <c r="GUO136" s="271"/>
      <c r="GUP136" s="271"/>
      <c r="GUQ136" s="271"/>
      <c r="GUR136" s="271"/>
      <c r="GUS136" s="271"/>
      <c r="GUT136" s="271"/>
      <c r="GUU136" s="271"/>
      <c r="GUV136" s="271"/>
      <c r="GUW136" s="271"/>
      <c r="GUX136" s="271"/>
      <c r="GUY136" s="271"/>
      <c r="GUZ136" s="271"/>
      <c r="GVA136" s="271"/>
      <c r="GVB136" s="271"/>
      <c r="GVC136" s="271"/>
      <c r="GVD136" s="271"/>
      <c r="GVE136" s="271"/>
      <c r="GVF136" s="271"/>
      <c r="GVG136" s="271"/>
      <c r="GVH136" s="271"/>
      <c r="GVI136" s="271"/>
      <c r="GVJ136" s="271"/>
      <c r="GVK136" s="271"/>
      <c r="GVL136" s="271"/>
      <c r="GVM136" s="271"/>
      <c r="GVN136" s="271"/>
      <c r="GVO136" s="271"/>
      <c r="GVP136" s="271"/>
      <c r="GVQ136" s="271"/>
      <c r="GVR136" s="271"/>
      <c r="GVS136" s="271"/>
      <c r="GVT136" s="271"/>
      <c r="GVU136" s="271"/>
      <c r="GVV136" s="271"/>
      <c r="GVW136" s="271"/>
      <c r="GVX136" s="271"/>
      <c r="GVY136" s="271"/>
      <c r="GVZ136" s="271"/>
      <c r="GWA136" s="271"/>
      <c r="GWB136" s="271"/>
      <c r="GWC136" s="271"/>
      <c r="GWD136" s="271"/>
      <c r="GWE136" s="271"/>
      <c r="GWF136" s="271"/>
      <c r="GWG136" s="271"/>
      <c r="GWH136" s="271"/>
      <c r="GWI136" s="271"/>
      <c r="GWJ136" s="271"/>
      <c r="GWK136" s="271"/>
      <c r="GWL136" s="271"/>
      <c r="GWM136" s="271"/>
      <c r="GWN136" s="271"/>
      <c r="GWO136" s="271"/>
      <c r="GWP136" s="271"/>
      <c r="GWQ136" s="271"/>
      <c r="GWR136" s="271"/>
      <c r="GWS136" s="271"/>
      <c r="GWT136" s="271"/>
      <c r="GWU136" s="271"/>
      <c r="GWV136" s="271"/>
      <c r="GWW136" s="271"/>
      <c r="GWX136" s="271"/>
      <c r="GWY136" s="271"/>
      <c r="GWZ136" s="271"/>
      <c r="GXA136" s="271"/>
      <c r="GXB136" s="271"/>
      <c r="GXC136" s="271"/>
      <c r="GXD136" s="271"/>
      <c r="GXE136" s="271"/>
      <c r="GXF136" s="271"/>
      <c r="GXG136" s="271"/>
      <c r="GXH136" s="271"/>
      <c r="GXI136" s="271"/>
      <c r="GXJ136" s="271"/>
      <c r="GXK136" s="271"/>
      <c r="GXL136" s="271"/>
      <c r="GXM136" s="271"/>
      <c r="GXN136" s="271"/>
      <c r="GXO136" s="271"/>
      <c r="GXP136" s="271"/>
      <c r="GXQ136" s="271"/>
      <c r="GXR136" s="271"/>
      <c r="GXS136" s="271"/>
      <c r="GXT136" s="271"/>
      <c r="GXU136" s="271"/>
      <c r="GXV136" s="271"/>
      <c r="GXW136" s="271"/>
      <c r="GXX136" s="271"/>
      <c r="GXY136" s="271"/>
      <c r="GXZ136" s="271"/>
      <c r="GYA136" s="271"/>
      <c r="GYB136" s="271"/>
      <c r="GYC136" s="271"/>
      <c r="GYD136" s="271"/>
      <c r="GYE136" s="271"/>
      <c r="GYF136" s="271"/>
      <c r="GYG136" s="271"/>
      <c r="GYH136" s="271"/>
      <c r="GYI136" s="271"/>
      <c r="GYJ136" s="271"/>
      <c r="GYK136" s="271"/>
      <c r="GYL136" s="271"/>
      <c r="GYM136" s="271"/>
      <c r="GYN136" s="271"/>
      <c r="GYO136" s="271"/>
      <c r="GYP136" s="271"/>
      <c r="GYQ136" s="271"/>
      <c r="GYR136" s="271"/>
      <c r="GYS136" s="271"/>
      <c r="GYT136" s="271"/>
      <c r="GYU136" s="271"/>
      <c r="GYV136" s="271"/>
      <c r="GYW136" s="271"/>
      <c r="GYX136" s="271"/>
      <c r="GYY136" s="271"/>
      <c r="GYZ136" s="271"/>
      <c r="GZA136" s="271"/>
      <c r="GZB136" s="271"/>
      <c r="GZC136" s="271"/>
      <c r="GZD136" s="271"/>
      <c r="GZE136" s="271"/>
      <c r="GZF136" s="271"/>
      <c r="GZG136" s="271"/>
      <c r="GZH136" s="271"/>
      <c r="GZI136" s="271"/>
      <c r="GZJ136" s="271"/>
      <c r="GZK136" s="271"/>
      <c r="GZL136" s="271"/>
      <c r="GZM136" s="271"/>
      <c r="GZN136" s="271"/>
      <c r="GZO136" s="271"/>
      <c r="GZP136" s="271"/>
      <c r="GZQ136" s="271"/>
      <c r="GZR136" s="271"/>
      <c r="GZS136" s="271"/>
      <c r="GZT136" s="271"/>
      <c r="GZU136" s="271"/>
      <c r="GZV136" s="271"/>
      <c r="GZW136" s="271"/>
      <c r="GZX136" s="271"/>
      <c r="GZY136" s="271"/>
      <c r="GZZ136" s="271"/>
      <c r="HAA136" s="271"/>
      <c r="HAB136" s="271"/>
      <c r="HAC136" s="271"/>
      <c r="HAD136" s="271"/>
      <c r="HAE136" s="271"/>
      <c r="HAF136" s="271"/>
      <c r="HAG136" s="271"/>
      <c r="HAH136" s="271"/>
      <c r="HAI136" s="271"/>
      <c r="HAJ136" s="271"/>
      <c r="HAK136" s="271"/>
      <c r="HAL136" s="271"/>
      <c r="HAM136" s="271"/>
      <c r="HAN136" s="271"/>
      <c r="HAO136" s="271"/>
      <c r="HAP136" s="271"/>
      <c r="HAQ136" s="271"/>
      <c r="HAR136" s="271"/>
      <c r="HAS136" s="271"/>
      <c r="HAT136" s="271"/>
      <c r="HAU136" s="271"/>
      <c r="HAV136" s="271"/>
      <c r="HAW136" s="271"/>
      <c r="HAX136" s="271"/>
      <c r="HAY136" s="271"/>
      <c r="HAZ136" s="271"/>
      <c r="HBA136" s="271"/>
      <c r="HBB136" s="271"/>
      <c r="HBC136" s="271"/>
      <c r="HBD136" s="271"/>
      <c r="HBE136" s="271"/>
      <c r="HBF136" s="271"/>
      <c r="HBG136" s="271"/>
      <c r="HBH136" s="271"/>
      <c r="HBI136" s="271"/>
      <c r="HBJ136" s="271"/>
      <c r="HBK136" s="271"/>
      <c r="HBL136" s="271"/>
      <c r="HBM136" s="271"/>
      <c r="HBN136" s="271"/>
      <c r="HBO136" s="271"/>
      <c r="HBP136" s="271"/>
      <c r="HBQ136" s="271"/>
      <c r="HBR136" s="271"/>
      <c r="HBS136" s="271"/>
      <c r="HBT136" s="271"/>
      <c r="HBU136" s="271"/>
      <c r="HBV136" s="271"/>
      <c r="HBW136" s="271"/>
      <c r="HBX136" s="271"/>
      <c r="HBY136" s="271"/>
      <c r="HBZ136" s="271"/>
      <c r="HCA136" s="271"/>
      <c r="HCB136" s="271"/>
      <c r="HCC136" s="271"/>
      <c r="HCD136" s="271"/>
      <c r="HCE136" s="271"/>
      <c r="HCF136" s="271"/>
      <c r="HCG136" s="271"/>
      <c r="HCH136" s="271"/>
      <c r="HCI136" s="271"/>
      <c r="HCJ136" s="271"/>
      <c r="HCK136" s="271"/>
      <c r="HCL136" s="271"/>
      <c r="HCM136" s="271"/>
      <c r="HCN136" s="271"/>
      <c r="HCO136" s="271"/>
      <c r="HCP136" s="271"/>
      <c r="HCQ136" s="271"/>
      <c r="HCR136" s="271"/>
      <c r="HCS136" s="271"/>
      <c r="HCT136" s="271"/>
      <c r="HCU136" s="271"/>
      <c r="HCV136" s="271"/>
      <c r="HCW136" s="271"/>
      <c r="HCX136" s="271"/>
      <c r="HCY136" s="271"/>
      <c r="HCZ136" s="271"/>
      <c r="HDA136" s="271"/>
      <c r="HDB136" s="271"/>
      <c r="HDC136" s="271"/>
      <c r="HDD136" s="271"/>
      <c r="HDE136" s="271"/>
      <c r="HDF136" s="271"/>
      <c r="HDG136" s="271"/>
      <c r="HDH136" s="271"/>
      <c r="HDI136" s="271"/>
      <c r="HDJ136" s="271"/>
      <c r="HDK136" s="271"/>
      <c r="HDL136" s="271"/>
      <c r="HDM136" s="271"/>
      <c r="HDN136" s="271"/>
      <c r="HDO136" s="271"/>
      <c r="HDP136" s="271"/>
      <c r="HDQ136" s="271"/>
      <c r="HDR136" s="271"/>
      <c r="HDS136" s="271"/>
      <c r="HDT136" s="271"/>
      <c r="HDU136" s="271"/>
      <c r="HDV136" s="271"/>
      <c r="HDW136" s="271"/>
      <c r="HDX136" s="271"/>
      <c r="HDY136" s="271"/>
      <c r="HDZ136" s="271"/>
      <c r="HEA136" s="271"/>
      <c r="HEB136" s="271"/>
      <c r="HEC136" s="271"/>
      <c r="HED136" s="271"/>
      <c r="HEE136" s="271"/>
      <c r="HEF136" s="271"/>
      <c r="HEG136" s="271"/>
      <c r="HEH136" s="271"/>
      <c r="HEI136" s="271"/>
      <c r="HEJ136" s="271"/>
      <c r="HEK136" s="271"/>
      <c r="HEL136" s="271"/>
      <c r="HEM136" s="271"/>
      <c r="HEN136" s="271"/>
      <c r="HEO136" s="271"/>
      <c r="HEP136" s="271"/>
      <c r="HEQ136" s="271"/>
      <c r="HER136" s="271"/>
      <c r="HES136" s="271"/>
      <c r="HET136" s="271"/>
      <c r="HEU136" s="271"/>
      <c r="HEV136" s="271"/>
      <c r="HEW136" s="271"/>
      <c r="HEX136" s="271"/>
      <c r="HEY136" s="271"/>
      <c r="HEZ136" s="271"/>
      <c r="HFA136" s="271"/>
      <c r="HFB136" s="271"/>
      <c r="HFC136" s="271"/>
      <c r="HFD136" s="271"/>
      <c r="HFE136" s="271"/>
      <c r="HFF136" s="271"/>
      <c r="HFG136" s="271"/>
      <c r="HFH136" s="271"/>
      <c r="HFI136" s="271"/>
      <c r="HFJ136" s="271"/>
      <c r="HFK136" s="271"/>
      <c r="HFL136" s="271"/>
      <c r="HFM136" s="271"/>
      <c r="HFN136" s="271"/>
      <c r="HFO136" s="271"/>
      <c r="HFP136" s="271"/>
      <c r="HFQ136" s="271"/>
      <c r="HFR136" s="271"/>
      <c r="HFS136" s="271"/>
      <c r="HFT136" s="271"/>
      <c r="HFU136" s="271"/>
      <c r="HFV136" s="271"/>
      <c r="HFW136" s="271"/>
      <c r="HFX136" s="271"/>
      <c r="HFY136" s="271"/>
      <c r="HFZ136" s="271"/>
      <c r="HGA136" s="271"/>
      <c r="HGB136" s="271"/>
      <c r="HGC136" s="271"/>
      <c r="HGD136" s="271"/>
      <c r="HGE136" s="271"/>
      <c r="HGF136" s="271"/>
      <c r="HGG136" s="271"/>
      <c r="HGH136" s="271"/>
      <c r="HGI136" s="271"/>
      <c r="HGJ136" s="271"/>
      <c r="HGK136" s="271"/>
      <c r="HGL136" s="271"/>
      <c r="HGM136" s="271"/>
      <c r="HGN136" s="271"/>
      <c r="HGO136" s="271"/>
      <c r="HGP136" s="271"/>
      <c r="HGQ136" s="271"/>
      <c r="HGR136" s="271"/>
      <c r="HGS136" s="271"/>
      <c r="HGT136" s="271"/>
      <c r="HGU136" s="271"/>
      <c r="HGV136" s="271"/>
      <c r="HGW136" s="271"/>
      <c r="HGX136" s="271"/>
      <c r="HGY136" s="271"/>
      <c r="HGZ136" s="271"/>
      <c r="HHA136" s="271"/>
      <c r="HHB136" s="271"/>
      <c r="HHC136" s="271"/>
      <c r="HHD136" s="271"/>
      <c r="HHE136" s="271"/>
      <c r="HHF136" s="271"/>
      <c r="HHG136" s="271"/>
      <c r="HHH136" s="271"/>
      <c r="HHI136" s="271"/>
      <c r="HHJ136" s="271"/>
      <c r="HHK136" s="271"/>
      <c r="HHL136" s="271"/>
      <c r="HHM136" s="271"/>
      <c r="HHN136" s="271"/>
      <c r="HHO136" s="271"/>
      <c r="HHP136" s="271"/>
      <c r="HHQ136" s="271"/>
      <c r="HHR136" s="271"/>
      <c r="HHS136" s="271"/>
      <c r="HHT136" s="271"/>
      <c r="HHU136" s="271"/>
      <c r="HHV136" s="271"/>
      <c r="HHW136" s="271"/>
      <c r="HHX136" s="271"/>
      <c r="HHY136" s="271"/>
      <c r="HHZ136" s="271"/>
      <c r="HIA136" s="271"/>
      <c r="HIB136" s="271"/>
      <c r="HIC136" s="271"/>
      <c r="HID136" s="271"/>
      <c r="HIE136" s="271"/>
      <c r="HIF136" s="271"/>
      <c r="HIG136" s="271"/>
      <c r="HIH136" s="271"/>
      <c r="HII136" s="271"/>
      <c r="HIJ136" s="271"/>
      <c r="HIK136" s="271"/>
      <c r="HIL136" s="271"/>
      <c r="HIM136" s="271"/>
      <c r="HIN136" s="271"/>
      <c r="HIO136" s="271"/>
      <c r="HIP136" s="271"/>
      <c r="HIQ136" s="271"/>
      <c r="HIR136" s="271"/>
      <c r="HIS136" s="271"/>
      <c r="HIT136" s="271"/>
      <c r="HIU136" s="271"/>
      <c r="HIV136" s="271"/>
      <c r="HIW136" s="271"/>
      <c r="HIX136" s="271"/>
      <c r="HIY136" s="271"/>
      <c r="HIZ136" s="271"/>
      <c r="HJA136" s="271"/>
      <c r="HJB136" s="271"/>
      <c r="HJC136" s="271"/>
      <c r="HJD136" s="271"/>
      <c r="HJE136" s="271"/>
      <c r="HJF136" s="271"/>
      <c r="HJG136" s="271"/>
      <c r="HJH136" s="271"/>
      <c r="HJI136" s="271"/>
      <c r="HJJ136" s="271"/>
      <c r="HJK136" s="271"/>
      <c r="HJL136" s="271"/>
      <c r="HJM136" s="271"/>
      <c r="HJN136" s="271"/>
      <c r="HJO136" s="271"/>
      <c r="HJP136" s="271"/>
      <c r="HJQ136" s="271"/>
      <c r="HJR136" s="271"/>
      <c r="HJS136" s="271"/>
      <c r="HJT136" s="271"/>
      <c r="HJU136" s="271"/>
      <c r="HJV136" s="271"/>
      <c r="HJW136" s="271"/>
      <c r="HJX136" s="271"/>
      <c r="HJY136" s="271"/>
      <c r="HJZ136" s="271"/>
      <c r="HKA136" s="271"/>
      <c r="HKB136" s="271"/>
      <c r="HKC136" s="271"/>
      <c r="HKD136" s="271"/>
      <c r="HKE136" s="271"/>
      <c r="HKF136" s="271"/>
      <c r="HKG136" s="271"/>
      <c r="HKH136" s="271"/>
      <c r="HKI136" s="271"/>
      <c r="HKJ136" s="271"/>
      <c r="HKK136" s="271"/>
      <c r="HKL136" s="271"/>
      <c r="HKM136" s="271"/>
      <c r="HKN136" s="271"/>
      <c r="HKO136" s="271"/>
      <c r="HKP136" s="271"/>
      <c r="HKQ136" s="271"/>
      <c r="HKR136" s="271"/>
      <c r="HKS136" s="271"/>
      <c r="HKT136" s="271"/>
      <c r="HKU136" s="271"/>
      <c r="HKV136" s="271"/>
      <c r="HKW136" s="271"/>
      <c r="HKX136" s="271"/>
      <c r="HKY136" s="271"/>
      <c r="HKZ136" s="271"/>
      <c r="HLA136" s="271"/>
      <c r="HLB136" s="271"/>
      <c r="HLC136" s="271"/>
      <c r="HLD136" s="271"/>
      <c r="HLE136" s="271"/>
      <c r="HLF136" s="271"/>
      <c r="HLG136" s="271"/>
      <c r="HLH136" s="271"/>
      <c r="HLI136" s="271"/>
      <c r="HLJ136" s="271"/>
      <c r="HLK136" s="271"/>
      <c r="HLL136" s="271"/>
      <c r="HLM136" s="271"/>
      <c r="HLN136" s="271"/>
      <c r="HLO136" s="271"/>
      <c r="HLP136" s="271"/>
      <c r="HLQ136" s="271"/>
      <c r="HLR136" s="271"/>
      <c r="HLS136" s="271"/>
      <c r="HLT136" s="271"/>
      <c r="HLU136" s="271"/>
      <c r="HLV136" s="271"/>
      <c r="HLW136" s="271"/>
      <c r="HLX136" s="271"/>
      <c r="HLY136" s="271"/>
      <c r="HLZ136" s="271"/>
      <c r="HMA136" s="271"/>
      <c r="HMB136" s="271"/>
      <c r="HMC136" s="271"/>
      <c r="HMD136" s="271"/>
      <c r="HME136" s="271"/>
      <c r="HMF136" s="271"/>
      <c r="HMG136" s="271"/>
      <c r="HMH136" s="271"/>
      <c r="HMI136" s="271"/>
      <c r="HMJ136" s="271"/>
      <c r="HMK136" s="271"/>
      <c r="HML136" s="271"/>
      <c r="HMM136" s="271"/>
      <c r="HMN136" s="271"/>
      <c r="HMO136" s="271"/>
      <c r="HMP136" s="271"/>
      <c r="HMQ136" s="271"/>
      <c r="HMR136" s="271"/>
      <c r="HMS136" s="271"/>
      <c r="HMT136" s="271"/>
      <c r="HMU136" s="271"/>
      <c r="HMV136" s="271"/>
      <c r="HMW136" s="271"/>
      <c r="HMX136" s="271"/>
      <c r="HMY136" s="271"/>
      <c r="HMZ136" s="271"/>
      <c r="HNA136" s="271"/>
      <c r="HNB136" s="271"/>
      <c r="HNC136" s="271"/>
      <c r="HND136" s="271"/>
      <c r="HNE136" s="271"/>
      <c r="HNF136" s="271"/>
      <c r="HNG136" s="271"/>
      <c r="HNH136" s="271"/>
      <c r="HNI136" s="271"/>
      <c r="HNJ136" s="271"/>
      <c r="HNK136" s="271"/>
      <c r="HNL136" s="271"/>
      <c r="HNM136" s="271"/>
      <c r="HNN136" s="271"/>
      <c r="HNO136" s="271"/>
      <c r="HNP136" s="271"/>
      <c r="HNQ136" s="271"/>
      <c r="HNR136" s="271"/>
      <c r="HNS136" s="271"/>
      <c r="HNT136" s="271"/>
      <c r="HNU136" s="271"/>
      <c r="HNV136" s="271"/>
      <c r="HNW136" s="271"/>
      <c r="HNX136" s="271"/>
      <c r="HNY136" s="271"/>
      <c r="HNZ136" s="271"/>
      <c r="HOA136" s="271"/>
      <c r="HOB136" s="271"/>
      <c r="HOC136" s="271"/>
      <c r="HOD136" s="271"/>
      <c r="HOE136" s="271"/>
      <c r="HOF136" s="271"/>
      <c r="HOG136" s="271"/>
      <c r="HOH136" s="271"/>
      <c r="HOI136" s="271"/>
      <c r="HOJ136" s="271"/>
      <c r="HOK136" s="271"/>
      <c r="HOL136" s="271"/>
      <c r="HOM136" s="271"/>
      <c r="HON136" s="271"/>
      <c r="HOO136" s="271"/>
      <c r="HOP136" s="271"/>
      <c r="HOQ136" s="271"/>
      <c r="HOR136" s="271"/>
      <c r="HOS136" s="271"/>
      <c r="HOT136" s="271"/>
      <c r="HOU136" s="271"/>
      <c r="HOV136" s="271"/>
      <c r="HOW136" s="271"/>
      <c r="HOX136" s="271"/>
      <c r="HOY136" s="271"/>
      <c r="HOZ136" s="271"/>
      <c r="HPA136" s="271"/>
      <c r="HPB136" s="271"/>
      <c r="HPC136" s="271"/>
      <c r="HPD136" s="271"/>
      <c r="HPE136" s="271"/>
      <c r="HPF136" s="271"/>
      <c r="HPG136" s="271"/>
      <c r="HPH136" s="271"/>
      <c r="HPI136" s="271"/>
      <c r="HPJ136" s="271"/>
      <c r="HPK136" s="271"/>
      <c r="HPL136" s="271"/>
      <c r="HPM136" s="271"/>
      <c r="HPN136" s="271"/>
      <c r="HPO136" s="271"/>
      <c r="HPP136" s="271"/>
      <c r="HPQ136" s="271"/>
      <c r="HPR136" s="271"/>
      <c r="HPS136" s="271"/>
      <c r="HPT136" s="271"/>
      <c r="HPU136" s="271"/>
      <c r="HPV136" s="271"/>
      <c r="HPW136" s="271"/>
      <c r="HPX136" s="271"/>
      <c r="HPY136" s="271"/>
      <c r="HPZ136" s="271"/>
      <c r="HQA136" s="271"/>
      <c r="HQB136" s="271"/>
      <c r="HQC136" s="271"/>
      <c r="HQD136" s="271"/>
      <c r="HQE136" s="271"/>
      <c r="HQF136" s="271"/>
      <c r="HQG136" s="271"/>
      <c r="HQH136" s="271"/>
      <c r="HQI136" s="271"/>
      <c r="HQJ136" s="271"/>
      <c r="HQK136" s="271"/>
      <c r="HQL136" s="271"/>
      <c r="HQM136" s="271"/>
      <c r="HQN136" s="271"/>
      <c r="HQO136" s="271"/>
      <c r="HQP136" s="271"/>
      <c r="HQQ136" s="271"/>
      <c r="HQR136" s="271"/>
      <c r="HQS136" s="271"/>
      <c r="HQT136" s="271"/>
      <c r="HQU136" s="271"/>
      <c r="HQV136" s="271"/>
      <c r="HQW136" s="271"/>
      <c r="HQX136" s="271"/>
      <c r="HQY136" s="271"/>
      <c r="HQZ136" s="271"/>
      <c r="HRA136" s="271"/>
      <c r="HRB136" s="271"/>
      <c r="HRC136" s="271"/>
      <c r="HRD136" s="271"/>
      <c r="HRE136" s="271"/>
      <c r="HRF136" s="271"/>
      <c r="HRG136" s="271"/>
      <c r="HRH136" s="271"/>
      <c r="HRI136" s="271"/>
      <c r="HRJ136" s="271"/>
      <c r="HRK136" s="271"/>
      <c r="HRL136" s="271"/>
      <c r="HRM136" s="271"/>
      <c r="HRN136" s="271"/>
      <c r="HRO136" s="271"/>
      <c r="HRP136" s="271"/>
      <c r="HRQ136" s="271"/>
      <c r="HRR136" s="271"/>
      <c r="HRS136" s="271"/>
      <c r="HRT136" s="271"/>
      <c r="HRU136" s="271"/>
      <c r="HRV136" s="271"/>
      <c r="HRW136" s="271"/>
      <c r="HRX136" s="271"/>
      <c r="HRY136" s="271"/>
      <c r="HRZ136" s="271"/>
      <c r="HSA136" s="271"/>
      <c r="HSB136" s="271"/>
      <c r="HSC136" s="271"/>
      <c r="HSD136" s="271"/>
      <c r="HSE136" s="271"/>
      <c r="HSF136" s="271"/>
      <c r="HSG136" s="271"/>
      <c r="HSH136" s="271"/>
      <c r="HSI136" s="271"/>
      <c r="HSJ136" s="271"/>
      <c r="HSK136" s="271"/>
      <c r="HSL136" s="271"/>
      <c r="HSM136" s="271"/>
      <c r="HSN136" s="271"/>
      <c r="HSO136" s="271"/>
      <c r="HSP136" s="271"/>
      <c r="HSQ136" s="271"/>
      <c r="HSR136" s="271"/>
      <c r="HSS136" s="271"/>
      <c r="HST136" s="271"/>
      <c r="HSU136" s="271"/>
      <c r="HSV136" s="271"/>
      <c r="HSW136" s="271"/>
      <c r="HSX136" s="271"/>
      <c r="HSY136" s="271"/>
      <c r="HSZ136" s="271"/>
      <c r="HTA136" s="271"/>
      <c r="HTB136" s="271"/>
      <c r="HTC136" s="271"/>
      <c r="HTD136" s="271"/>
      <c r="HTE136" s="271"/>
      <c r="HTF136" s="271"/>
      <c r="HTG136" s="271"/>
      <c r="HTH136" s="271"/>
      <c r="HTI136" s="271"/>
      <c r="HTJ136" s="271"/>
      <c r="HTK136" s="271"/>
      <c r="HTL136" s="271"/>
      <c r="HTM136" s="271"/>
      <c r="HTN136" s="271"/>
      <c r="HTO136" s="271"/>
      <c r="HTP136" s="271"/>
      <c r="HTQ136" s="271"/>
      <c r="HTR136" s="271"/>
      <c r="HTS136" s="271"/>
      <c r="HTT136" s="271"/>
      <c r="HTU136" s="271"/>
      <c r="HTV136" s="271"/>
      <c r="HTW136" s="271"/>
      <c r="HTX136" s="271"/>
      <c r="HTY136" s="271"/>
      <c r="HTZ136" s="271"/>
      <c r="HUA136" s="271"/>
      <c r="HUB136" s="271"/>
      <c r="HUC136" s="271"/>
      <c r="HUD136" s="271"/>
      <c r="HUE136" s="271"/>
      <c r="HUF136" s="271"/>
      <c r="HUG136" s="271"/>
      <c r="HUH136" s="271"/>
      <c r="HUI136" s="271"/>
      <c r="HUJ136" s="271"/>
      <c r="HUK136" s="271"/>
      <c r="HUL136" s="271"/>
      <c r="HUM136" s="271"/>
      <c r="HUN136" s="271"/>
      <c r="HUO136" s="271"/>
      <c r="HUP136" s="271"/>
      <c r="HUQ136" s="271"/>
      <c r="HUR136" s="271"/>
      <c r="HUS136" s="271"/>
      <c r="HUT136" s="271"/>
      <c r="HUU136" s="271"/>
      <c r="HUV136" s="271"/>
      <c r="HUW136" s="271"/>
      <c r="HUX136" s="271"/>
      <c r="HUY136" s="271"/>
      <c r="HUZ136" s="271"/>
      <c r="HVA136" s="271"/>
      <c r="HVB136" s="271"/>
      <c r="HVC136" s="271"/>
      <c r="HVD136" s="271"/>
      <c r="HVE136" s="271"/>
      <c r="HVF136" s="271"/>
      <c r="HVG136" s="271"/>
      <c r="HVH136" s="271"/>
      <c r="HVI136" s="271"/>
      <c r="HVJ136" s="271"/>
      <c r="HVK136" s="271"/>
      <c r="HVL136" s="271"/>
      <c r="HVM136" s="271"/>
      <c r="HVN136" s="271"/>
      <c r="HVO136" s="271"/>
      <c r="HVP136" s="271"/>
      <c r="HVQ136" s="271"/>
      <c r="HVR136" s="271"/>
      <c r="HVS136" s="271"/>
      <c r="HVT136" s="271"/>
      <c r="HVU136" s="271"/>
      <c r="HVV136" s="271"/>
      <c r="HVW136" s="271"/>
      <c r="HVX136" s="271"/>
      <c r="HVY136" s="271"/>
      <c r="HVZ136" s="271"/>
      <c r="HWA136" s="271"/>
      <c r="HWB136" s="271"/>
      <c r="HWC136" s="271"/>
      <c r="HWD136" s="271"/>
      <c r="HWE136" s="271"/>
      <c r="HWF136" s="271"/>
      <c r="HWG136" s="271"/>
      <c r="HWH136" s="271"/>
      <c r="HWI136" s="271"/>
      <c r="HWJ136" s="271"/>
      <c r="HWK136" s="271"/>
      <c r="HWL136" s="271"/>
      <c r="HWM136" s="271"/>
      <c r="HWN136" s="271"/>
      <c r="HWO136" s="271"/>
      <c r="HWP136" s="271"/>
      <c r="HWQ136" s="271"/>
      <c r="HWR136" s="271"/>
      <c r="HWS136" s="271"/>
      <c r="HWT136" s="271"/>
      <c r="HWU136" s="271"/>
      <c r="HWV136" s="271"/>
      <c r="HWW136" s="271"/>
      <c r="HWX136" s="271"/>
      <c r="HWY136" s="271"/>
      <c r="HWZ136" s="271"/>
      <c r="HXA136" s="271"/>
      <c r="HXB136" s="271"/>
      <c r="HXC136" s="271"/>
      <c r="HXD136" s="271"/>
      <c r="HXE136" s="271"/>
      <c r="HXF136" s="271"/>
      <c r="HXG136" s="271"/>
      <c r="HXH136" s="271"/>
      <c r="HXI136" s="271"/>
      <c r="HXJ136" s="271"/>
      <c r="HXK136" s="271"/>
      <c r="HXL136" s="271"/>
      <c r="HXM136" s="271"/>
      <c r="HXN136" s="271"/>
      <c r="HXO136" s="271"/>
      <c r="HXP136" s="271"/>
      <c r="HXQ136" s="271"/>
      <c r="HXR136" s="271"/>
      <c r="HXS136" s="271"/>
      <c r="HXT136" s="271"/>
      <c r="HXU136" s="271"/>
      <c r="HXV136" s="271"/>
      <c r="HXW136" s="271"/>
      <c r="HXX136" s="271"/>
      <c r="HXY136" s="271"/>
      <c r="HXZ136" s="271"/>
      <c r="HYA136" s="271"/>
      <c r="HYB136" s="271"/>
      <c r="HYC136" s="271"/>
      <c r="HYD136" s="271"/>
      <c r="HYE136" s="271"/>
      <c r="HYF136" s="271"/>
      <c r="HYG136" s="271"/>
      <c r="HYH136" s="271"/>
      <c r="HYI136" s="271"/>
      <c r="HYJ136" s="271"/>
      <c r="HYK136" s="271"/>
      <c r="HYL136" s="271"/>
      <c r="HYM136" s="271"/>
      <c r="HYN136" s="271"/>
      <c r="HYO136" s="271"/>
      <c r="HYP136" s="271"/>
      <c r="HYQ136" s="271"/>
      <c r="HYR136" s="271"/>
      <c r="HYS136" s="271"/>
      <c r="HYT136" s="271"/>
      <c r="HYU136" s="271"/>
      <c r="HYV136" s="271"/>
      <c r="HYW136" s="271"/>
      <c r="HYX136" s="271"/>
      <c r="HYY136" s="271"/>
      <c r="HYZ136" s="271"/>
      <c r="HZA136" s="271"/>
      <c r="HZB136" s="271"/>
      <c r="HZC136" s="271"/>
      <c r="HZD136" s="271"/>
      <c r="HZE136" s="271"/>
      <c r="HZF136" s="271"/>
      <c r="HZG136" s="271"/>
      <c r="HZH136" s="271"/>
      <c r="HZI136" s="271"/>
      <c r="HZJ136" s="271"/>
      <c r="HZK136" s="271"/>
      <c r="HZL136" s="271"/>
      <c r="HZM136" s="271"/>
      <c r="HZN136" s="271"/>
      <c r="HZO136" s="271"/>
      <c r="HZP136" s="271"/>
      <c r="HZQ136" s="271"/>
      <c r="HZR136" s="271"/>
      <c r="HZS136" s="271"/>
      <c r="HZT136" s="271"/>
      <c r="HZU136" s="271"/>
      <c r="HZV136" s="271"/>
      <c r="HZW136" s="271"/>
      <c r="HZX136" s="271"/>
      <c r="HZY136" s="271"/>
      <c r="HZZ136" s="271"/>
      <c r="IAA136" s="271"/>
      <c r="IAB136" s="271"/>
      <c r="IAC136" s="271"/>
      <c r="IAD136" s="271"/>
      <c r="IAE136" s="271"/>
      <c r="IAF136" s="271"/>
      <c r="IAG136" s="271"/>
      <c r="IAH136" s="271"/>
      <c r="IAI136" s="271"/>
      <c r="IAJ136" s="271"/>
      <c r="IAK136" s="271"/>
      <c r="IAL136" s="271"/>
      <c r="IAM136" s="271"/>
      <c r="IAN136" s="271"/>
      <c r="IAO136" s="271"/>
      <c r="IAP136" s="271"/>
      <c r="IAQ136" s="271"/>
      <c r="IAR136" s="271"/>
      <c r="IAS136" s="271"/>
      <c r="IAT136" s="271"/>
      <c r="IAU136" s="271"/>
      <c r="IAV136" s="271"/>
      <c r="IAW136" s="271"/>
      <c r="IAX136" s="271"/>
      <c r="IAY136" s="271"/>
      <c r="IAZ136" s="271"/>
      <c r="IBA136" s="271"/>
      <c r="IBB136" s="271"/>
      <c r="IBC136" s="271"/>
      <c r="IBD136" s="271"/>
      <c r="IBE136" s="271"/>
      <c r="IBF136" s="271"/>
      <c r="IBG136" s="271"/>
      <c r="IBH136" s="271"/>
      <c r="IBI136" s="271"/>
      <c r="IBJ136" s="271"/>
      <c r="IBK136" s="271"/>
      <c r="IBL136" s="271"/>
      <c r="IBM136" s="271"/>
      <c r="IBN136" s="271"/>
      <c r="IBO136" s="271"/>
      <c r="IBP136" s="271"/>
      <c r="IBQ136" s="271"/>
      <c r="IBR136" s="271"/>
      <c r="IBS136" s="271"/>
      <c r="IBT136" s="271"/>
      <c r="IBU136" s="271"/>
      <c r="IBV136" s="271"/>
      <c r="IBW136" s="271"/>
      <c r="IBX136" s="271"/>
      <c r="IBY136" s="271"/>
      <c r="IBZ136" s="271"/>
      <c r="ICA136" s="271"/>
      <c r="ICB136" s="271"/>
      <c r="ICC136" s="271"/>
      <c r="ICD136" s="271"/>
      <c r="ICE136" s="271"/>
      <c r="ICF136" s="271"/>
      <c r="ICG136" s="271"/>
      <c r="ICH136" s="271"/>
      <c r="ICI136" s="271"/>
      <c r="ICJ136" s="271"/>
      <c r="ICK136" s="271"/>
      <c r="ICL136" s="271"/>
      <c r="ICM136" s="271"/>
      <c r="ICN136" s="271"/>
      <c r="ICO136" s="271"/>
      <c r="ICP136" s="271"/>
      <c r="ICQ136" s="271"/>
      <c r="ICR136" s="271"/>
      <c r="ICS136" s="271"/>
      <c r="ICT136" s="271"/>
      <c r="ICU136" s="271"/>
      <c r="ICV136" s="271"/>
      <c r="ICW136" s="271"/>
      <c r="ICX136" s="271"/>
      <c r="ICY136" s="271"/>
      <c r="ICZ136" s="271"/>
      <c r="IDA136" s="271"/>
      <c r="IDB136" s="271"/>
      <c r="IDC136" s="271"/>
      <c r="IDD136" s="271"/>
      <c r="IDE136" s="271"/>
      <c r="IDF136" s="271"/>
      <c r="IDG136" s="271"/>
      <c r="IDH136" s="271"/>
      <c r="IDI136" s="271"/>
      <c r="IDJ136" s="271"/>
      <c r="IDK136" s="271"/>
      <c r="IDL136" s="271"/>
      <c r="IDM136" s="271"/>
      <c r="IDN136" s="271"/>
      <c r="IDO136" s="271"/>
      <c r="IDP136" s="271"/>
      <c r="IDQ136" s="271"/>
      <c r="IDR136" s="271"/>
      <c r="IDS136" s="271"/>
      <c r="IDT136" s="271"/>
      <c r="IDU136" s="271"/>
      <c r="IDV136" s="271"/>
      <c r="IDW136" s="271"/>
      <c r="IDX136" s="271"/>
      <c r="IDY136" s="271"/>
      <c r="IDZ136" s="271"/>
      <c r="IEA136" s="271"/>
      <c r="IEB136" s="271"/>
      <c r="IEC136" s="271"/>
      <c r="IED136" s="271"/>
      <c r="IEE136" s="271"/>
      <c r="IEF136" s="271"/>
      <c r="IEG136" s="271"/>
      <c r="IEH136" s="271"/>
      <c r="IEI136" s="271"/>
      <c r="IEJ136" s="271"/>
      <c r="IEK136" s="271"/>
      <c r="IEL136" s="271"/>
      <c r="IEM136" s="271"/>
      <c r="IEN136" s="271"/>
      <c r="IEO136" s="271"/>
      <c r="IEP136" s="271"/>
      <c r="IEQ136" s="271"/>
      <c r="IER136" s="271"/>
      <c r="IES136" s="271"/>
      <c r="IET136" s="271"/>
      <c r="IEU136" s="271"/>
      <c r="IEV136" s="271"/>
      <c r="IEW136" s="271"/>
      <c r="IEX136" s="271"/>
      <c r="IEY136" s="271"/>
      <c r="IEZ136" s="271"/>
      <c r="IFA136" s="271"/>
      <c r="IFB136" s="271"/>
      <c r="IFC136" s="271"/>
      <c r="IFD136" s="271"/>
      <c r="IFE136" s="271"/>
      <c r="IFF136" s="271"/>
      <c r="IFG136" s="271"/>
      <c r="IFH136" s="271"/>
      <c r="IFI136" s="271"/>
      <c r="IFJ136" s="271"/>
      <c r="IFK136" s="271"/>
      <c r="IFL136" s="271"/>
      <c r="IFM136" s="271"/>
      <c r="IFN136" s="271"/>
      <c r="IFO136" s="271"/>
      <c r="IFP136" s="271"/>
      <c r="IFQ136" s="271"/>
      <c r="IFR136" s="271"/>
      <c r="IFS136" s="271"/>
      <c r="IFT136" s="271"/>
      <c r="IFU136" s="271"/>
      <c r="IFV136" s="271"/>
      <c r="IFW136" s="271"/>
      <c r="IFX136" s="271"/>
      <c r="IFY136" s="271"/>
      <c r="IFZ136" s="271"/>
      <c r="IGA136" s="271"/>
      <c r="IGB136" s="271"/>
      <c r="IGC136" s="271"/>
      <c r="IGD136" s="271"/>
      <c r="IGE136" s="271"/>
      <c r="IGF136" s="271"/>
      <c r="IGG136" s="271"/>
      <c r="IGH136" s="271"/>
      <c r="IGI136" s="271"/>
      <c r="IGJ136" s="271"/>
      <c r="IGK136" s="271"/>
      <c r="IGL136" s="271"/>
      <c r="IGM136" s="271"/>
      <c r="IGN136" s="271"/>
      <c r="IGO136" s="271"/>
      <c r="IGP136" s="271"/>
      <c r="IGQ136" s="271"/>
      <c r="IGR136" s="271"/>
      <c r="IGS136" s="271"/>
      <c r="IGT136" s="271"/>
      <c r="IGU136" s="271"/>
      <c r="IGV136" s="271"/>
      <c r="IGW136" s="271"/>
      <c r="IGX136" s="271"/>
      <c r="IGY136" s="271"/>
      <c r="IGZ136" s="271"/>
      <c r="IHA136" s="271"/>
      <c r="IHB136" s="271"/>
      <c r="IHC136" s="271"/>
      <c r="IHD136" s="271"/>
      <c r="IHE136" s="271"/>
      <c r="IHF136" s="271"/>
      <c r="IHG136" s="271"/>
      <c r="IHH136" s="271"/>
      <c r="IHI136" s="271"/>
      <c r="IHJ136" s="271"/>
      <c r="IHK136" s="271"/>
      <c r="IHL136" s="271"/>
      <c r="IHM136" s="271"/>
      <c r="IHN136" s="271"/>
      <c r="IHO136" s="271"/>
      <c r="IHP136" s="271"/>
      <c r="IHQ136" s="271"/>
      <c r="IHR136" s="271"/>
      <c r="IHS136" s="271"/>
      <c r="IHT136" s="271"/>
      <c r="IHU136" s="271"/>
      <c r="IHV136" s="271"/>
      <c r="IHW136" s="271"/>
      <c r="IHX136" s="271"/>
      <c r="IHY136" s="271"/>
      <c r="IHZ136" s="271"/>
      <c r="IIA136" s="271"/>
      <c r="IIB136" s="271"/>
      <c r="IIC136" s="271"/>
      <c r="IID136" s="271"/>
      <c r="IIE136" s="271"/>
      <c r="IIF136" s="271"/>
      <c r="IIG136" s="271"/>
      <c r="IIH136" s="271"/>
      <c r="III136" s="271"/>
      <c r="IIJ136" s="271"/>
      <c r="IIK136" s="271"/>
      <c r="IIL136" s="271"/>
      <c r="IIM136" s="271"/>
      <c r="IIN136" s="271"/>
      <c r="IIO136" s="271"/>
      <c r="IIP136" s="271"/>
      <c r="IIQ136" s="271"/>
      <c r="IIR136" s="271"/>
      <c r="IIS136" s="271"/>
      <c r="IIT136" s="271"/>
      <c r="IIU136" s="271"/>
      <c r="IIV136" s="271"/>
      <c r="IIW136" s="271"/>
      <c r="IIX136" s="271"/>
      <c r="IIY136" s="271"/>
      <c r="IIZ136" s="271"/>
      <c r="IJA136" s="271"/>
      <c r="IJB136" s="271"/>
      <c r="IJC136" s="271"/>
      <c r="IJD136" s="271"/>
      <c r="IJE136" s="271"/>
      <c r="IJF136" s="271"/>
      <c r="IJG136" s="271"/>
      <c r="IJH136" s="271"/>
      <c r="IJI136" s="271"/>
      <c r="IJJ136" s="271"/>
      <c r="IJK136" s="271"/>
      <c r="IJL136" s="271"/>
      <c r="IJM136" s="271"/>
      <c r="IJN136" s="271"/>
      <c r="IJO136" s="271"/>
      <c r="IJP136" s="271"/>
      <c r="IJQ136" s="271"/>
      <c r="IJR136" s="271"/>
      <c r="IJS136" s="271"/>
      <c r="IJT136" s="271"/>
      <c r="IJU136" s="271"/>
      <c r="IJV136" s="271"/>
      <c r="IJW136" s="271"/>
      <c r="IJX136" s="271"/>
      <c r="IJY136" s="271"/>
      <c r="IJZ136" s="271"/>
      <c r="IKA136" s="271"/>
      <c r="IKB136" s="271"/>
      <c r="IKC136" s="271"/>
      <c r="IKD136" s="271"/>
      <c r="IKE136" s="271"/>
      <c r="IKF136" s="271"/>
      <c r="IKG136" s="271"/>
      <c r="IKH136" s="271"/>
      <c r="IKI136" s="271"/>
      <c r="IKJ136" s="271"/>
      <c r="IKK136" s="271"/>
      <c r="IKL136" s="271"/>
      <c r="IKM136" s="271"/>
      <c r="IKN136" s="271"/>
      <c r="IKO136" s="271"/>
      <c r="IKP136" s="271"/>
      <c r="IKQ136" s="271"/>
      <c r="IKR136" s="271"/>
      <c r="IKS136" s="271"/>
      <c r="IKT136" s="271"/>
      <c r="IKU136" s="271"/>
      <c r="IKV136" s="271"/>
      <c r="IKW136" s="271"/>
      <c r="IKX136" s="271"/>
      <c r="IKY136" s="271"/>
      <c r="IKZ136" s="271"/>
      <c r="ILA136" s="271"/>
      <c r="ILB136" s="271"/>
      <c r="ILC136" s="271"/>
      <c r="ILD136" s="271"/>
      <c r="ILE136" s="271"/>
      <c r="ILF136" s="271"/>
      <c r="ILG136" s="271"/>
      <c r="ILH136" s="271"/>
      <c r="ILI136" s="271"/>
      <c r="ILJ136" s="271"/>
      <c r="ILK136" s="271"/>
      <c r="ILL136" s="271"/>
      <c r="ILM136" s="271"/>
      <c r="ILN136" s="271"/>
      <c r="ILO136" s="271"/>
      <c r="ILP136" s="271"/>
      <c r="ILQ136" s="271"/>
      <c r="ILR136" s="271"/>
      <c r="ILS136" s="271"/>
      <c r="ILT136" s="271"/>
      <c r="ILU136" s="271"/>
      <c r="ILV136" s="271"/>
      <c r="ILW136" s="271"/>
      <c r="ILX136" s="271"/>
      <c r="ILY136" s="271"/>
      <c r="ILZ136" s="271"/>
      <c r="IMA136" s="271"/>
      <c r="IMB136" s="271"/>
      <c r="IMC136" s="271"/>
      <c r="IMD136" s="271"/>
      <c r="IME136" s="271"/>
      <c r="IMF136" s="271"/>
      <c r="IMG136" s="271"/>
      <c r="IMH136" s="271"/>
      <c r="IMI136" s="271"/>
      <c r="IMJ136" s="271"/>
      <c r="IMK136" s="271"/>
      <c r="IML136" s="271"/>
      <c r="IMM136" s="271"/>
      <c r="IMN136" s="271"/>
      <c r="IMO136" s="271"/>
      <c r="IMP136" s="271"/>
      <c r="IMQ136" s="271"/>
      <c r="IMR136" s="271"/>
      <c r="IMS136" s="271"/>
      <c r="IMT136" s="271"/>
      <c r="IMU136" s="271"/>
      <c r="IMV136" s="271"/>
      <c r="IMW136" s="271"/>
      <c r="IMX136" s="271"/>
      <c r="IMY136" s="271"/>
      <c r="IMZ136" s="271"/>
      <c r="INA136" s="271"/>
      <c r="INB136" s="271"/>
      <c r="INC136" s="271"/>
      <c r="IND136" s="271"/>
      <c r="INE136" s="271"/>
      <c r="INF136" s="271"/>
      <c r="ING136" s="271"/>
      <c r="INH136" s="271"/>
      <c r="INI136" s="271"/>
      <c r="INJ136" s="271"/>
      <c r="INK136" s="271"/>
      <c r="INL136" s="271"/>
      <c r="INM136" s="271"/>
      <c r="INN136" s="271"/>
      <c r="INO136" s="271"/>
      <c r="INP136" s="271"/>
      <c r="INQ136" s="271"/>
      <c r="INR136" s="271"/>
      <c r="INS136" s="271"/>
      <c r="INT136" s="271"/>
      <c r="INU136" s="271"/>
      <c r="INV136" s="271"/>
      <c r="INW136" s="271"/>
      <c r="INX136" s="271"/>
      <c r="INY136" s="271"/>
      <c r="INZ136" s="271"/>
      <c r="IOA136" s="271"/>
      <c r="IOB136" s="271"/>
      <c r="IOC136" s="271"/>
      <c r="IOD136" s="271"/>
      <c r="IOE136" s="271"/>
      <c r="IOF136" s="271"/>
      <c r="IOG136" s="271"/>
      <c r="IOH136" s="271"/>
      <c r="IOI136" s="271"/>
      <c r="IOJ136" s="271"/>
      <c r="IOK136" s="271"/>
      <c r="IOL136" s="271"/>
      <c r="IOM136" s="271"/>
      <c r="ION136" s="271"/>
      <c r="IOO136" s="271"/>
      <c r="IOP136" s="271"/>
      <c r="IOQ136" s="271"/>
      <c r="IOR136" s="271"/>
      <c r="IOS136" s="271"/>
      <c r="IOT136" s="271"/>
      <c r="IOU136" s="271"/>
      <c r="IOV136" s="271"/>
      <c r="IOW136" s="271"/>
      <c r="IOX136" s="271"/>
      <c r="IOY136" s="271"/>
      <c r="IOZ136" s="271"/>
      <c r="IPA136" s="271"/>
      <c r="IPB136" s="271"/>
      <c r="IPC136" s="271"/>
      <c r="IPD136" s="271"/>
      <c r="IPE136" s="271"/>
      <c r="IPF136" s="271"/>
      <c r="IPG136" s="271"/>
      <c r="IPH136" s="271"/>
      <c r="IPI136" s="271"/>
      <c r="IPJ136" s="271"/>
      <c r="IPK136" s="271"/>
      <c r="IPL136" s="271"/>
      <c r="IPM136" s="271"/>
      <c r="IPN136" s="271"/>
      <c r="IPO136" s="271"/>
      <c r="IPP136" s="271"/>
      <c r="IPQ136" s="271"/>
      <c r="IPR136" s="271"/>
      <c r="IPS136" s="271"/>
      <c r="IPT136" s="271"/>
      <c r="IPU136" s="271"/>
      <c r="IPV136" s="271"/>
      <c r="IPW136" s="271"/>
      <c r="IPX136" s="271"/>
      <c r="IPY136" s="271"/>
      <c r="IPZ136" s="271"/>
      <c r="IQA136" s="271"/>
      <c r="IQB136" s="271"/>
      <c r="IQC136" s="271"/>
      <c r="IQD136" s="271"/>
      <c r="IQE136" s="271"/>
      <c r="IQF136" s="271"/>
      <c r="IQG136" s="271"/>
      <c r="IQH136" s="271"/>
      <c r="IQI136" s="271"/>
      <c r="IQJ136" s="271"/>
      <c r="IQK136" s="271"/>
      <c r="IQL136" s="271"/>
      <c r="IQM136" s="271"/>
      <c r="IQN136" s="271"/>
      <c r="IQO136" s="271"/>
      <c r="IQP136" s="271"/>
      <c r="IQQ136" s="271"/>
      <c r="IQR136" s="271"/>
      <c r="IQS136" s="271"/>
      <c r="IQT136" s="271"/>
      <c r="IQU136" s="271"/>
      <c r="IQV136" s="271"/>
      <c r="IQW136" s="271"/>
      <c r="IQX136" s="271"/>
      <c r="IQY136" s="271"/>
      <c r="IQZ136" s="271"/>
      <c r="IRA136" s="271"/>
      <c r="IRB136" s="271"/>
      <c r="IRC136" s="271"/>
      <c r="IRD136" s="271"/>
      <c r="IRE136" s="271"/>
      <c r="IRF136" s="271"/>
      <c r="IRG136" s="271"/>
      <c r="IRH136" s="271"/>
      <c r="IRI136" s="271"/>
      <c r="IRJ136" s="271"/>
      <c r="IRK136" s="271"/>
      <c r="IRL136" s="271"/>
      <c r="IRM136" s="271"/>
      <c r="IRN136" s="271"/>
      <c r="IRO136" s="271"/>
      <c r="IRP136" s="271"/>
      <c r="IRQ136" s="271"/>
      <c r="IRR136" s="271"/>
      <c r="IRS136" s="271"/>
      <c r="IRT136" s="271"/>
      <c r="IRU136" s="271"/>
      <c r="IRV136" s="271"/>
      <c r="IRW136" s="271"/>
      <c r="IRX136" s="271"/>
      <c r="IRY136" s="271"/>
      <c r="IRZ136" s="271"/>
      <c r="ISA136" s="271"/>
      <c r="ISB136" s="271"/>
      <c r="ISC136" s="271"/>
      <c r="ISD136" s="271"/>
      <c r="ISE136" s="271"/>
      <c r="ISF136" s="271"/>
      <c r="ISG136" s="271"/>
      <c r="ISH136" s="271"/>
      <c r="ISI136" s="271"/>
      <c r="ISJ136" s="271"/>
      <c r="ISK136" s="271"/>
      <c r="ISL136" s="271"/>
      <c r="ISM136" s="271"/>
      <c r="ISN136" s="271"/>
      <c r="ISO136" s="271"/>
      <c r="ISP136" s="271"/>
      <c r="ISQ136" s="271"/>
      <c r="ISR136" s="271"/>
      <c r="ISS136" s="271"/>
      <c r="IST136" s="271"/>
      <c r="ISU136" s="271"/>
      <c r="ISV136" s="271"/>
      <c r="ISW136" s="271"/>
      <c r="ISX136" s="271"/>
      <c r="ISY136" s="271"/>
      <c r="ISZ136" s="271"/>
      <c r="ITA136" s="271"/>
      <c r="ITB136" s="271"/>
      <c r="ITC136" s="271"/>
      <c r="ITD136" s="271"/>
      <c r="ITE136" s="271"/>
      <c r="ITF136" s="271"/>
      <c r="ITG136" s="271"/>
      <c r="ITH136" s="271"/>
      <c r="ITI136" s="271"/>
      <c r="ITJ136" s="271"/>
      <c r="ITK136" s="271"/>
      <c r="ITL136" s="271"/>
      <c r="ITM136" s="271"/>
      <c r="ITN136" s="271"/>
      <c r="ITO136" s="271"/>
      <c r="ITP136" s="271"/>
      <c r="ITQ136" s="271"/>
      <c r="ITR136" s="271"/>
      <c r="ITS136" s="271"/>
      <c r="ITT136" s="271"/>
      <c r="ITU136" s="271"/>
      <c r="ITV136" s="271"/>
      <c r="ITW136" s="271"/>
      <c r="ITX136" s="271"/>
      <c r="ITY136" s="271"/>
      <c r="ITZ136" s="271"/>
      <c r="IUA136" s="271"/>
      <c r="IUB136" s="271"/>
      <c r="IUC136" s="271"/>
      <c r="IUD136" s="271"/>
      <c r="IUE136" s="271"/>
      <c r="IUF136" s="271"/>
      <c r="IUG136" s="271"/>
      <c r="IUH136" s="271"/>
      <c r="IUI136" s="271"/>
      <c r="IUJ136" s="271"/>
      <c r="IUK136" s="271"/>
      <c r="IUL136" s="271"/>
      <c r="IUM136" s="271"/>
      <c r="IUN136" s="271"/>
      <c r="IUO136" s="271"/>
      <c r="IUP136" s="271"/>
      <c r="IUQ136" s="271"/>
      <c r="IUR136" s="271"/>
      <c r="IUS136" s="271"/>
      <c r="IUT136" s="271"/>
      <c r="IUU136" s="271"/>
      <c r="IUV136" s="271"/>
      <c r="IUW136" s="271"/>
      <c r="IUX136" s="271"/>
      <c r="IUY136" s="271"/>
      <c r="IUZ136" s="271"/>
      <c r="IVA136" s="271"/>
      <c r="IVB136" s="271"/>
      <c r="IVC136" s="271"/>
      <c r="IVD136" s="271"/>
      <c r="IVE136" s="271"/>
      <c r="IVF136" s="271"/>
      <c r="IVG136" s="271"/>
      <c r="IVH136" s="271"/>
      <c r="IVI136" s="271"/>
      <c r="IVJ136" s="271"/>
      <c r="IVK136" s="271"/>
      <c r="IVL136" s="271"/>
      <c r="IVM136" s="271"/>
      <c r="IVN136" s="271"/>
      <c r="IVO136" s="271"/>
      <c r="IVP136" s="271"/>
      <c r="IVQ136" s="271"/>
      <c r="IVR136" s="271"/>
      <c r="IVS136" s="271"/>
      <c r="IVT136" s="271"/>
      <c r="IVU136" s="271"/>
      <c r="IVV136" s="271"/>
      <c r="IVW136" s="271"/>
      <c r="IVX136" s="271"/>
      <c r="IVY136" s="271"/>
      <c r="IVZ136" s="271"/>
      <c r="IWA136" s="271"/>
      <c r="IWB136" s="271"/>
      <c r="IWC136" s="271"/>
      <c r="IWD136" s="271"/>
      <c r="IWE136" s="271"/>
      <c r="IWF136" s="271"/>
      <c r="IWG136" s="271"/>
      <c r="IWH136" s="271"/>
      <c r="IWI136" s="271"/>
      <c r="IWJ136" s="271"/>
      <c r="IWK136" s="271"/>
      <c r="IWL136" s="271"/>
      <c r="IWM136" s="271"/>
      <c r="IWN136" s="271"/>
      <c r="IWO136" s="271"/>
      <c r="IWP136" s="271"/>
      <c r="IWQ136" s="271"/>
      <c r="IWR136" s="271"/>
      <c r="IWS136" s="271"/>
      <c r="IWT136" s="271"/>
      <c r="IWU136" s="271"/>
      <c r="IWV136" s="271"/>
      <c r="IWW136" s="271"/>
      <c r="IWX136" s="271"/>
      <c r="IWY136" s="271"/>
      <c r="IWZ136" s="271"/>
      <c r="IXA136" s="271"/>
      <c r="IXB136" s="271"/>
      <c r="IXC136" s="271"/>
      <c r="IXD136" s="271"/>
      <c r="IXE136" s="271"/>
      <c r="IXF136" s="271"/>
      <c r="IXG136" s="271"/>
      <c r="IXH136" s="271"/>
      <c r="IXI136" s="271"/>
      <c r="IXJ136" s="271"/>
      <c r="IXK136" s="271"/>
      <c r="IXL136" s="271"/>
      <c r="IXM136" s="271"/>
      <c r="IXN136" s="271"/>
      <c r="IXO136" s="271"/>
      <c r="IXP136" s="271"/>
      <c r="IXQ136" s="271"/>
      <c r="IXR136" s="271"/>
      <c r="IXS136" s="271"/>
      <c r="IXT136" s="271"/>
      <c r="IXU136" s="271"/>
      <c r="IXV136" s="271"/>
      <c r="IXW136" s="271"/>
      <c r="IXX136" s="271"/>
      <c r="IXY136" s="271"/>
      <c r="IXZ136" s="271"/>
      <c r="IYA136" s="271"/>
      <c r="IYB136" s="271"/>
      <c r="IYC136" s="271"/>
      <c r="IYD136" s="271"/>
      <c r="IYE136" s="271"/>
      <c r="IYF136" s="271"/>
      <c r="IYG136" s="271"/>
      <c r="IYH136" s="271"/>
      <c r="IYI136" s="271"/>
      <c r="IYJ136" s="271"/>
      <c r="IYK136" s="271"/>
      <c r="IYL136" s="271"/>
      <c r="IYM136" s="271"/>
      <c r="IYN136" s="271"/>
      <c r="IYO136" s="271"/>
      <c r="IYP136" s="271"/>
      <c r="IYQ136" s="271"/>
      <c r="IYR136" s="271"/>
      <c r="IYS136" s="271"/>
      <c r="IYT136" s="271"/>
      <c r="IYU136" s="271"/>
      <c r="IYV136" s="271"/>
      <c r="IYW136" s="271"/>
      <c r="IYX136" s="271"/>
      <c r="IYY136" s="271"/>
      <c r="IYZ136" s="271"/>
      <c r="IZA136" s="271"/>
      <c r="IZB136" s="271"/>
      <c r="IZC136" s="271"/>
      <c r="IZD136" s="271"/>
      <c r="IZE136" s="271"/>
      <c r="IZF136" s="271"/>
      <c r="IZG136" s="271"/>
      <c r="IZH136" s="271"/>
      <c r="IZI136" s="271"/>
      <c r="IZJ136" s="271"/>
      <c r="IZK136" s="271"/>
      <c r="IZL136" s="271"/>
      <c r="IZM136" s="271"/>
      <c r="IZN136" s="271"/>
      <c r="IZO136" s="271"/>
      <c r="IZP136" s="271"/>
      <c r="IZQ136" s="271"/>
      <c r="IZR136" s="271"/>
      <c r="IZS136" s="271"/>
      <c r="IZT136" s="271"/>
      <c r="IZU136" s="271"/>
      <c r="IZV136" s="271"/>
      <c r="IZW136" s="271"/>
      <c r="IZX136" s="271"/>
      <c r="IZY136" s="271"/>
      <c r="IZZ136" s="271"/>
      <c r="JAA136" s="271"/>
      <c r="JAB136" s="271"/>
      <c r="JAC136" s="271"/>
      <c r="JAD136" s="271"/>
      <c r="JAE136" s="271"/>
      <c r="JAF136" s="271"/>
      <c r="JAG136" s="271"/>
      <c r="JAH136" s="271"/>
      <c r="JAI136" s="271"/>
      <c r="JAJ136" s="271"/>
      <c r="JAK136" s="271"/>
      <c r="JAL136" s="271"/>
      <c r="JAM136" s="271"/>
      <c r="JAN136" s="271"/>
      <c r="JAO136" s="271"/>
      <c r="JAP136" s="271"/>
      <c r="JAQ136" s="271"/>
      <c r="JAR136" s="271"/>
      <c r="JAS136" s="271"/>
      <c r="JAT136" s="271"/>
      <c r="JAU136" s="271"/>
      <c r="JAV136" s="271"/>
      <c r="JAW136" s="271"/>
      <c r="JAX136" s="271"/>
      <c r="JAY136" s="271"/>
      <c r="JAZ136" s="271"/>
      <c r="JBA136" s="271"/>
      <c r="JBB136" s="271"/>
      <c r="JBC136" s="271"/>
      <c r="JBD136" s="271"/>
      <c r="JBE136" s="271"/>
      <c r="JBF136" s="271"/>
      <c r="JBG136" s="271"/>
      <c r="JBH136" s="271"/>
      <c r="JBI136" s="271"/>
      <c r="JBJ136" s="271"/>
      <c r="JBK136" s="271"/>
      <c r="JBL136" s="271"/>
      <c r="JBM136" s="271"/>
      <c r="JBN136" s="271"/>
      <c r="JBO136" s="271"/>
      <c r="JBP136" s="271"/>
      <c r="JBQ136" s="271"/>
      <c r="JBR136" s="271"/>
      <c r="JBS136" s="271"/>
      <c r="JBT136" s="271"/>
      <c r="JBU136" s="271"/>
      <c r="JBV136" s="271"/>
      <c r="JBW136" s="271"/>
      <c r="JBX136" s="271"/>
      <c r="JBY136" s="271"/>
      <c r="JBZ136" s="271"/>
      <c r="JCA136" s="271"/>
      <c r="JCB136" s="271"/>
      <c r="JCC136" s="271"/>
      <c r="JCD136" s="271"/>
      <c r="JCE136" s="271"/>
      <c r="JCF136" s="271"/>
      <c r="JCG136" s="271"/>
      <c r="JCH136" s="271"/>
      <c r="JCI136" s="271"/>
      <c r="JCJ136" s="271"/>
      <c r="JCK136" s="271"/>
      <c r="JCL136" s="271"/>
      <c r="JCM136" s="271"/>
      <c r="JCN136" s="271"/>
      <c r="JCO136" s="271"/>
      <c r="JCP136" s="271"/>
      <c r="JCQ136" s="271"/>
      <c r="JCR136" s="271"/>
      <c r="JCS136" s="271"/>
      <c r="JCT136" s="271"/>
      <c r="JCU136" s="271"/>
      <c r="JCV136" s="271"/>
      <c r="JCW136" s="271"/>
      <c r="JCX136" s="271"/>
      <c r="JCY136" s="271"/>
      <c r="JCZ136" s="271"/>
      <c r="JDA136" s="271"/>
      <c r="JDB136" s="271"/>
      <c r="JDC136" s="271"/>
      <c r="JDD136" s="271"/>
      <c r="JDE136" s="271"/>
      <c r="JDF136" s="271"/>
      <c r="JDG136" s="271"/>
      <c r="JDH136" s="271"/>
      <c r="JDI136" s="271"/>
      <c r="JDJ136" s="271"/>
      <c r="JDK136" s="271"/>
      <c r="JDL136" s="271"/>
      <c r="JDM136" s="271"/>
      <c r="JDN136" s="271"/>
      <c r="JDO136" s="271"/>
      <c r="JDP136" s="271"/>
      <c r="JDQ136" s="271"/>
      <c r="JDR136" s="271"/>
      <c r="JDS136" s="271"/>
      <c r="JDT136" s="271"/>
      <c r="JDU136" s="271"/>
      <c r="JDV136" s="271"/>
      <c r="JDW136" s="271"/>
      <c r="JDX136" s="271"/>
      <c r="JDY136" s="271"/>
      <c r="JDZ136" s="271"/>
      <c r="JEA136" s="271"/>
      <c r="JEB136" s="271"/>
      <c r="JEC136" s="271"/>
      <c r="JED136" s="271"/>
      <c r="JEE136" s="271"/>
      <c r="JEF136" s="271"/>
      <c r="JEG136" s="271"/>
      <c r="JEH136" s="271"/>
      <c r="JEI136" s="271"/>
      <c r="JEJ136" s="271"/>
      <c r="JEK136" s="271"/>
      <c r="JEL136" s="271"/>
      <c r="JEM136" s="271"/>
      <c r="JEN136" s="271"/>
      <c r="JEO136" s="271"/>
      <c r="JEP136" s="271"/>
      <c r="JEQ136" s="271"/>
      <c r="JER136" s="271"/>
      <c r="JES136" s="271"/>
      <c r="JET136" s="271"/>
      <c r="JEU136" s="271"/>
      <c r="JEV136" s="271"/>
      <c r="JEW136" s="271"/>
      <c r="JEX136" s="271"/>
      <c r="JEY136" s="271"/>
      <c r="JEZ136" s="271"/>
      <c r="JFA136" s="271"/>
      <c r="JFB136" s="271"/>
      <c r="JFC136" s="271"/>
      <c r="JFD136" s="271"/>
      <c r="JFE136" s="271"/>
      <c r="JFF136" s="271"/>
      <c r="JFG136" s="271"/>
      <c r="JFH136" s="271"/>
      <c r="JFI136" s="271"/>
      <c r="JFJ136" s="271"/>
      <c r="JFK136" s="271"/>
      <c r="JFL136" s="271"/>
      <c r="JFM136" s="271"/>
      <c r="JFN136" s="271"/>
      <c r="JFO136" s="271"/>
      <c r="JFP136" s="271"/>
      <c r="JFQ136" s="271"/>
      <c r="JFR136" s="271"/>
      <c r="JFS136" s="271"/>
      <c r="JFT136" s="271"/>
      <c r="JFU136" s="271"/>
      <c r="JFV136" s="271"/>
      <c r="JFW136" s="271"/>
      <c r="JFX136" s="271"/>
      <c r="JFY136" s="271"/>
      <c r="JFZ136" s="271"/>
      <c r="JGA136" s="271"/>
      <c r="JGB136" s="271"/>
      <c r="JGC136" s="271"/>
      <c r="JGD136" s="271"/>
      <c r="JGE136" s="271"/>
      <c r="JGF136" s="271"/>
      <c r="JGG136" s="271"/>
      <c r="JGH136" s="271"/>
      <c r="JGI136" s="271"/>
      <c r="JGJ136" s="271"/>
      <c r="JGK136" s="271"/>
      <c r="JGL136" s="271"/>
      <c r="JGM136" s="271"/>
      <c r="JGN136" s="271"/>
      <c r="JGO136" s="271"/>
      <c r="JGP136" s="271"/>
      <c r="JGQ136" s="271"/>
      <c r="JGR136" s="271"/>
      <c r="JGS136" s="271"/>
      <c r="JGT136" s="271"/>
      <c r="JGU136" s="271"/>
      <c r="JGV136" s="271"/>
      <c r="JGW136" s="271"/>
      <c r="JGX136" s="271"/>
      <c r="JGY136" s="271"/>
      <c r="JGZ136" s="271"/>
      <c r="JHA136" s="271"/>
      <c r="JHB136" s="271"/>
      <c r="JHC136" s="271"/>
      <c r="JHD136" s="271"/>
      <c r="JHE136" s="271"/>
      <c r="JHF136" s="271"/>
      <c r="JHG136" s="271"/>
      <c r="JHH136" s="271"/>
      <c r="JHI136" s="271"/>
      <c r="JHJ136" s="271"/>
      <c r="JHK136" s="271"/>
      <c r="JHL136" s="271"/>
      <c r="JHM136" s="271"/>
      <c r="JHN136" s="271"/>
      <c r="JHO136" s="271"/>
      <c r="JHP136" s="271"/>
      <c r="JHQ136" s="271"/>
      <c r="JHR136" s="271"/>
      <c r="JHS136" s="271"/>
      <c r="JHT136" s="271"/>
      <c r="JHU136" s="271"/>
      <c r="JHV136" s="271"/>
      <c r="JHW136" s="271"/>
      <c r="JHX136" s="271"/>
      <c r="JHY136" s="271"/>
      <c r="JHZ136" s="271"/>
      <c r="JIA136" s="271"/>
      <c r="JIB136" s="271"/>
      <c r="JIC136" s="271"/>
      <c r="JID136" s="271"/>
      <c r="JIE136" s="271"/>
      <c r="JIF136" s="271"/>
      <c r="JIG136" s="271"/>
      <c r="JIH136" s="271"/>
      <c r="JII136" s="271"/>
      <c r="JIJ136" s="271"/>
      <c r="JIK136" s="271"/>
      <c r="JIL136" s="271"/>
      <c r="JIM136" s="271"/>
      <c r="JIN136" s="271"/>
      <c r="JIO136" s="271"/>
      <c r="JIP136" s="271"/>
      <c r="JIQ136" s="271"/>
      <c r="JIR136" s="271"/>
      <c r="JIS136" s="271"/>
      <c r="JIT136" s="271"/>
      <c r="JIU136" s="271"/>
      <c r="JIV136" s="271"/>
      <c r="JIW136" s="271"/>
      <c r="JIX136" s="271"/>
      <c r="JIY136" s="271"/>
      <c r="JIZ136" s="271"/>
      <c r="JJA136" s="271"/>
      <c r="JJB136" s="271"/>
      <c r="JJC136" s="271"/>
      <c r="JJD136" s="271"/>
      <c r="JJE136" s="271"/>
      <c r="JJF136" s="271"/>
      <c r="JJG136" s="271"/>
      <c r="JJH136" s="271"/>
      <c r="JJI136" s="271"/>
      <c r="JJJ136" s="271"/>
      <c r="JJK136" s="271"/>
      <c r="JJL136" s="271"/>
      <c r="JJM136" s="271"/>
      <c r="JJN136" s="271"/>
      <c r="JJO136" s="271"/>
      <c r="JJP136" s="271"/>
      <c r="JJQ136" s="271"/>
      <c r="JJR136" s="271"/>
      <c r="JJS136" s="271"/>
      <c r="JJT136" s="271"/>
      <c r="JJU136" s="271"/>
      <c r="JJV136" s="271"/>
      <c r="JJW136" s="271"/>
      <c r="JJX136" s="271"/>
      <c r="JJY136" s="271"/>
      <c r="JJZ136" s="271"/>
      <c r="JKA136" s="271"/>
      <c r="JKB136" s="271"/>
      <c r="JKC136" s="271"/>
      <c r="JKD136" s="271"/>
      <c r="JKE136" s="271"/>
      <c r="JKF136" s="271"/>
      <c r="JKG136" s="271"/>
      <c r="JKH136" s="271"/>
      <c r="JKI136" s="271"/>
      <c r="JKJ136" s="271"/>
      <c r="JKK136" s="271"/>
      <c r="JKL136" s="271"/>
      <c r="JKM136" s="271"/>
      <c r="JKN136" s="271"/>
      <c r="JKO136" s="271"/>
      <c r="JKP136" s="271"/>
      <c r="JKQ136" s="271"/>
      <c r="JKR136" s="271"/>
      <c r="JKS136" s="271"/>
      <c r="JKT136" s="271"/>
      <c r="JKU136" s="271"/>
      <c r="JKV136" s="271"/>
      <c r="JKW136" s="271"/>
      <c r="JKX136" s="271"/>
      <c r="JKY136" s="271"/>
      <c r="JKZ136" s="271"/>
      <c r="JLA136" s="271"/>
      <c r="JLB136" s="271"/>
      <c r="JLC136" s="271"/>
      <c r="JLD136" s="271"/>
      <c r="JLE136" s="271"/>
      <c r="JLF136" s="271"/>
      <c r="JLG136" s="271"/>
      <c r="JLH136" s="271"/>
      <c r="JLI136" s="271"/>
      <c r="JLJ136" s="271"/>
      <c r="JLK136" s="271"/>
      <c r="JLL136" s="271"/>
      <c r="JLM136" s="271"/>
      <c r="JLN136" s="271"/>
      <c r="JLO136" s="271"/>
      <c r="JLP136" s="271"/>
      <c r="JLQ136" s="271"/>
      <c r="JLR136" s="271"/>
      <c r="JLS136" s="271"/>
      <c r="JLT136" s="271"/>
      <c r="JLU136" s="271"/>
      <c r="JLV136" s="271"/>
      <c r="JLW136" s="271"/>
      <c r="JLX136" s="271"/>
      <c r="JLY136" s="271"/>
      <c r="JLZ136" s="271"/>
      <c r="JMA136" s="271"/>
      <c r="JMB136" s="271"/>
      <c r="JMC136" s="271"/>
      <c r="JMD136" s="271"/>
      <c r="JME136" s="271"/>
      <c r="JMF136" s="271"/>
      <c r="JMG136" s="271"/>
      <c r="JMH136" s="271"/>
      <c r="JMI136" s="271"/>
      <c r="JMJ136" s="271"/>
      <c r="JMK136" s="271"/>
      <c r="JML136" s="271"/>
      <c r="JMM136" s="271"/>
      <c r="JMN136" s="271"/>
      <c r="JMO136" s="271"/>
      <c r="JMP136" s="271"/>
      <c r="JMQ136" s="271"/>
      <c r="JMR136" s="271"/>
      <c r="JMS136" s="271"/>
      <c r="JMT136" s="271"/>
      <c r="JMU136" s="271"/>
      <c r="JMV136" s="271"/>
      <c r="JMW136" s="271"/>
      <c r="JMX136" s="271"/>
      <c r="JMY136" s="271"/>
      <c r="JMZ136" s="271"/>
      <c r="JNA136" s="271"/>
      <c r="JNB136" s="271"/>
      <c r="JNC136" s="271"/>
      <c r="JND136" s="271"/>
      <c r="JNE136" s="271"/>
      <c r="JNF136" s="271"/>
      <c r="JNG136" s="271"/>
      <c r="JNH136" s="271"/>
      <c r="JNI136" s="271"/>
      <c r="JNJ136" s="271"/>
      <c r="JNK136" s="271"/>
      <c r="JNL136" s="271"/>
      <c r="JNM136" s="271"/>
      <c r="JNN136" s="271"/>
      <c r="JNO136" s="271"/>
      <c r="JNP136" s="271"/>
      <c r="JNQ136" s="271"/>
      <c r="JNR136" s="271"/>
      <c r="JNS136" s="271"/>
      <c r="JNT136" s="271"/>
      <c r="JNU136" s="271"/>
      <c r="JNV136" s="271"/>
      <c r="JNW136" s="271"/>
      <c r="JNX136" s="271"/>
      <c r="JNY136" s="271"/>
      <c r="JNZ136" s="271"/>
      <c r="JOA136" s="271"/>
      <c r="JOB136" s="271"/>
      <c r="JOC136" s="271"/>
      <c r="JOD136" s="271"/>
      <c r="JOE136" s="271"/>
      <c r="JOF136" s="271"/>
      <c r="JOG136" s="271"/>
      <c r="JOH136" s="271"/>
      <c r="JOI136" s="271"/>
      <c r="JOJ136" s="271"/>
      <c r="JOK136" s="271"/>
      <c r="JOL136" s="271"/>
      <c r="JOM136" s="271"/>
      <c r="JON136" s="271"/>
      <c r="JOO136" s="271"/>
      <c r="JOP136" s="271"/>
      <c r="JOQ136" s="271"/>
      <c r="JOR136" s="271"/>
      <c r="JOS136" s="271"/>
      <c r="JOT136" s="271"/>
      <c r="JOU136" s="271"/>
      <c r="JOV136" s="271"/>
      <c r="JOW136" s="271"/>
      <c r="JOX136" s="271"/>
      <c r="JOY136" s="271"/>
      <c r="JOZ136" s="271"/>
      <c r="JPA136" s="271"/>
      <c r="JPB136" s="271"/>
      <c r="JPC136" s="271"/>
      <c r="JPD136" s="271"/>
      <c r="JPE136" s="271"/>
      <c r="JPF136" s="271"/>
      <c r="JPG136" s="271"/>
      <c r="JPH136" s="271"/>
      <c r="JPI136" s="271"/>
      <c r="JPJ136" s="271"/>
      <c r="JPK136" s="271"/>
      <c r="JPL136" s="271"/>
      <c r="JPM136" s="271"/>
      <c r="JPN136" s="271"/>
      <c r="JPO136" s="271"/>
      <c r="JPP136" s="271"/>
      <c r="JPQ136" s="271"/>
      <c r="JPR136" s="271"/>
      <c r="JPS136" s="271"/>
      <c r="JPT136" s="271"/>
      <c r="JPU136" s="271"/>
      <c r="JPV136" s="271"/>
      <c r="JPW136" s="271"/>
      <c r="JPX136" s="271"/>
      <c r="JPY136" s="271"/>
      <c r="JPZ136" s="271"/>
      <c r="JQA136" s="271"/>
      <c r="JQB136" s="271"/>
      <c r="JQC136" s="271"/>
      <c r="JQD136" s="271"/>
      <c r="JQE136" s="271"/>
      <c r="JQF136" s="271"/>
      <c r="JQG136" s="271"/>
      <c r="JQH136" s="271"/>
      <c r="JQI136" s="271"/>
      <c r="JQJ136" s="271"/>
      <c r="JQK136" s="271"/>
      <c r="JQL136" s="271"/>
      <c r="JQM136" s="271"/>
      <c r="JQN136" s="271"/>
      <c r="JQO136" s="271"/>
      <c r="JQP136" s="271"/>
      <c r="JQQ136" s="271"/>
      <c r="JQR136" s="271"/>
      <c r="JQS136" s="271"/>
      <c r="JQT136" s="271"/>
      <c r="JQU136" s="271"/>
      <c r="JQV136" s="271"/>
      <c r="JQW136" s="271"/>
      <c r="JQX136" s="271"/>
      <c r="JQY136" s="271"/>
      <c r="JQZ136" s="271"/>
      <c r="JRA136" s="271"/>
      <c r="JRB136" s="271"/>
      <c r="JRC136" s="271"/>
      <c r="JRD136" s="271"/>
      <c r="JRE136" s="271"/>
      <c r="JRF136" s="271"/>
      <c r="JRG136" s="271"/>
      <c r="JRH136" s="271"/>
      <c r="JRI136" s="271"/>
      <c r="JRJ136" s="271"/>
      <c r="JRK136" s="271"/>
      <c r="JRL136" s="271"/>
      <c r="JRM136" s="271"/>
      <c r="JRN136" s="271"/>
      <c r="JRO136" s="271"/>
      <c r="JRP136" s="271"/>
      <c r="JRQ136" s="271"/>
      <c r="JRR136" s="271"/>
      <c r="JRS136" s="271"/>
      <c r="JRT136" s="271"/>
      <c r="JRU136" s="271"/>
      <c r="JRV136" s="271"/>
      <c r="JRW136" s="271"/>
      <c r="JRX136" s="271"/>
      <c r="JRY136" s="271"/>
      <c r="JRZ136" s="271"/>
      <c r="JSA136" s="271"/>
      <c r="JSB136" s="271"/>
      <c r="JSC136" s="271"/>
      <c r="JSD136" s="271"/>
      <c r="JSE136" s="271"/>
      <c r="JSF136" s="271"/>
      <c r="JSG136" s="271"/>
      <c r="JSH136" s="271"/>
      <c r="JSI136" s="271"/>
      <c r="JSJ136" s="271"/>
      <c r="JSK136" s="271"/>
      <c r="JSL136" s="271"/>
      <c r="JSM136" s="271"/>
      <c r="JSN136" s="271"/>
      <c r="JSO136" s="271"/>
      <c r="JSP136" s="271"/>
      <c r="JSQ136" s="271"/>
      <c r="JSR136" s="271"/>
      <c r="JSS136" s="271"/>
      <c r="JST136" s="271"/>
      <c r="JSU136" s="271"/>
      <c r="JSV136" s="271"/>
      <c r="JSW136" s="271"/>
      <c r="JSX136" s="271"/>
      <c r="JSY136" s="271"/>
      <c r="JSZ136" s="271"/>
      <c r="JTA136" s="271"/>
      <c r="JTB136" s="271"/>
      <c r="JTC136" s="271"/>
      <c r="JTD136" s="271"/>
      <c r="JTE136" s="271"/>
      <c r="JTF136" s="271"/>
      <c r="JTG136" s="271"/>
      <c r="JTH136" s="271"/>
      <c r="JTI136" s="271"/>
      <c r="JTJ136" s="271"/>
      <c r="JTK136" s="271"/>
      <c r="JTL136" s="271"/>
      <c r="JTM136" s="271"/>
      <c r="JTN136" s="271"/>
      <c r="JTO136" s="271"/>
      <c r="JTP136" s="271"/>
      <c r="JTQ136" s="271"/>
      <c r="JTR136" s="271"/>
      <c r="JTS136" s="271"/>
      <c r="JTT136" s="271"/>
      <c r="JTU136" s="271"/>
      <c r="JTV136" s="271"/>
      <c r="JTW136" s="271"/>
      <c r="JTX136" s="271"/>
      <c r="JTY136" s="271"/>
      <c r="JTZ136" s="271"/>
      <c r="JUA136" s="271"/>
      <c r="JUB136" s="271"/>
      <c r="JUC136" s="271"/>
      <c r="JUD136" s="271"/>
      <c r="JUE136" s="271"/>
      <c r="JUF136" s="271"/>
      <c r="JUG136" s="271"/>
      <c r="JUH136" s="271"/>
      <c r="JUI136" s="271"/>
      <c r="JUJ136" s="271"/>
      <c r="JUK136" s="271"/>
      <c r="JUL136" s="271"/>
      <c r="JUM136" s="271"/>
      <c r="JUN136" s="271"/>
      <c r="JUO136" s="271"/>
      <c r="JUP136" s="271"/>
      <c r="JUQ136" s="271"/>
      <c r="JUR136" s="271"/>
      <c r="JUS136" s="271"/>
      <c r="JUT136" s="271"/>
      <c r="JUU136" s="271"/>
      <c r="JUV136" s="271"/>
      <c r="JUW136" s="271"/>
      <c r="JUX136" s="271"/>
      <c r="JUY136" s="271"/>
      <c r="JUZ136" s="271"/>
      <c r="JVA136" s="271"/>
      <c r="JVB136" s="271"/>
      <c r="JVC136" s="271"/>
      <c r="JVD136" s="271"/>
      <c r="JVE136" s="271"/>
      <c r="JVF136" s="271"/>
      <c r="JVG136" s="271"/>
      <c r="JVH136" s="271"/>
      <c r="JVI136" s="271"/>
      <c r="JVJ136" s="271"/>
      <c r="JVK136" s="271"/>
      <c r="JVL136" s="271"/>
      <c r="JVM136" s="271"/>
      <c r="JVN136" s="271"/>
      <c r="JVO136" s="271"/>
      <c r="JVP136" s="271"/>
      <c r="JVQ136" s="271"/>
      <c r="JVR136" s="271"/>
      <c r="JVS136" s="271"/>
      <c r="JVT136" s="271"/>
      <c r="JVU136" s="271"/>
      <c r="JVV136" s="271"/>
      <c r="JVW136" s="271"/>
      <c r="JVX136" s="271"/>
      <c r="JVY136" s="271"/>
      <c r="JVZ136" s="271"/>
      <c r="JWA136" s="271"/>
      <c r="JWB136" s="271"/>
      <c r="JWC136" s="271"/>
      <c r="JWD136" s="271"/>
      <c r="JWE136" s="271"/>
      <c r="JWF136" s="271"/>
      <c r="JWG136" s="271"/>
      <c r="JWH136" s="271"/>
      <c r="JWI136" s="271"/>
      <c r="JWJ136" s="271"/>
      <c r="JWK136" s="271"/>
      <c r="JWL136" s="271"/>
      <c r="JWM136" s="271"/>
      <c r="JWN136" s="271"/>
      <c r="JWO136" s="271"/>
      <c r="JWP136" s="271"/>
      <c r="JWQ136" s="271"/>
      <c r="JWR136" s="271"/>
      <c r="JWS136" s="271"/>
      <c r="JWT136" s="271"/>
      <c r="JWU136" s="271"/>
      <c r="JWV136" s="271"/>
      <c r="JWW136" s="271"/>
      <c r="JWX136" s="271"/>
      <c r="JWY136" s="271"/>
      <c r="JWZ136" s="271"/>
      <c r="JXA136" s="271"/>
      <c r="JXB136" s="271"/>
      <c r="JXC136" s="271"/>
      <c r="JXD136" s="271"/>
      <c r="JXE136" s="271"/>
      <c r="JXF136" s="271"/>
      <c r="JXG136" s="271"/>
      <c r="JXH136" s="271"/>
      <c r="JXI136" s="271"/>
      <c r="JXJ136" s="271"/>
      <c r="JXK136" s="271"/>
      <c r="JXL136" s="271"/>
      <c r="JXM136" s="271"/>
      <c r="JXN136" s="271"/>
      <c r="JXO136" s="271"/>
      <c r="JXP136" s="271"/>
      <c r="JXQ136" s="271"/>
      <c r="JXR136" s="271"/>
      <c r="JXS136" s="271"/>
      <c r="JXT136" s="271"/>
      <c r="JXU136" s="271"/>
      <c r="JXV136" s="271"/>
      <c r="JXW136" s="271"/>
      <c r="JXX136" s="271"/>
      <c r="JXY136" s="271"/>
      <c r="JXZ136" s="271"/>
      <c r="JYA136" s="271"/>
      <c r="JYB136" s="271"/>
      <c r="JYC136" s="271"/>
      <c r="JYD136" s="271"/>
      <c r="JYE136" s="271"/>
      <c r="JYF136" s="271"/>
      <c r="JYG136" s="271"/>
      <c r="JYH136" s="271"/>
      <c r="JYI136" s="271"/>
      <c r="JYJ136" s="271"/>
      <c r="JYK136" s="271"/>
      <c r="JYL136" s="271"/>
      <c r="JYM136" s="271"/>
      <c r="JYN136" s="271"/>
      <c r="JYO136" s="271"/>
      <c r="JYP136" s="271"/>
      <c r="JYQ136" s="271"/>
      <c r="JYR136" s="271"/>
      <c r="JYS136" s="271"/>
      <c r="JYT136" s="271"/>
      <c r="JYU136" s="271"/>
      <c r="JYV136" s="271"/>
      <c r="JYW136" s="271"/>
      <c r="JYX136" s="271"/>
      <c r="JYY136" s="271"/>
      <c r="JYZ136" s="271"/>
      <c r="JZA136" s="271"/>
      <c r="JZB136" s="271"/>
      <c r="JZC136" s="271"/>
      <c r="JZD136" s="271"/>
      <c r="JZE136" s="271"/>
      <c r="JZF136" s="271"/>
      <c r="JZG136" s="271"/>
      <c r="JZH136" s="271"/>
      <c r="JZI136" s="271"/>
      <c r="JZJ136" s="271"/>
      <c r="JZK136" s="271"/>
      <c r="JZL136" s="271"/>
      <c r="JZM136" s="271"/>
      <c r="JZN136" s="271"/>
      <c r="JZO136" s="271"/>
      <c r="JZP136" s="271"/>
      <c r="JZQ136" s="271"/>
      <c r="JZR136" s="271"/>
      <c r="JZS136" s="271"/>
      <c r="JZT136" s="271"/>
      <c r="JZU136" s="271"/>
      <c r="JZV136" s="271"/>
      <c r="JZW136" s="271"/>
      <c r="JZX136" s="271"/>
      <c r="JZY136" s="271"/>
      <c r="JZZ136" s="271"/>
      <c r="KAA136" s="271"/>
      <c r="KAB136" s="271"/>
      <c r="KAC136" s="271"/>
      <c r="KAD136" s="271"/>
      <c r="KAE136" s="271"/>
      <c r="KAF136" s="271"/>
      <c r="KAG136" s="271"/>
      <c r="KAH136" s="271"/>
      <c r="KAI136" s="271"/>
      <c r="KAJ136" s="271"/>
      <c r="KAK136" s="271"/>
      <c r="KAL136" s="271"/>
      <c r="KAM136" s="271"/>
      <c r="KAN136" s="271"/>
      <c r="KAO136" s="271"/>
      <c r="KAP136" s="271"/>
      <c r="KAQ136" s="271"/>
      <c r="KAR136" s="271"/>
      <c r="KAS136" s="271"/>
      <c r="KAT136" s="271"/>
      <c r="KAU136" s="271"/>
      <c r="KAV136" s="271"/>
      <c r="KAW136" s="271"/>
      <c r="KAX136" s="271"/>
      <c r="KAY136" s="271"/>
      <c r="KAZ136" s="271"/>
      <c r="KBA136" s="271"/>
      <c r="KBB136" s="271"/>
      <c r="KBC136" s="271"/>
      <c r="KBD136" s="271"/>
      <c r="KBE136" s="271"/>
      <c r="KBF136" s="271"/>
      <c r="KBG136" s="271"/>
      <c r="KBH136" s="271"/>
      <c r="KBI136" s="271"/>
      <c r="KBJ136" s="271"/>
      <c r="KBK136" s="271"/>
      <c r="KBL136" s="271"/>
      <c r="KBM136" s="271"/>
      <c r="KBN136" s="271"/>
      <c r="KBO136" s="271"/>
      <c r="KBP136" s="271"/>
      <c r="KBQ136" s="271"/>
      <c r="KBR136" s="271"/>
      <c r="KBS136" s="271"/>
      <c r="KBT136" s="271"/>
      <c r="KBU136" s="271"/>
      <c r="KBV136" s="271"/>
      <c r="KBW136" s="271"/>
      <c r="KBX136" s="271"/>
      <c r="KBY136" s="271"/>
      <c r="KBZ136" s="271"/>
      <c r="KCA136" s="271"/>
      <c r="KCB136" s="271"/>
      <c r="KCC136" s="271"/>
      <c r="KCD136" s="271"/>
      <c r="KCE136" s="271"/>
      <c r="KCF136" s="271"/>
      <c r="KCG136" s="271"/>
      <c r="KCH136" s="271"/>
      <c r="KCI136" s="271"/>
      <c r="KCJ136" s="271"/>
      <c r="KCK136" s="271"/>
      <c r="KCL136" s="271"/>
      <c r="KCM136" s="271"/>
      <c r="KCN136" s="271"/>
      <c r="KCO136" s="271"/>
      <c r="KCP136" s="271"/>
      <c r="KCQ136" s="271"/>
      <c r="KCR136" s="271"/>
      <c r="KCS136" s="271"/>
      <c r="KCT136" s="271"/>
      <c r="KCU136" s="271"/>
      <c r="KCV136" s="271"/>
      <c r="KCW136" s="271"/>
      <c r="KCX136" s="271"/>
      <c r="KCY136" s="271"/>
      <c r="KCZ136" s="271"/>
      <c r="KDA136" s="271"/>
      <c r="KDB136" s="271"/>
      <c r="KDC136" s="271"/>
      <c r="KDD136" s="271"/>
      <c r="KDE136" s="271"/>
      <c r="KDF136" s="271"/>
      <c r="KDG136" s="271"/>
      <c r="KDH136" s="271"/>
      <c r="KDI136" s="271"/>
      <c r="KDJ136" s="271"/>
      <c r="KDK136" s="271"/>
      <c r="KDL136" s="271"/>
      <c r="KDM136" s="271"/>
      <c r="KDN136" s="271"/>
      <c r="KDO136" s="271"/>
      <c r="KDP136" s="271"/>
      <c r="KDQ136" s="271"/>
      <c r="KDR136" s="271"/>
      <c r="KDS136" s="271"/>
      <c r="KDT136" s="271"/>
      <c r="KDU136" s="271"/>
      <c r="KDV136" s="271"/>
      <c r="KDW136" s="271"/>
      <c r="KDX136" s="271"/>
      <c r="KDY136" s="271"/>
      <c r="KDZ136" s="271"/>
      <c r="KEA136" s="271"/>
      <c r="KEB136" s="271"/>
      <c r="KEC136" s="271"/>
      <c r="KED136" s="271"/>
      <c r="KEE136" s="271"/>
      <c r="KEF136" s="271"/>
      <c r="KEG136" s="271"/>
      <c r="KEH136" s="271"/>
      <c r="KEI136" s="271"/>
      <c r="KEJ136" s="271"/>
      <c r="KEK136" s="271"/>
      <c r="KEL136" s="271"/>
      <c r="KEM136" s="271"/>
      <c r="KEN136" s="271"/>
      <c r="KEO136" s="271"/>
      <c r="KEP136" s="271"/>
      <c r="KEQ136" s="271"/>
      <c r="KER136" s="271"/>
      <c r="KES136" s="271"/>
      <c r="KET136" s="271"/>
      <c r="KEU136" s="271"/>
      <c r="KEV136" s="271"/>
      <c r="KEW136" s="271"/>
      <c r="KEX136" s="271"/>
      <c r="KEY136" s="271"/>
      <c r="KEZ136" s="271"/>
      <c r="KFA136" s="271"/>
      <c r="KFB136" s="271"/>
      <c r="KFC136" s="271"/>
      <c r="KFD136" s="271"/>
      <c r="KFE136" s="271"/>
      <c r="KFF136" s="271"/>
      <c r="KFG136" s="271"/>
      <c r="KFH136" s="271"/>
      <c r="KFI136" s="271"/>
      <c r="KFJ136" s="271"/>
      <c r="KFK136" s="271"/>
      <c r="KFL136" s="271"/>
      <c r="KFM136" s="271"/>
      <c r="KFN136" s="271"/>
      <c r="KFO136" s="271"/>
      <c r="KFP136" s="271"/>
      <c r="KFQ136" s="271"/>
      <c r="KFR136" s="271"/>
      <c r="KFS136" s="271"/>
      <c r="KFT136" s="271"/>
      <c r="KFU136" s="271"/>
      <c r="KFV136" s="271"/>
      <c r="KFW136" s="271"/>
      <c r="KFX136" s="271"/>
      <c r="KFY136" s="271"/>
      <c r="KFZ136" s="271"/>
      <c r="KGA136" s="271"/>
      <c r="KGB136" s="271"/>
      <c r="KGC136" s="271"/>
      <c r="KGD136" s="271"/>
      <c r="KGE136" s="271"/>
      <c r="KGF136" s="271"/>
      <c r="KGG136" s="271"/>
      <c r="KGH136" s="271"/>
      <c r="KGI136" s="271"/>
      <c r="KGJ136" s="271"/>
      <c r="KGK136" s="271"/>
      <c r="KGL136" s="271"/>
      <c r="KGM136" s="271"/>
      <c r="KGN136" s="271"/>
      <c r="KGO136" s="271"/>
      <c r="KGP136" s="271"/>
      <c r="KGQ136" s="271"/>
      <c r="KGR136" s="271"/>
      <c r="KGS136" s="271"/>
      <c r="KGT136" s="271"/>
      <c r="KGU136" s="271"/>
      <c r="KGV136" s="271"/>
      <c r="KGW136" s="271"/>
      <c r="KGX136" s="271"/>
      <c r="KGY136" s="271"/>
      <c r="KGZ136" s="271"/>
      <c r="KHA136" s="271"/>
      <c r="KHB136" s="271"/>
      <c r="KHC136" s="271"/>
      <c r="KHD136" s="271"/>
      <c r="KHE136" s="271"/>
      <c r="KHF136" s="271"/>
      <c r="KHG136" s="271"/>
      <c r="KHH136" s="271"/>
      <c r="KHI136" s="271"/>
      <c r="KHJ136" s="271"/>
      <c r="KHK136" s="271"/>
      <c r="KHL136" s="271"/>
      <c r="KHM136" s="271"/>
      <c r="KHN136" s="271"/>
      <c r="KHO136" s="271"/>
      <c r="KHP136" s="271"/>
      <c r="KHQ136" s="271"/>
      <c r="KHR136" s="271"/>
      <c r="KHS136" s="271"/>
      <c r="KHT136" s="271"/>
      <c r="KHU136" s="271"/>
      <c r="KHV136" s="271"/>
      <c r="KHW136" s="271"/>
      <c r="KHX136" s="271"/>
      <c r="KHY136" s="271"/>
      <c r="KHZ136" s="271"/>
      <c r="KIA136" s="271"/>
      <c r="KIB136" s="271"/>
      <c r="KIC136" s="271"/>
      <c r="KID136" s="271"/>
      <c r="KIE136" s="271"/>
      <c r="KIF136" s="271"/>
      <c r="KIG136" s="271"/>
      <c r="KIH136" s="271"/>
      <c r="KII136" s="271"/>
      <c r="KIJ136" s="271"/>
      <c r="KIK136" s="271"/>
      <c r="KIL136" s="271"/>
      <c r="KIM136" s="271"/>
      <c r="KIN136" s="271"/>
      <c r="KIO136" s="271"/>
      <c r="KIP136" s="271"/>
      <c r="KIQ136" s="271"/>
      <c r="KIR136" s="271"/>
      <c r="KIS136" s="271"/>
      <c r="KIT136" s="271"/>
      <c r="KIU136" s="271"/>
      <c r="KIV136" s="271"/>
      <c r="KIW136" s="271"/>
      <c r="KIX136" s="271"/>
      <c r="KIY136" s="271"/>
      <c r="KIZ136" s="271"/>
      <c r="KJA136" s="271"/>
      <c r="KJB136" s="271"/>
      <c r="KJC136" s="271"/>
      <c r="KJD136" s="271"/>
      <c r="KJE136" s="271"/>
      <c r="KJF136" s="271"/>
      <c r="KJG136" s="271"/>
      <c r="KJH136" s="271"/>
      <c r="KJI136" s="271"/>
      <c r="KJJ136" s="271"/>
      <c r="KJK136" s="271"/>
      <c r="KJL136" s="271"/>
      <c r="KJM136" s="271"/>
      <c r="KJN136" s="271"/>
      <c r="KJO136" s="271"/>
      <c r="KJP136" s="271"/>
      <c r="KJQ136" s="271"/>
      <c r="KJR136" s="271"/>
      <c r="KJS136" s="271"/>
      <c r="KJT136" s="271"/>
      <c r="KJU136" s="271"/>
      <c r="KJV136" s="271"/>
      <c r="KJW136" s="271"/>
      <c r="KJX136" s="271"/>
      <c r="KJY136" s="271"/>
      <c r="KJZ136" s="271"/>
      <c r="KKA136" s="271"/>
      <c r="KKB136" s="271"/>
      <c r="KKC136" s="271"/>
      <c r="KKD136" s="271"/>
      <c r="KKE136" s="271"/>
      <c r="KKF136" s="271"/>
      <c r="KKG136" s="271"/>
      <c r="KKH136" s="271"/>
      <c r="KKI136" s="271"/>
      <c r="KKJ136" s="271"/>
      <c r="KKK136" s="271"/>
      <c r="KKL136" s="271"/>
      <c r="KKM136" s="271"/>
      <c r="KKN136" s="271"/>
      <c r="KKO136" s="271"/>
      <c r="KKP136" s="271"/>
      <c r="KKQ136" s="271"/>
      <c r="KKR136" s="271"/>
      <c r="KKS136" s="271"/>
      <c r="KKT136" s="271"/>
      <c r="KKU136" s="271"/>
      <c r="KKV136" s="271"/>
      <c r="KKW136" s="271"/>
      <c r="KKX136" s="271"/>
      <c r="KKY136" s="271"/>
      <c r="KKZ136" s="271"/>
      <c r="KLA136" s="271"/>
      <c r="KLB136" s="271"/>
      <c r="KLC136" s="271"/>
      <c r="KLD136" s="271"/>
      <c r="KLE136" s="271"/>
      <c r="KLF136" s="271"/>
      <c r="KLG136" s="271"/>
      <c r="KLH136" s="271"/>
      <c r="KLI136" s="271"/>
      <c r="KLJ136" s="271"/>
      <c r="KLK136" s="271"/>
      <c r="KLL136" s="271"/>
      <c r="KLM136" s="271"/>
      <c r="KLN136" s="271"/>
      <c r="KLO136" s="271"/>
      <c r="KLP136" s="271"/>
      <c r="KLQ136" s="271"/>
      <c r="KLR136" s="271"/>
      <c r="KLS136" s="271"/>
      <c r="KLT136" s="271"/>
      <c r="KLU136" s="271"/>
      <c r="KLV136" s="271"/>
      <c r="KLW136" s="271"/>
      <c r="KLX136" s="271"/>
      <c r="KLY136" s="271"/>
      <c r="KLZ136" s="271"/>
      <c r="KMA136" s="271"/>
      <c r="KMB136" s="271"/>
      <c r="KMC136" s="271"/>
      <c r="KMD136" s="271"/>
      <c r="KME136" s="271"/>
      <c r="KMF136" s="271"/>
      <c r="KMG136" s="271"/>
      <c r="KMH136" s="271"/>
      <c r="KMI136" s="271"/>
      <c r="KMJ136" s="271"/>
      <c r="KMK136" s="271"/>
      <c r="KML136" s="271"/>
      <c r="KMM136" s="271"/>
      <c r="KMN136" s="271"/>
      <c r="KMO136" s="271"/>
      <c r="KMP136" s="271"/>
      <c r="KMQ136" s="271"/>
      <c r="KMR136" s="271"/>
      <c r="KMS136" s="271"/>
      <c r="KMT136" s="271"/>
      <c r="KMU136" s="271"/>
      <c r="KMV136" s="271"/>
      <c r="KMW136" s="271"/>
      <c r="KMX136" s="271"/>
      <c r="KMY136" s="271"/>
      <c r="KMZ136" s="271"/>
      <c r="KNA136" s="271"/>
      <c r="KNB136" s="271"/>
      <c r="KNC136" s="271"/>
      <c r="KND136" s="271"/>
      <c r="KNE136" s="271"/>
      <c r="KNF136" s="271"/>
      <c r="KNG136" s="271"/>
      <c r="KNH136" s="271"/>
      <c r="KNI136" s="271"/>
      <c r="KNJ136" s="271"/>
      <c r="KNK136" s="271"/>
      <c r="KNL136" s="271"/>
      <c r="KNM136" s="271"/>
      <c r="KNN136" s="271"/>
      <c r="KNO136" s="271"/>
      <c r="KNP136" s="271"/>
      <c r="KNQ136" s="271"/>
      <c r="KNR136" s="271"/>
      <c r="KNS136" s="271"/>
      <c r="KNT136" s="271"/>
      <c r="KNU136" s="271"/>
      <c r="KNV136" s="271"/>
      <c r="KNW136" s="271"/>
      <c r="KNX136" s="271"/>
      <c r="KNY136" s="271"/>
      <c r="KNZ136" s="271"/>
      <c r="KOA136" s="271"/>
      <c r="KOB136" s="271"/>
      <c r="KOC136" s="271"/>
      <c r="KOD136" s="271"/>
      <c r="KOE136" s="271"/>
      <c r="KOF136" s="271"/>
      <c r="KOG136" s="271"/>
      <c r="KOH136" s="271"/>
      <c r="KOI136" s="271"/>
      <c r="KOJ136" s="271"/>
      <c r="KOK136" s="271"/>
      <c r="KOL136" s="271"/>
      <c r="KOM136" s="271"/>
      <c r="KON136" s="271"/>
      <c r="KOO136" s="271"/>
      <c r="KOP136" s="271"/>
      <c r="KOQ136" s="271"/>
      <c r="KOR136" s="271"/>
      <c r="KOS136" s="271"/>
      <c r="KOT136" s="271"/>
      <c r="KOU136" s="271"/>
      <c r="KOV136" s="271"/>
      <c r="KOW136" s="271"/>
      <c r="KOX136" s="271"/>
      <c r="KOY136" s="271"/>
      <c r="KOZ136" s="271"/>
      <c r="KPA136" s="271"/>
      <c r="KPB136" s="271"/>
      <c r="KPC136" s="271"/>
      <c r="KPD136" s="271"/>
      <c r="KPE136" s="271"/>
      <c r="KPF136" s="271"/>
      <c r="KPG136" s="271"/>
      <c r="KPH136" s="271"/>
      <c r="KPI136" s="271"/>
      <c r="KPJ136" s="271"/>
      <c r="KPK136" s="271"/>
      <c r="KPL136" s="271"/>
      <c r="KPM136" s="271"/>
      <c r="KPN136" s="271"/>
      <c r="KPO136" s="271"/>
      <c r="KPP136" s="271"/>
      <c r="KPQ136" s="271"/>
      <c r="KPR136" s="271"/>
      <c r="KPS136" s="271"/>
      <c r="KPT136" s="271"/>
      <c r="KPU136" s="271"/>
      <c r="KPV136" s="271"/>
      <c r="KPW136" s="271"/>
      <c r="KPX136" s="271"/>
      <c r="KPY136" s="271"/>
      <c r="KPZ136" s="271"/>
      <c r="KQA136" s="271"/>
      <c r="KQB136" s="271"/>
      <c r="KQC136" s="271"/>
      <c r="KQD136" s="271"/>
      <c r="KQE136" s="271"/>
      <c r="KQF136" s="271"/>
      <c r="KQG136" s="271"/>
      <c r="KQH136" s="271"/>
      <c r="KQI136" s="271"/>
      <c r="KQJ136" s="271"/>
      <c r="KQK136" s="271"/>
      <c r="KQL136" s="271"/>
      <c r="KQM136" s="271"/>
      <c r="KQN136" s="271"/>
      <c r="KQO136" s="271"/>
      <c r="KQP136" s="271"/>
      <c r="KQQ136" s="271"/>
      <c r="KQR136" s="271"/>
      <c r="KQS136" s="271"/>
      <c r="KQT136" s="271"/>
      <c r="KQU136" s="271"/>
      <c r="KQV136" s="271"/>
      <c r="KQW136" s="271"/>
      <c r="KQX136" s="271"/>
      <c r="KQY136" s="271"/>
      <c r="KQZ136" s="271"/>
      <c r="KRA136" s="271"/>
      <c r="KRB136" s="271"/>
      <c r="KRC136" s="271"/>
      <c r="KRD136" s="271"/>
      <c r="KRE136" s="271"/>
      <c r="KRF136" s="271"/>
      <c r="KRG136" s="271"/>
      <c r="KRH136" s="271"/>
      <c r="KRI136" s="271"/>
      <c r="KRJ136" s="271"/>
      <c r="KRK136" s="271"/>
      <c r="KRL136" s="271"/>
      <c r="KRM136" s="271"/>
      <c r="KRN136" s="271"/>
      <c r="KRO136" s="271"/>
      <c r="KRP136" s="271"/>
      <c r="KRQ136" s="271"/>
      <c r="KRR136" s="271"/>
      <c r="KRS136" s="271"/>
      <c r="KRT136" s="271"/>
      <c r="KRU136" s="271"/>
      <c r="KRV136" s="271"/>
      <c r="KRW136" s="271"/>
      <c r="KRX136" s="271"/>
      <c r="KRY136" s="271"/>
      <c r="KRZ136" s="271"/>
      <c r="KSA136" s="271"/>
      <c r="KSB136" s="271"/>
      <c r="KSC136" s="271"/>
      <c r="KSD136" s="271"/>
      <c r="KSE136" s="271"/>
      <c r="KSF136" s="271"/>
      <c r="KSG136" s="271"/>
      <c r="KSH136" s="271"/>
      <c r="KSI136" s="271"/>
      <c r="KSJ136" s="271"/>
      <c r="KSK136" s="271"/>
      <c r="KSL136" s="271"/>
      <c r="KSM136" s="271"/>
      <c r="KSN136" s="271"/>
      <c r="KSO136" s="271"/>
      <c r="KSP136" s="271"/>
      <c r="KSQ136" s="271"/>
      <c r="KSR136" s="271"/>
      <c r="KSS136" s="271"/>
      <c r="KST136" s="271"/>
      <c r="KSU136" s="271"/>
      <c r="KSV136" s="271"/>
      <c r="KSW136" s="271"/>
      <c r="KSX136" s="271"/>
      <c r="KSY136" s="271"/>
      <c r="KSZ136" s="271"/>
      <c r="KTA136" s="271"/>
      <c r="KTB136" s="271"/>
      <c r="KTC136" s="271"/>
      <c r="KTD136" s="271"/>
      <c r="KTE136" s="271"/>
      <c r="KTF136" s="271"/>
      <c r="KTG136" s="271"/>
      <c r="KTH136" s="271"/>
      <c r="KTI136" s="271"/>
      <c r="KTJ136" s="271"/>
      <c r="KTK136" s="271"/>
      <c r="KTL136" s="271"/>
      <c r="KTM136" s="271"/>
      <c r="KTN136" s="271"/>
      <c r="KTO136" s="271"/>
      <c r="KTP136" s="271"/>
      <c r="KTQ136" s="271"/>
      <c r="KTR136" s="271"/>
      <c r="KTS136" s="271"/>
      <c r="KTT136" s="271"/>
      <c r="KTU136" s="271"/>
      <c r="KTV136" s="271"/>
      <c r="KTW136" s="271"/>
      <c r="KTX136" s="271"/>
      <c r="KTY136" s="271"/>
      <c r="KTZ136" s="271"/>
      <c r="KUA136" s="271"/>
      <c r="KUB136" s="271"/>
      <c r="KUC136" s="271"/>
      <c r="KUD136" s="271"/>
      <c r="KUE136" s="271"/>
      <c r="KUF136" s="271"/>
      <c r="KUG136" s="271"/>
      <c r="KUH136" s="271"/>
      <c r="KUI136" s="271"/>
      <c r="KUJ136" s="271"/>
      <c r="KUK136" s="271"/>
      <c r="KUL136" s="271"/>
      <c r="KUM136" s="271"/>
      <c r="KUN136" s="271"/>
      <c r="KUO136" s="271"/>
      <c r="KUP136" s="271"/>
      <c r="KUQ136" s="271"/>
      <c r="KUR136" s="271"/>
      <c r="KUS136" s="271"/>
      <c r="KUT136" s="271"/>
      <c r="KUU136" s="271"/>
      <c r="KUV136" s="271"/>
      <c r="KUW136" s="271"/>
      <c r="KUX136" s="271"/>
      <c r="KUY136" s="271"/>
      <c r="KUZ136" s="271"/>
      <c r="KVA136" s="271"/>
      <c r="KVB136" s="271"/>
      <c r="KVC136" s="271"/>
      <c r="KVD136" s="271"/>
      <c r="KVE136" s="271"/>
      <c r="KVF136" s="271"/>
      <c r="KVG136" s="271"/>
      <c r="KVH136" s="271"/>
      <c r="KVI136" s="271"/>
      <c r="KVJ136" s="271"/>
      <c r="KVK136" s="271"/>
      <c r="KVL136" s="271"/>
      <c r="KVM136" s="271"/>
      <c r="KVN136" s="271"/>
      <c r="KVO136" s="271"/>
      <c r="KVP136" s="271"/>
      <c r="KVQ136" s="271"/>
      <c r="KVR136" s="271"/>
      <c r="KVS136" s="271"/>
      <c r="KVT136" s="271"/>
      <c r="KVU136" s="271"/>
      <c r="KVV136" s="271"/>
      <c r="KVW136" s="271"/>
      <c r="KVX136" s="271"/>
      <c r="KVY136" s="271"/>
      <c r="KVZ136" s="271"/>
      <c r="KWA136" s="271"/>
      <c r="KWB136" s="271"/>
      <c r="KWC136" s="271"/>
      <c r="KWD136" s="271"/>
      <c r="KWE136" s="271"/>
      <c r="KWF136" s="271"/>
      <c r="KWG136" s="271"/>
      <c r="KWH136" s="271"/>
      <c r="KWI136" s="271"/>
      <c r="KWJ136" s="271"/>
      <c r="KWK136" s="271"/>
      <c r="KWL136" s="271"/>
      <c r="KWM136" s="271"/>
      <c r="KWN136" s="271"/>
      <c r="KWO136" s="271"/>
      <c r="KWP136" s="271"/>
      <c r="KWQ136" s="271"/>
      <c r="KWR136" s="271"/>
      <c r="KWS136" s="271"/>
      <c r="KWT136" s="271"/>
      <c r="KWU136" s="271"/>
      <c r="KWV136" s="271"/>
      <c r="KWW136" s="271"/>
      <c r="KWX136" s="271"/>
      <c r="KWY136" s="271"/>
      <c r="KWZ136" s="271"/>
      <c r="KXA136" s="271"/>
      <c r="KXB136" s="271"/>
      <c r="KXC136" s="271"/>
      <c r="KXD136" s="271"/>
      <c r="KXE136" s="271"/>
      <c r="KXF136" s="271"/>
      <c r="KXG136" s="271"/>
      <c r="KXH136" s="271"/>
      <c r="KXI136" s="271"/>
      <c r="KXJ136" s="271"/>
      <c r="KXK136" s="271"/>
      <c r="KXL136" s="271"/>
      <c r="KXM136" s="271"/>
      <c r="KXN136" s="271"/>
      <c r="KXO136" s="271"/>
      <c r="KXP136" s="271"/>
      <c r="KXQ136" s="271"/>
      <c r="KXR136" s="271"/>
      <c r="KXS136" s="271"/>
      <c r="KXT136" s="271"/>
      <c r="KXU136" s="271"/>
      <c r="KXV136" s="271"/>
      <c r="KXW136" s="271"/>
      <c r="KXX136" s="271"/>
      <c r="KXY136" s="271"/>
      <c r="KXZ136" s="271"/>
      <c r="KYA136" s="271"/>
      <c r="KYB136" s="271"/>
      <c r="KYC136" s="271"/>
      <c r="KYD136" s="271"/>
      <c r="KYE136" s="271"/>
      <c r="KYF136" s="271"/>
      <c r="KYG136" s="271"/>
      <c r="KYH136" s="271"/>
      <c r="KYI136" s="271"/>
      <c r="KYJ136" s="271"/>
      <c r="KYK136" s="271"/>
      <c r="KYL136" s="271"/>
      <c r="KYM136" s="271"/>
      <c r="KYN136" s="271"/>
      <c r="KYO136" s="271"/>
      <c r="KYP136" s="271"/>
      <c r="KYQ136" s="271"/>
      <c r="KYR136" s="271"/>
      <c r="KYS136" s="271"/>
      <c r="KYT136" s="271"/>
      <c r="KYU136" s="271"/>
      <c r="KYV136" s="271"/>
      <c r="KYW136" s="271"/>
      <c r="KYX136" s="271"/>
      <c r="KYY136" s="271"/>
      <c r="KYZ136" s="271"/>
      <c r="KZA136" s="271"/>
      <c r="KZB136" s="271"/>
      <c r="KZC136" s="271"/>
      <c r="KZD136" s="271"/>
      <c r="KZE136" s="271"/>
      <c r="KZF136" s="271"/>
      <c r="KZG136" s="271"/>
      <c r="KZH136" s="271"/>
      <c r="KZI136" s="271"/>
      <c r="KZJ136" s="271"/>
      <c r="KZK136" s="271"/>
      <c r="KZL136" s="271"/>
      <c r="KZM136" s="271"/>
      <c r="KZN136" s="271"/>
      <c r="KZO136" s="271"/>
      <c r="KZP136" s="271"/>
      <c r="KZQ136" s="271"/>
      <c r="KZR136" s="271"/>
      <c r="KZS136" s="271"/>
      <c r="KZT136" s="271"/>
      <c r="KZU136" s="271"/>
      <c r="KZV136" s="271"/>
      <c r="KZW136" s="271"/>
      <c r="KZX136" s="271"/>
      <c r="KZY136" s="271"/>
      <c r="KZZ136" s="271"/>
      <c r="LAA136" s="271"/>
      <c r="LAB136" s="271"/>
      <c r="LAC136" s="271"/>
      <c r="LAD136" s="271"/>
      <c r="LAE136" s="271"/>
      <c r="LAF136" s="271"/>
      <c r="LAG136" s="271"/>
      <c r="LAH136" s="271"/>
      <c r="LAI136" s="271"/>
      <c r="LAJ136" s="271"/>
      <c r="LAK136" s="271"/>
      <c r="LAL136" s="271"/>
      <c r="LAM136" s="271"/>
      <c r="LAN136" s="271"/>
      <c r="LAO136" s="271"/>
      <c r="LAP136" s="271"/>
      <c r="LAQ136" s="271"/>
      <c r="LAR136" s="271"/>
      <c r="LAS136" s="271"/>
      <c r="LAT136" s="271"/>
      <c r="LAU136" s="271"/>
      <c r="LAV136" s="271"/>
      <c r="LAW136" s="271"/>
      <c r="LAX136" s="271"/>
      <c r="LAY136" s="271"/>
      <c r="LAZ136" s="271"/>
      <c r="LBA136" s="271"/>
      <c r="LBB136" s="271"/>
      <c r="LBC136" s="271"/>
      <c r="LBD136" s="271"/>
      <c r="LBE136" s="271"/>
      <c r="LBF136" s="271"/>
      <c r="LBG136" s="271"/>
      <c r="LBH136" s="271"/>
      <c r="LBI136" s="271"/>
      <c r="LBJ136" s="271"/>
      <c r="LBK136" s="271"/>
      <c r="LBL136" s="271"/>
      <c r="LBM136" s="271"/>
      <c r="LBN136" s="271"/>
      <c r="LBO136" s="271"/>
      <c r="LBP136" s="271"/>
      <c r="LBQ136" s="271"/>
      <c r="LBR136" s="271"/>
      <c r="LBS136" s="271"/>
      <c r="LBT136" s="271"/>
      <c r="LBU136" s="271"/>
      <c r="LBV136" s="271"/>
      <c r="LBW136" s="271"/>
      <c r="LBX136" s="271"/>
      <c r="LBY136" s="271"/>
      <c r="LBZ136" s="271"/>
      <c r="LCA136" s="271"/>
      <c r="LCB136" s="271"/>
      <c r="LCC136" s="271"/>
      <c r="LCD136" s="271"/>
      <c r="LCE136" s="271"/>
      <c r="LCF136" s="271"/>
      <c r="LCG136" s="271"/>
      <c r="LCH136" s="271"/>
      <c r="LCI136" s="271"/>
      <c r="LCJ136" s="271"/>
      <c r="LCK136" s="271"/>
      <c r="LCL136" s="271"/>
      <c r="LCM136" s="271"/>
      <c r="LCN136" s="271"/>
      <c r="LCO136" s="271"/>
      <c r="LCP136" s="271"/>
      <c r="LCQ136" s="271"/>
      <c r="LCR136" s="271"/>
      <c r="LCS136" s="271"/>
      <c r="LCT136" s="271"/>
      <c r="LCU136" s="271"/>
      <c r="LCV136" s="271"/>
      <c r="LCW136" s="271"/>
      <c r="LCX136" s="271"/>
      <c r="LCY136" s="271"/>
      <c r="LCZ136" s="271"/>
      <c r="LDA136" s="271"/>
      <c r="LDB136" s="271"/>
      <c r="LDC136" s="271"/>
      <c r="LDD136" s="271"/>
      <c r="LDE136" s="271"/>
      <c r="LDF136" s="271"/>
      <c r="LDG136" s="271"/>
      <c r="LDH136" s="271"/>
      <c r="LDI136" s="271"/>
      <c r="LDJ136" s="271"/>
      <c r="LDK136" s="271"/>
      <c r="LDL136" s="271"/>
      <c r="LDM136" s="271"/>
      <c r="LDN136" s="271"/>
      <c r="LDO136" s="271"/>
      <c r="LDP136" s="271"/>
      <c r="LDQ136" s="271"/>
      <c r="LDR136" s="271"/>
      <c r="LDS136" s="271"/>
      <c r="LDT136" s="271"/>
      <c r="LDU136" s="271"/>
      <c r="LDV136" s="271"/>
      <c r="LDW136" s="271"/>
      <c r="LDX136" s="271"/>
      <c r="LDY136" s="271"/>
      <c r="LDZ136" s="271"/>
      <c r="LEA136" s="271"/>
      <c r="LEB136" s="271"/>
      <c r="LEC136" s="271"/>
      <c r="LED136" s="271"/>
      <c r="LEE136" s="271"/>
      <c r="LEF136" s="271"/>
      <c r="LEG136" s="271"/>
      <c r="LEH136" s="271"/>
      <c r="LEI136" s="271"/>
      <c r="LEJ136" s="271"/>
      <c r="LEK136" s="271"/>
      <c r="LEL136" s="271"/>
      <c r="LEM136" s="271"/>
      <c r="LEN136" s="271"/>
      <c r="LEO136" s="271"/>
      <c r="LEP136" s="271"/>
      <c r="LEQ136" s="271"/>
      <c r="LER136" s="271"/>
      <c r="LES136" s="271"/>
      <c r="LET136" s="271"/>
      <c r="LEU136" s="271"/>
      <c r="LEV136" s="271"/>
      <c r="LEW136" s="271"/>
      <c r="LEX136" s="271"/>
      <c r="LEY136" s="271"/>
      <c r="LEZ136" s="271"/>
      <c r="LFA136" s="271"/>
      <c r="LFB136" s="271"/>
      <c r="LFC136" s="271"/>
      <c r="LFD136" s="271"/>
      <c r="LFE136" s="271"/>
      <c r="LFF136" s="271"/>
      <c r="LFG136" s="271"/>
      <c r="LFH136" s="271"/>
      <c r="LFI136" s="271"/>
      <c r="LFJ136" s="271"/>
      <c r="LFK136" s="271"/>
      <c r="LFL136" s="271"/>
      <c r="LFM136" s="271"/>
      <c r="LFN136" s="271"/>
      <c r="LFO136" s="271"/>
      <c r="LFP136" s="271"/>
      <c r="LFQ136" s="271"/>
      <c r="LFR136" s="271"/>
      <c r="LFS136" s="271"/>
      <c r="LFT136" s="271"/>
      <c r="LFU136" s="271"/>
      <c r="LFV136" s="271"/>
      <c r="LFW136" s="271"/>
      <c r="LFX136" s="271"/>
      <c r="LFY136" s="271"/>
      <c r="LFZ136" s="271"/>
      <c r="LGA136" s="271"/>
      <c r="LGB136" s="271"/>
      <c r="LGC136" s="271"/>
      <c r="LGD136" s="271"/>
      <c r="LGE136" s="271"/>
      <c r="LGF136" s="271"/>
      <c r="LGG136" s="271"/>
      <c r="LGH136" s="271"/>
      <c r="LGI136" s="271"/>
      <c r="LGJ136" s="271"/>
      <c r="LGK136" s="271"/>
      <c r="LGL136" s="271"/>
      <c r="LGM136" s="271"/>
      <c r="LGN136" s="271"/>
      <c r="LGO136" s="271"/>
      <c r="LGP136" s="271"/>
      <c r="LGQ136" s="271"/>
      <c r="LGR136" s="271"/>
      <c r="LGS136" s="271"/>
      <c r="LGT136" s="271"/>
      <c r="LGU136" s="271"/>
      <c r="LGV136" s="271"/>
      <c r="LGW136" s="271"/>
      <c r="LGX136" s="271"/>
      <c r="LGY136" s="271"/>
      <c r="LGZ136" s="271"/>
      <c r="LHA136" s="271"/>
      <c r="LHB136" s="271"/>
      <c r="LHC136" s="271"/>
      <c r="LHD136" s="271"/>
      <c r="LHE136" s="271"/>
      <c r="LHF136" s="271"/>
      <c r="LHG136" s="271"/>
      <c r="LHH136" s="271"/>
      <c r="LHI136" s="271"/>
      <c r="LHJ136" s="271"/>
      <c r="LHK136" s="271"/>
      <c r="LHL136" s="271"/>
      <c r="LHM136" s="271"/>
      <c r="LHN136" s="271"/>
      <c r="LHO136" s="271"/>
      <c r="LHP136" s="271"/>
      <c r="LHQ136" s="271"/>
      <c r="LHR136" s="271"/>
      <c r="LHS136" s="271"/>
      <c r="LHT136" s="271"/>
      <c r="LHU136" s="271"/>
      <c r="LHV136" s="271"/>
      <c r="LHW136" s="271"/>
      <c r="LHX136" s="271"/>
      <c r="LHY136" s="271"/>
      <c r="LHZ136" s="271"/>
      <c r="LIA136" s="271"/>
      <c r="LIB136" s="271"/>
      <c r="LIC136" s="271"/>
      <c r="LID136" s="271"/>
      <c r="LIE136" s="271"/>
      <c r="LIF136" s="271"/>
      <c r="LIG136" s="271"/>
      <c r="LIH136" s="271"/>
      <c r="LII136" s="271"/>
      <c r="LIJ136" s="271"/>
      <c r="LIK136" s="271"/>
      <c r="LIL136" s="271"/>
      <c r="LIM136" s="271"/>
      <c r="LIN136" s="271"/>
      <c r="LIO136" s="271"/>
      <c r="LIP136" s="271"/>
      <c r="LIQ136" s="271"/>
      <c r="LIR136" s="271"/>
      <c r="LIS136" s="271"/>
      <c r="LIT136" s="271"/>
      <c r="LIU136" s="271"/>
      <c r="LIV136" s="271"/>
      <c r="LIW136" s="271"/>
      <c r="LIX136" s="271"/>
      <c r="LIY136" s="271"/>
      <c r="LIZ136" s="271"/>
      <c r="LJA136" s="271"/>
      <c r="LJB136" s="271"/>
      <c r="LJC136" s="271"/>
      <c r="LJD136" s="271"/>
      <c r="LJE136" s="271"/>
      <c r="LJF136" s="271"/>
      <c r="LJG136" s="271"/>
      <c r="LJH136" s="271"/>
      <c r="LJI136" s="271"/>
      <c r="LJJ136" s="271"/>
      <c r="LJK136" s="271"/>
      <c r="LJL136" s="271"/>
      <c r="LJM136" s="271"/>
      <c r="LJN136" s="271"/>
      <c r="LJO136" s="271"/>
      <c r="LJP136" s="271"/>
      <c r="LJQ136" s="271"/>
      <c r="LJR136" s="271"/>
      <c r="LJS136" s="271"/>
      <c r="LJT136" s="271"/>
      <c r="LJU136" s="271"/>
      <c r="LJV136" s="271"/>
      <c r="LJW136" s="271"/>
      <c r="LJX136" s="271"/>
      <c r="LJY136" s="271"/>
      <c r="LJZ136" s="271"/>
      <c r="LKA136" s="271"/>
      <c r="LKB136" s="271"/>
      <c r="LKC136" s="271"/>
      <c r="LKD136" s="271"/>
      <c r="LKE136" s="271"/>
      <c r="LKF136" s="271"/>
      <c r="LKG136" s="271"/>
      <c r="LKH136" s="271"/>
      <c r="LKI136" s="271"/>
      <c r="LKJ136" s="271"/>
      <c r="LKK136" s="271"/>
      <c r="LKL136" s="271"/>
      <c r="LKM136" s="271"/>
      <c r="LKN136" s="271"/>
      <c r="LKO136" s="271"/>
      <c r="LKP136" s="271"/>
      <c r="LKQ136" s="271"/>
      <c r="LKR136" s="271"/>
      <c r="LKS136" s="271"/>
      <c r="LKT136" s="271"/>
      <c r="LKU136" s="271"/>
      <c r="LKV136" s="271"/>
      <c r="LKW136" s="271"/>
      <c r="LKX136" s="271"/>
      <c r="LKY136" s="271"/>
      <c r="LKZ136" s="271"/>
      <c r="LLA136" s="271"/>
      <c r="LLB136" s="271"/>
      <c r="LLC136" s="271"/>
      <c r="LLD136" s="271"/>
      <c r="LLE136" s="271"/>
      <c r="LLF136" s="271"/>
      <c r="LLG136" s="271"/>
      <c r="LLH136" s="271"/>
      <c r="LLI136" s="271"/>
      <c r="LLJ136" s="271"/>
      <c r="LLK136" s="271"/>
      <c r="LLL136" s="271"/>
      <c r="LLM136" s="271"/>
      <c r="LLN136" s="271"/>
      <c r="LLO136" s="271"/>
      <c r="LLP136" s="271"/>
      <c r="LLQ136" s="271"/>
      <c r="LLR136" s="271"/>
      <c r="LLS136" s="271"/>
      <c r="LLT136" s="271"/>
      <c r="LLU136" s="271"/>
      <c r="LLV136" s="271"/>
      <c r="LLW136" s="271"/>
      <c r="LLX136" s="271"/>
      <c r="LLY136" s="271"/>
      <c r="LLZ136" s="271"/>
      <c r="LMA136" s="271"/>
      <c r="LMB136" s="271"/>
      <c r="LMC136" s="271"/>
      <c r="LMD136" s="271"/>
      <c r="LME136" s="271"/>
      <c r="LMF136" s="271"/>
      <c r="LMG136" s="271"/>
      <c r="LMH136" s="271"/>
      <c r="LMI136" s="271"/>
      <c r="LMJ136" s="271"/>
      <c r="LMK136" s="271"/>
      <c r="LML136" s="271"/>
      <c r="LMM136" s="271"/>
      <c r="LMN136" s="271"/>
      <c r="LMO136" s="271"/>
      <c r="LMP136" s="271"/>
      <c r="LMQ136" s="271"/>
      <c r="LMR136" s="271"/>
      <c r="LMS136" s="271"/>
      <c r="LMT136" s="271"/>
      <c r="LMU136" s="271"/>
      <c r="LMV136" s="271"/>
      <c r="LMW136" s="271"/>
      <c r="LMX136" s="271"/>
      <c r="LMY136" s="271"/>
      <c r="LMZ136" s="271"/>
      <c r="LNA136" s="271"/>
      <c r="LNB136" s="271"/>
      <c r="LNC136" s="271"/>
      <c r="LND136" s="271"/>
      <c r="LNE136" s="271"/>
      <c r="LNF136" s="271"/>
      <c r="LNG136" s="271"/>
      <c r="LNH136" s="271"/>
      <c r="LNI136" s="271"/>
      <c r="LNJ136" s="271"/>
      <c r="LNK136" s="271"/>
      <c r="LNL136" s="271"/>
      <c r="LNM136" s="271"/>
      <c r="LNN136" s="271"/>
      <c r="LNO136" s="271"/>
      <c r="LNP136" s="271"/>
      <c r="LNQ136" s="271"/>
      <c r="LNR136" s="271"/>
      <c r="LNS136" s="271"/>
      <c r="LNT136" s="271"/>
      <c r="LNU136" s="271"/>
      <c r="LNV136" s="271"/>
      <c r="LNW136" s="271"/>
      <c r="LNX136" s="271"/>
      <c r="LNY136" s="271"/>
      <c r="LNZ136" s="271"/>
      <c r="LOA136" s="271"/>
      <c r="LOB136" s="271"/>
      <c r="LOC136" s="271"/>
      <c r="LOD136" s="271"/>
      <c r="LOE136" s="271"/>
      <c r="LOF136" s="271"/>
      <c r="LOG136" s="271"/>
      <c r="LOH136" s="271"/>
      <c r="LOI136" s="271"/>
      <c r="LOJ136" s="271"/>
      <c r="LOK136" s="271"/>
      <c r="LOL136" s="271"/>
      <c r="LOM136" s="271"/>
      <c r="LON136" s="271"/>
      <c r="LOO136" s="271"/>
      <c r="LOP136" s="271"/>
      <c r="LOQ136" s="271"/>
      <c r="LOR136" s="271"/>
      <c r="LOS136" s="271"/>
      <c r="LOT136" s="271"/>
      <c r="LOU136" s="271"/>
      <c r="LOV136" s="271"/>
      <c r="LOW136" s="271"/>
      <c r="LOX136" s="271"/>
      <c r="LOY136" s="271"/>
      <c r="LOZ136" s="271"/>
      <c r="LPA136" s="271"/>
      <c r="LPB136" s="271"/>
      <c r="LPC136" s="271"/>
      <c r="LPD136" s="271"/>
      <c r="LPE136" s="271"/>
      <c r="LPF136" s="271"/>
      <c r="LPG136" s="271"/>
      <c r="LPH136" s="271"/>
      <c r="LPI136" s="271"/>
      <c r="LPJ136" s="271"/>
      <c r="LPK136" s="271"/>
      <c r="LPL136" s="271"/>
      <c r="LPM136" s="271"/>
      <c r="LPN136" s="271"/>
      <c r="LPO136" s="271"/>
      <c r="LPP136" s="271"/>
      <c r="LPQ136" s="271"/>
      <c r="LPR136" s="271"/>
      <c r="LPS136" s="271"/>
      <c r="LPT136" s="271"/>
      <c r="LPU136" s="271"/>
      <c r="LPV136" s="271"/>
      <c r="LPW136" s="271"/>
      <c r="LPX136" s="271"/>
      <c r="LPY136" s="271"/>
      <c r="LPZ136" s="271"/>
      <c r="LQA136" s="271"/>
      <c r="LQB136" s="271"/>
      <c r="LQC136" s="271"/>
      <c r="LQD136" s="271"/>
      <c r="LQE136" s="271"/>
      <c r="LQF136" s="271"/>
      <c r="LQG136" s="271"/>
      <c r="LQH136" s="271"/>
      <c r="LQI136" s="271"/>
      <c r="LQJ136" s="271"/>
      <c r="LQK136" s="271"/>
      <c r="LQL136" s="271"/>
      <c r="LQM136" s="271"/>
      <c r="LQN136" s="271"/>
      <c r="LQO136" s="271"/>
      <c r="LQP136" s="271"/>
      <c r="LQQ136" s="271"/>
      <c r="LQR136" s="271"/>
      <c r="LQS136" s="271"/>
      <c r="LQT136" s="271"/>
      <c r="LQU136" s="271"/>
      <c r="LQV136" s="271"/>
      <c r="LQW136" s="271"/>
      <c r="LQX136" s="271"/>
      <c r="LQY136" s="271"/>
      <c r="LQZ136" s="271"/>
      <c r="LRA136" s="271"/>
      <c r="LRB136" s="271"/>
      <c r="LRC136" s="271"/>
      <c r="LRD136" s="271"/>
      <c r="LRE136" s="271"/>
      <c r="LRF136" s="271"/>
      <c r="LRG136" s="271"/>
      <c r="LRH136" s="271"/>
      <c r="LRI136" s="271"/>
      <c r="LRJ136" s="271"/>
      <c r="LRK136" s="271"/>
      <c r="LRL136" s="271"/>
      <c r="LRM136" s="271"/>
      <c r="LRN136" s="271"/>
      <c r="LRO136" s="271"/>
      <c r="LRP136" s="271"/>
      <c r="LRQ136" s="271"/>
      <c r="LRR136" s="271"/>
      <c r="LRS136" s="271"/>
      <c r="LRT136" s="271"/>
      <c r="LRU136" s="271"/>
      <c r="LRV136" s="271"/>
      <c r="LRW136" s="271"/>
      <c r="LRX136" s="271"/>
      <c r="LRY136" s="271"/>
      <c r="LRZ136" s="271"/>
      <c r="LSA136" s="271"/>
      <c r="LSB136" s="271"/>
      <c r="LSC136" s="271"/>
      <c r="LSD136" s="271"/>
      <c r="LSE136" s="271"/>
      <c r="LSF136" s="271"/>
      <c r="LSG136" s="271"/>
      <c r="LSH136" s="271"/>
      <c r="LSI136" s="271"/>
      <c r="LSJ136" s="271"/>
      <c r="LSK136" s="271"/>
      <c r="LSL136" s="271"/>
      <c r="LSM136" s="271"/>
      <c r="LSN136" s="271"/>
      <c r="LSO136" s="271"/>
      <c r="LSP136" s="271"/>
      <c r="LSQ136" s="271"/>
      <c r="LSR136" s="271"/>
      <c r="LSS136" s="271"/>
      <c r="LST136" s="271"/>
      <c r="LSU136" s="271"/>
      <c r="LSV136" s="271"/>
      <c r="LSW136" s="271"/>
      <c r="LSX136" s="271"/>
      <c r="LSY136" s="271"/>
      <c r="LSZ136" s="271"/>
      <c r="LTA136" s="271"/>
      <c r="LTB136" s="271"/>
      <c r="LTC136" s="271"/>
      <c r="LTD136" s="271"/>
      <c r="LTE136" s="271"/>
      <c r="LTF136" s="271"/>
      <c r="LTG136" s="271"/>
      <c r="LTH136" s="271"/>
      <c r="LTI136" s="271"/>
      <c r="LTJ136" s="271"/>
      <c r="LTK136" s="271"/>
      <c r="LTL136" s="271"/>
      <c r="LTM136" s="271"/>
      <c r="LTN136" s="271"/>
      <c r="LTO136" s="271"/>
      <c r="LTP136" s="271"/>
      <c r="LTQ136" s="271"/>
      <c r="LTR136" s="271"/>
      <c r="LTS136" s="271"/>
      <c r="LTT136" s="271"/>
      <c r="LTU136" s="271"/>
      <c r="LTV136" s="271"/>
      <c r="LTW136" s="271"/>
      <c r="LTX136" s="271"/>
      <c r="LTY136" s="271"/>
      <c r="LTZ136" s="271"/>
      <c r="LUA136" s="271"/>
      <c r="LUB136" s="271"/>
      <c r="LUC136" s="271"/>
      <c r="LUD136" s="271"/>
      <c r="LUE136" s="271"/>
      <c r="LUF136" s="271"/>
      <c r="LUG136" s="271"/>
      <c r="LUH136" s="271"/>
      <c r="LUI136" s="271"/>
      <c r="LUJ136" s="271"/>
      <c r="LUK136" s="271"/>
      <c r="LUL136" s="271"/>
      <c r="LUM136" s="271"/>
      <c r="LUN136" s="271"/>
      <c r="LUO136" s="271"/>
      <c r="LUP136" s="271"/>
      <c r="LUQ136" s="271"/>
      <c r="LUR136" s="271"/>
      <c r="LUS136" s="271"/>
      <c r="LUT136" s="271"/>
      <c r="LUU136" s="271"/>
      <c r="LUV136" s="271"/>
      <c r="LUW136" s="271"/>
      <c r="LUX136" s="271"/>
      <c r="LUY136" s="271"/>
      <c r="LUZ136" s="271"/>
      <c r="LVA136" s="271"/>
      <c r="LVB136" s="271"/>
      <c r="LVC136" s="271"/>
      <c r="LVD136" s="271"/>
      <c r="LVE136" s="271"/>
      <c r="LVF136" s="271"/>
      <c r="LVG136" s="271"/>
      <c r="LVH136" s="271"/>
      <c r="LVI136" s="271"/>
      <c r="LVJ136" s="271"/>
      <c r="LVK136" s="271"/>
      <c r="LVL136" s="271"/>
      <c r="LVM136" s="271"/>
      <c r="LVN136" s="271"/>
      <c r="LVO136" s="271"/>
      <c r="LVP136" s="271"/>
      <c r="LVQ136" s="271"/>
      <c r="LVR136" s="271"/>
      <c r="LVS136" s="271"/>
      <c r="LVT136" s="271"/>
      <c r="LVU136" s="271"/>
      <c r="LVV136" s="271"/>
      <c r="LVW136" s="271"/>
      <c r="LVX136" s="271"/>
      <c r="LVY136" s="271"/>
      <c r="LVZ136" s="271"/>
      <c r="LWA136" s="271"/>
      <c r="LWB136" s="271"/>
      <c r="LWC136" s="271"/>
      <c r="LWD136" s="271"/>
      <c r="LWE136" s="271"/>
      <c r="LWF136" s="271"/>
      <c r="LWG136" s="271"/>
      <c r="LWH136" s="271"/>
      <c r="LWI136" s="271"/>
      <c r="LWJ136" s="271"/>
      <c r="LWK136" s="271"/>
      <c r="LWL136" s="271"/>
      <c r="LWM136" s="271"/>
      <c r="LWN136" s="271"/>
      <c r="LWO136" s="271"/>
      <c r="LWP136" s="271"/>
      <c r="LWQ136" s="271"/>
      <c r="LWR136" s="271"/>
      <c r="LWS136" s="271"/>
      <c r="LWT136" s="271"/>
      <c r="LWU136" s="271"/>
      <c r="LWV136" s="271"/>
      <c r="LWW136" s="271"/>
      <c r="LWX136" s="271"/>
      <c r="LWY136" s="271"/>
      <c r="LWZ136" s="271"/>
      <c r="LXA136" s="271"/>
      <c r="LXB136" s="271"/>
      <c r="LXC136" s="271"/>
      <c r="LXD136" s="271"/>
      <c r="LXE136" s="271"/>
      <c r="LXF136" s="271"/>
      <c r="LXG136" s="271"/>
      <c r="LXH136" s="271"/>
      <c r="LXI136" s="271"/>
      <c r="LXJ136" s="271"/>
      <c r="LXK136" s="271"/>
      <c r="LXL136" s="271"/>
      <c r="LXM136" s="271"/>
      <c r="LXN136" s="271"/>
      <c r="LXO136" s="271"/>
      <c r="LXP136" s="271"/>
      <c r="LXQ136" s="271"/>
      <c r="LXR136" s="271"/>
      <c r="LXS136" s="271"/>
      <c r="LXT136" s="271"/>
      <c r="LXU136" s="271"/>
      <c r="LXV136" s="271"/>
      <c r="LXW136" s="271"/>
      <c r="LXX136" s="271"/>
      <c r="LXY136" s="271"/>
      <c r="LXZ136" s="271"/>
      <c r="LYA136" s="271"/>
      <c r="LYB136" s="271"/>
      <c r="LYC136" s="271"/>
      <c r="LYD136" s="271"/>
      <c r="LYE136" s="271"/>
      <c r="LYF136" s="271"/>
      <c r="LYG136" s="271"/>
      <c r="LYH136" s="271"/>
      <c r="LYI136" s="271"/>
      <c r="LYJ136" s="271"/>
      <c r="LYK136" s="271"/>
      <c r="LYL136" s="271"/>
      <c r="LYM136" s="271"/>
      <c r="LYN136" s="271"/>
      <c r="LYO136" s="271"/>
      <c r="LYP136" s="271"/>
      <c r="LYQ136" s="271"/>
      <c r="LYR136" s="271"/>
      <c r="LYS136" s="271"/>
      <c r="LYT136" s="271"/>
      <c r="LYU136" s="271"/>
      <c r="LYV136" s="271"/>
      <c r="LYW136" s="271"/>
      <c r="LYX136" s="271"/>
      <c r="LYY136" s="271"/>
      <c r="LYZ136" s="271"/>
      <c r="LZA136" s="271"/>
      <c r="LZB136" s="271"/>
      <c r="LZC136" s="271"/>
      <c r="LZD136" s="271"/>
      <c r="LZE136" s="271"/>
      <c r="LZF136" s="271"/>
      <c r="LZG136" s="271"/>
      <c r="LZH136" s="271"/>
      <c r="LZI136" s="271"/>
      <c r="LZJ136" s="271"/>
      <c r="LZK136" s="271"/>
      <c r="LZL136" s="271"/>
      <c r="LZM136" s="271"/>
      <c r="LZN136" s="271"/>
      <c r="LZO136" s="271"/>
      <c r="LZP136" s="271"/>
      <c r="LZQ136" s="271"/>
      <c r="LZR136" s="271"/>
      <c r="LZS136" s="271"/>
      <c r="LZT136" s="271"/>
      <c r="LZU136" s="271"/>
      <c r="LZV136" s="271"/>
      <c r="LZW136" s="271"/>
      <c r="LZX136" s="271"/>
      <c r="LZY136" s="271"/>
      <c r="LZZ136" s="271"/>
      <c r="MAA136" s="271"/>
      <c r="MAB136" s="271"/>
      <c r="MAC136" s="271"/>
      <c r="MAD136" s="271"/>
      <c r="MAE136" s="271"/>
      <c r="MAF136" s="271"/>
      <c r="MAG136" s="271"/>
      <c r="MAH136" s="271"/>
      <c r="MAI136" s="271"/>
      <c r="MAJ136" s="271"/>
      <c r="MAK136" s="271"/>
      <c r="MAL136" s="271"/>
      <c r="MAM136" s="271"/>
      <c r="MAN136" s="271"/>
      <c r="MAO136" s="271"/>
      <c r="MAP136" s="271"/>
      <c r="MAQ136" s="271"/>
      <c r="MAR136" s="271"/>
      <c r="MAS136" s="271"/>
      <c r="MAT136" s="271"/>
      <c r="MAU136" s="271"/>
      <c r="MAV136" s="271"/>
      <c r="MAW136" s="271"/>
      <c r="MAX136" s="271"/>
      <c r="MAY136" s="271"/>
      <c r="MAZ136" s="271"/>
      <c r="MBA136" s="271"/>
      <c r="MBB136" s="271"/>
      <c r="MBC136" s="271"/>
      <c r="MBD136" s="271"/>
      <c r="MBE136" s="271"/>
      <c r="MBF136" s="271"/>
      <c r="MBG136" s="271"/>
      <c r="MBH136" s="271"/>
      <c r="MBI136" s="271"/>
      <c r="MBJ136" s="271"/>
      <c r="MBK136" s="271"/>
      <c r="MBL136" s="271"/>
      <c r="MBM136" s="271"/>
      <c r="MBN136" s="271"/>
      <c r="MBO136" s="271"/>
      <c r="MBP136" s="271"/>
      <c r="MBQ136" s="271"/>
      <c r="MBR136" s="271"/>
      <c r="MBS136" s="271"/>
      <c r="MBT136" s="271"/>
      <c r="MBU136" s="271"/>
      <c r="MBV136" s="271"/>
      <c r="MBW136" s="271"/>
      <c r="MBX136" s="271"/>
      <c r="MBY136" s="271"/>
      <c r="MBZ136" s="271"/>
      <c r="MCA136" s="271"/>
      <c r="MCB136" s="271"/>
      <c r="MCC136" s="271"/>
      <c r="MCD136" s="271"/>
      <c r="MCE136" s="271"/>
      <c r="MCF136" s="271"/>
      <c r="MCG136" s="271"/>
      <c r="MCH136" s="271"/>
      <c r="MCI136" s="271"/>
      <c r="MCJ136" s="271"/>
      <c r="MCK136" s="271"/>
      <c r="MCL136" s="271"/>
      <c r="MCM136" s="271"/>
      <c r="MCN136" s="271"/>
      <c r="MCO136" s="271"/>
      <c r="MCP136" s="271"/>
      <c r="MCQ136" s="271"/>
      <c r="MCR136" s="271"/>
      <c r="MCS136" s="271"/>
      <c r="MCT136" s="271"/>
      <c r="MCU136" s="271"/>
      <c r="MCV136" s="271"/>
      <c r="MCW136" s="271"/>
      <c r="MCX136" s="271"/>
      <c r="MCY136" s="271"/>
      <c r="MCZ136" s="271"/>
      <c r="MDA136" s="271"/>
      <c r="MDB136" s="271"/>
      <c r="MDC136" s="271"/>
      <c r="MDD136" s="271"/>
      <c r="MDE136" s="271"/>
      <c r="MDF136" s="271"/>
      <c r="MDG136" s="271"/>
      <c r="MDH136" s="271"/>
      <c r="MDI136" s="271"/>
      <c r="MDJ136" s="271"/>
      <c r="MDK136" s="271"/>
      <c r="MDL136" s="271"/>
      <c r="MDM136" s="271"/>
      <c r="MDN136" s="271"/>
      <c r="MDO136" s="271"/>
      <c r="MDP136" s="271"/>
      <c r="MDQ136" s="271"/>
      <c r="MDR136" s="271"/>
      <c r="MDS136" s="271"/>
      <c r="MDT136" s="271"/>
      <c r="MDU136" s="271"/>
      <c r="MDV136" s="271"/>
      <c r="MDW136" s="271"/>
      <c r="MDX136" s="271"/>
      <c r="MDY136" s="271"/>
      <c r="MDZ136" s="271"/>
      <c r="MEA136" s="271"/>
      <c r="MEB136" s="271"/>
      <c r="MEC136" s="271"/>
      <c r="MED136" s="271"/>
      <c r="MEE136" s="271"/>
      <c r="MEF136" s="271"/>
      <c r="MEG136" s="271"/>
      <c r="MEH136" s="271"/>
      <c r="MEI136" s="271"/>
      <c r="MEJ136" s="271"/>
      <c r="MEK136" s="271"/>
      <c r="MEL136" s="271"/>
      <c r="MEM136" s="271"/>
      <c r="MEN136" s="271"/>
      <c r="MEO136" s="271"/>
      <c r="MEP136" s="271"/>
      <c r="MEQ136" s="271"/>
      <c r="MER136" s="271"/>
      <c r="MES136" s="271"/>
      <c r="MET136" s="271"/>
      <c r="MEU136" s="271"/>
      <c r="MEV136" s="271"/>
      <c r="MEW136" s="271"/>
      <c r="MEX136" s="271"/>
      <c r="MEY136" s="271"/>
      <c r="MEZ136" s="271"/>
      <c r="MFA136" s="271"/>
      <c r="MFB136" s="271"/>
      <c r="MFC136" s="271"/>
      <c r="MFD136" s="271"/>
      <c r="MFE136" s="271"/>
      <c r="MFF136" s="271"/>
      <c r="MFG136" s="271"/>
      <c r="MFH136" s="271"/>
      <c r="MFI136" s="271"/>
      <c r="MFJ136" s="271"/>
      <c r="MFK136" s="271"/>
      <c r="MFL136" s="271"/>
      <c r="MFM136" s="271"/>
      <c r="MFN136" s="271"/>
      <c r="MFO136" s="271"/>
      <c r="MFP136" s="271"/>
      <c r="MFQ136" s="271"/>
      <c r="MFR136" s="271"/>
      <c r="MFS136" s="271"/>
      <c r="MFT136" s="271"/>
      <c r="MFU136" s="271"/>
      <c r="MFV136" s="271"/>
      <c r="MFW136" s="271"/>
      <c r="MFX136" s="271"/>
      <c r="MFY136" s="271"/>
      <c r="MFZ136" s="271"/>
      <c r="MGA136" s="271"/>
      <c r="MGB136" s="271"/>
      <c r="MGC136" s="271"/>
      <c r="MGD136" s="271"/>
      <c r="MGE136" s="271"/>
      <c r="MGF136" s="271"/>
      <c r="MGG136" s="271"/>
      <c r="MGH136" s="271"/>
      <c r="MGI136" s="271"/>
      <c r="MGJ136" s="271"/>
      <c r="MGK136" s="271"/>
      <c r="MGL136" s="271"/>
      <c r="MGM136" s="271"/>
      <c r="MGN136" s="271"/>
      <c r="MGO136" s="271"/>
      <c r="MGP136" s="271"/>
      <c r="MGQ136" s="271"/>
      <c r="MGR136" s="271"/>
      <c r="MGS136" s="271"/>
      <c r="MGT136" s="271"/>
      <c r="MGU136" s="271"/>
      <c r="MGV136" s="271"/>
      <c r="MGW136" s="271"/>
      <c r="MGX136" s="271"/>
      <c r="MGY136" s="271"/>
      <c r="MGZ136" s="271"/>
      <c r="MHA136" s="271"/>
      <c r="MHB136" s="271"/>
      <c r="MHC136" s="271"/>
      <c r="MHD136" s="271"/>
      <c r="MHE136" s="271"/>
      <c r="MHF136" s="271"/>
      <c r="MHG136" s="271"/>
      <c r="MHH136" s="271"/>
      <c r="MHI136" s="271"/>
      <c r="MHJ136" s="271"/>
      <c r="MHK136" s="271"/>
      <c r="MHL136" s="271"/>
      <c r="MHM136" s="271"/>
      <c r="MHN136" s="271"/>
      <c r="MHO136" s="271"/>
      <c r="MHP136" s="271"/>
      <c r="MHQ136" s="271"/>
      <c r="MHR136" s="271"/>
      <c r="MHS136" s="271"/>
      <c r="MHT136" s="271"/>
      <c r="MHU136" s="271"/>
      <c r="MHV136" s="271"/>
      <c r="MHW136" s="271"/>
      <c r="MHX136" s="271"/>
      <c r="MHY136" s="271"/>
      <c r="MHZ136" s="271"/>
      <c r="MIA136" s="271"/>
      <c r="MIB136" s="271"/>
      <c r="MIC136" s="271"/>
      <c r="MID136" s="271"/>
      <c r="MIE136" s="271"/>
      <c r="MIF136" s="271"/>
      <c r="MIG136" s="271"/>
      <c r="MIH136" s="271"/>
      <c r="MII136" s="271"/>
      <c r="MIJ136" s="271"/>
      <c r="MIK136" s="271"/>
      <c r="MIL136" s="271"/>
      <c r="MIM136" s="271"/>
      <c r="MIN136" s="271"/>
      <c r="MIO136" s="271"/>
      <c r="MIP136" s="271"/>
      <c r="MIQ136" s="271"/>
      <c r="MIR136" s="271"/>
      <c r="MIS136" s="271"/>
      <c r="MIT136" s="271"/>
      <c r="MIU136" s="271"/>
      <c r="MIV136" s="271"/>
      <c r="MIW136" s="271"/>
      <c r="MIX136" s="271"/>
      <c r="MIY136" s="271"/>
      <c r="MIZ136" s="271"/>
      <c r="MJA136" s="271"/>
      <c r="MJB136" s="271"/>
      <c r="MJC136" s="271"/>
      <c r="MJD136" s="271"/>
      <c r="MJE136" s="271"/>
      <c r="MJF136" s="271"/>
      <c r="MJG136" s="271"/>
      <c r="MJH136" s="271"/>
      <c r="MJI136" s="271"/>
      <c r="MJJ136" s="271"/>
      <c r="MJK136" s="271"/>
      <c r="MJL136" s="271"/>
      <c r="MJM136" s="271"/>
      <c r="MJN136" s="271"/>
      <c r="MJO136" s="271"/>
      <c r="MJP136" s="271"/>
      <c r="MJQ136" s="271"/>
      <c r="MJR136" s="271"/>
      <c r="MJS136" s="271"/>
      <c r="MJT136" s="271"/>
      <c r="MJU136" s="271"/>
      <c r="MJV136" s="271"/>
      <c r="MJW136" s="271"/>
      <c r="MJX136" s="271"/>
      <c r="MJY136" s="271"/>
      <c r="MJZ136" s="271"/>
      <c r="MKA136" s="271"/>
      <c r="MKB136" s="271"/>
      <c r="MKC136" s="271"/>
      <c r="MKD136" s="271"/>
      <c r="MKE136" s="271"/>
      <c r="MKF136" s="271"/>
      <c r="MKG136" s="271"/>
      <c r="MKH136" s="271"/>
      <c r="MKI136" s="271"/>
      <c r="MKJ136" s="271"/>
      <c r="MKK136" s="271"/>
      <c r="MKL136" s="271"/>
      <c r="MKM136" s="271"/>
      <c r="MKN136" s="271"/>
      <c r="MKO136" s="271"/>
      <c r="MKP136" s="271"/>
      <c r="MKQ136" s="271"/>
      <c r="MKR136" s="271"/>
      <c r="MKS136" s="271"/>
      <c r="MKT136" s="271"/>
      <c r="MKU136" s="271"/>
      <c r="MKV136" s="271"/>
      <c r="MKW136" s="271"/>
      <c r="MKX136" s="271"/>
      <c r="MKY136" s="271"/>
      <c r="MKZ136" s="271"/>
      <c r="MLA136" s="271"/>
      <c r="MLB136" s="271"/>
      <c r="MLC136" s="271"/>
      <c r="MLD136" s="271"/>
      <c r="MLE136" s="271"/>
      <c r="MLF136" s="271"/>
      <c r="MLG136" s="271"/>
      <c r="MLH136" s="271"/>
      <c r="MLI136" s="271"/>
      <c r="MLJ136" s="271"/>
      <c r="MLK136" s="271"/>
      <c r="MLL136" s="271"/>
      <c r="MLM136" s="271"/>
      <c r="MLN136" s="271"/>
      <c r="MLO136" s="271"/>
      <c r="MLP136" s="271"/>
      <c r="MLQ136" s="271"/>
      <c r="MLR136" s="271"/>
      <c r="MLS136" s="271"/>
      <c r="MLT136" s="271"/>
      <c r="MLU136" s="271"/>
      <c r="MLV136" s="271"/>
      <c r="MLW136" s="271"/>
      <c r="MLX136" s="271"/>
      <c r="MLY136" s="271"/>
      <c r="MLZ136" s="271"/>
      <c r="MMA136" s="271"/>
      <c r="MMB136" s="271"/>
      <c r="MMC136" s="271"/>
      <c r="MMD136" s="271"/>
      <c r="MME136" s="271"/>
      <c r="MMF136" s="271"/>
      <c r="MMG136" s="271"/>
      <c r="MMH136" s="271"/>
      <c r="MMI136" s="271"/>
      <c r="MMJ136" s="271"/>
      <c r="MMK136" s="271"/>
      <c r="MML136" s="271"/>
      <c r="MMM136" s="271"/>
      <c r="MMN136" s="271"/>
      <c r="MMO136" s="271"/>
      <c r="MMP136" s="271"/>
      <c r="MMQ136" s="271"/>
      <c r="MMR136" s="271"/>
      <c r="MMS136" s="271"/>
      <c r="MMT136" s="271"/>
      <c r="MMU136" s="271"/>
      <c r="MMV136" s="271"/>
      <c r="MMW136" s="271"/>
      <c r="MMX136" s="271"/>
      <c r="MMY136" s="271"/>
      <c r="MMZ136" s="271"/>
      <c r="MNA136" s="271"/>
      <c r="MNB136" s="271"/>
      <c r="MNC136" s="271"/>
      <c r="MND136" s="271"/>
      <c r="MNE136" s="271"/>
      <c r="MNF136" s="271"/>
      <c r="MNG136" s="271"/>
      <c r="MNH136" s="271"/>
      <c r="MNI136" s="271"/>
      <c r="MNJ136" s="271"/>
      <c r="MNK136" s="271"/>
      <c r="MNL136" s="271"/>
      <c r="MNM136" s="271"/>
      <c r="MNN136" s="271"/>
      <c r="MNO136" s="271"/>
      <c r="MNP136" s="271"/>
      <c r="MNQ136" s="271"/>
      <c r="MNR136" s="271"/>
      <c r="MNS136" s="271"/>
      <c r="MNT136" s="271"/>
      <c r="MNU136" s="271"/>
      <c r="MNV136" s="271"/>
      <c r="MNW136" s="271"/>
      <c r="MNX136" s="271"/>
      <c r="MNY136" s="271"/>
      <c r="MNZ136" s="271"/>
      <c r="MOA136" s="271"/>
      <c r="MOB136" s="271"/>
      <c r="MOC136" s="271"/>
      <c r="MOD136" s="271"/>
      <c r="MOE136" s="271"/>
      <c r="MOF136" s="271"/>
      <c r="MOG136" s="271"/>
      <c r="MOH136" s="271"/>
      <c r="MOI136" s="271"/>
      <c r="MOJ136" s="271"/>
      <c r="MOK136" s="271"/>
      <c r="MOL136" s="271"/>
      <c r="MOM136" s="271"/>
      <c r="MON136" s="271"/>
      <c r="MOO136" s="271"/>
      <c r="MOP136" s="271"/>
      <c r="MOQ136" s="271"/>
      <c r="MOR136" s="271"/>
      <c r="MOS136" s="271"/>
      <c r="MOT136" s="271"/>
      <c r="MOU136" s="271"/>
      <c r="MOV136" s="271"/>
      <c r="MOW136" s="271"/>
      <c r="MOX136" s="271"/>
      <c r="MOY136" s="271"/>
      <c r="MOZ136" s="271"/>
      <c r="MPA136" s="271"/>
      <c r="MPB136" s="271"/>
      <c r="MPC136" s="271"/>
      <c r="MPD136" s="271"/>
      <c r="MPE136" s="271"/>
      <c r="MPF136" s="271"/>
      <c r="MPG136" s="271"/>
      <c r="MPH136" s="271"/>
      <c r="MPI136" s="271"/>
      <c r="MPJ136" s="271"/>
      <c r="MPK136" s="271"/>
      <c r="MPL136" s="271"/>
      <c r="MPM136" s="271"/>
      <c r="MPN136" s="271"/>
      <c r="MPO136" s="271"/>
      <c r="MPP136" s="271"/>
      <c r="MPQ136" s="271"/>
      <c r="MPR136" s="271"/>
      <c r="MPS136" s="271"/>
      <c r="MPT136" s="271"/>
      <c r="MPU136" s="271"/>
      <c r="MPV136" s="271"/>
      <c r="MPW136" s="271"/>
      <c r="MPX136" s="271"/>
      <c r="MPY136" s="271"/>
      <c r="MPZ136" s="271"/>
      <c r="MQA136" s="271"/>
      <c r="MQB136" s="271"/>
      <c r="MQC136" s="271"/>
      <c r="MQD136" s="271"/>
      <c r="MQE136" s="271"/>
      <c r="MQF136" s="271"/>
      <c r="MQG136" s="271"/>
      <c r="MQH136" s="271"/>
      <c r="MQI136" s="271"/>
      <c r="MQJ136" s="271"/>
      <c r="MQK136" s="271"/>
      <c r="MQL136" s="271"/>
      <c r="MQM136" s="271"/>
      <c r="MQN136" s="271"/>
      <c r="MQO136" s="271"/>
      <c r="MQP136" s="271"/>
      <c r="MQQ136" s="271"/>
      <c r="MQR136" s="271"/>
      <c r="MQS136" s="271"/>
      <c r="MQT136" s="271"/>
      <c r="MQU136" s="271"/>
      <c r="MQV136" s="271"/>
      <c r="MQW136" s="271"/>
      <c r="MQX136" s="271"/>
      <c r="MQY136" s="271"/>
      <c r="MQZ136" s="271"/>
      <c r="MRA136" s="271"/>
      <c r="MRB136" s="271"/>
      <c r="MRC136" s="271"/>
      <c r="MRD136" s="271"/>
      <c r="MRE136" s="271"/>
      <c r="MRF136" s="271"/>
      <c r="MRG136" s="271"/>
      <c r="MRH136" s="271"/>
      <c r="MRI136" s="271"/>
      <c r="MRJ136" s="271"/>
      <c r="MRK136" s="271"/>
      <c r="MRL136" s="271"/>
      <c r="MRM136" s="271"/>
      <c r="MRN136" s="271"/>
      <c r="MRO136" s="271"/>
      <c r="MRP136" s="271"/>
      <c r="MRQ136" s="271"/>
      <c r="MRR136" s="271"/>
      <c r="MRS136" s="271"/>
      <c r="MRT136" s="271"/>
      <c r="MRU136" s="271"/>
      <c r="MRV136" s="271"/>
      <c r="MRW136" s="271"/>
      <c r="MRX136" s="271"/>
      <c r="MRY136" s="271"/>
      <c r="MRZ136" s="271"/>
      <c r="MSA136" s="271"/>
      <c r="MSB136" s="271"/>
      <c r="MSC136" s="271"/>
      <c r="MSD136" s="271"/>
      <c r="MSE136" s="271"/>
      <c r="MSF136" s="271"/>
      <c r="MSG136" s="271"/>
      <c r="MSH136" s="271"/>
      <c r="MSI136" s="271"/>
      <c r="MSJ136" s="271"/>
      <c r="MSK136" s="271"/>
      <c r="MSL136" s="271"/>
      <c r="MSM136" s="271"/>
      <c r="MSN136" s="271"/>
      <c r="MSO136" s="271"/>
      <c r="MSP136" s="271"/>
      <c r="MSQ136" s="271"/>
      <c r="MSR136" s="271"/>
      <c r="MSS136" s="271"/>
      <c r="MST136" s="271"/>
      <c r="MSU136" s="271"/>
      <c r="MSV136" s="271"/>
      <c r="MSW136" s="271"/>
      <c r="MSX136" s="271"/>
      <c r="MSY136" s="271"/>
      <c r="MSZ136" s="271"/>
      <c r="MTA136" s="271"/>
      <c r="MTB136" s="271"/>
      <c r="MTC136" s="271"/>
      <c r="MTD136" s="271"/>
      <c r="MTE136" s="271"/>
      <c r="MTF136" s="271"/>
      <c r="MTG136" s="271"/>
      <c r="MTH136" s="271"/>
      <c r="MTI136" s="271"/>
      <c r="MTJ136" s="271"/>
      <c r="MTK136" s="271"/>
      <c r="MTL136" s="271"/>
      <c r="MTM136" s="271"/>
      <c r="MTN136" s="271"/>
      <c r="MTO136" s="271"/>
      <c r="MTP136" s="271"/>
      <c r="MTQ136" s="271"/>
      <c r="MTR136" s="271"/>
      <c r="MTS136" s="271"/>
      <c r="MTT136" s="271"/>
      <c r="MTU136" s="271"/>
      <c r="MTV136" s="271"/>
      <c r="MTW136" s="271"/>
      <c r="MTX136" s="271"/>
      <c r="MTY136" s="271"/>
      <c r="MTZ136" s="271"/>
      <c r="MUA136" s="271"/>
      <c r="MUB136" s="271"/>
      <c r="MUC136" s="271"/>
      <c r="MUD136" s="271"/>
      <c r="MUE136" s="271"/>
      <c r="MUF136" s="271"/>
      <c r="MUG136" s="271"/>
      <c r="MUH136" s="271"/>
      <c r="MUI136" s="271"/>
      <c r="MUJ136" s="271"/>
      <c r="MUK136" s="271"/>
      <c r="MUL136" s="271"/>
      <c r="MUM136" s="271"/>
      <c r="MUN136" s="271"/>
      <c r="MUO136" s="271"/>
      <c r="MUP136" s="271"/>
      <c r="MUQ136" s="271"/>
      <c r="MUR136" s="271"/>
      <c r="MUS136" s="271"/>
      <c r="MUT136" s="271"/>
      <c r="MUU136" s="271"/>
      <c r="MUV136" s="271"/>
      <c r="MUW136" s="271"/>
      <c r="MUX136" s="271"/>
      <c r="MUY136" s="271"/>
      <c r="MUZ136" s="271"/>
      <c r="MVA136" s="271"/>
      <c r="MVB136" s="271"/>
      <c r="MVC136" s="271"/>
      <c r="MVD136" s="271"/>
      <c r="MVE136" s="271"/>
      <c r="MVF136" s="271"/>
      <c r="MVG136" s="271"/>
      <c r="MVH136" s="271"/>
      <c r="MVI136" s="271"/>
      <c r="MVJ136" s="271"/>
      <c r="MVK136" s="271"/>
      <c r="MVL136" s="271"/>
      <c r="MVM136" s="271"/>
      <c r="MVN136" s="271"/>
      <c r="MVO136" s="271"/>
      <c r="MVP136" s="271"/>
      <c r="MVQ136" s="271"/>
      <c r="MVR136" s="271"/>
      <c r="MVS136" s="271"/>
      <c r="MVT136" s="271"/>
      <c r="MVU136" s="271"/>
      <c r="MVV136" s="271"/>
      <c r="MVW136" s="271"/>
      <c r="MVX136" s="271"/>
      <c r="MVY136" s="271"/>
      <c r="MVZ136" s="271"/>
      <c r="MWA136" s="271"/>
      <c r="MWB136" s="271"/>
      <c r="MWC136" s="271"/>
      <c r="MWD136" s="271"/>
      <c r="MWE136" s="271"/>
      <c r="MWF136" s="271"/>
      <c r="MWG136" s="271"/>
      <c r="MWH136" s="271"/>
      <c r="MWI136" s="271"/>
      <c r="MWJ136" s="271"/>
      <c r="MWK136" s="271"/>
      <c r="MWL136" s="271"/>
      <c r="MWM136" s="271"/>
      <c r="MWN136" s="271"/>
      <c r="MWO136" s="271"/>
      <c r="MWP136" s="271"/>
      <c r="MWQ136" s="271"/>
      <c r="MWR136" s="271"/>
      <c r="MWS136" s="271"/>
      <c r="MWT136" s="271"/>
      <c r="MWU136" s="271"/>
      <c r="MWV136" s="271"/>
      <c r="MWW136" s="271"/>
      <c r="MWX136" s="271"/>
      <c r="MWY136" s="271"/>
      <c r="MWZ136" s="271"/>
      <c r="MXA136" s="271"/>
      <c r="MXB136" s="271"/>
      <c r="MXC136" s="271"/>
      <c r="MXD136" s="271"/>
      <c r="MXE136" s="271"/>
      <c r="MXF136" s="271"/>
      <c r="MXG136" s="271"/>
      <c r="MXH136" s="271"/>
      <c r="MXI136" s="271"/>
      <c r="MXJ136" s="271"/>
      <c r="MXK136" s="271"/>
      <c r="MXL136" s="271"/>
      <c r="MXM136" s="271"/>
      <c r="MXN136" s="271"/>
      <c r="MXO136" s="271"/>
      <c r="MXP136" s="271"/>
      <c r="MXQ136" s="271"/>
      <c r="MXR136" s="271"/>
      <c r="MXS136" s="271"/>
      <c r="MXT136" s="271"/>
      <c r="MXU136" s="271"/>
      <c r="MXV136" s="271"/>
      <c r="MXW136" s="271"/>
      <c r="MXX136" s="271"/>
      <c r="MXY136" s="271"/>
      <c r="MXZ136" s="271"/>
      <c r="MYA136" s="271"/>
      <c r="MYB136" s="271"/>
      <c r="MYC136" s="271"/>
      <c r="MYD136" s="271"/>
      <c r="MYE136" s="271"/>
      <c r="MYF136" s="271"/>
      <c r="MYG136" s="271"/>
      <c r="MYH136" s="271"/>
      <c r="MYI136" s="271"/>
      <c r="MYJ136" s="271"/>
      <c r="MYK136" s="271"/>
      <c r="MYL136" s="271"/>
      <c r="MYM136" s="271"/>
      <c r="MYN136" s="271"/>
      <c r="MYO136" s="271"/>
      <c r="MYP136" s="271"/>
      <c r="MYQ136" s="271"/>
      <c r="MYR136" s="271"/>
      <c r="MYS136" s="271"/>
      <c r="MYT136" s="271"/>
      <c r="MYU136" s="271"/>
      <c r="MYV136" s="271"/>
      <c r="MYW136" s="271"/>
      <c r="MYX136" s="271"/>
      <c r="MYY136" s="271"/>
      <c r="MYZ136" s="271"/>
      <c r="MZA136" s="271"/>
      <c r="MZB136" s="271"/>
      <c r="MZC136" s="271"/>
      <c r="MZD136" s="271"/>
      <c r="MZE136" s="271"/>
      <c r="MZF136" s="271"/>
      <c r="MZG136" s="271"/>
      <c r="MZH136" s="271"/>
      <c r="MZI136" s="271"/>
      <c r="MZJ136" s="271"/>
      <c r="MZK136" s="271"/>
      <c r="MZL136" s="271"/>
      <c r="MZM136" s="271"/>
      <c r="MZN136" s="271"/>
      <c r="MZO136" s="271"/>
      <c r="MZP136" s="271"/>
      <c r="MZQ136" s="271"/>
      <c r="MZR136" s="271"/>
      <c r="MZS136" s="271"/>
      <c r="MZT136" s="271"/>
      <c r="MZU136" s="271"/>
      <c r="MZV136" s="271"/>
      <c r="MZW136" s="271"/>
      <c r="MZX136" s="271"/>
      <c r="MZY136" s="271"/>
      <c r="MZZ136" s="271"/>
      <c r="NAA136" s="271"/>
      <c r="NAB136" s="271"/>
      <c r="NAC136" s="271"/>
      <c r="NAD136" s="271"/>
      <c r="NAE136" s="271"/>
      <c r="NAF136" s="271"/>
      <c r="NAG136" s="271"/>
      <c r="NAH136" s="271"/>
      <c r="NAI136" s="271"/>
      <c r="NAJ136" s="271"/>
      <c r="NAK136" s="271"/>
      <c r="NAL136" s="271"/>
      <c r="NAM136" s="271"/>
      <c r="NAN136" s="271"/>
      <c r="NAO136" s="271"/>
      <c r="NAP136" s="271"/>
      <c r="NAQ136" s="271"/>
      <c r="NAR136" s="271"/>
      <c r="NAS136" s="271"/>
      <c r="NAT136" s="271"/>
      <c r="NAU136" s="271"/>
      <c r="NAV136" s="271"/>
      <c r="NAW136" s="271"/>
      <c r="NAX136" s="271"/>
      <c r="NAY136" s="271"/>
      <c r="NAZ136" s="271"/>
      <c r="NBA136" s="271"/>
      <c r="NBB136" s="271"/>
      <c r="NBC136" s="271"/>
      <c r="NBD136" s="271"/>
      <c r="NBE136" s="271"/>
      <c r="NBF136" s="271"/>
      <c r="NBG136" s="271"/>
      <c r="NBH136" s="271"/>
      <c r="NBI136" s="271"/>
      <c r="NBJ136" s="271"/>
      <c r="NBK136" s="271"/>
      <c r="NBL136" s="271"/>
      <c r="NBM136" s="271"/>
      <c r="NBN136" s="271"/>
      <c r="NBO136" s="271"/>
      <c r="NBP136" s="271"/>
      <c r="NBQ136" s="271"/>
      <c r="NBR136" s="271"/>
      <c r="NBS136" s="271"/>
      <c r="NBT136" s="271"/>
      <c r="NBU136" s="271"/>
      <c r="NBV136" s="271"/>
      <c r="NBW136" s="271"/>
      <c r="NBX136" s="271"/>
      <c r="NBY136" s="271"/>
      <c r="NBZ136" s="271"/>
      <c r="NCA136" s="271"/>
      <c r="NCB136" s="271"/>
      <c r="NCC136" s="271"/>
      <c r="NCD136" s="271"/>
      <c r="NCE136" s="271"/>
      <c r="NCF136" s="271"/>
      <c r="NCG136" s="271"/>
      <c r="NCH136" s="271"/>
      <c r="NCI136" s="271"/>
      <c r="NCJ136" s="271"/>
      <c r="NCK136" s="271"/>
      <c r="NCL136" s="271"/>
      <c r="NCM136" s="271"/>
      <c r="NCN136" s="271"/>
      <c r="NCO136" s="271"/>
      <c r="NCP136" s="271"/>
      <c r="NCQ136" s="271"/>
      <c r="NCR136" s="271"/>
      <c r="NCS136" s="271"/>
      <c r="NCT136" s="271"/>
      <c r="NCU136" s="271"/>
      <c r="NCV136" s="271"/>
      <c r="NCW136" s="271"/>
      <c r="NCX136" s="271"/>
      <c r="NCY136" s="271"/>
      <c r="NCZ136" s="271"/>
      <c r="NDA136" s="271"/>
      <c r="NDB136" s="271"/>
      <c r="NDC136" s="271"/>
      <c r="NDD136" s="271"/>
      <c r="NDE136" s="271"/>
      <c r="NDF136" s="271"/>
      <c r="NDG136" s="271"/>
      <c r="NDH136" s="271"/>
      <c r="NDI136" s="271"/>
      <c r="NDJ136" s="271"/>
      <c r="NDK136" s="271"/>
      <c r="NDL136" s="271"/>
      <c r="NDM136" s="271"/>
      <c r="NDN136" s="271"/>
      <c r="NDO136" s="271"/>
      <c r="NDP136" s="271"/>
      <c r="NDQ136" s="271"/>
      <c r="NDR136" s="271"/>
      <c r="NDS136" s="271"/>
      <c r="NDT136" s="271"/>
      <c r="NDU136" s="271"/>
      <c r="NDV136" s="271"/>
      <c r="NDW136" s="271"/>
      <c r="NDX136" s="271"/>
      <c r="NDY136" s="271"/>
      <c r="NDZ136" s="271"/>
      <c r="NEA136" s="271"/>
      <c r="NEB136" s="271"/>
      <c r="NEC136" s="271"/>
      <c r="NED136" s="271"/>
      <c r="NEE136" s="271"/>
      <c r="NEF136" s="271"/>
      <c r="NEG136" s="271"/>
      <c r="NEH136" s="271"/>
      <c r="NEI136" s="271"/>
      <c r="NEJ136" s="271"/>
      <c r="NEK136" s="271"/>
      <c r="NEL136" s="271"/>
      <c r="NEM136" s="271"/>
      <c r="NEN136" s="271"/>
      <c r="NEO136" s="271"/>
      <c r="NEP136" s="271"/>
      <c r="NEQ136" s="271"/>
      <c r="NER136" s="271"/>
      <c r="NES136" s="271"/>
      <c r="NET136" s="271"/>
      <c r="NEU136" s="271"/>
      <c r="NEV136" s="271"/>
      <c r="NEW136" s="271"/>
      <c r="NEX136" s="271"/>
      <c r="NEY136" s="271"/>
      <c r="NEZ136" s="271"/>
      <c r="NFA136" s="271"/>
      <c r="NFB136" s="271"/>
      <c r="NFC136" s="271"/>
      <c r="NFD136" s="271"/>
      <c r="NFE136" s="271"/>
      <c r="NFF136" s="271"/>
      <c r="NFG136" s="271"/>
      <c r="NFH136" s="271"/>
      <c r="NFI136" s="271"/>
      <c r="NFJ136" s="271"/>
      <c r="NFK136" s="271"/>
      <c r="NFL136" s="271"/>
      <c r="NFM136" s="271"/>
      <c r="NFN136" s="271"/>
      <c r="NFO136" s="271"/>
      <c r="NFP136" s="271"/>
      <c r="NFQ136" s="271"/>
      <c r="NFR136" s="271"/>
      <c r="NFS136" s="271"/>
      <c r="NFT136" s="271"/>
      <c r="NFU136" s="271"/>
      <c r="NFV136" s="271"/>
      <c r="NFW136" s="271"/>
      <c r="NFX136" s="271"/>
      <c r="NFY136" s="271"/>
      <c r="NFZ136" s="271"/>
      <c r="NGA136" s="271"/>
      <c r="NGB136" s="271"/>
      <c r="NGC136" s="271"/>
      <c r="NGD136" s="271"/>
      <c r="NGE136" s="271"/>
      <c r="NGF136" s="271"/>
      <c r="NGG136" s="271"/>
      <c r="NGH136" s="271"/>
      <c r="NGI136" s="271"/>
      <c r="NGJ136" s="271"/>
      <c r="NGK136" s="271"/>
      <c r="NGL136" s="271"/>
      <c r="NGM136" s="271"/>
      <c r="NGN136" s="271"/>
      <c r="NGO136" s="271"/>
      <c r="NGP136" s="271"/>
      <c r="NGQ136" s="271"/>
      <c r="NGR136" s="271"/>
      <c r="NGS136" s="271"/>
      <c r="NGT136" s="271"/>
      <c r="NGU136" s="271"/>
      <c r="NGV136" s="271"/>
      <c r="NGW136" s="271"/>
      <c r="NGX136" s="271"/>
      <c r="NGY136" s="271"/>
      <c r="NGZ136" s="271"/>
      <c r="NHA136" s="271"/>
      <c r="NHB136" s="271"/>
      <c r="NHC136" s="271"/>
      <c r="NHD136" s="271"/>
      <c r="NHE136" s="271"/>
      <c r="NHF136" s="271"/>
      <c r="NHG136" s="271"/>
      <c r="NHH136" s="271"/>
      <c r="NHI136" s="271"/>
      <c r="NHJ136" s="271"/>
      <c r="NHK136" s="271"/>
      <c r="NHL136" s="271"/>
      <c r="NHM136" s="271"/>
      <c r="NHN136" s="271"/>
      <c r="NHO136" s="271"/>
      <c r="NHP136" s="271"/>
      <c r="NHQ136" s="271"/>
      <c r="NHR136" s="271"/>
      <c r="NHS136" s="271"/>
      <c r="NHT136" s="271"/>
      <c r="NHU136" s="271"/>
      <c r="NHV136" s="271"/>
      <c r="NHW136" s="271"/>
      <c r="NHX136" s="271"/>
      <c r="NHY136" s="271"/>
      <c r="NHZ136" s="271"/>
      <c r="NIA136" s="271"/>
      <c r="NIB136" s="271"/>
      <c r="NIC136" s="271"/>
      <c r="NID136" s="271"/>
      <c r="NIE136" s="271"/>
      <c r="NIF136" s="271"/>
      <c r="NIG136" s="271"/>
      <c r="NIH136" s="271"/>
      <c r="NII136" s="271"/>
      <c r="NIJ136" s="271"/>
      <c r="NIK136" s="271"/>
      <c r="NIL136" s="271"/>
      <c r="NIM136" s="271"/>
      <c r="NIN136" s="271"/>
      <c r="NIO136" s="271"/>
      <c r="NIP136" s="271"/>
      <c r="NIQ136" s="271"/>
      <c r="NIR136" s="271"/>
      <c r="NIS136" s="271"/>
      <c r="NIT136" s="271"/>
      <c r="NIU136" s="271"/>
      <c r="NIV136" s="271"/>
      <c r="NIW136" s="271"/>
      <c r="NIX136" s="271"/>
      <c r="NIY136" s="271"/>
      <c r="NIZ136" s="271"/>
      <c r="NJA136" s="271"/>
      <c r="NJB136" s="271"/>
      <c r="NJC136" s="271"/>
      <c r="NJD136" s="271"/>
      <c r="NJE136" s="271"/>
      <c r="NJF136" s="271"/>
      <c r="NJG136" s="271"/>
      <c r="NJH136" s="271"/>
      <c r="NJI136" s="271"/>
      <c r="NJJ136" s="271"/>
      <c r="NJK136" s="271"/>
      <c r="NJL136" s="271"/>
      <c r="NJM136" s="271"/>
      <c r="NJN136" s="271"/>
      <c r="NJO136" s="271"/>
      <c r="NJP136" s="271"/>
      <c r="NJQ136" s="271"/>
      <c r="NJR136" s="271"/>
      <c r="NJS136" s="271"/>
      <c r="NJT136" s="271"/>
      <c r="NJU136" s="271"/>
      <c r="NJV136" s="271"/>
      <c r="NJW136" s="271"/>
      <c r="NJX136" s="271"/>
      <c r="NJY136" s="271"/>
      <c r="NJZ136" s="271"/>
      <c r="NKA136" s="271"/>
      <c r="NKB136" s="271"/>
      <c r="NKC136" s="271"/>
      <c r="NKD136" s="271"/>
      <c r="NKE136" s="271"/>
      <c r="NKF136" s="271"/>
      <c r="NKG136" s="271"/>
      <c r="NKH136" s="271"/>
      <c r="NKI136" s="271"/>
      <c r="NKJ136" s="271"/>
      <c r="NKK136" s="271"/>
      <c r="NKL136" s="271"/>
      <c r="NKM136" s="271"/>
      <c r="NKN136" s="271"/>
      <c r="NKO136" s="271"/>
      <c r="NKP136" s="271"/>
      <c r="NKQ136" s="271"/>
      <c r="NKR136" s="271"/>
      <c r="NKS136" s="271"/>
      <c r="NKT136" s="271"/>
      <c r="NKU136" s="271"/>
      <c r="NKV136" s="271"/>
      <c r="NKW136" s="271"/>
      <c r="NKX136" s="271"/>
      <c r="NKY136" s="271"/>
      <c r="NKZ136" s="271"/>
      <c r="NLA136" s="271"/>
      <c r="NLB136" s="271"/>
      <c r="NLC136" s="271"/>
      <c r="NLD136" s="271"/>
      <c r="NLE136" s="271"/>
      <c r="NLF136" s="271"/>
      <c r="NLG136" s="271"/>
      <c r="NLH136" s="271"/>
      <c r="NLI136" s="271"/>
      <c r="NLJ136" s="271"/>
      <c r="NLK136" s="271"/>
      <c r="NLL136" s="271"/>
      <c r="NLM136" s="271"/>
      <c r="NLN136" s="271"/>
      <c r="NLO136" s="271"/>
      <c r="NLP136" s="271"/>
      <c r="NLQ136" s="271"/>
      <c r="NLR136" s="271"/>
      <c r="NLS136" s="271"/>
      <c r="NLT136" s="271"/>
      <c r="NLU136" s="271"/>
      <c r="NLV136" s="271"/>
      <c r="NLW136" s="271"/>
      <c r="NLX136" s="271"/>
      <c r="NLY136" s="271"/>
      <c r="NLZ136" s="271"/>
      <c r="NMA136" s="271"/>
      <c r="NMB136" s="271"/>
      <c r="NMC136" s="271"/>
      <c r="NMD136" s="271"/>
      <c r="NME136" s="271"/>
      <c r="NMF136" s="271"/>
      <c r="NMG136" s="271"/>
      <c r="NMH136" s="271"/>
      <c r="NMI136" s="271"/>
      <c r="NMJ136" s="271"/>
      <c r="NMK136" s="271"/>
      <c r="NML136" s="271"/>
      <c r="NMM136" s="271"/>
      <c r="NMN136" s="271"/>
      <c r="NMO136" s="271"/>
      <c r="NMP136" s="271"/>
      <c r="NMQ136" s="271"/>
      <c r="NMR136" s="271"/>
      <c r="NMS136" s="271"/>
      <c r="NMT136" s="271"/>
      <c r="NMU136" s="271"/>
      <c r="NMV136" s="271"/>
      <c r="NMW136" s="271"/>
      <c r="NMX136" s="271"/>
      <c r="NMY136" s="271"/>
      <c r="NMZ136" s="271"/>
      <c r="NNA136" s="271"/>
      <c r="NNB136" s="271"/>
      <c r="NNC136" s="271"/>
      <c r="NND136" s="271"/>
      <c r="NNE136" s="271"/>
      <c r="NNF136" s="271"/>
      <c r="NNG136" s="271"/>
      <c r="NNH136" s="271"/>
      <c r="NNI136" s="271"/>
      <c r="NNJ136" s="271"/>
      <c r="NNK136" s="271"/>
      <c r="NNL136" s="271"/>
      <c r="NNM136" s="271"/>
      <c r="NNN136" s="271"/>
      <c r="NNO136" s="271"/>
      <c r="NNP136" s="271"/>
      <c r="NNQ136" s="271"/>
      <c r="NNR136" s="271"/>
      <c r="NNS136" s="271"/>
      <c r="NNT136" s="271"/>
      <c r="NNU136" s="271"/>
      <c r="NNV136" s="271"/>
      <c r="NNW136" s="271"/>
      <c r="NNX136" s="271"/>
      <c r="NNY136" s="271"/>
      <c r="NNZ136" s="271"/>
      <c r="NOA136" s="271"/>
      <c r="NOB136" s="271"/>
      <c r="NOC136" s="271"/>
      <c r="NOD136" s="271"/>
      <c r="NOE136" s="271"/>
      <c r="NOF136" s="271"/>
      <c r="NOG136" s="271"/>
      <c r="NOH136" s="271"/>
      <c r="NOI136" s="271"/>
      <c r="NOJ136" s="271"/>
      <c r="NOK136" s="271"/>
      <c r="NOL136" s="271"/>
      <c r="NOM136" s="271"/>
      <c r="NON136" s="271"/>
      <c r="NOO136" s="271"/>
      <c r="NOP136" s="271"/>
      <c r="NOQ136" s="271"/>
      <c r="NOR136" s="271"/>
      <c r="NOS136" s="271"/>
      <c r="NOT136" s="271"/>
      <c r="NOU136" s="271"/>
      <c r="NOV136" s="271"/>
      <c r="NOW136" s="271"/>
      <c r="NOX136" s="271"/>
      <c r="NOY136" s="271"/>
      <c r="NOZ136" s="271"/>
      <c r="NPA136" s="271"/>
      <c r="NPB136" s="271"/>
      <c r="NPC136" s="271"/>
      <c r="NPD136" s="271"/>
      <c r="NPE136" s="271"/>
      <c r="NPF136" s="271"/>
      <c r="NPG136" s="271"/>
      <c r="NPH136" s="271"/>
      <c r="NPI136" s="271"/>
      <c r="NPJ136" s="271"/>
      <c r="NPK136" s="271"/>
      <c r="NPL136" s="271"/>
      <c r="NPM136" s="271"/>
      <c r="NPN136" s="271"/>
      <c r="NPO136" s="271"/>
      <c r="NPP136" s="271"/>
      <c r="NPQ136" s="271"/>
      <c r="NPR136" s="271"/>
      <c r="NPS136" s="271"/>
      <c r="NPT136" s="271"/>
      <c r="NPU136" s="271"/>
      <c r="NPV136" s="271"/>
      <c r="NPW136" s="271"/>
      <c r="NPX136" s="271"/>
      <c r="NPY136" s="271"/>
      <c r="NPZ136" s="271"/>
      <c r="NQA136" s="271"/>
      <c r="NQB136" s="271"/>
      <c r="NQC136" s="271"/>
      <c r="NQD136" s="271"/>
      <c r="NQE136" s="271"/>
      <c r="NQF136" s="271"/>
      <c r="NQG136" s="271"/>
      <c r="NQH136" s="271"/>
      <c r="NQI136" s="271"/>
      <c r="NQJ136" s="271"/>
      <c r="NQK136" s="271"/>
      <c r="NQL136" s="271"/>
      <c r="NQM136" s="271"/>
      <c r="NQN136" s="271"/>
      <c r="NQO136" s="271"/>
      <c r="NQP136" s="271"/>
      <c r="NQQ136" s="271"/>
      <c r="NQR136" s="271"/>
      <c r="NQS136" s="271"/>
      <c r="NQT136" s="271"/>
      <c r="NQU136" s="271"/>
      <c r="NQV136" s="271"/>
      <c r="NQW136" s="271"/>
      <c r="NQX136" s="271"/>
      <c r="NQY136" s="271"/>
      <c r="NQZ136" s="271"/>
      <c r="NRA136" s="271"/>
      <c r="NRB136" s="271"/>
      <c r="NRC136" s="271"/>
      <c r="NRD136" s="271"/>
      <c r="NRE136" s="271"/>
      <c r="NRF136" s="271"/>
      <c r="NRG136" s="271"/>
      <c r="NRH136" s="271"/>
      <c r="NRI136" s="271"/>
      <c r="NRJ136" s="271"/>
      <c r="NRK136" s="271"/>
      <c r="NRL136" s="271"/>
      <c r="NRM136" s="271"/>
      <c r="NRN136" s="271"/>
      <c r="NRO136" s="271"/>
      <c r="NRP136" s="271"/>
      <c r="NRQ136" s="271"/>
      <c r="NRR136" s="271"/>
      <c r="NRS136" s="271"/>
      <c r="NRT136" s="271"/>
      <c r="NRU136" s="271"/>
      <c r="NRV136" s="271"/>
      <c r="NRW136" s="271"/>
      <c r="NRX136" s="271"/>
      <c r="NRY136" s="271"/>
      <c r="NRZ136" s="271"/>
      <c r="NSA136" s="271"/>
      <c r="NSB136" s="271"/>
      <c r="NSC136" s="271"/>
      <c r="NSD136" s="271"/>
      <c r="NSE136" s="271"/>
      <c r="NSF136" s="271"/>
      <c r="NSG136" s="271"/>
      <c r="NSH136" s="271"/>
      <c r="NSI136" s="271"/>
      <c r="NSJ136" s="271"/>
      <c r="NSK136" s="271"/>
      <c r="NSL136" s="271"/>
      <c r="NSM136" s="271"/>
      <c r="NSN136" s="271"/>
      <c r="NSO136" s="271"/>
      <c r="NSP136" s="271"/>
      <c r="NSQ136" s="271"/>
      <c r="NSR136" s="271"/>
      <c r="NSS136" s="271"/>
      <c r="NST136" s="271"/>
      <c r="NSU136" s="271"/>
      <c r="NSV136" s="271"/>
      <c r="NSW136" s="271"/>
      <c r="NSX136" s="271"/>
      <c r="NSY136" s="271"/>
      <c r="NSZ136" s="271"/>
      <c r="NTA136" s="271"/>
      <c r="NTB136" s="271"/>
      <c r="NTC136" s="271"/>
      <c r="NTD136" s="271"/>
      <c r="NTE136" s="271"/>
      <c r="NTF136" s="271"/>
      <c r="NTG136" s="271"/>
      <c r="NTH136" s="271"/>
      <c r="NTI136" s="271"/>
      <c r="NTJ136" s="271"/>
      <c r="NTK136" s="271"/>
      <c r="NTL136" s="271"/>
      <c r="NTM136" s="271"/>
      <c r="NTN136" s="271"/>
      <c r="NTO136" s="271"/>
      <c r="NTP136" s="271"/>
      <c r="NTQ136" s="271"/>
      <c r="NTR136" s="271"/>
      <c r="NTS136" s="271"/>
      <c r="NTT136" s="271"/>
      <c r="NTU136" s="271"/>
      <c r="NTV136" s="271"/>
      <c r="NTW136" s="271"/>
      <c r="NTX136" s="271"/>
      <c r="NTY136" s="271"/>
      <c r="NTZ136" s="271"/>
      <c r="NUA136" s="271"/>
      <c r="NUB136" s="271"/>
      <c r="NUC136" s="271"/>
      <c r="NUD136" s="271"/>
      <c r="NUE136" s="271"/>
      <c r="NUF136" s="271"/>
      <c r="NUG136" s="271"/>
      <c r="NUH136" s="271"/>
      <c r="NUI136" s="271"/>
      <c r="NUJ136" s="271"/>
      <c r="NUK136" s="271"/>
      <c r="NUL136" s="271"/>
      <c r="NUM136" s="271"/>
      <c r="NUN136" s="271"/>
      <c r="NUO136" s="271"/>
      <c r="NUP136" s="271"/>
      <c r="NUQ136" s="271"/>
      <c r="NUR136" s="271"/>
      <c r="NUS136" s="271"/>
      <c r="NUT136" s="271"/>
      <c r="NUU136" s="271"/>
      <c r="NUV136" s="271"/>
      <c r="NUW136" s="271"/>
      <c r="NUX136" s="271"/>
      <c r="NUY136" s="271"/>
      <c r="NUZ136" s="271"/>
      <c r="NVA136" s="271"/>
      <c r="NVB136" s="271"/>
      <c r="NVC136" s="271"/>
      <c r="NVD136" s="271"/>
      <c r="NVE136" s="271"/>
      <c r="NVF136" s="271"/>
      <c r="NVG136" s="271"/>
      <c r="NVH136" s="271"/>
      <c r="NVI136" s="271"/>
      <c r="NVJ136" s="271"/>
      <c r="NVK136" s="271"/>
      <c r="NVL136" s="271"/>
      <c r="NVM136" s="271"/>
      <c r="NVN136" s="271"/>
      <c r="NVO136" s="271"/>
      <c r="NVP136" s="271"/>
      <c r="NVQ136" s="271"/>
      <c r="NVR136" s="271"/>
      <c r="NVS136" s="271"/>
      <c r="NVT136" s="271"/>
      <c r="NVU136" s="271"/>
      <c r="NVV136" s="271"/>
      <c r="NVW136" s="271"/>
      <c r="NVX136" s="271"/>
      <c r="NVY136" s="271"/>
      <c r="NVZ136" s="271"/>
      <c r="NWA136" s="271"/>
      <c r="NWB136" s="271"/>
      <c r="NWC136" s="271"/>
      <c r="NWD136" s="271"/>
      <c r="NWE136" s="271"/>
      <c r="NWF136" s="271"/>
      <c r="NWG136" s="271"/>
      <c r="NWH136" s="271"/>
      <c r="NWI136" s="271"/>
      <c r="NWJ136" s="271"/>
      <c r="NWK136" s="271"/>
      <c r="NWL136" s="271"/>
      <c r="NWM136" s="271"/>
      <c r="NWN136" s="271"/>
      <c r="NWO136" s="271"/>
      <c r="NWP136" s="271"/>
      <c r="NWQ136" s="271"/>
      <c r="NWR136" s="271"/>
      <c r="NWS136" s="271"/>
      <c r="NWT136" s="271"/>
      <c r="NWU136" s="271"/>
      <c r="NWV136" s="271"/>
      <c r="NWW136" s="271"/>
      <c r="NWX136" s="271"/>
      <c r="NWY136" s="271"/>
      <c r="NWZ136" s="271"/>
      <c r="NXA136" s="271"/>
      <c r="NXB136" s="271"/>
      <c r="NXC136" s="271"/>
      <c r="NXD136" s="271"/>
      <c r="NXE136" s="271"/>
      <c r="NXF136" s="271"/>
      <c r="NXG136" s="271"/>
      <c r="NXH136" s="271"/>
      <c r="NXI136" s="271"/>
      <c r="NXJ136" s="271"/>
      <c r="NXK136" s="271"/>
      <c r="NXL136" s="271"/>
      <c r="NXM136" s="271"/>
      <c r="NXN136" s="271"/>
      <c r="NXO136" s="271"/>
      <c r="NXP136" s="271"/>
      <c r="NXQ136" s="271"/>
      <c r="NXR136" s="271"/>
      <c r="NXS136" s="271"/>
      <c r="NXT136" s="271"/>
      <c r="NXU136" s="271"/>
      <c r="NXV136" s="271"/>
      <c r="NXW136" s="271"/>
      <c r="NXX136" s="271"/>
      <c r="NXY136" s="271"/>
      <c r="NXZ136" s="271"/>
      <c r="NYA136" s="271"/>
      <c r="NYB136" s="271"/>
      <c r="NYC136" s="271"/>
      <c r="NYD136" s="271"/>
      <c r="NYE136" s="271"/>
      <c r="NYF136" s="271"/>
      <c r="NYG136" s="271"/>
      <c r="NYH136" s="271"/>
      <c r="NYI136" s="271"/>
      <c r="NYJ136" s="271"/>
      <c r="NYK136" s="271"/>
      <c r="NYL136" s="271"/>
      <c r="NYM136" s="271"/>
      <c r="NYN136" s="271"/>
      <c r="NYO136" s="271"/>
      <c r="NYP136" s="271"/>
      <c r="NYQ136" s="271"/>
      <c r="NYR136" s="271"/>
      <c r="NYS136" s="271"/>
      <c r="NYT136" s="271"/>
      <c r="NYU136" s="271"/>
      <c r="NYV136" s="271"/>
      <c r="NYW136" s="271"/>
      <c r="NYX136" s="271"/>
      <c r="NYY136" s="271"/>
      <c r="NYZ136" s="271"/>
      <c r="NZA136" s="271"/>
      <c r="NZB136" s="271"/>
      <c r="NZC136" s="271"/>
      <c r="NZD136" s="271"/>
      <c r="NZE136" s="271"/>
      <c r="NZF136" s="271"/>
      <c r="NZG136" s="271"/>
      <c r="NZH136" s="271"/>
      <c r="NZI136" s="271"/>
      <c r="NZJ136" s="271"/>
      <c r="NZK136" s="271"/>
      <c r="NZL136" s="271"/>
      <c r="NZM136" s="271"/>
      <c r="NZN136" s="271"/>
      <c r="NZO136" s="271"/>
      <c r="NZP136" s="271"/>
      <c r="NZQ136" s="271"/>
      <c r="NZR136" s="271"/>
      <c r="NZS136" s="271"/>
      <c r="NZT136" s="271"/>
      <c r="NZU136" s="271"/>
      <c r="NZV136" s="271"/>
      <c r="NZW136" s="271"/>
      <c r="NZX136" s="271"/>
      <c r="NZY136" s="271"/>
      <c r="NZZ136" s="271"/>
      <c r="OAA136" s="271"/>
      <c r="OAB136" s="271"/>
      <c r="OAC136" s="271"/>
      <c r="OAD136" s="271"/>
      <c r="OAE136" s="271"/>
      <c r="OAF136" s="271"/>
      <c r="OAG136" s="271"/>
      <c r="OAH136" s="271"/>
      <c r="OAI136" s="271"/>
      <c r="OAJ136" s="271"/>
      <c r="OAK136" s="271"/>
      <c r="OAL136" s="271"/>
      <c r="OAM136" s="271"/>
      <c r="OAN136" s="271"/>
      <c r="OAO136" s="271"/>
      <c r="OAP136" s="271"/>
      <c r="OAQ136" s="271"/>
      <c r="OAR136" s="271"/>
      <c r="OAS136" s="271"/>
      <c r="OAT136" s="271"/>
      <c r="OAU136" s="271"/>
      <c r="OAV136" s="271"/>
      <c r="OAW136" s="271"/>
      <c r="OAX136" s="271"/>
      <c r="OAY136" s="271"/>
      <c r="OAZ136" s="271"/>
      <c r="OBA136" s="271"/>
      <c r="OBB136" s="271"/>
      <c r="OBC136" s="271"/>
      <c r="OBD136" s="271"/>
      <c r="OBE136" s="271"/>
      <c r="OBF136" s="271"/>
      <c r="OBG136" s="271"/>
      <c r="OBH136" s="271"/>
      <c r="OBI136" s="271"/>
      <c r="OBJ136" s="271"/>
      <c r="OBK136" s="271"/>
      <c r="OBL136" s="271"/>
      <c r="OBM136" s="271"/>
      <c r="OBN136" s="271"/>
      <c r="OBO136" s="271"/>
      <c r="OBP136" s="271"/>
      <c r="OBQ136" s="271"/>
      <c r="OBR136" s="271"/>
      <c r="OBS136" s="271"/>
      <c r="OBT136" s="271"/>
      <c r="OBU136" s="271"/>
      <c r="OBV136" s="271"/>
      <c r="OBW136" s="271"/>
      <c r="OBX136" s="271"/>
      <c r="OBY136" s="271"/>
      <c r="OBZ136" s="271"/>
      <c r="OCA136" s="271"/>
      <c r="OCB136" s="271"/>
      <c r="OCC136" s="271"/>
      <c r="OCD136" s="271"/>
      <c r="OCE136" s="271"/>
      <c r="OCF136" s="271"/>
      <c r="OCG136" s="271"/>
      <c r="OCH136" s="271"/>
      <c r="OCI136" s="271"/>
      <c r="OCJ136" s="271"/>
      <c r="OCK136" s="271"/>
      <c r="OCL136" s="271"/>
      <c r="OCM136" s="271"/>
      <c r="OCN136" s="271"/>
      <c r="OCO136" s="271"/>
      <c r="OCP136" s="271"/>
      <c r="OCQ136" s="271"/>
      <c r="OCR136" s="271"/>
      <c r="OCS136" s="271"/>
      <c r="OCT136" s="271"/>
      <c r="OCU136" s="271"/>
      <c r="OCV136" s="271"/>
      <c r="OCW136" s="271"/>
      <c r="OCX136" s="271"/>
      <c r="OCY136" s="271"/>
      <c r="OCZ136" s="271"/>
      <c r="ODA136" s="271"/>
      <c r="ODB136" s="271"/>
      <c r="ODC136" s="271"/>
      <c r="ODD136" s="271"/>
      <c r="ODE136" s="271"/>
      <c r="ODF136" s="271"/>
      <c r="ODG136" s="271"/>
      <c r="ODH136" s="271"/>
      <c r="ODI136" s="271"/>
      <c r="ODJ136" s="271"/>
      <c r="ODK136" s="271"/>
      <c r="ODL136" s="271"/>
      <c r="ODM136" s="271"/>
      <c r="ODN136" s="271"/>
      <c r="ODO136" s="271"/>
      <c r="ODP136" s="271"/>
      <c r="ODQ136" s="271"/>
      <c r="ODR136" s="271"/>
      <c r="ODS136" s="271"/>
      <c r="ODT136" s="271"/>
      <c r="ODU136" s="271"/>
      <c r="ODV136" s="271"/>
      <c r="ODW136" s="271"/>
      <c r="ODX136" s="271"/>
      <c r="ODY136" s="271"/>
      <c r="ODZ136" s="271"/>
      <c r="OEA136" s="271"/>
      <c r="OEB136" s="271"/>
      <c r="OEC136" s="271"/>
      <c r="OED136" s="271"/>
      <c r="OEE136" s="271"/>
      <c r="OEF136" s="271"/>
      <c r="OEG136" s="271"/>
      <c r="OEH136" s="271"/>
      <c r="OEI136" s="271"/>
      <c r="OEJ136" s="271"/>
      <c r="OEK136" s="271"/>
      <c r="OEL136" s="271"/>
      <c r="OEM136" s="271"/>
      <c r="OEN136" s="271"/>
      <c r="OEO136" s="271"/>
      <c r="OEP136" s="271"/>
      <c r="OEQ136" s="271"/>
      <c r="OER136" s="271"/>
      <c r="OES136" s="271"/>
      <c r="OET136" s="271"/>
      <c r="OEU136" s="271"/>
      <c r="OEV136" s="271"/>
      <c r="OEW136" s="271"/>
      <c r="OEX136" s="271"/>
      <c r="OEY136" s="271"/>
      <c r="OEZ136" s="271"/>
      <c r="OFA136" s="271"/>
      <c r="OFB136" s="271"/>
      <c r="OFC136" s="271"/>
      <c r="OFD136" s="271"/>
      <c r="OFE136" s="271"/>
      <c r="OFF136" s="271"/>
      <c r="OFG136" s="271"/>
      <c r="OFH136" s="271"/>
      <c r="OFI136" s="271"/>
      <c r="OFJ136" s="271"/>
      <c r="OFK136" s="271"/>
      <c r="OFL136" s="271"/>
      <c r="OFM136" s="271"/>
      <c r="OFN136" s="271"/>
      <c r="OFO136" s="271"/>
      <c r="OFP136" s="271"/>
      <c r="OFQ136" s="271"/>
      <c r="OFR136" s="271"/>
      <c r="OFS136" s="271"/>
      <c r="OFT136" s="271"/>
      <c r="OFU136" s="271"/>
      <c r="OFV136" s="271"/>
      <c r="OFW136" s="271"/>
      <c r="OFX136" s="271"/>
      <c r="OFY136" s="271"/>
      <c r="OFZ136" s="271"/>
      <c r="OGA136" s="271"/>
      <c r="OGB136" s="271"/>
      <c r="OGC136" s="271"/>
      <c r="OGD136" s="271"/>
      <c r="OGE136" s="271"/>
      <c r="OGF136" s="271"/>
      <c r="OGG136" s="271"/>
      <c r="OGH136" s="271"/>
      <c r="OGI136" s="271"/>
      <c r="OGJ136" s="271"/>
      <c r="OGK136" s="271"/>
      <c r="OGL136" s="271"/>
      <c r="OGM136" s="271"/>
      <c r="OGN136" s="271"/>
      <c r="OGO136" s="271"/>
      <c r="OGP136" s="271"/>
      <c r="OGQ136" s="271"/>
      <c r="OGR136" s="271"/>
      <c r="OGS136" s="271"/>
      <c r="OGT136" s="271"/>
      <c r="OGU136" s="271"/>
      <c r="OGV136" s="271"/>
      <c r="OGW136" s="271"/>
      <c r="OGX136" s="271"/>
      <c r="OGY136" s="271"/>
      <c r="OGZ136" s="271"/>
      <c r="OHA136" s="271"/>
      <c r="OHB136" s="271"/>
      <c r="OHC136" s="271"/>
      <c r="OHD136" s="271"/>
      <c r="OHE136" s="271"/>
      <c r="OHF136" s="271"/>
      <c r="OHG136" s="271"/>
      <c r="OHH136" s="271"/>
      <c r="OHI136" s="271"/>
      <c r="OHJ136" s="271"/>
      <c r="OHK136" s="271"/>
      <c r="OHL136" s="271"/>
      <c r="OHM136" s="271"/>
      <c r="OHN136" s="271"/>
      <c r="OHO136" s="271"/>
      <c r="OHP136" s="271"/>
      <c r="OHQ136" s="271"/>
      <c r="OHR136" s="271"/>
      <c r="OHS136" s="271"/>
      <c r="OHT136" s="271"/>
      <c r="OHU136" s="271"/>
      <c r="OHV136" s="271"/>
      <c r="OHW136" s="271"/>
      <c r="OHX136" s="271"/>
      <c r="OHY136" s="271"/>
      <c r="OHZ136" s="271"/>
      <c r="OIA136" s="271"/>
      <c r="OIB136" s="271"/>
      <c r="OIC136" s="271"/>
      <c r="OID136" s="271"/>
      <c r="OIE136" s="271"/>
      <c r="OIF136" s="271"/>
      <c r="OIG136" s="271"/>
      <c r="OIH136" s="271"/>
      <c r="OII136" s="271"/>
      <c r="OIJ136" s="271"/>
      <c r="OIK136" s="271"/>
      <c r="OIL136" s="271"/>
      <c r="OIM136" s="271"/>
      <c r="OIN136" s="271"/>
      <c r="OIO136" s="271"/>
      <c r="OIP136" s="271"/>
      <c r="OIQ136" s="271"/>
      <c r="OIR136" s="271"/>
      <c r="OIS136" s="271"/>
      <c r="OIT136" s="271"/>
      <c r="OIU136" s="271"/>
      <c r="OIV136" s="271"/>
      <c r="OIW136" s="271"/>
      <c r="OIX136" s="271"/>
      <c r="OIY136" s="271"/>
      <c r="OIZ136" s="271"/>
      <c r="OJA136" s="271"/>
      <c r="OJB136" s="271"/>
      <c r="OJC136" s="271"/>
      <c r="OJD136" s="271"/>
      <c r="OJE136" s="271"/>
      <c r="OJF136" s="271"/>
      <c r="OJG136" s="271"/>
      <c r="OJH136" s="271"/>
      <c r="OJI136" s="271"/>
      <c r="OJJ136" s="271"/>
      <c r="OJK136" s="271"/>
      <c r="OJL136" s="271"/>
      <c r="OJM136" s="271"/>
      <c r="OJN136" s="271"/>
      <c r="OJO136" s="271"/>
      <c r="OJP136" s="271"/>
      <c r="OJQ136" s="271"/>
      <c r="OJR136" s="271"/>
      <c r="OJS136" s="271"/>
      <c r="OJT136" s="271"/>
      <c r="OJU136" s="271"/>
      <c r="OJV136" s="271"/>
      <c r="OJW136" s="271"/>
      <c r="OJX136" s="271"/>
      <c r="OJY136" s="271"/>
      <c r="OJZ136" s="271"/>
      <c r="OKA136" s="271"/>
      <c r="OKB136" s="271"/>
      <c r="OKC136" s="271"/>
      <c r="OKD136" s="271"/>
      <c r="OKE136" s="271"/>
      <c r="OKF136" s="271"/>
      <c r="OKG136" s="271"/>
      <c r="OKH136" s="271"/>
      <c r="OKI136" s="271"/>
      <c r="OKJ136" s="271"/>
      <c r="OKK136" s="271"/>
      <c r="OKL136" s="271"/>
      <c r="OKM136" s="271"/>
      <c r="OKN136" s="271"/>
      <c r="OKO136" s="271"/>
      <c r="OKP136" s="271"/>
      <c r="OKQ136" s="271"/>
      <c r="OKR136" s="271"/>
      <c r="OKS136" s="271"/>
      <c r="OKT136" s="271"/>
      <c r="OKU136" s="271"/>
      <c r="OKV136" s="271"/>
      <c r="OKW136" s="271"/>
      <c r="OKX136" s="271"/>
      <c r="OKY136" s="271"/>
      <c r="OKZ136" s="271"/>
      <c r="OLA136" s="271"/>
      <c r="OLB136" s="271"/>
      <c r="OLC136" s="271"/>
      <c r="OLD136" s="271"/>
      <c r="OLE136" s="271"/>
      <c r="OLF136" s="271"/>
      <c r="OLG136" s="271"/>
      <c r="OLH136" s="271"/>
      <c r="OLI136" s="271"/>
      <c r="OLJ136" s="271"/>
      <c r="OLK136" s="271"/>
      <c r="OLL136" s="271"/>
      <c r="OLM136" s="271"/>
      <c r="OLN136" s="271"/>
      <c r="OLO136" s="271"/>
      <c r="OLP136" s="271"/>
      <c r="OLQ136" s="271"/>
      <c r="OLR136" s="271"/>
      <c r="OLS136" s="271"/>
      <c r="OLT136" s="271"/>
      <c r="OLU136" s="271"/>
      <c r="OLV136" s="271"/>
      <c r="OLW136" s="271"/>
      <c r="OLX136" s="271"/>
      <c r="OLY136" s="271"/>
      <c r="OLZ136" s="271"/>
      <c r="OMA136" s="271"/>
      <c r="OMB136" s="271"/>
      <c r="OMC136" s="271"/>
      <c r="OMD136" s="271"/>
      <c r="OME136" s="271"/>
      <c r="OMF136" s="271"/>
      <c r="OMG136" s="271"/>
      <c r="OMH136" s="271"/>
      <c r="OMI136" s="271"/>
      <c r="OMJ136" s="271"/>
      <c r="OMK136" s="271"/>
      <c r="OML136" s="271"/>
      <c r="OMM136" s="271"/>
      <c r="OMN136" s="271"/>
      <c r="OMO136" s="271"/>
      <c r="OMP136" s="271"/>
      <c r="OMQ136" s="271"/>
      <c r="OMR136" s="271"/>
      <c r="OMS136" s="271"/>
      <c r="OMT136" s="271"/>
      <c r="OMU136" s="271"/>
      <c r="OMV136" s="271"/>
      <c r="OMW136" s="271"/>
      <c r="OMX136" s="271"/>
      <c r="OMY136" s="271"/>
      <c r="OMZ136" s="271"/>
      <c r="ONA136" s="271"/>
      <c r="ONB136" s="271"/>
      <c r="ONC136" s="271"/>
      <c r="OND136" s="271"/>
      <c r="ONE136" s="271"/>
      <c r="ONF136" s="271"/>
      <c r="ONG136" s="271"/>
      <c r="ONH136" s="271"/>
      <c r="ONI136" s="271"/>
      <c r="ONJ136" s="271"/>
      <c r="ONK136" s="271"/>
      <c r="ONL136" s="271"/>
      <c r="ONM136" s="271"/>
      <c r="ONN136" s="271"/>
      <c r="ONO136" s="271"/>
      <c r="ONP136" s="271"/>
      <c r="ONQ136" s="271"/>
      <c r="ONR136" s="271"/>
      <c r="ONS136" s="271"/>
      <c r="ONT136" s="271"/>
      <c r="ONU136" s="271"/>
      <c r="ONV136" s="271"/>
      <c r="ONW136" s="271"/>
      <c r="ONX136" s="271"/>
      <c r="ONY136" s="271"/>
      <c r="ONZ136" s="271"/>
      <c r="OOA136" s="271"/>
      <c r="OOB136" s="271"/>
      <c r="OOC136" s="271"/>
      <c r="OOD136" s="271"/>
      <c r="OOE136" s="271"/>
      <c r="OOF136" s="271"/>
      <c r="OOG136" s="271"/>
      <c r="OOH136" s="271"/>
      <c r="OOI136" s="271"/>
      <c r="OOJ136" s="271"/>
      <c r="OOK136" s="271"/>
      <c r="OOL136" s="271"/>
      <c r="OOM136" s="271"/>
      <c r="OON136" s="271"/>
      <c r="OOO136" s="271"/>
      <c r="OOP136" s="271"/>
      <c r="OOQ136" s="271"/>
      <c r="OOR136" s="271"/>
      <c r="OOS136" s="271"/>
      <c r="OOT136" s="271"/>
      <c r="OOU136" s="271"/>
      <c r="OOV136" s="271"/>
      <c r="OOW136" s="271"/>
      <c r="OOX136" s="271"/>
      <c r="OOY136" s="271"/>
      <c r="OOZ136" s="271"/>
      <c r="OPA136" s="271"/>
      <c r="OPB136" s="271"/>
      <c r="OPC136" s="271"/>
      <c r="OPD136" s="271"/>
      <c r="OPE136" s="271"/>
      <c r="OPF136" s="271"/>
      <c r="OPG136" s="271"/>
      <c r="OPH136" s="271"/>
      <c r="OPI136" s="271"/>
      <c r="OPJ136" s="271"/>
      <c r="OPK136" s="271"/>
      <c r="OPL136" s="271"/>
      <c r="OPM136" s="271"/>
      <c r="OPN136" s="271"/>
      <c r="OPO136" s="271"/>
      <c r="OPP136" s="271"/>
      <c r="OPQ136" s="271"/>
      <c r="OPR136" s="271"/>
      <c r="OPS136" s="271"/>
      <c r="OPT136" s="271"/>
      <c r="OPU136" s="271"/>
      <c r="OPV136" s="271"/>
      <c r="OPW136" s="271"/>
      <c r="OPX136" s="271"/>
      <c r="OPY136" s="271"/>
      <c r="OPZ136" s="271"/>
      <c r="OQA136" s="271"/>
      <c r="OQB136" s="271"/>
      <c r="OQC136" s="271"/>
      <c r="OQD136" s="271"/>
      <c r="OQE136" s="271"/>
      <c r="OQF136" s="271"/>
      <c r="OQG136" s="271"/>
      <c r="OQH136" s="271"/>
      <c r="OQI136" s="271"/>
      <c r="OQJ136" s="271"/>
      <c r="OQK136" s="271"/>
      <c r="OQL136" s="271"/>
      <c r="OQM136" s="271"/>
      <c r="OQN136" s="271"/>
      <c r="OQO136" s="271"/>
      <c r="OQP136" s="271"/>
      <c r="OQQ136" s="271"/>
      <c r="OQR136" s="271"/>
      <c r="OQS136" s="271"/>
      <c r="OQT136" s="271"/>
      <c r="OQU136" s="271"/>
      <c r="OQV136" s="271"/>
      <c r="OQW136" s="271"/>
      <c r="OQX136" s="271"/>
      <c r="OQY136" s="271"/>
      <c r="OQZ136" s="271"/>
      <c r="ORA136" s="271"/>
      <c r="ORB136" s="271"/>
      <c r="ORC136" s="271"/>
      <c r="ORD136" s="271"/>
      <c r="ORE136" s="271"/>
      <c r="ORF136" s="271"/>
      <c r="ORG136" s="271"/>
      <c r="ORH136" s="271"/>
      <c r="ORI136" s="271"/>
      <c r="ORJ136" s="271"/>
      <c r="ORK136" s="271"/>
      <c r="ORL136" s="271"/>
      <c r="ORM136" s="271"/>
      <c r="ORN136" s="271"/>
      <c r="ORO136" s="271"/>
      <c r="ORP136" s="271"/>
      <c r="ORQ136" s="271"/>
      <c r="ORR136" s="271"/>
      <c r="ORS136" s="271"/>
      <c r="ORT136" s="271"/>
      <c r="ORU136" s="271"/>
      <c r="ORV136" s="271"/>
      <c r="ORW136" s="271"/>
      <c r="ORX136" s="271"/>
      <c r="ORY136" s="271"/>
      <c r="ORZ136" s="271"/>
      <c r="OSA136" s="271"/>
      <c r="OSB136" s="271"/>
      <c r="OSC136" s="271"/>
      <c r="OSD136" s="271"/>
      <c r="OSE136" s="271"/>
      <c r="OSF136" s="271"/>
      <c r="OSG136" s="271"/>
      <c r="OSH136" s="271"/>
      <c r="OSI136" s="271"/>
      <c r="OSJ136" s="271"/>
      <c r="OSK136" s="271"/>
      <c r="OSL136" s="271"/>
      <c r="OSM136" s="271"/>
      <c r="OSN136" s="271"/>
      <c r="OSO136" s="271"/>
      <c r="OSP136" s="271"/>
      <c r="OSQ136" s="271"/>
      <c r="OSR136" s="271"/>
      <c r="OSS136" s="271"/>
      <c r="OST136" s="271"/>
      <c r="OSU136" s="271"/>
      <c r="OSV136" s="271"/>
      <c r="OSW136" s="271"/>
      <c r="OSX136" s="271"/>
      <c r="OSY136" s="271"/>
      <c r="OSZ136" s="271"/>
      <c r="OTA136" s="271"/>
      <c r="OTB136" s="271"/>
      <c r="OTC136" s="271"/>
      <c r="OTD136" s="271"/>
      <c r="OTE136" s="271"/>
      <c r="OTF136" s="271"/>
      <c r="OTG136" s="271"/>
      <c r="OTH136" s="271"/>
      <c r="OTI136" s="271"/>
      <c r="OTJ136" s="271"/>
      <c r="OTK136" s="271"/>
      <c r="OTL136" s="271"/>
      <c r="OTM136" s="271"/>
      <c r="OTN136" s="271"/>
      <c r="OTO136" s="271"/>
      <c r="OTP136" s="271"/>
      <c r="OTQ136" s="271"/>
      <c r="OTR136" s="271"/>
      <c r="OTS136" s="271"/>
      <c r="OTT136" s="271"/>
      <c r="OTU136" s="271"/>
      <c r="OTV136" s="271"/>
      <c r="OTW136" s="271"/>
      <c r="OTX136" s="271"/>
      <c r="OTY136" s="271"/>
      <c r="OTZ136" s="271"/>
      <c r="OUA136" s="271"/>
      <c r="OUB136" s="271"/>
      <c r="OUC136" s="271"/>
      <c r="OUD136" s="271"/>
      <c r="OUE136" s="271"/>
      <c r="OUF136" s="271"/>
      <c r="OUG136" s="271"/>
      <c r="OUH136" s="271"/>
      <c r="OUI136" s="271"/>
      <c r="OUJ136" s="271"/>
      <c r="OUK136" s="271"/>
      <c r="OUL136" s="271"/>
      <c r="OUM136" s="271"/>
      <c r="OUN136" s="271"/>
      <c r="OUO136" s="271"/>
      <c r="OUP136" s="271"/>
      <c r="OUQ136" s="271"/>
      <c r="OUR136" s="271"/>
      <c r="OUS136" s="271"/>
      <c r="OUT136" s="271"/>
      <c r="OUU136" s="271"/>
      <c r="OUV136" s="271"/>
      <c r="OUW136" s="271"/>
      <c r="OUX136" s="271"/>
      <c r="OUY136" s="271"/>
      <c r="OUZ136" s="271"/>
      <c r="OVA136" s="271"/>
      <c r="OVB136" s="271"/>
      <c r="OVC136" s="271"/>
      <c r="OVD136" s="271"/>
      <c r="OVE136" s="271"/>
      <c r="OVF136" s="271"/>
      <c r="OVG136" s="271"/>
      <c r="OVH136" s="271"/>
      <c r="OVI136" s="271"/>
      <c r="OVJ136" s="271"/>
      <c r="OVK136" s="271"/>
      <c r="OVL136" s="271"/>
      <c r="OVM136" s="271"/>
      <c r="OVN136" s="271"/>
      <c r="OVO136" s="271"/>
      <c r="OVP136" s="271"/>
      <c r="OVQ136" s="271"/>
      <c r="OVR136" s="271"/>
      <c r="OVS136" s="271"/>
      <c r="OVT136" s="271"/>
      <c r="OVU136" s="271"/>
      <c r="OVV136" s="271"/>
      <c r="OVW136" s="271"/>
      <c r="OVX136" s="271"/>
      <c r="OVY136" s="271"/>
      <c r="OVZ136" s="271"/>
      <c r="OWA136" s="271"/>
      <c r="OWB136" s="271"/>
      <c r="OWC136" s="271"/>
      <c r="OWD136" s="271"/>
      <c r="OWE136" s="271"/>
      <c r="OWF136" s="271"/>
      <c r="OWG136" s="271"/>
      <c r="OWH136" s="271"/>
      <c r="OWI136" s="271"/>
      <c r="OWJ136" s="271"/>
      <c r="OWK136" s="271"/>
      <c r="OWL136" s="271"/>
      <c r="OWM136" s="271"/>
      <c r="OWN136" s="271"/>
      <c r="OWO136" s="271"/>
      <c r="OWP136" s="271"/>
      <c r="OWQ136" s="271"/>
      <c r="OWR136" s="271"/>
      <c r="OWS136" s="271"/>
      <c r="OWT136" s="271"/>
      <c r="OWU136" s="271"/>
      <c r="OWV136" s="271"/>
      <c r="OWW136" s="271"/>
      <c r="OWX136" s="271"/>
      <c r="OWY136" s="271"/>
      <c r="OWZ136" s="271"/>
      <c r="OXA136" s="271"/>
      <c r="OXB136" s="271"/>
      <c r="OXC136" s="271"/>
      <c r="OXD136" s="271"/>
      <c r="OXE136" s="271"/>
      <c r="OXF136" s="271"/>
      <c r="OXG136" s="271"/>
      <c r="OXH136" s="271"/>
      <c r="OXI136" s="271"/>
      <c r="OXJ136" s="271"/>
      <c r="OXK136" s="271"/>
      <c r="OXL136" s="271"/>
      <c r="OXM136" s="271"/>
      <c r="OXN136" s="271"/>
      <c r="OXO136" s="271"/>
      <c r="OXP136" s="271"/>
      <c r="OXQ136" s="271"/>
      <c r="OXR136" s="271"/>
      <c r="OXS136" s="271"/>
      <c r="OXT136" s="271"/>
      <c r="OXU136" s="271"/>
      <c r="OXV136" s="271"/>
      <c r="OXW136" s="271"/>
      <c r="OXX136" s="271"/>
      <c r="OXY136" s="271"/>
      <c r="OXZ136" s="271"/>
      <c r="OYA136" s="271"/>
      <c r="OYB136" s="271"/>
      <c r="OYC136" s="271"/>
      <c r="OYD136" s="271"/>
      <c r="OYE136" s="271"/>
      <c r="OYF136" s="271"/>
      <c r="OYG136" s="271"/>
      <c r="OYH136" s="271"/>
      <c r="OYI136" s="271"/>
      <c r="OYJ136" s="271"/>
      <c r="OYK136" s="271"/>
      <c r="OYL136" s="271"/>
      <c r="OYM136" s="271"/>
      <c r="OYN136" s="271"/>
      <c r="OYO136" s="271"/>
      <c r="OYP136" s="271"/>
      <c r="OYQ136" s="271"/>
      <c r="OYR136" s="271"/>
      <c r="OYS136" s="271"/>
      <c r="OYT136" s="271"/>
      <c r="OYU136" s="271"/>
      <c r="OYV136" s="271"/>
      <c r="OYW136" s="271"/>
      <c r="OYX136" s="271"/>
      <c r="OYY136" s="271"/>
      <c r="OYZ136" s="271"/>
      <c r="OZA136" s="271"/>
      <c r="OZB136" s="271"/>
      <c r="OZC136" s="271"/>
      <c r="OZD136" s="271"/>
      <c r="OZE136" s="271"/>
      <c r="OZF136" s="271"/>
      <c r="OZG136" s="271"/>
      <c r="OZH136" s="271"/>
      <c r="OZI136" s="271"/>
      <c r="OZJ136" s="271"/>
      <c r="OZK136" s="271"/>
      <c r="OZL136" s="271"/>
      <c r="OZM136" s="271"/>
      <c r="OZN136" s="271"/>
      <c r="OZO136" s="271"/>
      <c r="OZP136" s="271"/>
      <c r="OZQ136" s="271"/>
      <c r="OZR136" s="271"/>
      <c r="OZS136" s="271"/>
      <c r="OZT136" s="271"/>
      <c r="OZU136" s="271"/>
      <c r="OZV136" s="271"/>
      <c r="OZW136" s="271"/>
      <c r="OZX136" s="271"/>
      <c r="OZY136" s="271"/>
      <c r="OZZ136" s="271"/>
      <c r="PAA136" s="271"/>
      <c r="PAB136" s="271"/>
      <c r="PAC136" s="271"/>
      <c r="PAD136" s="271"/>
      <c r="PAE136" s="271"/>
      <c r="PAF136" s="271"/>
      <c r="PAG136" s="271"/>
      <c r="PAH136" s="271"/>
      <c r="PAI136" s="271"/>
      <c r="PAJ136" s="271"/>
      <c r="PAK136" s="271"/>
      <c r="PAL136" s="271"/>
      <c r="PAM136" s="271"/>
      <c r="PAN136" s="271"/>
      <c r="PAO136" s="271"/>
      <c r="PAP136" s="271"/>
      <c r="PAQ136" s="271"/>
      <c r="PAR136" s="271"/>
      <c r="PAS136" s="271"/>
      <c r="PAT136" s="271"/>
      <c r="PAU136" s="271"/>
      <c r="PAV136" s="271"/>
      <c r="PAW136" s="271"/>
      <c r="PAX136" s="271"/>
      <c r="PAY136" s="271"/>
      <c r="PAZ136" s="271"/>
      <c r="PBA136" s="271"/>
      <c r="PBB136" s="271"/>
      <c r="PBC136" s="271"/>
      <c r="PBD136" s="271"/>
      <c r="PBE136" s="271"/>
      <c r="PBF136" s="271"/>
      <c r="PBG136" s="271"/>
      <c r="PBH136" s="271"/>
      <c r="PBI136" s="271"/>
      <c r="PBJ136" s="271"/>
      <c r="PBK136" s="271"/>
      <c r="PBL136" s="271"/>
      <c r="PBM136" s="271"/>
      <c r="PBN136" s="271"/>
      <c r="PBO136" s="271"/>
      <c r="PBP136" s="271"/>
      <c r="PBQ136" s="271"/>
      <c r="PBR136" s="271"/>
      <c r="PBS136" s="271"/>
      <c r="PBT136" s="271"/>
      <c r="PBU136" s="271"/>
      <c r="PBV136" s="271"/>
      <c r="PBW136" s="271"/>
      <c r="PBX136" s="271"/>
      <c r="PBY136" s="271"/>
      <c r="PBZ136" s="271"/>
      <c r="PCA136" s="271"/>
      <c r="PCB136" s="271"/>
      <c r="PCC136" s="271"/>
      <c r="PCD136" s="271"/>
      <c r="PCE136" s="271"/>
      <c r="PCF136" s="271"/>
      <c r="PCG136" s="271"/>
      <c r="PCH136" s="271"/>
      <c r="PCI136" s="271"/>
      <c r="PCJ136" s="271"/>
      <c r="PCK136" s="271"/>
      <c r="PCL136" s="271"/>
      <c r="PCM136" s="271"/>
      <c r="PCN136" s="271"/>
      <c r="PCO136" s="271"/>
      <c r="PCP136" s="271"/>
      <c r="PCQ136" s="271"/>
      <c r="PCR136" s="271"/>
      <c r="PCS136" s="271"/>
      <c r="PCT136" s="271"/>
      <c r="PCU136" s="271"/>
      <c r="PCV136" s="271"/>
      <c r="PCW136" s="271"/>
      <c r="PCX136" s="271"/>
      <c r="PCY136" s="271"/>
      <c r="PCZ136" s="271"/>
      <c r="PDA136" s="271"/>
      <c r="PDB136" s="271"/>
      <c r="PDC136" s="271"/>
      <c r="PDD136" s="271"/>
      <c r="PDE136" s="271"/>
      <c r="PDF136" s="271"/>
      <c r="PDG136" s="271"/>
      <c r="PDH136" s="271"/>
      <c r="PDI136" s="271"/>
      <c r="PDJ136" s="271"/>
      <c r="PDK136" s="271"/>
      <c r="PDL136" s="271"/>
      <c r="PDM136" s="271"/>
      <c r="PDN136" s="271"/>
      <c r="PDO136" s="271"/>
      <c r="PDP136" s="271"/>
      <c r="PDQ136" s="271"/>
      <c r="PDR136" s="271"/>
      <c r="PDS136" s="271"/>
      <c r="PDT136" s="271"/>
      <c r="PDU136" s="271"/>
      <c r="PDV136" s="271"/>
      <c r="PDW136" s="271"/>
      <c r="PDX136" s="271"/>
      <c r="PDY136" s="271"/>
      <c r="PDZ136" s="271"/>
      <c r="PEA136" s="271"/>
      <c r="PEB136" s="271"/>
      <c r="PEC136" s="271"/>
      <c r="PED136" s="271"/>
      <c r="PEE136" s="271"/>
      <c r="PEF136" s="271"/>
      <c r="PEG136" s="271"/>
      <c r="PEH136" s="271"/>
      <c r="PEI136" s="271"/>
      <c r="PEJ136" s="271"/>
      <c r="PEK136" s="271"/>
      <c r="PEL136" s="271"/>
      <c r="PEM136" s="271"/>
      <c r="PEN136" s="271"/>
      <c r="PEO136" s="271"/>
      <c r="PEP136" s="271"/>
      <c r="PEQ136" s="271"/>
      <c r="PER136" s="271"/>
      <c r="PES136" s="271"/>
      <c r="PET136" s="271"/>
      <c r="PEU136" s="271"/>
      <c r="PEV136" s="271"/>
      <c r="PEW136" s="271"/>
      <c r="PEX136" s="271"/>
      <c r="PEY136" s="271"/>
      <c r="PEZ136" s="271"/>
      <c r="PFA136" s="271"/>
      <c r="PFB136" s="271"/>
      <c r="PFC136" s="271"/>
      <c r="PFD136" s="271"/>
      <c r="PFE136" s="271"/>
      <c r="PFF136" s="271"/>
      <c r="PFG136" s="271"/>
      <c r="PFH136" s="271"/>
      <c r="PFI136" s="271"/>
      <c r="PFJ136" s="271"/>
      <c r="PFK136" s="271"/>
      <c r="PFL136" s="271"/>
      <c r="PFM136" s="271"/>
      <c r="PFN136" s="271"/>
      <c r="PFO136" s="271"/>
      <c r="PFP136" s="271"/>
      <c r="PFQ136" s="271"/>
      <c r="PFR136" s="271"/>
      <c r="PFS136" s="271"/>
      <c r="PFT136" s="271"/>
      <c r="PFU136" s="271"/>
      <c r="PFV136" s="271"/>
      <c r="PFW136" s="271"/>
      <c r="PFX136" s="271"/>
      <c r="PFY136" s="271"/>
      <c r="PFZ136" s="271"/>
      <c r="PGA136" s="271"/>
      <c r="PGB136" s="271"/>
      <c r="PGC136" s="271"/>
      <c r="PGD136" s="271"/>
      <c r="PGE136" s="271"/>
      <c r="PGF136" s="271"/>
      <c r="PGG136" s="271"/>
      <c r="PGH136" s="271"/>
      <c r="PGI136" s="271"/>
      <c r="PGJ136" s="271"/>
      <c r="PGK136" s="271"/>
      <c r="PGL136" s="271"/>
      <c r="PGM136" s="271"/>
      <c r="PGN136" s="271"/>
      <c r="PGO136" s="271"/>
      <c r="PGP136" s="271"/>
      <c r="PGQ136" s="271"/>
      <c r="PGR136" s="271"/>
      <c r="PGS136" s="271"/>
      <c r="PGT136" s="271"/>
      <c r="PGU136" s="271"/>
      <c r="PGV136" s="271"/>
      <c r="PGW136" s="271"/>
      <c r="PGX136" s="271"/>
      <c r="PGY136" s="271"/>
      <c r="PGZ136" s="271"/>
      <c r="PHA136" s="271"/>
      <c r="PHB136" s="271"/>
      <c r="PHC136" s="271"/>
      <c r="PHD136" s="271"/>
      <c r="PHE136" s="271"/>
      <c r="PHF136" s="271"/>
      <c r="PHG136" s="271"/>
      <c r="PHH136" s="271"/>
      <c r="PHI136" s="271"/>
      <c r="PHJ136" s="271"/>
      <c r="PHK136" s="271"/>
      <c r="PHL136" s="271"/>
      <c r="PHM136" s="271"/>
      <c r="PHN136" s="271"/>
      <c r="PHO136" s="271"/>
      <c r="PHP136" s="271"/>
      <c r="PHQ136" s="271"/>
      <c r="PHR136" s="271"/>
      <c r="PHS136" s="271"/>
      <c r="PHT136" s="271"/>
      <c r="PHU136" s="271"/>
      <c r="PHV136" s="271"/>
      <c r="PHW136" s="271"/>
      <c r="PHX136" s="271"/>
      <c r="PHY136" s="271"/>
      <c r="PHZ136" s="271"/>
      <c r="PIA136" s="271"/>
      <c r="PIB136" s="271"/>
      <c r="PIC136" s="271"/>
      <c r="PID136" s="271"/>
      <c r="PIE136" s="271"/>
      <c r="PIF136" s="271"/>
      <c r="PIG136" s="271"/>
      <c r="PIH136" s="271"/>
      <c r="PII136" s="271"/>
      <c r="PIJ136" s="271"/>
      <c r="PIK136" s="271"/>
      <c r="PIL136" s="271"/>
      <c r="PIM136" s="271"/>
      <c r="PIN136" s="271"/>
      <c r="PIO136" s="271"/>
      <c r="PIP136" s="271"/>
      <c r="PIQ136" s="271"/>
      <c r="PIR136" s="271"/>
      <c r="PIS136" s="271"/>
      <c r="PIT136" s="271"/>
      <c r="PIU136" s="271"/>
      <c r="PIV136" s="271"/>
      <c r="PIW136" s="271"/>
      <c r="PIX136" s="271"/>
      <c r="PIY136" s="271"/>
      <c r="PIZ136" s="271"/>
      <c r="PJA136" s="271"/>
      <c r="PJB136" s="271"/>
      <c r="PJC136" s="271"/>
      <c r="PJD136" s="271"/>
      <c r="PJE136" s="271"/>
      <c r="PJF136" s="271"/>
      <c r="PJG136" s="271"/>
      <c r="PJH136" s="271"/>
      <c r="PJI136" s="271"/>
      <c r="PJJ136" s="271"/>
      <c r="PJK136" s="271"/>
      <c r="PJL136" s="271"/>
      <c r="PJM136" s="271"/>
      <c r="PJN136" s="271"/>
      <c r="PJO136" s="271"/>
      <c r="PJP136" s="271"/>
      <c r="PJQ136" s="271"/>
      <c r="PJR136" s="271"/>
      <c r="PJS136" s="271"/>
      <c r="PJT136" s="271"/>
      <c r="PJU136" s="271"/>
      <c r="PJV136" s="271"/>
      <c r="PJW136" s="271"/>
      <c r="PJX136" s="271"/>
      <c r="PJY136" s="271"/>
      <c r="PJZ136" s="271"/>
      <c r="PKA136" s="271"/>
      <c r="PKB136" s="271"/>
      <c r="PKC136" s="271"/>
      <c r="PKD136" s="271"/>
      <c r="PKE136" s="271"/>
      <c r="PKF136" s="271"/>
      <c r="PKG136" s="271"/>
      <c r="PKH136" s="271"/>
      <c r="PKI136" s="271"/>
      <c r="PKJ136" s="271"/>
      <c r="PKK136" s="271"/>
      <c r="PKL136" s="271"/>
      <c r="PKM136" s="271"/>
      <c r="PKN136" s="271"/>
      <c r="PKO136" s="271"/>
      <c r="PKP136" s="271"/>
      <c r="PKQ136" s="271"/>
      <c r="PKR136" s="271"/>
      <c r="PKS136" s="271"/>
      <c r="PKT136" s="271"/>
      <c r="PKU136" s="271"/>
      <c r="PKV136" s="271"/>
      <c r="PKW136" s="271"/>
      <c r="PKX136" s="271"/>
      <c r="PKY136" s="271"/>
      <c r="PKZ136" s="271"/>
      <c r="PLA136" s="271"/>
      <c r="PLB136" s="271"/>
      <c r="PLC136" s="271"/>
      <c r="PLD136" s="271"/>
      <c r="PLE136" s="271"/>
      <c r="PLF136" s="271"/>
      <c r="PLG136" s="271"/>
      <c r="PLH136" s="271"/>
      <c r="PLI136" s="271"/>
      <c r="PLJ136" s="271"/>
      <c r="PLK136" s="271"/>
      <c r="PLL136" s="271"/>
      <c r="PLM136" s="271"/>
      <c r="PLN136" s="271"/>
      <c r="PLO136" s="271"/>
      <c r="PLP136" s="271"/>
      <c r="PLQ136" s="271"/>
      <c r="PLR136" s="271"/>
      <c r="PLS136" s="271"/>
      <c r="PLT136" s="271"/>
      <c r="PLU136" s="271"/>
      <c r="PLV136" s="271"/>
      <c r="PLW136" s="271"/>
      <c r="PLX136" s="271"/>
      <c r="PLY136" s="271"/>
      <c r="PLZ136" s="271"/>
      <c r="PMA136" s="271"/>
      <c r="PMB136" s="271"/>
      <c r="PMC136" s="271"/>
      <c r="PMD136" s="271"/>
      <c r="PME136" s="271"/>
      <c r="PMF136" s="271"/>
      <c r="PMG136" s="271"/>
      <c r="PMH136" s="271"/>
      <c r="PMI136" s="271"/>
      <c r="PMJ136" s="271"/>
      <c r="PMK136" s="271"/>
      <c r="PML136" s="271"/>
      <c r="PMM136" s="271"/>
      <c r="PMN136" s="271"/>
      <c r="PMO136" s="271"/>
      <c r="PMP136" s="271"/>
      <c r="PMQ136" s="271"/>
      <c r="PMR136" s="271"/>
      <c r="PMS136" s="271"/>
      <c r="PMT136" s="271"/>
      <c r="PMU136" s="271"/>
      <c r="PMV136" s="271"/>
      <c r="PMW136" s="271"/>
      <c r="PMX136" s="271"/>
      <c r="PMY136" s="271"/>
      <c r="PMZ136" s="271"/>
      <c r="PNA136" s="271"/>
      <c r="PNB136" s="271"/>
      <c r="PNC136" s="271"/>
      <c r="PND136" s="271"/>
      <c r="PNE136" s="271"/>
      <c r="PNF136" s="271"/>
      <c r="PNG136" s="271"/>
      <c r="PNH136" s="271"/>
      <c r="PNI136" s="271"/>
      <c r="PNJ136" s="271"/>
      <c r="PNK136" s="271"/>
      <c r="PNL136" s="271"/>
      <c r="PNM136" s="271"/>
      <c r="PNN136" s="271"/>
      <c r="PNO136" s="271"/>
      <c r="PNP136" s="271"/>
      <c r="PNQ136" s="271"/>
      <c r="PNR136" s="271"/>
      <c r="PNS136" s="271"/>
      <c r="PNT136" s="271"/>
      <c r="PNU136" s="271"/>
      <c r="PNV136" s="271"/>
      <c r="PNW136" s="271"/>
      <c r="PNX136" s="271"/>
      <c r="PNY136" s="271"/>
      <c r="PNZ136" s="271"/>
      <c r="POA136" s="271"/>
      <c r="POB136" s="271"/>
      <c r="POC136" s="271"/>
      <c r="POD136" s="271"/>
      <c r="POE136" s="271"/>
      <c r="POF136" s="271"/>
      <c r="POG136" s="271"/>
      <c r="POH136" s="271"/>
      <c r="POI136" s="271"/>
      <c r="POJ136" s="271"/>
      <c r="POK136" s="271"/>
      <c r="POL136" s="271"/>
      <c r="POM136" s="271"/>
      <c r="PON136" s="271"/>
      <c r="POO136" s="271"/>
      <c r="POP136" s="271"/>
      <c r="POQ136" s="271"/>
      <c r="POR136" s="271"/>
      <c r="POS136" s="271"/>
      <c r="POT136" s="271"/>
      <c r="POU136" s="271"/>
      <c r="POV136" s="271"/>
      <c r="POW136" s="271"/>
      <c r="POX136" s="271"/>
      <c r="POY136" s="271"/>
      <c r="POZ136" s="271"/>
      <c r="PPA136" s="271"/>
      <c r="PPB136" s="271"/>
      <c r="PPC136" s="271"/>
      <c r="PPD136" s="271"/>
      <c r="PPE136" s="271"/>
      <c r="PPF136" s="271"/>
      <c r="PPG136" s="271"/>
      <c r="PPH136" s="271"/>
      <c r="PPI136" s="271"/>
      <c r="PPJ136" s="271"/>
      <c r="PPK136" s="271"/>
      <c r="PPL136" s="271"/>
      <c r="PPM136" s="271"/>
      <c r="PPN136" s="271"/>
      <c r="PPO136" s="271"/>
      <c r="PPP136" s="271"/>
      <c r="PPQ136" s="271"/>
      <c r="PPR136" s="271"/>
      <c r="PPS136" s="271"/>
      <c r="PPT136" s="271"/>
      <c r="PPU136" s="271"/>
      <c r="PPV136" s="271"/>
      <c r="PPW136" s="271"/>
      <c r="PPX136" s="271"/>
      <c r="PPY136" s="271"/>
      <c r="PPZ136" s="271"/>
      <c r="PQA136" s="271"/>
      <c r="PQB136" s="271"/>
      <c r="PQC136" s="271"/>
      <c r="PQD136" s="271"/>
      <c r="PQE136" s="271"/>
      <c r="PQF136" s="271"/>
      <c r="PQG136" s="271"/>
      <c r="PQH136" s="271"/>
      <c r="PQI136" s="271"/>
      <c r="PQJ136" s="271"/>
      <c r="PQK136" s="271"/>
      <c r="PQL136" s="271"/>
      <c r="PQM136" s="271"/>
      <c r="PQN136" s="271"/>
      <c r="PQO136" s="271"/>
      <c r="PQP136" s="271"/>
      <c r="PQQ136" s="271"/>
      <c r="PQR136" s="271"/>
      <c r="PQS136" s="271"/>
      <c r="PQT136" s="271"/>
      <c r="PQU136" s="271"/>
      <c r="PQV136" s="271"/>
      <c r="PQW136" s="271"/>
      <c r="PQX136" s="271"/>
      <c r="PQY136" s="271"/>
      <c r="PQZ136" s="271"/>
      <c r="PRA136" s="271"/>
      <c r="PRB136" s="271"/>
      <c r="PRC136" s="271"/>
      <c r="PRD136" s="271"/>
      <c r="PRE136" s="271"/>
      <c r="PRF136" s="271"/>
      <c r="PRG136" s="271"/>
      <c r="PRH136" s="271"/>
      <c r="PRI136" s="271"/>
      <c r="PRJ136" s="271"/>
      <c r="PRK136" s="271"/>
      <c r="PRL136" s="271"/>
      <c r="PRM136" s="271"/>
      <c r="PRN136" s="271"/>
      <c r="PRO136" s="271"/>
      <c r="PRP136" s="271"/>
      <c r="PRQ136" s="271"/>
      <c r="PRR136" s="271"/>
      <c r="PRS136" s="271"/>
      <c r="PRT136" s="271"/>
      <c r="PRU136" s="271"/>
      <c r="PRV136" s="271"/>
      <c r="PRW136" s="271"/>
      <c r="PRX136" s="271"/>
      <c r="PRY136" s="271"/>
      <c r="PRZ136" s="271"/>
      <c r="PSA136" s="271"/>
      <c r="PSB136" s="271"/>
      <c r="PSC136" s="271"/>
      <c r="PSD136" s="271"/>
      <c r="PSE136" s="271"/>
      <c r="PSF136" s="271"/>
      <c r="PSG136" s="271"/>
      <c r="PSH136" s="271"/>
      <c r="PSI136" s="271"/>
      <c r="PSJ136" s="271"/>
      <c r="PSK136" s="271"/>
      <c r="PSL136" s="271"/>
      <c r="PSM136" s="271"/>
      <c r="PSN136" s="271"/>
      <c r="PSO136" s="271"/>
      <c r="PSP136" s="271"/>
      <c r="PSQ136" s="271"/>
      <c r="PSR136" s="271"/>
      <c r="PSS136" s="271"/>
      <c r="PST136" s="271"/>
      <c r="PSU136" s="271"/>
      <c r="PSV136" s="271"/>
      <c r="PSW136" s="271"/>
      <c r="PSX136" s="271"/>
      <c r="PSY136" s="271"/>
      <c r="PSZ136" s="271"/>
      <c r="PTA136" s="271"/>
      <c r="PTB136" s="271"/>
      <c r="PTC136" s="271"/>
      <c r="PTD136" s="271"/>
      <c r="PTE136" s="271"/>
      <c r="PTF136" s="271"/>
      <c r="PTG136" s="271"/>
      <c r="PTH136" s="271"/>
      <c r="PTI136" s="271"/>
      <c r="PTJ136" s="271"/>
      <c r="PTK136" s="271"/>
      <c r="PTL136" s="271"/>
      <c r="PTM136" s="271"/>
      <c r="PTN136" s="271"/>
      <c r="PTO136" s="271"/>
      <c r="PTP136" s="271"/>
      <c r="PTQ136" s="271"/>
      <c r="PTR136" s="271"/>
      <c r="PTS136" s="271"/>
      <c r="PTT136" s="271"/>
      <c r="PTU136" s="271"/>
      <c r="PTV136" s="271"/>
      <c r="PTW136" s="271"/>
      <c r="PTX136" s="271"/>
      <c r="PTY136" s="271"/>
      <c r="PTZ136" s="271"/>
      <c r="PUA136" s="271"/>
      <c r="PUB136" s="271"/>
      <c r="PUC136" s="271"/>
      <c r="PUD136" s="271"/>
      <c r="PUE136" s="271"/>
      <c r="PUF136" s="271"/>
      <c r="PUG136" s="271"/>
      <c r="PUH136" s="271"/>
      <c r="PUI136" s="271"/>
      <c r="PUJ136" s="271"/>
      <c r="PUK136" s="271"/>
      <c r="PUL136" s="271"/>
      <c r="PUM136" s="271"/>
      <c r="PUN136" s="271"/>
      <c r="PUO136" s="271"/>
      <c r="PUP136" s="271"/>
      <c r="PUQ136" s="271"/>
      <c r="PUR136" s="271"/>
      <c r="PUS136" s="271"/>
      <c r="PUT136" s="271"/>
      <c r="PUU136" s="271"/>
      <c r="PUV136" s="271"/>
      <c r="PUW136" s="271"/>
      <c r="PUX136" s="271"/>
      <c r="PUY136" s="271"/>
      <c r="PUZ136" s="271"/>
      <c r="PVA136" s="271"/>
      <c r="PVB136" s="271"/>
      <c r="PVC136" s="271"/>
      <c r="PVD136" s="271"/>
      <c r="PVE136" s="271"/>
      <c r="PVF136" s="271"/>
      <c r="PVG136" s="271"/>
      <c r="PVH136" s="271"/>
      <c r="PVI136" s="271"/>
      <c r="PVJ136" s="271"/>
      <c r="PVK136" s="271"/>
      <c r="PVL136" s="271"/>
      <c r="PVM136" s="271"/>
      <c r="PVN136" s="271"/>
      <c r="PVO136" s="271"/>
      <c r="PVP136" s="271"/>
      <c r="PVQ136" s="271"/>
      <c r="PVR136" s="271"/>
      <c r="PVS136" s="271"/>
      <c r="PVT136" s="271"/>
      <c r="PVU136" s="271"/>
      <c r="PVV136" s="271"/>
      <c r="PVW136" s="271"/>
      <c r="PVX136" s="271"/>
      <c r="PVY136" s="271"/>
      <c r="PVZ136" s="271"/>
      <c r="PWA136" s="271"/>
      <c r="PWB136" s="271"/>
      <c r="PWC136" s="271"/>
      <c r="PWD136" s="271"/>
      <c r="PWE136" s="271"/>
      <c r="PWF136" s="271"/>
      <c r="PWG136" s="271"/>
      <c r="PWH136" s="271"/>
      <c r="PWI136" s="271"/>
      <c r="PWJ136" s="271"/>
      <c r="PWK136" s="271"/>
      <c r="PWL136" s="271"/>
      <c r="PWM136" s="271"/>
      <c r="PWN136" s="271"/>
      <c r="PWO136" s="271"/>
      <c r="PWP136" s="271"/>
      <c r="PWQ136" s="271"/>
      <c r="PWR136" s="271"/>
      <c r="PWS136" s="271"/>
      <c r="PWT136" s="271"/>
      <c r="PWU136" s="271"/>
      <c r="PWV136" s="271"/>
      <c r="PWW136" s="271"/>
      <c r="PWX136" s="271"/>
      <c r="PWY136" s="271"/>
      <c r="PWZ136" s="271"/>
      <c r="PXA136" s="271"/>
      <c r="PXB136" s="271"/>
      <c r="PXC136" s="271"/>
      <c r="PXD136" s="271"/>
      <c r="PXE136" s="271"/>
      <c r="PXF136" s="271"/>
      <c r="PXG136" s="271"/>
      <c r="PXH136" s="271"/>
      <c r="PXI136" s="271"/>
      <c r="PXJ136" s="271"/>
      <c r="PXK136" s="271"/>
      <c r="PXL136" s="271"/>
      <c r="PXM136" s="271"/>
      <c r="PXN136" s="271"/>
      <c r="PXO136" s="271"/>
      <c r="PXP136" s="271"/>
      <c r="PXQ136" s="271"/>
      <c r="PXR136" s="271"/>
      <c r="PXS136" s="271"/>
      <c r="PXT136" s="271"/>
      <c r="PXU136" s="271"/>
      <c r="PXV136" s="271"/>
      <c r="PXW136" s="271"/>
      <c r="PXX136" s="271"/>
      <c r="PXY136" s="271"/>
      <c r="PXZ136" s="271"/>
      <c r="PYA136" s="271"/>
      <c r="PYB136" s="271"/>
      <c r="PYC136" s="271"/>
      <c r="PYD136" s="271"/>
      <c r="PYE136" s="271"/>
      <c r="PYF136" s="271"/>
      <c r="PYG136" s="271"/>
      <c r="PYH136" s="271"/>
      <c r="PYI136" s="271"/>
      <c r="PYJ136" s="271"/>
      <c r="PYK136" s="271"/>
      <c r="PYL136" s="271"/>
      <c r="PYM136" s="271"/>
      <c r="PYN136" s="271"/>
      <c r="PYO136" s="271"/>
      <c r="PYP136" s="271"/>
      <c r="PYQ136" s="271"/>
      <c r="PYR136" s="271"/>
      <c r="PYS136" s="271"/>
      <c r="PYT136" s="271"/>
      <c r="PYU136" s="271"/>
      <c r="PYV136" s="271"/>
      <c r="PYW136" s="271"/>
      <c r="PYX136" s="271"/>
      <c r="PYY136" s="271"/>
      <c r="PYZ136" s="271"/>
      <c r="PZA136" s="271"/>
      <c r="PZB136" s="271"/>
      <c r="PZC136" s="271"/>
      <c r="PZD136" s="271"/>
      <c r="PZE136" s="271"/>
      <c r="PZF136" s="271"/>
      <c r="PZG136" s="271"/>
      <c r="PZH136" s="271"/>
      <c r="PZI136" s="271"/>
      <c r="PZJ136" s="271"/>
      <c r="PZK136" s="271"/>
      <c r="PZL136" s="271"/>
      <c r="PZM136" s="271"/>
      <c r="PZN136" s="271"/>
      <c r="PZO136" s="271"/>
      <c r="PZP136" s="271"/>
      <c r="PZQ136" s="271"/>
      <c r="PZR136" s="271"/>
      <c r="PZS136" s="271"/>
      <c r="PZT136" s="271"/>
      <c r="PZU136" s="271"/>
      <c r="PZV136" s="271"/>
      <c r="PZW136" s="271"/>
      <c r="PZX136" s="271"/>
      <c r="PZY136" s="271"/>
      <c r="PZZ136" s="271"/>
      <c r="QAA136" s="271"/>
      <c r="QAB136" s="271"/>
      <c r="QAC136" s="271"/>
      <c r="QAD136" s="271"/>
      <c r="QAE136" s="271"/>
      <c r="QAF136" s="271"/>
      <c r="QAG136" s="271"/>
      <c r="QAH136" s="271"/>
      <c r="QAI136" s="271"/>
      <c r="QAJ136" s="271"/>
      <c r="QAK136" s="271"/>
      <c r="QAL136" s="271"/>
      <c r="QAM136" s="271"/>
      <c r="QAN136" s="271"/>
      <c r="QAO136" s="271"/>
      <c r="QAP136" s="271"/>
      <c r="QAQ136" s="271"/>
      <c r="QAR136" s="271"/>
      <c r="QAS136" s="271"/>
      <c r="QAT136" s="271"/>
      <c r="QAU136" s="271"/>
      <c r="QAV136" s="271"/>
      <c r="QAW136" s="271"/>
      <c r="QAX136" s="271"/>
      <c r="QAY136" s="271"/>
      <c r="QAZ136" s="271"/>
      <c r="QBA136" s="271"/>
      <c r="QBB136" s="271"/>
      <c r="QBC136" s="271"/>
      <c r="QBD136" s="271"/>
      <c r="QBE136" s="271"/>
      <c r="QBF136" s="271"/>
      <c r="QBG136" s="271"/>
      <c r="QBH136" s="271"/>
      <c r="QBI136" s="271"/>
      <c r="QBJ136" s="271"/>
      <c r="QBK136" s="271"/>
      <c r="QBL136" s="271"/>
      <c r="QBM136" s="271"/>
      <c r="QBN136" s="271"/>
      <c r="QBO136" s="271"/>
      <c r="QBP136" s="271"/>
      <c r="QBQ136" s="271"/>
      <c r="QBR136" s="271"/>
      <c r="QBS136" s="271"/>
      <c r="QBT136" s="271"/>
      <c r="QBU136" s="271"/>
      <c r="QBV136" s="271"/>
      <c r="QBW136" s="271"/>
      <c r="QBX136" s="271"/>
      <c r="QBY136" s="271"/>
      <c r="QBZ136" s="271"/>
      <c r="QCA136" s="271"/>
      <c r="QCB136" s="271"/>
      <c r="QCC136" s="271"/>
      <c r="QCD136" s="271"/>
      <c r="QCE136" s="271"/>
      <c r="QCF136" s="271"/>
      <c r="QCG136" s="271"/>
      <c r="QCH136" s="271"/>
      <c r="QCI136" s="271"/>
      <c r="QCJ136" s="271"/>
      <c r="QCK136" s="271"/>
      <c r="QCL136" s="271"/>
      <c r="QCM136" s="271"/>
      <c r="QCN136" s="271"/>
      <c r="QCO136" s="271"/>
      <c r="QCP136" s="271"/>
      <c r="QCQ136" s="271"/>
      <c r="QCR136" s="271"/>
      <c r="QCS136" s="271"/>
      <c r="QCT136" s="271"/>
      <c r="QCU136" s="271"/>
      <c r="QCV136" s="271"/>
      <c r="QCW136" s="271"/>
      <c r="QCX136" s="271"/>
      <c r="QCY136" s="271"/>
      <c r="QCZ136" s="271"/>
      <c r="QDA136" s="271"/>
      <c r="QDB136" s="271"/>
      <c r="QDC136" s="271"/>
      <c r="QDD136" s="271"/>
      <c r="QDE136" s="271"/>
      <c r="QDF136" s="271"/>
      <c r="QDG136" s="271"/>
      <c r="QDH136" s="271"/>
      <c r="QDI136" s="271"/>
      <c r="QDJ136" s="271"/>
      <c r="QDK136" s="271"/>
      <c r="QDL136" s="271"/>
      <c r="QDM136" s="271"/>
      <c r="QDN136" s="271"/>
      <c r="QDO136" s="271"/>
      <c r="QDP136" s="271"/>
      <c r="QDQ136" s="271"/>
      <c r="QDR136" s="271"/>
      <c r="QDS136" s="271"/>
      <c r="QDT136" s="271"/>
      <c r="QDU136" s="271"/>
      <c r="QDV136" s="271"/>
      <c r="QDW136" s="271"/>
      <c r="QDX136" s="271"/>
      <c r="QDY136" s="271"/>
      <c r="QDZ136" s="271"/>
      <c r="QEA136" s="271"/>
      <c r="QEB136" s="271"/>
      <c r="QEC136" s="271"/>
      <c r="QED136" s="271"/>
      <c r="QEE136" s="271"/>
      <c r="QEF136" s="271"/>
      <c r="QEG136" s="271"/>
      <c r="QEH136" s="271"/>
      <c r="QEI136" s="271"/>
      <c r="QEJ136" s="271"/>
      <c r="QEK136" s="271"/>
      <c r="QEL136" s="271"/>
      <c r="QEM136" s="271"/>
      <c r="QEN136" s="271"/>
      <c r="QEO136" s="271"/>
      <c r="QEP136" s="271"/>
      <c r="QEQ136" s="271"/>
      <c r="QER136" s="271"/>
      <c r="QES136" s="271"/>
      <c r="QET136" s="271"/>
      <c r="QEU136" s="271"/>
      <c r="QEV136" s="271"/>
      <c r="QEW136" s="271"/>
      <c r="QEX136" s="271"/>
      <c r="QEY136" s="271"/>
      <c r="QEZ136" s="271"/>
      <c r="QFA136" s="271"/>
      <c r="QFB136" s="271"/>
      <c r="QFC136" s="271"/>
      <c r="QFD136" s="271"/>
      <c r="QFE136" s="271"/>
      <c r="QFF136" s="271"/>
      <c r="QFG136" s="271"/>
      <c r="QFH136" s="271"/>
      <c r="QFI136" s="271"/>
      <c r="QFJ136" s="271"/>
      <c r="QFK136" s="271"/>
      <c r="QFL136" s="271"/>
      <c r="QFM136" s="271"/>
      <c r="QFN136" s="271"/>
      <c r="QFO136" s="271"/>
      <c r="QFP136" s="271"/>
      <c r="QFQ136" s="271"/>
      <c r="QFR136" s="271"/>
      <c r="QFS136" s="271"/>
      <c r="QFT136" s="271"/>
      <c r="QFU136" s="271"/>
      <c r="QFV136" s="271"/>
      <c r="QFW136" s="271"/>
      <c r="QFX136" s="271"/>
      <c r="QFY136" s="271"/>
      <c r="QFZ136" s="271"/>
      <c r="QGA136" s="271"/>
      <c r="QGB136" s="271"/>
      <c r="QGC136" s="271"/>
      <c r="QGD136" s="271"/>
      <c r="QGE136" s="271"/>
      <c r="QGF136" s="271"/>
      <c r="QGG136" s="271"/>
      <c r="QGH136" s="271"/>
      <c r="QGI136" s="271"/>
      <c r="QGJ136" s="271"/>
      <c r="QGK136" s="271"/>
      <c r="QGL136" s="271"/>
      <c r="QGM136" s="271"/>
      <c r="QGN136" s="271"/>
      <c r="QGO136" s="271"/>
      <c r="QGP136" s="271"/>
      <c r="QGQ136" s="271"/>
      <c r="QGR136" s="271"/>
      <c r="QGS136" s="271"/>
      <c r="QGT136" s="271"/>
      <c r="QGU136" s="271"/>
      <c r="QGV136" s="271"/>
      <c r="QGW136" s="271"/>
      <c r="QGX136" s="271"/>
      <c r="QGY136" s="271"/>
      <c r="QGZ136" s="271"/>
      <c r="QHA136" s="271"/>
      <c r="QHB136" s="271"/>
      <c r="QHC136" s="271"/>
      <c r="QHD136" s="271"/>
      <c r="QHE136" s="271"/>
      <c r="QHF136" s="271"/>
      <c r="QHG136" s="271"/>
      <c r="QHH136" s="271"/>
      <c r="QHI136" s="271"/>
      <c r="QHJ136" s="271"/>
      <c r="QHK136" s="271"/>
      <c r="QHL136" s="271"/>
      <c r="QHM136" s="271"/>
      <c r="QHN136" s="271"/>
      <c r="QHO136" s="271"/>
      <c r="QHP136" s="271"/>
      <c r="QHQ136" s="271"/>
      <c r="QHR136" s="271"/>
      <c r="QHS136" s="271"/>
      <c r="QHT136" s="271"/>
      <c r="QHU136" s="271"/>
      <c r="QHV136" s="271"/>
      <c r="QHW136" s="271"/>
      <c r="QHX136" s="271"/>
      <c r="QHY136" s="271"/>
      <c r="QHZ136" s="271"/>
      <c r="QIA136" s="271"/>
      <c r="QIB136" s="271"/>
      <c r="QIC136" s="271"/>
      <c r="QID136" s="271"/>
      <c r="QIE136" s="271"/>
      <c r="QIF136" s="271"/>
      <c r="QIG136" s="271"/>
      <c r="QIH136" s="271"/>
      <c r="QII136" s="271"/>
      <c r="QIJ136" s="271"/>
      <c r="QIK136" s="271"/>
      <c r="QIL136" s="271"/>
      <c r="QIM136" s="271"/>
      <c r="QIN136" s="271"/>
      <c r="QIO136" s="271"/>
      <c r="QIP136" s="271"/>
      <c r="QIQ136" s="271"/>
      <c r="QIR136" s="271"/>
      <c r="QIS136" s="271"/>
      <c r="QIT136" s="271"/>
      <c r="QIU136" s="271"/>
      <c r="QIV136" s="271"/>
      <c r="QIW136" s="271"/>
      <c r="QIX136" s="271"/>
      <c r="QIY136" s="271"/>
      <c r="QIZ136" s="271"/>
      <c r="QJA136" s="271"/>
      <c r="QJB136" s="271"/>
      <c r="QJC136" s="271"/>
      <c r="QJD136" s="271"/>
      <c r="QJE136" s="271"/>
      <c r="QJF136" s="271"/>
      <c r="QJG136" s="271"/>
      <c r="QJH136" s="271"/>
      <c r="QJI136" s="271"/>
      <c r="QJJ136" s="271"/>
      <c r="QJK136" s="271"/>
      <c r="QJL136" s="271"/>
      <c r="QJM136" s="271"/>
      <c r="QJN136" s="271"/>
      <c r="QJO136" s="271"/>
      <c r="QJP136" s="271"/>
      <c r="QJQ136" s="271"/>
      <c r="QJR136" s="271"/>
      <c r="QJS136" s="271"/>
      <c r="QJT136" s="271"/>
      <c r="QJU136" s="271"/>
      <c r="QJV136" s="271"/>
      <c r="QJW136" s="271"/>
      <c r="QJX136" s="271"/>
      <c r="QJY136" s="271"/>
      <c r="QJZ136" s="271"/>
      <c r="QKA136" s="271"/>
      <c r="QKB136" s="271"/>
      <c r="QKC136" s="271"/>
      <c r="QKD136" s="271"/>
      <c r="QKE136" s="271"/>
      <c r="QKF136" s="271"/>
      <c r="QKG136" s="271"/>
      <c r="QKH136" s="271"/>
      <c r="QKI136" s="271"/>
      <c r="QKJ136" s="271"/>
      <c r="QKK136" s="271"/>
      <c r="QKL136" s="271"/>
      <c r="QKM136" s="271"/>
      <c r="QKN136" s="271"/>
      <c r="QKO136" s="271"/>
      <c r="QKP136" s="271"/>
      <c r="QKQ136" s="271"/>
      <c r="QKR136" s="271"/>
      <c r="QKS136" s="271"/>
      <c r="QKT136" s="271"/>
      <c r="QKU136" s="271"/>
      <c r="QKV136" s="271"/>
      <c r="QKW136" s="271"/>
      <c r="QKX136" s="271"/>
      <c r="QKY136" s="271"/>
      <c r="QKZ136" s="271"/>
      <c r="QLA136" s="271"/>
      <c r="QLB136" s="271"/>
      <c r="QLC136" s="271"/>
      <c r="QLD136" s="271"/>
      <c r="QLE136" s="271"/>
      <c r="QLF136" s="271"/>
      <c r="QLG136" s="271"/>
      <c r="QLH136" s="271"/>
      <c r="QLI136" s="271"/>
      <c r="QLJ136" s="271"/>
      <c r="QLK136" s="271"/>
      <c r="QLL136" s="271"/>
      <c r="QLM136" s="271"/>
      <c r="QLN136" s="271"/>
      <c r="QLO136" s="271"/>
      <c r="QLP136" s="271"/>
      <c r="QLQ136" s="271"/>
      <c r="QLR136" s="271"/>
      <c r="QLS136" s="271"/>
      <c r="QLT136" s="271"/>
      <c r="QLU136" s="271"/>
      <c r="QLV136" s="271"/>
      <c r="QLW136" s="271"/>
      <c r="QLX136" s="271"/>
      <c r="QLY136" s="271"/>
      <c r="QLZ136" s="271"/>
      <c r="QMA136" s="271"/>
      <c r="QMB136" s="271"/>
      <c r="QMC136" s="271"/>
      <c r="QMD136" s="271"/>
      <c r="QME136" s="271"/>
      <c r="QMF136" s="271"/>
      <c r="QMG136" s="271"/>
      <c r="QMH136" s="271"/>
      <c r="QMI136" s="271"/>
      <c r="QMJ136" s="271"/>
      <c r="QMK136" s="271"/>
      <c r="QML136" s="271"/>
      <c r="QMM136" s="271"/>
      <c r="QMN136" s="271"/>
      <c r="QMO136" s="271"/>
      <c r="QMP136" s="271"/>
      <c r="QMQ136" s="271"/>
      <c r="QMR136" s="271"/>
      <c r="QMS136" s="271"/>
      <c r="QMT136" s="271"/>
      <c r="QMU136" s="271"/>
      <c r="QMV136" s="271"/>
      <c r="QMW136" s="271"/>
      <c r="QMX136" s="271"/>
      <c r="QMY136" s="271"/>
      <c r="QMZ136" s="271"/>
      <c r="QNA136" s="271"/>
      <c r="QNB136" s="271"/>
      <c r="QNC136" s="271"/>
      <c r="QND136" s="271"/>
      <c r="QNE136" s="271"/>
      <c r="QNF136" s="271"/>
      <c r="QNG136" s="271"/>
      <c r="QNH136" s="271"/>
      <c r="QNI136" s="271"/>
      <c r="QNJ136" s="271"/>
      <c r="QNK136" s="271"/>
      <c r="QNL136" s="271"/>
      <c r="QNM136" s="271"/>
      <c r="QNN136" s="271"/>
      <c r="QNO136" s="271"/>
      <c r="QNP136" s="271"/>
      <c r="QNQ136" s="271"/>
      <c r="QNR136" s="271"/>
      <c r="QNS136" s="271"/>
      <c r="QNT136" s="271"/>
      <c r="QNU136" s="271"/>
      <c r="QNV136" s="271"/>
      <c r="QNW136" s="271"/>
      <c r="QNX136" s="271"/>
      <c r="QNY136" s="271"/>
      <c r="QNZ136" s="271"/>
      <c r="QOA136" s="271"/>
      <c r="QOB136" s="271"/>
      <c r="QOC136" s="271"/>
      <c r="QOD136" s="271"/>
      <c r="QOE136" s="271"/>
      <c r="QOF136" s="271"/>
      <c r="QOG136" s="271"/>
      <c r="QOH136" s="271"/>
      <c r="QOI136" s="271"/>
      <c r="QOJ136" s="271"/>
      <c r="QOK136" s="271"/>
      <c r="QOL136" s="271"/>
      <c r="QOM136" s="271"/>
      <c r="QON136" s="271"/>
      <c r="QOO136" s="271"/>
      <c r="QOP136" s="271"/>
      <c r="QOQ136" s="271"/>
      <c r="QOR136" s="271"/>
      <c r="QOS136" s="271"/>
      <c r="QOT136" s="271"/>
      <c r="QOU136" s="271"/>
      <c r="QOV136" s="271"/>
      <c r="QOW136" s="271"/>
      <c r="QOX136" s="271"/>
      <c r="QOY136" s="271"/>
      <c r="QOZ136" s="271"/>
      <c r="QPA136" s="271"/>
      <c r="QPB136" s="271"/>
      <c r="QPC136" s="271"/>
      <c r="QPD136" s="271"/>
      <c r="QPE136" s="271"/>
      <c r="QPF136" s="271"/>
      <c r="QPG136" s="271"/>
      <c r="QPH136" s="271"/>
      <c r="QPI136" s="271"/>
      <c r="QPJ136" s="271"/>
      <c r="QPK136" s="271"/>
      <c r="QPL136" s="271"/>
      <c r="QPM136" s="271"/>
      <c r="QPN136" s="271"/>
      <c r="QPO136" s="271"/>
      <c r="QPP136" s="271"/>
      <c r="QPQ136" s="271"/>
      <c r="QPR136" s="271"/>
      <c r="QPS136" s="271"/>
      <c r="QPT136" s="271"/>
      <c r="QPU136" s="271"/>
      <c r="QPV136" s="271"/>
      <c r="QPW136" s="271"/>
      <c r="QPX136" s="271"/>
      <c r="QPY136" s="271"/>
      <c r="QPZ136" s="271"/>
      <c r="QQA136" s="271"/>
      <c r="QQB136" s="271"/>
      <c r="QQC136" s="271"/>
      <c r="QQD136" s="271"/>
      <c r="QQE136" s="271"/>
      <c r="QQF136" s="271"/>
      <c r="QQG136" s="271"/>
      <c r="QQH136" s="271"/>
      <c r="QQI136" s="271"/>
      <c r="QQJ136" s="271"/>
      <c r="QQK136" s="271"/>
      <c r="QQL136" s="271"/>
      <c r="QQM136" s="271"/>
      <c r="QQN136" s="271"/>
      <c r="QQO136" s="271"/>
      <c r="QQP136" s="271"/>
      <c r="QQQ136" s="271"/>
      <c r="QQR136" s="271"/>
      <c r="QQS136" s="271"/>
      <c r="QQT136" s="271"/>
      <c r="QQU136" s="271"/>
      <c r="QQV136" s="271"/>
      <c r="QQW136" s="271"/>
      <c r="QQX136" s="271"/>
      <c r="QQY136" s="271"/>
      <c r="QQZ136" s="271"/>
      <c r="QRA136" s="271"/>
      <c r="QRB136" s="271"/>
      <c r="QRC136" s="271"/>
      <c r="QRD136" s="271"/>
      <c r="QRE136" s="271"/>
      <c r="QRF136" s="271"/>
      <c r="QRG136" s="271"/>
      <c r="QRH136" s="271"/>
      <c r="QRI136" s="271"/>
      <c r="QRJ136" s="271"/>
      <c r="QRK136" s="271"/>
      <c r="QRL136" s="271"/>
      <c r="QRM136" s="271"/>
      <c r="QRN136" s="271"/>
      <c r="QRO136" s="271"/>
      <c r="QRP136" s="271"/>
      <c r="QRQ136" s="271"/>
      <c r="QRR136" s="271"/>
      <c r="QRS136" s="271"/>
      <c r="QRT136" s="271"/>
      <c r="QRU136" s="271"/>
      <c r="QRV136" s="271"/>
      <c r="QRW136" s="271"/>
      <c r="QRX136" s="271"/>
      <c r="QRY136" s="271"/>
      <c r="QRZ136" s="271"/>
      <c r="QSA136" s="271"/>
      <c r="QSB136" s="271"/>
      <c r="QSC136" s="271"/>
      <c r="QSD136" s="271"/>
      <c r="QSE136" s="271"/>
      <c r="QSF136" s="271"/>
      <c r="QSG136" s="271"/>
      <c r="QSH136" s="271"/>
      <c r="QSI136" s="271"/>
      <c r="QSJ136" s="271"/>
      <c r="QSK136" s="271"/>
      <c r="QSL136" s="271"/>
      <c r="QSM136" s="271"/>
      <c r="QSN136" s="271"/>
      <c r="QSO136" s="271"/>
      <c r="QSP136" s="271"/>
      <c r="QSQ136" s="271"/>
      <c r="QSR136" s="271"/>
      <c r="QSS136" s="271"/>
      <c r="QST136" s="271"/>
      <c r="QSU136" s="271"/>
      <c r="QSV136" s="271"/>
      <c r="QSW136" s="271"/>
      <c r="QSX136" s="271"/>
      <c r="QSY136" s="271"/>
      <c r="QSZ136" s="271"/>
      <c r="QTA136" s="271"/>
      <c r="QTB136" s="271"/>
      <c r="QTC136" s="271"/>
      <c r="QTD136" s="271"/>
      <c r="QTE136" s="271"/>
      <c r="QTF136" s="271"/>
      <c r="QTG136" s="271"/>
      <c r="QTH136" s="271"/>
      <c r="QTI136" s="271"/>
      <c r="QTJ136" s="271"/>
      <c r="QTK136" s="271"/>
      <c r="QTL136" s="271"/>
      <c r="QTM136" s="271"/>
      <c r="QTN136" s="271"/>
      <c r="QTO136" s="271"/>
      <c r="QTP136" s="271"/>
      <c r="QTQ136" s="271"/>
      <c r="QTR136" s="271"/>
      <c r="QTS136" s="271"/>
      <c r="QTT136" s="271"/>
      <c r="QTU136" s="271"/>
      <c r="QTV136" s="271"/>
      <c r="QTW136" s="271"/>
      <c r="QTX136" s="271"/>
      <c r="QTY136" s="271"/>
      <c r="QTZ136" s="271"/>
      <c r="QUA136" s="271"/>
      <c r="QUB136" s="271"/>
      <c r="QUC136" s="271"/>
      <c r="QUD136" s="271"/>
      <c r="QUE136" s="271"/>
      <c r="QUF136" s="271"/>
      <c r="QUG136" s="271"/>
      <c r="QUH136" s="271"/>
      <c r="QUI136" s="271"/>
      <c r="QUJ136" s="271"/>
      <c r="QUK136" s="271"/>
      <c r="QUL136" s="271"/>
      <c r="QUM136" s="271"/>
      <c r="QUN136" s="271"/>
      <c r="QUO136" s="271"/>
      <c r="QUP136" s="271"/>
      <c r="QUQ136" s="271"/>
      <c r="QUR136" s="271"/>
      <c r="QUS136" s="271"/>
      <c r="QUT136" s="271"/>
      <c r="QUU136" s="271"/>
      <c r="QUV136" s="271"/>
      <c r="QUW136" s="271"/>
      <c r="QUX136" s="271"/>
      <c r="QUY136" s="271"/>
      <c r="QUZ136" s="271"/>
      <c r="QVA136" s="271"/>
      <c r="QVB136" s="271"/>
      <c r="QVC136" s="271"/>
      <c r="QVD136" s="271"/>
      <c r="QVE136" s="271"/>
      <c r="QVF136" s="271"/>
      <c r="QVG136" s="271"/>
      <c r="QVH136" s="271"/>
      <c r="QVI136" s="271"/>
      <c r="QVJ136" s="271"/>
      <c r="QVK136" s="271"/>
      <c r="QVL136" s="271"/>
      <c r="QVM136" s="271"/>
      <c r="QVN136" s="271"/>
      <c r="QVO136" s="271"/>
      <c r="QVP136" s="271"/>
      <c r="QVQ136" s="271"/>
      <c r="QVR136" s="271"/>
      <c r="QVS136" s="271"/>
      <c r="QVT136" s="271"/>
      <c r="QVU136" s="271"/>
      <c r="QVV136" s="271"/>
      <c r="QVW136" s="271"/>
      <c r="QVX136" s="271"/>
      <c r="QVY136" s="271"/>
      <c r="QVZ136" s="271"/>
      <c r="QWA136" s="271"/>
      <c r="QWB136" s="271"/>
      <c r="QWC136" s="271"/>
      <c r="QWD136" s="271"/>
      <c r="QWE136" s="271"/>
      <c r="QWF136" s="271"/>
      <c r="QWG136" s="271"/>
      <c r="QWH136" s="271"/>
      <c r="QWI136" s="271"/>
      <c r="QWJ136" s="271"/>
      <c r="QWK136" s="271"/>
      <c r="QWL136" s="271"/>
      <c r="QWM136" s="271"/>
      <c r="QWN136" s="271"/>
      <c r="QWO136" s="271"/>
      <c r="QWP136" s="271"/>
      <c r="QWQ136" s="271"/>
      <c r="QWR136" s="271"/>
      <c r="QWS136" s="271"/>
      <c r="QWT136" s="271"/>
      <c r="QWU136" s="271"/>
      <c r="QWV136" s="271"/>
      <c r="QWW136" s="271"/>
      <c r="QWX136" s="271"/>
      <c r="QWY136" s="271"/>
      <c r="QWZ136" s="271"/>
      <c r="QXA136" s="271"/>
      <c r="QXB136" s="271"/>
      <c r="QXC136" s="271"/>
      <c r="QXD136" s="271"/>
      <c r="QXE136" s="271"/>
      <c r="QXF136" s="271"/>
      <c r="QXG136" s="271"/>
      <c r="QXH136" s="271"/>
      <c r="QXI136" s="271"/>
      <c r="QXJ136" s="271"/>
      <c r="QXK136" s="271"/>
      <c r="QXL136" s="271"/>
      <c r="QXM136" s="271"/>
      <c r="QXN136" s="271"/>
      <c r="QXO136" s="271"/>
      <c r="QXP136" s="271"/>
      <c r="QXQ136" s="271"/>
      <c r="QXR136" s="271"/>
      <c r="QXS136" s="271"/>
      <c r="QXT136" s="271"/>
      <c r="QXU136" s="271"/>
      <c r="QXV136" s="271"/>
      <c r="QXW136" s="271"/>
      <c r="QXX136" s="271"/>
      <c r="QXY136" s="271"/>
      <c r="QXZ136" s="271"/>
      <c r="QYA136" s="271"/>
      <c r="QYB136" s="271"/>
      <c r="QYC136" s="271"/>
      <c r="QYD136" s="271"/>
      <c r="QYE136" s="271"/>
      <c r="QYF136" s="271"/>
      <c r="QYG136" s="271"/>
      <c r="QYH136" s="271"/>
      <c r="QYI136" s="271"/>
      <c r="QYJ136" s="271"/>
      <c r="QYK136" s="271"/>
      <c r="QYL136" s="271"/>
      <c r="QYM136" s="271"/>
      <c r="QYN136" s="271"/>
      <c r="QYO136" s="271"/>
      <c r="QYP136" s="271"/>
      <c r="QYQ136" s="271"/>
      <c r="QYR136" s="271"/>
      <c r="QYS136" s="271"/>
      <c r="QYT136" s="271"/>
      <c r="QYU136" s="271"/>
      <c r="QYV136" s="271"/>
      <c r="QYW136" s="271"/>
      <c r="QYX136" s="271"/>
      <c r="QYY136" s="271"/>
      <c r="QYZ136" s="271"/>
      <c r="QZA136" s="271"/>
      <c r="QZB136" s="271"/>
      <c r="QZC136" s="271"/>
      <c r="QZD136" s="271"/>
      <c r="QZE136" s="271"/>
      <c r="QZF136" s="271"/>
      <c r="QZG136" s="271"/>
      <c r="QZH136" s="271"/>
      <c r="QZI136" s="271"/>
      <c r="QZJ136" s="271"/>
      <c r="QZK136" s="271"/>
      <c r="QZL136" s="271"/>
      <c r="QZM136" s="271"/>
      <c r="QZN136" s="271"/>
      <c r="QZO136" s="271"/>
      <c r="QZP136" s="271"/>
      <c r="QZQ136" s="271"/>
      <c r="QZR136" s="271"/>
      <c r="QZS136" s="271"/>
      <c r="QZT136" s="271"/>
      <c r="QZU136" s="271"/>
      <c r="QZV136" s="271"/>
      <c r="QZW136" s="271"/>
      <c r="QZX136" s="271"/>
      <c r="QZY136" s="271"/>
      <c r="QZZ136" s="271"/>
      <c r="RAA136" s="271"/>
      <c r="RAB136" s="271"/>
      <c r="RAC136" s="271"/>
      <c r="RAD136" s="271"/>
      <c r="RAE136" s="271"/>
      <c r="RAF136" s="271"/>
      <c r="RAG136" s="271"/>
      <c r="RAH136" s="271"/>
      <c r="RAI136" s="271"/>
      <c r="RAJ136" s="271"/>
      <c r="RAK136" s="271"/>
      <c r="RAL136" s="271"/>
      <c r="RAM136" s="271"/>
      <c r="RAN136" s="271"/>
      <c r="RAO136" s="271"/>
      <c r="RAP136" s="271"/>
      <c r="RAQ136" s="271"/>
      <c r="RAR136" s="271"/>
      <c r="RAS136" s="271"/>
      <c r="RAT136" s="271"/>
      <c r="RAU136" s="271"/>
      <c r="RAV136" s="271"/>
      <c r="RAW136" s="271"/>
      <c r="RAX136" s="271"/>
      <c r="RAY136" s="271"/>
      <c r="RAZ136" s="271"/>
      <c r="RBA136" s="271"/>
      <c r="RBB136" s="271"/>
      <c r="RBC136" s="271"/>
      <c r="RBD136" s="271"/>
      <c r="RBE136" s="271"/>
      <c r="RBF136" s="271"/>
      <c r="RBG136" s="271"/>
      <c r="RBH136" s="271"/>
      <c r="RBI136" s="271"/>
      <c r="RBJ136" s="271"/>
      <c r="RBK136" s="271"/>
      <c r="RBL136" s="271"/>
      <c r="RBM136" s="271"/>
      <c r="RBN136" s="271"/>
      <c r="RBO136" s="271"/>
      <c r="RBP136" s="271"/>
      <c r="RBQ136" s="271"/>
      <c r="RBR136" s="271"/>
      <c r="RBS136" s="271"/>
      <c r="RBT136" s="271"/>
      <c r="RBU136" s="271"/>
      <c r="RBV136" s="271"/>
      <c r="RBW136" s="271"/>
      <c r="RBX136" s="271"/>
      <c r="RBY136" s="271"/>
      <c r="RBZ136" s="271"/>
      <c r="RCA136" s="271"/>
      <c r="RCB136" s="271"/>
      <c r="RCC136" s="271"/>
      <c r="RCD136" s="271"/>
      <c r="RCE136" s="271"/>
      <c r="RCF136" s="271"/>
      <c r="RCG136" s="271"/>
      <c r="RCH136" s="271"/>
      <c r="RCI136" s="271"/>
      <c r="RCJ136" s="271"/>
      <c r="RCK136" s="271"/>
      <c r="RCL136" s="271"/>
      <c r="RCM136" s="271"/>
      <c r="RCN136" s="271"/>
      <c r="RCO136" s="271"/>
      <c r="RCP136" s="271"/>
      <c r="RCQ136" s="271"/>
      <c r="RCR136" s="271"/>
      <c r="RCS136" s="271"/>
      <c r="RCT136" s="271"/>
      <c r="RCU136" s="271"/>
      <c r="RCV136" s="271"/>
      <c r="RCW136" s="271"/>
      <c r="RCX136" s="271"/>
      <c r="RCY136" s="271"/>
      <c r="RCZ136" s="271"/>
      <c r="RDA136" s="271"/>
      <c r="RDB136" s="271"/>
      <c r="RDC136" s="271"/>
      <c r="RDD136" s="271"/>
      <c r="RDE136" s="271"/>
      <c r="RDF136" s="271"/>
      <c r="RDG136" s="271"/>
      <c r="RDH136" s="271"/>
      <c r="RDI136" s="271"/>
      <c r="RDJ136" s="271"/>
      <c r="RDK136" s="271"/>
      <c r="RDL136" s="271"/>
      <c r="RDM136" s="271"/>
      <c r="RDN136" s="271"/>
      <c r="RDO136" s="271"/>
      <c r="RDP136" s="271"/>
      <c r="RDQ136" s="271"/>
      <c r="RDR136" s="271"/>
      <c r="RDS136" s="271"/>
      <c r="RDT136" s="271"/>
      <c r="RDU136" s="271"/>
      <c r="RDV136" s="271"/>
      <c r="RDW136" s="271"/>
      <c r="RDX136" s="271"/>
      <c r="RDY136" s="271"/>
      <c r="RDZ136" s="271"/>
      <c r="REA136" s="271"/>
      <c r="REB136" s="271"/>
      <c r="REC136" s="271"/>
      <c r="RED136" s="271"/>
      <c r="REE136" s="271"/>
      <c r="REF136" s="271"/>
      <c r="REG136" s="271"/>
      <c r="REH136" s="271"/>
      <c r="REI136" s="271"/>
      <c r="REJ136" s="271"/>
      <c r="REK136" s="271"/>
      <c r="REL136" s="271"/>
      <c r="REM136" s="271"/>
      <c r="REN136" s="271"/>
      <c r="REO136" s="271"/>
      <c r="REP136" s="271"/>
      <c r="REQ136" s="271"/>
      <c r="RER136" s="271"/>
      <c r="RES136" s="271"/>
      <c r="RET136" s="271"/>
      <c r="REU136" s="271"/>
      <c r="REV136" s="271"/>
      <c r="REW136" s="271"/>
      <c r="REX136" s="271"/>
      <c r="REY136" s="271"/>
      <c r="REZ136" s="271"/>
      <c r="RFA136" s="271"/>
      <c r="RFB136" s="271"/>
      <c r="RFC136" s="271"/>
      <c r="RFD136" s="271"/>
      <c r="RFE136" s="271"/>
      <c r="RFF136" s="271"/>
      <c r="RFG136" s="271"/>
      <c r="RFH136" s="271"/>
      <c r="RFI136" s="271"/>
      <c r="RFJ136" s="271"/>
      <c r="RFK136" s="271"/>
      <c r="RFL136" s="271"/>
      <c r="RFM136" s="271"/>
      <c r="RFN136" s="271"/>
      <c r="RFO136" s="271"/>
      <c r="RFP136" s="271"/>
      <c r="RFQ136" s="271"/>
      <c r="RFR136" s="271"/>
      <c r="RFS136" s="271"/>
      <c r="RFT136" s="271"/>
      <c r="RFU136" s="271"/>
      <c r="RFV136" s="271"/>
      <c r="RFW136" s="271"/>
      <c r="RFX136" s="271"/>
      <c r="RFY136" s="271"/>
      <c r="RFZ136" s="271"/>
      <c r="RGA136" s="271"/>
      <c r="RGB136" s="271"/>
      <c r="RGC136" s="271"/>
      <c r="RGD136" s="271"/>
      <c r="RGE136" s="271"/>
      <c r="RGF136" s="271"/>
      <c r="RGG136" s="271"/>
      <c r="RGH136" s="271"/>
      <c r="RGI136" s="271"/>
      <c r="RGJ136" s="271"/>
      <c r="RGK136" s="271"/>
      <c r="RGL136" s="271"/>
      <c r="RGM136" s="271"/>
      <c r="RGN136" s="271"/>
      <c r="RGO136" s="271"/>
      <c r="RGP136" s="271"/>
      <c r="RGQ136" s="271"/>
      <c r="RGR136" s="271"/>
      <c r="RGS136" s="271"/>
      <c r="RGT136" s="271"/>
      <c r="RGU136" s="271"/>
      <c r="RGV136" s="271"/>
      <c r="RGW136" s="271"/>
      <c r="RGX136" s="271"/>
      <c r="RGY136" s="271"/>
      <c r="RGZ136" s="271"/>
      <c r="RHA136" s="271"/>
      <c r="RHB136" s="271"/>
      <c r="RHC136" s="271"/>
      <c r="RHD136" s="271"/>
      <c r="RHE136" s="271"/>
      <c r="RHF136" s="271"/>
      <c r="RHG136" s="271"/>
      <c r="RHH136" s="271"/>
      <c r="RHI136" s="271"/>
      <c r="RHJ136" s="271"/>
      <c r="RHK136" s="271"/>
      <c r="RHL136" s="271"/>
      <c r="RHM136" s="271"/>
      <c r="RHN136" s="271"/>
      <c r="RHO136" s="271"/>
      <c r="RHP136" s="271"/>
      <c r="RHQ136" s="271"/>
      <c r="RHR136" s="271"/>
      <c r="RHS136" s="271"/>
      <c r="RHT136" s="271"/>
      <c r="RHU136" s="271"/>
      <c r="RHV136" s="271"/>
      <c r="RHW136" s="271"/>
      <c r="RHX136" s="271"/>
      <c r="RHY136" s="271"/>
      <c r="RHZ136" s="271"/>
      <c r="RIA136" s="271"/>
      <c r="RIB136" s="271"/>
      <c r="RIC136" s="271"/>
      <c r="RID136" s="271"/>
      <c r="RIE136" s="271"/>
      <c r="RIF136" s="271"/>
      <c r="RIG136" s="271"/>
      <c r="RIH136" s="271"/>
      <c r="RII136" s="271"/>
      <c r="RIJ136" s="271"/>
      <c r="RIK136" s="271"/>
      <c r="RIL136" s="271"/>
      <c r="RIM136" s="271"/>
      <c r="RIN136" s="271"/>
      <c r="RIO136" s="271"/>
      <c r="RIP136" s="271"/>
      <c r="RIQ136" s="271"/>
      <c r="RIR136" s="271"/>
      <c r="RIS136" s="271"/>
      <c r="RIT136" s="271"/>
      <c r="RIU136" s="271"/>
      <c r="RIV136" s="271"/>
      <c r="RIW136" s="271"/>
      <c r="RIX136" s="271"/>
      <c r="RIY136" s="271"/>
      <c r="RIZ136" s="271"/>
      <c r="RJA136" s="271"/>
      <c r="RJB136" s="271"/>
      <c r="RJC136" s="271"/>
      <c r="RJD136" s="271"/>
      <c r="RJE136" s="271"/>
      <c r="RJF136" s="271"/>
      <c r="RJG136" s="271"/>
      <c r="RJH136" s="271"/>
      <c r="RJI136" s="271"/>
      <c r="RJJ136" s="271"/>
      <c r="RJK136" s="271"/>
      <c r="RJL136" s="271"/>
      <c r="RJM136" s="271"/>
      <c r="RJN136" s="271"/>
      <c r="RJO136" s="271"/>
      <c r="RJP136" s="271"/>
      <c r="RJQ136" s="271"/>
      <c r="RJR136" s="271"/>
      <c r="RJS136" s="271"/>
      <c r="RJT136" s="271"/>
      <c r="RJU136" s="271"/>
      <c r="RJV136" s="271"/>
      <c r="RJW136" s="271"/>
      <c r="RJX136" s="271"/>
      <c r="RJY136" s="271"/>
      <c r="RJZ136" s="271"/>
      <c r="RKA136" s="271"/>
      <c r="RKB136" s="271"/>
      <c r="RKC136" s="271"/>
      <c r="RKD136" s="271"/>
      <c r="RKE136" s="271"/>
      <c r="RKF136" s="271"/>
      <c r="RKG136" s="271"/>
      <c r="RKH136" s="271"/>
      <c r="RKI136" s="271"/>
      <c r="RKJ136" s="271"/>
      <c r="RKK136" s="271"/>
      <c r="RKL136" s="271"/>
      <c r="RKM136" s="271"/>
      <c r="RKN136" s="271"/>
      <c r="RKO136" s="271"/>
      <c r="RKP136" s="271"/>
      <c r="RKQ136" s="271"/>
      <c r="RKR136" s="271"/>
      <c r="RKS136" s="271"/>
      <c r="RKT136" s="271"/>
      <c r="RKU136" s="271"/>
      <c r="RKV136" s="271"/>
      <c r="RKW136" s="271"/>
      <c r="RKX136" s="271"/>
      <c r="RKY136" s="271"/>
      <c r="RKZ136" s="271"/>
      <c r="RLA136" s="271"/>
      <c r="RLB136" s="271"/>
      <c r="RLC136" s="271"/>
      <c r="RLD136" s="271"/>
      <c r="RLE136" s="271"/>
      <c r="RLF136" s="271"/>
      <c r="RLG136" s="271"/>
      <c r="RLH136" s="271"/>
      <c r="RLI136" s="271"/>
      <c r="RLJ136" s="271"/>
      <c r="RLK136" s="271"/>
      <c r="RLL136" s="271"/>
      <c r="RLM136" s="271"/>
      <c r="RLN136" s="271"/>
      <c r="RLO136" s="271"/>
      <c r="RLP136" s="271"/>
      <c r="RLQ136" s="271"/>
      <c r="RLR136" s="271"/>
      <c r="RLS136" s="271"/>
      <c r="RLT136" s="271"/>
      <c r="RLU136" s="271"/>
      <c r="RLV136" s="271"/>
      <c r="RLW136" s="271"/>
      <c r="RLX136" s="271"/>
      <c r="RLY136" s="271"/>
      <c r="RLZ136" s="271"/>
      <c r="RMA136" s="271"/>
      <c r="RMB136" s="271"/>
      <c r="RMC136" s="271"/>
      <c r="RMD136" s="271"/>
      <c r="RME136" s="271"/>
      <c r="RMF136" s="271"/>
      <c r="RMG136" s="271"/>
      <c r="RMH136" s="271"/>
      <c r="RMI136" s="271"/>
      <c r="RMJ136" s="271"/>
      <c r="RMK136" s="271"/>
      <c r="RML136" s="271"/>
      <c r="RMM136" s="271"/>
      <c r="RMN136" s="271"/>
      <c r="RMO136" s="271"/>
      <c r="RMP136" s="271"/>
      <c r="RMQ136" s="271"/>
      <c r="RMR136" s="271"/>
      <c r="RMS136" s="271"/>
      <c r="RMT136" s="271"/>
      <c r="RMU136" s="271"/>
      <c r="RMV136" s="271"/>
      <c r="RMW136" s="271"/>
      <c r="RMX136" s="271"/>
      <c r="RMY136" s="271"/>
      <c r="RMZ136" s="271"/>
      <c r="RNA136" s="271"/>
      <c r="RNB136" s="271"/>
      <c r="RNC136" s="271"/>
      <c r="RND136" s="271"/>
      <c r="RNE136" s="271"/>
      <c r="RNF136" s="271"/>
      <c r="RNG136" s="271"/>
      <c r="RNH136" s="271"/>
      <c r="RNI136" s="271"/>
      <c r="RNJ136" s="271"/>
      <c r="RNK136" s="271"/>
      <c r="RNL136" s="271"/>
      <c r="RNM136" s="271"/>
      <c r="RNN136" s="271"/>
      <c r="RNO136" s="271"/>
      <c r="RNP136" s="271"/>
      <c r="RNQ136" s="271"/>
      <c r="RNR136" s="271"/>
      <c r="RNS136" s="271"/>
      <c r="RNT136" s="271"/>
      <c r="RNU136" s="271"/>
      <c r="RNV136" s="271"/>
      <c r="RNW136" s="271"/>
      <c r="RNX136" s="271"/>
      <c r="RNY136" s="271"/>
      <c r="RNZ136" s="271"/>
      <c r="ROA136" s="271"/>
      <c r="ROB136" s="271"/>
      <c r="ROC136" s="271"/>
      <c r="ROD136" s="271"/>
      <c r="ROE136" s="271"/>
      <c r="ROF136" s="271"/>
      <c r="ROG136" s="271"/>
      <c r="ROH136" s="271"/>
      <c r="ROI136" s="271"/>
      <c r="ROJ136" s="271"/>
      <c r="ROK136" s="271"/>
      <c r="ROL136" s="271"/>
      <c r="ROM136" s="271"/>
      <c r="RON136" s="271"/>
      <c r="ROO136" s="271"/>
      <c r="ROP136" s="271"/>
      <c r="ROQ136" s="271"/>
      <c r="ROR136" s="271"/>
      <c r="ROS136" s="271"/>
      <c r="ROT136" s="271"/>
      <c r="ROU136" s="271"/>
      <c r="ROV136" s="271"/>
      <c r="ROW136" s="271"/>
      <c r="ROX136" s="271"/>
      <c r="ROY136" s="271"/>
      <c r="ROZ136" s="271"/>
      <c r="RPA136" s="271"/>
      <c r="RPB136" s="271"/>
      <c r="RPC136" s="271"/>
      <c r="RPD136" s="271"/>
      <c r="RPE136" s="271"/>
      <c r="RPF136" s="271"/>
      <c r="RPG136" s="271"/>
      <c r="RPH136" s="271"/>
      <c r="RPI136" s="271"/>
      <c r="RPJ136" s="271"/>
      <c r="RPK136" s="271"/>
      <c r="RPL136" s="271"/>
      <c r="RPM136" s="271"/>
      <c r="RPN136" s="271"/>
      <c r="RPO136" s="271"/>
      <c r="RPP136" s="271"/>
      <c r="RPQ136" s="271"/>
      <c r="RPR136" s="271"/>
      <c r="RPS136" s="271"/>
      <c r="RPT136" s="271"/>
      <c r="RPU136" s="271"/>
      <c r="RPV136" s="271"/>
      <c r="RPW136" s="271"/>
      <c r="RPX136" s="271"/>
      <c r="RPY136" s="271"/>
      <c r="RPZ136" s="271"/>
      <c r="RQA136" s="271"/>
      <c r="RQB136" s="271"/>
      <c r="RQC136" s="271"/>
      <c r="RQD136" s="271"/>
      <c r="RQE136" s="271"/>
      <c r="RQF136" s="271"/>
      <c r="RQG136" s="271"/>
      <c r="RQH136" s="271"/>
      <c r="RQI136" s="271"/>
      <c r="RQJ136" s="271"/>
      <c r="RQK136" s="271"/>
      <c r="RQL136" s="271"/>
      <c r="RQM136" s="271"/>
      <c r="RQN136" s="271"/>
      <c r="RQO136" s="271"/>
      <c r="RQP136" s="271"/>
      <c r="RQQ136" s="271"/>
      <c r="RQR136" s="271"/>
      <c r="RQS136" s="271"/>
      <c r="RQT136" s="271"/>
      <c r="RQU136" s="271"/>
      <c r="RQV136" s="271"/>
      <c r="RQW136" s="271"/>
      <c r="RQX136" s="271"/>
      <c r="RQY136" s="271"/>
      <c r="RQZ136" s="271"/>
      <c r="RRA136" s="271"/>
      <c r="RRB136" s="271"/>
      <c r="RRC136" s="271"/>
      <c r="RRD136" s="271"/>
      <c r="RRE136" s="271"/>
      <c r="RRF136" s="271"/>
      <c r="RRG136" s="271"/>
      <c r="RRH136" s="271"/>
      <c r="RRI136" s="271"/>
      <c r="RRJ136" s="271"/>
      <c r="RRK136" s="271"/>
      <c r="RRL136" s="271"/>
      <c r="RRM136" s="271"/>
      <c r="RRN136" s="271"/>
      <c r="RRO136" s="271"/>
      <c r="RRP136" s="271"/>
      <c r="RRQ136" s="271"/>
      <c r="RRR136" s="271"/>
      <c r="RRS136" s="271"/>
      <c r="RRT136" s="271"/>
      <c r="RRU136" s="271"/>
      <c r="RRV136" s="271"/>
      <c r="RRW136" s="271"/>
      <c r="RRX136" s="271"/>
      <c r="RRY136" s="271"/>
      <c r="RRZ136" s="271"/>
      <c r="RSA136" s="271"/>
      <c r="RSB136" s="271"/>
      <c r="RSC136" s="271"/>
      <c r="RSD136" s="271"/>
      <c r="RSE136" s="271"/>
      <c r="RSF136" s="271"/>
      <c r="RSG136" s="271"/>
      <c r="RSH136" s="271"/>
      <c r="RSI136" s="271"/>
      <c r="RSJ136" s="271"/>
      <c r="RSK136" s="271"/>
      <c r="RSL136" s="271"/>
      <c r="RSM136" s="271"/>
      <c r="RSN136" s="271"/>
      <c r="RSO136" s="271"/>
      <c r="RSP136" s="271"/>
      <c r="RSQ136" s="271"/>
      <c r="RSR136" s="271"/>
      <c r="RSS136" s="271"/>
      <c r="RST136" s="271"/>
      <c r="RSU136" s="271"/>
      <c r="RSV136" s="271"/>
      <c r="RSW136" s="271"/>
      <c r="RSX136" s="271"/>
      <c r="RSY136" s="271"/>
      <c r="RSZ136" s="271"/>
      <c r="RTA136" s="271"/>
      <c r="RTB136" s="271"/>
      <c r="RTC136" s="271"/>
      <c r="RTD136" s="271"/>
      <c r="RTE136" s="271"/>
      <c r="RTF136" s="271"/>
      <c r="RTG136" s="271"/>
      <c r="RTH136" s="271"/>
      <c r="RTI136" s="271"/>
      <c r="RTJ136" s="271"/>
      <c r="RTK136" s="271"/>
      <c r="RTL136" s="271"/>
      <c r="RTM136" s="271"/>
      <c r="RTN136" s="271"/>
      <c r="RTO136" s="271"/>
      <c r="RTP136" s="271"/>
      <c r="RTQ136" s="271"/>
      <c r="RTR136" s="271"/>
      <c r="RTS136" s="271"/>
      <c r="RTT136" s="271"/>
      <c r="RTU136" s="271"/>
      <c r="RTV136" s="271"/>
      <c r="RTW136" s="271"/>
      <c r="RTX136" s="271"/>
      <c r="RTY136" s="271"/>
      <c r="RTZ136" s="271"/>
      <c r="RUA136" s="271"/>
      <c r="RUB136" s="271"/>
      <c r="RUC136" s="271"/>
      <c r="RUD136" s="271"/>
      <c r="RUE136" s="271"/>
      <c r="RUF136" s="271"/>
      <c r="RUG136" s="271"/>
      <c r="RUH136" s="271"/>
      <c r="RUI136" s="271"/>
      <c r="RUJ136" s="271"/>
      <c r="RUK136" s="271"/>
      <c r="RUL136" s="271"/>
      <c r="RUM136" s="271"/>
      <c r="RUN136" s="271"/>
      <c r="RUO136" s="271"/>
      <c r="RUP136" s="271"/>
      <c r="RUQ136" s="271"/>
      <c r="RUR136" s="271"/>
      <c r="RUS136" s="271"/>
      <c r="RUT136" s="271"/>
      <c r="RUU136" s="271"/>
      <c r="RUV136" s="271"/>
      <c r="RUW136" s="271"/>
      <c r="RUX136" s="271"/>
      <c r="RUY136" s="271"/>
      <c r="RUZ136" s="271"/>
      <c r="RVA136" s="271"/>
      <c r="RVB136" s="271"/>
      <c r="RVC136" s="271"/>
      <c r="RVD136" s="271"/>
      <c r="RVE136" s="271"/>
      <c r="RVF136" s="271"/>
      <c r="RVG136" s="271"/>
      <c r="RVH136" s="271"/>
      <c r="RVI136" s="271"/>
      <c r="RVJ136" s="271"/>
      <c r="RVK136" s="271"/>
      <c r="RVL136" s="271"/>
      <c r="RVM136" s="271"/>
      <c r="RVN136" s="271"/>
      <c r="RVO136" s="271"/>
      <c r="RVP136" s="271"/>
      <c r="RVQ136" s="271"/>
      <c r="RVR136" s="271"/>
      <c r="RVS136" s="271"/>
      <c r="RVT136" s="271"/>
      <c r="RVU136" s="271"/>
      <c r="RVV136" s="271"/>
      <c r="RVW136" s="271"/>
      <c r="RVX136" s="271"/>
      <c r="RVY136" s="271"/>
      <c r="RVZ136" s="271"/>
      <c r="RWA136" s="271"/>
      <c r="RWB136" s="271"/>
      <c r="RWC136" s="271"/>
      <c r="RWD136" s="271"/>
      <c r="RWE136" s="271"/>
      <c r="RWF136" s="271"/>
      <c r="RWG136" s="271"/>
      <c r="RWH136" s="271"/>
      <c r="RWI136" s="271"/>
      <c r="RWJ136" s="271"/>
      <c r="RWK136" s="271"/>
      <c r="RWL136" s="271"/>
      <c r="RWM136" s="271"/>
      <c r="RWN136" s="271"/>
      <c r="RWO136" s="271"/>
      <c r="RWP136" s="271"/>
      <c r="RWQ136" s="271"/>
      <c r="RWR136" s="271"/>
      <c r="RWS136" s="271"/>
      <c r="RWT136" s="271"/>
      <c r="RWU136" s="271"/>
      <c r="RWV136" s="271"/>
      <c r="RWW136" s="271"/>
      <c r="RWX136" s="271"/>
      <c r="RWY136" s="271"/>
      <c r="RWZ136" s="271"/>
      <c r="RXA136" s="271"/>
      <c r="RXB136" s="271"/>
      <c r="RXC136" s="271"/>
      <c r="RXD136" s="271"/>
      <c r="RXE136" s="271"/>
      <c r="RXF136" s="271"/>
      <c r="RXG136" s="271"/>
      <c r="RXH136" s="271"/>
      <c r="RXI136" s="271"/>
      <c r="RXJ136" s="271"/>
      <c r="RXK136" s="271"/>
      <c r="RXL136" s="271"/>
      <c r="RXM136" s="271"/>
      <c r="RXN136" s="271"/>
      <c r="RXO136" s="271"/>
      <c r="RXP136" s="271"/>
      <c r="RXQ136" s="271"/>
      <c r="RXR136" s="271"/>
      <c r="RXS136" s="271"/>
      <c r="RXT136" s="271"/>
      <c r="RXU136" s="271"/>
      <c r="RXV136" s="271"/>
      <c r="RXW136" s="271"/>
      <c r="RXX136" s="271"/>
      <c r="RXY136" s="271"/>
      <c r="RXZ136" s="271"/>
      <c r="RYA136" s="271"/>
      <c r="RYB136" s="271"/>
      <c r="RYC136" s="271"/>
      <c r="RYD136" s="271"/>
      <c r="RYE136" s="271"/>
      <c r="RYF136" s="271"/>
      <c r="RYG136" s="271"/>
      <c r="RYH136" s="271"/>
      <c r="RYI136" s="271"/>
      <c r="RYJ136" s="271"/>
      <c r="RYK136" s="271"/>
      <c r="RYL136" s="271"/>
      <c r="RYM136" s="271"/>
      <c r="RYN136" s="271"/>
      <c r="RYO136" s="271"/>
      <c r="RYP136" s="271"/>
      <c r="RYQ136" s="271"/>
      <c r="RYR136" s="271"/>
      <c r="RYS136" s="271"/>
      <c r="RYT136" s="271"/>
      <c r="RYU136" s="271"/>
      <c r="RYV136" s="271"/>
      <c r="RYW136" s="271"/>
      <c r="RYX136" s="271"/>
      <c r="RYY136" s="271"/>
      <c r="RYZ136" s="271"/>
      <c r="RZA136" s="271"/>
      <c r="RZB136" s="271"/>
      <c r="RZC136" s="271"/>
      <c r="RZD136" s="271"/>
      <c r="RZE136" s="271"/>
      <c r="RZF136" s="271"/>
      <c r="RZG136" s="271"/>
      <c r="RZH136" s="271"/>
      <c r="RZI136" s="271"/>
      <c r="RZJ136" s="271"/>
      <c r="RZK136" s="271"/>
      <c r="RZL136" s="271"/>
      <c r="RZM136" s="271"/>
      <c r="RZN136" s="271"/>
      <c r="RZO136" s="271"/>
      <c r="RZP136" s="271"/>
      <c r="RZQ136" s="271"/>
      <c r="RZR136" s="271"/>
      <c r="RZS136" s="271"/>
      <c r="RZT136" s="271"/>
      <c r="RZU136" s="271"/>
      <c r="RZV136" s="271"/>
      <c r="RZW136" s="271"/>
      <c r="RZX136" s="271"/>
      <c r="RZY136" s="271"/>
      <c r="RZZ136" s="271"/>
      <c r="SAA136" s="271"/>
      <c r="SAB136" s="271"/>
      <c r="SAC136" s="271"/>
      <c r="SAD136" s="271"/>
      <c r="SAE136" s="271"/>
      <c r="SAF136" s="271"/>
      <c r="SAG136" s="271"/>
      <c r="SAH136" s="271"/>
      <c r="SAI136" s="271"/>
      <c r="SAJ136" s="271"/>
      <c r="SAK136" s="271"/>
      <c r="SAL136" s="271"/>
      <c r="SAM136" s="271"/>
      <c r="SAN136" s="271"/>
      <c r="SAO136" s="271"/>
      <c r="SAP136" s="271"/>
      <c r="SAQ136" s="271"/>
      <c r="SAR136" s="271"/>
      <c r="SAS136" s="271"/>
      <c r="SAT136" s="271"/>
      <c r="SAU136" s="271"/>
      <c r="SAV136" s="271"/>
      <c r="SAW136" s="271"/>
      <c r="SAX136" s="271"/>
      <c r="SAY136" s="271"/>
      <c r="SAZ136" s="271"/>
      <c r="SBA136" s="271"/>
      <c r="SBB136" s="271"/>
      <c r="SBC136" s="271"/>
      <c r="SBD136" s="271"/>
      <c r="SBE136" s="271"/>
      <c r="SBF136" s="271"/>
      <c r="SBG136" s="271"/>
      <c r="SBH136" s="271"/>
      <c r="SBI136" s="271"/>
      <c r="SBJ136" s="271"/>
      <c r="SBK136" s="271"/>
      <c r="SBL136" s="271"/>
      <c r="SBM136" s="271"/>
      <c r="SBN136" s="271"/>
      <c r="SBO136" s="271"/>
      <c r="SBP136" s="271"/>
      <c r="SBQ136" s="271"/>
      <c r="SBR136" s="271"/>
      <c r="SBS136" s="271"/>
      <c r="SBT136" s="271"/>
      <c r="SBU136" s="271"/>
      <c r="SBV136" s="271"/>
      <c r="SBW136" s="271"/>
      <c r="SBX136" s="271"/>
      <c r="SBY136" s="271"/>
      <c r="SBZ136" s="271"/>
      <c r="SCA136" s="271"/>
      <c r="SCB136" s="271"/>
      <c r="SCC136" s="271"/>
      <c r="SCD136" s="271"/>
      <c r="SCE136" s="271"/>
      <c r="SCF136" s="271"/>
      <c r="SCG136" s="271"/>
      <c r="SCH136" s="271"/>
      <c r="SCI136" s="271"/>
      <c r="SCJ136" s="271"/>
      <c r="SCK136" s="271"/>
      <c r="SCL136" s="271"/>
      <c r="SCM136" s="271"/>
      <c r="SCN136" s="271"/>
      <c r="SCO136" s="271"/>
      <c r="SCP136" s="271"/>
      <c r="SCQ136" s="271"/>
      <c r="SCR136" s="271"/>
      <c r="SCS136" s="271"/>
      <c r="SCT136" s="271"/>
      <c r="SCU136" s="271"/>
      <c r="SCV136" s="271"/>
      <c r="SCW136" s="271"/>
      <c r="SCX136" s="271"/>
      <c r="SCY136" s="271"/>
      <c r="SCZ136" s="271"/>
      <c r="SDA136" s="271"/>
      <c r="SDB136" s="271"/>
      <c r="SDC136" s="271"/>
      <c r="SDD136" s="271"/>
      <c r="SDE136" s="271"/>
      <c r="SDF136" s="271"/>
      <c r="SDG136" s="271"/>
      <c r="SDH136" s="271"/>
      <c r="SDI136" s="271"/>
      <c r="SDJ136" s="271"/>
      <c r="SDK136" s="271"/>
      <c r="SDL136" s="271"/>
      <c r="SDM136" s="271"/>
      <c r="SDN136" s="271"/>
      <c r="SDO136" s="271"/>
      <c r="SDP136" s="271"/>
      <c r="SDQ136" s="271"/>
      <c r="SDR136" s="271"/>
      <c r="SDS136" s="271"/>
      <c r="SDT136" s="271"/>
      <c r="SDU136" s="271"/>
      <c r="SDV136" s="271"/>
      <c r="SDW136" s="271"/>
      <c r="SDX136" s="271"/>
      <c r="SDY136" s="271"/>
      <c r="SDZ136" s="271"/>
      <c r="SEA136" s="271"/>
      <c r="SEB136" s="271"/>
      <c r="SEC136" s="271"/>
      <c r="SED136" s="271"/>
      <c r="SEE136" s="271"/>
      <c r="SEF136" s="271"/>
      <c r="SEG136" s="271"/>
      <c r="SEH136" s="271"/>
      <c r="SEI136" s="271"/>
      <c r="SEJ136" s="271"/>
      <c r="SEK136" s="271"/>
      <c r="SEL136" s="271"/>
      <c r="SEM136" s="271"/>
      <c r="SEN136" s="271"/>
      <c r="SEO136" s="271"/>
      <c r="SEP136" s="271"/>
      <c r="SEQ136" s="271"/>
      <c r="SER136" s="271"/>
      <c r="SES136" s="271"/>
      <c r="SET136" s="271"/>
      <c r="SEU136" s="271"/>
      <c r="SEV136" s="271"/>
      <c r="SEW136" s="271"/>
      <c r="SEX136" s="271"/>
      <c r="SEY136" s="271"/>
      <c r="SEZ136" s="271"/>
      <c r="SFA136" s="271"/>
      <c r="SFB136" s="271"/>
      <c r="SFC136" s="271"/>
      <c r="SFD136" s="271"/>
      <c r="SFE136" s="271"/>
      <c r="SFF136" s="271"/>
      <c r="SFG136" s="271"/>
      <c r="SFH136" s="271"/>
      <c r="SFI136" s="271"/>
      <c r="SFJ136" s="271"/>
      <c r="SFK136" s="271"/>
      <c r="SFL136" s="271"/>
      <c r="SFM136" s="271"/>
      <c r="SFN136" s="271"/>
      <c r="SFO136" s="271"/>
      <c r="SFP136" s="271"/>
      <c r="SFQ136" s="271"/>
      <c r="SFR136" s="271"/>
      <c r="SFS136" s="271"/>
      <c r="SFT136" s="271"/>
      <c r="SFU136" s="271"/>
      <c r="SFV136" s="271"/>
      <c r="SFW136" s="271"/>
      <c r="SFX136" s="271"/>
      <c r="SFY136" s="271"/>
      <c r="SFZ136" s="271"/>
      <c r="SGA136" s="271"/>
      <c r="SGB136" s="271"/>
      <c r="SGC136" s="271"/>
      <c r="SGD136" s="271"/>
      <c r="SGE136" s="271"/>
      <c r="SGF136" s="271"/>
      <c r="SGG136" s="271"/>
      <c r="SGH136" s="271"/>
      <c r="SGI136" s="271"/>
      <c r="SGJ136" s="271"/>
      <c r="SGK136" s="271"/>
      <c r="SGL136" s="271"/>
      <c r="SGM136" s="271"/>
      <c r="SGN136" s="271"/>
      <c r="SGO136" s="271"/>
      <c r="SGP136" s="271"/>
      <c r="SGQ136" s="271"/>
      <c r="SGR136" s="271"/>
      <c r="SGS136" s="271"/>
      <c r="SGT136" s="271"/>
      <c r="SGU136" s="271"/>
      <c r="SGV136" s="271"/>
      <c r="SGW136" s="271"/>
      <c r="SGX136" s="271"/>
      <c r="SGY136" s="271"/>
      <c r="SGZ136" s="271"/>
      <c r="SHA136" s="271"/>
      <c r="SHB136" s="271"/>
      <c r="SHC136" s="271"/>
      <c r="SHD136" s="271"/>
      <c r="SHE136" s="271"/>
      <c r="SHF136" s="271"/>
      <c r="SHG136" s="271"/>
      <c r="SHH136" s="271"/>
      <c r="SHI136" s="271"/>
      <c r="SHJ136" s="271"/>
      <c r="SHK136" s="271"/>
      <c r="SHL136" s="271"/>
      <c r="SHM136" s="271"/>
      <c r="SHN136" s="271"/>
      <c r="SHO136" s="271"/>
      <c r="SHP136" s="271"/>
      <c r="SHQ136" s="271"/>
      <c r="SHR136" s="271"/>
      <c r="SHS136" s="271"/>
      <c r="SHT136" s="271"/>
      <c r="SHU136" s="271"/>
      <c r="SHV136" s="271"/>
      <c r="SHW136" s="271"/>
      <c r="SHX136" s="271"/>
      <c r="SHY136" s="271"/>
      <c r="SHZ136" s="271"/>
      <c r="SIA136" s="271"/>
      <c r="SIB136" s="271"/>
      <c r="SIC136" s="271"/>
      <c r="SID136" s="271"/>
      <c r="SIE136" s="271"/>
      <c r="SIF136" s="271"/>
      <c r="SIG136" s="271"/>
      <c r="SIH136" s="271"/>
      <c r="SII136" s="271"/>
      <c r="SIJ136" s="271"/>
      <c r="SIK136" s="271"/>
      <c r="SIL136" s="271"/>
      <c r="SIM136" s="271"/>
      <c r="SIN136" s="271"/>
      <c r="SIO136" s="271"/>
      <c r="SIP136" s="271"/>
      <c r="SIQ136" s="271"/>
      <c r="SIR136" s="271"/>
      <c r="SIS136" s="271"/>
      <c r="SIT136" s="271"/>
      <c r="SIU136" s="271"/>
      <c r="SIV136" s="271"/>
      <c r="SIW136" s="271"/>
      <c r="SIX136" s="271"/>
      <c r="SIY136" s="271"/>
      <c r="SIZ136" s="271"/>
      <c r="SJA136" s="271"/>
      <c r="SJB136" s="271"/>
      <c r="SJC136" s="271"/>
      <c r="SJD136" s="271"/>
      <c r="SJE136" s="271"/>
      <c r="SJF136" s="271"/>
      <c r="SJG136" s="271"/>
      <c r="SJH136" s="271"/>
      <c r="SJI136" s="271"/>
      <c r="SJJ136" s="271"/>
      <c r="SJK136" s="271"/>
      <c r="SJL136" s="271"/>
      <c r="SJM136" s="271"/>
      <c r="SJN136" s="271"/>
      <c r="SJO136" s="271"/>
      <c r="SJP136" s="271"/>
      <c r="SJQ136" s="271"/>
      <c r="SJR136" s="271"/>
      <c r="SJS136" s="271"/>
      <c r="SJT136" s="271"/>
      <c r="SJU136" s="271"/>
      <c r="SJV136" s="271"/>
      <c r="SJW136" s="271"/>
      <c r="SJX136" s="271"/>
      <c r="SJY136" s="271"/>
      <c r="SJZ136" s="271"/>
      <c r="SKA136" s="271"/>
      <c r="SKB136" s="271"/>
      <c r="SKC136" s="271"/>
      <c r="SKD136" s="271"/>
      <c r="SKE136" s="271"/>
      <c r="SKF136" s="271"/>
      <c r="SKG136" s="271"/>
      <c r="SKH136" s="271"/>
      <c r="SKI136" s="271"/>
      <c r="SKJ136" s="271"/>
      <c r="SKK136" s="271"/>
      <c r="SKL136" s="271"/>
      <c r="SKM136" s="271"/>
      <c r="SKN136" s="271"/>
      <c r="SKO136" s="271"/>
      <c r="SKP136" s="271"/>
      <c r="SKQ136" s="271"/>
      <c r="SKR136" s="271"/>
      <c r="SKS136" s="271"/>
      <c r="SKT136" s="271"/>
      <c r="SKU136" s="271"/>
      <c r="SKV136" s="271"/>
      <c r="SKW136" s="271"/>
      <c r="SKX136" s="271"/>
      <c r="SKY136" s="271"/>
      <c r="SKZ136" s="271"/>
      <c r="SLA136" s="271"/>
      <c r="SLB136" s="271"/>
      <c r="SLC136" s="271"/>
      <c r="SLD136" s="271"/>
      <c r="SLE136" s="271"/>
      <c r="SLF136" s="271"/>
      <c r="SLG136" s="271"/>
      <c r="SLH136" s="271"/>
      <c r="SLI136" s="271"/>
      <c r="SLJ136" s="271"/>
      <c r="SLK136" s="271"/>
      <c r="SLL136" s="271"/>
      <c r="SLM136" s="271"/>
      <c r="SLN136" s="271"/>
      <c r="SLO136" s="271"/>
      <c r="SLP136" s="271"/>
      <c r="SLQ136" s="271"/>
      <c r="SLR136" s="271"/>
      <c r="SLS136" s="271"/>
      <c r="SLT136" s="271"/>
      <c r="SLU136" s="271"/>
      <c r="SLV136" s="271"/>
      <c r="SLW136" s="271"/>
      <c r="SLX136" s="271"/>
      <c r="SLY136" s="271"/>
      <c r="SLZ136" s="271"/>
      <c r="SMA136" s="271"/>
      <c r="SMB136" s="271"/>
      <c r="SMC136" s="271"/>
      <c r="SMD136" s="271"/>
      <c r="SME136" s="271"/>
      <c r="SMF136" s="271"/>
      <c r="SMG136" s="271"/>
      <c r="SMH136" s="271"/>
      <c r="SMI136" s="271"/>
      <c r="SMJ136" s="271"/>
      <c r="SMK136" s="271"/>
      <c r="SML136" s="271"/>
      <c r="SMM136" s="271"/>
      <c r="SMN136" s="271"/>
      <c r="SMO136" s="271"/>
      <c r="SMP136" s="271"/>
      <c r="SMQ136" s="271"/>
      <c r="SMR136" s="271"/>
      <c r="SMS136" s="271"/>
      <c r="SMT136" s="271"/>
      <c r="SMU136" s="271"/>
      <c r="SMV136" s="271"/>
      <c r="SMW136" s="271"/>
      <c r="SMX136" s="271"/>
      <c r="SMY136" s="271"/>
      <c r="SMZ136" s="271"/>
      <c r="SNA136" s="271"/>
      <c r="SNB136" s="271"/>
      <c r="SNC136" s="271"/>
      <c r="SND136" s="271"/>
      <c r="SNE136" s="271"/>
      <c r="SNF136" s="271"/>
      <c r="SNG136" s="271"/>
      <c r="SNH136" s="271"/>
      <c r="SNI136" s="271"/>
      <c r="SNJ136" s="271"/>
      <c r="SNK136" s="271"/>
      <c r="SNL136" s="271"/>
      <c r="SNM136" s="271"/>
      <c r="SNN136" s="271"/>
      <c r="SNO136" s="271"/>
      <c r="SNP136" s="271"/>
      <c r="SNQ136" s="271"/>
      <c r="SNR136" s="271"/>
      <c r="SNS136" s="271"/>
      <c r="SNT136" s="271"/>
      <c r="SNU136" s="271"/>
      <c r="SNV136" s="271"/>
      <c r="SNW136" s="271"/>
      <c r="SNX136" s="271"/>
      <c r="SNY136" s="271"/>
      <c r="SNZ136" s="271"/>
      <c r="SOA136" s="271"/>
      <c r="SOB136" s="271"/>
      <c r="SOC136" s="271"/>
      <c r="SOD136" s="271"/>
      <c r="SOE136" s="271"/>
      <c r="SOF136" s="271"/>
      <c r="SOG136" s="271"/>
      <c r="SOH136" s="271"/>
      <c r="SOI136" s="271"/>
      <c r="SOJ136" s="271"/>
      <c r="SOK136" s="271"/>
      <c r="SOL136" s="271"/>
      <c r="SOM136" s="271"/>
      <c r="SON136" s="271"/>
      <c r="SOO136" s="271"/>
      <c r="SOP136" s="271"/>
      <c r="SOQ136" s="271"/>
      <c r="SOR136" s="271"/>
      <c r="SOS136" s="271"/>
      <c r="SOT136" s="271"/>
      <c r="SOU136" s="271"/>
      <c r="SOV136" s="271"/>
      <c r="SOW136" s="271"/>
      <c r="SOX136" s="271"/>
      <c r="SOY136" s="271"/>
      <c r="SOZ136" s="271"/>
      <c r="SPA136" s="271"/>
      <c r="SPB136" s="271"/>
      <c r="SPC136" s="271"/>
      <c r="SPD136" s="271"/>
      <c r="SPE136" s="271"/>
      <c r="SPF136" s="271"/>
      <c r="SPG136" s="271"/>
      <c r="SPH136" s="271"/>
      <c r="SPI136" s="271"/>
      <c r="SPJ136" s="271"/>
      <c r="SPK136" s="271"/>
      <c r="SPL136" s="271"/>
      <c r="SPM136" s="271"/>
      <c r="SPN136" s="271"/>
      <c r="SPO136" s="271"/>
      <c r="SPP136" s="271"/>
      <c r="SPQ136" s="271"/>
      <c r="SPR136" s="271"/>
      <c r="SPS136" s="271"/>
      <c r="SPT136" s="271"/>
      <c r="SPU136" s="271"/>
      <c r="SPV136" s="271"/>
      <c r="SPW136" s="271"/>
      <c r="SPX136" s="271"/>
      <c r="SPY136" s="271"/>
      <c r="SPZ136" s="271"/>
      <c r="SQA136" s="271"/>
      <c r="SQB136" s="271"/>
      <c r="SQC136" s="271"/>
      <c r="SQD136" s="271"/>
      <c r="SQE136" s="271"/>
      <c r="SQF136" s="271"/>
      <c r="SQG136" s="271"/>
      <c r="SQH136" s="271"/>
      <c r="SQI136" s="271"/>
      <c r="SQJ136" s="271"/>
      <c r="SQK136" s="271"/>
      <c r="SQL136" s="271"/>
      <c r="SQM136" s="271"/>
      <c r="SQN136" s="271"/>
      <c r="SQO136" s="271"/>
      <c r="SQP136" s="271"/>
      <c r="SQQ136" s="271"/>
      <c r="SQR136" s="271"/>
      <c r="SQS136" s="271"/>
      <c r="SQT136" s="271"/>
      <c r="SQU136" s="271"/>
      <c r="SQV136" s="271"/>
      <c r="SQW136" s="271"/>
      <c r="SQX136" s="271"/>
      <c r="SQY136" s="271"/>
      <c r="SQZ136" s="271"/>
      <c r="SRA136" s="271"/>
      <c r="SRB136" s="271"/>
      <c r="SRC136" s="271"/>
      <c r="SRD136" s="271"/>
      <c r="SRE136" s="271"/>
      <c r="SRF136" s="271"/>
      <c r="SRG136" s="271"/>
      <c r="SRH136" s="271"/>
      <c r="SRI136" s="271"/>
      <c r="SRJ136" s="271"/>
      <c r="SRK136" s="271"/>
      <c r="SRL136" s="271"/>
      <c r="SRM136" s="271"/>
      <c r="SRN136" s="271"/>
      <c r="SRO136" s="271"/>
      <c r="SRP136" s="271"/>
      <c r="SRQ136" s="271"/>
      <c r="SRR136" s="271"/>
      <c r="SRS136" s="271"/>
      <c r="SRT136" s="271"/>
      <c r="SRU136" s="271"/>
      <c r="SRV136" s="271"/>
      <c r="SRW136" s="271"/>
      <c r="SRX136" s="271"/>
      <c r="SRY136" s="271"/>
      <c r="SRZ136" s="271"/>
      <c r="SSA136" s="271"/>
      <c r="SSB136" s="271"/>
      <c r="SSC136" s="271"/>
      <c r="SSD136" s="271"/>
      <c r="SSE136" s="271"/>
      <c r="SSF136" s="271"/>
      <c r="SSG136" s="271"/>
      <c r="SSH136" s="271"/>
      <c r="SSI136" s="271"/>
      <c r="SSJ136" s="271"/>
      <c r="SSK136" s="271"/>
      <c r="SSL136" s="271"/>
      <c r="SSM136" s="271"/>
      <c r="SSN136" s="271"/>
      <c r="SSO136" s="271"/>
      <c r="SSP136" s="271"/>
      <c r="SSQ136" s="271"/>
      <c r="SSR136" s="271"/>
      <c r="SSS136" s="271"/>
      <c r="SST136" s="271"/>
      <c r="SSU136" s="271"/>
      <c r="SSV136" s="271"/>
      <c r="SSW136" s="271"/>
      <c r="SSX136" s="271"/>
      <c r="SSY136" s="271"/>
      <c r="SSZ136" s="271"/>
      <c r="STA136" s="271"/>
      <c r="STB136" s="271"/>
      <c r="STC136" s="271"/>
      <c r="STD136" s="271"/>
      <c r="STE136" s="271"/>
      <c r="STF136" s="271"/>
      <c r="STG136" s="271"/>
      <c r="STH136" s="271"/>
      <c r="STI136" s="271"/>
      <c r="STJ136" s="271"/>
      <c r="STK136" s="271"/>
      <c r="STL136" s="271"/>
      <c r="STM136" s="271"/>
      <c r="STN136" s="271"/>
      <c r="STO136" s="271"/>
      <c r="STP136" s="271"/>
      <c r="STQ136" s="271"/>
      <c r="STR136" s="271"/>
      <c r="STS136" s="271"/>
      <c r="STT136" s="271"/>
      <c r="STU136" s="271"/>
      <c r="STV136" s="271"/>
      <c r="STW136" s="271"/>
      <c r="STX136" s="271"/>
      <c r="STY136" s="271"/>
      <c r="STZ136" s="271"/>
      <c r="SUA136" s="271"/>
      <c r="SUB136" s="271"/>
      <c r="SUC136" s="271"/>
      <c r="SUD136" s="271"/>
      <c r="SUE136" s="271"/>
      <c r="SUF136" s="271"/>
      <c r="SUG136" s="271"/>
      <c r="SUH136" s="271"/>
      <c r="SUI136" s="271"/>
      <c r="SUJ136" s="271"/>
      <c r="SUK136" s="271"/>
      <c r="SUL136" s="271"/>
      <c r="SUM136" s="271"/>
      <c r="SUN136" s="271"/>
      <c r="SUO136" s="271"/>
      <c r="SUP136" s="271"/>
      <c r="SUQ136" s="271"/>
      <c r="SUR136" s="271"/>
      <c r="SUS136" s="271"/>
      <c r="SUT136" s="271"/>
      <c r="SUU136" s="271"/>
      <c r="SUV136" s="271"/>
      <c r="SUW136" s="271"/>
      <c r="SUX136" s="271"/>
      <c r="SUY136" s="271"/>
      <c r="SUZ136" s="271"/>
      <c r="SVA136" s="271"/>
      <c r="SVB136" s="271"/>
      <c r="SVC136" s="271"/>
      <c r="SVD136" s="271"/>
      <c r="SVE136" s="271"/>
      <c r="SVF136" s="271"/>
      <c r="SVG136" s="271"/>
      <c r="SVH136" s="271"/>
      <c r="SVI136" s="271"/>
      <c r="SVJ136" s="271"/>
      <c r="SVK136" s="271"/>
      <c r="SVL136" s="271"/>
      <c r="SVM136" s="271"/>
      <c r="SVN136" s="271"/>
      <c r="SVO136" s="271"/>
      <c r="SVP136" s="271"/>
      <c r="SVQ136" s="271"/>
      <c r="SVR136" s="271"/>
      <c r="SVS136" s="271"/>
      <c r="SVT136" s="271"/>
      <c r="SVU136" s="271"/>
      <c r="SVV136" s="271"/>
      <c r="SVW136" s="271"/>
      <c r="SVX136" s="271"/>
      <c r="SVY136" s="271"/>
      <c r="SVZ136" s="271"/>
      <c r="SWA136" s="271"/>
      <c r="SWB136" s="271"/>
      <c r="SWC136" s="271"/>
      <c r="SWD136" s="271"/>
      <c r="SWE136" s="271"/>
      <c r="SWF136" s="271"/>
      <c r="SWG136" s="271"/>
      <c r="SWH136" s="271"/>
      <c r="SWI136" s="271"/>
      <c r="SWJ136" s="271"/>
      <c r="SWK136" s="271"/>
      <c r="SWL136" s="271"/>
      <c r="SWM136" s="271"/>
      <c r="SWN136" s="271"/>
      <c r="SWO136" s="271"/>
      <c r="SWP136" s="271"/>
      <c r="SWQ136" s="271"/>
      <c r="SWR136" s="271"/>
      <c r="SWS136" s="271"/>
      <c r="SWT136" s="271"/>
      <c r="SWU136" s="271"/>
      <c r="SWV136" s="271"/>
      <c r="SWW136" s="271"/>
      <c r="SWX136" s="271"/>
      <c r="SWY136" s="271"/>
      <c r="SWZ136" s="271"/>
      <c r="SXA136" s="271"/>
      <c r="SXB136" s="271"/>
      <c r="SXC136" s="271"/>
      <c r="SXD136" s="271"/>
      <c r="SXE136" s="271"/>
      <c r="SXF136" s="271"/>
      <c r="SXG136" s="271"/>
      <c r="SXH136" s="271"/>
      <c r="SXI136" s="271"/>
      <c r="SXJ136" s="271"/>
      <c r="SXK136" s="271"/>
      <c r="SXL136" s="271"/>
      <c r="SXM136" s="271"/>
      <c r="SXN136" s="271"/>
      <c r="SXO136" s="271"/>
      <c r="SXP136" s="271"/>
      <c r="SXQ136" s="271"/>
      <c r="SXR136" s="271"/>
      <c r="SXS136" s="271"/>
      <c r="SXT136" s="271"/>
      <c r="SXU136" s="271"/>
      <c r="SXV136" s="271"/>
      <c r="SXW136" s="271"/>
      <c r="SXX136" s="271"/>
      <c r="SXY136" s="271"/>
      <c r="SXZ136" s="271"/>
      <c r="SYA136" s="271"/>
      <c r="SYB136" s="271"/>
      <c r="SYC136" s="271"/>
      <c r="SYD136" s="271"/>
      <c r="SYE136" s="271"/>
      <c r="SYF136" s="271"/>
      <c r="SYG136" s="271"/>
      <c r="SYH136" s="271"/>
      <c r="SYI136" s="271"/>
      <c r="SYJ136" s="271"/>
      <c r="SYK136" s="271"/>
      <c r="SYL136" s="271"/>
      <c r="SYM136" s="271"/>
      <c r="SYN136" s="271"/>
      <c r="SYO136" s="271"/>
      <c r="SYP136" s="271"/>
      <c r="SYQ136" s="271"/>
      <c r="SYR136" s="271"/>
      <c r="SYS136" s="271"/>
      <c r="SYT136" s="271"/>
      <c r="SYU136" s="271"/>
      <c r="SYV136" s="271"/>
      <c r="SYW136" s="271"/>
      <c r="SYX136" s="271"/>
      <c r="SYY136" s="271"/>
      <c r="SYZ136" s="271"/>
      <c r="SZA136" s="271"/>
      <c r="SZB136" s="271"/>
      <c r="SZC136" s="271"/>
      <c r="SZD136" s="271"/>
      <c r="SZE136" s="271"/>
      <c r="SZF136" s="271"/>
      <c r="SZG136" s="271"/>
      <c r="SZH136" s="271"/>
      <c r="SZI136" s="271"/>
      <c r="SZJ136" s="271"/>
      <c r="SZK136" s="271"/>
      <c r="SZL136" s="271"/>
      <c r="SZM136" s="271"/>
      <c r="SZN136" s="271"/>
      <c r="SZO136" s="271"/>
      <c r="SZP136" s="271"/>
      <c r="SZQ136" s="271"/>
      <c r="SZR136" s="271"/>
      <c r="SZS136" s="271"/>
      <c r="SZT136" s="271"/>
      <c r="SZU136" s="271"/>
      <c r="SZV136" s="271"/>
      <c r="SZW136" s="271"/>
      <c r="SZX136" s="271"/>
      <c r="SZY136" s="271"/>
      <c r="SZZ136" s="271"/>
      <c r="TAA136" s="271"/>
      <c r="TAB136" s="271"/>
      <c r="TAC136" s="271"/>
      <c r="TAD136" s="271"/>
      <c r="TAE136" s="271"/>
      <c r="TAF136" s="271"/>
      <c r="TAG136" s="271"/>
      <c r="TAH136" s="271"/>
      <c r="TAI136" s="271"/>
      <c r="TAJ136" s="271"/>
      <c r="TAK136" s="271"/>
      <c r="TAL136" s="271"/>
      <c r="TAM136" s="271"/>
      <c r="TAN136" s="271"/>
      <c r="TAO136" s="271"/>
      <c r="TAP136" s="271"/>
      <c r="TAQ136" s="271"/>
      <c r="TAR136" s="271"/>
      <c r="TAS136" s="271"/>
      <c r="TAT136" s="271"/>
      <c r="TAU136" s="271"/>
      <c r="TAV136" s="271"/>
      <c r="TAW136" s="271"/>
      <c r="TAX136" s="271"/>
      <c r="TAY136" s="271"/>
      <c r="TAZ136" s="271"/>
      <c r="TBA136" s="271"/>
      <c r="TBB136" s="271"/>
      <c r="TBC136" s="271"/>
      <c r="TBD136" s="271"/>
      <c r="TBE136" s="271"/>
      <c r="TBF136" s="271"/>
      <c r="TBG136" s="271"/>
      <c r="TBH136" s="271"/>
      <c r="TBI136" s="271"/>
      <c r="TBJ136" s="271"/>
      <c r="TBK136" s="271"/>
      <c r="TBL136" s="271"/>
      <c r="TBM136" s="271"/>
      <c r="TBN136" s="271"/>
      <c r="TBO136" s="271"/>
      <c r="TBP136" s="271"/>
      <c r="TBQ136" s="271"/>
      <c r="TBR136" s="271"/>
      <c r="TBS136" s="271"/>
      <c r="TBT136" s="271"/>
      <c r="TBU136" s="271"/>
      <c r="TBV136" s="271"/>
      <c r="TBW136" s="271"/>
      <c r="TBX136" s="271"/>
      <c r="TBY136" s="271"/>
      <c r="TBZ136" s="271"/>
      <c r="TCA136" s="271"/>
      <c r="TCB136" s="271"/>
      <c r="TCC136" s="271"/>
      <c r="TCD136" s="271"/>
      <c r="TCE136" s="271"/>
      <c r="TCF136" s="271"/>
      <c r="TCG136" s="271"/>
      <c r="TCH136" s="271"/>
      <c r="TCI136" s="271"/>
      <c r="TCJ136" s="271"/>
      <c r="TCK136" s="271"/>
      <c r="TCL136" s="271"/>
      <c r="TCM136" s="271"/>
      <c r="TCN136" s="271"/>
      <c r="TCO136" s="271"/>
      <c r="TCP136" s="271"/>
      <c r="TCQ136" s="271"/>
      <c r="TCR136" s="271"/>
      <c r="TCS136" s="271"/>
      <c r="TCT136" s="271"/>
      <c r="TCU136" s="271"/>
      <c r="TCV136" s="271"/>
      <c r="TCW136" s="271"/>
      <c r="TCX136" s="271"/>
      <c r="TCY136" s="271"/>
      <c r="TCZ136" s="271"/>
      <c r="TDA136" s="271"/>
      <c r="TDB136" s="271"/>
      <c r="TDC136" s="271"/>
      <c r="TDD136" s="271"/>
      <c r="TDE136" s="271"/>
      <c r="TDF136" s="271"/>
      <c r="TDG136" s="271"/>
      <c r="TDH136" s="271"/>
      <c r="TDI136" s="271"/>
      <c r="TDJ136" s="271"/>
      <c r="TDK136" s="271"/>
      <c r="TDL136" s="271"/>
      <c r="TDM136" s="271"/>
      <c r="TDN136" s="271"/>
      <c r="TDO136" s="271"/>
      <c r="TDP136" s="271"/>
      <c r="TDQ136" s="271"/>
      <c r="TDR136" s="271"/>
      <c r="TDS136" s="271"/>
      <c r="TDT136" s="271"/>
      <c r="TDU136" s="271"/>
      <c r="TDV136" s="271"/>
      <c r="TDW136" s="271"/>
      <c r="TDX136" s="271"/>
      <c r="TDY136" s="271"/>
      <c r="TDZ136" s="271"/>
      <c r="TEA136" s="271"/>
      <c r="TEB136" s="271"/>
      <c r="TEC136" s="271"/>
      <c r="TED136" s="271"/>
      <c r="TEE136" s="271"/>
      <c r="TEF136" s="271"/>
      <c r="TEG136" s="271"/>
      <c r="TEH136" s="271"/>
      <c r="TEI136" s="271"/>
      <c r="TEJ136" s="271"/>
      <c r="TEK136" s="271"/>
      <c r="TEL136" s="271"/>
      <c r="TEM136" s="271"/>
      <c r="TEN136" s="271"/>
      <c r="TEO136" s="271"/>
      <c r="TEP136" s="271"/>
      <c r="TEQ136" s="271"/>
      <c r="TER136" s="271"/>
      <c r="TES136" s="271"/>
      <c r="TET136" s="271"/>
      <c r="TEU136" s="271"/>
      <c r="TEV136" s="271"/>
      <c r="TEW136" s="271"/>
      <c r="TEX136" s="271"/>
      <c r="TEY136" s="271"/>
      <c r="TEZ136" s="271"/>
      <c r="TFA136" s="271"/>
      <c r="TFB136" s="271"/>
      <c r="TFC136" s="271"/>
      <c r="TFD136" s="271"/>
      <c r="TFE136" s="271"/>
      <c r="TFF136" s="271"/>
      <c r="TFG136" s="271"/>
      <c r="TFH136" s="271"/>
      <c r="TFI136" s="271"/>
      <c r="TFJ136" s="271"/>
      <c r="TFK136" s="271"/>
      <c r="TFL136" s="271"/>
      <c r="TFM136" s="271"/>
      <c r="TFN136" s="271"/>
      <c r="TFO136" s="271"/>
      <c r="TFP136" s="271"/>
      <c r="TFQ136" s="271"/>
      <c r="TFR136" s="271"/>
      <c r="TFS136" s="271"/>
      <c r="TFT136" s="271"/>
      <c r="TFU136" s="271"/>
      <c r="TFV136" s="271"/>
      <c r="TFW136" s="271"/>
      <c r="TFX136" s="271"/>
      <c r="TFY136" s="271"/>
      <c r="TFZ136" s="271"/>
      <c r="TGA136" s="271"/>
      <c r="TGB136" s="271"/>
      <c r="TGC136" s="271"/>
      <c r="TGD136" s="271"/>
      <c r="TGE136" s="271"/>
      <c r="TGF136" s="271"/>
      <c r="TGG136" s="271"/>
      <c r="TGH136" s="271"/>
      <c r="TGI136" s="271"/>
      <c r="TGJ136" s="271"/>
      <c r="TGK136" s="271"/>
      <c r="TGL136" s="271"/>
      <c r="TGM136" s="271"/>
      <c r="TGN136" s="271"/>
      <c r="TGO136" s="271"/>
      <c r="TGP136" s="271"/>
      <c r="TGQ136" s="271"/>
      <c r="TGR136" s="271"/>
      <c r="TGS136" s="271"/>
      <c r="TGT136" s="271"/>
      <c r="TGU136" s="271"/>
      <c r="TGV136" s="271"/>
      <c r="TGW136" s="271"/>
      <c r="TGX136" s="271"/>
      <c r="TGY136" s="271"/>
      <c r="TGZ136" s="271"/>
      <c r="THA136" s="271"/>
      <c r="THB136" s="271"/>
      <c r="THC136" s="271"/>
      <c r="THD136" s="271"/>
      <c r="THE136" s="271"/>
      <c r="THF136" s="271"/>
      <c r="THG136" s="271"/>
      <c r="THH136" s="271"/>
      <c r="THI136" s="271"/>
      <c r="THJ136" s="271"/>
      <c r="THK136" s="271"/>
      <c r="THL136" s="271"/>
      <c r="THM136" s="271"/>
      <c r="THN136" s="271"/>
      <c r="THO136" s="271"/>
      <c r="THP136" s="271"/>
      <c r="THQ136" s="271"/>
      <c r="THR136" s="271"/>
      <c r="THS136" s="271"/>
      <c r="THT136" s="271"/>
      <c r="THU136" s="271"/>
      <c r="THV136" s="271"/>
      <c r="THW136" s="271"/>
      <c r="THX136" s="271"/>
      <c r="THY136" s="271"/>
      <c r="THZ136" s="271"/>
      <c r="TIA136" s="271"/>
      <c r="TIB136" s="271"/>
      <c r="TIC136" s="271"/>
      <c r="TID136" s="271"/>
      <c r="TIE136" s="271"/>
      <c r="TIF136" s="271"/>
      <c r="TIG136" s="271"/>
      <c r="TIH136" s="271"/>
      <c r="TII136" s="271"/>
      <c r="TIJ136" s="271"/>
      <c r="TIK136" s="271"/>
      <c r="TIL136" s="271"/>
      <c r="TIM136" s="271"/>
      <c r="TIN136" s="271"/>
      <c r="TIO136" s="271"/>
      <c r="TIP136" s="271"/>
      <c r="TIQ136" s="271"/>
      <c r="TIR136" s="271"/>
      <c r="TIS136" s="271"/>
      <c r="TIT136" s="271"/>
      <c r="TIU136" s="271"/>
      <c r="TIV136" s="271"/>
      <c r="TIW136" s="271"/>
      <c r="TIX136" s="271"/>
      <c r="TIY136" s="271"/>
      <c r="TIZ136" s="271"/>
      <c r="TJA136" s="271"/>
      <c r="TJB136" s="271"/>
      <c r="TJC136" s="271"/>
      <c r="TJD136" s="271"/>
      <c r="TJE136" s="271"/>
      <c r="TJF136" s="271"/>
      <c r="TJG136" s="271"/>
      <c r="TJH136" s="271"/>
      <c r="TJI136" s="271"/>
      <c r="TJJ136" s="271"/>
      <c r="TJK136" s="271"/>
      <c r="TJL136" s="271"/>
      <c r="TJM136" s="271"/>
      <c r="TJN136" s="271"/>
      <c r="TJO136" s="271"/>
      <c r="TJP136" s="271"/>
      <c r="TJQ136" s="271"/>
      <c r="TJR136" s="271"/>
      <c r="TJS136" s="271"/>
      <c r="TJT136" s="271"/>
      <c r="TJU136" s="271"/>
      <c r="TJV136" s="271"/>
      <c r="TJW136" s="271"/>
      <c r="TJX136" s="271"/>
      <c r="TJY136" s="271"/>
      <c r="TJZ136" s="271"/>
      <c r="TKA136" s="271"/>
      <c r="TKB136" s="271"/>
      <c r="TKC136" s="271"/>
      <c r="TKD136" s="271"/>
      <c r="TKE136" s="271"/>
      <c r="TKF136" s="271"/>
      <c r="TKG136" s="271"/>
      <c r="TKH136" s="271"/>
      <c r="TKI136" s="271"/>
      <c r="TKJ136" s="271"/>
      <c r="TKK136" s="271"/>
      <c r="TKL136" s="271"/>
      <c r="TKM136" s="271"/>
      <c r="TKN136" s="271"/>
      <c r="TKO136" s="271"/>
      <c r="TKP136" s="271"/>
      <c r="TKQ136" s="271"/>
      <c r="TKR136" s="271"/>
      <c r="TKS136" s="271"/>
      <c r="TKT136" s="271"/>
      <c r="TKU136" s="271"/>
      <c r="TKV136" s="271"/>
      <c r="TKW136" s="271"/>
      <c r="TKX136" s="271"/>
      <c r="TKY136" s="271"/>
      <c r="TKZ136" s="271"/>
      <c r="TLA136" s="271"/>
      <c r="TLB136" s="271"/>
      <c r="TLC136" s="271"/>
      <c r="TLD136" s="271"/>
      <c r="TLE136" s="271"/>
      <c r="TLF136" s="271"/>
      <c r="TLG136" s="271"/>
      <c r="TLH136" s="271"/>
      <c r="TLI136" s="271"/>
      <c r="TLJ136" s="271"/>
      <c r="TLK136" s="271"/>
      <c r="TLL136" s="271"/>
      <c r="TLM136" s="271"/>
      <c r="TLN136" s="271"/>
      <c r="TLO136" s="271"/>
      <c r="TLP136" s="271"/>
      <c r="TLQ136" s="271"/>
      <c r="TLR136" s="271"/>
      <c r="TLS136" s="271"/>
      <c r="TLT136" s="271"/>
      <c r="TLU136" s="271"/>
      <c r="TLV136" s="271"/>
      <c r="TLW136" s="271"/>
      <c r="TLX136" s="271"/>
      <c r="TLY136" s="271"/>
      <c r="TLZ136" s="271"/>
      <c r="TMA136" s="271"/>
      <c r="TMB136" s="271"/>
      <c r="TMC136" s="271"/>
      <c r="TMD136" s="271"/>
      <c r="TME136" s="271"/>
      <c r="TMF136" s="271"/>
      <c r="TMG136" s="271"/>
      <c r="TMH136" s="271"/>
      <c r="TMI136" s="271"/>
      <c r="TMJ136" s="271"/>
      <c r="TMK136" s="271"/>
      <c r="TML136" s="271"/>
      <c r="TMM136" s="271"/>
      <c r="TMN136" s="271"/>
      <c r="TMO136" s="271"/>
      <c r="TMP136" s="271"/>
      <c r="TMQ136" s="271"/>
      <c r="TMR136" s="271"/>
      <c r="TMS136" s="271"/>
      <c r="TMT136" s="271"/>
      <c r="TMU136" s="271"/>
      <c r="TMV136" s="271"/>
      <c r="TMW136" s="271"/>
      <c r="TMX136" s="271"/>
      <c r="TMY136" s="271"/>
      <c r="TMZ136" s="271"/>
      <c r="TNA136" s="271"/>
      <c r="TNB136" s="271"/>
      <c r="TNC136" s="271"/>
      <c r="TND136" s="271"/>
      <c r="TNE136" s="271"/>
      <c r="TNF136" s="271"/>
      <c r="TNG136" s="271"/>
      <c r="TNH136" s="271"/>
      <c r="TNI136" s="271"/>
      <c r="TNJ136" s="271"/>
      <c r="TNK136" s="271"/>
      <c r="TNL136" s="271"/>
      <c r="TNM136" s="271"/>
      <c r="TNN136" s="271"/>
      <c r="TNO136" s="271"/>
      <c r="TNP136" s="271"/>
      <c r="TNQ136" s="271"/>
      <c r="TNR136" s="271"/>
      <c r="TNS136" s="271"/>
      <c r="TNT136" s="271"/>
      <c r="TNU136" s="271"/>
      <c r="TNV136" s="271"/>
      <c r="TNW136" s="271"/>
      <c r="TNX136" s="271"/>
      <c r="TNY136" s="271"/>
      <c r="TNZ136" s="271"/>
      <c r="TOA136" s="271"/>
      <c r="TOB136" s="271"/>
      <c r="TOC136" s="271"/>
      <c r="TOD136" s="271"/>
      <c r="TOE136" s="271"/>
      <c r="TOF136" s="271"/>
      <c r="TOG136" s="271"/>
      <c r="TOH136" s="271"/>
      <c r="TOI136" s="271"/>
      <c r="TOJ136" s="271"/>
      <c r="TOK136" s="271"/>
      <c r="TOL136" s="271"/>
      <c r="TOM136" s="271"/>
      <c r="TON136" s="271"/>
      <c r="TOO136" s="271"/>
      <c r="TOP136" s="271"/>
      <c r="TOQ136" s="271"/>
      <c r="TOR136" s="271"/>
      <c r="TOS136" s="271"/>
      <c r="TOT136" s="271"/>
      <c r="TOU136" s="271"/>
      <c r="TOV136" s="271"/>
      <c r="TOW136" s="271"/>
      <c r="TOX136" s="271"/>
      <c r="TOY136" s="271"/>
      <c r="TOZ136" s="271"/>
      <c r="TPA136" s="271"/>
      <c r="TPB136" s="271"/>
      <c r="TPC136" s="271"/>
      <c r="TPD136" s="271"/>
      <c r="TPE136" s="271"/>
      <c r="TPF136" s="271"/>
      <c r="TPG136" s="271"/>
      <c r="TPH136" s="271"/>
      <c r="TPI136" s="271"/>
      <c r="TPJ136" s="271"/>
      <c r="TPK136" s="271"/>
      <c r="TPL136" s="271"/>
      <c r="TPM136" s="271"/>
      <c r="TPN136" s="271"/>
      <c r="TPO136" s="271"/>
      <c r="TPP136" s="271"/>
      <c r="TPQ136" s="271"/>
      <c r="TPR136" s="271"/>
      <c r="TPS136" s="271"/>
      <c r="TPT136" s="271"/>
      <c r="TPU136" s="271"/>
      <c r="TPV136" s="271"/>
      <c r="TPW136" s="271"/>
      <c r="TPX136" s="271"/>
      <c r="TPY136" s="271"/>
      <c r="TPZ136" s="271"/>
      <c r="TQA136" s="271"/>
      <c r="TQB136" s="271"/>
      <c r="TQC136" s="271"/>
      <c r="TQD136" s="271"/>
      <c r="TQE136" s="271"/>
      <c r="TQF136" s="271"/>
      <c r="TQG136" s="271"/>
      <c r="TQH136" s="271"/>
      <c r="TQI136" s="271"/>
      <c r="TQJ136" s="271"/>
      <c r="TQK136" s="271"/>
      <c r="TQL136" s="271"/>
      <c r="TQM136" s="271"/>
      <c r="TQN136" s="271"/>
      <c r="TQO136" s="271"/>
      <c r="TQP136" s="271"/>
      <c r="TQQ136" s="271"/>
      <c r="TQR136" s="271"/>
      <c r="TQS136" s="271"/>
      <c r="TQT136" s="271"/>
      <c r="TQU136" s="271"/>
      <c r="TQV136" s="271"/>
      <c r="TQW136" s="271"/>
      <c r="TQX136" s="271"/>
      <c r="TQY136" s="271"/>
      <c r="TQZ136" s="271"/>
      <c r="TRA136" s="271"/>
      <c r="TRB136" s="271"/>
      <c r="TRC136" s="271"/>
      <c r="TRD136" s="271"/>
      <c r="TRE136" s="271"/>
      <c r="TRF136" s="271"/>
      <c r="TRG136" s="271"/>
      <c r="TRH136" s="271"/>
      <c r="TRI136" s="271"/>
      <c r="TRJ136" s="271"/>
      <c r="TRK136" s="271"/>
      <c r="TRL136" s="271"/>
      <c r="TRM136" s="271"/>
      <c r="TRN136" s="271"/>
      <c r="TRO136" s="271"/>
      <c r="TRP136" s="271"/>
      <c r="TRQ136" s="271"/>
      <c r="TRR136" s="271"/>
      <c r="TRS136" s="271"/>
      <c r="TRT136" s="271"/>
      <c r="TRU136" s="271"/>
      <c r="TRV136" s="271"/>
      <c r="TRW136" s="271"/>
      <c r="TRX136" s="271"/>
      <c r="TRY136" s="271"/>
      <c r="TRZ136" s="271"/>
      <c r="TSA136" s="271"/>
      <c r="TSB136" s="271"/>
      <c r="TSC136" s="271"/>
      <c r="TSD136" s="271"/>
      <c r="TSE136" s="271"/>
      <c r="TSF136" s="271"/>
      <c r="TSG136" s="271"/>
      <c r="TSH136" s="271"/>
      <c r="TSI136" s="271"/>
      <c r="TSJ136" s="271"/>
      <c r="TSK136" s="271"/>
      <c r="TSL136" s="271"/>
      <c r="TSM136" s="271"/>
      <c r="TSN136" s="271"/>
      <c r="TSO136" s="271"/>
      <c r="TSP136" s="271"/>
      <c r="TSQ136" s="271"/>
      <c r="TSR136" s="271"/>
      <c r="TSS136" s="271"/>
      <c r="TST136" s="271"/>
      <c r="TSU136" s="271"/>
      <c r="TSV136" s="271"/>
      <c r="TSW136" s="271"/>
      <c r="TSX136" s="271"/>
      <c r="TSY136" s="271"/>
      <c r="TSZ136" s="271"/>
      <c r="TTA136" s="271"/>
      <c r="TTB136" s="271"/>
      <c r="TTC136" s="271"/>
      <c r="TTD136" s="271"/>
      <c r="TTE136" s="271"/>
      <c r="TTF136" s="271"/>
      <c r="TTG136" s="271"/>
      <c r="TTH136" s="271"/>
      <c r="TTI136" s="271"/>
      <c r="TTJ136" s="271"/>
      <c r="TTK136" s="271"/>
      <c r="TTL136" s="271"/>
      <c r="TTM136" s="271"/>
      <c r="TTN136" s="271"/>
      <c r="TTO136" s="271"/>
      <c r="TTP136" s="271"/>
      <c r="TTQ136" s="271"/>
      <c r="TTR136" s="271"/>
      <c r="TTS136" s="271"/>
      <c r="TTT136" s="271"/>
      <c r="TTU136" s="271"/>
      <c r="TTV136" s="271"/>
      <c r="TTW136" s="271"/>
      <c r="TTX136" s="271"/>
      <c r="TTY136" s="271"/>
      <c r="TTZ136" s="271"/>
      <c r="TUA136" s="271"/>
      <c r="TUB136" s="271"/>
      <c r="TUC136" s="271"/>
      <c r="TUD136" s="271"/>
      <c r="TUE136" s="271"/>
      <c r="TUF136" s="271"/>
      <c r="TUG136" s="271"/>
      <c r="TUH136" s="271"/>
      <c r="TUI136" s="271"/>
      <c r="TUJ136" s="271"/>
      <c r="TUK136" s="271"/>
      <c r="TUL136" s="271"/>
      <c r="TUM136" s="271"/>
      <c r="TUN136" s="271"/>
      <c r="TUO136" s="271"/>
      <c r="TUP136" s="271"/>
      <c r="TUQ136" s="271"/>
      <c r="TUR136" s="271"/>
      <c r="TUS136" s="271"/>
      <c r="TUT136" s="271"/>
      <c r="TUU136" s="271"/>
      <c r="TUV136" s="271"/>
      <c r="TUW136" s="271"/>
      <c r="TUX136" s="271"/>
      <c r="TUY136" s="271"/>
      <c r="TUZ136" s="271"/>
      <c r="TVA136" s="271"/>
      <c r="TVB136" s="271"/>
      <c r="TVC136" s="271"/>
      <c r="TVD136" s="271"/>
      <c r="TVE136" s="271"/>
      <c r="TVF136" s="271"/>
      <c r="TVG136" s="271"/>
      <c r="TVH136" s="271"/>
      <c r="TVI136" s="271"/>
      <c r="TVJ136" s="271"/>
      <c r="TVK136" s="271"/>
      <c r="TVL136" s="271"/>
      <c r="TVM136" s="271"/>
      <c r="TVN136" s="271"/>
      <c r="TVO136" s="271"/>
      <c r="TVP136" s="271"/>
      <c r="TVQ136" s="271"/>
      <c r="TVR136" s="271"/>
      <c r="TVS136" s="271"/>
      <c r="TVT136" s="271"/>
      <c r="TVU136" s="271"/>
      <c r="TVV136" s="271"/>
      <c r="TVW136" s="271"/>
      <c r="TVX136" s="271"/>
      <c r="TVY136" s="271"/>
      <c r="TVZ136" s="271"/>
      <c r="TWA136" s="271"/>
      <c r="TWB136" s="271"/>
      <c r="TWC136" s="271"/>
      <c r="TWD136" s="271"/>
      <c r="TWE136" s="271"/>
      <c r="TWF136" s="271"/>
      <c r="TWG136" s="271"/>
      <c r="TWH136" s="271"/>
      <c r="TWI136" s="271"/>
      <c r="TWJ136" s="271"/>
      <c r="TWK136" s="271"/>
      <c r="TWL136" s="271"/>
      <c r="TWM136" s="271"/>
      <c r="TWN136" s="271"/>
      <c r="TWO136" s="271"/>
      <c r="TWP136" s="271"/>
      <c r="TWQ136" s="271"/>
      <c r="TWR136" s="271"/>
      <c r="TWS136" s="271"/>
      <c r="TWT136" s="271"/>
      <c r="TWU136" s="271"/>
      <c r="TWV136" s="271"/>
      <c r="TWW136" s="271"/>
      <c r="TWX136" s="271"/>
      <c r="TWY136" s="271"/>
      <c r="TWZ136" s="271"/>
      <c r="TXA136" s="271"/>
      <c r="TXB136" s="271"/>
      <c r="TXC136" s="271"/>
      <c r="TXD136" s="271"/>
      <c r="TXE136" s="271"/>
      <c r="TXF136" s="271"/>
      <c r="TXG136" s="271"/>
      <c r="TXH136" s="271"/>
      <c r="TXI136" s="271"/>
      <c r="TXJ136" s="271"/>
      <c r="TXK136" s="271"/>
      <c r="TXL136" s="271"/>
      <c r="TXM136" s="271"/>
      <c r="TXN136" s="271"/>
      <c r="TXO136" s="271"/>
      <c r="TXP136" s="271"/>
      <c r="TXQ136" s="271"/>
      <c r="TXR136" s="271"/>
      <c r="TXS136" s="271"/>
      <c r="TXT136" s="271"/>
      <c r="TXU136" s="271"/>
      <c r="TXV136" s="271"/>
      <c r="TXW136" s="271"/>
      <c r="TXX136" s="271"/>
      <c r="TXY136" s="271"/>
      <c r="TXZ136" s="271"/>
      <c r="TYA136" s="271"/>
      <c r="TYB136" s="271"/>
      <c r="TYC136" s="271"/>
      <c r="TYD136" s="271"/>
      <c r="TYE136" s="271"/>
      <c r="TYF136" s="271"/>
      <c r="TYG136" s="271"/>
      <c r="TYH136" s="271"/>
      <c r="TYI136" s="271"/>
      <c r="TYJ136" s="271"/>
      <c r="TYK136" s="271"/>
      <c r="TYL136" s="271"/>
      <c r="TYM136" s="271"/>
      <c r="TYN136" s="271"/>
      <c r="TYO136" s="271"/>
      <c r="TYP136" s="271"/>
      <c r="TYQ136" s="271"/>
      <c r="TYR136" s="271"/>
      <c r="TYS136" s="271"/>
      <c r="TYT136" s="271"/>
      <c r="TYU136" s="271"/>
      <c r="TYV136" s="271"/>
      <c r="TYW136" s="271"/>
      <c r="TYX136" s="271"/>
      <c r="TYY136" s="271"/>
      <c r="TYZ136" s="271"/>
      <c r="TZA136" s="271"/>
      <c r="TZB136" s="271"/>
      <c r="TZC136" s="271"/>
      <c r="TZD136" s="271"/>
      <c r="TZE136" s="271"/>
      <c r="TZF136" s="271"/>
      <c r="TZG136" s="271"/>
      <c r="TZH136" s="271"/>
      <c r="TZI136" s="271"/>
      <c r="TZJ136" s="271"/>
      <c r="TZK136" s="271"/>
      <c r="TZL136" s="271"/>
      <c r="TZM136" s="271"/>
      <c r="TZN136" s="271"/>
      <c r="TZO136" s="271"/>
      <c r="TZP136" s="271"/>
      <c r="TZQ136" s="271"/>
      <c r="TZR136" s="271"/>
      <c r="TZS136" s="271"/>
      <c r="TZT136" s="271"/>
      <c r="TZU136" s="271"/>
      <c r="TZV136" s="271"/>
      <c r="TZW136" s="271"/>
      <c r="TZX136" s="271"/>
      <c r="TZY136" s="271"/>
      <c r="TZZ136" s="271"/>
      <c r="UAA136" s="271"/>
      <c r="UAB136" s="271"/>
      <c r="UAC136" s="271"/>
      <c r="UAD136" s="271"/>
      <c r="UAE136" s="271"/>
      <c r="UAF136" s="271"/>
      <c r="UAG136" s="271"/>
      <c r="UAH136" s="271"/>
      <c r="UAI136" s="271"/>
      <c r="UAJ136" s="271"/>
      <c r="UAK136" s="271"/>
      <c r="UAL136" s="271"/>
      <c r="UAM136" s="271"/>
      <c r="UAN136" s="271"/>
      <c r="UAO136" s="271"/>
      <c r="UAP136" s="271"/>
      <c r="UAQ136" s="271"/>
      <c r="UAR136" s="271"/>
      <c r="UAS136" s="271"/>
      <c r="UAT136" s="271"/>
      <c r="UAU136" s="271"/>
      <c r="UAV136" s="271"/>
      <c r="UAW136" s="271"/>
      <c r="UAX136" s="271"/>
      <c r="UAY136" s="271"/>
      <c r="UAZ136" s="271"/>
      <c r="UBA136" s="271"/>
      <c r="UBB136" s="271"/>
      <c r="UBC136" s="271"/>
      <c r="UBD136" s="271"/>
      <c r="UBE136" s="271"/>
      <c r="UBF136" s="271"/>
      <c r="UBG136" s="271"/>
      <c r="UBH136" s="271"/>
      <c r="UBI136" s="271"/>
      <c r="UBJ136" s="271"/>
      <c r="UBK136" s="271"/>
      <c r="UBL136" s="271"/>
      <c r="UBM136" s="271"/>
      <c r="UBN136" s="271"/>
      <c r="UBO136" s="271"/>
      <c r="UBP136" s="271"/>
      <c r="UBQ136" s="271"/>
      <c r="UBR136" s="271"/>
      <c r="UBS136" s="271"/>
      <c r="UBT136" s="271"/>
      <c r="UBU136" s="271"/>
      <c r="UBV136" s="271"/>
      <c r="UBW136" s="271"/>
      <c r="UBX136" s="271"/>
      <c r="UBY136" s="271"/>
      <c r="UBZ136" s="271"/>
      <c r="UCA136" s="271"/>
      <c r="UCB136" s="271"/>
      <c r="UCC136" s="271"/>
      <c r="UCD136" s="271"/>
      <c r="UCE136" s="271"/>
      <c r="UCF136" s="271"/>
      <c r="UCG136" s="271"/>
      <c r="UCH136" s="271"/>
      <c r="UCI136" s="271"/>
      <c r="UCJ136" s="271"/>
      <c r="UCK136" s="271"/>
      <c r="UCL136" s="271"/>
      <c r="UCM136" s="271"/>
      <c r="UCN136" s="271"/>
      <c r="UCO136" s="271"/>
      <c r="UCP136" s="271"/>
      <c r="UCQ136" s="271"/>
      <c r="UCR136" s="271"/>
      <c r="UCS136" s="271"/>
      <c r="UCT136" s="271"/>
      <c r="UCU136" s="271"/>
      <c r="UCV136" s="271"/>
      <c r="UCW136" s="271"/>
      <c r="UCX136" s="271"/>
      <c r="UCY136" s="271"/>
      <c r="UCZ136" s="271"/>
      <c r="UDA136" s="271"/>
      <c r="UDB136" s="271"/>
      <c r="UDC136" s="271"/>
      <c r="UDD136" s="271"/>
      <c r="UDE136" s="271"/>
      <c r="UDF136" s="271"/>
      <c r="UDG136" s="271"/>
      <c r="UDH136" s="271"/>
      <c r="UDI136" s="271"/>
      <c r="UDJ136" s="271"/>
      <c r="UDK136" s="271"/>
      <c r="UDL136" s="271"/>
      <c r="UDM136" s="271"/>
      <c r="UDN136" s="271"/>
      <c r="UDO136" s="271"/>
      <c r="UDP136" s="271"/>
      <c r="UDQ136" s="271"/>
      <c r="UDR136" s="271"/>
      <c r="UDS136" s="271"/>
      <c r="UDT136" s="271"/>
      <c r="UDU136" s="271"/>
      <c r="UDV136" s="271"/>
      <c r="UDW136" s="271"/>
      <c r="UDX136" s="271"/>
      <c r="UDY136" s="271"/>
      <c r="UDZ136" s="271"/>
      <c r="UEA136" s="271"/>
      <c r="UEB136" s="271"/>
      <c r="UEC136" s="271"/>
      <c r="UED136" s="271"/>
      <c r="UEE136" s="271"/>
      <c r="UEF136" s="271"/>
      <c r="UEG136" s="271"/>
      <c r="UEH136" s="271"/>
      <c r="UEI136" s="271"/>
      <c r="UEJ136" s="271"/>
      <c r="UEK136" s="271"/>
      <c r="UEL136" s="271"/>
      <c r="UEM136" s="271"/>
      <c r="UEN136" s="271"/>
      <c r="UEO136" s="271"/>
      <c r="UEP136" s="271"/>
      <c r="UEQ136" s="271"/>
      <c r="UER136" s="271"/>
      <c r="UES136" s="271"/>
      <c r="UET136" s="271"/>
      <c r="UEU136" s="271"/>
      <c r="UEV136" s="271"/>
      <c r="UEW136" s="271"/>
      <c r="UEX136" s="271"/>
      <c r="UEY136" s="271"/>
      <c r="UEZ136" s="271"/>
      <c r="UFA136" s="271"/>
      <c r="UFB136" s="271"/>
      <c r="UFC136" s="271"/>
      <c r="UFD136" s="271"/>
      <c r="UFE136" s="271"/>
      <c r="UFF136" s="271"/>
      <c r="UFG136" s="271"/>
      <c r="UFH136" s="271"/>
      <c r="UFI136" s="271"/>
      <c r="UFJ136" s="271"/>
      <c r="UFK136" s="271"/>
      <c r="UFL136" s="271"/>
      <c r="UFM136" s="271"/>
      <c r="UFN136" s="271"/>
      <c r="UFO136" s="271"/>
      <c r="UFP136" s="271"/>
      <c r="UFQ136" s="271"/>
      <c r="UFR136" s="271"/>
      <c r="UFS136" s="271"/>
      <c r="UFT136" s="271"/>
      <c r="UFU136" s="271"/>
      <c r="UFV136" s="271"/>
      <c r="UFW136" s="271"/>
      <c r="UFX136" s="271"/>
      <c r="UFY136" s="271"/>
      <c r="UFZ136" s="271"/>
      <c r="UGA136" s="271"/>
      <c r="UGB136" s="271"/>
      <c r="UGC136" s="271"/>
      <c r="UGD136" s="271"/>
      <c r="UGE136" s="271"/>
      <c r="UGF136" s="271"/>
      <c r="UGG136" s="271"/>
      <c r="UGH136" s="271"/>
      <c r="UGI136" s="271"/>
      <c r="UGJ136" s="271"/>
      <c r="UGK136" s="271"/>
      <c r="UGL136" s="271"/>
      <c r="UGM136" s="271"/>
      <c r="UGN136" s="271"/>
      <c r="UGO136" s="271"/>
      <c r="UGP136" s="271"/>
      <c r="UGQ136" s="271"/>
      <c r="UGR136" s="271"/>
      <c r="UGS136" s="271"/>
      <c r="UGT136" s="271"/>
      <c r="UGU136" s="271"/>
      <c r="UGV136" s="271"/>
      <c r="UGW136" s="271"/>
      <c r="UGX136" s="271"/>
      <c r="UGY136" s="271"/>
      <c r="UGZ136" s="271"/>
      <c r="UHA136" s="271"/>
      <c r="UHB136" s="271"/>
      <c r="UHC136" s="271"/>
      <c r="UHD136" s="271"/>
      <c r="UHE136" s="271"/>
      <c r="UHF136" s="271"/>
      <c r="UHG136" s="271"/>
      <c r="UHH136" s="271"/>
      <c r="UHI136" s="271"/>
      <c r="UHJ136" s="271"/>
      <c r="UHK136" s="271"/>
      <c r="UHL136" s="271"/>
      <c r="UHM136" s="271"/>
      <c r="UHN136" s="271"/>
      <c r="UHO136" s="271"/>
      <c r="UHP136" s="271"/>
      <c r="UHQ136" s="271"/>
      <c r="UHR136" s="271"/>
      <c r="UHS136" s="271"/>
      <c r="UHT136" s="271"/>
      <c r="UHU136" s="271"/>
      <c r="UHV136" s="271"/>
      <c r="UHW136" s="271"/>
      <c r="UHX136" s="271"/>
      <c r="UHY136" s="271"/>
      <c r="UHZ136" s="271"/>
      <c r="UIA136" s="271"/>
      <c r="UIB136" s="271"/>
      <c r="UIC136" s="271"/>
      <c r="UID136" s="271"/>
      <c r="UIE136" s="271"/>
      <c r="UIF136" s="271"/>
      <c r="UIG136" s="271"/>
      <c r="UIH136" s="271"/>
      <c r="UII136" s="271"/>
      <c r="UIJ136" s="271"/>
      <c r="UIK136" s="271"/>
      <c r="UIL136" s="271"/>
      <c r="UIM136" s="271"/>
      <c r="UIN136" s="271"/>
      <c r="UIO136" s="271"/>
      <c r="UIP136" s="271"/>
      <c r="UIQ136" s="271"/>
      <c r="UIR136" s="271"/>
      <c r="UIS136" s="271"/>
      <c r="UIT136" s="271"/>
      <c r="UIU136" s="271"/>
      <c r="UIV136" s="271"/>
      <c r="UIW136" s="271"/>
      <c r="UIX136" s="271"/>
      <c r="UIY136" s="271"/>
      <c r="UIZ136" s="271"/>
      <c r="UJA136" s="271"/>
      <c r="UJB136" s="271"/>
      <c r="UJC136" s="271"/>
      <c r="UJD136" s="271"/>
      <c r="UJE136" s="271"/>
      <c r="UJF136" s="271"/>
      <c r="UJG136" s="271"/>
      <c r="UJH136" s="271"/>
      <c r="UJI136" s="271"/>
      <c r="UJJ136" s="271"/>
      <c r="UJK136" s="271"/>
      <c r="UJL136" s="271"/>
      <c r="UJM136" s="271"/>
      <c r="UJN136" s="271"/>
      <c r="UJO136" s="271"/>
      <c r="UJP136" s="271"/>
      <c r="UJQ136" s="271"/>
      <c r="UJR136" s="271"/>
      <c r="UJS136" s="271"/>
      <c r="UJT136" s="271"/>
      <c r="UJU136" s="271"/>
      <c r="UJV136" s="271"/>
      <c r="UJW136" s="271"/>
      <c r="UJX136" s="271"/>
      <c r="UJY136" s="271"/>
      <c r="UJZ136" s="271"/>
      <c r="UKA136" s="271"/>
      <c r="UKB136" s="271"/>
      <c r="UKC136" s="271"/>
      <c r="UKD136" s="271"/>
      <c r="UKE136" s="271"/>
      <c r="UKF136" s="271"/>
      <c r="UKG136" s="271"/>
      <c r="UKH136" s="271"/>
      <c r="UKI136" s="271"/>
      <c r="UKJ136" s="271"/>
      <c r="UKK136" s="271"/>
      <c r="UKL136" s="271"/>
      <c r="UKM136" s="271"/>
      <c r="UKN136" s="271"/>
      <c r="UKO136" s="271"/>
      <c r="UKP136" s="271"/>
      <c r="UKQ136" s="271"/>
      <c r="UKR136" s="271"/>
      <c r="UKS136" s="271"/>
      <c r="UKT136" s="271"/>
      <c r="UKU136" s="271"/>
      <c r="UKV136" s="271"/>
      <c r="UKW136" s="271"/>
      <c r="UKX136" s="271"/>
      <c r="UKY136" s="271"/>
      <c r="UKZ136" s="271"/>
      <c r="ULA136" s="271"/>
      <c r="ULB136" s="271"/>
      <c r="ULC136" s="271"/>
      <c r="ULD136" s="271"/>
      <c r="ULE136" s="271"/>
      <c r="ULF136" s="271"/>
      <c r="ULG136" s="271"/>
      <c r="ULH136" s="271"/>
      <c r="ULI136" s="271"/>
      <c r="ULJ136" s="271"/>
      <c r="ULK136" s="271"/>
      <c r="ULL136" s="271"/>
      <c r="ULM136" s="271"/>
      <c r="ULN136" s="271"/>
      <c r="ULO136" s="271"/>
      <c r="ULP136" s="271"/>
      <c r="ULQ136" s="271"/>
      <c r="ULR136" s="271"/>
      <c r="ULS136" s="271"/>
      <c r="ULT136" s="271"/>
      <c r="ULU136" s="271"/>
      <c r="ULV136" s="271"/>
      <c r="ULW136" s="271"/>
      <c r="ULX136" s="271"/>
      <c r="ULY136" s="271"/>
      <c r="ULZ136" s="271"/>
      <c r="UMA136" s="271"/>
      <c r="UMB136" s="271"/>
      <c r="UMC136" s="271"/>
      <c r="UMD136" s="271"/>
      <c r="UME136" s="271"/>
      <c r="UMF136" s="271"/>
      <c r="UMG136" s="271"/>
      <c r="UMH136" s="271"/>
      <c r="UMI136" s="271"/>
      <c r="UMJ136" s="271"/>
      <c r="UMK136" s="271"/>
      <c r="UML136" s="271"/>
      <c r="UMM136" s="271"/>
      <c r="UMN136" s="271"/>
      <c r="UMO136" s="271"/>
      <c r="UMP136" s="271"/>
      <c r="UMQ136" s="271"/>
      <c r="UMR136" s="271"/>
      <c r="UMS136" s="271"/>
      <c r="UMT136" s="271"/>
      <c r="UMU136" s="271"/>
      <c r="UMV136" s="271"/>
      <c r="UMW136" s="271"/>
      <c r="UMX136" s="271"/>
      <c r="UMY136" s="271"/>
      <c r="UMZ136" s="271"/>
      <c r="UNA136" s="271"/>
      <c r="UNB136" s="271"/>
      <c r="UNC136" s="271"/>
      <c r="UND136" s="271"/>
      <c r="UNE136" s="271"/>
      <c r="UNF136" s="271"/>
      <c r="UNG136" s="271"/>
      <c r="UNH136" s="271"/>
      <c r="UNI136" s="271"/>
      <c r="UNJ136" s="271"/>
      <c r="UNK136" s="271"/>
      <c r="UNL136" s="271"/>
      <c r="UNM136" s="271"/>
      <c r="UNN136" s="271"/>
      <c r="UNO136" s="271"/>
      <c r="UNP136" s="271"/>
      <c r="UNQ136" s="271"/>
      <c r="UNR136" s="271"/>
      <c r="UNS136" s="271"/>
      <c r="UNT136" s="271"/>
      <c r="UNU136" s="271"/>
      <c r="UNV136" s="271"/>
      <c r="UNW136" s="271"/>
      <c r="UNX136" s="271"/>
      <c r="UNY136" s="271"/>
      <c r="UNZ136" s="271"/>
      <c r="UOA136" s="271"/>
      <c r="UOB136" s="271"/>
      <c r="UOC136" s="271"/>
      <c r="UOD136" s="271"/>
      <c r="UOE136" s="271"/>
      <c r="UOF136" s="271"/>
      <c r="UOG136" s="271"/>
      <c r="UOH136" s="271"/>
      <c r="UOI136" s="271"/>
      <c r="UOJ136" s="271"/>
      <c r="UOK136" s="271"/>
      <c r="UOL136" s="271"/>
      <c r="UOM136" s="271"/>
      <c r="UON136" s="271"/>
      <c r="UOO136" s="271"/>
      <c r="UOP136" s="271"/>
      <c r="UOQ136" s="271"/>
      <c r="UOR136" s="271"/>
      <c r="UOS136" s="271"/>
      <c r="UOT136" s="271"/>
      <c r="UOU136" s="271"/>
      <c r="UOV136" s="271"/>
      <c r="UOW136" s="271"/>
      <c r="UOX136" s="271"/>
      <c r="UOY136" s="271"/>
      <c r="UOZ136" s="271"/>
      <c r="UPA136" s="271"/>
      <c r="UPB136" s="271"/>
      <c r="UPC136" s="271"/>
      <c r="UPD136" s="271"/>
      <c r="UPE136" s="271"/>
      <c r="UPF136" s="271"/>
      <c r="UPG136" s="271"/>
      <c r="UPH136" s="271"/>
      <c r="UPI136" s="271"/>
      <c r="UPJ136" s="271"/>
      <c r="UPK136" s="271"/>
      <c r="UPL136" s="271"/>
      <c r="UPM136" s="271"/>
      <c r="UPN136" s="271"/>
      <c r="UPO136" s="271"/>
      <c r="UPP136" s="271"/>
      <c r="UPQ136" s="271"/>
      <c r="UPR136" s="271"/>
      <c r="UPS136" s="271"/>
      <c r="UPT136" s="271"/>
      <c r="UPU136" s="271"/>
      <c r="UPV136" s="271"/>
      <c r="UPW136" s="271"/>
      <c r="UPX136" s="271"/>
      <c r="UPY136" s="271"/>
      <c r="UPZ136" s="271"/>
      <c r="UQA136" s="271"/>
      <c r="UQB136" s="271"/>
      <c r="UQC136" s="271"/>
      <c r="UQD136" s="271"/>
      <c r="UQE136" s="271"/>
      <c r="UQF136" s="271"/>
      <c r="UQG136" s="271"/>
      <c r="UQH136" s="271"/>
      <c r="UQI136" s="271"/>
      <c r="UQJ136" s="271"/>
      <c r="UQK136" s="271"/>
      <c r="UQL136" s="271"/>
      <c r="UQM136" s="271"/>
      <c r="UQN136" s="271"/>
      <c r="UQO136" s="271"/>
      <c r="UQP136" s="271"/>
      <c r="UQQ136" s="271"/>
      <c r="UQR136" s="271"/>
      <c r="UQS136" s="271"/>
      <c r="UQT136" s="271"/>
      <c r="UQU136" s="271"/>
      <c r="UQV136" s="271"/>
      <c r="UQW136" s="271"/>
      <c r="UQX136" s="271"/>
      <c r="UQY136" s="271"/>
      <c r="UQZ136" s="271"/>
      <c r="URA136" s="271"/>
      <c r="URB136" s="271"/>
      <c r="URC136" s="271"/>
      <c r="URD136" s="271"/>
      <c r="URE136" s="271"/>
      <c r="URF136" s="271"/>
      <c r="URG136" s="271"/>
      <c r="URH136" s="271"/>
      <c r="URI136" s="271"/>
      <c r="URJ136" s="271"/>
      <c r="URK136" s="271"/>
      <c r="URL136" s="271"/>
      <c r="URM136" s="271"/>
      <c r="URN136" s="271"/>
      <c r="URO136" s="271"/>
      <c r="URP136" s="271"/>
      <c r="URQ136" s="271"/>
      <c r="URR136" s="271"/>
      <c r="URS136" s="271"/>
      <c r="URT136" s="271"/>
      <c r="URU136" s="271"/>
      <c r="URV136" s="271"/>
      <c r="URW136" s="271"/>
      <c r="URX136" s="271"/>
      <c r="URY136" s="271"/>
      <c r="URZ136" s="271"/>
      <c r="USA136" s="271"/>
      <c r="USB136" s="271"/>
      <c r="USC136" s="271"/>
      <c r="USD136" s="271"/>
      <c r="USE136" s="271"/>
      <c r="USF136" s="271"/>
      <c r="USG136" s="271"/>
      <c r="USH136" s="271"/>
      <c r="USI136" s="271"/>
      <c r="USJ136" s="271"/>
      <c r="USK136" s="271"/>
      <c r="USL136" s="271"/>
      <c r="USM136" s="271"/>
      <c r="USN136" s="271"/>
      <c r="USO136" s="271"/>
      <c r="USP136" s="271"/>
      <c r="USQ136" s="271"/>
      <c r="USR136" s="271"/>
      <c r="USS136" s="271"/>
      <c r="UST136" s="271"/>
      <c r="USU136" s="271"/>
      <c r="USV136" s="271"/>
      <c r="USW136" s="271"/>
      <c r="USX136" s="271"/>
      <c r="USY136" s="271"/>
      <c r="USZ136" s="271"/>
      <c r="UTA136" s="271"/>
      <c r="UTB136" s="271"/>
      <c r="UTC136" s="271"/>
      <c r="UTD136" s="271"/>
      <c r="UTE136" s="271"/>
      <c r="UTF136" s="271"/>
      <c r="UTG136" s="271"/>
      <c r="UTH136" s="271"/>
      <c r="UTI136" s="271"/>
      <c r="UTJ136" s="271"/>
      <c r="UTK136" s="271"/>
      <c r="UTL136" s="271"/>
      <c r="UTM136" s="271"/>
      <c r="UTN136" s="271"/>
      <c r="UTO136" s="271"/>
      <c r="UTP136" s="271"/>
      <c r="UTQ136" s="271"/>
      <c r="UTR136" s="271"/>
      <c r="UTS136" s="271"/>
      <c r="UTT136" s="271"/>
      <c r="UTU136" s="271"/>
      <c r="UTV136" s="271"/>
      <c r="UTW136" s="271"/>
      <c r="UTX136" s="271"/>
      <c r="UTY136" s="271"/>
      <c r="UTZ136" s="271"/>
      <c r="UUA136" s="271"/>
      <c r="UUB136" s="271"/>
      <c r="UUC136" s="271"/>
      <c r="UUD136" s="271"/>
      <c r="UUE136" s="271"/>
      <c r="UUF136" s="271"/>
      <c r="UUG136" s="271"/>
      <c r="UUH136" s="271"/>
      <c r="UUI136" s="271"/>
      <c r="UUJ136" s="271"/>
      <c r="UUK136" s="271"/>
      <c r="UUL136" s="271"/>
      <c r="UUM136" s="271"/>
      <c r="UUN136" s="271"/>
      <c r="UUO136" s="271"/>
      <c r="UUP136" s="271"/>
      <c r="UUQ136" s="271"/>
      <c r="UUR136" s="271"/>
      <c r="UUS136" s="271"/>
      <c r="UUT136" s="271"/>
      <c r="UUU136" s="271"/>
      <c r="UUV136" s="271"/>
      <c r="UUW136" s="271"/>
      <c r="UUX136" s="271"/>
      <c r="UUY136" s="271"/>
      <c r="UUZ136" s="271"/>
      <c r="UVA136" s="271"/>
      <c r="UVB136" s="271"/>
      <c r="UVC136" s="271"/>
      <c r="UVD136" s="271"/>
      <c r="UVE136" s="271"/>
      <c r="UVF136" s="271"/>
      <c r="UVG136" s="271"/>
      <c r="UVH136" s="271"/>
      <c r="UVI136" s="271"/>
      <c r="UVJ136" s="271"/>
      <c r="UVK136" s="271"/>
      <c r="UVL136" s="271"/>
      <c r="UVM136" s="271"/>
      <c r="UVN136" s="271"/>
      <c r="UVO136" s="271"/>
      <c r="UVP136" s="271"/>
      <c r="UVQ136" s="271"/>
      <c r="UVR136" s="271"/>
      <c r="UVS136" s="271"/>
      <c r="UVT136" s="271"/>
      <c r="UVU136" s="271"/>
      <c r="UVV136" s="271"/>
      <c r="UVW136" s="271"/>
      <c r="UVX136" s="271"/>
      <c r="UVY136" s="271"/>
      <c r="UVZ136" s="271"/>
      <c r="UWA136" s="271"/>
      <c r="UWB136" s="271"/>
      <c r="UWC136" s="271"/>
      <c r="UWD136" s="271"/>
      <c r="UWE136" s="271"/>
      <c r="UWF136" s="271"/>
      <c r="UWG136" s="271"/>
      <c r="UWH136" s="271"/>
      <c r="UWI136" s="271"/>
      <c r="UWJ136" s="271"/>
      <c r="UWK136" s="271"/>
      <c r="UWL136" s="271"/>
      <c r="UWM136" s="271"/>
      <c r="UWN136" s="271"/>
      <c r="UWO136" s="271"/>
      <c r="UWP136" s="271"/>
      <c r="UWQ136" s="271"/>
      <c r="UWR136" s="271"/>
      <c r="UWS136" s="271"/>
      <c r="UWT136" s="271"/>
      <c r="UWU136" s="271"/>
      <c r="UWV136" s="271"/>
      <c r="UWW136" s="271"/>
      <c r="UWX136" s="271"/>
      <c r="UWY136" s="271"/>
      <c r="UWZ136" s="271"/>
      <c r="UXA136" s="271"/>
      <c r="UXB136" s="271"/>
      <c r="UXC136" s="271"/>
      <c r="UXD136" s="271"/>
      <c r="UXE136" s="271"/>
      <c r="UXF136" s="271"/>
      <c r="UXG136" s="271"/>
      <c r="UXH136" s="271"/>
      <c r="UXI136" s="271"/>
      <c r="UXJ136" s="271"/>
      <c r="UXK136" s="271"/>
      <c r="UXL136" s="271"/>
      <c r="UXM136" s="271"/>
      <c r="UXN136" s="271"/>
      <c r="UXO136" s="271"/>
      <c r="UXP136" s="271"/>
      <c r="UXQ136" s="271"/>
      <c r="UXR136" s="271"/>
      <c r="UXS136" s="271"/>
      <c r="UXT136" s="271"/>
      <c r="UXU136" s="271"/>
      <c r="UXV136" s="271"/>
      <c r="UXW136" s="271"/>
      <c r="UXX136" s="271"/>
      <c r="UXY136" s="271"/>
      <c r="UXZ136" s="271"/>
      <c r="UYA136" s="271"/>
      <c r="UYB136" s="271"/>
      <c r="UYC136" s="271"/>
      <c r="UYD136" s="271"/>
      <c r="UYE136" s="271"/>
      <c r="UYF136" s="271"/>
      <c r="UYG136" s="271"/>
      <c r="UYH136" s="271"/>
      <c r="UYI136" s="271"/>
      <c r="UYJ136" s="271"/>
      <c r="UYK136" s="271"/>
      <c r="UYL136" s="271"/>
      <c r="UYM136" s="271"/>
      <c r="UYN136" s="271"/>
      <c r="UYO136" s="271"/>
      <c r="UYP136" s="271"/>
      <c r="UYQ136" s="271"/>
      <c r="UYR136" s="271"/>
      <c r="UYS136" s="271"/>
      <c r="UYT136" s="271"/>
      <c r="UYU136" s="271"/>
      <c r="UYV136" s="271"/>
      <c r="UYW136" s="271"/>
      <c r="UYX136" s="271"/>
      <c r="UYY136" s="271"/>
      <c r="UYZ136" s="271"/>
      <c r="UZA136" s="271"/>
      <c r="UZB136" s="271"/>
      <c r="UZC136" s="271"/>
      <c r="UZD136" s="271"/>
      <c r="UZE136" s="271"/>
      <c r="UZF136" s="271"/>
      <c r="UZG136" s="271"/>
      <c r="UZH136" s="271"/>
      <c r="UZI136" s="271"/>
      <c r="UZJ136" s="271"/>
      <c r="UZK136" s="271"/>
      <c r="UZL136" s="271"/>
      <c r="UZM136" s="271"/>
      <c r="UZN136" s="271"/>
      <c r="UZO136" s="271"/>
      <c r="UZP136" s="271"/>
      <c r="UZQ136" s="271"/>
      <c r="UZR136" s="271"/>
      <c r="UZS136" s="271"/>
      <c r="UZT136" s="271"/>
      <c r="UZU136" s="271"/>
      <c r="UZV136" s="271"/>
      <c r="UZW136" s="271"/>
      <c r="UZX136" s="271"/>
      <c r="UZY136" s="271"/>
      <c r="UZZ136" s="271"/>
      <c r="VAA136" s="271"/>
      <c r="VAB136" s="271"/>
      <c r="VAC136" s="271"/>
      <c r="VAD136" s="271"/>
      <c r="VAE136" s="271"/>
      <c r="VAF136" s="271"/>
      <c r="VAG136" s="271"/>
      <c r="VAH136" s="271"/>
      <c r="VAI136" s="271"/>
      <c r="VAJ136" s="271"/>
      <c r="VAK136" s="271"/>
      <c r="VAL136" s="271"/>
      <c r="VAM136" s="271"/>
      <c r="VAN136" s="271"/>
      <c r="VAO136" s="271"/>
      <c r="VAP136" s="271"/>
      <c r="VAQ136" s="271"/>
      <c r="VAR136" s="271"/>
      <c r="VAS136" s="271"/>
      <c r="VAT136" s="271"/>
      <c r="VAU136" s="271"/>
      <c r="VAV136" s="271"/>
      <c r="VAW136" s="271"/>
      <c r="VAX136" s="271"/>
      <c r="VAY136" s="271"/>
      <c r="VAZ136" s="271"/>
      <c r="VBA136" s="271"/>
      <c r="VBB136" s="271"/>
      <c r="VBC136" s="271"/>
      <c r="VBD136" s="271"/>
      <c r="VBE136" s="271"/>
      <c r="VBF136" s="271"/>
      <c r="VBG136" s="271"/>
      <c r="VBH136" s="271"/>
      <c r="VBI136" s="271"/>
      <c r="VBJ136" s="271"/>
      <c r="VBK136" s="271"/>
      <c r="VBL136" s="271"/>
      <c r="VBM136" s="271"/>
      <c r="VBN136" s="271"/>
      <c r="VBO136" s="271"/>
      <c r="VBP136" s="271"/>
      <c r="VBQ136" s="271"/>
      <c r="VBR136" s="271"/>
      <c r="VBS136" s="271"/>
      <c r="VBT136" s="271"/>
      <c r="VBU136" s="271"/>
      <c r="VBV136" s="271"/>
      <c r="VBW136" s="271"/>
      <c r="VBX136" s="271"/>
      <c r="VBY136" s="271"/>
      <c r="VBZ136" s="271"/>
      <c r="VCA136" s="271"/>
      <c r="VCB136" s="271"/>
      <c r="VCC136" s="271"/>
      <c r="VCD136" s="271"/>
      <c r="VCE136" s="271"/>
      <c r="VCF136" s="271"/>
      <c r="VCG136" s="271"/>
      <c r="VCH136" s="271"/>
      <c r="VCI136" s="271"/>
      <c r="VCJ136" s="271"/>
      <c r="VCK136" s="271"/>
      <c r="VCL136" s="271"/>
      <c r="VCM136" s="271"/>
      <c r="VCN136" s="271"/>
      <c r="VCO136" s="271"/>
      <c r="VCP136" s="271"/>
      <c r="VCQ136" s="271"/>
      <c r="VCR136" s="271"/>
      <c r="VCS136" s="271"/>
      <c r="VCT136" s="271"/>
      <c r="VCU136" s="271"/>
      <c r="VCV136" s="271"/>
      <c r="VCW136" s="271"/>
      <c r="VCX136" s="271"/>
      <c r="VCY136" s="271"/>
      <c r="VCZ136" s="271"/>
      <c r="VDA136" s="271"/>
      <c r="VDB136" s="271"/>
      <c r="VDC136" s="271"/>
      <c r="VDD136" s="271"/>
      <c r="VDE136" s="271"/>
      <c r="VDF136" s="271"/>
      <c r="VDG136" s="271"/>
      <c r="VDH136" s="271"/>
      <c r="VDI136" s="271"/>
      <c r="VDJ136" s="271"/>
      <c r="VDK136" s="271"/>
      <c r="VDL136" s="271"/>
      <c r="VDM136" s="271"/>
      <c r="VDN136" s="271"/>
      <c r="VDO136" s="271"/>
      <c r="VDP136" s="271"/>
      <c r="VDQ136" s="271"/>
      <c r="VDR136" s="271"/>
      <c r="VDS136" s="271"/>
      <c r="VDT136" s="271"/>
      <c r="VDU136" s="271"/>
      <c r="VDV136" s="271"/>
      <c r="VDW136" s="271"/>
      <c r="VDX136" s="271"/>
      <c r="VDY136" s="271"/>
      <c r="VDZ136" s="271"/>
      <c r="VEA136" s="271"/>
      <c r="VEB136" s="271"/>
      <c r="VEC136" s="271"/>
      <c r="VED136" s="271"/>
      <c r="VEE136" s="271"/>
      <c r="VEF136" s="271"/>
      <c r="VEG136" s="271"/>
      <c r="VEH136" s="271"/>
      <c r="VEI136" s="271"/>
      <c r="VEJ136" s="271"/>
      <c r="VEK136" s="271"/>
      <c r="VEL136" s="271"/>
      <c r="VEM136" s="271"/>
      <c r="VEN136" s="271"/>
      <c r="VEO136" s="271"/>
      <c r="VEP136" s="271"/>
      <c r="VEQ136" s="271"/>
      <c r="VER136" s="271"/>
      <c r="VES136" s="271"/>
      <c r="VET136" s="271"/>
      <c r="VEU136" s="271"/>
      <c r="VEV136" s="271"/>
      <c r="VEW136" s="271"/>
      <c r="VEX136" s="271"/>
      <c r="VEY136" s="271"/>
      <c r="VEZ136" s="271"/>
      <c r="VFA136" s="271"/>
      <c r="VFB136" s="271"/>
      <c r="VFC136" s="271"/>
      <c r="VFD136" s="271"/>
      <c r="VFE136" s="271"/>
      <c r="VFF136" s="271"/>
      <c r="VFG136" s="271"/>
      <c r="VFH136" s="271"/>
      <c r="VFI136" s="271"/>
      <c r="VFJ136" s="271"/>
      <c r="VFK136" s="271"/>
      <c r="VFL136" s="271"/>
      <c r="VFM136" s="271"/>
      <c r="VFN136" s="271"/>
      <c r="VFO136" s="271"/>
      <c r="VFP136" s="271"/>
      <c r="VFQ136" s="271"/>
      <c r="VFR136" s="271"/>
      <c r="VFS136" s="271"/>
      <c r="VFT136" s="271"/>
      <c r="VFU136" s="271"/>
      <c r="VFV136" s="271"/>
      <c r="VFW136" s="271"/>
      <c r="VFX136" s="271"/>
      <c r="VFY136" s="271"/>
      <c r="VFZ136" s="271"/>
      <c r="VGA136" s="271"/>
      <c r="VGB136" s="271"/>
      <c r="VGC136" s="271"/>
      <c r="VGD136" s="271"/>
      <c r="VGE136" s="271"/>
      <c r="VGF136" s="271"/>
      <c r="VGG136" s="271"/>
      <c r="VGH136" s="271"/>
      <c r="VGI136" s="271"/>
      <c r="VGJ136" s="271"/>
      <c r="VGK136" s="271"/>
      <c r="VGL136" s="271"/>
      <c r="VGM136" s="271"/>
      <c r="VGN136" s="271"/>
      <c r="VGO136" s="271"/>
      <c r="VGP136" s="271"/>
      <c r="VGQ136" s="271"/>
      <c r="VGR136" s="271"/>
      <c r="VGS136" s="271"/>
      <c r="VGT136" s="271"/>
      <c r="VGU136" s="271"/>
      <c r="VGV136" s="271"/>
      <c r="VGW136" s="271"/>
      <c r="VGX136" s="271"/>
      <c r="VGY136" s="271"/>
      <c r="VGZ136" s="271"/>
      <c r="VHA136" s="271"/>
      <c r="VHB136" s="271"/>
      <c r="VHC136" s="271"/>
      <c r="VHD136" s="271"/>
      <c r="VHE136" s="271"/>
      <c r="VHF136" s="271"/>
      <c r="VHG136" s="271"/>
      <c r="VHH136" s="271"/>
      <c r="VHI136" s="271"/>
      <c r="VHJ136" s="271"/>
      <c r="VHK136" s="271"/>
      <c r="VHL136" s="271"/>
      <c r="VHM136" s="271"/>
      <c r="VHN136" s="271"/>
      <c r="VHO136" s="271"/>
      <c r="VHP136" s="271"/>
      <c r="VHQ136" s="271"/>
      <c r="VHR136" s="271"/>
      <c r="VHS136" s="271"/>
      <c r="VHT136" s="271"/>
      <c r="VHU136" s="271"/>
      <c r="VHV136" s="271"/>
      <c r="VHW136" s="271"/>
      <c r="VHX136" s="271"/>
      <c r="VHY136" s="271"/>
      <c r="VHZ136" s="271"/>
      <c r="VIA136" s="271"/>
      <c r="VIB136" s="271"/>
      <c r="VIC136" s="271"/>
      <c r="VID136" s="271"/>
      <c r="VIE136" s="271"/>
      <c r="VIF136" s="271"/>
      <c r="VIG136" s="271"/>
      <c r="VIH136" s="271"/>
      <c r="VII136" s="271"/>
      <c r="VIJ136" s="271"/>
      <c r="VIK136" s="271"/>
      <c r="VIL136" s="271"/>
      <c r="VIM136" s="271"/>
      <c r="VIN136" s="271"/>
      <c r="VIO136" s="271"/>
      <c r="VIP136" s="271"/>
      <c r="VIQ136" s="271"/>
      <c r="VIR136" s="271"/>
      <c r="VIS136" s="271"/>
      <c r="VIT136" s="271"/>
      <c r="VIU136" s="271"/>
      <c r="VIV136" s="271"/>
      <c r="VIW136" s="271"/>
      <c r="VIX136" s="271"/>
      <c r="VIY136" s="271"/>
      <c r="VIZ136" s="271"/>
      <c r="VJA136" s="271"/>
      <c r="VJB136" s="271"/>
      <c r="VJC136" s="271"/>
      <c r="VJD136" s="271"/>
      <c r="VJE136" s="271"/>
      <c r="VJF136" s="271"/>
      <c r="VJG136" s="271"/>
      <c r="VJH136" s="271"/>
      <c r="VJI136" s="271"/>
      <c r="VJJ136" s="271"/>
      <c r="VJK136" s="271"/>
      <c r="VJL136" s="271"/>
      <c r="VJM136" s="271"/>
      <c r="VJN136" s="271"/>
      <c r="VJO136" s="271"/>
      <c r="VJP136" s="271"/>
      <c r="VJQ136" s="271"/>
      <c r="VJR136" s="271"/>
      <c r="VJS136" s="271"/>
      <c r="VJT136" s="271"/>
      <c r="VJU136" s="271"/>
      <c r="VJV136" s="271"/>
      <c r="VJW136" s="271"/>
      <c r="VJX136" s="271"/>
      <c r="VJY136" s="271"/>
      <c r="VJZ136" s="271"/>
      <c r="VKA136" s="271"/>
      <c r="VKB136" s="271"/>
      <c r="VKC136" s="271"/>
      <c r="VKD136" s="271"/>
      <c r="VKE136" s="271"/>
      <c r="VKF136" s="271"/>
      <c r="VKG136" s="271"/>
      <c r="VKH136" s="271"/>
      <c r="VKI136" s="271"/>
      <c r="VKJ136" s="271"/>
      <c r="VKK136" s="271"/>
      <c r="VKL136" s="271"/>
      <c r="VKM136" s="271"/>
      <c r="VKN136" s="271"/>
      <c r="VKO136" s="271"/>
      <c r="VKP136" s="271"/>
      <c r="VKQ136" s="271"/>
      <c r="VKR136" s="271"/>
      <c r="VKS136" s="271"/>
      <c r="VKT136" s="271"/>
      <c r="VKU136" s="271"/>
      <c r="VKV136" s="271"/>
      <c r="VKW136" s="271"/>
      <c r="VKX136" s="271"/>
      <c r="VKY136" s="271"/>
      <c r="VKZ136" s="271"/>
      <c r="VLA136" s="271"/>
      <c r="VLB136" s="271"/>
      <c r="VLC136" s="271"/>
      <c r="VLD136" s="271"/>
      <c r="VLE136" s="271"/>
      <c r="VLF136" s="271"/>
      <c r="VLG136" s="271"/>
      <c r="VLH136" s="271"/>
      <c r="VLI136" s="271"/>
      <c r="VLJ136" s="271"/>
      <c r="VLK136" s="271"/>
      <c r="VLL136" s="271"/>
      <c r="VLM136" s="271"/>
      <c r="VLN136" s="271"/>
      <c r="VLO136" s="271"/>
      <c r="VLP136" s="271"/>
      <c r="VLQ136" s="271"/>
      <c r="VLR136" s="271"/>
      <c r="VLS136" s="271"/>
      <c r="VLT136" s="271"/>
      <c r="VLU136" s="271"/>
      <c r="VLV136" s="271"/>
      <c r="VLW136" s="271"/>
      <c r="VLX136" s="271"/>
      <c r="VLY136" s="271"/>
      <c r="VLZ136" s="271"/>
      <c r="VMA136" s="271"/>
      <c r="VMB136" s="271"/>
      <c r="VMC136" s="271"/>
      <c r="VMD136" s="271"/>
      <c r="VME136" s="271"/>
      <c r="VMF136" s="271"/>
      <c r="VMG136" s="271"/>
      <c r="VMH136" s="271"/>
      <c r="VMI136" s="271"/>
      <c r="VMJ136" s="271"/>
      <c r="VMK136" s="271"/>
      <c r="VML136" s="271"/>
      <c r="VMM136" s="271"/>
      <c r="VMN136" s="271"/>
      <c r="VMO136" s="271"/>
      <c r="VMP136" s="271"/>
      <c r="VMQ136" s="271"/>
      <c r="VMR136" s="271"/>
      <c r="VMS136" s="271"/>
      <c r="VMT136" s="271"/>
      <c r="VMU136" s="271"/>
      <c r="VMV136" s="271"/>
      <c r="VMW136" s="271"/>
      <c r="VMX136" s="271"/>
      <c r="VMY136" s="271"/>
      <c r="VMZ136" s="271"/>
      <c r="VNA136" s="271"/>
      <c r="VNB136" s="271"/>
      <c r="VNC136" s="271"/>
      <c r="VND136" s="271"/>
      <c r="VNE136" s="271"/>
      <c r="VNF136" s="271"/>
      <c r="VNG136" s="271"/>
      <c r="VNH136" s="271"/>
      <c r="VNI136" s="271"/>
      <c r="VNJ136" s="271"/>
      <c r="VNK136" s="271"/>
      <c r="VNL136" s="271"/>
      <c r="VNM136" s="271"/>
      <c r="VNN136" s="271"/>
      <c r="VNO136" s="271"/>
      <c r="VNP136" s="271"/>
      <c r="VNQ136" s="271"/>
      <c r="VNR136" s="271"/>
      <c r="VNS136" s="271"/>
      <c r="VNT136" s="271"/>
      <c r="VNU136" s="271"/>
      <c r="VNV136" s="271"/>
      <c r="VNW136" s="271"/>
      <c r="VNX136" s="271"/>
      <c r="VNY136" s="271"/>
      <c r="VNZ136" s="271"/>
      <c r="VOA136" s="271"/>
      <c r="VOB136" s="271"/>
      <c r="VOC136" s="271"/>
      <c r="VOD136" s="271"/>
      <c r="VOE136" s="271"/>
      <c r="VOF136" s="271"/>
      <c r="VOG136" s="271"/>
      <c r="VOH136" s="271"/>
      <c r="VOI136" s="271"/>
      <c r="VOJ136" s="271"/>
      <c r="VOK136" s="271"/>
      <c r="VOL136" s="271"/>
      <c r="VOM136" s="271"/>
      <c r="VON136" s="271"/>
      <c r="VOO136" s="271"/>
      <c r="VOP136" s="271"/>
      <c r="VOQ136" s="271"/>
      <c r="VOR136" s="271"/>
      <c r="VOS136" s="271"/>
      <c r="VOT136" s="271"/>
      <c r="VOU136" s="271"/>
      <c r="VOV136" s="271"/>
      <c r="VOW136" s="271"/>
      <c r="VOX136" s="271"/>
      <c r="VOY136" s="271"/>
      <c r="VOZ136" s="271"/>
      <c r="VPA136" s="271"/>
      <c r="VPB136" s="271"/>
      <c r="VPC136" s="271"/>
      <c r="VPD136" s="271"/>
      <c r="VPE136" s="271"/>
      <c r="VPF136" s="271"/>
      <c r="VPG136" s="271"/>
      <c r="VPH136" s="271"/>
      <c r="VPI136" s="271"/>
      <c r="VPJ136" s="271"/>
      <c r="VPK136" s="271"/>
      <c r="VPL136" s="271"/>
      <c r="VPM136" s="271"/>
      <c r="VPN136" s="271"/>
      <c r="VPO136" s="271"/>
      <c r="VPP136" s="271"/>
      <c r="VPQ136" s="271"/>
      <c r="VPR136" s="271"/>
      <c r="VPS136" s="271"/>
      <c r="VPT136" s="271"/>
      <c r="VPU136" s="271"/>
      <c r="VPV136" s="271"/>
      <c r="VPW136" s="271"/>
      <c r="VPX136" s="271"/>
      <c r="VPY136" s="271"/>
      <c r="VPZ136" s="271"/>
      <c r="VQA136" s="271"/>
      <c r="VQB136" s="271"/>
      <c r="VQC136" s="271"/>
      <c r="VQD136" s="271"/>
      <c r="VQE136" s="271"/>
      <c r="VQF136" s="271"/>
      <c r="VQG136" s="271"/>
      <c r="VQH136" s="271"/>
      <c r="VQI136" s="271"/>
      <c r="VQJ136" s="271"/>
      <c r="VQK136" s="271"/>
      <c r="VQL136" s="271"/>
      <c r="VQM136" s="271"/>
      <c r="VQN136" s="271"/>
      <c r="VQO136" s="271"/>
      <c r="VQP136" s="271"/>
      <c r="VQQ136" s="271"/>
      <c r="VQR136" s="271"/>
      <c r="VQS136" s="271"/>
      <c r="VQT136" s="271"/>
      <c r="VQU136" s="271"/>
      <c r="VQV136" s="271"/>
      <c r="VQW136" s="271"/>
      <c r="VQX136" s="271"/>
      <c r="VQY136" s="271"/>
      <c r="VQZ136" s="271"/>
      <c r="VRA136" s="271"/>
      <c r="VRB136" s="271"/>
      <c r="VRC136" s="271"/>
      <c r="VRD136" s="271"/>
      <c r="VRE136" s="271"/>
      <c r="VRF136" s="271"/>
      <c r="VRG136" s="271"/>
      <c r="VRH136" s="271"/>
      <c r="VRI136" s="271"/>
      <c r="VRJ136" s="271"/>
      <c r="VRK136" s="271"/>
      <c r="VRL136" s="271"/>
      <c r="VRM136" s="271"/>
      <c r="VRN136" s="271"/>
      <c r="VRO136" s="271"/>
      <c r="VRP136" s="271"/>
      <c r="VRQ136" s="271"/>
      <c r="VRR136" s="271"/>
      <c r="VRS136" s="271"/>
      <c r="VRT136" s="271"/>
      <c r="VRU136" s="271"/>
      <c r="VRV136" s="271"/>
      <c r="VRW136" s="271"/>
      <c r="VRX136" s="271"/>
      <c r="VRY136" s="271"/>
      <c r="VRZ136" s="271"/>
      <c r="VSA136" s="271"/>
      <c r="VSB136" s="271"/>
      <c r="VSC136" s="271"/>
      <c r="VSD136" s="271"/>
      <c r="VSE136" s="271"/>
      <c r="VSF136" s="271"/>
      <c r="VSG136" s="271"/>
      <c r="VSH136" s="271"/>
      <c r="VSI136" s="271"/>
      <c r="VSJ136" s="271"/>
      <c r="VSK136" s="271"/>
      <c r="VSL136" s="271"/>
      <c r="VSM136" s="271"/>
      <c r="VSN136" s="271"/>
      <c r="VSO136" s="271"/>
      <c r="VSP136" s="271"/>
      <c r="VSQ136" s="271"/>
      <c r="VSR136" s="271"/>
      <c r="VSS136" s="271"/>
      <c r="VST136" s="271"/>
      <c r="VSU136" s="271"/>
      <c r="VSV136" s="271"/>
      <c r="VSW136" s="271"/>
      <c r="VSX136" s="271"/>
      <c r="VSY136" s="271"/>
      <c r="VSZ136" s="271"/>
      <c r="VTA136" s="271"/>
      <c r="VTB136" s="271"/>
      <c r="VTC136" s="271"/>
      <c r="VTD136" s="271"/>
      <c r="VTE136" s="271"/>
      <c r="VTF136" s="271"/>
      <c r="VTG136" s="271"/>
      <c r="VTH136" s="271"/>
      <c r="VTI136" s="271"/>
      <c r="VTJ136" s="271"/>
      <c r="VTK136" s="271"/>
      <c r="VTL136" s="271"/>
      <c r="VTM136" s="271"/>
      <c r="VTN136" s="271"/>
      <c r="VTO136" s="271"/>
      <c r="VTP136" s="271"/>
      <c r="VTQ136" s="271"/>
      <c r="VTR136" s="271"/>
      <c r="VTS136" s="271"/>
      <c r="VTT136" s="271"/>
      <c r="VTU136" s="271"/>
      <c r="VTV136" s="271"/>
      <c r="VTW136" s="271"/>
      <c r="VTX136" s="271"/>
      <c r="VTY136" s="271"/>
      <c r="VTZ136" s="271"/>
      <c r="VUA136" s="271"/>
      <c r="VUB136" s="271"/>
      <c r="VUC136" s="271"/>
      <c r="VUD136" s="271"/>
      <c r="VUE136" s="271"/>
      <c r="VUF136" s="271"/>
      <c r="VUG136" s="271"/>
      <c r="VUH136" s="271"/>
      <c r="VUI136" s="271"/>
      <c r="VUJ136" s="271"/>
      <c r="VUK136" s="271"/>
      <c r="VUL136" s="271"/>
      <c r="VUM136" s="271"/>
      <c r="VUN136" s="271"/>
      <c r="VUO136" s="271"/>
      <c r="VUP136" s="271"/>
      <c r="VUQ136" s="271"/>
      <c r="VUR136" s="271"/>
      <c r="VUS136" s="271"/>
      <c r="VUT136" s="271"/>
      <c r="VUU136" s="271"/>
      <c r="VUV136" s="271"/>
      <c r="VUW136" s="271"/>
      <c r="VUX136" s="271"/>
      <c r="VUY136" s="271"/>
      <c r="VUZ136" s="271"/>
      <c r="VVA136" s="271"/>
      <c r="VVB136" s="271"/>
      <c r="VVC136" s="271"/>
      <c r="VVD136" s="271"/>
      <c r="VVE136" s="271"/>
      <c r="VVF136" s="271"/>
      <c r="VVG136" s="271"/>
      <c r="VVH136" s="271"/>
      <c r="VVI136" s="271"/>
      <c r="VVJ136" s="271"/>
      <c r="VVK136" s="271"/>
      <c r="VVL136" s="271"/>
      <c r="VVM136" s="271"/>
      <c r="VVN136" s="271"/>
      <c r="VVO136" s="271"/>
      <c r="VVP136" s="271"/>
      <c r="VVQ136" s="271"/>
      <c r="VVR136" s="271"/>
      <c r="VVS136" s="271"/>
      <c r="VVT136" s="271"/>
      <c r="VVU136" s="271"/>
      <c r="VVV136" s="271"/>
      <c r="VVW136" s="271"/>
      <c r="VVX136" s="271"/>
      <c r="VVY136" s="271"/>
      <c r="VVZ136" s="271"/>
      <c r="VWA136" s="271"/>
      <c r="VWB136" s="271"/>
      <c r="VWC136" s="271"/>
      <c r="VWD136" s="271"/>
      <c r="VWE136" s="271"/>
      <c r="VWF136" s="271"/>
      <c r="VWG136" s="271"/>
      <c r="VWH136" s="271"/>
      <c r="VWI136" s="271"/>
      <c r="VWJ136" s="271"/>
      <c r="VWK136" s="271"/>
      <c r="VWL136" s="271"/>
      <c r="VWM136" s="271"/>
      <c r="VWN136" s="271"/>
      <c r="VWO136" s="271"/>
      <c r="VWP136" s="271"/>
      <c r="VWQ136" s="271"/>
      <c r="VWR136" s="271"/>
      <c r="VWS136" s="271"/>
      <c r="VWT136" s="271"/>
      <c r="VWU136" s="271"/>
      <c r="VWV136" s="271"/>
      <c r="VWW136" s="271"/>
      <c r="VWX136" s="271"/>
      <c r="VWY136" s="271"/>
      <c r="VWZ136" s="271"/>
      <c r="VXA136" s="271"/>
      <c r="VXB136" s="271"/>
      <c r="VXC136" s="271"/>
      <c r="VXD136" s="271"/>
      <c r="VXE136" s="271"/>
      <c r="VXF136" s="271"/>
      <c r="VXG136" s="271"/>
      <c r="VXH136" s="271"/>
      <c r="VXI136" s="271"/>
      <c r="VXJ136" s="271"/>
      <c r="VXK136" s="271"/>
      <c r="VXL136" s="271"/>
      <c r="VXM136" s="271"/>
      <c r="VXN136" s="271"/>
      <c r="VXO136" s="271"/>
      <c r="VXP136" s="271"/>
      <c r="VXQ136" s="271"/>
      <c r="VXR136" s="271"/>
      <c r="VXS136" s="271"/>
      <c r="VXT136" s="271"/>
      <c r="VXU136" s="271"/>
      <c r="VXV136" s="271"/>
      <c r="VXW136" s="271"/>
      <c r="VXX136" s="271"/>
      <c r="VXY136" s="271"/>
      <c r="VXZ136" s="271"/>
      <c r="VYA136" s="271"/>
      <c r="VYB136" s="271"/>
      <c r="VYC136" s="271"/>
      <c r="VYD136" s="271"/>
      <c r="VYE136" s="271"/>
      <c r="VYF136" s="271"/>
      <c r="VYG136" s="271"/>
      <c r="VYH136" s="271"/>
      <c r="VYI136" s="271"/>
      <c r="VYJ136" s="271"/>
      <c r="VYK136" s="271"/>
      <c r="VYL136" s="271"/>
      <c r="VYM136" s="271"/>
      <c r="VYN136" s="271"/>
      <c r="VYO136" s="271"/>
      <c r="VYP136" s="271"/>
      <c r="VYQ136" s="271"/>
      <c r="VYR136" s="271"/>
      <c r="VYS136" s="271"/>
      <c r="VYT136" s="271"/>
      <c r="VYU136" s="271"/>
      <c r="VYV136" s="271"/>
      <c r="VYW136" s="271"/>
      <c r="VYX136" s="271"/>
      <c r="VYY136" s="271"/>
      <c r="VYZ136" s="271"/>
      <c r="VZA136" s="271"/>
      <c r="VZB136" s="271"/>
      <c r="VZC136" s="271"/>
      <c r="VZD136" s="271"/>
      <c r="VZE136" s="271"/>
      <c r="VZF136" s="271"/>
      <c r="VZG136" s="271"/>
      <c r="VZH136" s="271"/>
      <c r="VZI136" s="271"/>
      <c r="VZJ136" s="271"/>
      <c r="VZK136" s="271"/>
      <c r="VZL136" s="271"/>
      <c r="VZM136" s="271"/>
      <c r="VZN136" s="271"/>
      <c r="VZO136" s="271"/>
      <c r="VZP136" s="271"/>
      <c r="VZQ136" s="271"/>
      <c r="VZR136" s="271"/>
      <c r="VZS136" s="271"/>
      <c r="VZT136" s="271"/>
      <c r="VZU136" s="271"/>
      <c r="VZV136" s="271"/>
      <c r="VZW136" s="271"/>
      <c r="VZX136" s="271"/>
      <c r="VZY136" s="271"/>
      <c r="VZZ136" s="271"/>
      <c r="WAA136" s="271"/>
      <c r="WAB136" s="271"/>
      <c r="WAC136" s="271"/>
      <c r="WAD136" s="271"/>
      <c r="WAE136" s="271"/>
      <c r="WAF136" s="271"/>
      <c r="WAG136" s="271"/>
      <c r="WAH136" s="271"/>
      <c r="WAI136" s="271"/>
      <c r="WAJ136" s="271"/>
      <c r="WAK136" s="271"/>
      <c r="WAL136" s="271"/>
      <c r="WAM136" s="271"/>
      <c r="WAN136" s="271"/>
      <c r="WAO136" s="271"/>
      <c r="WAP136" s="271"/>
      <c r="WAQ136" s="271"/>
      <c r="WAR136" s="271"/>
      <c r="WAS136" s="271"/>
      <c r="WAT136" s="271"/>
      <c r="WAU136" s="271"/>
      <c r="WAV136" s="271"/>
      <c r="WAW136" s="271"/>
      <c r="WAX136" s="271"/>
      <c r="WAY136" s="271"/>
      <c r="WAZ136" s="271"/>
      <c r="WBA136" s="271"/>
      <c r="WBB136" s="271"/>
      <c r="WBC136" s="271"/>
      <c r="WBD136" s="271"/>
      <c r="WBE136" s="271"/>
      <c r="WBF136" s="271"/>
      <c r="WBG136" s="271"/>
      <c r="WBH136" s="271"/>
      <c r="WBI136" s="271"/>
      <c r="WBJ136" s="271"/>
      <c r="WBK136" s="271"/>
      <c r="WBL136" s="271"/>
      <c r="WBM136" s="271"/>
      <c r="WBN136" s="271"/>
      <c r="WBO136" s="271"/>
      <c r="WBP136" s="271"/>
      <c r="WBQ136" s="271"/>
      <c r="WBR136" s="271"/>
      <c r="WBS136" s="271"/>
      <c r="WBT136" s="271"/>
      <c r="WBU136" s="271"/>
      <c r="WBV136" s="271"/>
      <c r="WBW136" s="271"/>
      <c r="WBX136" s="271"/>
      <c r="WBY136" s="271"/>
      <c r="WBZ136" s="271"/>
      <c r="WCA136" s="271"/>
      <c r="WCB136" s="271"/>
      <c r="WCC136" s="271"/>
      <c r="WCD136" s="271"/>
      <c r="WCE136" s="271"/>
      <c r="WCF136" s="271"/>
      <c r="WCG136" s="271"/>
      <c r="WCH136" s="271"/>
      <c r="WCI136" s="271"/>
      <c r="WCJ136" s="271"/>
      <c r="WCK136" s="271"/>
      <c r="WCL136" s="271"/>
      <c r="WCM136" s="271"/>
      <c r="WCN136" s="271"/>
      <c r="WCO136" s="271"/>
      <c r="WCP136" s="271"/>
      <c r="WCQ136" s="271"/>
      <c r="WCR136" s="271"/>
      <c r="WCS136" s="271"/>
      <c r="WCT136" s="271"/>
      <c r="WCU136" s="271"/>
      <c r="WCV136" s="271"/>
      <c r="WCW136" s="271"/>
      <c r="WCX136" s="271"/>
      <c r="WCY136" s="271"/>
      <c r="WCZ136" s="271"/>
      <c r="WDA136" s="271"/>
      <c r="WDB136" s="271"/>
      <c r="WDC136" s="271"/>
      <c r="WDD136" s="271"/>
      <c r="WDE136" s="271"/>
      <c r="WDF136" s="271"/>
      <c r="WDG136" s="271"/>
      <c r="WDH136" s="271"/>
      <c r="WDI136" s="271"/>
      <c r="WDJ136" s="271"/>
      <c r="WDK136" s="271"/>
      <c r="WDL136" s="271"/>
      <c r="WDM136" s="271"/>
      <c r="WDN136" s="271"/>
      <c r="WDO136" s="271"/>
      <c r="WDP136" s="271"/>
      <c r="WDQ136" s="271"/>
      <c r="WDR136" s="271"/>
      <c r="WDS136" s="271"/>
      <c r="WDT136" s="271"/>
      <c r="WDU136" s="271"/>
      <c r="WDV136" s="271"/>
      <c r="WDW136" s="271"/>
      <c r="WDX136" s="271"/>
      <c r="WDY136" s="271"/>
      <c r="WDZ136" s="271"/>
      <c r="WEA136" s="271"/>
      <c r="WEB136" s="271"/>
      <c r="WEC136" s="271"/>
      <c r="WED136" s="271"/>
      <c r="WEE136" s="271"/>
      <c r="WEF136" s="271"/>
      <c r="WEG136" s="271"/>
      <c r="WEH136" s="271"/>
      <c r="WEI136" s="271"/>
      <c r="WEJ136" s="271"/>
      <c r="WEK136" s="271"/>
      <c r="WEL136" s="271"/>
      <c r="WEM136" s="271"/>
      <c r="WEN136" s="271"/>
      <c r="WEO136" s="271"/>
      <c r="WEP136" s="271"/>
      <c r="WEQ136" s="271"/>
      <c r="WER136" s="271"/>
      <c r="WES136" s="271"/>
      <c r="WET136" s="271"/>
      <c r="WEU136" s="271"/>
      <c r="WEV136" s="271"/>
      <c r="WEW136" s="271"/>
      <c r="WEX136" s="271"/>
      <c r="WEY136" s="271"/>
      <c r="WEZ136" s="271"/>
      <c r="WFA136" s="271"/>
      <c r="WFB136" s="271"/>
      <c r="WFC136" s="271"/>
      <c r="WFD136" s="271"/>
      <c r="WFE136" s="271"/>
      <c r="WFF136" s="271"/>
      <c r="WFG136" s="271"/>
      <c r="WFH136" s="271"/>
      <c r="WFI136" s="271"/>
      <c r="WFJ136" s="271"/>
      <c r="WFK136" s="271"/>
      <c r="WFL136" s="271"/>
      <c r="WFM136" s="271"/>
      <c r="WFN136" s="271"/>
      <c r="WFO136" s="271"/>
      <c r="WFP136" s="271"/>
      <c r="WFQ136" s="271"/>
      <c r="WFR136" s="271"/>
      <c r="WFS136" s="271"/>
      <c r="WFT136" s="271"/>
      <c r="WFU136" s="271"/>
      <c r="WFV136" s="271"/>
      <c r="WFW136" s="271"/>
      <c r="WFX136" s="271"/>
      <c r="WFY136" s="271"/>
      <c r="WFZ136" s="271"/>
      <c r="WGA136" s="271"/>
      <c r="WGB136" s="271"/>
      <c r="WGC136" s="271"/>
      <c r="WGD136" s="271"/>
      <c r="WGE136" s="271"/>
      <c r="WGF136" s="271"/>
      <c r="WGG136" s="271"/>
      <c r="WGH136" s="271"/>
      <c r="WGI136" s="271"/>
      <c r="WGJ136" s="271"/>
      <c r="WGK136" s="271"/>
      <c r="WGL136" s="271"/>
      <c r="WGM136" s="271"/>
      <c r="WGN136" s="271"/>
      <c r="WGO136" s="271"/>
      <c r="WGP136" s="271"/>
      <c r="WGQ136" s="271"/>
      <c r="WGR136" s="271"/>
      <c r="WGS136" s="271"/>
      <c r="WGT136" s="271"/>
      <c r="WGU136" s="271"/>
      <c r="WGV136" s="271"/>
      <c r="WGW136" s="271"/>
      <c r="WGX136" s="271"/>
      <c r="WGY136" s="271"/>
      <c r="WGZ136" s="271"/>
      <c r="WHA136" s="271"/>
      <c r="WHB136" s="271"/>
      <c r="WHC136" s="271"/>
      <c r="WHD136" s="271"/>
      <c r="WHE136" s="271"/>
      <c r="WHF136" s="271"/>
      <c r="WHG136" s="271"/>
      <c r="WHH136" s="271"/>
      <c r="WHI136" s="271"/>
      <c r="WHJ136" s="271"/>
      <c r="WHK136" s="271"/>
      <c r="WHL136" s="271"/>
      <c r="WHM136" s="271"/>
      <c r="WHN136" s="271"/>
      <c r="WHO136" s="271"/>
      <c r="WHP136" s="271"/>
      <c r="WHQ136" s="271"/>
      <c r="WHR136" s="271"/>
      <c r="WHS136" s="271"/>
      <c r="WHT136" s="271"/>
      <c r="WHU136" s="271"/>
      <c r="WHV136" s="271"/>
      <c r="WHW136" s="271"/>
      <c r="WHX136" s="271"/>
      <c r="WHY136" s="271"/>
      <c r="WHZ136" s="271"/>
      <c r="WIA136" s="271"/>
      <c r="WIB136" s="271"/>
      <c r="WIC136" s="271"/>
      <c r="WID136" s="271"/>
      <c r="WIE136" s="271"/>
      <c r="WIF136" s="271"/>
      <c r="WIG136" s="271"/>
      <c r="WIH136" s="271"/>
      <c r="WII136" s="271"/>
      <c r="WIJ136" s="271"/>
      <c r="WIK136" s="271"/>
      <c r="WIL136" s="271"/>
      <c r="WIM136" s="271"/>
      <c r="WIN136" s="271"/>
      <c r="WIO136" s="271"/>
      <c r="WIP136" s="271"/>
      <c r="WIQ136" s="271"/>
      <c r="WIR136" s="271"/>
      <c r="WIS136" s="271"/>
      <c r="WIT136" s="271"/>
      <c r="WIU136" s="271"/>
      <c r="WIV136" s="271"/>
      <c r="WIW136" s="271"/>
      <c r="WIX136" s="271"/>
      <c r="WIY136" s="271"/>
      <c r="WIZ136" s="271"/>
      <c r="WJA136" s="271"/>
      <c r="WJB136" s="271"/>
      <c r="WJC136" s="271"/>
      <c r="WJD136" s="271"/>
      <c r="WJE136" s="271"/>
      <c r="WJF136" s="271"/>
      <c r="WJG136" s="271"/>
      <c r="WJH136" s="271"/>
      <c r="WJI136" s="271"/>
      <c r="WJJ136" s="271"/>
      <c r="WJK136" s="271"/>
      <c r="WJL136" s="271"/>
      <c r="WJM136" s="271"/>
      <c r="WJN136" s="271"/>
      <c r="WJO136" s="271"/>
      <c r="WJP136" s="271"/>
      <c r="WJQ136" s="271"/>
      <c r="WJR136" s="271"/>
      <c r="WJS136" s="271"/>
      <c r="WJT136" s="271"/>
      <c r="WJU136" s="271"/>
      <c r="WJV136" s="271"/>
      <c r="WJW136" s="271"/>
      <c r="WJX136" s="271"/>
      <c r="WJY136" s="271"/>
      <c r="WJZ136" s="271"/>
      <c r="WKA136" s="271"/>
      <c r="WKB136" s="271"/>
      <c r="WKC136" s="271"/>
      <c r="WKD136" s="271"/>
      <c r="WKE136" s="271"/>
      <c r="WKF136" s="271"/>
      <c r="WKG136" s="271"/>
      <c r="WKH136" s="271"/>
      <c r="WKI136" s="271"/>
      <c r="WKJ136" s="271"/>
      <c r="WKK136" s="271"/>
      <c r="WKL136" s="271"/>
      <c r="WKM136" s="271"/>
      <c r="WKN136" s="271"/>
      <c r="WKO136" s="271"/>
      <c r="WKP136" s="271"/>
      <c r="WKQ136" s="271"/>
      <c r="WKR136" s="271"/>
      <c r="WKS136" s="271"/>
      <c r="WKT136" s="271"/>
      <c r="WKU136" s="271"/>
      <c r="WKV136" s="271"/>
      <c r="WKW136" s="271"/>
      <c r="WKX136" s="271"/>
      <c r="WKY136" s="271"/>
      <c r="WKZ136" s="271"/>
      <c r="WLA136" s="271"/>
      <c r="WLB136" s="271"/>
      <c r="WLC136" s="271"/>
      <c r="WLD136" s="271"/>
      <c r="WLE136" s="271"/>
      <c r="WLF136" s="271"/>
      <c r="WLG136" s="271"/>
      <c r="WLH136" s="271"/>
      <c r="WLI136" s="271"/>
      <c r="WLJ136" s="271"/>
      <c r="WLK136" s="271"/>
      <c r="WLL136" s="271"/>
      <c r="WLM136" s="271"/>
      <c r="WLN136" s="271"/>
      <c r="WLO136" s="271"/>
      <c r="WLP136" s="271"/>
      <c r="WLQ136" s="271"/>
      <c r="WLR136" s="271"/>
      <c r="WLS136" s="271"/>
      <c r="WLT136" s="271"/>
      <c r="WLU136" s="271"/>
      <c r="WLV136" s="271"/>
      <c r="WLW136" s="271"/>
      <c r="WLX136" s="271"/>
      <c r="WLY136" s="271"/>
      <c r="WLZ136" s="271"/>
      <c r="WMA136" s="271"/>
      <c r="WMB136" s="271"/>
      <c r="WMC136" s="271"/>
      <c r="WMD136" s="271"/>
      <c r="WME136" s="271"/>
      <c r="WMF136" s="271"/>
      <c r="WMG136" s="271"/>
      <c r="WMH136" s="271"/>
      <c r="WMI136" s="271"/>
      <c r="WMJ136" s="271"/>
      <c r="WMK136" s="271"/>
      <c r="WML136" s="271"/>
      <c r="WMM136" s="271"/>
      <c r="WMN136" s="271"/>
      <c r="WMO136" s="271"/>
      <c r="WMP136" s="271"/>
      <c r="WMQ136" s="271"/>
      <c r="WMR136" s="271"/>
      <c r="WMS136" s="271"/>
      <c r="WMT136" s="271"/>
      <c r="WMU136" s="271"/>
      <c r="WMV136" s="271"/>
      <c r="WMW136" s="271"/>
      <c r="WMX136" s="271"/>
      <c r="WMY136" s="271"/>
      <c r="WMZ136" s="271"/>
      <c r="WNA136" s="271"/>
      <c r="WNB136" s="271"/>
      <c r="WNC136" s="271"/>
      <c r="WND136" s="271"/>
      <c r="WNE136" s="271"/>
      <c r="WNF136" s="271"/>
      <c r="WNG136" s="271"/>
      <c r="WNH136" s="271"/>
      <c r="WNI136" s="271"/>
      <c r="WNJ136" s="271"/>
      <c r="WNK136" s="271"/>
      <c r="WNL136" s="271"/>
      <c r="WNM136" s="271"/>
      <c r="WNN136" s="271"/>
      <c r="WNO136" s="271"/>
      <c r="WNP136" s="271"/>
      <c r="WNQ136" s="271"/>
      <c r="WNR136" s="271"/>
      <c r="WNS136" s="271"/>
      <c r="WNT136" s="271"/>
      <c r="WNU136" s="271"/>
      <c r="WNV136" s="271"/>
      <c r="WNW136" s="271"/>
      <c r="WNX136" s="271"/>
      <c r="WNY136" s="271"/>
      <c r="WNZ136" s="271"/>
      <c r="WOA136" s="271"/>
      <c r="WOB136" s="271"/>
      <c r="WOC136" s="271"/>
      <c r="WOD136" s="271"/>
      <c r="WOE136" s="271"/>
      <c r="WOF136" s="271"/>
      <c r="WOG136" s="271"/>
      <c r="WOH136" s="271"/>
      <c r="WOI136" s="271"/>
      <c r="WOJ136" s="271"/>
      <c r="WOK136" s="271"/>
      <c r="WOL136" s="271"/>
      <c r="WOM136" s="271"/>
      <c r="WON136" s="271"/>
      <c r="WOO136" s="271"/>
      <c r="WOP136" s="271"/>
      <c r="WOQ136" s="271"/>
      <c r="WOR136" s="271"/>
      <c r="WOS136" s="271"/>
      <c r="WOT136" s="271"/>
      <c r="WOU136" s="271"/>
      <c r="WOV136" s="271"/>
      <c r="WOW136" s="271"/>
      <c r="WOX136" s="271"/>
      <c r="WOY136" s="271"/>
      <c r="WOZ136" s="271"/>
      <c r="WPA136" s="271"/>
      <c r="WPB136" s="271"/>
      <c r="WPC136" s="271"/>
      <c r="WPD136" s="271"/>
      <c r="WPE136" s="271"/>
      <c r="WPF136" s="271"/>
      <c r="WPG136" s="271"/>
      <c r="WPH136" s="271"/>
      <c r="WPI136" s="271"/>
      <c r="WPJ136" s="271"/>
      <c r="WPK136" s="271"/>
      <c r="WPL136" s="271"/>
      <c r="WPM136" s="271"/>
      <c r="WPN136" s="271"/>
      <c r="WPO136" s="271"/>
      <c r="WPP136" s="271"/>
      <c r="WPQ136" s="271"/>
      <c r="WPR136" s="271"/>
      <c r="WPS136" s="271"/>
      <c r="WPT136" s="271"/>
      <c r="WPU136" s="271"/>
      <c r="WPV136" s="271"/>
      <c r="WPW136" s="271"/>
      <c r="WPX136" s="271"/>
      <c r="WPY136" s="271"/>
      <c r="WPZ136" s="271"/>
      <c r="WQA136" s="271"/>
      <c r="WQB136" s="271"/>
      <c r="WQC136" s="271"/>
      <c r="WQD136" s="271"/>
      <c r="WQE136" s="271"/>
      <c r="WQF136" s="271"/>
      <c r="WQG136" s="271"/>
      <c r="WQH136" s="271"/>
      <c r="WQI136" s="271"/>
      <c r="WQJ136" s="271"/>
      <c r="WQK136" s="271"/>
      <c r="WQL136" s="271"/>
      <c r="WQM136" s="271"/>
      <c r="WQN136" s="271"/>
      <c r="WQO136" s="271"/>
      <c r="WQP136" s="271"/>
      <c r="WQQ136" s="271"/>
      <c r="WQR136" s="271"/>
      <c r="WQS136" s="271"/>
      <c r="WQT136" s="271"/>
      <c r="WQU136" s="271"/>
      <c r="WQV136" s="271"/>
      <c r="WQW136" s="271"/>
      <c r="WQX136" s="271"/>
      <c r="WQY136" s="271"/>
      <c r="WQZ136" s="271"/>
      <c r="WRA136" s="271"/>
      <c r="WRB136" s="271"/>
      <c r="WRC136" s="271"/>
      <c r="WRD136" s="271"/>
      <c r="WRE136" s="271"/>
      <c r="WRF136" s="271"/>
      <c r="WRG136" s="271"/>
      <c r="WRH136" s="271"/>
      <c r="WRI136" s="271"/>
      <c r="WRJ136" s="271"/>
      <c r="WRK136" s="271"/>
      <c r="WRL136" s="271"/>
      <c r="WRM136" s="271"/>
      <c r="WRN136" s="271"/>
      <c r="WRO136" s="271"/>
      <c r="WRP136" s="271"/>
      <c r="WRQ136" s="271"/>
      <c r="WRR136" s="271"/>
      <c r="WRS136" s="271"/>
      <c r="WRT136" s="271"/>
      <c r="WRU136" s="271"/>
      <c r="WRV136" s="271"/>
      <c r="WRW136" s="271"/>
      <c r="WRX136" s="271"/>
      <c r="WRY136" s="271"/>
      <c r="WRZ136" s="271"/>
      <c r="WSA136" s="271"/>
      <c r="WSB136" s="271"/>
      <c r="WSC136" s="271"/>
      <c r="WSD136" s="271"/>
      <c r="WSE136" s="271"/>
      <c r="WSF136" s="271"/>
      <c r="WSG136" s="271"/>
      <c r="WSH136" s="271"/>
      <c r="WSI136" s="271"/>
      <c r="WSJ136" s="271"/>
      <c r="WSK136" s="271"/>
      <c r="WSL136" s="271"/>
      <c r="WSM136" s="271"/>
      <c r="WSN136" s="271"/>
      <c r="WSO136" s="271"/>
      <c r="WSP136" s="271"/>
      <c r="WSQ136" s="271"/>
      <c r="WSR136" s="271"/>
      <c r="WSS136" s="271"/>
      <c r="WST136" s="271"/>
      <c r="WSU136" s="271"/>
      <c r="WSV136" s="271"/>
      <c r="WSW136" s="271"/>
      <c r="WSX136" s="271"/>
      <c r="WSY136" s="271"/>
      <c r="WSZ136" s="271"/>
      <c r="WTA136" s="271"/>
      <c r="WTB136" s="271"/>
      <c r="WTC136" s="271"/>
      <c r="WTD136" s="271"/>
      <c r="WTE136" s="271"/>
      <c r="WTF136" s="271"/>
      <c r="WTG136" s="271"/>
      <c r="WTH136" s="271"/>
      <c r="WTI136" s="271"/>
      <c r="WTJ136" s="271"/>
      <c r="WTK136" s="271"/>
      <c r="WTL136" s="271"/>
      <c r="WTM136" s="271"/>
      <c r="WTN136" s="271"/>
      <c r="WTO136" s="271"/>
      <c r="WTP136" s="271"/>
      <c r="WTQ136" s="271"/>
      <c r="WTR136" s="271"/>
      <c r="WTS136" s="271"/>
      <c r="WTT136" s="271"/>
      <c r="WTU136" s="271"/>
      <c r="WTV136" s="271"/>
      <c r="WTW136" s="271"/>
      <c r="WTX136" s="271"/>
      <c r="WTY136" s="271"/>
      <c r="WTZ136" s="271"/>
      <c r="WUA136" s="271"/>
      <c r="WUB136" s="271"/>
      <c r="WUC136" s="271"/>
      <c r="WUD136" s="271"/>
      <c r="WUE136" s="271"/>
      <c r="WUF136" s="271"/>
      <c r="WUG136" s="271"/>
      <c r="WUH136" s="271"/>
      <c r="WUI136" s="271"/>
      <c r="WUJ136" s="271"/>
      <c r="WUK136" s="271"/>
      <c r="WUL136" s="271"/>
      <c r="WUM136" s="271"/>
      <c r="WUN136" s="271"/>
      <c r="WUO136" s="271"/>
      <c r="WUP136" s="271"/>
      <c r="WUQ136" s="271"/>
      <c r="WUR136" s="271"/>
      <c r="WUS136" s="271"/>
      <c r="WUT136" s="271"/>
      <c r="WUU136" s="271"/>
      <c r="WUV136" s="271"/>
      <c r="WUW136" s="271"/>
      <c r="WUX136" s="271"/>
      <c r="WUY136" s="271"/>
      <c r="WUZ136" s="271"/>
      <c r="WVA136" s="271"/>
      <c r="WVB136" s="271"/>
      <c r="WVC136" s="271"/>
      <c r="WVD136" s="271"/>
      <c r="WVE136" s="271"/>
      <c r="WVF136" s="271"/>
      <c r="WVG136" s="271"/>
      <c r="WVH136" s="271"/>
      <c r="WVI136" s="271"/>
      <c r="WVJ136" s="271"/>
      <c r="WVK136" s="271"/>
      <c r="WVL136" s="271"/>
      <c r="WVM136" s="271"/>
      <c r="WVN136" s="271"/>
      <c r="WVO136" s="271"/>
      <c r="WVP136" s="271"/>
      <c r="WVQ136" s="271"/>
      <c r="WVR136" s="271"/>
      <c r="WVS136" s="271"/>
      <c r="WVT136" s="271"/>
      <c r="WVU136" s="271"/>
      <c r="WVV136" s="271"/>
      <c r="WVW136" s="271"/>
      <c r="WVX136" s="271"/>
      <c r="WVY136" s="271"/>
      <c r="WVZ136" s="271"/>
      <c r="WWA136" s="271"/>
      <c r="WWB136" s="271"/>
      <c r="WWC136" s="271"/>
      <c r="WWD136" s="271"/>
      <c r="WWE136" s="271"/>
      <c r="WWF136" s="271"/>
      <c r="WWG136" s="271"/>
      <c r="WWH136" s="271"/>
      <c r="WWI136" s="271"/>
      <c r="WWJ136" s="271"/>
      <c r="WWK136" s="271"/>
      <c r="WWL136" s="271"/>
      <c r="WWM136" s="271"/>
      <c r="WWN136" s="271"/>
      <c r="WWO136" s="271"/>
      <c r="WWP136" s="271"/>
      <c r="WWQ136" s="271"/>
      <c r="WWR136" s="271"/>
      <c r="WWS136" s="271"/>
      <c r="WWT136" s="271"/>
      <c r="WWU136" s="271"/>
      <c r="WWV136" s="271"/>
      <c r="WWW136" s="271"/>
      <c r="WWX136" s="271"/>
      <c r="WWY136" s="271"/>
      <c r="WWZ136" s="271"/>
      <c r="WXA136" s="271"/>
      <c r="WXB136" s="271"/>
      <c r="WXC136" s="271"/>
      <c r="WXD136" s="271"/>
      <c r="WXE136" s="271"/>
      <c r="WXF136" s="271"/>
      <c r="WXG136" s="271"/>
      <c r="WXH136" s="271"/>
      <c r="WXI136" s="271"/>
      <c r="WXJ136" s="271"/>
      <c r="WXK136" s="271"/>
      <c r="WXL136" s="271"/>
      <c r="WXM136" s="271"/>
      <c r="WXN136" s="271"/>
      <c r="WXO136" s="271"/>
      <c r="WXP136" s="271"/>
      <c r="WXQ136" s="271"/>
      <c r="WXR136" s="271"/>
      <c r="WXS136" s="271"/>
      <c r="WXT136" s="271"/>
      <c r="WXU136" s="271"/>
      <c r="WXV136" s="271"/>
      <c r="WXW136" s="271"/>
      <c r="WXX136" s="271"/>
      <c r="WXY136" s="271"/>
      <c r="WXZ136" s="271"/>
      <c r="WYA136" s="271"/>
      <c r="WYB136" s="271"/>
      <c r="WYC136" s="271"/>
      <c r="WYD136" s="271"/>
      <c r="WYE136" s="271"/>
      <c r="WYF136" s="271"/>
      <c r="WYG136" s="271"/>
      <c r="WYH136" s="271"/>
      <c r="WYI136" s="271"/>
      <c r="WYJ136" s="271"/>
      <c r="WYK136" s="271"/>
      <c r="WYL136" s="271"/>
      <c r="WYM136" s="271"/>
      <c r="WYN136" s="271"/>
      <c r="WYO136" s="271"/>
      <c r="WYP136" s="271"/>
      <c r="WYQ136" s="271"/>
      <c r="WYR136" s="271"/>
      <c r="WYS136" s="271"/>
      <c r="WYT136" s="271"/>
      <c r="WYU136" s="271"/>
      <c r="WYV136" s="271"/>
      <c r="WYW136" s="271"/>
      <c r="WYX136" s="271"/>
      <c r="WYY136" s="271"/>
      <c r="WYZ136" s="271"/>
      <c r="WZA136" s="271"/>
      <c r="WZB136" s="271"/>
      <c r="WZC136" s="271"/>
      <c r="WZD136" s="271"/>
      <c r="WZE136" s="271"/>
      <c r="WZF136" s="271"/>
      <c r="WZG136" s="271"/>
      <c r="WZH136" s="271"/>
      <c r="WZI136" s="271"/>
      <c r="WZJ136" s="271"/>
      <c r="WZK136" s="271"/>
      <c r="WZL136" s="271"/>
      <c r="WZM136" s="271"/>
      <c r="WZN136" s="271"/>
      <c r="WZO136" s="271"/>
      <c r="WZP136" s="271"/>
      <c r="WZQ136" s="271"/>
      <c r="WZR136" s="271"/>
      <c r="WZS136" s="271"/>
      <c r="WZT136" s="271"/>
      <c r="WZU136" s="271"/>
      <c r="WZV136" s="271"/>
      <c r="WZW136" s="271"/>
      <c r="WZX136" s="271"/>
      <c r="WZY136" s="271"/>
      <c r="WZZ136" s="271"/>
      <c r="XAA136" s="271"/>
      <c r="XAB136" s="271"/>
      <c r="XAC136" s="271"/>
      <c r="XAD136" s="271"/>
      <c r="XAE136" s="271"/>
      <c r="XAF136" s="271"/>
      <c r="XAG136" s="271"/>
      <c r="XAH136" s="271"/>
      <c r="XAI136" s="271"/>
      <c r="XAJ136" s="271"/>
      <c r="XAK136" s="271"/>
      <c r="XAL136" s="271"/>
      <c r="XAM136" s="271"/>
      <c r="XAN136" s="271"/>
      <c r="XAO136" s="271"/>
      <c r="XAP136" s="271"/>
      <c r="XAQ136" s="271"/>
      <c r="XAR136" s="271"/>
      <c r="XAS136" s="271"/>
      <c r="XAT136" s="271"/>
      <c r="XAU136" s="271"/>
      <c r="XAV136" s="271"/>
      <c r="XAW136" s="271"/>
      <c r="XAX136" s="271"/>
      <c r="XAY136" s="271"/>
      <c r="XAZ136" s="271"/>
      <c r="XBA136" s="271"/>
      <c r="XBB136" s="271"/>
      <c r="XBC136" s="271"/>
      <c r="XBD136" s="271"/>
      <c r="XBE136" s="271"/>
      <c r="XBF136" s="271"/>
      <c r="XBG136" s="271"/>
      <c r="XBH136" s="271"/>
      <c r="XBI136" s="271"/>
      <c r="XBJ136" s="271"/>
      <c r="XBK136" s="271"/>
      <c r="XBL136" s="271"/>
      <c r="XBM136" s="271"/>
      <c r="XBN136" s="271"/>
      <c r="XBO136" s="271"/>
      <c r="XBP136" s="271"/>
      <c r="XBQ136" s="271"/>
      <c r="XBR136" s="271"/>
      <c r="XBS136" s="271"/>
      <c r="XBT136" s="271"/>
      <c r="XBU136" s="271"/>
      <c r="XBV136" s="271"/>
      <c r="XBW136" s="271"/>
      <c r="XBX136" s="271"/>
      <c r="XBY136" s="271"/>
      <c r="XBZ136" s="271"/>
      <c r="XCA136" s="271"/>
      <c r="XCB136" s="271"/>
      <c r="XCC136" s="271"/>
      <c r="XCD136" s="271"/>
      <c r="XCE136" s="271"/>
      <c r="XCF136" s="271"/>
      <c r="XCG136" s="271"/>
      <c r="XCH136" s="271"/>
      <c r="XCI136" s="271"/>
      <c r="XCJ136" s="271"/>
      <c r="XCK136" s="271"/>
      <c r="XCL136" s="271"/>
      <c r="XCM136" s="271"/>
      <c r="XCN136" s="271"/>
      <c r="XCO136" s="271"/>
      <c r="XCP136" s="271"/>
      <c r="XCQ136" s="271"/>
      <c r="XCR136" s="271"/>
      <c r="XCS136" s="271"/>
      <c r="XCT136" s="271"/>
      <c r="XCU136" s="271"/>
      <c r="XCV136" s="271"/>
      <c r="XCW136" s="271"/>
      <c r="XCX136" s="271"/>
      <c r="XCY136" s="271"/>
      <c r="XCZ136" s="271"/>
      <c r="XDA136" s="271"/>
      <c r="XDB136" s="271"/>
      <c r="XDC136" s="271"/>
      <c r="XDD136" s="271"/>
      <c r="XDE136" s="271"/>
      <c r="XDF136" s="271"/>
      <c r="XDG136" s="271"/>
      <c r="XDH136" s="271"/>
      <c r="XDI136" s="271"/>
      <c r="XDJ136" s="271"/>
      <c r="XDK136" s="271"/>
      <c r="XDL136" s="271"/>
      <c r="XDM136" s="271"/>
      <c r="XDN136" s="271"/>
      <c r="XDO136" s="271"/>
      <c r="XDP136" s="271"/>
      <c r="XDQ136" s="271"/>
      <c r="XDR136" s="271"/>
      <c r="XDS136" s="271"/>
      <c r="XDT136" s="271"/>
      <c r="XDU136" s="271"/>
      <c r="XDV136" s="271"/>
      <c r="XDW136" s="271"/>
      <c r="XDX136" s="271"/>
      <c r="XDY136" s="271"/>
      <c r="XDZ136" s="271"/>
      <c r="XEA136" s="271"/>
      <c r="XEB136" s="271"/>
      <c r="XEC136" s="271"/>
      <c r="XED136" s="271"/>
      <c r="XEE136" s="271"/>
      <c r="XEF136" s="271"/>
      <c r="XEG136" s="271"/>
      <c r="XEH136" s="271"/>
      <c r="XEI136" s="271"/>
      <c r="XEJ136" s="271"/>
      <c r="XEK136" s="271"/>
      <c r="XEL136" s="271"/>
      <c r="XEM136" s="271"/>
      <c r="XEN136" s="271"/>
      <c r="XEO136" s="271"/>
      <c r="XEP136" s="271"/>
      <c r="XEQ136" s="271"/>
      <c r="XER136" s="271"/>
      <c r="XES136" s="271"/>
      <c r="XET136" s="271"/>
      <c r="XEU136" s="271"/>
      <c r="XEV136" s="271"/>
      <c r="XEW136" s="271"/>
      <c r="XEX136" s="271"/>
      <c r="XEY136" s="271"/>
      <c r="XEZ136" s="271"/>
      <c r="XFA136" s="271"/>
      <c r="XFB136" s="271"/>
    </row>
    <row r="137" spans="1:16382" s="271" customFormat="1" ht="13.5">
      <c r="A137" s="305">
        <v>6.2</v>
      </c>
      <c r="B137" s="277" t="s">
        <v>146</v>
      </c>
      <c r="C137" s="263" t="s">
        <v>111</v>
      </c>
      <c r="D137" s="280" t="str">
        <f>IF(OR(j_WEEKDAY(J_ADDDAY(VLOOKUP(I137,A:F,6,FALSE),H137,1),0)=6,SUMIFS(Holieday[ok],Holieday[date],J_ADDDAY(VLOOKUP(I137,A:F,6,FALSE),H137,1)))=FALSE(),J_ADDDAY(VLOOKUP(I137,A:F,6,FALSE),H137,1),IF(OR(j_WEEKDAY(J_ADDDAY(VLOOKUP(I137,A:F,6,FALSE),H137+1,1),0)=6,SUMIFS(Holieday[ok],Holieday[date],J_ADDDAY(VLOOKUP(I137,A:F,6,FALSE),H137+1,1)))=FALSE(),J_ADDDAY(VLOOKUP(I137,A:F,6,FALSE),H137+1,1),IF(OR(j_WEEKDAY(J_ADDDAY(VLOOKUP(I137,A:F,6,FALSE),H137+2,1),0)=6,SUMIFS(Holieday[ok],Holieday[date],J_ADDDAY(VLOOKUP(I137,A:F,6,FALSE),H137+2,1)))=FALSE(),J_ADDDAY(VLOOKUP(I137,A:F,6,FALSE),H137+2,1),IF(OR(j_WEEKDAY(J_ADDDAY(VLOOKUP(I137,A:F,6,FALSE),H137+3,1),0)=6,SUMIFS(Holieday[ok],Holieday[date],J_ADDDAY(VLOOKUP(I137,A:F,6,FALSE),H137+3,1)))=FALSE(),J_ADDDAY(VLOOKUP(I137,A:F,6,FALSE),H137+3,1),IF(OR(j_WEEKDAY(J_ADDDAY(VLOOKUP(I137,A:F,6,FALSE),H137+4,1),0)=6,SUMIFS(Holieday[ok],Holieday[date],J_ADDDAY(VLOOKUP(I137,A:F,6,FALSE),H137+4,1)))=FALSE(),J_ADDDAY(VLOOKUP(I137,A:F,6,FALSE),H137+4,1),J_ADDDAY(VLOOKUP(I137,A:F,6,FALSE),H137+5,1))))))</f>
        <v>1398/07/13</v>
      </c>
      <c r="E137" s="160">
        <f t="shared" si="42"/>
        <v>13980713</v>
      </c>
      <c r="F137" s="280" t="str">
        <f>IF(N137=0,J_SUBDAY(D137,1,1),IF((N137-NETWORKDAYS.INTL(J_GregorianDate(D137,1),J_GregorianDate(J_SUBDAY(J_ADDDAY(D137,N137,1),1,1),1),16,1)-SUMIFS(Holieday[ok],Holieday[date],CONCATENATE("&gt;","=",D137),Holieday[date],CONCATENATE("&lt;","=",J_SUBDAY(J_ADDDAY(D137,N137,1),1,1)))+SUMIFS(Holieday[Friday],Holieday[date],CONCATENATE("&gt;","=",D137),Holieday[date],CONCATENATE("&lt;","=",J_SUBDAY(J_ADDDAY(D137,N137,1),1,1))))=0,J_SUBDAY(J_ADDDAY(D137,N137,1),1,1),IF((N137-NETWORKDAYS.INTL(J_GregorianDate(D137,1),J_GregorianDate(J_SUBDAY(J_ADDDAY(D137,N137,1),1,1),1),16,1)-SUMIFS(Holieday[ok],Holieday[date],CONCATENATE("&gt;","=",D137),Holieday[date],CONCATENATE("&lt;","=",J_SUBDAY(J_ADDDAY(D137,N137,1),1,1)))+SUMIFS(Holieday[Friday],Holieday[date],CONCATENATE("&gt;","=",D137),Holieday[date],CONCATENATE("&lt;","=",J_SUBDAY(J_ADDDAY(D137,N137,1),1,1))))=1,J_SUBDAY(J_ADDDAY(D137,N137+1,1),1,1),IF((N137-NETWORKDAYS.INTL(J_GregorianDate(D137,1),J_GregorianDate(J_SUBDAY(J_ADDDAY(D137,N137,1),1,1),1),16,1)-SUMIFS(Holieday[ok],Holieday[date],CONCATENATE("&gt;","=",D137),Holieday[date],CONCATENATE("&lt;","=",J_SUBDAY(J_ADDDAY(D137,N137,1),1,1)))+SUMIFS(Holieday[Friday],Holieday[date],CONCATENATE("&gt;","=",D137),Holieday[date],CONCATENATE("&lt;","=",J_SUBDAY(J_ADDDAY(D137,N137,1),1,1))))=2,J_SUBDAY(J_ADDDAY(D137,N137+2,1),1,1),J_SUBDAY(J_ADDDAY(D137,N137+3,1),1,1)))))</f>
        <v>1398/07/21</v>
      </c>
      <c r="G137" s="163">
        <f t="shared" si="43"/>
        <v>13980721</v>
      </c>
      <c r="H137" s="266">
        <v>1</v>
      </c>
      <c r="I137" s="267">
        <v>6.1</v>
      </c>
      <c r="J137" s="265">
        <f>j_WEEKDAY(D137,2)</f>
        <v>0</v>
      </c>
      <c r="K137" s="173">
        <f t="shared" si="46"/>
        <v>0</v>
      </c>
      <c r="L137" s="306">
        <f t="shared" si="47"/>
        <v>9</v>
      </c>
      <c r="M137" s="307">
        <v>0</v>
      </c>
      <c r="N137" s="270">
        <v>8</v>
      </c>
      <c r="O137" s="175">
        <f t="shared" ref="O137:O156" si="48">ROUNDDOWN(M137*L137,0)</f>
        <v>0</v>
      </c>
      <c r="P137" s="175">
        <f>VALUE(J_normdate(J_ADDDAY($D137,$O137,1)))</f>
        <v>13980713</v>
      </c>
      <c r="Q137" s="171">
        <f t="shared" ref="Q137:Q156" si="49">L137-O137</f>
        <v>9</v>
      </c>
      <c r="IY137" s="283">
        <v>2</v>
      </c>
      <c r="IZ137" s="283">
        <f>(TEXT(K137,"[m]")/60)*VLOOKUP(IY137,'Income Person-hours'!A$2:C$5,3,FALSE)</f>
        <v>0</v>
      </c>
      <c r="JA137" s="263"/>
      <c r="JB137" s="313"/>
      <c r="JC137" s="310"/>
      <c r="JD137" s="311">
        <f>SUM((TEXT(JA137,"[M]")/60)*'Income Person-hours'!$D$3,(TEXT(JB137,"[M]")/60)*'Income Person-hours'!$D$4,(TEXT(JC137,"[M]")/60)*'Income Person-hours'!$D$5)</f>
        <v>0</v>
      </c>
    </row>
    <row r="138" spans="1:16382" s="271" customFormat="1" ht="13.5">
      <c r="A138" s="305">
        <v>6.3</v>
      </c>
      <c r="B138" s="277" t="s">
        <v>118</v>
      </c>
      <c r="C138" s="263" t="s">
        <v>111</v>
      </c>
      <c r="D138" s="280" t="str">
        <f>IF(OR(j_WEEKDAY(J_ADDDAY(VLOOKUP(I138,A:F,6,FALSE),H138,1),0)=6,SUMIFS(Holieday[ok],Holieday[date],J_ADDDAY(VLOOKUP(I138,A:F,6,FALSE),H138,1)))=FALSE(),J_ADDDAY(VLOOKUP(I138,A:F,6,FALSE),H138,1),IF(OR(j_WEEKDAY(J_ADDDAY(VLOOKUP(I138,A:F,6,FALSE),H138+1,1),0)=6,SUMIFS(Holieday[ok],Holieday[date],J_ADDDAY(VLOOKUP(I138,A:F,6,FALSE),H138+1,1)))=FALSE(),J_ADDDAY(VLOOKUP(I138,A:F,6,FALSE),H138+1,1),IF(OR(j_WEEKDAY(J_ADDDAY(VLOOKUP(I138,A:F,6,FALSE),H138+2,1),0)=6,SUMIFS(Holieday[ok],Holieday[date],J_ADDDAY(VLOOKUP(I138,A:F,6,FALSE),H138+2,1)))=FALSE(),J_ADDDAY(VLOOKUP(I138,A:F,6,FALSE),H138+2,1),IF(OR(j_WEEKDAY(J_ADDDAY(VLOOKUP(I138,A:F,6,FALSE),H138+3,1),0)=6,SUMIFS(Holieday[ok],Holieday[date],J_ADDDAY(VLOOKUP(I138,A:F,6,FALSE),H138+3,1)))=FALSE(),J_ADDDAY(VLOOKUP(I138,A:F,6,FALSE),H138+3,1),IF(OR(j_WEEKDAY(J_ADDDAY(VLOOKUP(I138,A:F,6,FALSE),H138+4,1),0)=6,SUMIFS(Holieday[ok],Holieday[date],J_ADDDAY(VLOOKUP(I138,A:F,6,FALSE),H138+4,1)))=FALSE(),J_ADDDAY(VLOOKUP(I138,A:F,6,FALSE),H138+4,1),J_ADDDAY(VLOOKUP(I138,A:F,6,FALSE),H138+5,1))))))</f>
        <v>1398/07/22</v>
      </c>
      <c r="E138" s="160">
        <f t="shared" si="42"/>
        <v>13980722</v>
      </c>
      <c r="F138" s="280" t="str">
        <f>IF(N138=0,J_SUBDAY(D138,1,1),IF((N138-NETWORKDAYS.INTL(J_GregorianDate(D138,1),J_GregorianDate(J_SUBDAY(J_ADDDAY(D138,N138,1),1,1),1),16,1)-SUMIFS(Holieday[ok],Holieday[date],CONCATENATE("&gt;","=",D138),Holieday[date],CONCATENATE("&lt;","=",J_SUBDAY(J_ADDDAY(D138,N138,1),1,1)))+SUMIFS(Holieday[Friday],Holieday[date],CONCATENATE("&gt;","=",D138),Holieday[date],CONCATENATE("&lt;","=",J_SUBDAY(J_ADDDAY(D138,N138,1),1,1))))=0,J_SUBDAY(J_ADDDAY(D138,N138,1),1,1),IF((N138-NETWORKDAYS.INTL(J_GregorianDate(D138,1),J_GregorianDate(J_SUBDAY(J_ADDDAY(D138,N138,1),1,1),1),16,1)-SUMIFS(Holieday[ok],Holieday[date],CONCATENATE("&gt;","=",D138),Holieday[date],CONCATENATE("&lt;","=",J_SUBDAY(J_ADDDAY(D138,N138,1),1,1)))+SUMIFS(Holieday[Friday],Holieday[date],CONCATENATE("&gt;","=",D138),Holieday[date],CONCATENATE("&lt;","=",J_SUBDAY(J_ADDDAY(D138,N138,1),1,1))))=1,J_SUBDAY(J_ADDDAY(D138,N138+1,1),1,1),IF((N138-NETWORKDAYS.INTL(J_GregorianDate(D138,1),J_GregorianDate(J_SUBDAY(J_ADDDAY(D138,N138,1),1,1),1),16,1)-SUMIFS(Holieday[ok],Holieday[date],CONCATENATE("&gt;","=",D138),Holieday[date],CONCATENATE("&lt;","=",J_SUBDAY(J_ADDDAY(D138,N138,1),1,1)))+SUMIFS(Holieday[Friday],Holieday[date],CONCATENATE("&gt;","=",D138),Holieday[date],CONCATENATE("&lt;","=",J_SUBDAY(J_ADDDAY(D138,N138,1),1,1))))=2,J_SUBDAY(J_ADDDAY(D138,N138+2,1),1,1),J_SUBDAY(J_ADDDAY(D138,N138+3,1),1,1)))))</f>
        <v>1398/07/29</v>
      </c>
      <c r="G138" s="163">
        <f t="shared" si="43"/>
        <v>13980729</v>
      </c>
      <c r="H138" s="266">
        <v>1</v>
      </c>
      <c r="I138" s="267">
        <v>6.2</v>
      </c>
      <c r="J138" s="265">
        <f>j_WEEKDAY(D138,2)</f>
        <v>2</v>
      </c>
      <c r="K138" s="173">
        <f t="shared" si="46"/>
        <v>0</v>
      </c>
      <c r="L138" s="306">
        <f t="shared" si="47"/>
        <v>8</v>
      </c>
      <c r="M138" s="307">
        <v>0</v>
      </c>
      <c r="N138" s="270">
        <v>8</v>
      </c>
      <c r="O138" s="175">
        <f t="shared" si="48"/>
        <v>0</v>
      </c>
      <c r="P138" s="175">
        <f>VALUE(J_normdate(J_ADDDAY($D138,$O138,1)))</f>
        <v>13980722</v>
      </c>
      <c r="Q138" s="171">
        <f t="shared" si="49"/>
        <v>8</v>
      </c>
      <c r="IY138" s="283">
        <v>3</v>
      </c>
      <c r="IZ138" s="283">
        <f>(TEXT(K138,"[m]")/60)*VLOOKUP(IY138,'Income Person-hours'!A$2:C$5,3,FALSE)</f>
        <v>0</v>
      </c>
      <c r="JA138" s="263"/>
      <c r="JB138" s="313"/>
      <c r="JC138" s="263"/>
      <c r="JD138" s="311">
        <f>SUM((TEXT(JA138,"[M]")/60)*'Income Person-hours'!$D$3,(TEXT(JB138,"[M]")/60)*'Income Person-hours'!$D$4,(TEXT(JC138,"[M]")/60)*'Income Person-hours'!$D$5)</f>
        <v>0</v>
      </c>
    </row>
    <row r="139" spans="1:16382" s="169" customFormat="1" ht="11.25" hidden="1">
      <c r="A139" s="209">
        <v>6.4</v>
      </c>
      <c r="B139" s="208"/>
      <c r="C139" s="107"/>
      <c r="D139" s="172" t="str">
        <f>IF(OR(j_WEEKDAY(J_ADDDAY(VLOOKUP(I139,A:F,6,FALSE),H139,1),0)=6,SUMIFS(Holieday[ok],Holieday[date],J_ADDDAY(VLOOKUP(I139,A:F,6,FALSE),H139,1)))=FALSE(),J_ADDDAY(VLOOKUP(I139,A:F,6,FALSE),H139,1),IF(OR(j_WEEKDAY(J_ADDDAY(VLOOKUP(I139,A:F,6,FALSE),H139+1,1),0)=6,SUMIFS(Holieday[ok],Holieday[date],J_ADDDAY(VLOOKUP(I139,A:F,6,FALSE),H139+1,1)))=FALSE(),J_ADDDAY(VLOOKUP(I139,A:F,6,FALSE),H139+1,1),IF(OR(j_WEEKDAY(J_ADDDAY(VLOOKUP(I139,A:F,6,FALSE),H139+2,1),0)=6,SUMIFS(Holieday[ok],Holieday[date],J_ADDDAY(VLOOKUP(I139,A:F,6,FALSE),H139+2,1)))=FALSE(),J_ADDDAY(VLOOKUP(I139,A:F,6,FALSE),H139+2,1),IF(OR(j_WEEKDAY(J_ADDDAY(VLOOKUP(I139,A:F,6,FALSE),H139+3,1),0)=6,SUMIFS(Holieday[ok],Holieday[date],J_ADDDAY(VLOOKUP(I139,A:F,6,FALSE),H139+3,1)))=FALSE(),J_ADDDAY(VLOOKUP(I139,A:F,6,FALSE),H139+3,1),IF(OR(j_WEEKDAY(J_ADDDAY(VLOOKUP(I139,A:F,6,FALSE),H139+4,1),0)=6,SUMIFS(Holieday[ok],Holieday[date],J_ADDDAY(VLOOKUP(I139,A:F,6,FALSE),H139+4,1)))=FALSE(),J_ADDDAY(VLOOKUP(I139,A:F,6,FALSE),H139+4,1),J_ADDDAY(VLOOKUP(I139,A:F,6,FALSE),H139+5,1))))))</f>
        <v>1398/07/22</v>
      </c>
      <c r="E139" s="160">
        <f t="shared" si="42"/>
        <v>13980722</v>
      </c>
      <c r="F139" s="172" t="str">
        <f>IF(N139=0,J_SUBDAY(D139,1,1),IF((N139-NETWORKDAYS.INTL(J_GregorianDate(D139,1),J_GregorianDate(J_SUBDAY(J_ADDDAY(D139,N139,1),1,1),1),16,1)-SUMIFS(Holieday[ok],Holieday[date],CONCATENATE("&gt;","=",D139),Holieday[date],CONCATENATE("&lt;","=",J_SUBDAY(J_ADDDAY(D139,N139,1),1,1)))+SUMIFS(Holieday[Friday],Holieday[date],CONCATENATE("&gt;","=",D139),Holieday[date],CONCATENATE("&lt;","=",J_SUBDAY(J_ADDDAY(D139,N139,1),1,1))))=0,J_SUBDAY(J_ADDDAY(D139,N139,1),1,1),IF((N139-NETWORKDAYS.INTL(J_GregorianDate(D139,1),J_GregorianDate(J_SUBDAY(J_ADDDAY(D139,N139,1),1,1),1),16,1)-SUMIFS(Holieday[ok],Holieday[date],CONCATENATE("&gt;","=",D139),Holieday[date],CONCATENATE("&lt;","=",J_SUBDAY(J_ADDDAY(D139,N139,1),1,1)))+SUMIFS(Holieday[Friday],Holieday[date],CONCATENATE("&gt;","=",D139),Holieday[date],CONCATENATE("&lt;","=",J_SUBDAY(J_ADDDAY(D139,N139,1),1,1))))=1,J_SUBDAY(J_ADDDAY(D139,N139+1,1),1,1),IF((N139-NETWORKDAYS.INTL(J_GregorianDate(D139,1),J_GregorianDate(J_SUBDAY(J_ADDDAY(D139,N139,1),1,1),1),16,1)-SUMIFS(Holieday[ok],Holieday[date],CONCATENATE("&gt;","=",D139),Holieday[date],CONCATENATE("&lt;","=",J_SUBDAY(J_ADDDAY(D139,N139,1),1,1)))+SUMIFS(Holieday[Friday],Holieday[date],CONCATENATE("&gt;","=",D139),Holieday[date],CONCATENATE("&lt;","=",J_SUBDAY(J_ADDDAY(D139,N139,1),1,1))))=2,J_SUBDAY(J_ADDDAY(D139,N139+2,1),1,1),J_SUBDAY(J_ADDDAY(D139,N139+3,1),1,1)))))</f>
        <v>1398/07/21</v>
      </c>
      <c r="G139" s="163">
        <f t="shared" si="43"/>
        <v>13980721</v>
      </c>
      <c r="H139" s="109">
        <v>1</v>
      </c>
      <c r="I139" s="110">
        <v>6.2</v>
      </c>
      <c r="J139" s="171">
        <f>j_WEEKDAY(D139,2)</f>
        <v>2</v>
      </c>
      <c r="K139" s="173">
        <f t="shared" si="46"/>
        <v>0</v>
      </c>
      <c r="L139" s="215">
        <f t="shared" si="47"/>
        <v>0</v>
      </c>
      <c r="M139" s="210">
        <v>0</v>
      </c>
      <c r="N139" s="108">
        <v>0</v>
      </c>
      <c r="O139" s="175">
        <f t="shared" si="48"/>
        <v>0</v>
      </c>
      <c r="P139" s="175">
        <f>VALUE(J_normdate(J_ADDDAY($D139,$O139,1)))</f>
        <v>13980722</v>
      </c>
      <c r="Q139" s="171">
        <f t="shared" si="49"/>
        <v>0</v>
      </c>
      <c r="IY139" s="7">
        <v>2</v>
      </c>
      <c r="IZ139" s="7">
        <f>(TEXT(K139,"[m]")/60)*VLOOKUP(IY139,'Income Person-hours'!A$2:C$5,3,FALSE)</f>
        <v>0</v>
      </c>
      <c r="JA139" s="107"/>
      <c r="JB139" s="213"/>
      <c r="JC139" s="211"/>
      <c r="JD139" s="212">
        <f>SUM((TEXT(JA139,"[M]")/60)*'Income Person-hours'!$D$3,(TEXT(JB139,"[M]")/60)*'Income Person-hours'!$D$4,(TEXT(JC139,"[M]")/60)*'Income Person-hours'!$D$5)</f>
        <v>0</v>
      </c>
    </row>
    <row r="140" spans="1:16382" s="169" customFormat="1" ht="11.25" hidden="1">
      <c r="A140" s="209">
        <v>6.5</v>
      </c>
      <c r="B140" s="106"/>
      <c r="C140" s="107"/>
      <c r="D140" s="172" t="str">
        <f>IF(OR(j_WEEKDAY(J_ADDDAY(VLOOKUP(I140,A:F,6,FALSE),H140,1),0)=6,SUMIFS(Holieday[ok],Holieday[date],J_ADDDAY(VLOOKUP(I140,A:F,6,FALSE),H140,1)))=FALSE(),J_ADDDAY(VLOOKUP(I140,A:F,6,FALSE),H140,1),IF(OR(j_WEEKDAY(J_ADDDAY(VLOOKUP(I140,A:F,6,FALSE),H140+1,1),0)=6,SUMIFS(Holieday[ok],Holieday[date],J_ADDDAY(VLOOKUP(I140,A:F,6,FALSE),H140+1,1)))=FALSE(),J_ADDDAY(VLOOKUP(I140,A:F,6,FALSE),H140+1,1),IF(OR(j_WEEKDAY(J_ADDDAY(VLOOKUP(I140,A:F,6,FALSE),H140+2,1),0)=6,SUMIFS(Holieday[ok],Holieday[date],J_ADDDAY(VLOOKUP(I140,A:F,6,FALSE),H140+2,1)))=FALSE(),J_ADDDAY(VLOOKUP(I140,A:F,6,FALSE),H140+2,1),IF(OR(j_WEEKDAY(J_ADDDAY(VLOOKUP(I140,A:F,6,FALSE),H140+3,1),0)=6,SUMIFS(Holieday[ok],Holieday[date],J_ADDDAY(VLOOKUP(I140,A:F,6,FALSE),H140+3,1)))=FALSE(),J_ADDDAY(VLOOKUP(I140,A:F,6,FALSE),H140+3,1),IF(OR(j_WEEKDAY(J_ADDDAY(VLOOKUP(I140,A:F,6,FALSE),H140+4,1),0)=6,SUMIFS(Holieday[ok],Holieday[date],J_ADDDAY(VLOOKUP(I140,A:F,6,FALSE),H140+4,1)))=FALSE(),J_ADDDAY(VLOOKUP(I140,A:F,6,FALSE),H140+4,1),J_ADDDAY(VLOOKUP(I140,A:F,6,FALSE),H140+5,1))))))</f>
        <v>1398/07/29</v>
      </c>
      <c r="E140" s="160">
        <f t="shared" si="42"/>
        <v>13980729</v>
      </c>
      <c r="F140" s="172" t="str">
        <f>IF(N140=0,J_SUBDAY(D140,1,1),IF((N140-NETWORKDAYS.INTL(J_GregorianDate(D140,1),J_GregorianDate(J_SUBDAY(J_ADDDAY(D140,N140,1),1,1),1),16,1)-SUMIFS(Holieday[ok],Holieday[date],CONCATENATE("&gt;","=",D140),Holieday[date],CONCATENATE("&lt;","=",J_SUBDAY(J_ADDDAY(D140,N140,1),1,1)))+SUMIFS(Holieday[Friday],Holieday[date],CONCATENATE("&gt;","=",D140),Holieday[date],CONCATENATE("&lt;","=",J_SUBDAY(J_ADDDAY(D140,N140,1),1,1))))=0,J_SUBDAY(J_ADDDAY(D140,N140,1),1,1),IF((N140-NETWORKDAYS.INTL(J_GregorianDate(D140,1),J_GregorianDate(J_SUBDAY(J_ADDDAY(D140,N140,1),1,1),1),16,1)-SUMIFS(Holieday[ok],Holieday[date],CONCATENATE("&gt;","=",D140),Holieday[date],CONCATENATE("&lt;","=",J_SUBDAY(J_ADDDAY(D140,N140,1),1,1)))+SUMIFS(Holieday[Friday],Holieday[date],CONCATENATE("&gt;","=",D140),Holieday[date],CONCATENATE("&lt;","=",J_SUBDAY(J_ADDDAY(D140,N140,1),1,1))))=1,J_SUBDAY(J_ADDDAY(D140,N140+1,1),1,1),IF((N140-NETWORKDAYS.INTL(J_GregorianDate(D140,1),J_GregorianDate(J_SUBDAY(J_ADDDAY(D140,N140,1),1,1),1),16,1)-SUMIFS(Holieday[ok],Holieday[date],CONCATENATE("&gt;","=",D140),Holieday[date],CONCATENATE("&lt;","=",J_SUBDAY(J_ADDDAY(D140,N140,1),1,1)))+SUMIFS(Holieday[Friday],Holieday[date],CONCATENATE("&gt;","=",D140),Holieday[date],CONCATENATE("&lt;","=",J_SUBDAY(J_ADDDAY(D140,N140,1),1,1))))=2,J_SUBDAY(J_ADDDAY(D140,N140+2,1),1,1),J_SUBDAY(J_ADDDAY(D140,N140+3,1),1,1)))))</f>
        <v>1398/07/28</v>
      </c>
      <c r="G140" s="163">
        <f t="shared" si="43"/>
        <v>13980728</v>
      </c>
      <c r="H140" s="109"/>
      <c r="I140" s="110">
        <v>6.3</v>
      </c>
      <c r="J140" s="171">
        <f>j_WEEKDAY(D140,2)</f>
        <v>2</v>
      </c>
      <c r="K140" s="173">
        <f t="shared" si="46"/>
        <v>0</v>
      </c>
      <c r="L140" s="215">
        <f t="shared" si="47"/>
        <v>0</v>
      </c>
      <c r="M140" s="210">
        <v>1</v>
      </c>
      <c r="N140" s="108">
        <v>0</v>
      </c>
      <c r="O140" s="175">
        <f t="shared" si="48"/>
        <v>0</v>
      </c>
      <c r="P140" s="175">
        <f>VALUE(J_normdate(J_ADDDAY($D140,$O140,1)))</f>
        <v>13980729</v>
      </c>
      <c r="Q140" s="171">
        <f t="shared" si="49"/>
        <v>0</v>
      </c>
      <c r="IY140" s="7">
        <v>1</v>
      </c>
      <c r="IZ140" s="7">
        <f>(TEXT(K140,"[m]")/60)*VLOOKUP(IY140,'Income Person-hours'!A$2:C$5,3,FALSE)</f>
        <v>0</v>
      </c>
      <c r="JA140" s="107"/>
      <c r="JB140" s="213"/>
      <c r="JC140" s="211"/>
      <c r="JD140" s="212">
        <f>SUM((TEXT(JA140,"[M]")/60)*'Income Person-hours'!$D$3,(TEXT(JB140,"[M]")/60)*'Income Person-hours'!$D$4,(TEXT(JC140,"[M]")/60)*'Income Person-hours'!$D$5)</f>
        <v>0</v>
      </c>
    </row>
    <row r="141" spans="1:16382" s="11" customFormat="1" ht="11.25" hidden="1">
      <c r="A141" s="168">
        <v>6.6</v>
      </c>
      <c r="B141" s="106"/>
      <c r="C141" s="107"/>
      <c r="D141" s="12" t="str">
        <f>IF(OR(j_WEEKDAY(J_ADDDAY(VLOOKUP(I141,A:F,6,FALSE),H141,1),0)=6,SUMIFS(Holieday[ok],Holieday[date],J_ADDDAY(VLOOKUP(I141,A:F,6,FALSE),H141,1)))=FALSE(),J_ADDDAY(VLOOKUP(I141,A:F,6,FALSE),H141,1),IF(OR(j_WEEKDAY(J_ADDDAY(VLOOKUP(I141,A:F,6,FALSE),H141+1,1),0)=6,SUMIFS(Holieday[ok],Holieday[date],J_ADDDAY(VLOOKUP(I141,A:F,6,FALSE),H141+1,1)))=FALSE(),J_ADDDAY(VLOOKUP(I141,A:F,6,FALSE),H141+1,1),IF(OR(j_WEEKDAY(J_ADDDAY(VLOOKUP(I141,A:F,6,FALSE),H141+2,1),0)=6,SUMIFS(Holieday[ok],Holieday[date],J_ADDDAY(VLOOKUP(I141,A:F,6,FALSE),H141+2,1)))=FALSE(),J_ADDDAY(VLOOKUP(I141,A:F,6,FALSE),H141+2,1),IF(OR(j_WEEKDAY(J_ADDDAY(VLOOKUP(I141,A:F,6,FALSE),H141+3,1),0)=6,SUMIFS(Holieday[ok],Holieday[date],J_ADDDAY(VLOOKUP(I141,A:F,6,FALSE),H141+3,1)))=FALSE(),J_ADDDAY(VLOOKUP(I141,A:F,6,FALSE),H141+3,1),IF(OR(j_WEEKDAY(J_ADDDAY(VLOOKUP(I141,A:F,6,FALSE),H141+4,1),0)=6,SUMIFS(Holieday[ok],Holieday[date],J_ADDDAY(VLOOKUP(I141,A:F,6,FALSE),H141+4,1)))=FALSE(),J_ADDDAY(VLOOKUP(I141,A:F,6,FALSE),H141+4,1),J_ADDDAY(VLOOKUP(I141,A:F,6,FALSE),H141+5,1))))))</f>
        <v>1398/07/29</v>
      </c>
      <c r="E141" s="1">
        <f t="shared" si="42"/>
        <v>13980729</v>
      </c>
      <c r="F141" s="12" t="str">
        <f>IF(N141=0,J_SUBDAY(D141,1,1),IF((N141-NETWORKDAYS.INTL(J_GregorianDate(D141,1),J_GregorianDate(J_SUBDAY(J_ADDDAY(D141,N141,1),1,1),1),16,1)-SUMIFS(Holieday[ok],Holieday[date],CONCATENATE("&gt;","=",D141),Holieday[date],CONCATENATE("&lt;","=",J_SUBDAY(J_ADDDAY(D141,N141,1),1,1)))+SUMIFS(Holieday[Friday],Holieday[date],CONCATENATE("&gt;","=",D141),Holieday[date],CONCATENATE("&lt;","=",J_SUBDAY(J_ADDDAY(D141,N141,1),1,1))))=0,J_SUBDAY(J_ADDDAY(D141,N141,1),1,1),IF((N141-NETWORKDAYS.INTL(J_GregorianDate(D141,1),J_GregorianDate(J_SUBDAY(J_ADDDAY(D141,N141,1),1,1),1),16,1)-SUMIFS(Holieday[ok],Holieday[date],CONCATENATE("&gt;","=",D141),Holieday[date],CONCATENATE("&lt;","=",J_SUBDAY(J_ADDDAY(D141,N141,1),1,1)))+SUMIFS(Holieday[Friday],Holieday[date],CONCATENATE("&gt;","=",D141),Holieday[date],CONCATENATE("&lt;","=",J_SUBDAY(J_ADDDAY(D141,N141,1),1,1))))=1,J_SUBDAY(J_ADDDAY(D141,N141+1,1),1,1),IF((N141-NETWORKDAYS.INTL(J_GregorianDate(D141,1),J_GregorianDate(J_SUBDAY(J_ADDDAY(D141,N141,1),1,1),1),16,1)-SUMIFS(Holieday[ok],Holieday[date],CONCATENATE("&gt;","=",D141),Holieday[date],CONCATENATE("&lt;","=",J_SUBDAY(J_ADDDAY(D141,N141,1),1,1)))+SUMIFS(Holieday[Friday],Holieday[date],CONCATENATE("&gt;","=",D141),Holieday[date],CONCATENATE("&lt;","=",J_SUBDAY(J_ADDDAY(D141,N141,1),1,1))))=2,J_SUBDAY(J_ADDDAY(D141,N141+2,1),1,1),J_SUBDAY(J_ADDDAY(D141,N141+3,1),1,1)))))</f>
        <v>1398/07/28</v>
      </c>
      <c r="G141" s="2">
        <f t="shared" si="43"/>
        <v>13980728</v>
      </c>
      <c r="H141" s="109"/>
      <c r="I141" s="110">
        <v>6.3</v>
      </c>
      <c r="J141" s="9">
        <f>j_WEEKDAY(D141,2)</f>
        <v>2</v>
      </c>
      <c r="K141" s="21">
        <f t="shared" si="46"/>
        <v>0</v>
      </c>
      <c r="L141" s="8">
        <f t="shared" si="47"/>
        <v>0</v>
      </c>
      <c r="M141" s="111">
        <v>0</v>
      </c>
      <c r="N141" s="108">
        <v>0</v>
      </c>
      <c r="O141" s="10">
        <f t="shared" si="48"/>
        <v>0</v>
      </c>
      <c r="P141" s="10">
        <f>VALUE(J_normdate(J_ADDDAY($D141,$O141,1)))</f>
        <v>13980729</v>
      </c>
      <c r="Q141" s="9">
        <f t="shared" si="49"/>
        <v>0</v>
      </c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  <c r="BE141" s="7"/>
      <c r="BF141" s="7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7"/>
      <c r="BV141" s="7"/>
      <c r="BW141" s="7"/>
      <c r="BX141" s="7"/>
      <c r="BY141" s="7"/>
      <c r="BZ141" s="7"/>
      <c r="CA141" s="7"/>
      <c r="CB141" s="7"/>
      <c r="CC141" s="7"/>
      <c r="CD141" s="7"/>
      <c r="CE141" s="7"/>
      <c r="CF141" s="7"/>
      <c r="CG141" s="7"/>
      <c r="CH141" s="7"/>
      <c r="CI141" s="7"/>
      <c r="CJ141" s="7"/>
      <c r="CK141" s="7"/>
      <c r="CL141" s="7"/>
      <c r="CM141" s="7"/>
      <c r="CN141" s="7"/>
      <c r="CO141" s="7"/>
      <c r="CP141" s="7"/>
      <c r="CQ141" s="7"/>
      <c r="CR141" s="7"/>
      <c r="CS141" s="7"/>
      <c r="CT141" s="7"/>
      <c r="CU141" s="7"/>
      <c r="CV141" s="7"/>
      <c r="CW141" s="7"/>
      <c r="CX141" s="7"/>
      <c r="CY141" s="7"/>
      <c r="CZ141" s="7"/>
      <c r="DA141" s="7"/>
      <c r="DB141" s="7"/>
      <c r="DC141" s="7"/>
      <c r="DD141" s="7"/>
      <c r="DE141" s="7"/>
      <c r="DF141" s="7"/>
      <c r="DG141" s="7"/>
      <c r="DH141" s="7"/>
      <c r="DI141" s="7"/>
      <c r="DJ141" s="7"/>
      <c r="DK141" s="7"/>
      <c r="DL141" s="7"/>
      <c r="DM141" s="7"/>
      <c r="DN141" s="7"/>
      <c r="DO141" s="7"/>
      <c r="DP141" s="7"/>
      <c r="DQ141" s="7"/>
      <c r="DR141" s="7"/>
      <c r="DS141" s="7"/>
      <c r="DT141" s="7"/>
      <c r="DU141" s="7"/>
      <c r="DV141" s="7"/>
      <c r="DW141" s="7"/>
      <c r="DX141" s="7"/>
      <c r="DY141" s="7"/>
      <c r="DZ141" s="7"/>
      <c r="EA141" s="7"/>
      <c r="EB141" s="7"/>
      <c r="EC141" s="7"/>
      <c r="ED141" s="7"/>
      <c r="EE141" s="7"/>
      <c r="EF141" s="7"/>
      <c r="EG141" s="7"/>
      <c r="EH141" s="7"/>
      <c r="EI141" s="7"/>
      <c r="EJ141" s="7"/>
      <c r="EK141" s="7"/>
      <c r="EL141" s="7"/>
      <c r="EM141" s="7"/>
      <c r="EN141" s="7"/>
      <c r="EO141" s="7"/>
      <c r="EP141" s="7"/>
      <c r="EQ141" s="7"/>
      <c r="ER141" s="7"/>
      <c r="ES141" s="7"/>
      <c r="ET141" s="7"/>
      <c r="EU141" s="7"/>
      <c r="EV141" s="7"/>
      <c r="EW141" s="7"/>
      <c r="EX141" s="7"/>
      <c r="EY141" s="7"/>
      <c r="EZ141" s="7"/>
      <c r="FA141" s="7"/>
      <c r="FB141" s="7"/>
      <c r="FC141" s="7"/>
      <c r="FD141" s="7"/>
      <c r="FE141" s="7"/>
      <c r="FF141" s="7"/>
      <c r="FG141" s="7"/>
      <c r="FH141" s="7"/>
      <c r="FI141" s="7"/>
      <c r="FJ141" s="7"/>
      <c r="FK141" s="7"/>
      <c r="FL141" s="7"/>
      <c r="FM141" s="7"/>
      <c r="FN141" s="7"/>
      <c r="FO141" s="7"/>
      <c r="FP141" s="7"/>
      <c r="FQ141" s="7"/>
      <c r="FR141" s="7"/>
      <c r="FS141" s="7"/>
      <c r="FT141" s="7"/>
      <c r="FU141" s="7"/>
      <c r="FV141" s="7"/>
      <c r="FW141" s="7"/>
      <c r="FX141" s="7"/>
      <c r="FY141" s="7"/>
      <c r="FZ141" s="7"/>
      <c r="GA141" s="7"/>
      <c r="GB141" s="7"/>
      <c r="GC141" s="7"/>
      <c r="GD141" s="7"/>
      <c r="GE141" s="7"/>
      <c r="GF141" s="7"/>
      <c r="GG141" s="7"/>
      <c r="GH141" s="7"/>
      <c r="GI141" s="7"/>
      <c r="GJ141" s="7"/>
      <c r="GK141" s="7"/>
      <c r="GL141" s="7"/>
      <c r="GM141" s="7"/>
      <c r="GN141" s="7"/>
      <c r="GO141" s="7"/>
      <c r="GP141" s="7"/>
      <c r="GQ141" s="7"/>
      <c r="GR141" s="7"/>
      <c r="GS141" s="7"/>
      <c r="GT141" s="7"/>
      <c r="GU141" s="7"/>
      <c r="GV141" s="7"/>
      <c r="GW141" s="7"/>
      <c r="GX141" s="7"/>
      <c r="GY141" s="7"/>
      <c r="GZ141" s="7"/>
      <c r="HA141" s="7"/>
      <c r="HB141" s="7"/>
      <c r="HC141" s="7"/>
      <c r="HD141" s="7"/>
      <c r="HE141" s="7"/>
      <c r="HF141" s="7"/>
      <c r="HG141" s="7"/>
      <c r="HH141" s="7"/>
      <c r="HI141" s="7"/>
      <c r="HJ141" s="7"/>
      <c r="HK141" s="7"/>
      <c r="HL141" s="7"/>
      <c r="HM141" s="7"/>
      <c r="HN141" s="7"/>
      <c r="HO141" s="7"/>
      <c r="HP141" s="7"/>
      <c r="HQ141" s="7"/>
      <c r="HR141" s="7"/>
      <c r="HS141" s="7"/>
      <c r="HT141" s="7"/>
      <c r="HU141" s="7"/>
      <c r="HV141" s="7"/>
      <c r="HW141" s="7"/>
      <c r="HX141" s="7"/>
      <c r="HY141" s="7"/>
      <c r="HZ141" s="7"/>
      <c r="IA141" s="7"/>
      <c r="IB141" s="7"/>
      <c r="IC141" s="7"/>
      <c r="ID141" s="7"/>
      <c r="IE141" s="7"/>
      <c r="IF141" s="7"/>
      <c r="IG141" s="7"/>
      <c r="IH141" s="7"/>
      <c r="II141" s="7"/>
      <c r="IJ141" s="7"/>
      <c r="IK141" s="7"/>
      <c r="IL141" s="7"/>
      <c r="IM141" s="7"/>
      <c r="IN141" s="7"/>
      <c r="IO141" s="7"/>
      <c r="IP141" s="7"/>
      <c r="IQ141" s="7"/>
      <c r="IR141" s="7"/>
      <c r="IS141" s="7"/>
      <c r="IT141" s="7"/>
      <c r="IU141" s="7"/>
      <c r="IV141" s="7"/>
      <c r="IW141" s="7"/>
      <c r="IX141" s="7"/>
      <c r="IY141" s="11">
        <v>2</v>
      </c>
      <c r="IZ141" s="11">
        <f>(TEXT(K141,"[m]")/60)*VLOOKUP(IY141,'Income Person-hours'!A$2:C$5,3,FALSE)</f>
        <v>0</v>
      </c>
      <c r="JA141" s="113"/>
      <c r="JB141" s="113"/>
      <c r="JC141" s="113"/>
      <c r="JD141" s="66">
        <f>SUM((TEXT(JA141,"[M]")/60)*'Income Person-hours'!$D$3,(TEXT(JB141,"[M]")/60)*'Income Person-hours'!$D$4,(TEXT(JC141,"[M]")/60)*'Income Person-hours'!$D$5)</f>
        <v>0</v>
      </c>
    </row>
    <row r="142" spans="1:16382" s="11" customFormat="1" ht="11.25" hidden="1">
      <c r="A142" s="168">
        <v>6.7</v>
      </c>
      <c r="B142" s="116"/>
      <c r="C142" s="107"/>
      <c r="D142" s="12" t="str">
        <f>IF(OR(j_WEEKDAY(J_ADDDAY(VLOOKUP(I142,A:F,6,FALSE),H142,1),0)=6,SUMIFS(Holieday[ok],Holieday[date],J_ADDDAY(VLOOKUP(I142,A:F,6,FALSE),H142,1)))=FALSE(),J_ADDDAY(VLOOKUP(I142,A:F,6,FALSE),H142,1),IF(OR(j_WEEKDAY(J_ADDDAY(VLOOKUP(I142,A:F,6,FALSE),H142+1,1),0)=6,SUMIFS(Holieday[ok],Holieday[date],J_ADDDAY(VLOOKUP(I142,A:F,6,FALSE),H142+1,1)))=FALSE(),J_ADDDAY(VLOOKUP(I142,A:F,6,FALSE),H142+1,1),IF(OR(j_WEEKDAY(J_ADDDAY(VLOOKUP(I142,A:F,6,FALSE),H142+2,1),0)=6,SUMIFS(Holieday[ok],Holieday[date],J_ADDDAY(VLOOKUP(I142,A:F,6,FALSE),H142+2,1)))=FALSE(),J_ADDDAY(VLOOKUP(I142,A:F,6,FALSE),H142+2,1),IF(OR(j_WEEKDAY(J_ADDDAY(VLOOKUP(I142,A:F,6,FALSE),H142+3,1),0)=6,SUMIFS(Holieday[ok],Holieday[date],J_ADDDAY(VLOOKUP(I142,A:F,6,FALSE),H142+3,1)))=FALSE(),J_ADDDAY(VLOOKUP(I142,A:F,6,FALSE),H142+3,1),IF(OR(j_WEEKDAY(J_ADDDAY(VLOOKUP(I142,A:F,6,FALSE),H142+4,1),0)=6,SUMIFS(Holieday[ok],Holieday[date],J_ADDDAY(VLOOKUP(I142,A:F,6,FALSE),H142+4,1)))=FALSE(),J_ADDDAY(VLOOKUP(I142,A:F,6,FALSE),H142+4,1),J_ADDDAY(VLOOKUP(I142,A:F,6,FALSE),H142+5,1))))))</f>
        <v>1398/07/29</v>
      </c>
      <c r="E142" s="1">
        <f t="shared" si="42"/>
        <v>13980729</v>
      </c>
      <c r="F142" s="12" t="str">
        <f>IF(N142=0,J_SUBDAY(D142,1,1),IF((N142-NETWORKDAYS.INTL(J_GregorianDate(D142,1),J_GregorianDate(J_SUBDAY(J_ADDDAY(D142,N142,1),1,1),1),16,1)-SUMIFS(Holieday[ok],Holieday[date],CONCATENATE("&gt;","=",D142),Holieday[date],CONCATENATE("&lt;","=",J_SUBDAY(J_ADDDAY(D142,N142,1),1,1)))+SUMIFS(Holieday[Friday],Holieday[date],CONCATENATE("&gt;","=",D142),Holieday[date],CONCATENATE("&lt;","=",J_SUBDAY(J_ADDDAY(D142,N142,1),1,1))))=0,J_SUBDAY(J_ADDDAY(D142,N142,1),1,1),IF((N142-NETWORKDAYS.INTL(J_GregorianDate(D142,1),J_GregorianDate(J_SUBDAY(J_ADDDAY(D142,N142,1),1,1),1),16,1)-SUMIFS(Holieday[ok],Holieday[date],CONCATENATE("&gt;","=",D142),Holieday[date],CONCATENATE("&lt;","=",J_SUBDAY(J_ADDDAY(D142,N142,1),1,1)))+SUMIFS(Holieday[Friday],Holieday[date],CONCATENATE("&gt;","=",D142),Holieday[date],CONCATENATE("&lt;","=",J_SUBDAY(J_ADDDAY(D142,N142,1),1,1))))=1,J_SUBDAY(J_ADDDAY(D142,N142+1,1),1,1),IF((N142-NETWORKDAYS.INTL(J_GregorianDate(D142,1),J_GregorianDate(J_SUBDAY(J_ADDDAY(D142,N142,1),1,1),1),16,1)-SUMIFS(Holieday[ok],Holieday[date],CONCATENATE("&gt;","=",D142),Holieday[date],CONCATENATE("&lt;","=",J_SUBDAY(J_ADDDAY(D142,N142,1),1,1)))+SUMIFS(Holieday[Friday],Holieday[date],CONCATENATE("&gt;","=",D142),Holieday[date],CONCATENATE("&lt;","=",J_SUBDAY(J_ADDDAY(D142,N142,1),1,1))))=2,J_SUBDAY(J_ADDDAY(D142,N142+2,1),1,1),J_SUBDAY(J_ADDDAY(D142,N142+3,1),1,1)))))</f>
        <v>1398/07/28</v>
      </c>
      <c r="G142" s="2">
        <f t="shared" si="43"/>
        <v>13980728</v>
      </c>
      <c r="H142" s="109"/>
      <c r="I142" s="110">
        <v>6.3</v>
      </c>
      <c r="J142" s="9">
        <f>j_WEEKDAY(D142,2)</f>
        <v>2</v>
      </c>
      <c r="K142" s="21">
        <f t="shared" si="46"/>
        <v>0</v>
      </c>
      <c r="L142" s="8">
        <f t="shared" si="47"/>
        <v>0</v>
      </c>
      <c r="M142" s="111">
        <v>0</v>
      </c>
      <c r="N142" s="108">
        <v>0</v>
      </c>
      <c r="O142" s="10">
        <f t="shared" si="48"/>
        <v>0</v>
      </c>
      <c r="P142" s="10">
        <f>VALUE(J_normdate(J_ADDDAY($D142,$O142,1)))</f>
        <v>13980729</v>
      </c>
      <c r="Q142" s="9">
        <f t="shared" si="49"/>
        <v>0</v>
      </c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  <c r="BE142" s="7"/>
      <c r="BF142" s="7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BS142" s="7"/>
      <c r="BT142" s="7"/>
      <c r="BU142" s="7"/>
      <c r="BV142" s="7"/>
      <c r="BW142" s="7"/>
      <c r="BX142" s="7"/>
      <c r="BY142" s="7"/>
      <c r="BZ142" s="7"/>
      <c r="CA142" s="7"/>
      <c r="CB142" s="7"/>
      <c r="CC142" s="7"/>
      <c r="CD142" s="7"/>
      <c r="CE142" s="7"/>
      <c r="CF142" s="7"/>
      <c r="CG142" s="7"/>
      <c r="CH142" s="7"/>
      <c r="CI142" s="7"/>
      <c r="CJ142" s="7"/>
      <c r="CK142" s="7"/>
      <c r="CL142" s="7"/>
      <c r="CM142" s="7"/>
      <c r="CN142" s="7"/>
      <c r="CO142" s="7"/>
      <c r="CP142" s="7"/>
      <c r="CQ142" s="7"/>
      <c r="CR142" s="7"/>
      <c r="CS142" s="7"/>
      <c r="CT142" s="7"/>
      <c r="CU142" s="7"/>
      <c r="CV142" s="7"/>
      <c r="CW142" s="7"/>
      <c r="CX142" s="7"/>
      <c r="CY142" s="7"/>
      <c r="CZ142" s="7"/>
      <c r="DA142" s="7"/>
      <c r="DB142" s="7"/>
      <c r="DC142" s="7"/>
      <c r="DD142" s="7"/>
      <c r="DE142" s="7"/>
      <c r="DF142" s="7"/>
      <c r="DG142" s="7"/>
      <c r="DH142" s="7"/>
      <c r="DI142" s="7"/>
      <c r="DJ142" s="7"/>
      <c r="DK142" s="7"/>
      <c r="DL142" s="7"/>
      <c r="DM142" s="7"/>
      <c r="DN142" s="7"/>
      <c r="DO142" s="7"/>
      <c r="DP142" s="7"/>
      <c r="DQ142" s="7"/>
      <c r="DR142" s="7"/>
      <c r="DS142" s="7"/>
      <c r="DT142" s="7"/>
      <c r="DU142" s="7"/>
      <c r="DV142" s="7"/>
      <c r="DW142" s="7"/>
      <c r="DX142" s="7"/>
      <c r="DY142" s="7"/>
      <c r="DZ142" s="7"/>
      <c r="EA142" s="7"/>
      <c r="EB142" s="7"/>
      <c r="EC142" s="7"/>
      <c r="ED142" s="7"/>
      <c r="EE142" s="7"/>
      <c r="EF142" s="7"/>
      <c r="EG142" s="7"/>
      <c r="EH142" s="7"/>
      <c r="EI142" s="7"/>
      <c r="EJ142" s="7"/>
      <c r="EK142" s="7"/>
      <c r="EL142" s="7"/>
      <c r="EM142" s="7"/>
      <c r="EN142" s="7"/>
      <c r="EO142" s="7"/>
      <c r="EP142" s="7"/>
      <c r="EQ142" s="7"/>
      <c r="ER142" s="7"/>
      <c r="ES142" s="7"/>
      <c r="ET142" s="7"/>
      <c r="EU142" s="7"/>
      <c r="EV142" s="7"/>
      <c r="EW142" s="7"/>
      <c r="EX142" s="7"/>
      <c r="EY142" s="7"/>
      <c r="EZ142" s="7"/>
      <c r="FA142" s="7"/>
      <c r="FB142" s="7"/>
      <c r="FC142" s="7"/>
      <c r="FD142" s="7"/>
      <c r="FE142" s="7"/>
      <c r="FF142" s="7"/>
      <c r="FG142" s="7"/>
      <c r="FH142" s="7"/>
      <c r="FI142" s="7"/>
      <c r="FJ142" s="7"/>
      <c r="FK142" s="7"/>
      <c r="FL142" s="7"/>
      <c r="FM142" s="7"/>
      <c r="FN142" s="7"/>
      <c r="FO142" s="7"/>
      <c r="FP142" s="7"/>
      <c r="FQ142" s="7"/>
      <c r="FR142" s="7"/>
      <c r="FS142" s="7"/>
      <c r="FT142" s="7"/>
      <c r="FU142" s="7"/>
      <c r="FV142" s="7"/>
      <c r="FW142" s="7"/>
      <c r="FX142" s="7"/>
      <c r="FY142" s="7"/>
      <c r="FZ142" s="7"/>
      <c r="GA142" s="7"/>
      <c r="GB142" s="7"/>
      <c r="GC142" s="7"/>
      <c r="GD142" s="7"/>
      <c r="GE142" s="7"/>
      <c r="GF142" s="7"/>
      <c r="GG142" s="7"/>
      <c r="GH142" s="7"/>
      <c r="GI142" s="7"/>
      <c r="GJ142" s="7"/>
      <c r="GK142" s="7"/>
      <c r="GL142" s="7"/>
      <c r="GM142" s="7"/>
      <c r="GN142" s="7"/>
      <c r="GO142" s="7"/>
      <c r="GP142" s="7"/>
      <c r="GQ142" s="7"/>
      <c r="GR142" s="7"/>
      <c r="GS142" s="7"/>
      <c r="GT142" s="7"/>
      <c r="GU142" s="7"/>
      <c r="GV142" s="7"/>
      <c r="GW142" s="7"/>
      <c r="GX142" s="7"/>
      <c r="GY142" s="7"/>
      <c r="GZ142" s="7"/>
      <c r="HA142" s="7"/>
      <c r="HB142" s="7"/>
      <c r="HC142" s="7"/>
      <c r="HD142" s="7"/>
      <c r="HE142" s="7"/>
      <c r="HF142" s="7"/>
      <c r="HG142" s="7"/>
      <c r="HH142" s="7"/>
      <c r="HI142" s="7"/>
      <c r="HJ142" s="7"/>
      <c r="HK142" s="7"/>
      <c r="HL142" s="7"/>
      <c r="HM142" s="7"/>
      <c r="HN142" s="7"/>
      <c r="HO142" s="7"/>
      <c r="HP142" s="7"/>
      <c r="HQ142" s="7"/>
      <c r="HR142" s="7"/>
      <c r="HS142" s="7"/>
      <c r="HT142" s="7"/>
      <c r="HU142" s="7"/>
      <c r="HV142" s="7"/>
      <c r="HW142" s="7"/>
      <c r="HX142" s="7"/>
      <c r="HY142" s="7"/>
      <c r="HZ142" s="7"/>
      <c r="IA142" s="7"/>
      <c r="IB142" s="7"/>
      <c r="IC142" s="7"/>
      <c r="ID142" s="7"/>
      <c r="IE142" s="7"/>
      <c r="IF142" s="7"/>
      <c r="IG142" s="7"/>
      <c r="IH142" s="7"/>
      <c r="II142" s="7"/>
      <c r="IJ142" s="7"/>
      <c r="IK142" s="7"/>
      <c r="IL142" s="7"/>
      <c r="IM142" s="7"/>
      <c r="IN142" s="7"/>
      <c r="IO142" s="7"/>
      <c r="IP142" s="7"/>
      <c r="IQ142" s="7"/>
      <c r="IR142" s="7"/>
      <c r="IS142" s="7"/>
      <c r="IT142" s="7"/>
      <c r="IU142" s="7"/>
      <c r="IV142" s="7"/>
      <c r="IW142" s="7"/>
      <c r="IX142" s="7"/>
      <c r="IY142" s="11">
        <v>1</v>
      </c>
      <c r="IZ142" s="11">
        <f>(TEXT(K142,"[m]")/60)*VLOOKUP(IY142,'Income Person-hours'!A$2:C$5,3,FALSE)</f>
        <v>0</v>
      </c>
      <c r="JA142" s="113"/>
      <c r="JB142" s="113"/>
      <c r="JC142" s="113"/>
      <c r="JD142" s="66">
        <f>SUM((TEXT(JA142,"[M]")/60)*'Income Person-hours'!$D$3,(TEXT(JB142,"[M]")/60)*'Income Person-hours'!$D$4,(TEXT(JC142,"[M]")/60)*'Income Person-hours'!$D$5)</f>
        <v>0</v>
      </c>
    </row>
    <row r="143" spans="1:16382" s="11" customFormat="1" ht="11.25" hidden="1">
      <c r="A143" s="168">
        <v>6.8</v>
      </c>
      <c r="B143" s="116"/>
      <c r="C143" s="107"/>
      <c r="D143" s="12" t="str">
        <f>IF(OR(j_WEEKDAY(J_ADDDAY(VLOOKUP(I143,A:F,6,FALSE),H143,1),0)=6,SUMIFS(Holieday[ok],Holieday[date],J_ADDDAY(VLOOKUP(I143,A:F,6,FALSE),H143,1)))=FALSE(),J_ADDDAY(VLOOKUP(I143,A:F,6,FALSE),H143,1),IF(OR(j_WEEKDAY(J_ADDDAY(VLOOKUP(I143,A:F,6,FALSE),H143+1,1),0)=6,SUMIFS(Holieday[ok],Holieday[date],J_ADDDAY(VLOOKUP(I143,A:F,6,FALSE),H143+1,1)))=FALSE(),J_ADDDAY(VLOOKUP(I143,A:F,6,FALSE),H143+1,1),IF(OR(j_WEEKDAY(J_ADDDAY(VLOOKUP(I143,A:F,6,FALSE),H143+2,1),0)=6,SUMIFS(Holieday[ok],Holieday[date],J_ADDDAY(VLOOKUP(I143,A:F,6,FALSE),H143+2,1)))=FALSE(),J_ADDDAY(VLOOKUP(I143,A:F,6,FALSE),H143+2,1),IF(OR(j_WEEKDAY(J_ADDDAY(VLOOKUP(I143,A:F,6,FALSE),H143+3,1),0)=6,SUMIFS(Holieday[ok],Holieday[date],J_ADDDAY(VLOOKUP(I143,A:F,6,FALSE),H143+3,1)))=FALSE(),J_ADDDAY(VLOOKUP(I143,A:F,6,FALSE),H143+3,1),IF(OR(j_WEEKDAY(J_ADDDAY(VLOOKUP(I143,A:F,6,FALSE),H143+4,1),0)=6,SUMIFS(Holieday[ok],Holieday[date],J_ADDDAY(VLOOKUP(I143,A:F,6,FALSE),H143+4,1)))=FALSE(),J_ADDDAY(VLOOKUP(I143,A:F,6,FALSE),H143+4,1),J_ADDDAY(VLOOKUP(I143,A:F,6,FALSE),H143+5,1))))))</f>
        <v>1398/07/29</v>
      </c>
      <c r="E143" s="1">
        <f t="shared" si="42"/>
        <v>13980729</v>
      </c>
      <c r="F143" s="12" t="str">
        <f>IF(N143=0,J_SUBDAY(D143,1,1),IF((N143-NETWORKDAYS.INTL(J_GregorianDate(D143,1),J_GregorianDate(J_SUBDAY(J_ADDDAY(D143,N143,1),1,1),1),16,1)-SUMIFS(Holieday[ok],Holieday[date],CONCATENATE("&gt;","=",D143),Holieday[date],CONCATENATE("&lt;","=",J_SUBDAY(J_ADDDAY(D143,N143,1),1,1)))+SUMIFS(Holieday[Friday],Holieday[date],CONCATENATE("&gt;","=",D143),Holieday[date],CONCATENATE("&lt;","=",J_SUBDAY(J_ADDDAY(D143,N143,1),1,1))))=0,J_SUBDAY(J_ADDDAY(D143,N143,1),1,1),IF((N143-NETWORKDAYS.INTL(J_GregorianDate(D143,1),J_GregorianDate(J_SUBDAY(J_ADDDAY(D143,N143,1),1,1),1),16,1)-SUMIFS(Holieday[ok],Holieday[date],CONCATENATE("&gt;","=",D143),Holieday[date],CONCATENATE("&lt;","=",J_SUBDAY(J_ADDDAY(D143,N143,1),1,1)))+SUMIFS(Holieday[Friday],Holieday[date],CONCATENATE("&gt;","=",D143),Holieday[date],CONCATENATE("&lt;","=",J_SUBDAY(J_ADDDAY(D143,N143,1),1,1))))=1,J_SUBDAY(J_ADDDAY(D143,N143+1,1),1,1),IF((N143-NETWORKDAYS.INTL(J_GregorianDate(D143,1),J_GregorianDate(J_SUBDAY(J_ADDDAY(D143,N143,1),1,1),1),16,1)-SUMIFS(Holieday[ok],Holieday[date],CONCATENATE("&gt;","=",D143),Holieday[date],CONCATENATE("&lt;","=",J_SUBDAY(J_ADDDAY(D143,N143,1),1,1)))+SUMIFS(Holieday[Friday],Holieday[date],CONCATENATE("&gt;","=",D143),Holieday[date],CONCATENATE("&lt;","=",J_SUBDAY(J_ADDDAY(D143,N143,1),1,1))))=2,J_SUBDAY(J_ADDDAY(D143,N143+2,1),1,1),J_SUBDAY(J_ADDDAY(D143,N143+3,1),1,1)))))</f>
        <v>1398/07/28</v>
      </c>
      <c r="G143" s="2">
        <f t="shared" si="43"/>
        <v>13980728</v>
      </c>
      <c r="H143" s="109"/>
      <c r="I143" s="110">
        <v>6.3</v>
      </c>
      <c r="J143" s="9">
        <f>j_WEEKDAY(D143,2)</f>
        <v>2</v>
      </c>
      <c r="K143" s="21">
        <f t="shared" si="46"/>
        <v>0</v>
      </c>
      <c r="L143" s="8">
        <f t="shared" si="47"/>
        <v>0</v>
      </c>
      <c r="M143" s="111">
        <v>0</v>
      </c>
      <c r="N143" s="108">
        <v>0</v>
      </c>
      <c r="O143" s="10">
        <f t="shared" si="48"/>
        <v>0</v>
      </c>
      <c r="P143" s="10">
        <f>VALUE(J_normdate(J_ADDDAY($D143,$O143,1)))</f>
        <v>13980729</v>
      </c>
      <c r="Q143" s="9">
        <f t="shared" si="49"/>
        <v>0</v>
      </c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  <c r="BE143" s="7"/>
      <c r="BF143" s="7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7"/>
      <c r="BV143" s="7"/>
      <c r="BW143" s="7"/>
      <c r="BX143" s="7"/>
      <c r="BY143" s="7"/>
      <c r="BZ143" s="7"/>
      <c r="CA143" s="7"/>
      <c r="CB143" s="7"/>
      <c r="CC143" s="7"/>
      <c r="CD143" s="7"/>
      <c r="CE143" s="7"/>
      <c r="CF143" s="7"/>
      <c r="CG143" s="7"/>
      <c r="CH143" s="7"/>
      <c r="CI143" s="7"/>
      <c r="CJ143" s="7"/>
      <c r="CK143" s="7"/>
      <c r="CL143" s="7"/>
      <c r="CM143" s="7"/>
      <c r="CN143" s="7"/>
      <c r="CO143" s="7"/>
      <c r="CP143" s="7"/>
      <c r="CQ143" s="7"/>
      <c r="CR143" s="7"/>
      <c r="CS143" s="7"/>
      <c r="CT143" s="7"/>
      <c r="CU143" s="7"/>
      <c r="CV143" s="7"/>
      <c r="CW143" s="7"/>
      <c r="CX143" s="7"/>
      <c r="CY143" s="7"/>
      <c r="CZ143" s="7"/>
      <c r="DA143" s="7"/>
      <c r="DB143" s="7"/>
      <c r="DC143" s="7"/>
      <c r="DD143" s="7"/>
      <c r="DE143" s="7"/>
      <c r="DF143" s="7"/>
      <c r="DG143" s="7"/>
      <c r="DH143" s="7"/>
      <c r="DI143" s="7"/>
      <c r="DJ143" s="7"/>
      <c r="DK143" s="7"/>
      <c r="DL143" s="7"/>
      <c r="DM143" s="7"/>
      <c r="DN143" s="7"/>
      <c r="DO143" s="7"/>
      <c r="DP143" s="7"/>
      <c r="DQ143" s="7"/>
      <c r="DR143" s="7"/>
      <c r="DS143" s="7"/>
      <c r="DT143" s="7"/>
      <c r="DU143" s="7"/>
      <c r="DV143" s="7"/>
      <c r="DW143" s="7"/>
      <c r="DX143" s="7"/>
      <c r="DY143" s="7"/>
      <c r="DZ143" s="7"/>
      <c r="EA143" s="7"/>
      <c r="EB143" s="7"/>
      <c r="EC143" s="7"/>
      <c r="ED143" s="7"/>
      <c r="EE143" s="7"/>
      <c r="EF143" s="7"/>
      <c r="EG143" s="7"/>
      <c r="EH143" s="7"/>
      <c r="EI143" s="7"/>
      <c r="EJ143" s="7"/>
      <c r="EK143" s="7"/>
      <c r="EL143" s="7"/>
      <c r="EM143" s="7"/>
      <c r="EN143" s="7"/>
      <c r="EO143" s="7"/>
      <c r="EP143" s="7"/>
      <c r="EQ143" s="7"/>
      <c r="ER143" s="7"/>
      <c r="ES143" s="7"/>
      <c r="ET143" s="7"/>
      <c r="EU143" s="7"/>
      <c r="EV143" s="7"/>
      <c r="EW143" s="7"/>
      <c r="EX143" s="7"/>
      <c r="EY143" s="7"/>
      <c r="EZ143" s="7"/>
      <c r="FA143" s="7"/>
      <c r="FB143" s="7"/>
      <c r="FC143" s="7"/>
      <c r="FD143" s="7"/>
      <c r="FE143" s="7"/>
      <c r="FF143" s="7"/>
      <c r="FG143" s="7"/>
      <c r="FH143" s="7"/>
      <c r="FI143" s="7"/>
      <c r="FJ143" s="7"/>
      <c r="FK143" s="7"/>
      <c r="FL143" s="7"/>
      <c r="FM143" s="7"/>
      <c r="FN143" s="7"/>
      <c r="FO143" s="7"/>
      <c r="FP143" s="7"/>
      <c r="FQ143" s="7"/>
      <c r="FR143" s="7"/>
      <c r="FS143" s="7"/>
      <c r="FT143" s="7"/>
      <c r="FU143" s="7"/>
      <c r="FV143" s="7"/>
      <c r="FW143" s="7"/>
      <c r="FX143" s="7"/>
      <c r="FY143" s="7"/>
      <c r="FZ143" s="7"/>
      <c r="GA143" s="7"/>
      <c r="GB143" s="7"/>
      <c r="GC143" s="7"/>
      <c r="GD143" s="7"/>
      <c r="GE143" s="7"/>
      <c r="GF143" s="7"/>
      <c r="GG143" s="7"/>
      <c r="GH143" s="7"/>
      <c r="GI143" s="7"/>
      <c r="GJ143" s="7"/>
      <c r="GK143" s="7"/>
      <c r="GL143" s="7"/>
      <c r="GM143" s="7"/>
      <c r="GN143" s="7"/>
      <c r="GO143" s="7"/>
      <c r="GP143" s="7"/>
      <c r="GQ143" s="7"/>
      <c r="GR143" s="7"/>
      <c r="GS143" s="7"/>
      <c r="GT143" s="7"/>
      <c r="GU143" s="7"/>
      <c r="GV143" s="7"/>
      <c r="GW143" s="7"/>
      <c r="GX143" s="7"/>
      <c r="GY143" s="7"/>
      <c r="GZ143" s="7"/>
      <c r="HA143" s="7"/>
      <c r="HB143" s="7"/>
      <c r="HC143" s="7"/>
      <c r="HD143" s="7"/>
      <c r="HE143" s="7"/>
      <c r="HF143" s="7"/>
      <c r="HG143" s="7"/>
      <c r="HH143" s="7"/>
      <c r="HI143" s="7"/>
      <c r="HJ143" s="7"/>
      <c r="HK143" s="7"/>
      <c r="HL143" s="7"/>
      <c r="HM143" s="7"/>
      <c r="HN143" s="7"/>
      <c r="HO143" s="7"/>
      <c r="HP143" s="7"/>
      <c r="HQ143" s="7"/>
      <c r="HR143" s="7"/>
      <c r="HS143" s="7"/>
      <c r="HT143" s="7"/>
      <c r="HU143" s="7"/>
      <c r="HV143" s="7"/>
      <c r="HW143" s="7"/>
      <c r="HX143" s="7"/>
      <c r="HY143" s="7"/>
      <c r="HZ143" s="7"/>
      <c r="IA143" s="7"/>
      <c r="IB143" s="7"/>
      <c r="IC143" s="7"/>
      <c r="ID143" s="7"/>
      <c r="IE143" s="7"/>
      <c r="IF143" s="7"/>
      <c r="IG143" s="7"/>
      <c r="IH143" s="7"/>
      <c r="II143" s="7"/>
      <c r="IJ143" s="7"/>
      <c r="IK143" s="7"/>
      <c r="IL143" s="7"/>
      <c r="IM143" s="7"/>
      <c r="IN143" s="7"/>
      <c r="IO143" s="7"/>
      <c r="IP143" s="7"/>
      <c r="IQ143" s="7"/>
      <c r="IR143" s="7"/>
      <c r="IS143" s="7"/>
      <c r="IT143" s="7"/>
      <c r="IU143" s="7"/>
      <c r="IV143" s="7"/>
      <c r="IW143" s="7"/>
      <c r="IX143" s="7"/>
      <c r="IY143" s="11">
        <v>2</v>
      </c>
      <c r="IZ143" s="11">
        <f>(TEXT(K143,"[m]")/60)*VLOOKUP(IY143,'Income Person-hours'!A$2:C$5,3,FALSE)</f>
        <v>0</v>
      </c>
      <c r="JA143" s="113"/>
      <c r="JB143" s="113"/>
      <c r="JC143" s="113"/>
      <c r="JD143" s="66">
        <f>SUM((TEXT(JA143,"[M]")/60)*'Income Person-hours'!$D$3,(TEXT(JB143,"[M]")/60)*'Income Person-hours'!$D$4,(TEXT(JC143,"[M]")/60)*'Income Person-hours'!$D$5)</f>
        <v>0</v>
      </c>
    </row>
    <row r="144" spans="1:16382" s="11" customFormat="1" ht="11.25" hidden="1">
      <c r="A144" s="168">
        <v>6.9</v>
      </c>
      <c r="B144" s="116"/>
      <c r="C144" s="107"/>
      <c r="D144" s="12" t="str">
        <f>IF(OR(j_WEEKDAY(J_ADDDAY(VLOOKUP(I144,A:F,6,FALSE),H144,1),0)=6,SUMIFS(Holieday[ok],Holieday[date],J_ADDDAY(VLOOKUP(I144,A:F,6,FALSE),H144,1)))=FALSE(),J_ADDDAY(VLOOKUP(I144,A:F,6,FALSE),H144,1),IF(OR(j_WEEKDAY(J_ADDDAY(VLOOKUP(I144,A:F,6,FALSE),H144+1,1),0)=6,SUMIFS(Holieday[ok],Holieday[date],J_ADDDAY(VLOOKUP(I144,A:F,6,FALSE),H144+1,1)))=FALSE(),J_ADDDAY(VLOOKUP(I144,A:F,6,FALSE),H144+1,1),IF(OR(j_WEEKDAY(J_ADDDAY(VLOOKUP(I144,A:F,6,FALSE),H144+2,1),0)=6,SUMIFS(Holieday[ok],Holieday[date],J_ADDDAY(VLOOKUP(I144,A:F,6,FALSE),H144+2,1)))=FALSE(),J_ADDDAY(VLOOKUP(I144,A:F,6,FALSE),H144+2,1),IF(OR(j_WEEKDAY(J_ADDDAY(VLOOKUP(I144,A:F,6,FALSE),H144+3,1),0)=6,SUMIFS(Holieday[ok],Holieday[date],J_ADDDAY(VLOOKUP(I144,A:F,6,FALSE),H144+3,1)))=FALSE(),J_ADDDAY(VLOOKUP(I144,A:F,6,FALSE),H144+3,1),IF(OR(j_WEEKDAY(J_ADDDAY(VLOOKUP(I144,A:F,6,FALSE),H144+4,1),0)=6,SUMIFS(Holieday[ok],Holieday[date],J_ADDDAY(VLOOKUP(I144,A:F,6,FALSE),H144+4,1)))=FALSE(),J_ADDDAY(VLOOKUP(I144,A:F,6,FALSE),H144+4,1),J_ADDDAY(VLOOKUP(I144,A:F,6,FALSE),H144+5,1))))))</f>
        <v>1398/07/29</v>
      </c>
      <c r="E144" s="1">
        <f t="shared" si="42"/>
        <v>13980729</v>
      </c>
      <c r="F144" s="12" t="str">
        <f>IF(N144=0,J_SUBDAY(D144,1,1),IF((N144-NETWORKDAYS.INTL(J_GregorianDate(D144,1),J_GregorianDate(J_SUBDAY(J_ADDDAY(D144,N144,1),1,1),1),16,1)-SUMIFS(Holieday[ok],Holieday[date],CONCATENATE("&gt;","=",D144),Holieday[date],CONCATENATE("&lt;","=",J_SUBDAY(J_ADDDAY(D144,N144,1),1,1)))+SUMIFS(Holieday[Friday],Holieday[date],CONCATENATE("&gt;","=",D144),Holieday[date],CONCATENATE("&lt;","=",J_SUBDAY(J_ADDDAY(D144,N144,1),1,1))))=0,J_SUBDAY(J_ADDDAY(D144,N144,1),1,1),IF((N144-NETWORKDAYS.INTL(J_GregorianDate(D144,1),J_GregorianDate(J_SUBDAY(J_ADDDAY(D144,N144,1),1,1),1),16,1)-SUMIFS(Holieday[ok],Holieday[date],CONCATENATE("&gt;","=",D144),Holieday[date],CONCATENATE("&lt;","=",J_SUBDAY(J_ADDDAY(D144,N144,1),1,1)))+SUMIFS(Holieday[Friday],Holieday[date],CONCATENATE("&gt;","=",D144),Holieday[date],CONCATENATE("&lt;","=",J_SUBDAY(J_ADDDAY(D144,N144,1),1,1))))=1,J_SUBDAY(J_ADDDAY(D144,N144+1,1),1,1),IF((N144-NETWORKDAYS.INTL(J_GregorianDate(D144,1),J_GregorianDate(J_SUBDAY(J_ADDDAY(D144,N144,1),1,1),1),16,1)-SUMIFS(Holieday[ok],Holieday[date],CONCATENATE("&gt;","=",D144),Holieday[date],CONCATENATE("&lt;","=",J_SUBDAY(J_ADDDAY(D144,N144,1),1,1)))+SUMIFS(Holieday[Friday],Holieday[date],CONCATENATE("&gt;","=",D144),Holieday[date],CONCATENATE("&lt;","=",J_SUBDAY(J_ADDDAY(D144,N144,1),1,1))))=2,J_SUBDAY(J_ADDDAY(D144,N144+2,1),1,1),J_SUBDAY(J_ADDDAY(D144,N144+3,1),1,1)))))</f>
        <v>1398/07/28</v>
      </c>
      <c r="G144" s="2">
        <f t="shared" si="43"/>
        <v>13980728</v>
      </c>
      <c r="H144" s="109"/>
      <c r="I144" s="110">
        <v>6.3</v>
      </c>
      <c r="J144" s="9">
        <f>j_WEEKDAY(D144,2)</f>
        <v>2</v>
      </c>
      <c r="K144" s="21">
        <f t="shared" si="46"/>
        <v>0</v>
      </c>
      <c r="L144" s="8">
        <f t="shared" si="47"/>
        <v>0</v>
      </c>
      <c r="M144" s="111">
        <v>0</v>
      </c>
      <c r="N144" s="108">
        <v>0</v>
      </c>
      <c r="O144" s="10">
        <f t="shared" si="48"/>
        <v>0</v>
      </c>
      <c r="P144" s="10">
        <f>VALUE(J_normdate(J_ADDDAY($D144,$O144,1)))</f>
        <v>13980729</v>
      </c>
      <c r="Q144" s="9">
        <f t="shared" si="49"/>
        <v>0</v>
      </c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  <c r="BB144" s="7"/>
      <c r="BC144" s="7"/>
      <c r="BD144" s="7"/>
      <c r="BE144" s="7"/>
      <c r="BF144" s="7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7"/>
      <c r="BV144" s="7"/>
      <c r="BW144" s="7"/>
      <c r="BX144" s="7"/>
      <c r="BY144" s="7"/>
      <c r="BZ144" s="7"/>
      <c r="CA144" s="7"/>
      <c r="CB144" s="7"/>
      <c r="CC144" s="7"/>
      <c r="CD144" s="7"/>
      <c r="CE144" s="7"/>
      <c r="CF144" s="7"/>
      <c r="CG144" s="7"/>
      <c r="CH144" s="7"/>
      <c r="CI144" s="7"/>
      <c r="CJ144" s="7"/>
      <c r="CK144" s="7"/>
      <c r="CL144" s="7"/>
      <c r="CM144" s="7"/>
      <c r="CN144" s="7"/>
      <c r="CO144" s="7"/>
      <c r="CP144" s="7"/>
      <c r="CQ144" s="7"/>
      <c r="CR144" s="7"/>
      <c r="CS144" s="7"/>
      <c r="CT144" s="7"/>
      <c r="CU144" s="7"/>
      <c r="CV144" s="7"/>
      <c r="CW144" s="7"/>
      <c r="CX144" s="7"/>
      <c r="CY144" s="7"/>
      <c r="CZ144" s="7"/>
      <c r="DA144" s="7"/>
      <c r="DB144" s="7"/>
      <c r="DC144" s="7"/>
      <c r="DD144" s="7"/>
      <c r="DE144" s="7"/>
      <c r="DF144" s="7"/>
      <c r="DG144" s="7"/>
      <c r="DH144" s="7"/>
      <c r="DI144" s="7"/>
      <c r="DJ144" s="7"/>
      <c r="DK144" s="7"/>
      <c r="DL144" s="7"/>
      <c r="DM144" s="7"/>
      <c r="DN144" s="7"/>
      <c r="DO144" s="7"/>
      <c r="DP144" s="7"/>
      <c r="DQ144" s="7"/>
      <c r="DR144" s="7"/>
      <c r="DS144" s="7"/>
      <c r="DT144" s="7"/>
      <c r="DU144" s="7"/>
      <c r="DV144" s="7"/>
      <c r="DW144" s="7"/>
      <c r="DX144" s="7"/>
      <c r="DY144" s="7"/>
      <c r="DZ144" s="7"/>
      <c r="EA144" s="7"/>
      <c r="EB144" s="7"/>
      <c r="EC144" s="7"/>
      <c r="ED144" s="7"/>
      <c r="EE144" s="7"/>
      <c r="EF144" s="7"/>
      <c r="EG144" s="7"/>
      <c r="EH144" s="7"/>
      <c r="EI144" s="7"/>
      <c r="EJ144" s="7"/>
      <c r="EK144" s="7"/>
      <c r="EL144" s="7"/>
      <c r="EM144" s="7"/>
      <c r="EN144" s="7"/>
      <c r="EO144" s="7"/>
      <c r="EP144" s="7"/>
      <c r="EQ144" s="7"/>
      <c r="ER144" s="7"/>
      <c r="ES144" s="7"/>
      <c r="ET144" s="7"/>
      <c r="EU144" s="7"/>
      <c r="EV144" s="7"/>
      <c r="EW144" s="7"/>
      <c r="EX144" s="7"/>
      <c r="EY144" s="7"/>
      <c r="EZ144" s="7"/>
      <c r="FA144" s="7"/>
      <c r="FB144" s="7"/>
      <c r="FC144" s="7"/>
      <c r="FD144" s="7"/>
      <c r="FE144" s="7"/>
      <c r="FF144" s="7"/>
      <c r="FG144" s="7"/>
      <c r="FH144" s="7"/>
      <c r="FI144" s="7"/>
      <c r="FJ144" s="7"/>
      <c r="FK144" s="7"/>
      <c r="FL144" s="7"/>
      <c r="FM144" s="7"/>
      <c r="FN144" s="7"/>
      <c r="FO144" s="7"/>
      <c r="FP144" s="7"/>
      <c r="FQ144" s="7"/>
      <c r="FR144" s="7"/>
      <c r="FS144" s="7"/>
      <c r="FT144" s="7"/>
      <c r="FU144" s="7"/>
      <c r="FV144" s="7"/>
      <c r="FW144" s="7"/>
      <c r="FX144" s="7"/>
      <c r="FY144" s="7"/>
      <c r="FZ144" s="7"/>
      <c r="GA144" s="7"/>
      <c r="GB144" s="7"/>
      <c r="GC144" s="7"/>
      <c r="GD144" s="7"/>
      <c r="GE144" s="7"/>
      <c r="GF144" s="7"/>
      <c r="GG144" s="7"/>
      <c r="GH144" s="7"/>
      <c r="GI144" s="7"/>
      <c r="GJ144" s="7"/>
      <c r="GK144" s="7"/>
      <c r="GL144" s="7"/>
      <c r="GM144" s="7"/>
      <c r="GN144" s="7"/>
      <c r="GO144" s="7"/>
      <c r="GP144" s="7"/>
      <c r="GQ144" s="7"/>
      <c r="GR144" s="7"/>
      <c r="GS144" s="7"/>
      <c r="GT144" s="7"/>
      <c r="GU144" s="7"/>
      <c r="GV144" s="7"/>
      <c r="GW144" s="7"/>
      <c r="GX144" s="7"/>
      <c r="GY144" s="7"/>
      <c r="GZ144" s="7"/>
      <c r="HA144" s="7"/>
      <c r="HB144" s="7"/>
      <c r="HC144" s="7"/>
      <c r="HD144" s="7"/>
      <c r="HE144" s="7"/>
      <c r="HF144" s="7"/>
      <c r="HG144" s="7"/>
      <c r="HH144" s="7"/>
      <c r="HI144" s="7"/>
      <c r="HJ144" s="7"/>
      <c r="HK144" s="7"/>
      <c r="HL144" s="7"/>
      <c r="HM144" s="7"/>
      <c r="HN144" s="7"/>
      <c r="HO144" s="7"/>
      <c r="HP144" s="7"/>
      <c r="HQ144" s="7"/>
      <c r="HR144" s="7"/>
      <c r="HS144" s="7"/>
      <c r="HT144" s="7"/>
      <c r="HU144" s="7"/>
      <c r="HV144" s="7"/>
      <c r="HW144" s="7"/>
      <c r="HX144" s="7"/>
      <c r="HY144" s="7"/>
      <c r="HZ144" s="7"/>
      <c r="IA144" s="7"/>
      <c r="IB144" s="7"/>
      <c r="IC144" s="7"/>
      <c r="ID144" s="7"/>
      <c r="IE144" s="7"/>
      <c r="IF144" s="7"/>
      <c r="IG144" s="7"/>
      <c r="IH144" s="7"/>
      <c r="II144" s="7"/>
      <c r="IJ144" s="7"/>
      <c r="IK144" s="7"/>
      <c r="IL144" s="7"/>
      <c r="IM144" s="7"/>
      <c r="IN144" s="7"/>
      <c r="IO144" s="7"/>
      <c r="IP144" s="7"/>
      <c r="IQ144" s="7"/>
      <c r="IR144" s="7"/>
      <c r="IS144" s="7"/>
      <c r="IT144" s="7"/>
      <c r="IU144" s="7"/>
      <c r="IV144" s="7"/>
      <c r="IW144" s="7"/>
      <c r="IX144" s="7"/>
      <c r="JA144" s="113"/>
      <c r="JB144" s="113"/>
      <c r="JC144" s="113"/>
      <c r="JD144" s="66">
        <f>SUM((TEXT(JA144,"[M]")/60)*'Income Person-hours'!$D$3,(TEXT(JB144,"[M]")/60)*'Income Person-hours'!$D$4,(TEXT(JC144,"[M]")/60)*'Income Person-hours'!$D$5)</f>
        <v>0</v>
      </c>
    </row>
    <row r="145" spans="1:264 16383:16384" s="11" customFormat="1" ht="11.25" hidden="1">
      <c r="A145" s="30">
        <v>6.11</v>
      </c>
      <c r="B145" s="116"/>
      <c r="C145" s="107"/>
      <c r="D145" s="12" t="str">
        <f>IF(OR(j_WEEKDAY(J_ADDDAY(VLOOKUP(I145,A:F,6,FALSE),H145,1),0)=6,SUMIFS(Holieday[ok],Holieday[date],J_ADDDAY(VLOOKUP(I145,A:F,6,FALSE),H145,1)))=FALSE(),J_ADDDAY(VLOOKUP(I145,A:F,6,FALSE),H145,1),IF(OR(j_WEEKDAY(J_ADDDAY(VLOOKUP(I145,A:F,6,FALSE),H145+1,1),0)=6,SUMIFS(Holieday[ok],Holieday[date],J_ADDDAY(VLOOKUP(I145,A:F,6,FALSE),H145+1,1)))=FALSE(),J_ADDDAY(VLOOKUP(I145,A:F,6,FALSE),H145+1,1),IF(OR(j_WEEKDAY(J_ADDDAY(VLOOKUP(I145,A:F,6,FALSE),H145+2,1),0)=6,SUMIFS(Holieday[ok],Holieday[date],J_ADDDAY(VLOOKUP(I145,A:F,6,FALSE),H145+2,1)))=FALSE(),J_ADDDAY(VLOOKUP(I145,A:F,6,FALSE),H145+2,1),IF(OR(j_WEEKDAY(J_ADDDAY(VLOOKUP(I145,A:F,6,FALSE),H145+3,1),0)=6,SUMIFS(Holieday[ok],Holieday[date],J_ADDDAY(VLOOKUP(I145,A:F,6,FALSE),H145+3,1)))=FALSE(),J_ADDDAY(VLOOKUP(I145,A:F,6,FALSE),H145+3,1),IF(OR(j_WEEKDAY(J_ADDDAY(VLOOKUP(I145,A:F,6,FALSE),H145+4,1),0)=6,SUMIFS(Holieday[ok],Holieday[date],J_ADDDAY(VLOOKUP(I145,A:F,6,FALSE),H145+4,1)))=FALSE(),J_ADDDAY(VLOOKUP(I145,A:F,6,FALSE),H145+4,1),J_ADDDAY(VLOOKUP(I145,A:F,6,FALSE),H145+5,1))))))</f>
        <v>1398/07/29</v>
      </c>
      <c r="E145" s="1">
        <f t="shared" si="42"/>
        <v>13980729</v>
      </c>
      <c r="F145" s="12" t="str">
        <f>IF(N145=0,J_SUBDAY(D145,1,1),IF((N145-NETWORKDAYS.INTL(J_GregorianDate(D145,1),J_GregorianDate(J_SUBDAY(J_ADDDAY(D145,N145,1),1,1),1),16,1)-SUMIFS(Holieday[ok],Holieday[date],CONCATENATE("&gt;","=",D145),Holieday[date],CONCATENATE("&lt;","=",J_SUBDAY(J_ADDDAY(D145,N145,1),1,1)))+SUMIFS(Holieday[Friday],Holieday[date],CONCATENATE("&gt;","=",D145),Holieday[date],CONCATENATE("&lt;","=",J_SUBDAY(J_ADDDAY(D145,N145,1),1,1))))=0,J_SUBDAY(J_ADDDAY(D145,N145,1),1,1),IF((N145-NETWORKDAYS.INTL(J_GregorianDate(D145,1),J_GregorianDate(J_SUBDAY(J_ADDDAY(D145,N145,1),1,1),1),16,1)-SUMIFS(Holieday[ok],Holieday[date],CONCATENATE("&gt;","=",D145),Holieday[date],CONCATENATE("&lt;","=",J_SUBDAY(J_ADDDAY(D145,N145,1),1,1)))+SUMIFS(Holieday[Friday],Holieday[date],CONCATENATE("&gt;","=",D145),Holieday[date],CONCATENATE("&lt;","=",J_SUBDAY(J_ADDDAY(D145,N145,1),1,1))))=1,J_SUBDAY(J_ADDDAY(D145,N145+1,1),1,1),IF((N145-NETWORKDAYS.INTL(J_GregorianDate(D145,1),J_GregorianDate(J_SUBDAY(J_ADDDAY(D145,N145,1),1,1),1),16,1)-SUMIFS(Holieday[ok],Holieday[date],CONCATENATE("&gt;","=",D145),Holieday[date],CONCATENATE("&lt;","=",J_SUBDAY(J_ADDDAY(D145,N145,1),1,1)))+SUMIFS(Holieday[Friday],Holieday[date],CONCATENATE("&gt;","=",D145),Holieday[date],CONCATENATE("&lt;","=",J_SUBDAY(J_ADDDAY(D145,N145,1),1,1))))=2,J_SUBDAY(J_ADDDAY(D145,N145+2,1),1,1),J_SUBDAY(J_ADDDAY(D145,N145+3,1),1,1)))))</f>
        <v>1398/07/28</v>
      </c>
      <c r="G145" s="2">
        <f t="shared" si="43"/>
        <v>13980728</v>
      </c>
      <c r="H145" s="109"/>
      <c r="I145" s="110">
        <v>6.3</v>
      </c>
      <c r="J145" s="9">
        <f>j_WEEKDAY(D145,2)</f>
        <v>2</v>
      </c>
      <c r="K145" s="21">
        <f t="shared" si="46"/>
        <v>0</v>
      </c>
      <c r="L145" s="8">
        <f t="shared" si="47"/>
        <v>0</v>
      </c>
      <c r="M145" s="111">
        <v>0</v>
      </c>
      <c r="N145" s="108">
        <v>0</v>
      </c>
      <c r="O145" s="10">
        <f t="shared" si="48"/>
        <v>0</v>
      </c>
      <c r="P145" s="10">
        <f>VALUE(J_normdate(J_ADDDAY($D145,$O145,1)))</f>
        <v>13980729</v>
      </c>
      <c r="Q145" s="9">
        <f t="shared" si="49"/>
        <v>0</v>
      </c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  <c r="BE145" s="7"/>
      <c r="BF145" s="7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7"/>
      <c r="BV145" s="7"/>
      <c r="BW145" s="7"/>
      <c r="BX145" s="7"/>
      <c r="BY145" s="7"/>
      <c r="BZ145" s="7"/>
      <c r="CA145" s="7"/>
      <c r="CB145" s="7"/>
      <c r="CC145" s="7"/>
      <c r="CD145" s="7"/>
      <c r="CE145" s="7"/>
      <c r="CF145" s="7"/>
      <c r="CG145" s="7"/>
      <c r="CH145" s="7"/>
      <c r="CI145" s="7"/>
      <c r="CJ145" s="7"/>
      <c r="CK145" s="7"/>
      <c r="CL145" s="7"/>
      <c r="CM145" s="7"/>
      <c r="CN145" s="7"/>
      <c r="CO145" s="7"/>
      <c r="CP145" s="7"/>
      <c r="CQ145" s="7"/>
      <c r="CR145" s="7"/>
      <c r="CS145" s="7"/>
      <c r="CT145" s="7"/>
      <c r="CU145" s="7"/>
      <c r="CV145" s="7"/>
      <c r="CW145" s="7"/>
      <c r="CX145" s="7"/>
      <c r="CY145" s="7"/>
      <c r="CZ145" s="7"/>
      <c r="DA145" s="7"/>
      <c r="DB145" s="7"/>
      <c r="DC145" s="7"/>
      <c r="DD145" s="7"/>
      <c r="DE145" s="7"/>
      <c r="DF145" s="7"/>
      <c r="DG145" s="7"/>
      <c r="DH145" s="7"/>
      <c r="DI145" s="7"/>
      <c r="DJ145" s="7"/>
      <c r="DK145" s="7"/>
      <c r="DL145" s="7"/>
      <c r="DM145" s="7"/>
      <c r="DN145" s="7"/>
      <c r="DO145" s="7"/>
      <c r="DP145" s="7"/>
      <c r="DQ145" s="7"/>
      <c r="DR145" s="7"/>
      <c r="DS145" s="7"/>
      <c r="DT145" s="7"/>
      <c r="DU145" s="7"/>
      <c r="DV145" s="7"/>
      <c r="DW145" s="7"/>
      <c r="DX145" s="7"/>
      <c r="DY145" s="7"/>
      <c r="DZ145" s="7"/>
      <c r="EA145" s="7"/>
      <c r="EB145" s="7"/>
      <c r="EC145" s="7"/>
      <c r="ED145" s="7"/>
      <c r="EE145" s="7"/>
      <c r="EF145" s="7"/>
      <c r="EG145" s="7"/>
      <c r="EH145" s="7"/>
      <c r="EI145" s="7"/>
      <c r="EJ145" s="7"/>
      <c r="EK145" s="7"/>
      <c r="EL145" s="7"/>
      <c r="EM145" s="7"/>
      <c r="EN145" s="7"/>
      <c r="EO145" s="7"/>
      <c r="EP145" s="7"/>
      <c r="EQ145" s="7"/>
      <c r="ER145" s="7"/>
      <c r="ES145" s="7"/>
      <c r="ET145" s="7"/>
      <c r="EU145" s="7"/>
      <c r="EV145" s="7"/>
      <c r="EW145" s="7"/>
      <c r="EX145" s="7"/>
      <c r="EY145" s="7"/>
      <c r="EZ145" s="7"/>
      <c r="FA145" s="7"/>
      <c r="FB145" s="7"/>
      <c r="FC145" s="7"/>
      <c r="FD145" s="7"/>
      <c r="FE145" s="7"/>
      <c r="FF145" s="7"/>
      <c r="FG145" s="7"/>
      <c r="FH145" s="7"/>
      <c r="FI145" s="7"/>
      <c r="FJ145" s="7"/>
      <c r="FK145" s="7"/>
      <c r="FL145" s="7"/>
      <c r="FM145" s="7"/>
      <c r="FN145" s="7"/>
      <c r="FO145" s="7"/>
      <c r="FP145" s="7"/>
      <c r="FQ145" s="7"/>
      <c r="FR145" s="7"/>
      <c r="FS145" s="7"/>
      <c r="FT145" s="7"/>
      <c r="FU145" s="7"/>
      <c r="FV145" s="7"/>
      <c r="FW145" s="7"/>
      <c r="FX145" s="7"/>
      <c r="FY145" s="7"/>
      <c r="FZ145" s="7"/>
      <c r="GA145" s="7"/>
      <c r="GB145" s="7"/>
      <c r="GC145" s="7"/>
      <c r="GD145" s="7"/>
      <c r="GE145" s="7"/>
      <c r="GF145" s="7"/>
      <c r="GG145" s="7"/>
      <c r="GH145" s="7"/>
      <c r="GI145" s="7"/>
      <c r="GJ145" s="7"/>
      <c r="GK145" s="7"/>
      <c r="GL145" s="7"/>
      <c r="GM145" s="7"/>
      <c r="GN145" s="7"/>
      <c r="GO145" s="7"/>
      <c r="GP145" s="7"/>
      <c r="GQ145" s="7"/>
      <c r="GR145" s="7"/>
      <c r="GS145" s="7"/>
      <c r="GT145" s="7"/>
      <c r="GU145" s="7"/>
      <c r="GV145" s="7"/>
      <c r="GW145" s="7"/>
      <c r="GX145" s="7"/>
      <c r="GY145" s="7"/>
      <c r="GZ145" s="7"/>
      <c r="HA145" s="7"/>
      <c r="HB145" s="7"/>
      <c r="HC145" s="7"/>
      <c r="HD145" s="7"/>
      <c r="HE145" s="7"/>
      <c r="HF145" s="7"/>
      <c r="HG145" s="7"/>
      <c r="HH145" s="7"/>
      <c r="HI145" s="7"/>
      <c r="HJ145" s="7"/>
      <c r="HK145" s="7"/>
      <c r="HL145" s="7"/>
      <c r="HM145" s="7"/>
      <c r="HN145" s="7"/>
      <c r="HO145" s="7"/>
      <c r="HP145" s="7"/>
      <c r="HQ145" s="7"/>
      <c r="HR145" s="7"/>
      <c r="HS145" s="7"/>
      <c r="HT145" s="7"/>
      <c r="HU145" s="7"/>
      <c r="HV145" s="7"/>
      <c r="HW145" s="7"/>
      <c r="HX145" s="7"/>
      <c r="HY145" s="7"/>
      <c r="HZ145" s="7"/>
      <c r="IA145" s="7"/>
      <c r="IB145" s="7"/>
      <c r="IC145" s="7"/>
      <c r="ID145" s="7"/>
      <c r="IE145" s="7"/>
      <c r="IF145" s="7"/>
      <c r="IG145" s="7"/>
      <c r="IH145" s="7"/>
      <c r="II145" s="7"/>
      <c r="IJ145" s="7"/>
      <c r="IK145" s="7"/>
      <c r="IL145" s="7"/>
      <c r="IM145" s="7"/>
      <c r="IN145" s="7"/>
      <c r="IO145" s="7"/>
      <c r="IP145" s="7"/>
      <c r="IQ145" s="7"/>
      <c r="IR145" s="7"/>
      <c r="IS145" s="7"/>
      <c r="IT145" s="7"/>
      <c r="IU145" s="7"/>
      <c r="IV145" s="7"/>
      <c r="IW145" s="7"/>
      <c r="IX145" s="7"/>
      <c r="JA145" s="113"/>
      <c r="JB145" s="113"/>
      <c r="JC145" s="113"/>
      <c r="JD145" s="66">
        <f>SUM((TEXT(JA145,"[M]")/60)*'Income Person-hours'!$D$3,(TEXT(JB145,"[M]")/60)*'Income Person-hours'!$D$4,(TEXT(JC145,"[M]")/60)*'Income Person-hours'!$D$5)</f>
        <v>0</v>
      </c>
    </row>
    <row r="146" spans="1:264 16383:16384" s="11" customFormat="1" ht="11.25" hidden="1">
      <c r="A146" s="30">
        <v>6.12</v>
      </c>
      <c r="B146" s="116"/>
      <c r="C146" s="107"/>
      <c r="D146" s="12" t="str">
        <f>IF(OR(j_WEEKDAY(J_ADDDAY(VLOOKUP(I146,A:F,6,FALSE),H146,1),0)=6,SUMIFS(Holieday[ok],Holieday[date],J_ADDDAY(VLOOKUP(I146,A:F,6,FALSE),H146,1)))=FALSE(),J_ADDDAY(VLOOKUP(I146,A:F,6,FALSE),H146,1),IF(OR(j_WEEKDAY(J_ADDDAY(VLOOKUP(I146,A:F,6,FALSE),H146+1,1),0)=6,SUMIFS(Holieday[ok],Holieday[date],J_ADDDAY(VLOOKUP(I146,A:F,6,FALSE),H146+1,1)))=FALSE(),J_ADDDAY(VLOOKUP(I146,A:F,6,FALSE),H146+1,1),IF(OR(j_WEEKDAY(J_ADDDAY(VLOOKUP(I146,A:F,6,FALSE),H146+2,1),0)=6,SUMIFS(Holieday[ok],Holieday[date],J_ADDDAY(VLOOKUP(I146,A:F,6,FALSE),H146+2,1)))=FALSE(),J_ADDDAY(VLOOKUP(I146,A:F,6,FALSE),H146+2,1),IF(OR(j_WEEKDAY(J_ADDDAY(VLOOKUP(I146,A:F,6,FALSE),H146+3,1),0)=6,SUMIFS(Holieday[ok],Holieday[date],J_ADDDAY(VLOOKUP(I146,A:F,6,FALSE),H146+3,1)))=FALSE(),J_ADDDAY(VLOOKUP(I146,A:F,6,FALSE),H146+3,1),IF(OR(j_WEEKDAY(J_ADDDAY(VLOOKUP(I146,A:F,6,FALSE),H146+4,1),0)=6,SUMIFS(Holieday[ok],Holieday[date],J_ADDDAY(VLOOKUP(I146,A:F,6,FALSE),H146+4,1)))=FALSE(),J_ADDDAY(VLOOKUP(I146,A:F,6,FALSE),H146+4,1),J_ADDDAY(VLOOKUP(I146,A:F,6,FALSE),H146+5,1))))))</f>
        <v>1398/07/29</v>
      </c>
      <c r="E146" s="1">
        <f t="shared" si="42"/>
        <v>13980729</v>
      </c>
      <c r="F146" s="12" t="str">
        <f>IF(N146=0,J_SUBDAY(D146,1,1),IF((N146-NETWORKDAYS.INTL(J_GregorianDate(D146,1),J_GregorianDate(J_SUBDAY(J_ADDDAY(D146,N146,1),1,1),1),16,1)-SUMIFS(Holieday[ok],Holieday[date],CONCATENATE("&gt;","=",D146),Holieday[date],CONCATENATE("&lt;","=",J_SUBDAY(J_ADDDAY(D146,N146,1),1,1)))+SUMIFS(Holieday[Friday],Holieday[date],CONCATENATE("&gt;","=",D146),Holieday[date],CONCATENATE("&lt;","=",J_SUBDAY(J_ADDDAY(D146,N146,1),1,1))))=0,J_SUBDAY(J_ADDDAY(D146,N146,1),1,1),IF((N146-NETWORKDAYS.INTL(J_GregorianDate(D146,1),J_GregorianDate(J_SUBDAY(J_ADDDAY(D146,N146,1),1,1),1),16,1)-SUMIFS(Holieday[ok],Holieday[date],CONCATENATE("&gt;","=",D146),Holieday[date],CONCATENATE("&lt;","=",J_SUBDAY(J_ADDDAY(D146,N146,1),1,1)))+SUMIFS(Holieday[Friday],Holieday[date],CONCATENATE("&gt;","=",D146),Holieday[date],CONCATENATE("&lt;","=",J_SUBDAY(J_ADDDAY(D146,N146,1),1,1))))=1,J_SUBDAY(J_ADDDAY(D146,N146+1,1),1,1),IF((N146-NETWORKDAYS.INTL(J_GregorianDate(D146,1),J_GregorianDate(J_SUBDAY(J_ADDDAY(D146,N146,1),1,1),1),16,1)-SUMIFS(Holieday[ok],Holieday[date],CONCATENATE("&gt;","=",D146),Holieday[date],CONCATENATE("&lt;","=",J_SUBDAY(J_ADDDAY(D146,N146,1),1,1)))+SUMIFS(Holieday[Friday],Holieday[date],CONCATENATE("&gt;","=",D146),Holieday[date],CONCATENATE("&lt;","=",J_SUBDAY(J_ADDDAY(D146,N146,1),1,1))))=2,J_SUBDAY(J_ADDDAY(D146,N146+2,1),1,1),J_SUBDAY(J_ADDDAY(D146,N146+3,1),1,1)))))</f>
        <v>1398/07/28</v>
      </c>
      <c r="G146" s="2">
        <f t="shared" si="43"/>
        <v>13980728</v>
      </c>
      <c r="H146" s="109"/>
      <c r="I146" s="110">
        <v>6.3</v>
      </c>
      <c r="J146" s="9">
        <f>j_WEEKDAY(D146,2)</f>
        <v>2</v>
      </c>
      <c r="K146" s="21">
        <f t="shared" si="46"/>
        <v>0</v>
      </c>
      <c r="L146" s="8">
        <f t="shared" si="47"/>
        <v>0</v>
      </c>
      <c r="M146" s="111">
        <v>0</v>
      </c>
      <c r="N146" s="108">
        <v>0</v>
      </c>
      <c r="O146" s="10">
        <f t="shared" si="48"/>
        <v>0</v>
      </c>
      <c r="P146" s="10">
        <f>VALUE(J_normdate(J_ADDDAY($D146,$O146,1)))</f>
        <v>13980729</v>
      </c>
      <c r="Q146" s="9">
        <f t="shared" si="49"/>
        <v>0</v>
      </c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  <c r="BB146" s="7"/>
      <c r="BC146" s="7"/>
      <c r="BD146" s="7"/>
      <c r="BE146" s="7"/>
      <c r="BF146" s="7"/>
      <c r="BG146" s="7"/>
      <c r="BH146" s="7"/>
      <c r="BI146" s="7"/>
      <c r="BJ146" s="7"/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7"/>
      <c r="BV146" s="7"/>
      <c r="BW146" s="7"/>
      <c r="BX146" s="7"/>
      <c r="BY146" s="7"/>
      <c r="BZ146" s="7"/>
      <c r="CA146" s="7"/>
      <c r="CB146" s="7"/>
      <c r="CC146" s="7"/>
      <c r="CD146" s="7"/>
      <c r="CE146" s="7"/>
      <c r="CF146" s="7"/>
      <c r="CG146" s="7"/>
      <c r="CH146" s="7"/>
      <c r="CI146" s="7"/>
      <c r="CJ146" s="7"/>
      <c r="CK146" s="7"/>
      <c r="CL146" s="7"/>
      <c r="CM146" s="7"/>
      <c r="CN146" s="7"/>
      <c r="CO146" s="7"/>
      <c r="CP146" s="7"/>
      <c r="CQ146" s="7"/>
      <c r="CR146" s="7"/>
      <c r="CS146" s="7"/>
      <c r="CT146" s="7"/>
      <c r="CU146" s="7"/>
      <c r="CV146" s="7"/>
      <c r="CW146" s="7"/>
      <c r="CX146" s="7"/>
      <c r="CY146" s="7"/>
      <c r="CZ146" s="7"/>
      <c r="DA146" s="7"/>
      <c r="DB146" s="7"/>
      <c r="DC146" s="7"/>
      <c r="DD146" s="7"/>
      <c r="DE146" s="7"/>
      <c r="DF146" s="7"/>
      <c r="DG146" s="7"/>
      <c r="DH146" s="7"/>
      <c r="DI146" s="7"/>
      <c r="DJ146" s="7"/>
      <c r="DK146" s="7"/>
      <c r="DL146" s="7"/>
      <c r="DM146" s="7"/>
      <c r="DN146" s="7"/>
      <c r="DO146" s="7"/>
      <c r="DP146" s="7"/>
      <c r="DQ146" s="7"/>
      <c r="DR146" s="7"/>
      <c r="DS146" s="7"/>
      <c r="DT146" s="7"/>
      <c r="DU146" s="7"/>
      <c r="DV146" s="7"/>
      <c r="DW146" s="7"/>
      <c r="DX146" s="7"/>
      <c r="DY146" s="7"/>
      <c r="DZ146" s="7"/>
      <c r="EA146" s="7"/>
      <c r="EB146" s="7"/>
      <c r="EC146" s="7"/>
      <c r="ED146" s="7"/>
      <c r="EE146" s="7"/>
      <c r="EF146" s="7"/>
      <c r="EG146" s="7"/>
      <c r="EH146" s="7"/>
      <c r="EI146" s="7"/>
      <c r="EJ146" s="7"/>
      <c r="EK146" s="7"/>
      <c r="EL146" s="7"/>
      <c r="EM146" s="7"/>
      <c r="EN146" s="7"/>
      <c r="EO146" s="7"/>
      <c r="EP146" s="7"/>
      <c r="EQ146" s="7"/>
      <c r="ER146" s="7"/>
      <c r="ES146" s="7"/>
      <c r="ET146" s="7"/>
      <c r="EU146" s="7"/>
      <c r="EV146" s="7"/>
      <c r="EW146" s="7"/>
      <c r="EX146" s="7"/>
      <c r="EY146" s="7"/>
      <c r="EZ146" s="7"/>
      <c r="FA146" s="7"/>
      <c r="FB146" s="7"/>
      <c r="FC146" s="7"/>
      <c r="FD146" s="7"/>
      <c r="FE146" s="7"/>
      <c r="FF146" s="7"/>
      <c r="FG146" s="7"/>
      <c r="FH146" s="7"/>
      <c r="FI146" s="7"/>
      <c r="FJ146" s="7"/>
      <c r="FK146" s="7"/>
      <c r="FL146" s="7"/>
      <c r="FM146" s="7"/>
      <c r="FN146" s="7"/>
      <c r="FO146" s="7"/>
      <c r="FP146" s="7"/>
      <c r="FQ146" s="7"/>
      <c r="FR146" s="7"/>
      <c r="FS146" s="7"/>
      <c r="FT146" s="7"/>
      <c r="FU146" s="7"/>
      <c r="FV146" s="7"/>
      <c r="FW146" s="7"/>
      <c r="FX146" s="7"/>
      <c r="FY146" s="7"/>
      <c r="FZ146" s="7"/>
      <c r="GA146" s="7"/>
      <c r="GB146" s="7"/>
      <c r="GC146" s="7"/>
      <c r="GD146" s="7"/>
      <c r="GE146" s="7"/>
      <c r="GF146" s="7"/>
      <c r="GG146" s="7"/>
      <c r="GH146" s="7"/>
      <c r="GI146" s="7"/>
      <c r="GJ146" s="7"/>
      <c r="GK146" s="7"/>
      <c r="GL146" s="7"/>
      <c r="GM146" s="7"/>
      <c r="GN146" s="7"/>
      <c r="GO146" s="7"/>
      <c r="GP146" s="7"/>
      <c r="GQ146" s="7"/>
      <c r="GR146" s="7"/>
      <c r="GS146" s="7"/>
      <c r="GT146" s="7"/>
      <c r="GU146" s="7"/>
      <c r="GV146" s="7"/>
      <c r="GW146" s="7"/>
      <c r="GX146" s="7"/>
      <c r="GY146" s="7"/>
      <c r="GZ146" s="7"/>
      <c r="HA146" s="7"/>
      <c r="HB146" s="7"/>
      <c r="HC146" s="7"/>
      <c r="HD146" s="7"/>
      <c r="HE146" s="7"/>
      <c r="HF146" s="7"/>
      <c r="HG146" s="7"/>
      <c r="HH146" s="7"/>
      <c r="HI146" s="7"/>
      <c r="HJ146" s="7"/>
      <c r="HK146" s="7"/>
      <c r="HL146" s="7"/>
      <c r="HM146" s="7"/>
      <c r="HN146" s="7"/>
      <c r="HO146" s="7"/>
      <c r="HP146" s="7"/>
      <c r="HQ146" s="7"/>
      <c r="HR146" s="7"/>
      <c r="HS146" s="7"/>
      <c r="HT146" s="7"/>
      <c r="HU146" s="7"/>
      <c r="HV146" s="7"/>
      <c r="HW146" s="7"/>
      <c r="HX146" s="7"/>
      <c r="HY146" s="7"/>
      <c r="HZ146" s="7"/>
      <c r="IA146" s="7"/>
      <c r="IB146" s="7"/>
      <c r="IC146" s="7"/>
      <c r="ID146" s="7"/>
      <c r="IE146" s="7"/>
      <c r="IF146" s="7"/>
      <c r="IG146" s="7"/>
      <c r="IH146" s="7"/>
      <c r="II146" s="7"/>
      <c r="IJ146" s="7"/>
      <c r="IK146" s="7"/>
      <c r="IL146" s="7"/>
      <c r="IM146" s="7"/>
      <c r="IN146" s="7"/>
      <c r="IO146" s="7"/>
      <c r="IP146" s="7"/>
      <c r="IQ146" s="7"/>
      <c r="IR146" s="7"/>
      <c r="IS146" s="7"/>
      <c r="IT146" s="7"/>
      <c r="IU146" s="7"/>
      <c r="IV146" s="7"/>
      <c r="IW146" s="7"/>
      <c r="IX146" s="7"/>
      <c r="JA146" s="113"/>
      <c r="JB146" s="113"/>
      <c r="JC146" s="113"/>
      <c r="JD146" s="66">
        <f>SUM((TEXT(JA146,"[M]")/60)*'Income Person-hours'!$D$3,(TEXT(JB146,"[M]")/60)*'Income Person-hours'!$D$4,(TEXT(JC146,"[M]")/60)*'Income Person-hours'!$D$5)</f>
        <v>0</v>
      </c>
    </row>
    <row r="147" spans="1:264 16383:16384" s="11" customFormat="1" ht="11.25" hidden="1">
      <c r="A147" s="30">
        <v>6.13</v>
      </c>
      <c r="B147" s="116"/>
      <c r="C147" s="107"/>
      <c r="D147" s="12" t="str">
        <f>IF(OR(j_WEEKDAY(J_ADDDAY(VLOOKUP(I147,A:F,6,FALSE),H147,1),0)=6,SUMIFS(Holieday[ok],Holieday[date],J_ADDDAY(VLOOKUP(I147,A:F,6,FALSE),H147,1)))=FALSE(),J_ADDDAY(VLOOKUP(I147,A:F,6,FALSE),H147,1),IF(OR(j_WEEKDAY(J_ADDDAY(VLOOKUP(I147,A:F,6,FALSE),H147+1,1),0)=6,SUMIFS(Holieday[ok],Holieday[date],J_ADDDAY(VLOOKUP(I147,A:F,6,FALSE),H147+1,1)))=FALSE(),J_ADDDAY(VLOOKUP(I147,A:F,6,FALSE),H147+1,1),IF(OR(j_WEEKDAY(J_ADDDAY(VLOOKUP(I147,A:F,6,FALSE),H147+2,1),0)=6,SUMIFS(Holieday[ok],Holieday[date],J_ADDDAY(VLOOKUP(I147,A:F,6,FALSE),H147+2,1)))=FALSE(),J_ADDDAY(VLOOKUP(I147,A:F,6,FALSE),H147+2,1),IF(OR(j_WEEKDAY(J_ADDDAY(VLOOKUP(I147,A:F,6,FALSE),H147+3,1),0)=6,SUMIFS(Holieday[ok],Holieday[date],J_ADDDAY(VLOOKUP(I147,A:F,6,FALSE),H147+3,1)))=FALSE(),J_ADDDAY(VLOOKUP(I147,A:F,6,FALSE),H147+3,1),IF(OR(j_WEEKDAY(J_ADDDAY(VLOOKUP(I147,A:F,6,FALSE),H147+4,1),0)=6,SUMIFS(Holieday[ok],Holieday[date],J_ADDDAY(VLOOKUP(I147,A:F,6,FALSE),H147+4,1)))=FALSE(),J_ADDDAY(VLOOKUP(I147,A:F,6,FALSE),H147+4,1),J_ADDDAY(VLOOKUP(I147,A:F,6,FALSE),H147+5,1))))))</f>
        <v>1398/07/29</v>
      </c>
      <c r="E147" s="1">
        <f t="shared" si="42"/>
        <v>13980729</v>
      </c>
      <c r="F147" s="12" t="str">
        <f>IF(N147=0,J_SUBDAY(D147,1,1),IF((N147-NETWORKDAYS.INTL(J_GregorianDate(D147,1),J_GregorianDate(J_SUBDAY(J_ADDDAY(D147,N147,1),1,1),1),16,1)-SUMIFS(Holieday[ok],Holieday[date],CONCATENATE("&gt;","=",D147),Holieday[date],CONCATENATE("&lt;","=",J_SUBDAY(J_ADDDAY(D147,N147,1),1,1)))+SUMIFS(Holieday[Friday],Holieday[date],CONCATENATE("&gt;","=",D147),Holieday[date],CONCATENATE("&lt;","=",J_SUBDAY(J_ADDDAY(D147,N147,1),1,1))))=0,J_SUBDAY(J_ADDDAY(D147,N147,1),1,1),IF((N147-NETWORKDAYS.INTL(J_GregorianDate(D147,1),J_GregorianDate(J_SUBDAY(J_ADDDAY(D147,N147,1),1,1),1),16,1)-SUMIFS(Holieday[ok],Holieday[date],CONCATENATE("&gt;","=",D147),Holieday[date],CONCATENATE("&lt;","=",J_SUBDAY(J_ADDDAY(D147,N147,1),1,1)))+SUMIFS(Holieday[Friday],Holieday[date],CONCATENATE("&gt;","=",D147),Holieday[date],CONCATENATE("&lt;","=",J_SUBDAY(J_ADDDAY(D147,N147,1),1,1))))=1,J_SUBDAY(J_ADDDAY(D147,N147+1,1),1,1),IF((N147-NETWORKDAYS.INTL(J_GregorianDate(D147,1),J_GregorianDate(J_SUBDAY(J_ADDDAY(D147,N147,1),1,1),1),16,1)-SUMIFS(Holieday[ok],Holieday[date],CONCATENATE("&gt;","=",D147),Holieday[date],CONCATENATE("&lt;","=",J_SUBDAY(J_ADDDAY(D147,N147,1),1,1)))+SUMIFS(Holieday[Friday],Holieday[date],CONCATENATE("&gt;","=",D147),Holieday[date],CONCATENATE("&lt;","=",J_SUBDAY(J_ADDDAY(D147,N147,1),1,1))))=2,J_SUBDAY(J_ADDDAY(D147,N147+2,1),1,1),J_SUBDAY(J_ADDDAY(D147,N147+3,1),1,1)))))</f>
        <v>1398/07/28</v>
      </c>
      <c r="G147" s="2">
        <f t="shared" si="43"/>
        <v>13980728</v>
      </c>
      <c r="H147" s="109"/>
      <c r="I147" s="110">
        <v>6.3</v>
      </c>
      <c r="J147" s="9">
        <f>j_WEEKDAY(D147,2)</f>
        <v>2</v>
      </c>
      <c r="K147" s="21">
        <f t="shared" si="46"/>
        <v>0</v>
      </c>
      <c r="L147" s="8">
        <f t="shared" si="47"/>
        <v>0</v>
      </c>
      <c r="M147" s="111">
        <v>0</v>
      </c>
      <c r="N147" s="108">
        <v>0</v>
      </c>
      <c r="O147" s="10">
        <f t="shared" si="48"/>
        <v>0</v>
      </c>
      <c r="P147" s="10">
        <f>VALUE(J_normdate(J_ADDDAY($D147,$O147,1)))</f>
        <v>13980729</v>
      </c>
      <c r="Q147" s="9">
        <f t="shared" si="49"/>
        <v>0</v>
      </c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  <c r="BB147" s="7"/>
      <c r="BC147" s="7"/>
      <c r="BD147" s="7"/>
      <c r="BE147" s="7"/>
      <c r="BF147" s="7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7"/>
      <c r="BV147" s="7"/>
      <c r="BW147" s="7"/>
      <c r="BX147" s="7"/>
      <c r="BY147" s="7"/>
      <c r="BZ147" s="7"/>
      <c r="CA147" s="7"/>
      <c r="CB147" s="7"/>
      <c r="CC147" s="7"/>
      <c r="CD147" s="7"/>
      <c r="CE147" s="7"/>
      <c r="CF147" s="7"/>
      <c r="CG147" s="7"/>
      <c r="CH147" s="7"/>
      <c r="CI147" s="7"/>
      <c r="CJ147" s="7"/>
      <c r="CK147" s="7"/>
      <c r="CL147" s="7"/>
      <c r="CM147" s="7"/>
      <c r="CN147" s="7"/>
      <c r="CO147" s="7"/>
      <c r="CP147" s="7"/>
      <c r="CQ147" s="7"/>
      <c r="CR147" s="7"/>
      <c r="CS147" s="7"/>
      <c r="CT147" s="7"/>
      <c r="CU147" s="7"/>
      <c r="CV147" s="7"/>
      <c r="CW147" s="7"/>
      <c r="CX147" s="7"/>
      <c r="CY147" s="7"/>
      <c r="CZ147" s="7"/>
      <c r="DA147" s="7"/>
      <c r="DB147" s="7"/>
      <c r="DC147" s="7"/>
      <c r="DD147" s="7"/>
      <c r="DE147" s="7"/>
      <c r="DF147" s="7"/>
      <c r="DG147" s="7"/>
      <c r="DH147" s="7"/>
      <c r="DI147" s="7"/>
      <c r="DJ147" s="7"/>
      <c r="DK147" s="7"/>
      <c r="DL147" s="7"/>
      <c r="DM147" s="7"/>
      <c r="DN147" s="7"/>
      <c r="DO147" s="7"/>
      <c r="DP147" s="7"/>
      <c r="DQ147" s="7"/>
      <c r="DR147" s="7"/>
      <c r="DS147" s="7"/>
      <c r="DT147" s="7"/>
      <c r="DU147" s="7"/>
      <c r="DV147" s="7"/>
      <c r="DW147" s="7"/>
      <c r="DX147" s="7"/>
      <c r="DY147" s="7"/>
      <c r="DZ147" s="7"/>
      <c r="EA147" s="7"/>
      <c r="EB147" s="7"/>
      <c r="EC147" s="7"/>
      <c r="ED147" s="7"/>
      <c r="EE147" s="7"/>
      <c r="EF147" s="7"/>
      <c r="EG147" s="7"/>
      <c r="EH147" s="7"/>
      <c r="EI147" s="7"/>
      <c r="EJ147" s="7"/>
      <c r="EK147" s="7"/>
      <c r="EL147" s="7"/>
      <c r="EM147" s="7"/>
      <c r="EN147" s="7"/>
      <c r="EO147" s="7"/>
      <c r="EP147" s="7"/>
      <c r="EQ147" s="7"/>
      <c r="ER147" s="7"/>
      <c r="ES147" s="7"/>
      <c r="ET147" s="7"/>
      <c r="EU147" s="7"/>
      <c r="EV147" s="7"/>
      <c r="EW147" s="7"/>
      <c r="EX147" s="7"/>
      <c r="EY147" s="7"/>
      <c r="EZ147" s="7"/>
      <c r="FA147" s="7"/>
      <c r="FB147" s="7"/>
      <c r="FC147" s="7"/>
      <c r="FD147" s="7"/>
      <c r="FE147" s="7"/>
      <c r="FF147" s="7"/>
      <c r="FG147" s="7"/>
      <c r="FH147" s="7"/>
      <c r="FI147" s="7"/>
      <c r="FJ147" s="7"/>
      <c r="FK147" s="7"/>
      <c r="FL147" s="7"/>
      <c r="FM147" s="7"/>
      <c r="FN147" s="7"/>
      <c r="FO147" s="7"/>
      <c r="FP147" s="7"/>
      <c r="FQ147" s="7"/>
      <c r="FR147" s="7"/>
      <c r="FS147" s="7"/>
      <c r="FT147" s="7"/>
      <c r="FU147" s="7"/>
      <c r="FV147" s="7"/>
      <c r="FW147" s="7"/>
      <c r="FX147" s="7"/>
      <c r="FY147" s="7"/>
      <c r="FZ147" s="7"/>
      <c r="GA147" s="7"/>
      <c r="GB147" s="7"/>
      <c r="GC147" s="7"/>
      <c r="GD147" s="7"/>
      <c r="GE147" s="7"/>
      <c r="GF147" s="7"/>
      <c r="GG147" s="7"/>
      <c r="GH147" s="7"/>
      <c r="GI147" s="7"/>
      <c r="GJ147" s="7"/>
      <c r="GK147" s="7"/>
      <c r="GL147" s="7"/>
      <c r="GM147" s="7"/>
      <c r="GN147" s="7"/>
      <c r="GO147" s="7"/>
      <c r="GP147" s="7"/>
      <c r="GQ147" s="7"/>
      <c r="GR147" s="7"/>
      <c r="GS147" s="7"/>
      <c r="GT147" s="7"/>
      <c r="GU147" s="7"/>
      <c r="GV147" s="7"/>
      <c r="GW147" s="7"/>
      <c r="GX147" s="7"/>
      <c r="GY147" s="7"/>
      <c r="GZ147" s="7"/>
      <c r="HA147" s="7"/>
      <c r="HB147" s="7"/>
      <c r="HC147" s="7"/>
      <c r="HD147" s="7"/>
      <c r="HE147" s="7"/>
      <c r="HF147" s="7"/>
      <c r="HG147" s="7"/>
      <c r="HH147" s="7"/>
      <c r="HI147" s="7"/>
      <c r="HJ147" s="7"/>
      <c r="HK147" s="7"/>
      <c r="HL147" s="7"/>
      <c r="HM147" s="7"/>
      <c r="HN147" s="7"/>
      <c r="HO147" s="7"/>
      <c r="HP147" s="7"/>
      <c r="HQ147" s="7"/>
      <c r="HR147" s="7"/>
      <c r="HS147" s="7"/>
      <c r="HT147" s="7"/>
      <c r="HU147" s="7"/>
      <c r="HV147" s="7"/>
      <c r="HW147" s="7"/>
      <c r="HX147" s="7"/>
      <c r="HY147" s="7"/>
      <c r="HZ147" s="7"/>
      <c r="IA147" s="7"/>
      <c r="IB147" s="7"/>
      <c r="IC147" s="7"/>
      <c r="ID147" s="7"/>
      <c r="IE147" s="7"/>
      <c r="IF147" s="7"/>
      <c r="IG147" s="7"/>
      <c r="IH147" s="7"/>
      <c r="II147" s="7"/>
      <c r="IJ147" s="7"/>
      <c r="IK147" s="7"/>
      <c r="IL147" s="7"/>
      <c r="IM147" s="7"/>
      <c r="IN147" s="7"/>
      <c r="IO147" s="7"/>
      <c r="IP147" s="7"/>
      <c r="IQ147" s="7"/>
      <c r="IR147" s="7"/>
      <c r="IS147" s="7"/>
      <c r="IT147" s="7"/>
      <c r="IU147" s="7"/>
      <c r="IV147" s="7"/>
      <c r="IW147" s="7"/>
      <c r="IX147" s="7"/>
      <c r="JA147" s="113"/>
      <c r="JB147" s="113"/>
      <c r="JC147" s="113"/>
      <c r="JD147" s="66">
        <f>SUM((TEXT(JA147,"[M]")/60)*'Income Person-hours'!$D$3,(TEXT(JB147,"[M]")/60)*'Income Person-hours'!$D$4,(TEXT(JC147,"[M]")/60)*'Income Person-hours'!$D$5)</f>
        <v>0</v>
      </c>
    </row>
    <row r="148" spans="1:264 16383:16384" s="11" customFormat="1" ht="11.25" hidden="1">
      <c r="A148" s="30">
        <v>6.14</v>
      </c>
      <c r="B148" s="116"/>
      <c r="C148" s="107"/>
      <c r="D148" s="12" t="str">
        <f>IF(OR(j_WEEKDAY(J_ADDDAY(VLOOKUP(I148,A:F,6,FALSE),H148,1),0)=6,SUMIFS(Holieday[ok],Holieday[date],J_ADDDAY(VLOOKUP(I148,A:F,6,FALSE),H148,1)))=FALSE(),J_ADDDAY(VLOOKUP(I148,A:F,6,FALSE),H148,1),IF(OR(j_WEEKDAY(J_ADDDAY(VLOOKUP(I148,A:F,6,FALSE),H148+1,1),0)=6,SUMIFS(Holieday[ok],Holieday[date],J_ADDDAY(VLOOKUP(I148,A:F,6,FALSE),H148+1,1)))=FALSE(),J_ADDDAY(VLOOKUP(I148,A:F,6,FALSE),H148+1,1),IF(OR(j_WEEKDAY(J_ADDDAY(VLOOKUP(I148,A:F,6,FALSE),H148+2,1),0)=6,SUMIFS(Holieday[ok],Holieday[date],J_ADDDAY(VLOOKUP(I148,A:F,6,FALSE),H148+2,1)))=FALSE(),J_ADDDAY(VLOOKUP(I148,A:F,6,FALSE),H148+2,1),IF(OR(j_WEEKDAY(J_ADDDAY(VLOOKUP(I148,A:F,6,FALSE),H148+3,1),0)=6,SUMIFS(Holieday[ok],Holieday[date],J_ADDDAY(VLOOKUP(I148,A:F,6,FALSE),H148+3,1)))=FALSE(),J_ADDDAY(VLOOKUP(I148,A:F,6,FALSE),H148+3,1),IF(OR(j_WEEKDAY(J_ADDDAY(VLOOKUP(I148,A:F,6,FALSE),H148+4,1),0)=6,SUMIFS(Holieday[ok],Holieday[date],J_ADDDAY(VLOOKUP(I148,A:F,6,FALSE),H148+4,1)))=FALSE(),J_ADDDAY(VLOOKUP(I148,A:F,6,FALSE),H148+4,1),J_ADDDAY(VLOOKUP(I148,A:F,6,FALSE),H148+5,1))))))</f>
        <v>1398/07/29</v>
      </c>
      <c r="E148" s="1">
        <f t="shared" si="42"/>
        <v>13980729</v>
      </c>
      <c r="F148" s="12" t="str">
        <f>IF(N148=0,J_SUBDAY(D148,1,1),IF((N148-NETWORKDAYS.INTL(J_GregorianDate(D148,1),J_GregorianDate(J_SUBDAY(J_ADDDAY(D148,N148,1),1,1),1),16,1)-SUMIFS(Holieday[ok],Holieday[date],CONCATENATE("&gt;","=",D148),Holieday[date],CONCATENATE("&lt;","=",J_SUBDAY(J_ADDDAY(D148,N148,1),1,1)))+SUMIFS(Holieday[Friday],Holieday[date],CONCATENATE("&gt;","=",D148),Holieday[date],CONCATENATE("&lt;","=",J_SUBDAY(J_ADDDAY(D148,N148,1),1,1))))=0,J_SUBDAY(J_ADDDAY(D148,N148,1),1,1),IF((N148-NETWORKDAYS.INTL(J_GregorianDate(D148,1),J_GregorianDate(J_SUBDAY(J_ADDDAY(D148,N148,1),1,1),1),16,1)-SUMIFS(Holieday[ok],Holieday[date],CONCATENATE("&gt;","=",D148),Holieday[date],CONCATENATE("&lt;","=",J_SUBDAY(J_ADDDAY(D148,N148,1),1,1)))+SUMIFS(Holieday[Friday],Holieday[date],CONCATENATE("&gt;","=",D148),Holieday[date],CONCATENATE("&lt;","=",J_SUBDAY(J_ADDDAY(D148,N148,1),1,1))))=1,J_SUBDAY(J_ADDDAY(D148,N148+1,1),1,1),IF((N148-NETWORKDAYS.INTL(J_GregorianDate(D148,1),J_GregorianDate(J_SUBDAY(J_ADDDAY(D148,N148,1),1,1),1),16,1)-SUMIFS(Holieday[ok],Holieday[date],CONCATENATE("&gt;","=",D148),Holieday[date],CONCATENATE("&lt;","=",J_SUBDAY(J_ADDDAY(D148,N148,1),1,1)))+SUMIFS(Holieday[Friday],Holieday[date],CONCATENATE("&gt;","=",D148),Holieday[date],CONCATENATE("&lt;","=",J_SUBDAY(J_ADDDAY(D148,N148,1),1,1))))=2,J_SUBDAY(J_ADDDAY(D148,N148+2,1),1,1),J_SUBDAY(J_ADDDAY(D148,N148+3,1),1,1)))))</f>
        <v>1398/07/28</v>
      </c>
      <c r="G148" s="2">
        <f t="shared" si="43"/>
        <v>13980728</v>
      </c>
      <c r="H148" s="109"/>
      <c r="I148" s="110">
        <v>6.3</v>
      </c>
      <c r="J148" s="9">
        <f>j_WEEKDAY(D148,2)</f>
        <v>2</v>
      </c>
      <c r="K148" s="21">
        <f t="shared" si="46"/>
        <v>0</v>
      </c>
      <c r="L148" s="8">
        <f t="shared" si="47"/>
        <v>0</v>
      </c>
      <c r="M148" s="111">
        <v>0</v>
      </c>
      <c r="N148" s="108">
        <v>0</v>
      </c>
      <c r="O148" s="10">
        <f t="shared" si="48"/>
        <v>0</v>
      </c>
      <c r="P148" s="10">
        <f>VALUE(J_normdate(J_ADDDAY($D148,$O148,1)))</f>
        <v>13980729</v>
      </c>
      <c r="Q148" s="9">
        <f t="shared" si="49"/>
        <v>0</v>
      </c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  <c r="BB148" s="7"/>
      <c r="BC148" s="7"/>
      <c r="BD148" s="7"/>
      <c r="BE148" s="7"/>
      <c r="BF148" s="7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7"/>
      <c r="BV148" s="7"/>
      <c r="BW148" s="7"/>
      <c r="BX148" s="7"/>
      <c r="BY148" s="7"/>
      <c r="BZ148" s="7"/>
      <c r="CA148" s="7"/>
      <c r="CB148" s="7"/>
      <c r="CC148" s="7"/>
      <c r="CD148" s="7"/>
      <c r="CE148" s="7"/>
      <c r="CF148" s="7"/>
      <c r="CG148" s="7"/>
      <c r="CH148" s="7"/>
      <c r="CI148" s="7"/>
      <c r="CJ148" s="7"/>
      <c r="CK148" s="7"/>
      <c r="CL148" s="7"/>
      <c r="CM148" s="7"/>
      <c r="CN148" s="7"/>
      <c r="CO148" s="7"/>
      <c r="CP148" s="7"/>
      <c r="CQ148" s="7"/>
      <c r="CR148" s="7"/>
      <c r="CS148" s="7"/>
      <c r="CT148" s="7"/>
      <c r="CU148" s="7"/>
      <c r="CV148" s="7"/>
      <c r="CW148" s="7"/>
      <c r="CX148" s="7"/>
      <c r="CY148" s="7"/>
      <c r="CZ148" s="7"/>
      <c r="DA148" s="7"/>
      <c r="DB148" s="7"/>
      <c r="DC148" s="7"/>
      <c r="DD148" s="7"/>
      <c r="DE148" s="7"/>
      <c r="DF148" s="7"/>
      <c r="DG148" s="7"/>
      <c r="DH148" s="7"/>
      <c r="DI148" s="7"/>
      <c r="DJ148" s="7"/>
      <c r="DK148" s="7"/>
      <c r="DL148" s="7"/>
      <c r="DM148" s="7"/>
      <c r="DN148" s="7"/>
      <c r="DO148" s="7"/>
      <c r="DP148" s="7"/>
      <c r="DQ148" s="7"/>
      <c r="DR148" s="7"/>
      <c r="DS148" s="7"/>
      <c r="DT148" s="7"/>
      <c r="DU148" s="7"/>
      <c r="DV148" s="7"/>
      <c r="DW148" s="7"/>
      <c r="DX148" s="7"/>
      <c r="DY148" s="7"/>
      <c r="DZ148" s="7"/>
      <c r="EA148" s="7"/>
      <c r="EB148" s="7"/>
      <c r="EC148" s="7"/>
      <c r="ED148" s="7"/>
      <c r="EE148" s="7"/>
      <c r="EF148" s="7"/>
      <c r="EG148" s="7"/>
      <c r="EH148" s="7"/>
      <c r="EI148" s="7"/>
      <c r="EJ148" s="7"/>
      <c r="EK148" s="7"/>
      <c r="EL148" s="7"/>
      <c r="EM148" s="7"/>
      <c r="EN148" s="7"/>
      <c r="EO148" s="7"/>
      <c r="EP148" s="7"/>
      <c r="EQ148" s="7"/>
      <c r="ER148" s="7"/>
      <c r="ES148" s="7"/>
      <c r="ET148" s="7"/>
      <c r="EU148" s="7"/>
      <c r="EV148" s="7"/>
      <c r="EW148" s="7"/>
      <c r="EX148" s="7"/>
      <c r="EY148" s="7"/>
      <c r="EZ148" s="7"/>
      <c r="FA148" s="7"/>
      <c r="FB148" s="7"/>
      <c r="FC148" s="7"/>
      <c r="FD148" s="7"/>
      <c r="FE148" s="7"/>
      <c r="FF148" s="7"/>
      <c r="FG148" s="7"/>
      <c r="FH148" s="7"/>
      <c r="FI148" s="7"/>
      <c r="FJ148" s="7"/>
      <c r="FK148" s="7"/>
      <c r="FL148" s="7"/>
      <c r="FM148" s="7"/>
      <c r="FN148" s="7"/>
      <c r="FO148" s="7"/>
      <c r="FP148" s="7"/>
      <c r="FQ148" s="7"/>
      <c r="FR148" s="7"/>
      <c r="FS148" s="7"/>
      <c r="FT148" s="7"/>
      <c r="FU148" s="7"/>
      <c r="FV148" s="7"/>
      <c r="FW148" s="7"/>
      <c r="FX148" s="7"/>
      <c r="FY148" s="7"/>
      <c r="FZ148" s="7"/>
      <c r="GA148" s="7"/>
      <c r="GB148" s="7"/>
      <c r="GC148" s="7"/>
      <c r="GD148" s="7"/>
      <c r="GE148" s="7"/>
      <c r="GF148" s="7"/>
      <c r="GG148" s="7"/>
      <c r="GH148" s="7"/>
      <c r="GI148" s="7"/>
      <c r="GJ148" s="7"/>
      <c r="GK148" s="7"/>
      <c r="GL148" s="7"/>
      <c r="GM148" s="7"/>
      <c r="GN148" s="7"/>
      <c r="GO148" s="7"/>
      <c r="GP148" s="7"/>
      <c r="GQ148" s="7"/>
      <c r="GR148" s="7"/>
      <c r="GS148" s="7"/>
      <c r="GT148" s="7"/>
      <c r="GU148" s="7"/>
      <c r="GV148" s="7"/>
      <c r="GW148" s="7"/>
      <c r="GX148" s="7"/>
      <c r="GY148" s="7"/>
      <c r="GZ148" s="7"/>
      <c r="HA148" s="7"/>
      <c r="HB148" s="7"/>
      <c r="HC148" s="7"/>
      <c r="HD148" s="7"/>
      <c r="HE148" s="7"/>
      <c r="HF148" s="7"/>
      <c r="HG148" s="7"/>
      <c r="HH148" s="7"/>
      <c r="HI148" s="7"/>
      <c r="HJ148" s="7"/>
      <c r="HK148" s="7"/>
      <c r="HL148" s="7"/>
      <c r="HM148" s="7"/>
      <c r="HN148" s="7"/>
      <c r="HO148" s="7"/>
      <c r="HP148" s="7"/>
      <c r="HQ148" s="7"/>
      <c r="HR148" s="7"/>
      <c r="HS148" s="7"/>
      <c r="HT148" s="7"/>
      <c r="HU148" s="7"/>
      <c r="HV148" s="7"/>
      <c r="HW148" s="7"/>
      <c r="HX148" s="7"/>
      <c r="HY148" s="7"/>
      <c r="HZ148" s="7"/>
      <c r="IA148" s="7"/>
      <c r="IB148" s="7"/>
      <c r="IC148" s="7"/>
      <c r="ID148" s="7"/>
      <c r="IE148" s="7"/>
      <c r="IF148" s="7"/>
      <c r="IG148" s="7"/>
      <c r="IH148" s="7"/>
      <c r="II148" s="7"/>
      <c r="IJ148" s="7"/>
      <c r="IK148" s="7"/>
      <c r="IL148" s="7"/>
      <c r="IM148" s="7"/>
      <c r="IN148" s="7"/>
      <c r="IO148" s="7"/>
      <c r="IP148" s="7"/>
      <c r="IQ148" s="7"/>
      <c r="IR148" s="7"/>
      <c r="IS148" s="7"/>
      <c r="IT148" s="7"/>
      <c r="IU148" s="7"/>
      <c r="IV148" s="7"/>
      <c r="IW148" s="7"/>
      <c r="IX148" s="7"/>
      <c r="JA148" s="113"/>
      <c r="JB148" s="113"/>
      <c r="JC148" s="113"/>
      <c r="JD148" s="66">
        <f>SUM((TEXT(JA148,"[M]")/60)*'Income Person-hours'!$D$3,(TEXT(JB148,"[M]")/60)*'Income Person-hours'!$D$4,(TEXT(JC148,"[M]")/60)*'Income Person-hours'!$D$5)</f>
        <v>0</v>
      </c>
    </row>
    <row r="149" spans="1:264 16383:16384" s="11" customFormat="1" ht="11.25" hidden="1">
      <c r="A149" s="30">
        <v>6.15</v>
      </c>
      <c r="B149" s="116"/>
      <c r="C149" s="107"/>
      <c r="D149" s="12" t="str">
        <f>IF(OR(j_WEEKDAY(J_ADDDAY(VLOOKUP(I149,A:F,6,FALSE),H149,1),0)=6,SUMIFS(Holieday[ok],Holieday[date],J_ADDDAY(VLOOKUP(I149,A:F,6,FALSE),H149,1)))=FALSE(),J_ADDDAY(VLOOKUP(I149,A:F,6,FALSE),H149,1),IF(OR(j_WEEKDAY(J_ADDDAY(VLOOKUP(I149,A:F,6,FALSE),H149+1,1),0)=6,SUMIFS(Holieday[ok],Holieday[date],J_ADDDAY(VLOOKUP(I149,A:F,6,FALSE),H149+1,1)))=FALSE(),J_ADDDAY(VLOOKUP(I149,A:F,6,FALSE),H149+1,1),IF(OR(j_WEEKDAY(J_ADDDAY(VLOOKUP(I149,A:F,6,FALSE),H149+2,1),0)=6,SUMIFS(Holieday[ok],Holieday[date],J_ADDDAY(VLOOKUP(I149,A:F,6,FALSE),H149+2,1)))=FALSE(),J_ADDDAY(VLOOKUP(I149,A:F,6,FALSE),H149+2,1),IF(OR(j_WEEKDAY(J_ADDDAY(VLOOKUP(I149,A:F,6,FALSE),H149+3,1),0)=6,SUMIFS(Holieday[ok],Holieday[date],J_ADDDAY(VLOOKUP(I149,A:F,6,FALSE),H149+3,1)))=FALSE(),J_ADDDAY(VLOOKUP(I149,A:F,6,FALSE),H149+3,1),IF(OR(j_WEEKDAY(J_ADDDAY(VLOOKUP(I149,A:F,6,FALSE),H149+4,1),0)=6,SUMIFS(Holieday[ok],Holieday[date],J_ADDDAY(VLOOKUP(I149,A:F,6,FALSE),H149+4,1)))=FALSE(),J_ADDDAY(VLOOKUP(I149,A:F,6,FALSE),H149+4,1),J_ADDDAY(VLOOKUP(I149,A:F,6,FALSE),H149+5,1))))))</f>
        <v>1398/07/29</v>
      </c>
      <c r="E149" s="1">
        <f t="shared" si="42"/>
        <v>13980729</v>
      </c>
      <c r="F149" s="12" t="str">
        <f>IF(N149=0,J_SUBDAY(D149,1,1),IF((N149-NETWORKDAYS.INTL(J_GregorianDate(D149,1),J_GregorianDate(J_SUBDAY(J_ADDDAY(D149,N149,1),1,1),1),16,1)-SUMIFS(Holieday[ok],Holieday[date],CONCATENATE("&gt;","=",D149),Holieday[date],CONCATENATE("&lt;","=",J_SUBDAY(J_ADDDAY(D149,N149,1),1,1)))+SUMIFS(Holieday[Friday],Holieday[date],CONCATENATE("&gt;","=",D149),Holieday[date],CONCATENATE("&lt;","=",J_SUBDAY(J_ADDDAY(D149,N149,1),1,1))))=0,J_SUBDAY(J_ADDDAY(D149,N149,1),1,1),IF((N149-NETWORKDAYS.INTL(J_GregorianDate(D149,1),J_GregorianDate(J_SUBDAY(J_ADDDAY(D149,N149,1),1,1),1),16,1)-SUMIFS(Holieday[ok],Holieday[date],CONCATENATE("&gt;","=",D149),Holieday[date],CONCATENATE("&lt;","=",J_SUBDAY(J_ADDDAY(D149,N149,1),1,1)))+SUMIFS(Holieday[Friday],Holieday[date],CONCATENATE("&gt;","=",D149),Holieday[date],CONCATENATE("&lt;","=",J_SUBDAY(J_ADDDAY(D149,N149,1),1,1))))=1,J_SUBDAY(J_ADDDAY(D149,N149+1,1),1,1),IF((N149-NETWORKDAYS.INTL(J_GregorianDate(D149,1),J_GregorianDate(J_SUBDAY(J_ADDDAY(D149,N149,1),1,1),1),16,1)-SUMIFS(Holieday[ok],Holieday[date],CONCATENATE("&gt;","=",D149),Holieday[date],CONCATENATE("&lt;","=",J_SUBDAY(J_ADDDAY(D149,N149,1),1,1)))+SUMIFS(Holieday[Friday],Holieday[date],CONCATENATE("&gt;","=",D149),Holieday[date],CONCATENATE("&lt;","=",J_SUBDAY(J_ADDDAY(D149,N149,1),1,1))))=2,J_SUBDAY(J_ADDDAY(D149,N149+2,1),1,1),J_SUBDAY(J_ADDDAY(D149,N149+3,1),1,1)))))</f>
        <v>1398/07/28</v>
      </c>
      <c r="G149" s="2">
        <f t="shared" si="43"/>
        <v>13980728</v>
      </c>
      <c r="H149" s="109"/>
      <c r="I149" s="110">
        <v>6.3</v>
      </c>
      <c r="J149" s="9">
        <f>j_WEEKDAY(D149,2)</f>
        <v>2</v>
      </c>
      <c r="K149" s="21">
        <f t="shared" si="46"/>
        <v>0</v>
      </c>
      <c r="L149" s="8">
        <f t="shared" si="47"/>
        <v>0</v>
      </c>
      <c r="M149" s="111">
        <v>0</v>
      </c>
      <c r="N149" s="108">
        <v>0</v>
      </c>
      <c r="O149" s="10">
        <f t="shared" si="48"/>
        <v>0</v>
      </c>
      <c r="P149" s="10">
        <f>VALUE(J_normdate(J_ADDDAY($D149,$O149,1)))</f>
        <v>13980729</v>
      </c>
      <c r="Q149" s="9">
        <f t="shared" si="49"/>
        <v>0</v>
      </c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  <c r="BB149" s="7"/>
      <c r="BC149" s="7"/>
      <c r="BD149" s="7"/>
      <c r="BE149" s="7"/>
      <c r="BF149" s="7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7"/>
      <c r="BT149" s="7"/>
      <c r="BU149" s="7"/>
      <c r="BV149" s="7"/>
      <c r="BW149" s="7"/>
      <c r="BX149" s="7"/>
      <c r="BY149" s="7"/>
      <c r="BZ149" s="7"/>
      <c r="CA149" s="7"/>
      <c r="CB149" s="7"/>
      <c r="CC149" s="7"/>
      <c r="CD149" s="7"/>
      <c r="CE149" s="7"/>
      <c r="CF149" s="7"/>
      <c r="CG149" s="7"/>
      <c r="CH149" s="7"/>
      <c r="CI149" s="7"/>
      <c r="CJ149" s="7"/>
      <c r="CK149" s="7"/>
      <c r="CL149" s="7"/>
      <c r="CM149" s="7"/>
      <c r="CN149" s="7"/>
      <c r="CO149" s="7"/>
      <c r="CP149" s="7"/>
      <c r="CQ149" s="7"/>
      <c r="CR149" s="7"/>
      <c r="CS149" s="7"/>
      <c r="CT149" s="7"/>
      <c r="CU149" s="7"/>
      <c r="CV149" s="7"/>
      <c r="CW149" s="7"/>
      <c r="CX149" s="7"/>
      <c r="CY149" s="7"/>
      <c r="CZ149" s="7"/>
      <c r="DA149" s="7"/>
      <c r="DB149" s="7"/>
      <c r="DC149" s="7"/>
      <c r="DD149" s="7"/>
      <c r="DE149" s="7"/>
      <c r="DF149" s="7"/>
      <c r="DG149" s="7"/>
      <c r="DH149" s="7"/>
      <c r="DI149" s="7"/>
      <c r="DJ149" s="7"/>
      <c r="DK149" s="7"/>
      <c r="DL149" s="7"/>
      <c r="DM149" s="7"/>
      <c r="DN149" s="7"/>
      <c r="DO149" s="7"/>
      <c r="DP149" s="7"/>
      <c r="DQ149" s="7"/>
      <c r="DR149" s="7"/>
      <c r="DS149" s="7"/>
      <c r="DT149" s="7"/>
      <c r="DU149" s="7"/>
      <c r="DV149" s="7"/>
      <c r="DW149" s="7"/>
      <c r="DX149" s="7"/>
      <c r="DY149" s="7"/>
      <c r="DZ149" s="7"/>
      <c r="EA149" s="7"/>
      <c r="EB149" s="7"/>
      <c r="EC149" s="7"/>
      <c r="ED149" s="7"/>
      <c r="EE149" s="7"/>
      <c r="EF149" s="7"/>
      <c r="EG149" s="7"/>
      <c r="EH149" s="7"/>
      <c r="EI149" s="7"/>
      <c r="EJ149" s="7"/>
      <c r="EK149" s="7"/>
      <c r="EL149" s="7"/>
      <c r="EM149" s="7"/>
      <c r="EN149" s="7"/>
      <c r="EO149" s="7"/>
      <c r="EP149" s="7"/>
      <c r="EQ149" s="7"/>
      <c r="ER149" s="7"/>
      <c r="ES149" s="7"/>
      <c r="ET149" s="7"/>
      <c r="EU149" s="7"/>
      <c r="EV149" s="7"/>
      <c r="EW149" s="7"/>
      <c r="EX149" s="7"/>
      <c r="EY149" s="7"/>
      <c r="EZ149" s="7"/>
      <c r="FA149" s="7"/>
      <c r="FB149" s="7"/>
      <c r="FC149" s="7"/>
      <c r="FD149" s="7"/>
      <c r="FE149" s="7"/>
      <c r="FF149" s="7"/>
      <c r="FG149" s="7"/>
      <c r="FH149" s="7"/>
      <c r="FI149" s="7"/>
      <c r="FJ149" s="7"/>
      <c r="FK149" s="7"/>
      <c r="FL149" s="7"/>
      <c r="FM149" s="7"/>
      <c r="FN149" s="7"/>
      <c r="FO149" s="7"/>
      <c r="FP149" s="7"/>
      <c r="FQ149" s="7"/>
      <c r="FR149" s="7"/>
      <c r="FS149" s="7"/>
      <c r="FT149" s="7"/>
      <c r="FU149" s="7"/>
      <c r="FV149" s="7"/>
      <c r="FW149" s="7"/>
      <c r="FX149" s="7"/>
      <c r="FY149" s="7"/>
      <c r="FZ149" s="7"/>
      <c r="GA149" s="7"/>
      <c r="GB149" s="7"/>
      <c r="GC149" s="7"/>
      <c r="GD149" s="7"/>
      <c r="GE149" s="7"/>
      <c r="GF149" s="7"/>
      <c r="GG149" s="7"/>
      <c r="GH149" s="7"/>
      <c r="GI149" s="7"/>
      <c r="GJ149" s="7"/>
      <c r="GK149" s="7"/>
      <c r="GL149" s="7"/>
      <c r="GM149" s="7"/>
      <c r="GN149" s="7"/>
      <c r="GO149" s="7"/>
      <c r="GP149" s="7"/>
      <c r="GQ149" s="7"/>
      <c r="GR149" s="7"/>
      <c r="GS149" s="7"/>
      <c r="GT149" s="7"/>
      <c r="GU149" s="7"/>
      <c r="GV149" s="7"/>
      <c r="GW149" s="7"/>
      <c r="GX149" s="7"/>
      <c r="GY149" s="7"/>
      <c r="GZ149" s="7"/>
      <c r="HA149" s="7"/>
      <c r="HB149" s="7"/>
      <c r="HC149" s="7"/>
      <c r="HD149" s="7"/>
      <c r="HE149" s="7"/>
      <c r="HF149" s="7"/>
      <c r="HG149" s="7"/>
      <c r="HH149" s="7"/>
      <c r="HI149" s="7"/>
      <c r="HJ149" s="7"/>
      <c r="HK149" s="7"/>
      <c r="HL149" s="7"/>
      <c r="HM149" s="7"/>
      <c r="HN149" s="7"/>
      <c r="HO149" s="7"/>
      <c r="HP149" s="7"/>
      <c r="HQ149" s="7"/>
      <c r="HR149" s="7"/>
      <c r="HS149" s="7"/>
      <c r="HT149" s="7"/>
      <c r="HU149" s="7"/>
      <c r="HV149" s="7"/>
      <c r="HW149" s="7"/>
      <c r="HX149" s="7"/>
      <c r="HY149" s="7"/>
      <c r="HZ149" s="7"/>
      <c r="IA149" s="7"/>
      <c r="IB149" s="7"/>
      <c r="IC149" s="7"/>
      <c r="ID149" s="7"/>
      <c r="IE149" s="7"/>
      <c r="IF149" s="7"/>
      <c r="IG149" s="7"/>
      <c r="IH149" s="7"/>
      <c r="II149" s="7"/>
      <c r="IJ149" s="7"/>
      <c r="IK149" s="7"/>
      <c r="IL149" s="7"/>
      <c r="IM149" s="7"/>
      <c r="IN149" s="7"/>
      <c r="IO149" s="7"/>
      <c r="IP149" s="7"/>
      <c r="IQ149" s="7"/>
      <c r="IR149" s="7"/>
      <c r="IS149" s="7"/>
      <c r="IT149" s="7"/>
      <c r="IU149" s="7"/>
      <c r="IV149" s="7"/>
      <c r="IW149" s="7"/>
      <c r="IX149" s="7"/>
      <c r="JA149" s="113"/>
      <c r="JB149" s="113"/>
      <c r="JC149" s="113"/>
      <c r="JD149" s="66">
        <f>SUM((TEXT(JA149,"[M]")/60)*'Income Person-hours'!$D$3,(TEXT(JB149,"[M]")/60)*'Income Person-hours'!$D$4,(TEXT(JC149,"[M]")/60)*'Income Person-hours'!$D$5)</f>
        <v>0</v>
      </c>
    </row>
    <row r="150" spans="1:264 16383:16384" s="11" customFormat="1" ht="11.25" hidden="1">
      <c r="A150" s="30">
        <v>6.16</v>
      </c>
      <c r="B150" s="116"/>
      <c r="C150" s="107"/>
      <c r="D150" s="12" t="str">
        <f>IF(OR(j_WEEKDAY(J_ADDDAY(VLOOKUP(I150,A:F,6,FALSE),H150,1),0)=6,SUMIFS(Holieday[ok],Holieday[date],J_ADDDAY(VLOOKUP(I150,A:F,6,FALSE),H150,1)))=FALSE(),J_ADDDAY(VLOOKUP(I150,A:F,6,FALSE),H150,1),IF(OR(j_WEEKDAY(J_ADDDAY(VLOOKUP(I150,A:F,6,FALSE),H150+1,1),0)=6,SUMIFS(Holieday[ok],Holieday[date],J_ADDDAY(VLOOKUP(I150,A:F,6,FALSE),H150+1,1)))=FALSE(),J_ADDDAY(VLOOKUP(I150,A:F,6,FALSE),H150+1,1),IF(OR(j_WEEKDAY(J_ADDDAY(VLOOKUP(I150,A:F,6,FALSE),H150+2,1),0)=6,SUMIFS(Holieday[ok],Holieday[date],J_ADDDAY(VLOOKUP(I150,A:F,6,FALSE),H150+2,1)))=FALSE(),J_ADDDAY(VLOOKUP(I150,A:F,6,FALSE),H150+2,1),IF(OR(j_WEEKDAY(J_ADDDAY(VLOOKUP(I150,A:F,6,FALSE),H150+3,1),0)=6,SUMIFS(Holieday[ok],Holieday[date],J_ADDDAY(VLOOKUP(I150,A:F,6,FALSE),H150+3,1)))=FALSE(),J_ADDDAY(VLOOKUP(I150,A:F,6,FALSE),H150+3,1),IF(OR(j_WEEKDAY(J_ADDDAY(VLOOKUP(I150,A:F,6,FALSE),H150+4,1),0)=6,SUMIFS(Holieday[ok],Holieday[date],J_ADDDAY(VLOOKUP(I150,A:F,6,FALSE),H150+4,1)))=FALSE(),J_ADDDAY(VLOOKUP(I150,A:F,6,FALSE),H150+4,1),J_ADDDAY(VLOOKUP(I150,A:F,6,FALSE),H150+5,1))))))</f>
        <v>1398/07/29</v>
      </c>
      <c r="E150" s="1">
        <f t="shared" si="42"/>
        <v>13980729</v>
      </c>
      <c r="F150" s="12" t="str">
        <f>IF(N150=0,J_SUBDAY(D150,1,1),IF((N150-NETWORKDAYS.INTL(J_GregorianDate(D150,1),J_GregorianDate(J_SUBDAY(J_ADDDAY(D150,N150,1),1,1),1),16,1)-SUMIFS(Holieday[ok],Holieday[date],CONCATENATE("&gt;","=",D150),Holieday[date],CONCATENATE("&lt;","=",J_SUBDAY(J_ADDDAY(D150,N150,1),1,1)))+SUMIFS(Holieday[Friday],Holieday[date],CONCATENATE("&gt;","=",D150),Holieday[date],CONCATENATE("&lt;","=",J_SUBDAY(J_ADDDAY(D150,N150,1),1,1))))=0,J_SUBDAY(J_ADDDAY(D150,N150,1),1,1),IF((N150-NETWORKDAYS.INTL(J_GregorianDate(D150,1),J_GregorianDate(J_SUBDAY(J_ADDDAY(D150,N150,1),1,1),1),16,1)-SUMIFS(Holieday[ok],Holieday[date],CONCATENATE("&gt;","=",D150),Holieday[date],CONCATENATE("&lt;","=",J_SUBDAY(J_ADDDAY(D150,N150,1),1,1)))+SUMIFS(Holieday[Friday],Holieday[date],CONCATENATE("&gt;","=",D150),Holieday[date],CONCATENATE("&lt;","=",J_SUBDAY(J_ADDDAY(D150,N150,1),1,1))))=1,J_SUBDAY(J_ADDDAY(D150,N150+1,1),1,1),IF((N150-NETWORKDAYS.INTL(J_GregorianDate(D150,1),J_GregorianDate(J_SUBDAY(J_ADDDAY(D150,N150,1),1,1),1),16,1)-SUMIFS(Holieday[ok],Holieday[date],CONCATENATE("&gt;","=",D150),Holieday[date],CONCATENATE("&lt;","=",J_SUBDAY(J_ADDDAY(D150,N150,1),1,1)))+SUMIFS(Holieday[Friday],Holieday[date],CONCATENATE("&gt;","=",D150),Holieday[date],CONCATENATE("&lt;","=",J_SUBDAY(J_ADDDAY(D150,N150,1),1,1))))=2,J_SUBDAY(J_ADDDAY(D150,N150+2,1),1,1),J_SUBDAY(J_ADDDAY(D150,N150+3,1),1,1)))))</f>
        <v>1398/07/28</v>
      </c>
      <c r="G150" s="2">
        <f t="shared" si="43"/>
        <v>13980728</v>
      </c>
      <c r="H150" s="109"/>
      <c r="I150" s="110">
        <v>6.3</v>
      </c>
      <c r="J150" s="9">
        <f>j_WEEKDAY(D150,2)</f>
        <v>2</v>
      </c>
      <c r="K150" s="21">
        <f t="shared" si="46"/>
        <v>0</v>
      </c>
      <c r="L150" s="8">
        <f t="shared" si="47"/>
        <v>0</v>
      </c>
      <c r="M150" s="111">
        <v>0</v>
      </c>
      <c r="N150" s="108">
        <v>0</v>
      </c>
      <c r="O150" s="10">
        <f t="shared" si="48"/>
        <v>0</v>
      </c>
      <c r="P150" s="10">
        <f>VALUE(J_normdate(J_ADDDAY($D150,$O150,1)))</f>
        <v>13980729</v>
      </c>
      <c r="Q150" s="9">
        <f t="shared" si="49"/>
        <v>0</v>
      </c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  <c r="BE150" s="7"/>
      <c r="BF150" s="7"/>
      <c r="BG150" s="7"/>
      <c r="BH150" s="7"/>
      <c r="BI150" s="7"/>
      <c r="BJ150" s="7"/>
      <c r="BK150" s="7"/>
      <c r="BL150" s="7"/>
      <c r="BM150" s="7"/>
      <c r="BN150" s="7"/>
      <c r="BO150" s="7"/>
      <c r="BP150" s="7"/>
      <c r="BQ150" s="7"/>
      <c r="BR150" s="7"/>
      <c r="BS150" s="7"/>
      <c r="BT150" s="7"/>
      <c r="BU150" s="7"/>
      <c r="BV150" s="7"/>
      <c r="BW150" s="7"/>
      <c r="BX150" s="7"/>
      <c r="BY150" s="7"/>
      <c r="BZ150" s="7"/>
      <c r="CA150" s="7"/>
      <c r="CB150" s="7"/>
      <c r="CC150" s="7"/>
      <c r="CD150" s="7"/>
      <c r="CE150" s="7"/>
      <c r="CF150" s="7"/>
      <c r="CG150" s="7"/>
      <c r="CH150" s="7"/>
      <c r="CI150" s="7"/>
      <c r="CJ150" s="7"/>
      <c r="CK150" s="7"/>
      <c r="CL150" s="7"/>
      <c r="CM150" s="7"/>
      <c r="CN150" s="7"/>
      <c r="CO150" s="7"/>
      <c r="CP150" s="7"/>
      <c r="CQ150" s="7"/>
      <c r="CR150" s="7"/>
      <c r="CS150" s="7"/>
      <c r="CT150" s="7"/>
      <c r="CU150" s="7"/>
      <c r="CV150" s="7"/>
      <c r="CW150" s="7"/>
      <c r="CX150" s="7"/>
      <c r="CY150" s="7"/>
      <c r="CZ150" s="7"/>
      <c r="DA150" s="7"/>
      <c r="DB150" s="7"/>
      <c r="DC150" s="7"/>
      <c r="DD150" s="7"/>
      <c r="DE150" s="7"/>
      <c r="DF150" s="7"/>
      <c r="DG150" s="7"/>
      <c r="DH150" s="7"/>
      <c r="DI150" s="7"/>
      <c r="DJ150" s="7"/>
      <c r="DK150" s="7"/>
      <c r="DL150" s="7"/>
      <c r="DM150" s="7"/>
      <c r="DN150" s="7"/>
      <c r="DO150" s="7"/>
      <c r="DP150" s="7"/>
      <c r="DQ150" s="7"/>
      <c r="DR150" s="7"/>
      <c r="DS150" s="7"/>
      <c r="DT150" s="7"/>
      <c r="DU150" s="7"/>
      <c r="DV150" s="7"/>
      <c r="DW150" s="7"/>
      <c r="DX150" s="7"/>
      <c r="DY150" s="7"/>
      <c r="DZ150" s="7"/>
      <c r="EA150" s="7"/>
      <c r="EB150" s="7"/>
      <c r="EC150" s="7"/>
      <c r="ED150" s="7"/>
      <c r="EE150" s="7"/>
      <c r="EF150" s="7"/>
      <c r="EG150" s="7"/>
      <c r="EH150" s="7"/>
      <c r="EI150" s="7"/>
      <c r="EJ150" s="7"/>
      <c r="EK150" s="7"/>
      <c r="EL150" s="7"/>
      <c r="EM150" s="7"/>
      <c r="EN150" s="7"/>
      <c r="EO150" s="7"/>
      <c r="EP150" s="7"/>
      <c r="EQ150" s="7"/>
      <c r="ER150" s="7"/>
      <c r="ES150" s="7"/>
      <c r="ET150" s="7"/>
      <c r="EU150" s="7"/>
      <c r="EV150" s="7"/>
      <c r="EW150" s="7"/>
      <c r="EX150" s="7"/>
      <c r="EY150" s="7"/>
      <c r="EZ150" s="7"/>
      <c r="FA150" s="7"/>
      <c r="FB150" s="7"/>
      <c r="FC150" s="7"/>
      <c r="FD150" s="7"/>
      <c r="FE150" s="7"/>
      <c r="FF150" s="7"/>
      <c r="FG150" s="7"/>
      <c r="FH150" s="7"/>
      <c r="FI150" s="7"/>
      <c r="FJ150" s="7"/>
      <c r="FK150" s="7"/>
      <c r="FL150" s="7"/>
      <c r="FM150" s="7"/>
      <c r="FN150" s="7"/>
      <c r="FO150" s="7"/>
      <c r="FP150" s="7"/>
      <c r="FQ150" s="7"/>
      <c r="FR150" s="7"/>
      <c r="FS150" s="7"/>
      <c r="FT150" s="7"/>
      <c r="FU150" s="7"/>
      <c r="FV150" s="7"/>
      <c r="FW150" s="7"/>
      <c r="FX150" s="7"/>
      <c r="FY150" s="7"/>
      <c r="FZ150" s="7"/>
      <c r="GA150" s="7"/>
      <c r="GB150" s="7"/>
      <c r="GC150" s="7"/>
      <c r="GD150" s="7"/>
      <c r="GE150" s="7"/>
      <c r="GF150" s="7"/>
      <c r="GG150" s="7"/>
      <c r="GH150" s="7"/>
      <c r="GI150" s="7"/>
      <c r="GJ150" s="7"/>
      <c r="GK150" s="7"/>
      <c r="GL150" s="7"/>
      <c r="GM150" s="7"/>
      <c r="GN150" s="7"/>
      <c r="GO150" s="7"/>
      <c r="GP150" s="7"/>
      <c r="GQ150" s="7"/>
      <c r="GR150" s="7"/>
      <c r="GS150" s="7"/>
      <c r="GT150" s="7"/>
      <c r="GU150" s="7"/>
      <c r="GV150" s="7"/>
      <c r="GW150" s="7"/>
      <c r="GX150" s="7"/>
      <c r="GY150" s="7"/>
      <c r="GZ150" s="7"/>
      <c r="HA150" s="7"/>
      <c r="HB150" s="7"/>
      <c r="HC150" s="7"/>
      <c r="HD150" s="7"/>
      <c r="HE150" s="7"/>
      <c r="HF150" s="7"/>
      <c r="HG150" s="7"/>
      <c r="HH150" s="7"/>
      <c r="HI150" s="7"/>
      <c r="HJ150" s="7"/>
      <c r="HK150" s="7"/>
      <c r="HL150" s="7"/>
      <c r="HM150" s="7"/>
      <c r="HN150" s="7"/>
      <c r="HO150" s="7"/>
      <c r="HP150" s="7"/>
      <c r="HQ150" s="7"/>
      <c r="HR150" s="7"/>
      <c r="HS150" s="7"/>
      <c r="HT150" s="7"/>
      <c r="HU150" s="7"/>
      <c r="HV150" s="7"/>
      <c r="HW150" s="7"/>
      <c r="HX150" s="7"/>
      <c r="HY150" s="7"/>
      <c r="HZ150" s="7"/>
      <c r="IA150" s="7"/>
      <c r="IB150" s="7"/>
      <c r="IC150" s="7"/>
      <c r="ID150" s="7"/>
      <c r="IE150" s="7"/>
      <c r="IF150" s="7"/>
      <c r="IG150" s="7"/>
      <c r="IH150" s="7"/>
      <c r="II150" s="7"/>
      <c r="IJ150" s="7"/>
      <c r="IK150" s="7"/>
      <c r="IL150" s="7"/>
      <c r="IM150" s="7"/>
      <c r="IN150" s="7"/>
      <c r="IO150" s="7"/>
      <c r="IP150" s="7"/>
      <c r="IQ150" s="7"/>
      <c r="IR150" s="7"/>
      <c r="IS150" s="7"/>
      <c r="IT150" s="7"/>
      <c r="IU150" s="7"/>
      <c r="IV150" s="7"/>
      <c r="IW150" s="7"/>
      <c r="IX150" s="7"/>
      <c r="JA150" s="113"/>
      <c r="JB150" s="113"/>
      <c r="JC150" s="113"/>
      <c r="JD150" s="66">
        <f>SUM((TEXT(JA150,"[M]")/60)*'Income Person-hours'!$D$3,(TEXT(JB150,"[M]")/60)*'Income Person-hours'!$D$4,(TEXT(JC150,"[M]")/60)*'Income Person-hours'!$D$5)</f>
        <v>0</v>
      </c>
    </row>
    <row r="151" spans="1:264 16383:16384" s="11" customFormat="1" ht="11.25" hidden="1">
      <c r="A151" s="30">
        <v>6.17</v>
      </c>
      <c r="B151" s="116"/>
      <c r="C151" s="107"/>
      <c r="D151" s="12" t="str">
        <f>IF(OR(j_WEEKDAY(J_ADDDAY(VLOOKUP(I151,A:F,6,FALSE),H151,1),0)=6,SUMIFS(Holieday[ok],Holieday[date],J_ADDDAY(VLOOKUP(I151,A:F,6,FALSE),H151,1)))=FALSE(),J_ADDDAY(VLOOKUP(I151,A:F,6,FALSE),H151,1),IF(OR(j_WEEKDAY(J_ADDDAY(VLOOKUP(I151,A:F,6,FALSE),H151+1,1),0)=6,SUMIFS(Holieday[ok],Holieday[date],J_ADDDAY(VLOOKUP(I151,A:F,6,FALSE),H151+1,1)))=FALSE(),J_ADDDAY(VLOOKUP(I151,A:F,6,FALSE),H151+1,1),IF(OR(j_WEEKDAY(J_ADDDAY(VLOOKUP(I151,A:F,6,FALSE),H151+2,1),0)=6,SUMIFS(Holieday[ok],Holieday[date],J_ADDDAY(VLOOKUP(I151,A:F,6,FALSE),H151+2,1)))=FALSE(),J_ADDDAY(VLOOKUP(I151,A:F,6,FALSE),H151+2,1),IF(OR(j_WEEKDAY(J_ADDDAY(VLOOKUP(I151,A:F,6,FALSE),H151+3,1),0)=6,SUMIFS(Holieday[ok],Holieday[date],J_ADDDAY(VLOOKUP(I151,A:F,6,FALSE),H151+3,1)))=FALSE(),J_ADDDAY(VLOOKUP(I151,A:F,6,FALSE),H151+3,1),IF(OR(j_WEEKDAY(J_ADDDAY(VLOOKUP(I151,A:F,6,FALSE),H151+4,1),0)=6,SUMIFS(Holieday[ok],Holieday[date],J_ADDDAY(VLOOKUP(I151,A:F,6,FALSE),H151+4,1)))=FALSE(),J_ADDDAY(VLOOKUP(I151,A:F,6,FALSE),H151+4,1),J_ADDDAY(VLOOKUP(I151,A:F,6,FALSE),H151+5,1))))))</f>
        <v>1398/07/29</v>
      </c>
      <c r="E151" s="1">
        <f t="shared" si="42"/>
        <v>13980729</v>
      </c>
      <c r="F151" s="12" t="str">
        <f>IF(N151=0,J_SUBDAY(D151,1,1),IF((N151-NETWORKDAYS.INTL(J_GregorianDate(D151,1),J_GregorianDate(J_SUBDAY(J_ADDDAY(D151,N151,1),1,1),1),16,1)-SUMIFS(Holieday[ok],Holieday[date],CONCATENATE("&gt;","=",D151),Holieday[date],CONCATENATE("&lt;","=",J_SUBDAY(J_ADDDAY(D151,N151,1),1,1)))+SUMIFS(Holieday[Friday],Holieday[date],CONCATENATE("&gt;","=",D151),Holieday[date],CONCATENATE("&lt;","=",J_SUBDAY(J_ADDDAY(D151,N151,1),1,1))))=0,J_SUBDAY(J_ADDDAY(D151,N151,1),1,1),IF((N151-NETWORKDAYS.INTL(J_GregorianDate(D151,1),J_GregorianDate(J_SUBDAY(J_ADDDAY(D151,N151,1),1,1),1),16,1)-SUMIFS(Holieday[ok],Holieday[date],CONCATENATE("&gt;","=",D151),Holieday[date],CONCATENATE("&lt;","=",J_SUBDAY(J_ADDDAY(D151,N151,1),1,1)))+SUMIFS(Holieday[Friday],Holieday[date],CONCATENATE("&gt;","=",D151),Holieday[date],CONCATENATE("&lt;","=",J_SUBDAY(J_ADDDAY(D151,N151,1),1,1))))=1,J_SUBDAY(J_ADDDAY(D151,N151+1,1),1,1),IF((N151-NETWORKDAYS.INTL(J_GregorianDate(D151,1),J_GregorianDate(J_SUBDAY(J_ADDDAY(D151,N151,1),1,1),1),16,1)-SUMIFS(Holieday[ok],Holieday[date],CONCATENATE("&gt;","=",D151),Holieday[date],CONCATENATE("&lt;","=",J_SUBDAY(J_ADDDAY(D151,N151,1),1,1)))+SUMIFS(Holieday[Friday],Holieday[date],CONCATENATE("&gt;","=",D151),Holieday[date],CONCATENATE("&lt;","=",J_SUBDAY(J_ADDDAY(D151,N151,1),1,1))))=2,J_SUBDAY(J_ADDDAY(D151,N151+2,1),1,1),J_SUBDAY(J_ADDDAY(D151,N151+3,1),1,1)))))</f>
        <v>1398/07/28</v>
      </c>
      <c r="G151" s="2">
        <f t="shared" si="43"/>
        <v>13980728</v>
      </c>
      <c r="H151" s="109"/>
      <c r="I151" s="110">
        <v>6.3</v>
      </c>
      <c r="J151" s="9">
        <f>j_WEEKDAY(D151,2)</f>
        <v>2</v>
      </c>
      <c r="K151" s="21">
        <f t="shared" si="46"/>
        <v>0</v>
      </c>
      <c r="L151" s="8">
        <f t="shared" si="47"/>
        <v>0</v>
      </c>
      <c r="M151" s="111">
        <v>0</v>
      </c>
      <c r="N151" s="108">
        <v>0</v>
      </c>
      <c r="O151" s="10">
        <f t="shared" si="48"/>
        <v>0</v>
      </c>
      <c r="P151" s="10">
        <f>VALUE(J_normdate(J_ADDDAY($D151,$O151,1)))</f>
        <v>13980729</v>
      </c>
      <c r="Q151" s="9">
        <f t="shared" si="49"/>
        <v>0</v>
      </c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  <c r="BE151" s="7"/>
      <c r="BF151" s="7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/>
      <c r="BR151" s="7"/>
      <c r="BS151" s="7"/>
      <c r="BT151" s="7"/>
      <c r="BU151" s="7"/>
      <c r="BV151" s="7"/>
      <c r="BW151" s="7"/>
      <c r="BX151" s="7"/>
      <c r="BY151" s="7"/>
      <c r="BZ151" s="7"/>
      <c r="CA151" s="7"/>
      <c r="CB151" s="7"/>
      <c r="CC151" s="7"/>
      <c r="CD151" s="7"/>
      <c r="CE151" s="7"/>
      <c r="CF151" s="7"/>
      <c r="CG151" s="7"/>
      <c r="CH151" s="7"/>
      <c r="CI151" s="7"/>
      <c r="CJ151" s="7"/>
      <c r="CK151" s="7"/>
      <c r="CL151" s="7"/>
      <c r="CM151" s="7"/>
      <c r="CN151" s="7"/>
      <c r="CO151" s="7"/>
      <c r="CP151" s="7"/>
      <c r="CQ151" s="7"/>
      <c r="CR151" s="7"/>
      <c r="CS151" s="7"/>
      <c r="CT151" s="7"/>
      <c r="CU151" s="7"/>
      <c r="CV151" s="7"/>
      <c r="CW151" s="7"/>
      <c r="CX151" s="7"/>
      <c r="CY151" s="7"/>
      <c r="CZ151" s="7"/>
      <c r="DA151" s="7"/>
      <c r="DB151" s="7"/>
      <c r="DC151" s="7"/>
      <c r="DD151" s="7"/>
      <c r="DE151" s="7"/>
      <c r="DF151" s="7"/>
      <c r="DG151" s="7"/>
      <c r="DH151" s="7"/>
      <c r="DI151" s="7"/>
      <c r="DJ151" s="7"/>
      <c r="DK151" s="7"/>
      <c r="DL151" s="7"/>
      <c r="DM151" s="7"/>
      <c r="DN151" s="7"/>
      <c r="DO151" s="7"/>
      <c r="DP151" s="7"/>
      <c r="DQ151" s="7"/>
      <c r="DR151" s="7"/>
      <c r="DS151" s="7"/>
      <c r="DT151" s="7"/>
      <c r="DU151" s="7"/>
      <c r="DV151" s="7"/>
      <c r="DW151" s="7"/>
      <c r="DX151" s="7"/>
      <c r="DY151" s="7"/>
      <c r="DZ151" s="7"/>
      <c r="EA151" s="7"/>
      <c r="EB151" s="7"/>
      <c r="EC151" s="7"/>
      <c r="ED151" s="7"/>
      <c r="EE151" s="7"/>
      <c r="EF151" s="7"/>
      <c r="EG151" s="7"/>
      <c r="EH151" s="7"/>
      <c r="EI151" s="7"/>
      <c r="EJ151" s="7"/>
      <c r="EK151" s="7"/>
      <c r="EL151" s="7"/>
      <c r="EM151" s="7"/>
      <c r="EN151" s="7"/>
      <c r="EO151" s="7"/>
      <c r="EP151" s="7"/>
      <c r="EQ151" s="7"/>
      <c r="ER151" s="7"/>
      <c r="ES151" s="7"/>
      <c r="ET151" s="7"/>
      <c r="EU151" s="7"/>
      <c r="EV151" s="7"/>
      <c r="EW151" s="7"/>
      <c r="EX151" s="7"/>
      <c r="EY151" s="7"/>
      <c r="EZ151" s="7"/>
      <c r="FA151" s="7"/>
      <c r="FB151" s="7"/>
      <c r="FC151" s="7"/>
      <c r="FD151" s="7"/>
      <c r="FE151" s="7"/>
      <c r="FF151" s="7"/>
      <c r="FG151" s="7"/>
      <c r="FH151" s="7"/>
      <c r="FI151" s="7"/>
      <c r="FJ151" s="7"/>
      <c r="FK151" s="7"/>
      <c r="FL151" s="7"/>
      <c r="FM151" s="7"/>
      <c r="FN151" s="7"/>
      <c r="FO151" s="7"/>
      <c r="FP151" s="7"/>
      <c r="FQ151" s="7"/>
      <c r="FR151" s="7"/>
      <c r="FS151" s="7"/>
      <c r="FT151" s="7"/>
      <c r="FU151" s="7"/>
      <c r="FV151" s="7"/>
      <c r="FW151" s="7"/>
      <c r="FX151" s="7"/>
      <c r="FY151" s="7"/>
      <c r="FZ151" s="7"/>
      <c r="GA151" s="7"/>
      <c r="GB151" s="7"/>
      <c r="GC151" s="7"/>
      <c r="GD151" s="7"/>
      <c r="GE151" s="7"/>
      <c r="GF151" s="7"/>
      <c r="GG151" s="7"/>
      <c r="GH151" s="7"/>
      <c r="GI151" s="7"/>
      <c r="GJ151" s="7"/>
      <c r="GK151" s="7"/>
      <c r="GL151" s="7"/>
      <c r="GM151" s="7"/>
      <c r="GN151" s="7"/>
      <c r="GO151" s="7"/>
      <c r="GP151" s="7"/>
      <c r="GQ151" s="7"/>
      <c r="GR151" s="7"/>
      <c r="GS151" s="7"/>
      <c r="GT151" s="7"/>
      <c r="GU151" s="7"/>
      <c r="GV151" s="7"/>
      <c r="GW151" s="7"/>
      <c r="GX151" s="7"/>
      <c r="GY151" s="7"/>
      <c r="GZ151" s="7"/>
      <c r="HA151" s="7"/>
      <c r="HB151" s="7"/>
      <c r="HC151" s="7"/>
      <c r="HD151" s="7"/>
      <c r="HE151" s="7"/>
      <c r="HF151" s="7"/>
      <c r="HG151" s="7"/>
      <c r="HH151" s="7"/>
      <c r="HI151" s="7"/>
      <c r="HJ151" s="7"/>
      <c r="HK151" s="7"/>
      <c r="HL151" s="7"/>
      <c r="HM151" s="7"/>
      <c r="HN151" s="7"/>
      <c r="HO151" s="7"/>
      <c r="HP151" s="7"/>
      <c r="HQ151" s="7"/>
      <c r="HR151" s="7"/>
      <c r="HS151" s="7"/>
      <c r="HT151" s="7"/>
      <c r="HU151" s="7"/>
      <c r="HV151" s="7"/>
      <c r="HW151" s="7"/>
      <c r="HX151" s="7"/>
      <c r="HY151" s="7"/>
      <c r="HZ151" s="7"/>
      <c r="IA151" s="7"/>
      <c r="IB151" s="7"/>
      <c r="IC151" s="7"/>
      <c r="ID151" s="7"/>
      <c r="IE151" s="7"/>
      <c r="IF151" s="7"/>
      <c r="IG151" s="7"/>
      <c r="IH151" s="7"/>
      <c r="II151" s="7"/>
      <c r="IJ151" s="7"/>
      <c r="IK151" s="7"/>
      <c r="IL151" s="7"/>
      <c r="IM151" s="7"/>
      <c r="IN151" s="7"/>
      <c r="IO151" s="7"/>
      <c r="IP151" s="7"/>
      <c r="IQ151" s="7"/>
      <c r="IR151" s="7"/>
      <c r="IS151" s="7"/>
      <c r="IT151" s="7"/>
      <c r="IU151" s="7"/>
      <c r="IV151" s="7"/>
      <c r="IW151" s="7"/>
      <c r="IX151" s="7"/>
      <c r="JA151" s="113"/>
      <c r="JB151" s="113"/>
      <c r="JC151" s="113"/>
      <c r="JD151" s="66">
        <f>SUM((TEXT(JA151,"[M]")/60)*'Income Person-hours'!$D$3,(TEXT(JB151,"[M]")/60)*'Income Person-hours'!$D$4,(TEXT(JC151,"[M]")/60)*'Income Person-hours'!$D$5)</f>
        <v>0</v>
      </c>
    </row>
    <row r="152" spans="1:264 16383:16384" s="11" customFormat="1" ht="11.25" hidden="1">
      <c r="A152" s="30">
        <v>6.18</v>
      </c>
      <c r="B152" s="116"/>
      <c r="C152" s="107"/>
      <c r="D152" s="12" t="str">
        <f>IF(OR(j_WEEKDAY(J_ADDDAY(VLOOKUP(I152,A:F,6,FALSE),H152,1),0)=6,SUMIFS(Holieday[ok],Holieday[date],J_ADDDAY(VLOOKUP(I152,A:F,6,FALSE),H152,1)))=FALSE(),J_ADDDAY(VLOOKUP(I152,A:F,6,FALSE),H152,1),IF(OR(j_WEEKDAY(J_ADDDAY(VLOOKUP(I152,A:F,6,FALSE),H152+1,1),0)=6,SUMIFS(Holieday[ok],Holieday[date],J_ADDDAY(VLOOKUP(I152,A:F,6,FALSE),H152+1,1)))=FALSE(),J_ADDDAY(VLOOKUP(I152,A:F,6,FALSE),H152+1,1),IF(OR(j_WEEKDAY(J_ADDDAY(VLOOKUP(I152,A:F,6,FALSE),H152+2,1),0)=6,SUMIFS(Holieday[ok],Holieday[date],J_ADDDAY(VLOOKUP(I152,A:F,6,FALSE),H152+2,1)))=FALSE(),J_ADDDAY(VLOOKUP(I152,A:F,6,FALSE),H152+2,1),IF(OR(j_WEEKDAY(J_ADDDAY(VLOOKUP(I152,A:F,6,FALSE),H152+3,1),0)=6,SUMIFS(Holieday[ok],Holieday[date],J_ADDDAY(VLOOKUP(I152,A:F,6,FALSE),H152+3,1)))=FALSE(),J_ADDDAY(VLOOKUP(I152,A:F,6,FALSE),H152+3,1),IF(OR(j_WEEKDAY(J_ADDDAY(VLOOKUP(I152,A:F,6,FALSE),H152+4,1),0)=6,SUMIFS(Holieday[ok],Holieday[date],J_ADDDAY(VLOOKUP(I152,A:F,6,FALSE),H152+4,1)))=FALSE(),J_ADDDAY(VLOOKUP(I152,A:F,6,FALSE),H152+4,1),J_ADDDAY(VLOOKUP(I152,A:F,6,FALSE),H152+5,1))))))</f>
        <v>1398/07/29</v>
      </c>
      <c r="E152" s="1">
        <f t="shared" si="42"/>
        <v>13980729</v>
      </c>
      <c r="F152" s="12" t="str">
        <f>IF(N152=0,J_SUBDAY(D152,1,1),IF((N152-NETWORKDAYS.INTL(J_GregorianDate(D152,1),J_GregorianDate(J_SUBDAY(J_ADDDAY(D152,N152,1),1,1),1),16,1)-SUMIFS(Holieday[ok],Holieday[date],CONCATENATE("&gt;","=",D152),Holieday[date],CONCATENATE("&lt;","=",J_SUBDAY(J_ADDDAY(D152,N152,1),1,1)))+SUMIFS(Holieday[Friday],Holieday[date],CONCATENATE("&gt;","=",D152),Holieday[date],CONCATENATE("&lt;","=",J_SUBDAY(J_ADDDAY(D152,N152,1),1,1))))=0,J_SUBDAY(J_ADDDAY(D152,N152,1),1,1),IF((N152-NETWORKDAYS.INTL(J_GregorianDate(D152,1),J_GregorianDate(J_SUBDAY(J_ADDDAY(D152,N152,1),1,1),1),16,1)-SUMIFS(Holieday[ok],Holieday[date],CONCATENATE("&gt;","=",D152),Holieday[date],CONCATENATE("&lt;","=",J_SUBDAY(J_ADDDAY(D152,N152,1),1,1)))+SUMIFS(Holieday[Friday],Holieday[date],CONCATENATE("&gt;","=",D152),Holieday[date],CONCATENATE("&lt;","=",J_SUBDAY(J_ADDDAY(D152,N152,1),1,1))))=1,J_SUBDAY(J_ADDDAY(D152,N152+1,1),1,1),IF((N152-NETWORKDAYS.INTL(J_GregorianDate(D152,1),J_GregorianDate(J_SUBDAY(J_ADDDAY(D152,N152,1),1,1),1),16,1)-SUMIFS(Holieday[ok],Holieday[date],CONCATENATE("&gt;","=",D152),Holieday[date],CONCATENATE("&lt;","=",J_SUBDAY(J_ADDDAY(D152,N152,1),1,1)))+SUMIFS(Holieday[Friday],Holieday[date],CONCATENATE("&gt;","=",D152),Holieday[date],CONCATENATE("&lt;","=",J_SUBDAY(J_ADDDAY(D152,N152,1),1,1))))=2,J_SUBDAY(J_ADDDAY(D152,N152+2,1),1,1),J_SUBDAY(J_ADDDAY(D152,N152+3,1),1,1)))))</f>
        <v>1398/07/28</v>
      </c>
      <c r="G152" s="2">
        <f t="shared" si="43"/>
        <v>13980728</v>
      </c>
      <c r="H152" s="109"/>
      <c r="I152" s="110">
        <v>6.3</v>
      </c>
      <c r="J152" s="9">
        <f>j_WEEKDAY(D152,2)</f>
        <v>2</v>
      </c>
      <c r="K152" s="21">
        <f t="shared" si="46"/>
        <v>0</v>
      </c>
      <c r="L152" s="8">
        <f t="shared" si="47"/>
        <v>0</v>
      </c>
      <c r="M152" s="111">
        <v>0</v>
      </c>
      <c r="N152" s="108">
        <v>0</v>
      </c>
      <c r="O152" s="10">
        <f t="shared" si="48"/>
        <v>0</v>
      </c>
      <c r="P152" s="10">
        <f>VALUE(J_normdate(J_ADDDAY($D152,$O152,1)))</f>
        <v>13980729</v>
      </c>
      <c r="Q152" s="9">
        <f t="shared" si="49"/>
        <v>0</v>
      </c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  <c r="BE152" s="7"/>
      <c r="BF152" s="7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BS152" s="7"/>
      <c r="BT152" s="7"/>
      <c r="BU152" s="7"/>
      <c r="BV152" s="7"/>
      <c r="BW152" s="7"/>
      <c r="BX152" s="7"/>
      <c r="BY152" s="7"/>
      <c r="BZ152" s="7"/>
      <c r="CA152" s="7"/>
      <c r="CB152" s="7"/>
      <c r="CC152" s="7"/>
      <c r="CD152" s="7"/>
      <c r="CE152" s="7"/>
      <c r="CF152" s="7"/>
      <c r="CG152" s="7"/>
      <c r="CH152" s="7"/>
      <c r="CI152" s="7"/>
      <c r="CJ152" s="7"/>
      <c r="CK152" s="7"/>
      <c r="CL152" s="7"/>
      <c r="CM152" s="7"/>
      <c r="CN152" s="7"/>
      <c r="CO152" s="7"/>
      <c r="CP152" s="7"/>
      <c r="CQ152" s="7"/>
      <c r="CR152" s="7"/>
      <c r="CS152" s="7"/>
      <c r="CT152" s="7"/>
      <c r="CU152" s="7"/>
      <c r="CV152" s="7"/>
      <c r="CW152" s="7"/>
      <c r="CX152" s="7"/>
      <c r="CY152" s="7"/>
      <c r="CZ152" s="7"/>
      <c r="DA152" s="7"/>
      <c r="DB152" s="7"/>
      <c r="DC152" s="7"/>
      <c r="DD152" s="7"/>
      <c r="DE152" s="7"/>
      <c r="DF152" s="7"/>
      <c r="DG152" s="7"/>
      <c r="DH152" s="7"/>
      <c r="DI152" s="7"/>
      <c r="DJ152" s="7"/>
      <c r="DK152" s="7"/>
      <c r="DL152" s="7"/>
      <c r="DM152" s="7"/>
      <c r="DN152" s="7"/>
      <c r="DO152" s="7"/>
      <c r="DP152" s="7"/>
      <c r="DQ152" s="7"/>
      <c r="DR152" s="7"/>
      <c r="DS152" s="7"/>
      <c r="DT152" s="7"/>
      <c r="DU152" s="7"/>
      <c r="DV152" s="7"/>
      <c r="DW152" s="7"/>
      <c r="DX152" s="7"/>
      <c r="DY152" s="7"/>
      <c r="DZ152" s="7"/>
      <c r="EA152" s="7"/>
      <c r="EB152" s="7"/>
      <c r="EC152" s="7"/>
      <c r="ED152" s="7"/>
      <c r="EE152" s="7"/>
      <c r="EF152" s="7"/>
      <c r="EG152" s="7"/>
      <c r="EH152" s="7"/>
      <c r="EI152" s="7"/>
      <c r="EJ152" s="7"/>
      <c r="EK152" s="7"/>
      <c r="EL152" s="7"/>
      <c r="EM152" s="7"/>
      <c r="EN152" s="7"/>
      <c r="EO152" s="7"/>
      <c r="EP152" s="7"/>
      <c r="EQ152" s="7"/>
      <c r="ER152" s="7"/>
      <c r="ES152" s="7"/>
      <c r="ET152" s="7"/>
      <c r="EU152" s="7"/>
      <c r="EV152" s="7"/>
      <c r="EW152" s="7"/>
      <c r="EX152" s="7"/>
      <c r="EY152" s="7"/>
      <c r="EZ152" s="7"/>
      <c r="FA152" s="7"/>
      <c r="FB152" s="7"/>
      <c r="FC152" s="7"/>
      <c r="FD152" s="7"/>
      <c r="FE152" s="7"/>
      <c r="FF152" s="7"/>
      <c r="FG152" s="7"/>
      <c r="FH152" s="7"/>
      <c r="FI152" s="7"/>
      <c r="FJ152" s="7"/>
      <c r="FK152" s="7"/>
      <c r="FL152" s="7"/>
      <c r="FM152" s="7"/>
      <c r="FN152" s="7"/>
      <c r="FO152" s="7"/>
      <c r="FP152" s="7"/>
      <c r="FQ152" s="7"/>
      <c r="FR152" s="7"/>
      <c r="FS152" s="7"/>
      <c r="FT152" s="7"/>
      <c r="FU152" s="7"/>
      <c r="FV152" s="7"/>
      <c r="FW152" s="7"/>
      <c r="FX152" s="7"/>
      <c r="FY152" s="7"/>
      <c r="FZ152" s="7"/>
      <c r="GA152" s="7"/>
      <c r="GB152" s="7"/>
      <c r="GC152" s="7"/>
      <c r="GD152" s="7"/>
      <c r="GE152" s="7"/>
      <c r="GF152" s="7"/>
      <c r="GG152" s="7"/>
      <c r="GH152" s="7"/>
      <c r="GI152" s="7"/>
      <c r="GJ152" s="7"/>
      <c r="GK152" s="7"/>
      <c r="GL152" s="7"/>
      <c r="GM152" s="7"/>
      <c r="GN152" s="7"/>
      <c r="GO152" s="7"/>
      <c r="GP152" s="7"/>
      <c r="GQ152" s="7"/>
      <c r="GR152" s="7"/>
      <c r="GS152" s="7"/>
      <c r="GT152" s="7"/>
      <c r="GU152" s="7"/>
      <c r="GV152" s="7"/>
      <c r="GW152" s="7"/>
      <c r="GX152" s="7"/>
      <c r="GY152" s="7"/>
      <c r="GZ152" s="7"/>
      <c r="HA152" s="7"/>
      <c r="HB152" s="7"/>
      <c r="HC152" s="7"/>
      <c r="HD152" s="7"/>
      <c r="HE152" s="7"/>
      <c r="HF152" s="7"/>
      <c r="HG152" s="7"/>
      <c r="HH152" s="7"/>
      <c r="HI152" s="7"/>
      <c r="HJ152" s="7"/>
      <c r="HK152" s="7"/>
      <c r="HL152" s="7"/>
      <c r="HM152" s="7"/>
      <c r="HN152" s="7"/>
      <c r="HO152" s="7"/>
      <c r="HP152" s="7"/>
      <c r="HQ152" s="7"/>
      <c r="HR152" s="7"/>
      <c r="HS152" s="7"/>
      <c r="HT152" s="7"/>
      <c r="HU152" s="7"/>
      <c r="HV152" s="7"/>
      <c r="HW152" s="7"/>
      <c r="HX152" s="7"/>
      <c r="HY152" s="7"/>
      <c r="HZ152" s="7"/>
      <c r="IA152" s="7"/>
      <c r="IB152" s="7"/>
      <c r="IC152" s="7"/>
      <c r="ID152" s="7"/>
      <c r="IE152" s="7"/>
      <c r="IF152" s="7"/>
      <c r="IG152" s="7"/>
      <c r="IH152" s="7"/>
      <c r="II152" s="7"/>
      <c r="IJ152" s="7"/>
      <c r="IK152" s="7"/>
      <c r="IL152" s="7"/>
      <c r="IM152" s="7"/>
      <c r="IN152" s="7"/>
      <c r="IO152" s="7"/>
      <c r="IP152" s="7"/>
      <c r="IQ152" s="7"/>
      <c r="IR152" s="7"/>
      <c r="IS152" s="7"/>
      <c r="IT152" s="7"/>
      <c r="IU152" s="7"/>
      <c r="IV152" s="7"/>
      <c r="IW152" s="7"/>
      <c r="IX152" s="7"/>
      <c r="JA152" s="113"/>
      <c r="JB152" s="113"/>
      <c r="JC152" s="113"/>
      <c r="JD152" s="66">
        <f>SUM((TEXT(JA152,"[M]")/60)*'Income Person-hours'!$D$3,(TEXT(JB152,"[M]")/60)*'Income Person-hours'!$D$4,(TEXT(JC152,"[M]")/60)*'Income Person-hours'!$D$5)</f>
        <v>0</v>
      </c>
    </row>
    <row r="153" spans="1:264 16383:16384" s="11" customFormat="1" ht="11.25" hidden="1">
      <c r="A153" s="30">
        <v>6.19</v>
      </c>
      <c r="B153" s="116"/>
      <c r="C153" s="107"/>
      <c r="D153" s="12" t="str">
        <f>IF(OR(j_WEEKDAY(J_ADDDAY(VLOOKUP(I153,A:F,6,FALSE),H153,1),0)=6,SUMIFS(Holieday[ok],Holieday[date],J_ADDDAY(VLOOKUP(I153,A:F,6,FALSE),H153,1)))=FALSE(),J_ADDDAY(VLOOKUP(I153,A:F,6,FALSE),H153,1),IF(OR(j_WEEKDAY(J_ADDDAY(VLOOKUP(I153,A:F,6,FALSE),H153+1,1),0)=6,SUMIFS(Holieday[ok],Holieday[date],J_ADDDAY(VLOOKUP(I153,A:F,6,FALSE),H153+1,1)))=FALSE(),J_ADDDAY(VLOOKUP(I153,A:F,6,FALSE),H153+1,1),IF(OR(j_WEEKDAY(J_ADDDAY(VLOOKUP(I153,A:F,6,FALSE),H153+2,1),0)=6,SUMIFS(Holieday[ok],Holieday[date],J_ADDDAY(VLOOKUP(I153,A:F,6,FALSE),H153+2,1)))=FALSE(),J_ADDDAY(VLOOKUP(I153,A:F,6,FALSE),H153+2,1),IF(OR(j_WEEKDAY(J_ADDDAY(VLOOKUP(I153,A:F,6,FALSE),H153+3,1),0)=6,SUMIFS(Holieday[ok],Holieday[date],J_ADDDAY(VLOOKUP(I153,A:F,6,FALSE),H153+3,1)))=FALSE(),J_ADDDAY(VLOOKUP(I153,A:F,6,FALSE),H153+3,1),IF(OR(j_WEEKDAY(J_ADDDAY(VLOOKUP(I153,A:F,6,FALSE),H153+4,1),0)=6,SUMIFS(Holieday[ok],Holieday[date],J_ADDDAY(VLOOKUP(I153,A:F,6,FALSE),H153+4,1)))=FALSE(),J_ADDDAY(VLOOKUP(I153,A:F,6,FALSE),H153+4,1),J_ADDDAY(VLOOKUP(I153,A:F,6,FALSE),H153+5,1))))))</f>
        <v>1398/07/29</v>
      </c>
      <c r="E153" s="1">
        <f t="shared" si="42"/>
        <v>13980729</v>
      </c>
      <c r="F153" s="12" t="str">
        <f>IF(N153=0,J_SUBDAY(D153,1,1),IF((N153-NETWORKDAYS.INTL(J_GregorianDate(D153,1),J_GregorianDate(J_SUBDAY(J_ADDDAY(D153,N153,1),1,1),1),16,1)-SUMIFS(Holieday[ok],Holieday[date],CONCATENATE("&gt;","=",D153),Holieday[date],CONCATENATE("&lt;","=",J_SUBDAY(J_ADDDAY(D153,N153,1),1,1)))+SUMIFS(Holieday[Friday],Holieday[date],CONCATENATE("&gt;","=",D153),Holieday[date],CONCATENATE("&lt;","=",J_SUBDAY(J_ADDDAY(D153,N153,1),1,1))))=0,J_SUBDAY(J_ADDDAY(D153,N153,1),1,1),IF((N153-NETWORKDAYS.INTL(J_GregorianDate(D153,1),J_GregorianDate(J_SUBDAY(J_ADDDAY(D153,N153,1),1,1),1),16,1)-SUMIFS(Holieday[ok],Holieday[date],CONCATENATE("&gt;","=",D153),Holieday[date],CONCATENATE("&lt;","=",J_SUBDAY(J_ADDDAY(D153,N153,1),1,1)))+SUMIFS(Holieday[Friday],Holieday[date],CONCATENATE("&gt;","=",D153),Holieday[date],CONCATENATE("&lt;","=",J_SUBDAY(J_ADDDAY(D153,N153,1),1,1))))=1,J_SUBDAY(J_ADDDAY(D153,N153+1,1),1,1),IF((N153-NETWORKDAYS.INTL(J_GregorianDate(D153,1),J_GregorianDate(J_SUBDAY(J_ADDDAY(D153,N153,1),1,1),1),16,1)-SUMIFS(Holieday[ok],Holieday[date],CONCATENATE("&gt;","=",D153),Holieday[date],CONCATENATE("&lt;","=",J_SUBDAY(J_ADDDAY(D153,N153,1),1,1)))+SUMIFS(Holieday[Friday],Holieday[date],CONCATENATE("&gt;","=",D153),Holieday[date],CONCATENATE("&lt;","=",J_SUBDAY(J_ADDDAY(D153,N153,1),1,1))))=2,J_SUBDAY(J_ADDDAY(D153,N153+2,1),1,1),J_SUBDAY(J_ADDDAY(D153,N153+3,1),1,1)))))</f>
        <v>1398/07/28</v>
      </c>
      <c r="G153" s="2">
        <f t="shared" si="43"/>
        <v>13980728</v>
      </c>
      <c r="H153" s="109"/>
      <c r="I153" s="110">
        <v>6.3</v>
      </c>
      <c r="J153" s="9">
        <f>j_WEEKDAY(D153,2)</f>
        <v>2</v>
      </c>
      <c r="K153" s="21">
        <f t="shared" si="46"/>
        <v>0</v>
      </c>
      <c r="L153" s="8">
        <f t="shared" si="47"/>
        <v>0</v>
      </c>
      <c r="M153" s="111">
        <v>0</v>
      </c>
      <c r="N153" s="108">
        <v>0</v>
      </c>
      <c r="O153" s="10">
        <f t="shared" si="48"/>
        <v>0</v>
      </c>
      <c r="P153" s="10">
        <f>VALUE(J_normdate(J_ADDDAY($D153,$O153,1)))</f>
        <v>13980729</v>
      </c>
      <c r="Q153" s="9">
        <f t="shared" si="49"/>
        <v>0</v>
      </c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  <c r="BB153" s="7"/>
      <c r="BC153" s="7"/>
      <c r="BD153" s="7"/>
      <c r="BE153" s="7"/>
      <c r="BF153" s="7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/>
      <c r="BR153" s="7"/>
      <c r="BS153" s="7"/>
      <c r="BT153" s="7"/>
      <c r="BU153" s="7"/>
      <c r="BV153" s="7"/>
      <c r="BW153" s="7"/>
      <c r="BX153" s="7"/>
      <c r="BY153" s="7"/>
      <c r="BZ153" s="7"/>
      <c r="CA153" s="7"/>
      <c r="CB153" s="7"/>
      <c r="CC153" s="7"/>
      <c r="CD153" s="7"/>
      <c r="CE153" s="7"/>
      <c r="CF153" s="7"/>
      <c r="CG153" s="7"/>
      <c r="CH153" s="7"/>
      <c r="CI153" s="7"/>
      <c r="CJ153" s="7"/>
      <c r="CK153" s="7"/>
      <c r="CL153" s="7"/>
      <c r="CM153" s="7"/>
      <c r="CN153" s="7"/>
      <c r="CO153" s="7"/>
      <c r="CP153" s="7"/>
      <c r="CQ153" s="7"/>
      <c r="CR153" s="7"/>
      <c r="CS153" s="7"/>
      <c r="CT153" s="7"/>
      <c r="CU153" s="7"/>
      <c r="CV153" s="7"/>
      <c r="CW153" s="7"/>
      <c r="CX153" s="7"/>
      <c r="CY153" s="7"/>
      <c r="CZ153" s="7"/>
      <c r="DA153" s="7"/>
      <c r="DB153" s="7"/>
      <c r="DC153" s="7"/>
      <c r="DD153" s="7"/>
      <c r="DE153" s="7"/>
      <c r="DF153" s="7"/>
      <c r="DG153" s="7"/>
      <c r="DH153" s="7"/>
      <c r="DI153" s="7"/>
      <c r="DJ153" s="7"/>
      <c r="DK153" s="7"/>
      <c r="DL153" s="7"/>
      <c r="DM153" s="7"/>
      <c r="DN153" s="7"/>
      <c r="DO153" s="7"/>
      <c r="DP153" s="7"/>
      <c r="DQ153" s="7"/>
      <c r="DR153" s="7"/>
      <c r="DS153" s="7"/>
      <c r="DT153" s="7"/>
      <c r="DU153" s="7"/>
      <c r="DV153" s="7"/>
      <c r="DW153" s="7"/>
      <c r="DX153" s="7"/>
      <c r="DY153" s="7"/>
      <c r="DZ153" s="7"/>
      <c r="EA153" s="7"/>
      <c r="EB153" s="7"/>
      <c r="EC153" s="7"/>
      <c r="ED153" s="7"/>
      <c r="EE153" s="7"/>
      <c r="EF153" s="7"/>
      <c r="EG153" s="7"/>
      <c r="EH153" s="7"/>
      <c r="EI153" s="7"/>
      <c r="EJ153" s="7"/>
      <c r="EK153" s="7"/>
      <c r="EL153" s="7"/>
      <c r="EM153" s="7"/>
      <c r="EN153" s="7"/>
      <c r="EO153" s="7"/>
      <c r="EP153" s="7"/>
      <c r="EQ153" s="7"/>
      <c r="ER153" s="7"/>
      <c r="ES153" s="7"/>
      <c r="ET153" s="7"/>
      <c r="EU153" s="7"/>
      <c r="EV153" s="7"/>
      <c r="EW153" s="7"/>
      <c r="EX153" s="7"/>
      <c r="EY153" s="7"/>
      <c r="EZ153" s="7"/>
      <c r="FA153" s="7"/>
      <c r="FB153" s="7"/>
      <c r="FC153" s="7"/>
      <c r="FD153" s="7"/>
      <c r="FE153" s="7"/>
      <c r="FF153" s="7"/>
      <c r="FG153" s="7"/>
      <c r="FH153" s="7"/>
      <c r="FI153" s="7"/>
      <c r="FJ153" s="7"/>
      <c r="FK153" s="7"/>
      <c r="FL153" s="7"/>
      <c r="FM153" s="7"/>
      <c r="FN153" s="7"/>
      <c r="FO153" s="7"/>
      <c r="FP153" s="7"/>
      <c r="FQ153" s="7"/>
      <c r="FR153" s="7"/>
      <c r="FS153" s="7"/>
      <c r="FT153" s="7"/>
      <c r="FU153" s="7"/>
      <c r="FV153" s="7"/>
      <c r="FW153" s="7"/>
      <c r="FX153" s="7"/>
      <c r="FY153" s="7"/>
      <c r="FZ153" s="7"/>
      <c r="GA153" s="7"/>
      <c r="GB153" s="7"/>
      <c r="GC153" s="7"/>
      <c r="GD153" s="7"/>
      <c r="GE153" s="7"/>
      <c r="GF153" s="7"/>
      <c r="GG153" s="7"/>
      <c r="GH153" s="7"/>
      <c r="GI153" s="7"/>
      <c r="GJ153" s="7"/>
      <c r="GK153" s="7"/>
      <c r="GL153" s="7"/>
      <c r="GM153" s="7"/>
      <c r="GN153" s="7"/>
      <c r="GO153" s="7"/>
      <c r="GP153" s="7"/>
      <c r="GQ153" s="7"/>
      <c r="GR153" s="7"/>
      <c r="GS153" s="7"/>
      <c r="GT153" s="7"/>
      <c r="GU153" s="7"/>
      <c r="GV153" s="7"/>
      <c r="GW153" s="7"/>
      <c r="GX153" s="7"/>
      <c r="GY153" s="7"/>
      <c r="GZ153" s="7"/>
      <c r="HA153" s="7"/>
      <c r="HB153" s="7"/>
      <c r="HC153" s="7"/>
      <c r="HD153" s="7"/>
      <c r="HE153" s="7"/>
      <c r="HF153" s="7"/>
      <c r="HG153" s="7"/>
      <c r="HH153" s="7"/>
      <c r="HI153" s="7"/>
      <c r="HJ153" s="7"/>
      <c r="HK153" s="7"/>
      <c r="HL153" s="7"/>
      <c r="HM153" s="7"/>
      <c r="HN153" s="7"/>
      <c r="HO153" s="7"/>
      <c r="HP153" s="7"/>
      <c r="HQ153" s="7"/>
      <c r="HR153" s="7"/>
      <c r="HS153" s="7"/>
      <c r="HT153" s="7"/>
      <c r="HU153" s="7"/>
      <c r="HV153" s="7"/>
      <c r="HW153" s="7"/>
      <c r="HX153" s="7"/>
      <c r="HY153" s="7"/>
      <c r="HZ153" s="7"/>
      <c r="IA153" s="7"/>
      <c r="IB153" s="7"/>
      <c r="IC153" s="7"/>
      <c r="ID153" s="7"/>
      <c r="IE153" s="7"/>
      <c r="IF153" s="7"/>
      <c r="IG153" s="7"/>
      <c r="IH153" s="7"/>
      <c r="II153" s="7"/>
      <c r="IJ153" s="7"/>
      <c r="IK153" s="7"/>
      <c r="IL153" s="7"/>
      <c r="IM153" s="7"/>
      <c r="IN153" s="7"/>
      <c r="IO153" s="7"/>
      <c r="IP153" s="7"/>
      <c r="IQ153" s="7"/>
      <c r="IR153" s="7"/>
      <c r="IS153" s="7"/>
      <c r="IT153" s="7"/>
      <c r="IU153" s="7"/>
      <c r="IV153" s="7"/>
      <c r="IW153" s="7"/>
      <c r="IX153" s="7"/>
      <c r="JA153" s="113"/>
      <c r="JB153" s="113"/>
      <c r="JC153" s="113"/>
      <c r="JD153" s="66">
        <f>SUM((TEXT(JA153,"[M]")/60)*'Income Person-hours'!$D$3,(TEXT(JB153,"[M]")/60)*'Income Person-hours'!$D$4,(TEXT(JC153,"[M]")/60)*'Income Person-hours'!$D$5)</f>
        <v>0</v>
      </c>
    </row>
    <row r="154" spans="1:264 16383:16384" s="11" customFormat="1" ht="11.25" hidden="1">
      <c r="A154" s="30">
        <v>6.21</v>
      </c>
      <c r="B154" s="116"/>
      <c r="C154" s="107"/>
      <c r="D154" s="12" t="str">
        <f>IF(OR(j_WEEKDAY(J_ADDDAY(VLOOKUP(I154,A:F,6,FALSE),H154,1),0)=6,SUMIFS(Holieday[ok],Holieday[date],J_ADDDAY(VLOOKUP(I154,A:F,6,FALSE),H154,1)))=FALSE(),J_ADDDAY(VLOOKUP(I154,A:F,6,FALSE),H154,1),IF(OR(j_WEEKDAY(J_ADDDAY(VLOOKUP(I154,A:F,6,FALSE),H154+1,1),0)=6,SUMIFS(Holieday[ok],Holieday[date],J_ADDDAY(VLOOKUP(I154,A:F,6,FALSE),H154+1,1)))=FALSE(),J_ADDDAY(VLOOKUP(I154,A:F,6,FALSE),H154+1,1),IF(OR(j_WEEKDAY(J_ADDDAY(VLOOKUP(I154,A:F,6,FALSE),H154+2,1),0)=6,SUMIFS(Holieday[ok],Holieday[date],J_ADDDAY(VLOOKUP(I154,A:F,6,FALSE),H154+2,1)))=FALSE(),J_ADDDAY(VLOOKUP(I154,A:F,6,FALSE),H154+2,1),IF(OR(j_WEEKDAY(J_ADDDAY(VLOOKUP(I154,A:F,6,FALSE),H154+3,1),0)=6,SUMIFS(Holieday[ok],Holieday[date],J_ADDDAY(VLOOKUP(I154,A:F,6,FALSE),H154+3,1)))=FALSE(),J_ADDDAY(VLOOKUP(I154,A:F,6,FALSE),H154+3,1),IF(OR(j_WEEKDAY(J_ADDDAY(VLOOKUP(I154,A:F,6,FALSE),H154+4,1),0)=6,SUMIFS(Holieday[ok],Holieday[date],J_ADDDAY(VLOOKUP(I154,A:F,6,FALSE),H154+4,1)))=FALSE(),J_ADDDAY(VLOOKUP(I154,A:F,6,FALSE),H154+4,1),J_ADDDAY(VLOOKUP(I154,A:F,6,FALSE),H154+5,1))))))</f>
        <v>1398/07/29</v>
      </c>
      <c r="E154" s="1">
        <f t="shared" si="42"/>
        <v>13980729</v>
      </c>
      <c r="F154" s="12" t="str">
        <f>IF(N154=0,J_SUBDAY(D154,1,1),IF((N154-NETWORKDAYS.INTL(J_GregorianDate(D154,1),J_GregorianDate(J_SUBDAY(J_ADDDAY(D154,N154,1),1,1),1),16,1)-SUMIFS(Holieday[ok],Holieday[date],CONCATENATE("&gt;","=",D154),Holieday[date],CONCATENATE("&lt;","=",J_SUBDAY(J_ADDDAY(D154,N154,1),1,1)))+SUMIFS(Holieday[Friday],Holieday[date],CONCATENATE("&gt;","=",D154),Holieday[date],CONCATENATE("&lt;","=",J_SUBDAY(J_ADDDAY(D154,N154,1),1,1))))=0,J_SUBDAY(J_ADDDAY(D154,N154,1),1,1),IF((N154-NETWORKDAYS.INTL(J_GregorianDate(D154,1),J_GregorianDate(J_SUBDAY(J_ADDDAY(D154,N154,1),1,1),1),16,1)-SUMIFS(Holieday[ok],Holieday[date],CONCATENATE("&gt;","=",D154),Holieday[date],CONCATENATE("&lt;","=",J_SUBDAY(J_ADDDAY(D154,N154,1),1,1)))+SUMIFS(Holieday[Friday],Holieday[date],CONCATENATE("&gt;","=",D154),Holieday[date],CONCATENATE("&lt;","=",J_SUBDAY(J_ADDDAY(D154,N154,1),1,1))))=1,J_SUBDAY(J_ADDDAY(D154,N154+1,1),1,1),IF((N154-NETWORKDAYS.INTL(J_GregorianDate(D154,1),J_GregorianDate(J_SUBDAY(J_ADDDAY(D154,N154,1),1,1),1),16,1)-SUMIFS(Holieday[ok],Holieday[date],CONCATENATE("&gt;","=",D154),Holieday[date],CONCATENATE("&lt;","=",J_SUBDAY(J_ADDDAY(D154,N154,1),1,1)))+SUMIFS(Holieday[Friday],Holieday[date],CONCATENATE("&gt;","=",D154),Holieday[date],CONCATENATE("&lt;","=",J_SUBDAY(J_ADDDAY(D154,N154,1),1,1))))=2,J_SUBDAY(J_ADDDAY(D154,N154+2,1),1,1),J_SUBDAY(J_ADDDAY(D154,N154+3,1),1,1)))))</f>
        <v>1398/07/28</v>
      </c>
      <c r="G154" s="2">
        <f t="shared" si="43"/>
        <v>13980728</v>
      </c>
      <c r="H154" s="109"/>
      <c r="I154" s="110">
        <v>6.3</v>
      </c>
      <c r="J154" s="9">
        <f>j_WEEKDAY(D154,2)</f>
        <v>2</v>
      </c>
      <c r="K154" s="21">
        <f t="shared" si="46"/>
        <v>0</v>
      </c>
      <c r="L154" s="8">
        <f t="shared" si="47"/>
        <v>0</v>
      </c>
      <c r="M154" s="111">
        <v>0</v>
      </c>
      <c r="N154" s="108">
        <v>0</v>
      </c>
      <c r="O154" s="10">
        <f t="shared" si="48"/>
        <v>0</v>
      </c>
      <c r="P154" s="10">
        <f>VALUE(J_normdate(J_ADDDAY($D154,$O154,1)))</f>
        <v>13980729</v>
      </c>
      <c r="Q154" s="9">
        <f t="shared" si="49"/>
        <v>0</v>
      </c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  <c r="BB154" s="7"/>
      <c r="BC154" s="7"/>
      <c r="BD154" s="7"/>
      <c r="BE154" s="7"/>
      <c r="BF154" s="7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/>
      <c r="BR154" s="7"/>
      <c r="BS154" s="7"/>
      <c r="BT154" s="7"/>
      <c r="BU154" s="7"/>
      <c r="BV154" s="7"/>
      <c r="BW154" s="7"/>
      <c r="BX154" s="7"/>
      <c r="BY154" s="7"/>
      <c r="BZ154" s="7"/>
      <c r="CA154" s="7"/>
      <c r="CB154" s="7"/>
      <c r="CC154" s="7"/>
      <c r="CD154" s="7"/>
      <c r="CE154" s="7"/>
      <c r="CF154" s="7"/>
      <c r="CG154" s="7"/>
      <c r="CH154" s="7"/>
      <c r="CI154" s="7"/>
      <c r="CJ154" s="7"/>
      <c r="CK154" s="7"/>
      <c r="CL154" s="7"/>
      <c r="CM154" s="7"/>
      <c r="CN154" s="7"/>
      <c r="CO154" s="7"/>
      <c r="CP154" s="7"/>
      <c r="CQ154" s="7"/>
      <c r="CR154" s="7"/>
      <c r="CS154" s="7"/>
      <c r="CT154" s="7"/>
      <c r="CU154" s="7"/>
      <c r="CV154" s="7"/>
      <c r="CW154" s="7"/>
      <c r="CX154" s="7"/>
      <c r="CY154" s="7"/>
      <c r="CZ154" s="7"/>
      <c r="DA154" s="7"/>
      <c r="DB154" s="7"/>
      <c r="DC154" s="7"/>
      <c r="DD154" s="7"/>
      <c r="DE154" s="7"/>
      <c r="DF154" s="7"/>
      <c r="DG154" s="7"/>
      <c r="DH154" s="7"/>
      <c r="DI154" s="7"/>
      <c r="DJ154" s="7"/>
      <c r="DK154" s="7"/>
      <c r="DL154" s="7"/>
      <c r="DM154" s="7"/>
      <c r="DN154" s="7"/>
      <c r="DO154" s="7"/>
      <c r="DP154" s="7"/>
      <c r="DQ154" s="7"/>
      <c r="DR154" s="7"/>
      <c r="DS154" s="7"/>
      <c r="DT154" s="7"/>
      <c r="DU154" s="7"/>
      <c r="DV154" s="7"/>
      <c r="DW154" s="7"/>
      <c r="DX154" s="7"/>
      <c r="DY154" s="7"/>
      <c r="DZ154" s="7"/>
      <c r="EA154" s="7"/>
      <c r="EB154" s="7"/>
      <c r="EC154" s="7"/>
      <c r="ED154" s="7"/>
      <c r="EE154" s="7"/>
      <c r="EF154" s="7"/>
      <c r="EG154" s="7"/>
      <c r="EH154" s="7"/>
      <c r="EI154" s="7"/>
      <c r="EJ154" s="7"/>
      <c r="EK154" s="7"/>
      <c r="EL154" s="7"/>
      <c r="EM154" s="7"/>
      <c r="EN154" s="7"/>
      <c r="EO154" s="7"/>
      <c r="EP154" s="7"/>
      <c r="EQ154" s="7"/>
      <c r="ER154" s="7"/>
      <c r="ES154" s="7"/>
      <c r="ET154" s="7"/>
      <c r="EU154" s="7"/>
      <c r="EV154" s="7"/>
      <c r="EW154" s="7"/>
      <c r="EX154" s="7"/>
      <c r="EY154" s="7"/>
      <c r="EZ154" s="7"/>
      <c r="FA154" s="7"/>
      <c r="FB154" s="7"/>
      <c r="FC154" s="7"/>
      <c r="FD154" s="7"/>
      <c r="FE154" s="7"/>
      <c r="FF154" s="7"/>
      <c r="FG154" s="7"/>
      <c r="FH154" s="7"/>
      <c r="FI154" s="7"/>
      <c r="FJ154" s="7"/>
      <c r="FK154" s="7"/>
      <c r="FL154" s="7"/>
      <c r="FM154" s="7"/>
      <c r="FN154" s="7"/>
      <c r="FO154" s="7"/>
      <c r="FP154" s="7"/>
      <c r="FQ154" s="7"/>
      <c r="FR154" s="7"/>
      <c r="FS154" s="7"/>
      <c r="FT154" s="7"/>
      <c r="FU154" s="7"/>
      <c r="FV154" s="7"/>
      <c r="FW154" s="7"/>
      <c r="FX154" s="7"/>
      <c r="FY154" s="7"/>
      <c r="FZ154" s="7"/>
      <c r="GA154" s="7"/>
      <c r="GB154" s="7"/>
      <c r="GC154" s="7"/>
      <c r="GD154" s="7"/>
      <c r="GE154" s="7"/>
      <c r="GF154" s="7"/>
      <c r="GG154" s="7"/>
      <c r="GH154" s="7"/>
      <c r="GI154" s="7"/>
      <c r="GJ154" s="7"/>
      <c r="GK154" s="7"/>
      <c r="GL154" s="7"/>
      <c r="GM154" s="7"/>
      <c r="GN154" s="7"/>
      <c r="GO154" s="7"/>
      <c r="GP154" s="7"/>
      <c r="GQ154" s="7"/>
      <c r="GR154" s="7"/>
      <c r="GS154" s="7"/>
      <c r="GT154" s="7"/>
      <c r="GU154" s="7"/>
      <c r="GV154" s="7"/>
      <c r="GW154" s="7"/>
      <c r="GX154" s="7"/>
      <c r="GY154" s="7"/>
      <c r="GZ154" s="7"/>
      <c r="HA154" s="7"/>
      <c r="HB154" s="7"/>
      <c r="HC154" s="7"/>
      <c r="HD154" s="7"/>
      <c r="HE154" s="7"/>
      <c r="HF154" s="7"/>
      <c r="HG154" s="7"/>
      <c r="HH154" s="7"/>
      <c r="HI154" s="7"/>
      <c r="HJ154" s="7"/>
      <c r="HK154" s="7"/>
      <c r="HL154" s="7"/>
      <c r="HM154" s="7"/>
      <c r="HN154" s="7"/>
      <c r="HO154" s="7"/>
      <c r="HP154" s="7"/>
      <c r="HQ154" s="7"/>
      <c r="HR154" s="7"/>
      <c r="HS154" s="7"/>
      <c r="HT154" s="7"/>
      <c r="HU154" s="7"/>
      <c r="HV154" s="7"/>
      <c r="HW154" s="7"/>
      <c r="HX154" s="7"/>
      <c r="HY154" s="7"/>
      <c r="HZ154" s="7"/>
      <c r="IA154" s="7"/>
      <c r="IB154" s="7"/>
      <c r="IC154" s="7"/>
      <c r="ID154" s="7"/>
      <c r="IE154" s="7"/>
      <c r="IF154" s="7"/>
      <c r="IG154" s="7"/>
      <c r="IH154" s="7"/>
      <c r="II154" s="7"/>
      <c r="IJ154" s="7"/>
      <c r="IK154" s="7"/>
      <c r="IL154" s="7"/>
      <c r="IM154" s="7"/>
      <c r="IN154" s="7"/>
      <c r="IO154" s="7"/>
      <c r="IP154" s="7"/>
      <c r="IQ154" s="7"/>
      <c r="IR154" s="7"/>
      <c r="IS154" s="7"/>
      <c r="IT154" s="7"/>
      <c r="IU154" s="7"/>
      <c r="IV154" s="7"/>
      <c r="IW154" s="7"/>
      <c r="IX154" s="7"/>
      <c r="JA154" s="113"/>
      <c r="JB154" s="113"/>
      <c r="JC154" s="113"/>
      <c r="JD154" s="66">
        <f>SUM((TEXT(JA154,"[M]")/60)*'Income Person-hours'!$D$3,(TEXT(JB154,"[M]")/60)*'Income Person-hours'!$D$4,(TEXT(JC154,"[M]")/60)*'Income Person-hours'!$D$5)</f>
        <v>0</v>
      </c>
    </row>
    <row r="155" spans="1:264 16383:16384" s="11" customFormat="1" ht="11.25" hidden="1">
      <c r="A155" s="30">
        <v>6.22</v>
      </c>
      <c r="B155" s="116"/>
      <c r="C155" s="107"/>
      <c r="D155" s="12" t="str">
        <f>IF(OR(j_WEEKDAY(J_ADDDAY(VLOOKUP(I155,A:F,6,FALSE),H155,1),0)=6,SUMIFS(Holieday[ok],Holieday[date],J_ADDDAY(VLOOKUP(I155,A:F,6,FALSE),H155,1)))=FALSE(),J_ADDDAY(VLOOKUP(I155,A:F,6,FALSE),H155,1),IF(OR(j_WEEKDAY(J_ADDDAY(VLOOKUP(I155,A:F,6,FALSE),H155+1,1),0)=6,SUMIFS(Holieday[ok],Holieday[date],J_ADDDAY(VLOOKUP(I155,A:F,6,FALSE),H155+1,1)))=FALSE(),J_ADDDAY(VLOOKUP(I155,A:F,6,FALSE),H155+1,1),IF(OR(j_WEEKDAY(J_ADDDAY(VLOOKUP(I155,A:F,6,FALSE),H155+2,1),0)=6,SUMIFS(Holieday[ok],Holieday[date],J_ADDDAY(VLOOKUP(I155,A:F,6,FALSE),H155+2,1)))=FALSE(),J_ADDDAY(VLOOKUP(I155,A:F,6,FALSE),H155+2,1),IF(OR(j_WEEKDAY(J_ADDDAY(VLOOKUP(I155,A:F,6,FALSE),H155+3,1),0)=6,SUMIFS(Holieday[ok],Holieday[date],J_ADDDAY(VLOOKUP(I155,A:F,6,FALSE),H155+3,1)))=FALSE(),J_ADDDAY(VLOOKUP(I155,A:F,6,FALSE),H155+3,1),IF(OR(j_WEEKDAY(J_ADDDAY(VLOOKUP(I155,A:F,6,FALSE),H155+4,1),0)=6,SUMIFS(Holieday[ok],Holieday[date],J_ADDDAY(VLOOKUP(I155,A:F,6,FALSE),H155+4,1)))=FALSE(),J_ADDDAY(VLOOKUP(I155,A:F,6,FALSE),H155+4,1),J_ADDDAY(VLOOKUP(I155,A:F,6,FALSE),H155+5,1))))))</f>
        <v>1398/07/29</v>
      </c>
      <c r="E155" s="1">
        <f t="shared" ref="E155:E186" si="50">VALUE(J_normdate(D155))</f>
        <v>13980729</v>
      </c>
      <c r="F155" s="12" t="str">
        <f>IF(N155=0,J_SUBDAY(D155,1,1),IF((N155-NETWORKDAYS.INTL(J_GregorianDate(D155,1),J_GregorianDate(J_SUBDAY(J_ADDDAY(D155,N155,1),1,1),1),16,1)-SUMIFS(Holieday[ok],Holieday[date],CONCATENATE("&gt;","=",D155),Holieday[date],CONCATENATE("&lt;","=",J_SUBDAY(J_ADDDAY(D155,N155,1),1,1)))+SUMIFS(Holieday[Friday],Holieday[date],CONCATENATE("&gt;","=",D155),Holieday[date],CONCATENATE("&lt;","=",J_SUBDAY(J_ADDDAY(D155,N155,1),1,1))))=0,J_SUBDAY(J_ADDDAY(D155,N155,1),1,1),IF((N155-NETWORKDAYS.INTL(J_GregorianDate(D155,1),J_GregorianDate(J_SUBDAY(J_ADDDAY(D155,N155,1),1,1),1),16,1)-SUMIFS(Holieday[ok],Holieday[date],CONCATENATE("&gt;","=",D155),Holieday[date],CONCATENATE("&lt;","=",J_SUBDAY(J_ADDDAY(D155,N155,1),1,1)))+SUMIFS(Holieday[Friday],Holieday[date],CONCATENATE("&gt;","=",D155),Holieday[date],CONCATENATE("&lt;","=",J_SUBDAY(J_ADDDAY(D155,N155,1),1,1))))=1,J_SUBDAY(J_ADDDAY(D155,N155+1,1),1,1),IF((N155-NETWORKDAYS.INTL(J_GregorianDate(D155,1),J_GregorianDate(J_SUBDAY(J_ADDDAY(D155,N155,1),1,1),1),16,1)-SUMIFS(Holieday[ok],Holieday[date],CONCATENATE("&gt;","=",D155),Holieday[date],CONCATENATE("&lt;","=",J_SUBDAY(J_ADDDAY(D155,N155,1),1,1)))+SUMIFS(Holieday[Friday],Holieday[date],CONCATENATE("&gt;","=",D155),Holieday[date],CONCATENATE("&lt;","=",J_SUBDAY(J_ADDDAY(D155,N155,1),1,1))))=2,J_SUBDAY(J_ADDDAY(D155,N155+2,1),1,1),J_SUBDAY(J_ADDDAY(D155,N155+3,1),1,1)))))</f>
        <v>1398/07/28</v>
      </c>
      <c r="G155" s="2">
        <f t="shared" ref="G155:G186" si="51">VALUE(J_normdate(F155))</f>
        <v>13980728</v>
      </c>
      <c r="H155" s="109"/>
      <c r="I155" s="110">
        <v>6.3</v>
      </c>
      <c r="J155" s="9">
        <f>j_WEEKDAY(D155,2)</f>
        <v>2</v>
      </c>
      <c r="K155" s="21">
        <f t="shared" si="46"/>
        <v>0</v>
      </c>
      <c r="L155" s="8">
        <f t="shared" si="47"/>
        <v>0</v>
      </c>
      <c r="M155" s="111">
        <v>0</v>
      </c>
      <c r="N155" s="108">
        <v>0</v>
      </c>
      <c r="O155" s="10">
        <f t="shared" si="48"/>
        <v>0</v>
      </c>
      <c r="P155" s="10">
        <f>VALUE(J_normdate(J_ADDDAY($D155,$O155,1)))</f>
        <v>13980729</v>
      </c>
      <c r="Q155" s="9">
        <f t="shared" si="49"/>
        <v>0</v>
      </c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  <c r="BE155" s="7"/>
      <c r="BF155" s="7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BS155" s="7"/>
      <c r="BT155" s="7"/>
      <c r="BU155" s="7"/>
      <c r="BV155" s="7"/>
      <c r="BW155" s="7"/>
      <c r="BX155" s="7"/>
      <c r="BY155" s="7"/>
      <c r="BZ155" s="7"/>
      <c r="CA155" s="7"/>
      <c r="CB155" s="7"/>
      <c r="CC155" s="7"/>
      <c r="CD155" s="7"/>
      <c r="CE155" s="7"/>
      <c r="CF155" s="7"/>
      <c r="CG155" s="7"/>
      <c r="CH155" s="7"/>
      <c r="CI155" s="7"/>
      <c r="CJ155" s="7"/>
      <c r="CK155" s="7"/>
      <c r="CL155" s="7"/>
      <c r="CM155" s="7"/>
      <c r="CN155" s="7"/>
      <c r="CO155" s="7"/>
      <c r="CP155" s="7"/>
      <c r="CQ155" s="7"/>
      <c r="CR155" s="7"/>
      <c r="CS155" s="7"/>
      <c r="CT155" s="7"/>
      <c r="CU155" s="7"/>
      <c r="CV155" s="7"/>
      <c r="CW155" s="7"/>
      <c r="CX155" s="7"/>
      <c r="CY155" s="7"/>
      <c r="CZ155" s="7"/>
      <c r="DA155" s="7"/>
      <c r="DB155" s="7"/>
      <c r="DC155" s="7"/>
      <c r="DD155" s="7"/>
      <c r="DE155" s="7"/>
      <c r="DF155" s="7"/>
      <c r="DG155" s="7"/>
      <c r="DH155" s="7"/>
      <c r="DI155" s="7"/>
      <c r="DJ155" s="7"/>
      <c r="DK155" s="7"/>
      <c r="DL155" s="7"/>
      <c r="DM155" s="7"/>
      <c r="DN155" s="7"/>
      <c r="DO155" s="7"/>
      <c r="DP155" s="7"/>
      <c r="DQ155" s="7"/>
      <c r="DR155" s="7"/>
      <c r="DS155" s="7"/>
      <c r="DT155" s="7"/>
      <c r="DU155" s="7"/>
      <c r="DV155" s="7"/>
      <c r="DW155" s="7"/>
      <c r="DX155" s="7"/>
      <c r="DY155" s="7"/>
      <c r="DZ155" s="7"/>
      <c r="EA155" s="7"/>
      <c r="EB155" s="7"/>
      <c r="EC155" s="7"/>
      <c r="ED155" s="7"/>
      <c r="EE155" s="7"/>
      <c r="EF155" s="7"/>
      <c r="EG155" s="7"/>
      <c r="EH155" s="7"/>
      <c r="EI155" s="7"/>
      <c r="EJ155" s="7"/>
      <c r="EK155" s="7"/>
      <c r="EL155" s="7"/>
      <c r="EM155" s="7"/>
      <c r="EN155" s="7"/>
      <c r="EO155" s="7"/>
      <c r="EP155" s="7"/>
      <c r="EQ155" s="7"/>
      <c r="ER155" s="7"/>
      <c r="ES155" s="7"/>
      <c r="ET155" s="7"/>
      <c r="EU155" s="7"/>
      <c r="EV155" s="7"/>
      <c r="EW155" s="7"/>
      <c r="EX155" s="7"/>
      <c r="EY155" s="7"/>
      <c r="EZ155" s="7"/>
      <c r="FA155" s="7"/>
      <c r="FB155" s="7"/>
      <c r="FC155" s="7"/>
      <c r="FD155" s="7"/>
      <c r="FE155" s="7"/>
      <c r="FF155" s="7"/>
      <c r="FG155" s="7"/>
      <c r="FH155" s="7"/>
      <c r="FI155" s="7"/>
      <c r="FJ155" s="7"/>
      <c r="FK155" s="7"/>
      <c r="FL155" s="7"/>
      <c r="FM155" s="7"/>
      <c r="FN155" s="7"/>
      <c r="FO155" s="7"/>
      <c r="FP155" s="7"/>
      <c r="FQ155" s="7"/>
      <c r="FR155" s="7"/>
      <c r="FS155" s="7"/>
      <c r="FT155" s="7"/>
      <c r="FU155" s="7"/>
      <c r="FV155" s="7"/>
      <c r="FW155" s="7"/>
      <c r="FX155" s="7"/>
      <c r="FY155" s="7"/>
      <c r="FZ155" s="7"/>
      <c r="GA155" s="7"/>
      <c r="GB155" s="7"/>
      <c r="GC155" s="7"/>
      <c r="GD155" s="7"/>
      <c r="GE155" s="7"/>
      <c r="GF155" s="7"/>
      <c r="GG155" s="7"/>
      <c r="GH155" s="7"/>
      <c r="GI155" s="7"/>
      <c r="GJ155" s="7"/>
      <c r="GK155" s="7"/>
      <c r="GL155" s="7"/>
      <c r="GM155" s="7"/>
      <c r="GN155" s="7"/>
      <c r="GO155" s="7"/>
      <c r="GP155" s="7"/>
      <c r="GQ155" s="7"/>
      <c r="GR155" s="7"/>
      <c r="GS155" s="7"/>
      <c r="GT155" s="7"/>
      <c r="GU155" s="7"/>
      <c r="GV155" s="7"/>
      <c r="GW155" s="7"/>
      <c r="GX155" s="7"/>
      <c r="GY155" s="7"/>
      <c r="GZ155" s="7"/>
      <c r="HA155" s="7"/>
      <c r="HB155" s="7"/>
      <c r="HC155" s="7"/>
      <c r="HD155" s="7"/>
      <c r="HE155" s="7"/>
      <c r="HF155" s="7"/>
      <c r="HG155" s="7"/>
      <c r="HH155" s="7"/>
      <c r="HI155" s="7"/>
      <c r="HJ155" s="7"/>
      <c r="HK155" s="7"/>
      <c r="HL155" s="7"/>
      <c r="HM155" s="7"/>
      <c r="HN155" s="7"/>
      <c r="HO155" s="7"/>
      <c r="HP155" s="7"/>
      <c r="HQ155" s="7"/>
      <c r="HR155" s="7"/>
      <c r="HS155" s="7"/>
      <c r="HT155" s="7"/>
      <c r="HU155" s="7"/>
      <c r="HV155" s="7"/>
      <c r="HW155" s="7"/>
      <c r="HX155" s="7"/>
      <c r="HY155" s="7"/>
      <c r="HZ155" s="7"/>
      <c r="IA155" s="7"/>
      <c r="IB155" s="7"/>
      <c r="IC155" s="7"/>
      <c r="ID155" s="7"/>
      <c r="IE155" s="7"/>
      <c r="IF155" s="7"/>
      <c r="IG155" s="7"/>
      <c r="IH155" s="7"/>
      <c r="II155" s="7"/>
      <c r="IJ155" s="7"/>
      <c r="IK155" s="7"/>
      <c r="IL155" s="7"/>
      <c r="IM155" s="7"/>
      <c r="IN155" s="7"/>
      <c r="IO155" s="7"/>
      <c r="IP155" s="7"/>
      <c r="IQ155" s="7"/>
      <c r="IR155" s="7"/>
      <c r="IS155" s="7"/>
      <c r="IT155" s="7"/>
      <c r="IU155" s="7"/>
      <c r="IV155" s="7"/>
      <c r="IW155" s="7"/>
      <c r="IX155" s="7"/>
      <c r="JA155" s="113"/>
      <c r="JB155" s="113"/>
      <c r="JC155" s="113"/>
      <c r="JD155" s="66">
        <f>SUM((TEXT(JA155,"[M]")/60)*'Income Person-hours'!$D$3,(TEXT(JB155,"[M]")/60)*'Income Person-hours'!$D$4,(TEXT(JC155,"[M]")/60)*'Income Person-hours'!$D$5)</f>
        <v>0</v>
      </c>
    </row>
    <row r="156" spans="1:264 16383:16384" s="11" customFormat="1" ht="11.25" hidden="1">
      <c r="A156" s="30">
        <v>6.23</v>
      </c>
      <c r="B156" s="116"/>
      <c r="C156" s="107"/>
      <c r="D156" s="12" t="str">
        <f>IF(OR(j_WEEKDAY(J_ADDDAY(VLOOKUP(I156,A:F,6,FALSE),H156,1),0)=6,SUMIFS(Holieday[ok],Holieday[date],J_ADDDAY(VLOOKUP(I156,A:F,6,FALSE),H156,1)))=FALSE(),J_ADDDAY(VLOOKUP(I156,A:F,6,FALSE),H156,1),IF(OR(j_WEEKDAY(J_ADDDAY(VLOOKUP(I156,A:F,6,FALSE),H156+1,1),0)=6,SUMIFS(Holieday[ok],Holieday[date],J_ADDDAY(VLOOKUP(I156,A:F,6,FALSE),H156+1,1)))=FALSE(),J_ADDDAY(VLOOKUP(I156,A:F,6,FALSE),H156+1,1),IF(OR(j_WEEKDAY(J_ADDDAY(VLOOKUP(I156,A:F,6,FALSE),H156+2,1),0)=6,SUMIFS(Holieday[ok],Holieday[date],J_ADDDAY(VLOOKUP(I156,A:F,6,FALSE),H156+2,1)))=FALSE(),J_ADDDAY(VLOOKUP(I156,A:F,6,FALSE),H156+2,1),IF(OR(j_WEEKDAY(J_ADDDAY(VLOOKUP(I156,A:F,6,FALSE),H156+3,1),0)=6,SUMIFS(Holieday[ok],Holieday[date],J_ADDDAY(VLOOKUP(I156,A:F,6,FALSE),H156+3,1)))=FALSE(),J_ADDDAY(VLOOKUP(I156,A:F,6,FALSE),H156+3,1),IF(OR(j_WEEKDAY(J_ADDDAY(VLOOKUP(I156,A:F,6,FALSE),H156+4,1),0)=6,SUMIFS(Holieday[ok],Holieday[date],J_ADDDAY(VLOOKUP(I156,A:F,6,FALSE),H156+4,1)))=FALSE(),J_ADDDAY(VLOOKUP(I156,A:F,6,FALSE),H156+4,1),J_ADDDAY(VLOOKUP(I156,A:F,6,FALSE),H156+5,1))))))</f>
        <v>1398/07/29</v>
      </c>
      <c r="E156" s="1">
        <f t="shared" si="50"/>
        <v>13980729</v>
      </c>
      <c r="F156" s="12" t="str">
        <f>IF(N156=0,J_SUBDAY(D156,1,1),IF((N156-NETWORKDAYS.INTL(J_GregorianDate(D156,1),J_GregorianDate(J_SUBDAY(J_ADDDAY(D156,N156,1),1,1),1),16,1)-SUMIFS(Holieday[ok],Holieday[date],CONCATENATE("&gt;","=",D156),Holieday[date],CONCATENATE("&lt;","=",J_SUBDAY(J_ADDDAY(D156,N156,1),1,1)))+SUMIFS(Holieday[Friday],Holieday[date],CONCATENATE("&gt;","=",D156),Holieday[date],CONCATENATE("&lt;","=",J_SUBDAY(J_ADDDAY(D156,N156,1),1,1))))=0,J_SUBDAY(J_ADDDAY(D156,N156,1),1,1),IF((N156-NETWORKDAYS.INTL(J_GregorianDate(D156,1),J_GregorianDate(J_SUBDAY(J_ADDDAY(D156,N156,1),1,1),1),16,1)-SUMIFS(Holieday[ok],Holieday[date],CONCATENATE("&gt;","=",D156),Holieday[date],CONCATENATE("&lt;","=",J_SUBDAY(J_ADDDAY(D156,N156,1),1,1)))+SUMIFS(Holieday[Friday],Holieday[date],CONCATENATE("&gt;","=",D156),Holieday[date],CONCATENATE("&lt;","=",J_SUBDAY(J_ADDDAY(D156,N156,1),1,1))))=1,J_SUBDAY(J_ADDDAY(D156,N156+1,1),1,1),IF((N156-NETWORKDAYS.INTL(J_GregorianDate(D156,1),J_GregorianDate(J_SUBDAY(J_ADDDAY(D156,N156,1),1,1),1),16,1)-SUMIFS(Holieday[ok],Holieday[date],CONCATENATE("&gt;","=",D156),Holieday[date],CONCATENATE("&lt;","=",J_SUBDAY(J_ADDDAY(D156,N156,1),1,1)))+SUMIFS(Holieday[Friday],Holieday[date],CONCATENATE("&gt;","=",D156),Holieday[date],CONCATENATE("&lt;","=",J_SUBDAY(J_ADDDAY(D156,N156,1),1,1))))=2,J_SUBDAY(J_ADDDAY(D156,N156+2,1),1,1),J_SUBDAY(J_ADDDAY(D156,N156+3,1),1,1)))))</f>
        <v>1398/07/28</v>
      </c>
      <c r="G156" s="2">
        <f t="shared" si="51"/>
        <v>13980728</v>
      </c>
      <c r="H156" s="109"/>
      <c r="I156" s="110">
        <v>6.3</v>
      </c>
      <c r="J156" s="9">
        <f>j_WEEKDAY(D156,2)</f>
        <v>2</v>
      </c>
      <c r="K156" s="21">
        <f t="shared" si="46"/>
        <v>0</v>
      </c>
      <c r="L156" s="8">
        <f t="shared" si="47"/>
        <v>0</v>
      </c>
      <c r="M156" s="111">
        <v>0</v>
      </c>
      <c r="N156" s="108">
        <v>0</v>
      </c>
      <c r="O156" s="10">
        <f t="shared" si="48"/>
        <v>0</v>
      </c>
      <c r="P156" s="10">
        <f>VALUE(J_normdate(J_ADDDAY($D156,$O156,1)))</f>
        <v>13980729</v>
      </c>
      <c r="Q156" s="9">
        <f t="shared" si="49"/>
        <v>0</v>
      </c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  <c r="BB156" s="7"/>
      <c r="BC156" s="7"/>
      <c r="BD156" s="7"/>
      <c r="BE156" s="7"/>
      <c r="BF156" s="7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BS156" s="7"/>
      <c r="BT156" s="7"/>
      <c r="BU156" s="7"/>
      <c r="BV156" s="7"/>
      <c r="BW156" s="7"/>
      <c r="BX156" s="7"/>
      <c r="BY156" s="7"/>
      <c r="BZ156" s="7"/>
      <c r="CA156" s="7"/>
      <c r="CB156" s="7"/>
      <c r="CC156" s="7"/>
      <c r="CD156" s="7"/>
      <c r="CE156" s="7"/>
      <c r="CF156" s="7"/>
      <c r="CG156" s="7"/>
      <c r="CH156" s="7"/>
      <c r="CI156" s="7"/>
      <c r="CJ156" s="7"/>
      <c r="CK156" s="7"/>
      <c r="CL156" s="7"/>
      <c r="CM156" s="7"/>
      <c r="CN156" s="7"/>
      <c r="CO156" s="7"/>
      <c r="CP156" s="7"/>
      <c r="CQ156" s="7"/>
      <c r="CR156" s="7"/>
      <c r="CS156" s="7"/>
      <c r="CT156" s="7"/>
      <c r="CU156" s="7"/>
      <c r="CV156" s="7"/>
      <c r="CW156" s="7"/>
      <c r="CX156" s="7"/>
      <c r="CY156" s="7"/>
      <c r="CZ156" s="7"/>
      <c r="DA156" s="7"/>
      <c r="DB156" s="7"/>
      <c r="DC156" s="7"/>
      <c r="DD156" s="7"/>
      <c r="DE156" s="7"/>
      <c r="DF156" s="7"/>
      <c r="DG156" s="7"/>
      <c r="DH156" s="7"/>
      <c r="DI156" s="7"/>
      <c r="DJ156" s="7"/>
      <c r="DK156" s="7"/>
      <c r="DL156" s="7"/>
      <c r="DM156" s="7"/>
      <c r="DN156" s="7"/>
      <c r="DO156" s="7"/>
      <c r="DP156" s="7"/>
      <c r="DQ156" s="7"/>
      <c r="DR156" s="7"/>
      <c r="DS156" s="7"/>
      <c r="DT156" s="7"/>
      <c r="DU156" s="7"/>
      <c r="DV156" s="7"/>
      <c r="DW156" s="7"/>
      <c r="DX156" s="7"/>
      <c r="DY156" s="7"/>
      <c r="DZ156" s="7"/>
      <c r="EA156" s="7"/>
      <c r="EB156" s="7"/>
      <c r="EC156" s="7"/>
      <c r="ED156" s="7"/>
      <c r="EE156" s="7"/>
      <c r="EF156" s="7"/>
      <c r="EG156" s="7"/>
      <c r="EH156" s="7"/>
      <c r="EI156" s="7"/>
      <c r="EJ156" s="7"/>
      <c r="EK156" s="7"/>
      <c r="EL156" s="7"/>
      <c r="EM156" s="7"/>
      <c r="EN156" s="7"/>
      <c r="EO156" s="7"/>
      <c r="EP156" s="7"/>
      <c r="EQ156" s="7"/>
      <c r="ER156" s="7"/>
      <c r="ES156" s="7"/>
      <c r="ET156" s="7"/>
      <c r="EU156" s="7"/>
      <c r="EV156" s="7"/>
      <c r="EW156" s="7"/>
      <c r="EX156" s="7"/>
      <c r="EY156" s="7"/>
      <c r="EZ156" s="7"/>
      <c r="FA156" s="7"/>
      <c r="FB156" s="7"/>
      <c r="FC156" s="7"/>
      <c r="FD156" s="7"/>
      <c r="FE156" s="7"/>
      <c r="FF156" s="7"/>
      <c r="FG156" s="7"/>
      <c r="FH156" s="7"/>
      <c r="FI156" s="7"/>
      <c r="FJ156" s="7"/>
      <c r="FK156" s="7"/>
      <c r="FL156" s="7"/>
      <c r="FM156" s="7"/>
      <c r="FN156" s="7"/>
      <c r="FO156" s="7"/>
      <c r="FP156" s="7"/>
      <c r="FQ156" s="7"/>
      <c r="FR156" s="7"/>
      <c r="FS156" s="7"/>
      <c r="FT156" s="7"/>
      <c r="FU156" s="7"/>
      <c r="FV156" s="7"/>
      <c r="FW156" s="7"/>
      <c r="FX156" s="7"/>
      <c r="FY156" s="7"/>
      <c r="FZ156" s="7"/>
      <c r="GA156" s="7"/>
      <c r="GB156" s="7"/>
      <c r="GC156" s="7"/>
      <c r="GD156" s="7"/>
      <c r="GE156" s="7"/>
      <c r="GF156" s="7"/>
      <c r="GG156" s="7"/>
      <c r="GH156" s="7"/>
      <c r="GI156" s="7"/>
      <c r="GJ156" s="7"/>
      <c r="GK156" s="7"/>
      <c r="GL156" s="7"/>
      <c r="GM156" s="7"/>
      <c r="GN156" s="7"/>
      <c r="GO156" s="7"/>
      <c r="GP156" s="7"/>
      <c r="GQ156" s="7"/>
      <c r="GR156" s="7"/>
      <c r="GS156" s="7"/>
      <c r="GT156" s="7"/>
      <c r="GU156" s="7"/>
      <c r="GV156" s="7"/>
      <c r="GW156" s="7"/>
      <c r="GX156" s="7"/>
      <c r="GY156" s="7"/>
      <c r="GZ156" s="7"/>
      <c r="HA156" s="7"/>
      <c r="HB156" s="7"/>
      <c r="HC156" s="7"/>
      <c r="HD156" s="7"/>
      <c r="HE156" s="7"/>
      <c r="HF156" s="7"/>
      <c r="HG156" s="7"/>
      <c r="HH156" s="7"/>
      <c r="HI156" s="7"/>
      <c r="HJ156" s="7"/>
      <c r="HK156" s="7"/>
      <c r="HL156" s="7"/>
      <c r="HM156" s="7"/>
      <c r="HN156" s="7"/>
      <c r="HO156" s="7"/>
      <c r="HP156" s="7"/>
      <c r="HQ156" s="7"/>
      <c r="HR156" s="7"/>
      <c r="HS156" s="7"/>
      <c r="HT156" s="7"/>
      <c r="HU156" s="7"/>
      <c r="HV156" s="7"/>
      <c r="HW156" s="7"/>
      <c r="HX156" s="7"/>
      <c r="HY156" s="7"/>
      <c r="HZ156" s="7"/>
      <c r="IA156" s="7"/>
      <c r="IB156" s="7"/>
      <c r="IC156" s="7"/>
      <c r="ID156" s="7"/>
      <c r="IE156" s="7"/>
      <c r="IF156" s="7"/>
      <c r="IG156" s="7"/>
      <c r="IH156" s="7"/>
      <c r="II156" s="7"/>
      <c r="IJ156" s="7"/>
      <c r="IK156" s="7"/>
      <c r="IL156" s="7"/>
      <c r="IM156" s="7"/>
      <c r="IN156" s="7"/>
      <c r="IO156" s="7"/>
      <c r="IP156" s="7"/>
      <c r="IQ156" s="7"/>
      <c r="IR156" s="7"/>
      <c r="IS156" s="7"/>
      <c r="IT156" s="7"/>
      <c r="IU156" s="7"/>
      <c r="IV156" s="7"/>
      <c r="IW156" s="7"/>
      <c r="IX156" s="7"/>
      <c r="JA156" s="113"/>
      <c r="JB156" s="113"/>
      <c r="JC156" s="113"/>
      <c r="JD156" s="66">
        <f>SUM((TEXT(JA156,"[M]")/60)*'Income Person-hours'!$D$3,(TEXT(JB156,"[M]")/60)*'Income Person-hours'!$D$4,(TEXT(JC156,"[M]")/60)*'Income Person-hours'!$D$5)</f>
        <v>0</v>
      </c>
    </row>
    <row r="157" spans="1:264 16383:16384" s="373" customFormat="1" ht="13.5">
      <c r="A157" s="364">
        <v>7</v>
      </c>
      <c r="B157" s="387" t="s">
        <v>69</v>
      </c>
      <c r="C157" s="388"/>
      <c r="D157" s="367" t="str">
        <f>FDate(MIN(E158:E178))</f>
        <v>1398/09/14</v>
      </c>
      <c r="E157" s="160">
        <f t="shared" si="50"/>
        <v>13980914</v>
      </c>
      <c r="F157" s="367" t="str">
        <f>J_SUBDAY(J_ADDDAY(D157,L157,1),1,1)</f>
        <v>1398/10/01</v>
      </c>
      <c r="G157" s="163">
        <f t="shared" si="51"/>
        <v>13981001</v>
      </c>
      <c r="H157" s="379"/>
      <c r="I157" s="380"/>
      <c r="J157" s="367">
        <f>j_WEEKDAY(D157,2)</f>
        <v>5</v>
      </c>
      <c r="K157" s="164">
        <f>SUM(K158:K178)</f>
        <v>0</v>
      </c>
      <c r="L157" s="370">
        <f>J_DIFF(D157,FDate(MAX(G158:G178)))+1</f>
        <v>18</v>
      </c>
      <c r="M157" s="371">
        <f>IF(SUM(L158:L178)&lt;&gt;0,SUMPRODUCT(L158:L178,M158:M178)/SUM(L158:L178),0)</f>
        <v>0</v>
      </c>
      <c r="N157" s="372">
        <f>IF(F157&gt;=D157,NETWORKDAYS.INTL(J_GregorianDate(D157,1),J_GregorianDate(F157,1),16,1)-SUMIFS(Holieday[ok],Holieday[date],CONCATENATE("&gt;","=",D157),Holieday[date],CONCATENATE("&lt;","=",F157))+SUMIFS(Holieday[Friday],Holieday[date],CONCATENATE("&gt;","=",D157),Holieday[date],CONCATENATE("&lt;","=",F157)),0)</f>
        <v>15</v>
      </c>
      <c r="O157" s="159">
        <f t="shared" ref="O157" si="52">ROUNDDOWN(M157*L157,0)</f>
        <v>0</v>
      </c>
      <c r="P157" s="159">
        <f>VALUE(J_normdate(J_ADDDAY($D157,$O157,1)))</f>
        <v>13980914</v>
      </c>
      <c r="Q157" s="162">
        <f t="shared" ref="Q157" si="53">L157-O157</f>
        <v>18</v>
      </c>
      <c r="R157" s="382"/>
      <c r="IY157" s="389"/>
      <c r="IZ157" s="389"/>
      <c r="JA157" s="376"/>
      <c r="JB157" s="390"/>
      <c r="XFC157" s="391"/>
      <c r="XFD157" s="391"/>
    </row>
    <row r="158" spans="1:264 16383:16384" s="169" customFormat="1" ht="13.5">
      <c r="A158" s="279">
        <v>7.1</v>
      </c>
      <c r="B158" s="277" t="s">
        <v>117</v>
      </c>
      <c r="C158" s="263" t="s">
        <v>110</v>
      </c>
      <c r="D158" s="280" t="str">
        <f>IF(OR(j_WEEKDAY(J_ADDDAY(VLOOKUP(I158,A:F,6,FALSE),H158,1),0)=6,SUMIFS(Holieday[ok],Holieday[date],J_ADDDAY(VLOOKUP(I158,A:F,6,FALSE),H158,1)))=FALSE(),J_ADDDAY(VLOOKUP(I158,A:F,6,FALSE),H158,1),IF(OR(j_WEEKDAY(J_ADDDAY(VLOOKUP(I158,A:F,6,FALSE),H158+1,1),0)=6,SUMIFS(Holieday[ok],Holieday[date],J_ADDDAY(VLOOKUP(I158,A:F,6,FALSE),H158+1,1)))=FALSE(),J_ADDDAY(VLOOKUP(I158,A:F,6,FALSE),H158+1,1),IF(OR(j_WEEKDAY(J_ADDDAY(VLOOKUP(I158,A:F,6,FALSE),H158+2,1),0)=6,SUMIFS(Holieday[ok],Holieday[date],J_ADDDAY(VLOOKUP(I158,A:F,6,FALSE),H158+2,1)))=FALSE(),J_ADDDAY(VLOOKUP(I158,A:F,6,FALSE),H158+2,1),IF(OR(j_WEEKDAY(J_ADDDAY(VLOOKUP(I158,A:F,6,FALSE),H158+3,1),0)=6,SUMIFS(Holieday[ok],Holieday[date],J_ADDDAY(VLOOKUP(I158,A:F,6,FALSE),H158+3,1)))=FALSE(),J_ADDDAY(VLOOKUP(I158,A:F,6,FALSE),H158+3,1),IF(OR(j_WEEKDAY(J_ADDDAY(VLOOKUP(I158,A:F,6,FALSE),H158+4,1),0)=6,SUMIFS(Holieday[ok],Holieday[date],J_ADDDAY(VLOOKUP(I158,A:F,6,FALSE),H158+4,1)))=FALSE(),J_ADDDAY(VLOOKUP(I158,A:F,6,FALSE),H158+4,1),J_ADDDAY(VLOOKUP(I158,A:F,6,FALSE),H158+5,1))))))</f>
        <v>1398/09/14</v>
      </c>
      <c r="E158" s="160">
        <f t="shared" si="50"/>
        <v>13980914</v>
      </c>
      <c r="F158" s="280" t="str">
        <f>IF(N158=0,J_SUBDAY(D158,1,1),IF((N158-NETWORKDAYS.INTL(J_GregorianDate(D158,1),J_GregorianDate(J_SUBDAY(J_ADDDAY(D158,N158,1),1,1),1),16,1)-SUMIFS(Holieday[ok],Holieday[date],CONCATENATE("&gt;","=",D158),Holieday[date],CONCATENATE("&lt;","=",J_SUBDAY(J_ADDDAY(D158,N158,1),1,1)))+SUMIFS(Holieday[Friday],Holieday[date],CONCATENATE("&gt;","=",D158),Holieday[date],CONCATENATE("&lt;","=",J_SUBDAY(J_ADDDAY(D158,N158,1),1,1))))=0,J_SUBDAY(J_ADDDAY(D158,N158,1),1,1),IF((N158-NETWORKDAYS.INTL(J_GregorianDate(D158,1),J_GregorianDate(J_SUBDAY(J_ADDDAY(D158,N158,1),1,1),1),16,1)-SUMIFS(Holieday[ok],Holieday[date],CONCATENATE("&gt;","=",D158),Holieday[date],CONCATENATE("&lt;","=",J_SUBDAY(J_ADDDAY(D158,N158,1),1,1)))+SUMIFS(Holieday[Friday],Holieday[date],CONCATENATE("&gt;","=",D158),Holieday[date],CONCATENATE("&lt;","=",J_SUBDAY(J_ADDDAY(D158,N158,1),1,1))))=1,J_SUBDAY(J_ADDDAY(D158,N158+1,1),1,1),IF((N158-NETWORKDAYS.INTL(J_GregorianDate(D158,1),J_GregorianDate(J_SUBDAY(J_ADDDAY(D158,N158,1),1,1),1),16,1)-SUMIFS(Holieday[ok],Holieday[date],CONCATENATE("&gt;","=",D158),Holieday[date],CONCATENATE("&lt;","=",J_SUBDAY(J_ADDDAY(D158,N158,1),1,1)))+SUMIFS(Holieday[Friday],Holieday[date],CONCATENATE("&gt;","=",D158),Holieday[date],CONCATENATE("&lt;","=",J_SUBDAY(J_ADDDAY(D158,N158,1),1,1))))=2,J_SUBDAY(J_ADDDAY(D158,N158+2,1),1,1),J_SUBDAY(J_ADDDAY(D158,N158+3,1),1,1)))))</f>
        <v>1398/09/14</v>
      </c>
      <c r="G158" s="163">
        <f t="shared" si="51"/>
        <v>13980914</v>
      </c>
      <c r="H158" s="266">
        <v>1</v>
      </c>
      <c r="I158" s="267">
        <v>3.27</v>
      </c>
      <c r="J158" s="265">
        <f>j_WEEKDAY(D158,2)</f>
        <v>5</v>
      </c>
      <c r="K158" s="173">
        <f t="shared" ref="K158:K178" si="54">SUM(JA158:JC158)</f>
        <v>0</v>
      </c>
      <c r="L158" s="306">
        <f t="shared" ref="L158:L178" si="55">J_DIFF(D158,F158)+1</f>
        <v>1</v>
      </c>
      <c r="M158" s="307">
        <v>0</v>
      </c>
      <c r="N158" s="270">
        <v>1</v>
      </c>
      <c r="O158" s="175">
        <f t="shared" ref="O158" si="56">ROUNDDOWN(M158*L158,0)</f>
        <v>0</v>
      </c>
      <c r="P158" s="175">
        <f>VALUE(J_normdate(J_ADDDAY($D158,$O158,1)))</f>
        <v>13980914</v>
      </c>
      <c r="Q158" s="171">
        <f t="shared" ref="Q158" si="57">L158-O158</f>
        <v>1</v>
      </c>
      <c r="R158" s="271"/>
      <c r="IY158" s="7"/>
      <c r="IZ158" s="7"/>
      <c r="JA158" s="107"/>
      <c r="JB158" s="213"/>
      <c r="JC158" s="107"/>
      <c r="JD158" s="212">
        <f>SUM((TEXT(JA158,"[M]")/60)*'Income Person-hours'!$D$3,(TEXT(JB158,"[M]")/60)*'Income Person-hours'!$D$4,(TEXT(JC158,"[M]")/60)*'Income Person-hours'!$D$5)</f>
        <v>0</v>
      </c>
    </row>
    <row r="159" spans="1:264 16383:16384" s="191" customFormat="1" ht="13.5">
      <c r="A159" s="288">
        <v>7.2</v>
      </c>
      <c r="B159" s="277" t="s">
        <v>80</v>
      </c>
      <c r="C159" s="263" t="s">
        <v>110</v>
      </c>
      <c r="D159" s="280" t="str">
        <f>IF(OR(j_WEEKDAY(J_ADDDAY(VLOOKUP(I159,A:F,6,FALSE),H159,1),0)=6,SUMIFS(Holieday[ok],Holieday[date],J_ADDDAY(VLOOKUP(I159,A:F,6,FALSE),H159,1)))=FALSE(),J_ADDDAY(VLOOKUP(I159,A:F,6,FALSE),H159,1),IF(OR(j_WEEKDAY(J_ADDDAY(VLOOKUP(I159,A:F,6,FALSE),H159+1,1),0)=6,SUMIFS(Holieday[ok],Holieday[date],J_ADDDAY(VLOOKUP(I159,A:F,6,FALSE),H159+1,1)))=FALSE(),J_ADDDAY(VLOOKUP(I159,A:F,6,FALSE),H159+1,1),IF(OR(j_WEEKDAY(J_ADDDAY(VLOOKUP(I159,A:F,6,FALSE),H159+2,1),0)=6,SUMIFS(Holieday[ok],Holieday[date],J_ADDDAY(VLOOKUP(I159,A:F,6,FALSE),H159+2,1)))=FALSE(),J_ADDDAY(VLOOKUP(I159,A:F,6,FALSE),H159+2,1),IF(OR(j_WEEKDAY(J_ADDDAY(VLOOKUP(I159,A:F,6,FALSE),H159+3,1),0)=6,SUMIFS(Holieday[ok],Holieday[date],J_ADDDAY(VLOOKUP(I159,A:F,6,FALSE),H159+3,1)))=FALSE(),J_ADDDAY(VLOOKUP(I159,A:F,6,FALSE),H159+3,1),IF(OR(j_WEEKDAY(J_ADDDAY(VLOOKUP(I159,A:F,6,FALSE),H159+4,1),0)=6,SUMIFS(Holieday[ok],Holieday[date],J_ADDDAY(VLOOKUP(I159,A:F,6,FALSE),H159+4,1)))=FALSE(),J_ADDDAY(VLOOKUP(I159,A:F,6,FALSE),H159+4,1),J_ADDDAY(VLOOKUP(I159,A:F,6,FALSE),H159+5,1))))))</f>
        <v>1398/09/30</v>
      </c>
      <c r="E159" s="160">
        <f t="shared" si="50"/>
        <v>13980930</v>
      </c>
      <c r="F159" s="280" t="str">
        <f>IF(N159=0,J_SUBDAY(D159,1,1),IF((N159-NETWORKDAYS.INTL(J_GregorianDate(D159,1),J_GregorianDate(J_SUBDAY(J_ADDDAY(D159,N159,1),1,1),1),16,1)-SUMIFS(Holieday[ok],Holieday[date],CONCATENATE("&gt;","=",D159),Holieday[date],CONCATENATE("&lt;","=",J_SUBDAY(J_ADDDAY(D159,N159,1),1,1)))+SUMIFS(Holieday[Friday],Holieday[date],CONCATENATE("&gt;","=",D159),Holieday[date],CONCATENATE("&lt;","=",J_SUBDAY(J_ADDDAY(D159,N159,1),1,1))))=0,J_SUBDAY(J_ADDDAY(D159,N159,1),1,1),IF((N159-NETWORKDAYS.INTL(J_GregorianDate(D159,1),J_GregorianDate(J_SUBDAY(J_ADDDAY(D159,N159,1),1,1),1),16,1)-SUMIFS(Holieday[ok],Holieday[date],CONCATENATE("&gt;","=",D159),Holieday[date],CONCATENATE("&lt;","=",J_SUBDAY(J_ADDDAY(D159,N159,1),1,1)))+SUMIFS(Holieday[Friday],Holieday[date],CONCATENATE("&gt;","=",D159),Holieday[date],CONCATENATE("&lt;","=",J_SUBDAY(J_ADDDAY(D159,N159,1),1,1))))=1,J_SUBDAY(J_ADDDAY(D159,N159+1,1),1,1),IF((N159-NETWORKDAYS.INTL(J_GregorianDate(D159,1),J_GregorianDate(J_SUBDAY(J_ADDDAY(D159,N159,1),1,1),1),16,1)-SUMIFS(Holieday[ok],Holieday[date],CONCATENATE("&gt;","=",D159),Holieday[date],CONCATENATE("&lt;","=",J_SUBDAY(J_ADDDAY(D159,N159,1),1,1)))+SUMIFS(Holieday[Friday],Holieday[date],CONCATENATE("&gt;","=",D159),Holieday[date],CONCATENATE("&lt;","=",J_SUBDAY(J_ADDDAY(D159,N159,1),1,1))))=2,J_SUBDAY(J_ADDDAY(D159,N159+2,1),1,1),J_SUBDAY(J_ADDDAY(D159,N159+3,1),1,1)))))</f>
        <v>1398/10/01</v>
      </c>
      <c r="G159" s="163">
        <f t="shared" si="51"/>
        <v>13981001</v>
      </c>
      <c r="H159" s="266">
        <v>15</v>
      </c>
      <c r="I159" s="267">
        <v>7.1</v>
      </c>
      <c r="J159" s="265">
        <f>j_WEEKDAY(D159,2)</f>
        <v>0</v>
      </c>
      <c r="K159" s="173">
        <f t="shared" si="54"/>
        <v>0</v>
      </c>
      <c r="L159" s="268">
        <f t="shared" si="55"/>
        <v>2</v>
      </c>
      <c r="M159" s="269">
        <v>0</v>
      </c>
      <c r="N159" s="270">
        <v>2</v>
      </c>
      <c r="O159" s="175">
        <f t="shared" ref="O159:O178" si="58">ROUNDDOWN(M159*L159,0)</f>
        <v>0</v>
      </c>
      <c r="P159" s="175">
        <f>VALUE(J_normdate(J_ADDDAY($D159,$O159,1)))</f>
        <v>13980930</v>
      </c>
      <c r="Q159" s="171">
        <f t="shared" ref="Q159:Q178" si="59">L159-O159</f>
        <v>2</v>
      </c>
      <c r="R159" s="271"/>
      <c r="S159" s="169"/>
      <c r="T159" s="169"/>
      <c r="U159" s="169"/>
      <c r="V159" s="169"/>
      <c r="W159" s="169"/>
      <c r="X159" s="169"/>
      <c r="Y159" s="169"/>
      <c r="Z159" s="169"/>
      <c r="AA159" s="169"/>
      <c r="AB159" s="169"/>
      <c r="AC159" s="169"/>
      <c r="AD159" s="169"/>
      <c r="AE159" s="169"/>
      <c r="AF159" s="169"/>
      <c r="AG159" s="169"/>
      <c r="AH159" s="169"/>
      <c r="AI159" s="169"/>
      <c r="AJ159" s="169"/>
      <c r="AK159" s="169"/>
      <c r="AL159" s="169"/>
      <c r="AM159" s="169"/>
      <c r="AN159" s="169"/>
      <c r="AO159" s="169"/>
      <c r="AP159" s="169"/>
      <c r="AQ159" s="169"/>
      <c r="AR159" s="169"/>
      <c r="AS159" s="169"/>
      <c r="AT159" s="169"/>
      <c r="AU159" s="169"/>
      <c r="AV159" s="169"/>
      <c r="AW159" s="169"/>
      <c r="AX159" s="169"/>
      <c r="AY159" s="169"/>
      <c r="AZ159" s="169"/>
      <c r="BA159" s="169"/>
      <c r="BB159" s="169"/>
      <c r="BC159" s="169"/>
      <c r="BD159" s="169"/>
      <c r="BE159" s="169"/>
      <c r="BF159" s="169"/>
      <c r="BG159" s="169"/>
      <c r="BH159" s="169"/>
      <c r="BI159" s="169"/>
      <c r="BJ159" s="169"/>
      <c r="BK159" s="169"/>
      <c r="BL159" s="169"/>
      <c r="BM159" s="169"/>
      <c r="BN159" s="169"/>
      <c r="BO159" s="169"/>
      <c r="BP159" s="169"/>
      <c r="BQ159" s="169"/>
      <c r="BR159" s="169"/>
      <c r="BS159" s="169"/>
      <c r="BT159" s="169"/>
      <c r="BU159" s="169"/>
      <c r="BV159" s="169"/>
      <c r="BW159" s="169"/>
      <c r="BX159" s="169"/>
      <c r="BY159" s="169"/>
      <c r="BZ159" s="169"/>
      <c r="CA159" s="169"/>
      <c r="CB159" s="169"/>
      <c r="CC159" s="169"/>
      <c r="CD159" s="169"/>
      <c r="CE159" s="169"/>
      <c r="CF159" s="169"/>
      <c r="CG159" s="169"/>
      <c r="CH159" s="169"/>
      <c r="CI159" s="169"/>
      <c r="CJ159" s="169"/>
      <c r="CK159" s="169"/>
      <c r="CL159" s="169"/>
      <c r="CM159" s="169"/>
      <c r="CN159" s="169"/>
      <c r="CO159" s="169"/>
      <c r="CP159" s="169"/>
      <c r="CQ159" s="169"/>
      <c r="CR159" s="169"/>
      <c r="CS159" s="169"/>
      <c r="CT159" s="169"/>
      <c r="CU159" s="169"/>
      <c r="CV159" s="169"/>
      <c r="CW159" s="169"/>
      <c r="CX159" s="169"/>
      <c r="CY159" s="169"/>
      <c r="CZ159" s="169"/>
      <c r="DA159" s="169"/>
      <c r="DB159" s="169"/>
      <c r="DC159" s="169"/>
      <c r="DD159" s="169"/>
      <c r="DE159" s="169"/>
      <c r="DF159" s="169"/>
      <c r="DG159" s="169"/>
      <c r="DH159" s="169"/>
      <c r="DI159" s="169"/>
      <c r="DJ159" s="169"/>
      <c r="DK159" s="169"/>
      <c r="DL159" s="169"/>
      <c r="DM159" s="169"/>
      <c r="DN159" s="169"/>
      <c r="DO159" s="169"/>
      <c r="DP159" s="169"/>
      <c r="DQ159" s="169"/>
      <c r="DR159" s="169"/>
      <c r="DS159" s="169"/>
      <c r="DT159" s="169"/>
      <c r="DU159" s="169"/>
      <c r="DV159" s="169"/>
      <c r="DW159" s="169"/>
      <c r="DX159" s="169"/>
      <c r="DY159" s="169"/>
      <c r="DZ159" s="169"/>
      <c r="EA159" s="169"/>
      <c r="EB159" s="169"/>
      <c r="EC159" s="169"/>
      <c r="ED159" s="169"/>
      <c r="EE159" s="169"/>
      <c r="EF159" s="169"/>
      <c r="EG159" s="169"/>
      <c r="EH159" s="169"/>
      <c r="EI159" s="169"/>
      <c r="EJ159" s="169"/>
      <c r="EK159" s="169"/>
      <c r="EL159" s="169"/>
      <c r="EM159" s="169"/>
      <c r="EN159" s="169"/>
      <c r="EO159" s="169"/>
      <c r="EP159" s="169"/>
      <c r="EQ159" s="169"/>
      <c r="ER159" s="169"/>
      <c r="ES159" s="169"/>
      <c r="ET159" s="169"/>
      <c r="EU159" s="169"/>
      <c r="EV159" s="169"/>
      <c r="EW159" s="169"/>
      <c r="EX159" s="169"/>
      <c r="EY159" s="169"/>
      <c r="EZ159" s="169"/>
      <c r="FA159" s="169"/>
      <c r="FB159" s="169"/>
      <c r="FC159" s="169"/>
      <c r="FD159" s="169"/>
      <c r="FE159" s="169"/>
      <c r="FF159" s="169"/>
      <c r="FG159" s="169"/>
      <c r="FH159" s="169"/>
      <c r="FI159" s="169"/>
      <c r="FJ159" s="169"/>
      <c r="FK159" s="169"/>
      <c r="FL159" s="169"/>
      <c r="FM159" s="169"/>
      <c r="FN159" s="169"/>
      <c r="FO159" s="169"/>
      <c r="FP159" s="169"/>
      <c r="FQ159" s="169"/>
      <c r="FR159" s="169"/>
      <c r="FS159" s="169"/>
      <c r="FT159" s="169"/>
      <c r="FU159" s="169"/>
      <c r="FV159" s="169"/>
      <c r="FW159" s="169"/>
      <c r="FX159" s="169"/>
      <c r="FY159" s="169"/>
      <c r="FZ159" s="169"/>
      <c r="GA159" s="169"/>
      <c r="GB159" s="169"/>
      <c r="GC159" s="169"/>
      <c r="GD159" s="169"/>
      <c r="GE159" s="169"/>
      <c r="GF159" s="169"/>
      <c r="GG159" s="169"/>
      <c r="GH159" s="169"/>
      <c r="GI159" s="169"/>
      <c r="GJ159" s="169"/>
      <c r="GK159" s="169"/>
      <c r="GL159" s="169"/>
      <c r="GM159" s="169"/>
      <c r="GN159" s="169"/>
      <c r="GO159" s="169"/>
      <c r="GP159" s="169"/>
      <c r="GQ159" s="169"/>
      <c r="GR159" s="169"/>
      <c r="GS159" s="169"/>
      <c r="GT159" s="169"/>
      <c r="GU159" s="169"/>
      <c r="GV159" s="169"/>
      <c r="GW159" s="169"/>
      <c r="GX159" s="169"/>
      <c r="GY159" s="169"/>
      <c r="GZ159" s="169"/>
      <c r="HA159" s="169"/>
      <c r="HB159" s="169"/>
      <c r="HC159" s="169"/>
      <c r="HD159" s="169"/>
      <c r="HE159" s="169"/>
      <c r="HF159" s="169"/>
      <c r="HG159" s="169"/>
      <c r="HH159" s="169"/>
      <c r="HI159" s="169"/>
      <c r="HJ159" s="169"/>
      <c r="HK159" s="169"/>
      <c r="HL159" s="169"/>
      <c r="HM159" s="169"/>
      <c r="HN159" s="169"/>
      <c r="HO159" s="169"/>
      <c r="HP159" s="169"/>
      <c r="HQ159" s="169"/>
      <c r="HR159" s="169"/>
      <c r="HS159" s="169"/>
      <c r="HT159" s="169"/>
      <c r="HU159" s="169"/>
      <c r="HV159" s="169"/>
      <c r="HW159" s="169"/>
      <c r="HX159" s="169"/>
      <c r="HY159" s="169"/>
      <c r="HZ159" s="169"/>
      <c r="IA159" s="169"/>
      <c r="IB159" s="169"/>
      <c r="IC159" s="169"/>
      <c r="ID159" s="169"/>
      <c r="IE159" s="169"/>
      <c r="IF159" s="169"/>
      <c r="IG159" s="169"/>
      <c r="IH159" s="169"/>
      <c r="II159" s="169"/>
      <c r="IJ159" s="169"/>
      <c r="IK159" s="169"/>
      <c r="IL159" s="169"/>
      <c r="IM159" s="169"/>
      <c r="IN159" s="169"/>
      <c r="IO159" s="169"/>
      <c r="IP159" s="169"/>
      <c r="IQ159" s="169"/>
      <c r="IR159" s="169"/>
      <c r="IS159" s="169"/>
      <c r="IT159" s="169"/>
      <c r="IU159" s="169"/>
      <c r="IV159" s="169"/>
      <c r="IW159" s="169"/>
      <c r="IX159" s="169"/>
      <c r="IY159" s="11"/>
      <c r="IZ159" s="11"/>
      <c r="JA159" s="113"/>
      <c r="JB159" s="118"/>
      <c r="JC159" s="117"/>
      <c r="JD159" s="192">
        <f>SUM((TEXT(JA159,"[M]")/60)*'Income Person-hours'!$D$3,(TEXT(JB159,"[M]")/60)*'Income Person-hours'!$D$4,(TEXT(JC159,"[M]")/60)*'Income Person-hours'!$D$5)</f>
        <v>0</v>
      </c>
    </row>
    <row r="160" spans="1:264 16383:16384" s="191" customFormat="1" ht="11.25" hidden="1">
      <c r="A160" s="176">
        <v>7.3</v>
      </c>
      <c r="B160" s="106"/>
      <c r="C160" s="107"/>
      <c r="D160" s="172" t="str">
        <f>IF(OR(j_WEEKDAY(J_ADDDAY(VLOOKUP(I160,A:F,6,FALSE),H160,1),0)=6,SUMIFS(Holieday[ok],Holieday[date],J_ADDDAY(VLOOKUP(I160,A:F,6,FALSE),H160,1)))=FALSE(),J_ADDDAY(VLOOKUP(I160,A:F,6,FALSE),H160,1),IF(OR(j_WEEKDAY(J_ADDDAY(VLOOKUP(I160,A:F,6,FALSE),H160+1,1),0)=6,SUMIFS(Holieday[ok],Holieday[date],J_ADDDAY(VLOOKUP(I160,A:F,6,FALSE),H160+1,1)))=FALSE(),J_ADDDAY(VLOOKUP(I160,A:F,6,FALSE),H160+1,1),IF(OR(j_WEEKDAY(J_ADDDAY(VLOOKUP(I160,A:F,6,FALSE),H160+2,1),0)=6,SUMIFS(Holieday[ok],Holieday[date],J_ADDDAY(VLOOKUP(I160,A:F,6,FALSE),H160+2,1)))=FALSE(),J_ADDDAY(VLOOKUP(I160,A:F,6,FALSE),H160+2,1),IF(OR(j_WEEKDAY(J_ADDDAY(VLOOKUP(I160,A:F,6,FALSE),H160+3,1),0)=6,SUMIFS(Holieday[ok],Holieday[date],J_ADDDAY(VLOOKUP(I160,A:F,6,FALSE),H160+3,1)))=FALSE(),J_ADDDAY(VLOOKUP(I160,A:F,6,FALSE),H160+3,1),IF(OR(j_WEEKDAY(J_ADDDAY(VLOOKUP(I160,A:F,6,FALSE),H160+4,1),0)=6,SUMIFS(Holieday[ok],Holieday[date],J_ADDDAY(VLOOKUP(I160,A:F,6,FALSE),H160+4,1)))=FALSE(),J_ADDDAY(VLOOKUP(I160,A:F,6,FALSE),H160+4,1),J_ADDDAY(VLOOKUP(I160,A:F,6,FALSE),H160+5,1))))))</f>
        <v>1398/09/14</v>
      </c>
      <c r="E160" s="160">
        <f t="shared" si="50"/>
        <v>13980914</v>
      </c>
      <c r="F160" s="172" t="str">
        <f>IF(N160=0,J_SUBDAY(D160,1,1),IF((N160-NETWORKDAYS.INTL(J_GregorianDate(D160,1),J_GregorianDate(J_SUBDAY(J_ADDDAY(D160,N160,1),1,1),1),16,1)-SUMIFS(Holieday[ok],Holieday[date],CONCATENATE("&gt;","=",D160),Holieday[date],CONCATENATE("&lt;","=",J_SUBDAY(J_ADDDAY(D160,N160,1),1,1)))+SUMIFS(Holieday[Friday],Holieday[date],CONCATENATE("&gt;","=",D160),Holieday[date],CONCATENATE("&lt;","=",J_SUBDAY(J_ADDDAY(D160,N160,1),1,1))))=0,J_SUBDAY(J_ADDDAY(D160,N160,1),1,1),IF((N160-NETWORKDAYS.INTL(J_GregorianDate(D160,1),J_GregorianDate(J_SUBDAY(J_ADDDAY(D160,N160,1),1,1),1),16,1)-SUMIFS(Holieday[ok],Holieday[date],CONCATENATE("&gt;","=",D160),Holieday[date],CONCATENATE("&lt;","=",J_SUBDAY(J_ADDDAY(D160,N160,1),1,1)))+SUMIFS(Holieday[Friday],Holieday[date],CONCATENATE("&gt;","=",D160),Holieday[date],CONCATENATE("&lt;","=",J_SUBDAY(J_ADDDAY(D160,N160,1),1,1))))=1,J_SUBDAY(J_ADDDAY(D160,N160+1,1),1,1),IF((N160-NETWORKDAYS.INTL(J_GregorianDate(D160,1),J_GregorianDate(J_SUBDAY(J_ADDDAY(D160,N160,1),1,1),1),16,1)-SUMIFS(Holieday[ok],Holieday[date],CONCATENATE("&gt;","=",D160),Holieday[date],CONCATENATE("&lt;","=",J_SUBDAY(J_ADDDAY(D160,N160,1),1,1)))+SUMIFS(Holieday[Friday],Holieday[date],CONCATENATE("&gt;","=",D160),Holieday[date],CONCATENATE("&lt;","=",J_SUBDAY(J_ADDDAY(D160,N160,1),1,1))))=2,J_SUBDAY(J_ADDDAY(D160,N160+2,1),1,1),J_SUBDAY(J_ADDDAY(D160,N160+3,1),1,1)))))</f>
        <v>1398/09/13</v>
      </c>
      <c r="G160" s="163">
        <f t="shared" si="51"/>
        <v>13980913</v>
      </c>
      <c r="H160" s="109"/>
      <c r="I160" s="110">
        <v>7.1</v>
      </c>
      <c r="J160" s="171">
        <f>j_WEEKDAY(D160,2)</f>
        <v>5</v>
      </c>
      <c r="K160" s="173">
        <f t="shared" si="54"/>
        <v>0</v>
      </c>
      <c r="L160" s="174">
        <f t="shared" si="55"/>
        <v>0</v>
      </c>
      <c r="M160" s="111">
        <v>0</v>
      </c>
      <c r="N160" s="108">
        <v>0</v>
      </c>
      <c r="O160" s="175">
        <f t="shared" si="58"/>
        <v>0</v>
      </c>
      <c r="P160" s="175">
        <f>VALUE(J_normdate(J_ADDDAY($D160,$O160,1)))</f>
        <v>13980914</v>
      </c>
      <c r="Q160" s="171">
        <f t="shared" si="59"/>
        <v>0</v>
      </c>
      <c r="R160" s="169"/>
      <c r="S160" s="169"/>
      <c r="T160" s="169"/>
      <c r="U160" s="169"/>
      <c r="V160" s="169"/>
      <c r="W160" s="169"/>
      <c r="X160" s="169"/>
      <c r="Y160" s="169"/>
      <c r="Z160" s="169"/>
      <c r="AA160" s="169"/>
      <c r="AB160" s="169"/>
      <c r="AC160" s="169"/>
      <c r="AD160" s="169"/>
      <c r="AE160" s="169"/>
      <c r="AF160" s="169"/>
      <c r="AG160" s="169"/>
      <c r="AH160" s="169"/>
      <c r="AI160" s="169"/>
      <c r="AJ160" s="169"/>
      <c r="AK160" s="169"/>
      <c r="AL160" s="169"/>
      <c r="AM160" s="169"/>
      <c r="AN160" s="169"/>
      <c r="AO160" s="169"/>
      <c r="AP160" s="169"/>
      <c r="AQ160" s="169"/>
      <c r="AR160" s="169"/>
      <c r="AS160" s="169"/>
      <c r="AT160" s="169"/>
      <c r="AU160" s="169"/>
      <c r="AV160" s="169"/>
      <c r="AW160" s="169"/>
      <c r="AX160" s="169"/>
      <c r="AY160" s="169"/>
      <c r="AZ160" s="169"/>
      <c r="BA160" s="169"/>
      <c r="BB160" s="169"/>
      <c r="BC160" s="169"/>
      <c r="BD160" s="169"/>
      <c r="BE160" s="169"/>
      <c r="BF160" s="169"/>
      <c r="BG160" s="169"/>
      <c r="BH160" s="169"/>
      <c r="BI160" s="169"/>
      <c r="BJ160" s="169"/>
      <c r="BK160" s="169"/>
      <c r="BL160" s="169"/>
      <c r="BM160" s="169"/>
      <c r="BN160" s="169"/>
      <c r="BO160" s="169"/>
      <c r="BP160" s="169"/>
      <c r="BQ160" s="169"/>
      <c r="BR160" s="169"/>
      <c r="BS160" s="169"/>
      <c r="BT160" s="169"/>
      <c r="BU160" s="169"/>
      <c r="BV160" s="169"/>
      <c r="BW160" s="169"/>
      <c r="BX160" s="169"/>
      <c r="BY160" s="169"/>
      <c r="BZ160" s="169"/>
      <c r="CA160" s="169"/>
      <c r="CB160" s="169"/>
      <c r="CC160" s="169"/>
      <c r="CD160" s="169"/>
      <c r="CE160" s="169"/>
      <c r="CF160" s="169"/>
      <c r="CG160" s="169"/>
      <c r="CH160" s="169"/>
      <c r="CI160" s="169"/>
      <c r="CJ160" s="169"/>
      <c r="CK160" s="169"/>
      <c r="CL160" s="169"/>
      <c r="CM160" s="169"/>
      <c r="CN160" s="169"/>
      <c r="CO160" s="169"/>
      <c r="CP160" s="169"/>
      <c r="CQ160" s="169"/>
      <c r="CR160" s="169"/>
      <c r="CS160" s="169"/>
      <c r="CT160" s="169"/>
      <c r="CU160" s="169"/>
      <c r="CV160" s="169"/>
      <c r="CW160" s="169"/>
      <c r="CX160" s="169"/>
      <c r="CY160" s="169"/>
      <c r="CZ160" s="169"/>
      <c r="DA160" s="169"/>
      <c r="DB160" s="169"/>
      <c r="DC160" s="169"/>
      <c r="DD160" s="169"/>
      <c r="DE160" s="169"/>
      <c r="DF160" s="169"/>
      <c r="DG160" s="169"/>
      <c r="DH160" s="169"/>
      <c r="DI160" s="169"/>
      <c r="DJ160" s="169"/>
      <c r="DK160" s="169"/>
      <c r="DL160" s="169"/>
      <c r="DM160" s="169"/>
      <c r="DN160" s="169"/>
      <c r="DO160" s="169"/>
      <c r="DP160" s="169"/>
      <c r="DQ160" s="169"/>
      <c r="DR160" s="169"/>
      <c r="DS160" s="169"/>
      <c r="DT160" s="169"/>
      <c r="DU160" s="169"/>
      <c r="DV160" s="169"/>
      <c r="DW160" s="169"/>
      <c r="DX160" s="169"/>
      <c r="DY160" s="169"/>
      <c r="DZ160" s="169"/>
      <c r="EA160" s="169"/>
      <c r="EB160" s="169"/>
      <c r="EC160" s="169"/>
      <c r="ED160" s="169"/>
      <c r="EE160" s="169"/>
      <c r="EF160" s="169"/>
      <c r="EG160" s="169"/>
      <c r="EH160" s="169"/>
      <c r="EI160" s="169"/>
      <c r="EJ160" s="169"/>
      <c r="EK160" s="169"/>
      <c r="EL160" s="169"/>
      <c r="EM160" s="169"/>
      <c r="EN160" s="169"/>
      <c r="EO160" s="169"/>
      <c r="EP160" s="169"/>
      <c r="EQ160" s="169"/>
      <c r="ER160" s="169"/>
      <c r="ES160" s="169"/>
      <c r="ET160" s="169"/>
      <c r="EU160" s="169"/>
      <c r="EV160" s="169"/>
      <c r="EW160" s="169"/>
      <c r="EX160" s="169"/>
      <c r="EY160" s="169"/>
      <c r="EZ160" s="169"/>
      <c r="FA160" s="169"/>
      <c r="FB160" s="169"/>
      <c r="FC160" s="169"/>
      <c r="FD160" s="169"/>
      <c r="FE160" s="169"/>
      <c r="FF160" s="169"/>
      <c r="FG160" s="169"/>
      <c r="FH160" s="169"/>
      <c r="FI160" s="169"/>
      <c r="FJ160" s="169"/>
      <c r="FK160" s="169"/>
      <c r="FL160" s="169"/>
      <c r="FM160" s="169"/>
      <c r="FN160" s="169"/>
      <c r="FO160" s="169"/>
      <c r="FP160" s="169"/>
      <c r="FQ160" s="169"/>
      <c r="FR160" s="169"/>
      <c r="FS160" s="169"/>
      <c r="FT160" s="169"/>
      <c r="FU160" s="169"/>
      <c r="FV160" s="169"/>
      <c r="FW160" s="169"/>
      <c r="FX160" s="169"/>
      <c r="FY160" s="169"/>
      <c r="FZ160" s="169"/>
      <c r="GA160" s="169"/>
      <c r="GB160" s="169"/>
      <c r="GC160" s="169"/>
      <c r="GD160" s="169"/>
      <c r="GE160" s="169"/>
      <c r="GF160" s="169"/>
      <c r="GG160" s="169"/>
      <c r="GH160" s="169"/>
      <c r="GI160" s="169"/>
      <c r="GJ160" s="169"/>
      <c r="GK160" s="169"/>
      <c r="GL160" s="169"/>
      <c r="GM160" s="169"/>
      <c r="GN160" s="169"/>
      <c r="GO160" s="169"/>
      <c r="GP160" s="169"/>
      <c r="GQ160" s="169"/>
      <c r="GR160" s="169"/>
      <c r="GS160" s="169"/>
      <c r="GT160" s="169"/>
      <c r="GU160" s="169"/>
      <c r="GV160" s="169"/>
      <c r="GW160" s="169"/>
      <c r="GX160" s="169"/>
      <c r="GY160" s="169"/>
      <c r="GZ160" s="169"/>
      <c r="HA160" s="169"/>
      <c r="HB160" s="169"/>
      <c r="HC160" s="169"/>
      <c r="HD160" s="169"/>
      <c r="HE160" s="169"/>
      <c r="HF160" s="169"/>
      <c r="HG160" s="169"/>
      <c r="HH160" s="169"/>
      <c r="HI160" s="169"/>
      <c r="HJ160" s="169"/>
      <c r="HK160" s="169"/>
      <c r="HL160" s="169"/>
      <c r="HM160" s="169"/>
      <c r="HN160" s="169"/>
      <c r="HO160" s="169"/>
      <c r="HP160" s="169"/>
      <c r="HQ160" s="169"/>
      <c r="HR160" s="169"/>
      <c r="HS160" s="169"/>
      <c r="HT160" s="169"/>
      <c r="HU160" s="169"/>
      <c r="HV160" s="169"/>
      <c r="HW160" s="169"/>
      <c r="HX160" s="169"/>
      <c r="HY160" s="169"/>
      <c r="HZ160" s="169"/>
      <c r="IA160" s="169"/>
      <c r="IB160" s="169"/>
      <c r="IC160" s="169"/>
      <c r="ID160" s="169"/>
      <c r="IE160" s="169"/>
      <c r="IF160" s="169"/>
      <c r="IG160" s="169"/>
      <c r="IH160" s="169"/>
      <c r="II160" s="169"/>
      <c r="IJ160" s="169"/>
      <c r="IK160" s="169"/>
      <c r="IL160" s="169"/>
      <c r="IM160" s="169"/>
      <c r="IN160" s="169"/>
      <c r="IO160" s="169"/>
      <c r="IP160" s="169"/>
      <c r="IQ160" s="169"/>
      <c r="IR160" s="169"/>
      <c r="IS160" s="169"/>
      <c r="IT160" s="169"/>
      <c r="IU160" s="169"/>
      <c r="IV160" s="169"/>
      <c r="IW160" s="169"/>
      <c r="IX160" s="169"/>
      <c r="IY160" s="11"/>
      <c r="IZ160" s="11"/>
      <c r="JA160" s="113"/>
      <c r="JB160" s="118"/>
      <c r="JC160" s="117"/>
      <c r="JD160" s="192">
        <f>SUM((TEXT(JA160,"[M]")/60)*'Income Person-hours'!$D$3,(TEXT(JB160,"[M]")/60)*'Income Person-hours'!$D$4,(TEXT(JC160,"[M]")/60)*'Income Person-hours'!$D$5)</f>
        <v>0</v>
      </c>
    </row>
    <row r="161" spans="1:264" s="11" customFormat="1" ht="11.25" hidden="1">
      <c r="A161" s="176">
        <v>7.4</v>
      </c>
      <c r="B161" s="106"/>
      <c r="C161" s="107"/>
      <c r="D161" s="12" t="str">
        <f>IF(OR(j_WEEKDAY(J_ADDDAY(VLOOKUP(I161,A:F,6,FALSE),H161,1),0)=6,SUMIFS(Holieday[ok],Holieday[date],J_ADDDAY(VLOOKUP(I161,A:F,6,FALSE),H161,1)))=FALSE(),J_ADDDAY(VLOOKUP(I161,A:F,6,FALSE),H161,1),IF(OR(j_WEEKDAY(J_ADDDAY(VLOOKUP(I161,A:F,6,FALSE),H161+1,1),0)=6,SUMIFS(Holieday[ok],Holieday[date],J_ADDDAY(VLOOKUP(I161,A:F,6,FALSE),H161+1,1)))=FALSE(),J_ADDDAY(VLOOKUP(I161,A:F,6,FALSE),H161+1,1),IF(OR(j_WEEKDAY(J_ADDDAY(VLOOKUP(I161,A:F,6,FALSE),H161+2,1),0)=6,SUMIFS(Holieday[ok],Holieday[date],J_ADDDAY(VLOOKUP(I161,A:F,6,FALSE),H161+2,1)))=FALSE(),J_ADDDAY(VLOOKUP(I161,A:F,6,FALSE),H161+2,1),IF(OR(j_WEEKDAY(J_ADDDAY(VLOOKUP(I161,A:F,6,FALSE),H161+3,1),0)=6,SUMIFS(Holieday[ok],Holieday[date],J_ADDDAY(VLOOKUP(I161,A:F,6,FALSE),H161+3,1)))=FALSE(),J_ADDDAY(VLOOKUP(I161,A:F,6,FALSE),H161+3,1),IF(OR(j_WEEKDAY(J_ADDDAY(VLOOKUP(I161,A:F,6,FALSE),H161+4,1),0)=6,SUMIFS(Holieday[ok],Holieday[date],J_ADDDAY(VLOOKUP(I161,A:F,6,FALSE),H161+4,1)))=FALSE(),J_ADDDAY(VLOOKUP(I161,A:F,6,FALSE),H161+4,1),J_ADDDAY(VLOOKUP(I161,A:F,6,FALSE),H161+5,1))))))</f>
        <v>1398/09/14</v>
      </c>
      <c r="E161" s="1">
        <f t="shared" si="50"/>
        <v>13980914</v>
      </c>
      <c r="F161" s="12" t="str">
        <f>IF(N161=0,J_SUBDAY(D161,1,1),IF((N161-NETWORKDAYS.INTL(J_GregorianDate(D161,1),J_GregorianDate(J_SUBDAY(J_ADDDAY(D161,N161,1),1,1),1),16,1)-SUMIFS(Holieday[ok],Holieday[date],CONCATENATE("&gt;","=",D161),Holieday[date],CONCATENATE("&lt;","=",J_SUBDAY(J_ADDDAY(D161,N161,1),1,1)))+SUMIFS(Holieday[Friday],Holieday[date],CONCATENATE("&gt;","=",D161),Holieday[date],CONCATENATE("&lt;","=",J_SUBDAY(J_ADDDAY(D161,N161,1),1,1))))=0,J_SUBDAY(J_ADDDAY(D161,N161,1),1,1),IF((N161-NETWORKDAYS.INTL(J_GregorianDate(D161,1),J_GregorianDate(J_SUBDAY(J_ADDDAY(D161,N161,1),1,1),1),16,1)-SUMIFS(Holieday[ok],Holieday[date],CONCATENATE("&gt;","=",D161),Holieday[date],CONCATENATE("&lt;","=",J_SUBDAY(J_ADDDAY(D161,N161,1),1,1)))+SUMIFS(Holieday[Friday],Holieday[date],CONCATENATE("&gt;","=",D161),Holieday[date],CONCATENATE("&lt;","=",J_SUBDAY(J_ADDDAY(D161,N161,1),1,1))))=1,J_SUBDAY(J_ADDDAY(D161,N161+1,1),1,1),IF((N161-NETWORKDAYS.INTL(J_GregorianDate(D161,1),J_GregorianDate(J_SUBDAY(J_ADDDAY(D161,N161,1),1,1),1),16,1)-SUMIFS(Holieday[ok],Holieday[date],CONCATENATE("&gt;","=",D161),Holieday[date],CONCATENATE("&lt;","=",J_SUBDAY(J_ADDDAY(D161,N161,1),1,1)))+SUMIFS(Holieday[Friday],Holieday[date],CONCATENATE("&gt;","=",D161),Holieday[date],CONCATENATE("&lt;","=",J_SUBDAY(J_ADDDAY(D161,N161,1),1,1))))=2,J_SUBDAY(J_ADDDAY(D161,N161+2,1),1,1),J_SUBDAY(J_ADDDAY(D161,N161+3,1),1,1)))))</f>
        <v>1398/09/13</v>
      </c>
      <c r="G161" s="2">
        <f t="shared" si="51"/>
        <v>13980913</v>
      </c>
      <c r="H161" s="109"/>
      <c r="I161" s="110">
        <v>7.1</v>
      </c>
      <c r="J161" s="9">
        <f>j_WEEKDAY(D161,2)</f>
        <v>5</v>
      </c>
      <c r="K161" s="21">
        <f t="shared" si="54"/>
        <v>0</v>
      </c>
      <c r="L161" s="8">
        <f t="shared" si="55"/>
        <v>0</v>
      </c>
      <c r="M161" s="111">
        <v>0</v>
      </c>
      <c r="N161" s="108">
        <v>0</v>
      </c>
      <c r="O161" s="10">
        <f t="shared" si="58"/>
        <v>0</v>
      </c>
      <c r="P161" s="10">
        <f>VALUE(J_normdate(J_ADDDAY($D161,$O161,1)))</f>
        <v>13980914</v>
      </c>
      <c r="Q161" s="9">
        <f t="shared" si="59"/>
        <v>0</v>
      </c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  <c r="AU161" s="7"/>
      <c r="AV161" s="7"/>
      <c r="AW161" s="7"/>
      <c r="AX161" s="7"/>
      <c r="AY161" s="7"/>
      <c r="AZ161" s="7"/>
      <c r="BA161" s="7"/>
      <c r="BB161" s="7"/>
      <c r="BC161" s="7"/>
      <c r="BD161" s="7"/>
      <c r="BE161" s="7"/>
      <c r="BF161" s="7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BS161" s="7"/>
      <c r="BT161" s="7"/>
      <c r="BU161" s="7"/>
      <c r="BV161" s="7"/>
      <c r="BW161" s="7"/>
      <c r="BX161" s="7"/>
      <c r="BY161" s="7"/>
      <c r="BZ161" s="7"/>
      <c r="CA161" s="7"/>
      <c r="CB161" s="7"/>
      <c r="CC161" s="7"/>
      <c r="CD161" s="7"/>
      <c r="CE161" s="7"/>
      <c r="CF161" s="7"/>
      <c r="CG161" s="7"/>
      <c r="CH161" s="7"/>
      <c r="CI161" s="7"/>
      <c r="CJ161" s="7"/>
      <c r="CK161" s="7"/>
      <c r="CL161" s="7"/>
      <c r="CM161" s="7"/>
      <c r="CN161" s="7"/>
      <c r="CO161" s="7"/>
      <c r="CP161" s="7"/>
      <c r="CQ161" s="7"/>
      <c r="CR161" s="7"/>
      <c r="CS161" s="7"/>
      <c r="CT161" s="7"/>
      <c r="CU161" s="7"/>
      <c r="CV161" s="7"/>
      <c r="CW161" s="7"/>
      <c r="CX161" s="7"/>
      <c r="CY161" s="7"/>
      <c r="CZ161" s="7"/>
      <c r="DA161" s="7"/>
      <c r="DB161" s="7"/>
      <c r="DC161" s="7"/>
      <c r="DD161" s="7"/>
      <c r="DE161" s="7"/>
      <c r="DF161" s="7"/>
      <c r="DG161" s="7"/>
      <c r="DH161" s="7"/>
      <c r="DI161" s="7"/>
      <c r="DJ161" s="7"/>
      <c r="DK161" s="7"/>
      <c r="DL161" s="7"/>
      <c r="DM161" s="7"/>
      <c r="DN161" s="7"/>
      <c r="DO161" s="7"/>
      <c r="DP161" s="7"/>
      <c r="DQ161" s="7"/>
      <c r="DR161" s="7"/>
      <c r="DS161" s="7"/>
      <c r="DT161" s="7"/>
      <c r="DU161" s="7"/>
      <c r="DV161" s="7"/>
      <c r="DW161" s="7"/>
      <c r="DX161" s="7"/>
      <c r="DY161" s="7"/>
      <c r="DZ161" s="7"/>
      <c r="EA161" s="7"/>
      <c r="EB161" s="7"/>
      <c r="EC161" s="7"/>
      <c r="ED161" s="7"/>
      <c r="EE161" s="7"/>
      <c r="EF161" s="7"/>
      <c r="EG161" s="7"/>
      <c r="EH161" s="7"/>
      <c r="EI161" s="7"/>
      <c r="EJ161" s="7"/>
      <c r="EK161" s="7"/>
      <c r="EL161" s="7"/>
      <c r="EM161" s="7"/>
      <c r="EN161" s="7"/>
      <c r="EO161" s="7"/>
      <c r="EP161" s="7"/>
      <c r="EQ161" s="7"/>
      <c r="ER161" s="7"/>
      <c r="ES161" s="7"/>
      <c r="ET161" s="7"/>
      <c r="EU161" s="7"/>
      <c r="EV161" s="7"/>
      <c r="EW161" s="7"/>
      <c r="EX161" s="7"/>
      <c r="EY161" s="7"/>
      <c r="EZ161" s="7"/>
      <c r="FA161" s="7"/>
      <c r="FB161" s="7"/>
      <c r="FC161" s="7"/>
      <c r="FD161" s="7"/>
      <c r="FE161" s="7"/>
      <c r="FF161" s="7"/>
      <c r="FG161" s="7"/>
      <c r="FH161" s="7"/>
      <c r="FI161" s="7"/>
      <c r="FJ161" s="7"/>
      <c r="FK161" s="7"/>
      <c r="FL161" s="7"/>
      <c r="FM161" s="7"/>
      <c r="FN161" s="7"/>
      <c r="FO161" s="7"/>
      <c r="FP161" s="7"/>
      <c r="FQ161" s="7"/>
      <c r="FR161" s="7"/>
      <c r="FS161" s="7"/>
      <c r="FT161" s="7"/>
      <c r="FU161" s="7"/>
      <c r="FV161" s="7"/>
      <c r="FW161" s="7"/>
      <c r="FX161" s="7"/>
      <c r="FY161" s="7"/>
      <c r="FZ161" s="7"/>
      <c r="GA161" s="7"/>
      <c r="GB161" s="7"/>
      <c r="GC161" s="7"/>
      <c r="GD161" s="7"/>
      <c r="GE161" s="7"/>
      <c r="GF161" s="7"/>
      <c r="GG161" s="7"/>
      <c r="GH161" s="7"/>
      <c r="GI161" s="7"/>
      <c r="GJ161" s="7"/>
      <c r="GK161" s="7"/>
      <c r="GL161" s="7"/>
      <c r="GM161" s="7"/>
      <c r="GN161" s="7"/>
      <c r="GO161" s="7"/>
      <c r="GP161" s="7"/>
      <c r="GQ161" s="7"/>
      <c r="GR161" s="7"/>
      <c r="GS161" s="7"/>
      <c r="GT161" s="7"/>
      <c r="GU161" s="7"/>
      <c r="GV161" s="7"/>
      <c r="GW161" s="7"/>
      <c r="GX161" s="7"/>
      <c r="GY161" s="7"/>
      <c r="GZ161" s="7"/>
      <c r="HA161" s="7"/>
      <c r="HB161" s="7"/>
      <c r="HC161" s="7"/>
      <c r="HD161" s="7"/>
      <c r="HE161" s="7"/>
      <c r="HF161" s="7"/>
      <c r="HG161" s="7"/>
      <c r="HH161" s="7"/>
      <c r="HI161" s="7"/>
      <c r="HJ161" s="7"/>
      <c r="HK161" s="7"/>
      <c r="HL161" s="7"/>
      <c r="HM161" s="7"/>
      <c r="HN161" s="7"/>
      <c r="HO161" s="7"/>
      <c r="HP161" s="7"/>
      <c r="HQ161" s="7"/>
      <c r="HR161" s="7"/>
      <c r="HS161" s="7"/>
      <c r="HT161" s="7"/>
      <c r="HU161" s="7"/>
      <c r="HV161" s="7"/>
      <c r="HW161" s="7"/>
      <c r="HX161" s="7"/>
      <c r="HY161" s="7"/>
      <c r="HZ161" s="7"/>
      <c r="IA161" s="7"/>
      <c r="IB161" s="7"/>
      <c r="IC161" s="7"/>
      <c r="ID161" s="7"/>
      <c r="IE161" s="7"/>
      <c r="IF161" s="7"/>
      <c r="IG161" s="7"/>
      <c r="IH161" s="7"/>
      <c r="II161" s="7"/>
      <c r="IJ161" s="7"/>
      <c r="IK161" s="7"/>
      <c r="IL161" s="7"/>
      <c r="IM161" s="7"/>
      <c r="IN161" s="7"/>
      <c r="IO161" s="7"/>
      <c r="IP161" s="7"/>
      <c r="IQ161" s="7"/>
      <c r="IR161" s="7"/>
      <c r="IS161" s="7"/>
      <c r="IT161" s="7"/>
      <c r="IU161" s="7"/>
      <c r="IV161" s="7"/>
      <c r="IW161" s="7"/>
      <c r="IX161" s="7"/>
      <c r="JA161" s="113"/>
      <c r="JB161" s="113"/>
      <c r="JC161" s="113"/>
      <c r="JD161" s="66">
        <f>SUM((TEXT(JA161,"[M]")/60)*'Income Person-hours'!$D$3,(TEXT(JB161,"[M]")/60)*'Income Person-hours'!$D$4,(TEXT(JC161,"[M]")/60)*'Income Person-hours'!$D$5)</f>
        <v>0</v>
      </c>
    </row>
    <row r="162" spans="1:264" s="11" customFormat="1" ht="11.25" hidden="1">
      <c r="A162" s="176">
        <v>7.5</v>
      </c>
      <c r="B162" s="106"/>
      <c r="C162" s="107"/>
      <c r="D162" s="12" t="str">
        <f>IF(OR(j_WEEKDAY(J_ADDDAY(VLOOKUP(I162,A:F,6,FALSE),H162,1),0)=6,SUMIFS(Holieday[ok],Holieday[date],J_ADDDAY(VLOOKUP(I162,A:F,6,FALSE),H162,1)))=FALSE(),J_ADDDAY(VLOOKUP(I162,A:F,6,FALSE),H162,1),IF(OR(j_WEEKDAY(J_ADDDAY(VLOOKUP(I162,A:F,6,FALSE),H162+1,1),0)=6,SUMIFS(Holieday[ok],Holieday[date],J_ADDDAY(VLOOKUP(I162,A:F,6,FALSE),H162+1,1)))=FALSE(),J_ADDDAY(VLOOKUP(I162,A:F,6,FALSE),H162+1,1),IF(OR(j_WEEKDAY(J_ADDDAY(VLOOKUP(I162,A:F,6,FALSE),H162+2,1),0)=6,SUMIFS(Holieday[ok],Holieday[date],J_ADDDAY(VLOOKUP(I162,A:F,6,FALSE),H162+2,1)))=FALSE(),J_ADDDAY(VLOOKUP(I162,A:F,6,FALSE),H162+2,1),IF(OR(j_WEEKDAY(J_ADDDAY(VLOOKUP(I162,A:F,6,FALSE),H162+3,1),0)=6,SUMIFS(Holieday[ok],Holieday[date],J_ADDDAY(VLOOKUP(I162,A:F,6,FALSE),H162+3,1)))=FALSE(),J_ADDDAY(VLOOKUP(I162,A:F,6,FALSE),H162+3,1),IF(OR(j_WEEKDAY(J_ADDDAY(VLOOKUP(I162,A:F,6,FALSE),H162+4,1),0)=6,SUMIFS(Holieday[ok],Holieday[date],J_ADDDAY(VLOOKUP(I162,A:F,6,FALSE),H162+4,1)))=FALSE(),J_ADDDAY(VLOOKUP(I162,A:F,6,FALSE),H162+4,1),J_ADDDAY(VLOOKUP(I162,A:F,6,FALSE),H162+5,1))))))</f>
        <v>1398/09/14</v>
      </c>
      <c r="E162" s="1">
        <f t="shared" si="50"/>
        <v>13980914</v>
      </c>
      <c r="F162" s="12" t="str">
        <f>IF(N162=0,J_SUBDAY(D162,1,1),IF((N162-NETWORKDAYS.INTL(J_GregorianDate(D162,1),J_GregorianDate(J_SUBDAY(J_ADDDAY(D162,N162,1),1,1),1),16,1)-SUMIFS(Holieday[ok],Holieday[date],CONCATENATE("&gt;","=",D162),Holieday[date],CONCATENATE("&lt;","=",J_SUBDAY(J_ADDDAY(D162,N162,1),1,1)))+SUMIFS(Holieday[Friday],Holieday[date],CONCATENATE("&gt;","=",D162),Holieday[date],CONCATENATE("&lt;","=",J_SUBDAY(J_ADDDAY(D162,N162,1),1,1))))=0,J_SUBDAY(J_ADDDAY(D162,N162,1),1,1),IF((N162-NETWORKDAYS.INTL(J_GregorianDate(D162,1),J_GregorianDate(J_SUBDAY(J_ADDDAY(D162,N162,1),1,1),1),16,1)-SUMIFS(Holieday[ok],Holieday[date],CONCATENATE("&gt;","=",D162),Holieday[date],CONCATENATE("&lt;","=",J_SUBDAY(J_ADDDAY(D162,N162,1),1,1)))+SUMIFS(Holieday[Friday],Holieday[date],CONCATENATE("&gt;","=",D162),Holieday[date],CONCATENATE("&lt;","=",J_SUBDAY(J_ADDDAY(D162,N162,1),1,1))))=1,J_SUBDAY(J_ADDDAY(D162,N162+1,1),1,1),IF((N162-NETWORKDAYS.INTL(J_GregorianDate(D162,1),J_GregorianDate(J_SUBDAY(J_ADDDAY(D162,N162,1),1,1),1),16,1)-SUMIFS(Holieday[ok],Holieday[date],CONCATENATE("&gt;","=",D162),Holieday[date],CONCATENATE("&lt;","=",J_SUBDAY(J_ADDDAY(D162,N162,1),1,1)))+SUMIFS(Holieday[Friday],Holieday[date],CONCATENATE("&gt;","=",D162),Holieday[date],CONCATENATE("&lt;","=",J_SUBDAY(J_ADDDAY(D162,N162,1),1,1))))=2,J_SUBDAY(J_ADDDAY(D162,N162+2,1),1,1),J_SUBDAY(J_ADDDAY(D162,N162+3,1),1,1)))))</f>
        <v>1398/09/13</v>
      </c>
      <c r="G162" s="2">
        <f t="shared" si="51"/>
        <v>13980913</v>
      </c>
      <c r="H162" s="109"/>
      <c r="I162" s="110">
        <v>7.1</v>
      </c>
      <c r="J162" s="9">
        <f>j_WEEKDAY(D162,2)</f>
        <v>5</v>
      </c>
      <c r="K162" s="21">
        <f t="shared" si="54"/>
        <v>0</v>
      </c>
      <c r="L162" s="8">
        <f t="shared" si="55"/>
        <v>0</v>
      </c>
      <c r="M162" s="111">
        <v>0</v>
      </c>
      <c r="N162" s="108">
        <v>0</v>
      </c>
      <c r="O162" s="10">
        <f t="shared" si="58"/>
        <v>0</v>
      </c>
      <c r="P162" s="10">
        <f>VALUE(J_normdate(J_ADDDAY($D162,$O162,1)))</f>
        <v>13980914</v>
      </c>
      <c r="Q162" s="9">
        <f t="shared" si="59"/>
        <v>0</v>
      </c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  <c r="BB162" s="7"/>
      <c r="BC162" s="7"/>
      <c r="BD162" s="7"/>
      <c r="BE162" s="7"/>
      <c r="BF162" s="7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/>
      <c r="BR162" s="7"/>
      <c r="BS162" s="7"/>
      <c r="BT162" s="7"/>
      <c r="BU162" s="7"/>
      <c r="BV162" s="7"/>
      <c r="BW162" s="7"/>
      <c r="BX162" s="7"/>
      <c r="BY162" s="7"/>
      <c r="BZ162" s="7"/>
      <c r="CA162" s="7"/>
      <c r="CB162" s="7"/>
      <c r="CC162" s="7"/>
      <c r="CD162" s="7"/>
      <c r="CE162" s="7"/>
      <c r="CF162" s="7"/>
      <c r="CG162" s="7"/>
      <c r="CH162" s="7"/>
      <c r="CI162" s="7"/>
      <c r="CJ162" s="7"/>
      <c r="CK162" s="7"/>
      <c r="CL162" s="7"/>
      <c r="CM162" s="7"/>
      <c r="CN162" s="7"/>
      <c r="CO162" s="7"/>
      <c r="CP162" s="7"/>
      <c r="CQ162" s="7"/>
      <c r="CR162" s="7"/>
      <c r="CS162" s="7"/>
      <c r="CT162" s="7"/>
      <c r="CU162" s="7"/>
      <c r="CV162" s="7"/>
      <c r="CW162" s="7"/>
      <c r="CX162" s="7"/>
      <c r="CY162" s="7"/>
      <c r="CZ162" s="7"/>
      <c r="DA162" s="7"/>
      <c r="DB162" s="7"/>
      <c r="DC162" s="7"/>
      <c r="DD162" s="7"/>
      <c r="DE162" s="7"/>
      <c r="DF162" s="7"/>
      <c r="DG162" s="7"/>
      <c r="DH162" s="7"/>
      <c r="DI162" s="7"/>
      <c r="DJ162" s="7"/>
      <c r="DK162" s="7"/>
      <c r="DL162" s="7"/>
      <c r="DM162" s="7"/>
      <c r="DN162" s="7"/>
      <c r="DO162" s="7"/>
      <c r="DP162" s="7"/>
      <c r="DQ162" s="7"/>
      <c r="DR162" s="7"/>
      <c r="DS162" s="7"/>
      <c r="DT162" s="7"/>
      <c r="DU162" s="7"/>
      <c r="DV162" s="7"/>
      <c r="DW162" s="7"/>
      <c r="DX162" s="7"/>
      <c r="DY162" s="7"/>
      <c r="DZ162" s="7"/>
      <c r="EA162" s="7"/>
      <c r="EB162" s="7"/>
      <c r="EC162" s="7"/>
      <c r="ED162" s="7"/>
      <c r="EE162" s="7"/>
      <c r="EF162" s="7"/>
      <c r="EG162" s="7"/>
      <c r="EH162" s="7"/>
      <c r="EI162" s="7"/>
      <c r="EJ162" s="7"/>
      <c r="EK162" s="7"/>
      <c r="EL162" s="7"/>
      <c r="EM162" s="7"/>
      <c r="EN162" s="7"/>
      <c r="EO162" s="7"/>
      <c r="EP162" s="7"/>
      <c r="EQ162" s="7"/>
      <c r="ER162" s="7"/>
      <c r="ES162" s="7"/>
      <c r="ET162" s="7"/>
      <c r="EU162" s="7"/>
      <c r="EV162" s="7"/>
      <c r="EW162" s="7"/>
      <c r="EX162" s="7"/>
      <c r="EY162" s="7"/>
      <c r="EZ162" s="7"/>
      <c r="FA162" s="7"/>
      <c r="FB162" s="7"/>
      <c r="FC162" s="7"/>
      <c r="FD162" s="7"/>
      <c r="FE162" s="7"/>
      <c r="FF162" s="7"/>
      <c r="FG162" s="7"/>
      <c r="FH162" s="7"/>
      <c r="FI162" s="7"/>
      <c r="FJ162" s="7"/>
      <c r="FK162" s="7"/>
      <c r="FL162" s="7"/>
      <c r="FM162" s="7"/>
      <c r="FN162" s="7"/>
      <c r="FO162" s="7"/>
      <c r="FP162" s="7"/>
      <c r="FQ162" s="7"/>
      <c r="FR162" s="7"/>
      <c r="FS162" s="7"/>
      <c r="FT162" s="7"/>
      <c r="FU162" s="7"/>
      <c r="FV162" s="7"/>
      <c r="FW162" s="7"/>
      <c r="FX162" s="7"/>
      <c r="FY162" s="7"/>
      <c r="FZ162" s="7"/>
      <c r="GA162" s="7"/>
      <c r="GB162" s="7"/>
      <c r="GC162" s="7"/>
      <c r="GD162" s="7"/>
      <c r="GE162" s="7"/>
      <c r="GF162" s="7"/>
      <c r="GG162" s="7"/>
      <c r="GH162" s="7"/>
      <c r="GI162" s="7"/>
      <c r="GJ162" s="7"/>
      <c r="GK162" s="7"/>
      <c r="GL162" s="7"/>
      <c r="GM162" s="7"/>
      <c r="GN162" s="7"/>
      <c r="GO162" s="7"/>
      <c r="GP162" s="7"/>
      <c r="GQ162" s="7"/>
      <c r="GR162" s="7"/>
      <c r="GS162" s="7"/>
      <c r="GT162" s="7"/>
      <c r="GU162" s="7"/>
      <c r="GV162" s="7"/>
      <c r="GW162" s="7"/>
      <c r="GX162" s="7"/>
      <c r="GY162" s="7"/>
      <c r="GZ162" s="7"/>
      <c r="HA162" s="7"/>
      <c r="HB162" s="7"/>
      <c r="HC162" s="7"/>
      <c r="HD162" s="7"/>
      <c r="HE162" s="7"/>
      <c r="HF162" s="7"/>
      <c r="HG162" s="7"/>
      <c r="HH162" s="7"/>
      <c r="HI162" s="7"/>
      <c r="HJ162" s="7"/>
      <c r="HK162" s="7"/>
      <c r="HL162" s="7"/>
      <c r="HM162" s="7"/>
      <c r="HN162" s="7"/>
      <c r="HO162" s="7"/>
      <c r="HP162" s="7"/>
      <c r="HQ162" s="7"/>
      <c r="HR162" s="7"/>
      <c r="HS162" s="7"/>
      <c r="HT162" s="7"/>
      <c r="HU162" s="7"/>
      <c r="HV162" s="7"/>
      <c r="HW162" s="7"/>
      <c r="HX162" s="7"/>
      <c r="HY162" s="7"/>
      <c r="HZ162" s="7"/>
      <c r="IA162" s="7"/>
      <c r="IB162" s="7"/>
      <c r="IC162" s="7"/>
      <c r="ID162" s="7"/>
      <c r="IE162" s="7"/>
      <c r="IF162" s="7"/>
      <c r="IG162" s="7"/>
      <c r="IH162" s="7"/>
      <c r="II162" s="7"/>
      <c r="IJ162" s="7"/>
      <c r="IK162" s="7"/>
      <c r="IL162" s="7"/>
      <c r="IM162" s="7"/>
      <c r="IN162" s="7"/>
      <c r="IO162" s="7"/>
      <c r="IP162" s="7"/>
      <c r="IQ162" s="7"/>
      <c r="IR162" s="7"/>
      <c r="IS162" s="7"/>
      <c r="IT162" s="7"/>
      <c r="IU162" s="7"/>
      <c r="IV162" s="7"/>
      <c r="IW162" s="7"/>
      <c r="IX162" s="7"/>
      <c r="JA162" s="113"/>
      <c r="JB162" s="113"/>
      <c r="JC162" s="113"/>
      <c r="JD162" s="66">
        <f>SUM((TEXT(JA162,"[M]")/60)*'Income Person-hours'!$D$3,(TEXT(JB162,"[M]")/60)*'Income Person-hours'!$D$4,(TEXT(JC162,"[M]")/60)*'Income Person-hours'!$D$5)</f>
        <v>0</v>
      </c>
    </row>
    <row r="163" spans="1:264" s="11" customFormat="1" ht="11.25" hidden="1">
      <c r="A163" s="176">
        <v>7.6</v>
      </c>
      <c r="B163" s="106"/>
      <c r="C163" s="107"/>
      <c r="D163" s="12" t="str">
        <f>IF(OR(j_WEEKDAY(J_ADDDAY(VLOOKUP(I163,A:F,6,FALSE),H163,1),0)=6,SUMIFS(Holieday[ok],Holieday[date],J_ADDDAY(VLOOKUP(I163,A:F,6,FALSE),H163,1)))=FALSE(),J_ADDDAY(VLOOKUP(I163,A:F,6,FALSE),H163,1),IF(OR(j_WEEKDAY(J_ADDDAY(VLOOKUP(I163,A:F,6,FALSE),H163+1,1),0)=6,SUMIFS(Holieday[ok],Holieday[date],J_ADDDAY(VLOOKUP(I163,A:F,6,FALSE),H163+1,1)))=FALSE(),J_ADDDAY(VLOOKUP(I163,A:F,6,FALSE),H163+1,1),IF(OR(j_WEEKDAY(J_ADDDAY(VLOOKUP(I163,A:F,6,FALSE),H163+2,1),0)=6,SUMIFS(Holieday[ok],Holieday[date],J_ADDDAY(VLOOKUP(I163,A:F,6,FALSE),H163+2,1)))=FALSE(),J_ADDDAY(VLOOKUP(I163,A:F,6,FALSE),H163+2,1),IF(OR(j_WEEKDAY(J_ADDDAY(VLOOKUP(I163,A:F,6,FALSE),H163+3,1),0)=6,SUMIFS(Holieday[ok],Holieday[date],J_ADDDAY(VLOOKUP(I163,A:F,6,FALSE),H163+3,1)))=FALSE(),J_ADDDAY(VLOOKUP(I163,A:F,6,FALSE),H163+3,1),IF(OR(j_WEEKDAY(J_ADDDAY(VLOOKUP(I163,A:F,6,FALSE),H163+4,1),0)=6,SUMIFS(Holieday[ok],Holieday[date],J_ADDDAY(VLOOKUP(I163,A:F,6,FALSE),H163+4,1)))=FALSE(),J_ADDDAY(VLOOKUP(I163,A:F,6,FALSE),H163+4,1),J_ADDDAY(VLOOKUP(I163,A:F,6,FALSE),H163+5,1))))))</f>
        <v>1398/09/14</v>
      </c>
      <c r="E163" s="1">
        <f t="shared" si="50"/>
        <v>13980914</v>
      </c>
      <c r="F163" s="12" t="str">
        <f>IF(N163=0,J_SUBDAY(D163,1,1),IF((N163-NETWORKDAYS.INTL(J_GregorianDate(D163,1),J_GregorianDate(J_SUBDAY(J_ADDDAY(D163,N163,1),1,1),1),16,1)-SUMIFS(Holieday[ok],Holieday[date],CONCATENATE("&gt;","=",D163),Holieday[date],CONCATENATE("&lt;","=",J_SUBDAY(J_ADDDAY(D163,N163,1),1,1)))+SUMIFS(Holieday[Friday],Holieday[date],CONCATENATE("&gt;","=",D163),Holieday[date],CONCATENATE("&lt;","=",J_SUBDAY(J_ADDDAY(D163,N163,1),1,1))))=0,J_SUBDAY(J_ADDDAY(D163,N163,1),1,1),IF((N163-NETWORKDAYS.INTL(J_GregorianDate(D163,1),J_GregorianDate(J_SUBDAY(J_ADDDAY(D163,N163,1),1,1),1),16,1)-SUMIFS(Holieday[ok],Holieday[date],CONCATENATE("&gt;","=",D163),Holieday[date],CONCATENATE("&lt;","=",J_SUBDAY(J_ADDDAY(D163,N163,1),1,1)))+SUMIFS(Holieday[Friday],Holieday[date],CONCATENATE("&gt;","=",D163),Holieday[date],CONCATENATE("&lt;","=",J_SUBDAY(J_ADDDAY(D163,N163,1),1,1))))=1,J_SUBDAY(J_ADDDAY(D163,N163+1,1),1,1),IF((N163-NETWORKDAYS.INTL(J_GregorianDate(D163,1),J_GregorianDate(J_SUBDAY(J_ADDDAY(D163,N163,1),1,1),1),16,1)-SUMIFS(Holieday[ok],Holieday[date],CONCATENATE("&gt;","=",D163),Holieday[date],CONCATENATE("&lt;","=",J_SUBDAY(J_ADDDAY(D163,N163,1),1,1)))+SUMIFS(Holieday[Friday],Holieday[date],CONCATENATE("&gt;","=",D163),Holieday[date],CONCATENATE("&lt;","=",J_SUBDAY(J_ADDDAY(D163,N163,1),1,1))))=2,J_SUBDAY(J_ADDDAY(D163,N163+2,1),1,1),J_SUBDAY(J_ADDDAY(D163,N163+3,1),1,1)))))</f>
        <v>1398/09/13</v>
      </c>
      <c r="G163" s="2">
        <f t="shared" si="51"/>
        <v>13980913</v>
      </c>
      <c r="H163" s="109"/>
      <c r="I163" s="110">
        <v>7.1</v>
      </c>
      <c r="J163" s="9">
        <f>j_WEEKDAY(D163,2)</f>
        <v>5</v>
      </c>
      <c r="K163" s="21">
        <f t="shared" si="54"/>
        <v>0</v>
      </c>
      <c r="L163" s="8">
        <f t="shared" si="55"/>
        <v>0</v>
      </c>
      <c r="M163" s="111">
        <v>0</v>
      </c>
      <c r="N163" s="108">
        <v>0</v>
      </c>
      <c r="O163" s="10">
        <f t="shared" si="58"/>
        <v>0</v>
      </c>
      <c r="P163" s="10">
        <f>VALUE(J_normdate(J_ADDDAY($D163,$O163,1)))</f>
        <v>13980914</v>
      </c>
      <c r="Q163" s="9">
        <f t="shared" si="59"/>
        <v>0</v>
      </c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  <c r="BB163" s="7"/>
      <c r="BC163" s="7"/>
      <c r="BD163" s="7"/>
      <c r="BE163" s="7"/>
      <c r="BF163" s="7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/>
      <c r="BR163" s="7"/>
      <c r="BS163" s="7"/>
      <c r="BT163" s="7"/>
      <c r="BU163" s="7"/>
      <c r="BV163" s="7"/>
      <c r="BW163" s="7"/>
      <c r="BX163" s="7"/>
      <c r="BY163" s="7"/>
      <c r="BZ163" s="7"/>
      <c r="CA163" s="7"/>
      <c r="CB163" s="7"/>
      <c r="CC163" s="7"/>
      <c r="CD163" s="7"/>
      <c r="CE163" s="7"/>
      <c r="CF163" s="7"/>
      <c r="CG163" s="7"/>
      <c r="CH163" s="7"/>
      <c r="CI163" s="7"/>
      <c r="CJ163" s="7"/>
      <c r="CK163" s="7"/>
      <c r="CL163" s="7"/>
      <c r="CM163" s="7"/>
      <c r="CN163" s="7"/>
      <c r="CO163" s="7"/>
      <c r="CP163" s="7"/>
      <c r="CQ163" s="7"/>
      <c r="CR163" s="7"/>
      <c r="CS163" s="7"/>
      <c r="CT163" s="7"/>
      <c r="CU163" s="7"/>
      <c r="CV163" s="7"/>
      <c r="CW163" s="7"/>
      <c r="CX163" s="7"/>
      <c r="CY163" s="7"/>
      <c r="CZ163" s="7"/>
      <c r="DA163" s="7"/>
      <c r="DB163" s="7"/>
      <c r="DC163" s="7"/>
      <c r="DD163" s="7"/>
      <c r="DE163" s="7"/>
      <c r="DF163" s="7"/>
      <c r="DG163" s="7"/>
      <c r="DH163" s="7"/>
      <c r="DI163" s="7"/>
      <c r="DJ163" s="7"/>
      <c r="DK163" s="7"/>
      <c r="DL163" s="7"/>
      <c r="DM163" s="7"/>
      <c r="DN163" s="7"/>
      <c r="DO163" s="7"/>
      <c r="DP163" s="7"/>
      <c r="DQ163" s="7"/>
      <c r="DR163" s="7"/>
      <c r="DS163" s="7"/>
      <c r="DT163" s="7"/>
      <c r="DU163" s="7"/>
      <c r="DV163" s="7"/>
      <c r="DW163" s="7"/>
      <c r="DX163" s="7"/>
      <c r="DY163" s="7"/>
      <c r="DZ163" s="7"/>
      <c r="EA163" s="7"/>
      <c r="EB163" s="7"/>
      <c r="EC163" s="7"/>
      <c r="ED163" s="7"/>
      <c r="EE163" s="7"/>
      <c r="EF163" s="7"/>
      <c r="EG163" s="7"/>
      <c r="EH163" s="7"/>
      <c r="EI163" s="7"/>
      <c r="EJ163" s="7"/>
      <c r="EK163" s="7"/>
      <c r="EL163" s="7"/>
      <c r="EM163" s="7"/>
      <c r="EN163" s="7"/>
      <c r="EO163" s="7"/>
      <c r="EP163" s="7"/>
      <c r="EQ163" s="7"/>
      <c r="ER163" s="7"/>
      <c r="ES163" s="7"/>
      <c r="ET163" s="7"/>
      <c r="EU163" s="7"/>
      <c r="EV163" s="7"/>
      <c r="EW163" s="7"/>
      <c r="EX163" s="7"/>
      <c r="EY163" s="7"/>
      <c r="EZ163" s="7"/>
      <c r="FA163" s="7"/>
      <c r="FB163" s="7"/>
      <c r="FC163" s="7"/>
      <c r="FD163" s="7"/>
      <c r="FE163" s="7"/>
      <c r="FF163" s="7"/>
      <c r="FG163" s="7"/>
      <c r="FH163" s="7"/>
      <c r="FI163" s="7"/>
      <c r="FJ163" s="7"/>
      <c r="FK163" s="7"/>
      <c r="FL163" s="7"/>
      <c r="FM163" s="7"/>
      <c r="FN163" s="7"/>
      <c r="FO163" s="7"/>
      <c r="FP163" s="7"/>
      <c r="FQ163" s="7"/>
      <c r="FR163" s="7"/>
      <c r="FS163" s="7"/>
      <c r="FT163" s="7"/>
      <c r="FU163" s="7"/>
      <c r="FV163" s="7"/>
      <c r="FW163" s="7"/>
      <c r="FX163" s="7"/>
      <c r="FY163" s="7"/>
      <c r="FZ163" s="7"/>
      <c r="GA163" s="7"/>
      <c r="GB163" s="7"/>
      <c r="GC163" s="7"/>
      <c r="GD163" s="7"/>
      <c r="GE163" s="7"/>
      <c r="GF163" s="7"/>
      <c r="GG163" s="7"/>
      <c r="GH163" s="7"/>
      <c r="GI163" s="7"/>
      <c r="GJ163" s="7"/>
      <c r="GK163" s="7"/>
      <c r="GL163" s="7"/>
      <c r="GM163" s="7"/>
      <c r="GN163" s="7"/>
      <c r="GO163" s="7"/>
      <c r="GP163" s="7"/>
      <c r="GQ163" s="7"/>
      <c r="GR163" s="7"/>
      <c r="GS163" s="7"/>
      <c r="GT163" s="7"/>
      <c r="GU163" s="7"/>
      <c r="GV163" s="7"/>
      <c r="GW163" s="7"/>
      <c r="GX163" s="7"/>
      <c r="GY163" s="7"/>
      <c r="GZ163" s="7"/>
      <c r="HA163" s="7"/>
      <c r="HB163" s="7"/>
      <c r="HC163" s="7"/>
      <c r="HD163" s="7"/>
      <c r="HE163" s="7"/>
      <c r="HF163" s="7"/>
      <c r="HG163" s="7"/>
      <c r="HH163" s="7"/>
      <c r="HI163" s="7"/>
      <c r="HJ163" s="7"/>
      <c r="HK163" s="7"/>
      <c r="HL163" s="7"/>
      <c r="HM163" s="7"/>
      <c r="HN163" s="7"/>
      <c r="HO163" s="7"/>
      <c r="HP163" s="7"/>
      <c r="HQ163" s="7"/>
      <c r="HR163" s="7"/>
      <c r="HS163" s="7"/>
      <c r="HT163" s="7"/>
      <c r="HU163" s="7"/>
      <c r="HV163" s="7"/>
      <c r="HW163" s="7"/>
      <c r="HX163" s="7"/>
      <c r="HY163" s="7"/>
      <c r="HZ163" s="7"/>
      <c r="IA163" s="7"/>
      <c r="IB163" s="7"/>
      <c r="IC163" s="7"/>
      <c r="ID163" s="7"/>
      <c r="IE163" s="7"/>
      <c r="IF163" s="7"/>
      <c r="IG163" s="7"/>
      <c r="IH163" s="7"/>
      <c r="II163" s="7"/>
      <c r="IJ163" s="7"/>
      <c r="IK163" s="7"/>
      <c r="IL163" s="7"/>
      <c r="IM163" s="7"/>
      <c r="IN163" s="7"/>
      <c r="IO163" s="7"/>
      <c r="IP163" s="7"/>
      <c r="IQ163" s="7"/>
      <c r="IR163" s="7"/>
      <c r="IS163" s="7"/>
      <c r="IT163" s="7"/>
      <c r="IU163" s="7"/>
      <c r="IV163" s="7"/>
      <c r="IW163" s="7"/>
      <c r="IX163" s="7"/>
      <c r="JA163" s="113"/>
      <c r="JB163" s="113"/>
      <c r="JC163" s="113"/>
      <c r="JD163" s="66">
        <f>SUM((TEXT(JA163,"[M]")/60)*'Income Person-hours'!$D$3,(TEXT(JB163,"[M]")/60)*'Income Person-hours'!$D$4,(TEXT(JC163,"[M]")/60)*'Income Person-hours'!$D$5)</f>
        <v>0</v>
      </c>
    </row>
    <row r="164" spans="1:264" s="11" customFormat="1" ht="11.25" hidden="1">
      <c r="A164" s="176">
        <v>7.7</v>
      </c>
      <c r="B164" s="106"/>
      <c r="C164" s="107"/>
      <c r="D164" s="12" t="str">
        <f>IF(OR(j_WEEKDAY(J_ADDDAY(VLOOKUP(I164,A:F,6,FALSE),H164,1),0)=6,SUMIFS(Holieday[ok],Holieday[date],J_ADDDAY(VLOOKUP(I164,A:F,6,FALSE),H164,1)))=FALSE(),J_ADDDAY(VLOOKUP(I164,A:F,6,FALSE),H164,1),IF(OR(j_WEEKDAY(J_ADDDAY(VLOOKUP(I164,A:F,6,FALSE),H164+1,1),0)=6,SUMIFS(Holieday[ok],Holieday[date],J_ADDDAY(VLOOKUP(I164,A:F,6,FALSE),H164+1,1)))=FALSE(),J_ADDDAY(VLOOKUP(I164,A:F,6,FALSE),H164+1,1),IF(OR(j_WEEKDAY(J_ADDDAY(VLOOKUP(I164,A:F,6,FALSE),H164+2,1),0)=6,SUMIFS(Holieday[ok],Holieday[date],J_ADDDAY(VLOOKUP(I164,A:F,6,FALSE),H164+2,1)))=FALSE(),J_ADDDAY(VLOOKUP(I164,A:F,6,FALSE),H164+2,1),IF(OR(j_WEEKDAY(J_ADDDAY(VLOOKUP(I164,A:F,6,FALSE),H164+3,1),0)=6,SUMIFS(Holieday[ok],Holieday[date],J_ADDDAY(VLOOKUP(I164,A:F,6,FALSE),H164+3,1)))=FALSE(),J_ADDDAY(VLOOKUP(I164,A:F,6,FALSE),H164+3,1),IF(OR(j_WEEKDAY(J_ADDDAY(VLOOKUP(I164,A:F,6,FALSE),H164+4,1),0)=6,SUMIFS(Holieday[ok],Holieday[date],J_ADDDAY(VLOOKUP(I164,A:F,6,FALSE),H164+4,1)))=FALSE(),J_ADDDAY(VLOOKUP(I164,A:F,6,FALSE),H164+4,1),J_ADDDAY(VLOOKUP(I164,A:F,6,FALSE),H164+5,1))))))</f>
        <v>1398/09/14</v>
      </c>
      <c r="E164" s="1">
        <f t="shared" si="50"/>
        <v>13980914</v>
      </c>
      <c r="F164" s="12" t="str">
        <f>IF(N164=0,J_SUBDAY(D164,1,1),IF((N164-NETWORKDAYS.INTL(J_GregorianDate(D164,1),J_GregorianDate(J_SUBDAY(J_ADDDAY(D164,N164,1),1,1),1),16,1)-SUMIFS(Holieday[ok],Holieday[date],CONCATENATE("&gt;","=",D164),Holieday[date],CONCATENATE("&lt;","=",J_SUBDAY(J_ADDDAY(D164,N164,1),1,1)))+SUMIFS(Holieday[Friday],Holieday[date],CONCATENATE("&gt;","=",D164),Holieday[date],CONCATENATE("&lt;","=",J_SUBDAY(J_ADDDAY(D164,N164,1),1,1))))=0,J_SUBDAY(J_ADDDAY(D164,N164,1),1,1),IF((N164-NETWORKDAYS.INTL(J_GregorianDate(D164,1),J_GregorianDate(J_SUBDAY(J_ADDDAY(D164,N164,1),1,1),1),16,1)-SUMIFS(Holieday[ok],Holieday[date],CONCATENATE("&gt;","=",D164),Holieday[date],CONCATENATE("&lt;","=",J_SUBDAY(J_ADDDAY(D164,N164,1),1,1)))+SUMIFS(Holieday[Friday],Holieday[date],CONCATENATE("&gt;","=",D164),Holieday[date],CONCATENATE("&lt;","=",J_SUBDAY(J_ADDDAY(D164,N164,1),1,1))))=1,J_SUBDAY(J_ADDDAY(D164,N164+1,1),1,1),IF((N164-NETWORKDAYS.INTL(J_GregorianDate(D164,1),J_GregorianDate(J_SUBDAY(J_ADDDAY(D164,N164,1),1,1),1),16,1)-SUMIFS(Holieday[ok],Holieday[date],CONCATENATE("&gt;","=",D164),Holieday[date],CONCATENATE("&lt;","=",J_SUBDAY(J_ADDDAY(D164,N164,1),1,1)))+SUMIFS(Holieday[Friday],Holieday[date],CONCATENATE("&gt;","=",D164),Holieday[date],CONCATENATE("&lt;","=",J_SUBDAY(J_ADDDAY(D164,N164,1),1,1))))=2,J_SUBDAY(J_ADDDAY(D164,N164+2,1),1,1),J_SUBDAY(J_ADDDAY(D164,N164+3,1),1,1)))))</f>
        <v>1398/09/13</v>
      </c>
      <c r="G164" s="2">
        <f t="shared" si="51"/>
        <v>13980913</v>
      </c>
      <c r="H164" s="109"/>
      <c r="I164" s="110">
        <v>7.1</v>
      </c>
      <c r="J164" s="9">
        <f>j_WEEKDAY(D164,2)</f>
        <v>5</v>
      </c>
      <c r="K164" s="21">
        <f t="shared" si="54"/>
        <v>0</v>
      </c>
      <c r="L164" s="8">
        <f t="shared" si="55"/>
        <v>0</v>
      </c>
      <c r="M164" s="111">
        <v>0</v>
      </c>
      <c r="N164" s="108">
        <v>0</v>
      </c>
      <c r="O164" s="10">
        <f t="shared" si="58"/>
        <v>0</v>
      </c>
      <c r="P164" s="10">
        <f>VALUE(J_normdate(J_ADDDAY($D164,$O164,1)))</f>
        <v>13980914</v>
      </c>
      <c r="Q164" s="9">
        <f t="shared" si="59"/>
        <v>0</v>
      </c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  <c r="BB164" s="7"/>
      <c r="BC164" s="7"/>
      <c r="BD164" s="7"/>
      <c r="BE164" s="7"/>
      <c r="BF164" s="7"/>
      <c r="BG164" s="7"/>
      <c r="BH164" s="7"/>
      <c r="BI164" s="7"/>
      <c r="BJ164" s="7"/>
      <c r="BK164" s="7"/>
      <c r="BL164" s="7"/>
      <c r="BM164" s="7"/>
      <c r="BN164" s="7"/>
      <c r="BO164" s="7"/>
      <c r="BP164" s="7"/>
      <c r="BQ164" s="7"/>
      <c r="BR164" s="7"/>
      <c r="BS164" s="7"/>
      <c r="BT164" s="7"/>
      <c r="BU164" s="7"/>
      <c r="BV164" s="7"/>
      <c r="BW164" s="7"/>
      <c r="BX164" s="7"/>
      <c r="BY164" s="7"/>
      <c r="BZ164" s="7"/>
      <c r="CA164" s="7"/>
      <c r="CB164" s="7"/>
      <c r="CC164" s="7"/>
      <c r="CD164" s="7"/>
      <c r="CE164" s="7"/>
      <c r="CF164" s="7"/>
      <c r="CG164" s="7"/>
      <c r="CH164" s="7"/>
      <c r="CI164" s="7"/>
      <c r="CJ164" s="7"/>
      <c r="CK164" s="7"/>
      <c r="CL164" s="7"/>
      <c r="CM164" s="7"/>
      <c r="CN164" s="7"/>
      <c r="CO164" s="7"/>
      <c r="CP164" s="7"/>
      <c r="CQ164" s="7"/>
      <c r="CR164" s="7"/>
      <c r="CS164" s="7"/>
      <c r="CT164" s="7"/>
      <c r="CU164" s="7"/>
      <c r="CV164" s="7"/>
      <c r="CW164" s="7"/>
      <c r="CX164" s="7"/>
      <c r="CY164" s="7"/>
      <c r="CZ164" s="7"/>
      <c r="DA164" s="7"/>
      <c r="DB164" s="7"/>
      <c r="DC164" s="7"/>
      <c r="DD164" s="7"/>
      <c r="DE164" s="7"/>
      <c r="DF164" s="7"/>
      <c r="DG164" s="7"/>
      <c r="DH164" s="7"/>
      <c r="DI164" s="7"/>
      <c r="DJ164" s="7"/>
      <c r="DK164" s="7"/>
      <c r="DL164" s="7"/>
      <c r="DM164" s="7"/>
      <c r="DN164" s="7"/>
      <c r="DO164" s="7"/>
      <c r="DP164" s="7"/>
      <c r="DQ164" s="7"/>
      <c r="DR164" s="7"/>
      <c r="DS164" s="7"/>
      <c r="DT164" s="7"/>
      <c r="DU164" s="7"/>
      <c r="DV164" s="7"/>
      <c r="DW164" s="7"/>
      <c r="DX164" s="7"/>
      <c r="DY164" s="7"/>
      <c r="DZ164" s="7"/>
      <c r="EA164" s="7"/>
      <c r="EB164" s="7"/>
      <c r="EC164" s="7"/>
      <c r="ED164" s="7"/>
      <c r="EE164" s="7"/>
      <c r="EF164" s="7"/>
      <c r="EG164" s="7"/>
      <c r="EH164" s="7"/>
      <c r="EI164" s="7"/>
      <c r="EJ164" s="7"/>
      <c r="EK164" s="7"/>
      <c r="EL164" s="7"/>
      <c r="EM164" s="7"/>
      <c r="EN164" s="7"/>
      <c r="EO164" s="7"/>
      <c r="EP164" s="7"/>
      <c r="EQ164" s="7"/>
      <c r="ER164" s="7"/>
      <c r="ES164" s="7"/>
      <c r="ET164" s="7"/>
      <c r="EU164" s="7"/>
      <c r="EV164" s="7"/>
      <c r="EW164" s="7"/>
      <c r="EX164" s="7"/>
      <c r="EY164" s="7"/>
      <c r="EZ164" s="7"/>
      <c r="FA164" s="7"/>
      <c r="FB164" s="7"/>
      <c r="FC164" s="7"/>
      <c r="FD164" s="7"/>
      <c r="FE164" s="7"/>
      <c r="FF164" s="7"/>
      <c r="FG164" s="7"/>
      <c r="FH164" s="7"/>
      <c r="FI164" s="7"/>
      <c r="FJ164" s="7"/>
      <c r="FK164" s="7"/>
      <c r="FL164" s="7"/>
      <c r="FM164" s="7"/>
      <c r="FN164" s="7"/>
      <c r="FO164" s="7"/>
      <c r="FP164" s="7"/>
      <c r="FQ164" s="7"/>
      <c r="FR164" s="7"/>
      <c r="FS164" s="7"/>
      <c r="FT164" s="7"/>
      <c r="FU164" s="7"/>
      <c r="FV164" s="7"/>
      <c r="FW164" s="7"/>
      <c r="FX164" s="7"/>
      <c r="FY164" s="7"/>
      <c r="FZ164" s="7"/>
      <c r="GA164" s="7"/>
      <c r="GB164" s="7"/>
      <c r="GC164" s="7"/>
      <c r="GD164" s="7"/>
      <c r="GE164" s="7"/>
      <c r="GF164" s="7"/>
      <c r="GG164" s="7"/>
      <c r="GH164" s="7"/>
      <c r="GI164" s="7"/>
      <c r="GJ164" s="7"/>
      <c r="GK164" s="7"/>
      <c r="GL164" s="7"/>
      <c r="GM164" s="7"/>
      <c r="GN164" s="7"/>
      <c r="GO164" s="7"/>
      <c r="GP164" s="7"/>
      <c r="GQ164" s="7"/>
      <c r="GR164" s="7"/>
      <c r="GS164" s="7"/>
      <c r="GT164" s="7"/>
      <c r="GU164" s="7"/>
      <c r="GV164" s="7"/>
      <c r="GW164" s="7"/>
      <c r="GX164" s="7"/>
      <c r="GY164" s="7"/>
      <c r="GZ164" s="7"/>
      <c r="HA164" s="7"/>
      <c r="HB164" s="7"/>
      <c r="HC164" s="7"/>
      <c r="HD164" s="7"/>
      <c r="HE164" s="7"/>
      <c r="HF164" s="7"/>
      <c r="HG164" s="7"/>
      <c r="HH164" s="7"/>
      <c r="HI164" s="7"/>
      <c r="HJ164" s="7"/>
      <c r="HK164" s="7"/>
      <c r="HL164" s="7"/>
      <c r="HM164" s="7"/>
      <c r="HN164" s="7"/>
      <c r="HO164" s="7"/>
      <c r="HP164" s="7"/>
      <c r="HQ164" s="7"/>
      <c r="HR164" s="7"/>
      <c r="HS164" s="7"/>
      <c r="HT164" s="7"/>
      <c r="HU164" s="7"/>
      <c r="HV164" s="7"/>
      <c r="HW164" s="7"/>
      <c r="HX164" s="7"/>
      <c r="HY164" s="7"/>
      <c r="HZ164" s="7"/>
      <c r="IA164" s="7"/>
      <c r="IB164" s="7"/>
      <c r="IC164" s="7"/>
      <c r="ID164" s="7"/>
      <c r="IE164" s="7"/>
      <c r="IF164" s="7"/>
      <c r="IG164" s="7"/>
      <c r="IH164" s="7"/>
      <c r="II164" s="7"/>
      <c r="IJ164" s="7"/>
      <c r="IK164" s="7"/>
      <c r="IL164" s="7"/>
      <c r="IM164" s="7"/>
      <c r="IN164" s="7"/>
      <c r="IO164" s="7"/>
      <c r="IP164" s="7"/>
      <c r="IQ164" s="7"/>
      <c r="IR164" s="7"/>
      <c r="IS164" s="7"/>
      <c r="IT164" s="7"/>
      <c r="IU164" s="7"/>
      <c r="IV164" s="7"/>
      <c r="IW164" s="7"/>
      <c r="IX164" s="7"/>
      <c r="JA164" s="113"/>
      <c r="JB164" s="113"/>
      <c r="JC164" s="113"/>
      <c r="JD164" s="66">
        <f>SUM((TEXT(JA164,"[M]")/60)*'Income Person-hours'!$D$3,(TEXT(JB164,"[M]")/60)*'Income Person-hours'!$D$4,(TEXT(JC164,"[M]")/60)*'Income Person-hours'!$D$5)</f>
        <v>0</v>
      </c>
    </row>
    <row r="165" spans="1:264" s="11" customFormat="1" ht="11.25" hidden="1">
      <c r="A165" s="176">
        <v>7.8</v>
      </c>
      <c r="B165" s="106"/>
      <c r="C165" s="107"/>
      <c r="D165" s="12" t="str">
        <f>IF(OR(j_WEEKDAY(J_ADDDAY(VLOOKUP(I165,A:F,6,FALSE),H165,1),0)=6,SUMIFS(Holieday[ok],Holieday[date],J_ADDDAY(VLOOKUP(I165,A:F,6,FALSE),H165,1)))=FALSE(),J_ADDDAY(VLOOKUP(I165,A:F,6,FALSE),H165,1),IF(OR(j_WEEKDAY(J_ADDDAY(VLOOKUP(I165,A:F,6,FALSE),H165+1,1),0)=6,SUMIFS(Holieday[ok],Holieday[date],J_ADDDAY(VLOOKUP(I165,A:F,6,FALSE),H165+1,1)))=FALSE(),J_ADDDAY(VLOOKUP(I165,A:F,6,FALSE),H165+1,1),IF(OR(j_WEEKDAY(J_ADDDAY(VLOOKUP(I165,A:F,6,FALSE),H165+2,1),0)=6,SUMIFS(Holieday[ok],Holieday[date],J_ADDDAY(VLOOKUP(I165,A:F,6,FALSE),H165+2,1)))=FALSE(),J_ADDDAY(VLOOKUP(I165,A:F,6,FALSE),H165+2,1),IF(OR(j_WEEKDAY(J_ADDDAY(VLOOKUP(I165,A:F,6,FALSE),H165+3,1),0)=6,SUMIFS(Holieday[ok],Holieday[date],J_ADDDAY(VLOOKUP(I165,A:F,6,FALSE),H165+3,1)))=FALSE(),J_ADDDAY(VLOOKUP(I165,A:F,6,FALSE),H165+3,1),IF(OR(j_WEEKDAY(J_ADDDAY(VLOOKUP(I165,A:F,6,FALSE),H165+4,1),0)=6,SUMIFS(Holieday[ok],Holieday[date],J_ADDDAY(VLOOKUP(I165,A:F,6,FALSE),H165+4,1)))=FALSE(),J_ADDDAY(VLOOKUP(I165,A:F,6,FALSE),H165+4,1),J_ADDDAY(VLOOKUP(I165,A:F,6,FALSE),H165+5,1))))))</f>
        <v>1398/09/14</v>
      </c>
      <c r="E165" s="1">
        <f t="shared" si="50"/>
        <v>13980914</v>
      </c>
      <c r="F165" s="12" t="str">
        <f>IF(N165=0,J_SUBDAY(D165,1,1),IF((N165-NETWORKDAYS.INTL(J_GregorianDate(D165,1),J_GregorianDate(J_SUBDAY(J_ADDDAY(D165,N165,1),1,1),1),16,1)-SUMIFS(Holieday[ok],Holieday[date],CONCATENATE("&gt;","=",D165),Holieday[date],CONCATENATE("&lt;","=",J_SUBDAY(J_ADDDAY(D165,N165,1),1,1)))+SUMIFS(Holieday[Friday],Holieday[date],CONCATENATE("&gt;","=",D165),Holieday[date],CONCATENATE("&lt;","=",J_SUBDAY(J_ADDDAY(D165,N165,1),1,1))))=0,J_SUBDAY(J_ADDDAY(D165,N165,1),1,1),IF((N165-NETWORKDAYS.INTL(J_GregorianDate(D165,1),J_GregorianDate(J_SUBDAY(J_ADDDAY(D165,N165,1),1,1),1),16,1)-SUMIFS(Holieday[ok],Holieday[date],CONCATENATE("&gt;","=",D165),Holieday[date],CONCATENATE("&lt;","=",J_SUBDAY(J_ADDDAY(D165,N165,1),1,1)))+SUMIFS(Holieday[Friday],Holieday[date],CONCATENATE("&gt;","=",D165),Holieday[date],CONCATENATE("&lt;","=",J_SUBDAY(J_ADDDAY(D165,N165,1),1,1))))=1,J_SUBDAY(J_ADDDAY(D165,N165+1,1),1,1),IF((N165-NETWORKDAYS.INTL(J_GregorianDate(D165,1),J_GregorianDate(J_SUBDAY(J_ADDDAY(D165,N165,1),1,1),1),16,1)-SUMIFS(Holieday[ok],Holieday[date],CONCATENATE("&gt;","=",D165),Holieday[date],CONCATENATE("&lt;","=",J_SUBDAY(J_ADDDAY(D165,N165,1),1,1)))+SUMIFS(Holieday[Friday],Holieday[date],CONCATENATE("&gt;","=",D165),Holieday[date],CONCATENATE("&lt;","=",J_SUBDAY(J_ADDDAY(D165,N165,1),1,1))))=2,J_SUBDAY(J_ADDDAY(D165,N165+2,1),1,1),J_SUBDAY(J_ADDDAY(D165,N165+3,1),1,1)))))</f>
        <v>1398/09/13</v>
      </c>
      <c r="G165" s="2">
        <f t="shared" si="51"/>
        <v>13980913</v>
      </c>
      <c r="H165" s="109"/>
      <c r="I165" s="110">
        <v>7.1</v>
      </c>
      <c r="J165" s="9">
        <f>j_WEEKDAY(D165,2)</f>
        <v>5</v>
      </c>
      <c r="K165" s="21">
        <f t="shared" si="54"/>
        <v>0</v>
      </c>
      <c r="L165" s="8">
        <f t="shared" si="55"/>
        <v>0</v>
      </c>
      <c r="M165" s="111">
        <v>0</v>
      </c>
      <c r="N165" s="108">
        <v>0</v>
      </c>
      <c r="O165" s="10">
        <f t="shared" si="58"/>
        <v>0</v>
      </c>
      <c r="P165" s="10">
        <f>VALUE(J_normdate(J_ADDDAY($D165,$O165,1)))</f>
        <v>13980914</v>
      </c>
      <c r="Q165" s="9">
        <f t="shared" si="59"/>
        <v>0</v>
      </c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  <c r="BE165" s="7"/>
      <c r="BF165" s="7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/>
      <c r="BR165" s="7"/>
      <c r="BS165" s="7"/>
      <c r="BT165" s="7"/>
      <c r="BU165" s="7"/>
      <c r="BV165" s="7"/>
      <c r="BW165" s="7"/>
      <c r="BX165" s="7"/>
      <c r="BY165" s="7"/>
      <c r="BZ165" s="7"/>
      <c r="CA165" s="7"/>
      <c r="CB165" s="7"/>
      <c r="CC165" s="7"/>
      <c r="CD165" s="7"/>
      <c r="CE165" s="7"/>
      <c r="CF165" s="7"/>
      <c r="CG165" s="7"/>
      <c r="CH165" s="7"/>
      <c r="CI165" s="7"/>
      <c r="CJ165" s="7"/>
      <c r="CK165" s="7"/>
      <c r="CL165" s="7"/>
      <c r="CM165" s="7"/>
      <c r="CN165" s="7"/>
      <c r="CO165" s="7"/>
      <c r="CP165" s="7"/>
      <c r="CQ165" s="7"/>
      <c r="CR165" s="7"/>
      <c r="CS165" s="7"/>
      <c r="CT165" s="7"/>
      <c r="CU165" s="7"/>
      <c r="CV165" s="7"/>
      <c r="CW165" s="7"/>
      <c r="CX165" s="7"/>
      <c r="CY165" s="7"/>
      <c r="CZ165" s="7"/>
      <c r="DA165" s="7"/>
      <c r="DB165" s="7"/>
      <c r="DC165" s="7"/>
      <c r="DD165" s="7"/>
      <c r="DE165" s="7"/>
      <c r="DF165" s="7"/>
      <c r="DG165" s="7"/>
      <c r="DH165" s="7"/>
      <c r="DI165" s="7"/>
      <c r="DJ165" s="7"/>
      <c r="DK165" s="7"/>
      <c r="DL165" s="7"/>
      <c r="DM165" s="7"/>
      <c r="DN165" s="7"/>
      <c r="DO165" s="7"/>
      <c r="DP165" s="7"/>
      <c r="DQ165" s="7"/>
      <c r="DR165" s="7"/>
      <c r="DS165" s="7"/>
      <c r="DT165" s="7"/>
      <c r="DU165" s="7"/>
      <c r="DV165" s="7"/>
      <c r="DW165" s="7"/>
      <c r="DX165" s="7"/>
      <c r="DY165" s="7"/>
      <c r="DZ165" s="7"/>
      <c r="EA165" s="7"/>
      <c r="EB165" s="7"/>
      <c r="EC165" s="7"/>
      <c r="ED165" s="7"/>
      <c r="EE165" s="7"/>
      <c r="EF165" s="7"/>
      <c r="EG165" s="7"/>
      <c r="EH165" s="7"/>
      <c r="EI165" s="7"/>
      <c r="EJ165" s="7"/>
      <c r="EK165" s="7"/>
      <c r="EL165" s="7"/>
      <c r="EM165" s="7"/>
      <c r="EN165" s="7"/>
      <c r="EO165" s="7"/>
      <c r="EP165" s="7"/>
      <c r="EQ165" s="7"/>
      <c r="ER165" s="7"/>
      <c r="ES165" s="7"/>
      <c r="ET165" s="7"/>
      <c r="EU165" s="7"/>
      <c r="EV165" s="7"/>
      <c r="EW165" s="7"/>
      <c r="EX165" s="7"/>
      <c r="EY165" s="7"/>
      <c r="EZ165" s="7"/>
      <c r="FA165" s="7"/>
      <c r="FB165" s="7"/>
      <c r="FC165" s="7"/>
      <c r="FD165" s="7"/>
      <c r="FE165" s="7"/>
      <c r="FF165" s="7"/>
      <c r="FG165" s="7"/>
      <c r="FH165" s="7"/>
      <c r="FI165" s="7"/>
      <c r="FJ165" s="7"/>
      <c r="FK165" s="7"/>
      <c r="FL165" s="7"/>
      <c r="FM165" s="7"/>
      <c r="FN165" s="7"/>
      <c r="FO165" s="7"/>
      <c r="FP165" s="7"/>
      <c r="FQ165" s="7"/>
      <c r="FR165" s="7"/>
      <c r="FS165" s="7"/>
      <c r="FT165" s="7"/>
      <c r="FU165" s="7"/>
      <c r="FV165" s="7"/>
      <c r="FW165" s="7"/>
      <c r="FX165" s="7"/>
      <c r="FY165" s="7"/>
      <c r="FZ165" s="7"/>
      <c r="GA165" s="7"/>
      <c r="GB165" s="7"/>
      <c r="GC165" s="7"/>
      <c r="GD165" s="7"/>
      <c r="GE165" s="7"/>
      <c r="GF165" s="7"/>
      <c r="GG165" s="7"/>
      <c r="GH165" s="7"/>
      <c r="GI165" s="7"/>
      <c r="GJ165" s="7"/>
      <c r="GK165" s="7"/>
      <c r="GL165" s="7"/>
      <c r="GM165" s="7"/>
      <c r="GN165" s="7"/>
      <c r="GO165" s="7"/>
      <c r="GP165" s="7"/>
      <c r="GQ165" s="7"/>
      <c r="GR165" s="7"/>
      <c r="GS165" s="7"/>
      <c r="GT165" s="7"/>
      <c r="GU165" s="7"/>
      <c r="GV165" s="7"/>
      <c r="GW165" s="7"/>
      <c r="GX165" s="7"/>
      <c r="GY165" s="7"/>
      <c r="GZ165" s="7"/>
      <c r="HA165" s="7"/>
      <c r="HB165" s="7"/>
      <c r="HC165" s="7"/>
      <c r="HD165" s="7"/>
      <c r="HE165" s="7"/>
      <c r="HF165" s="7"/>
      <c r="HG165" s="7"/>
      <c r="HH165" s="7"/>
      <c r="HI165" s="7"/>
      <c r="HJ165" s="7"/>
      <c r="HK165" s="7"/>
      <c r="HL165" s="7"/>
      <c r="HM165" s="7"/>
      <c r="HN165" s="7"/>
      <c r="HO165" s="7"/>
      <c r="HP165" s="7"/>
      <c r="HQ165" s="7"/>
      <c r="HR165" s="7"/>
      <c r="HS165" s="7"/>
      <c r="HT165" s="7"/>
      <c r="HU165" s="7"/>
      <c r="HV165" s="7"/>
      <c r="HW165" s="7"/>
      <c r="HX165" s="7"/>
      <c r="HY165" s="7"/>
      <c r="HZ165" s="7"/>
      <c r="IA165" s="7"/>
      <c r="IB165" s="7"/>
      <c r="IC165" s="7"/>
      <c r="ID165" s="7"/>
      <c r="IE165" s="7"/>
      <c r="IF165" s="7"/>
      <c r="IG165" s="7"/>
      <c r="IH165" s="7"/>
      <c r="II165" s="7"/>
      <c r="IJ165" s="7"/>
      <c r="IK165" s="7"/>
      <c r="IL165" s="7"/>
      <c r="IM165" s="7"/>
      <c r="IN165" s="7"/>
      <c r="IO165" s="7"/>
      <c r="IP165" s="7"/>
      <c r="IQ165" s="7"/>
      <c r="IR165" s="7"/>
      <c r="IS165" s="7"/>
      <c r="IT165" s="7"/>
      <c r="IU165" s="7"/>
      <c r="IV165" s="7"/>
      <c r="IW165" s="7"/>
      <c r="IX165" s="7"/>
      <c r="JA165" s="113"/>
      <c r="JB165" s="113"/>
      <c r="JC165" s="113"/>
      <c r="JD165" s="66">
        <f>SUM((TEXT(JA165,"[M]")/60)*'Income Person-hours'!$D$3,(TEXT(JB165,"[M]")/60)*'Income Person-hours'!$D$4,(TEXT(JC165,"[M]")/60)*'Income Person-hours'!$D$5)</f>
        <v>0</v>
      </c>
    </row>
    <row r="166" spans="1:264" s="11" customFormat="1" ht="11.25" hidden="1">
      <c r="A166" s="176">
        <v>7.9</v>
      </c>
      <c r="B166" s="106"/>
      <c r="C166" s="107"/>
      <c r="D166" s="12" t="str">
        <f>IF(OR(j_WEEKDAY(J_ADDDAY(VLOOKUP(I166,A:F,6,FALSE),H166,1),0)=6,SUMIFS(Holieday[ok],Holieday[date],J_ADDDAY(VLOOKUP(I166,A:F,6,FALSE),H166,1)))=FALSE(),J_ADDDAY(VLOOKUP(I166,A:F,6,FALSE),H166,1),IF(OR(j_WEEKDAY(J_ADDDAY(VLOOKUP(I166,A:F,6,FALSE),H166+1,1),0)=6,SUMIFS(Holieday[ok],Holieday[date],J_ADDDAY(VLOOKUP(I166,A:F,6,FALSE),H166+1,1)))=FALSE(),J_ADDDAY(VLOOKUP(I166,A:F,6,FALSE),H166+1,1),IF(OR(j_WEEKDAY(J_ADDDAY(VLOOKUP(I166,A:F,6,FALSE),H166+2,1),0)=6,SUMIFS(Holieday[ok],Holieday[date],J_ADDDAY(VLOOKUP(I166,A:F,6,FALSE),H166+2,1)))=FALSE(),J_ADDDAY(VLOOKUP(I166,A:F,6,FALSE),H166+2,1),IF(OR(j_WEEKDAY(J_ADDDAY(VLOOKUP(I166,A:F,6,FALSE),H166+3,1),0)=6,SUMIFS(Holieday[ok],Holieday[date],J_ADDDAY(VLOOKUP(I166,A:F,6,FALSE),H166+3,1)))=FALSE(),J_ADDDAY(VLOOKUP(I166,A:F,6,FALSE),H166+3,1),IF(OR(j_WEEKDAY(J_ADDDAY(VLOOKUP(I166,A:F,6,FALSE),H166+4,1),0)=6,SUMIFS(Holieday[ok],Holieday[date],J_ADDDAY(VLOOKUP(I166,A:F,6,FALSE),H166+4,1)))=FALSE(),J_ADDDAY(VLOOKUP(I166,A:F,6,FALSE),H166+4,1),J_ADDDAY(VLOOKUP(I166,A:F,6,FALSE),H166+5,1))))))</f>
        <v>1398/09/14</v>
      </c>
      <c r="E166" s="1">
        <f t="shared" si="50"/>
        <v>13980914</v>
      </c>
      <c r="F166" s="12" t="str">
        <f>IF(N166=0,J_SUBDAY(D166,1,1),IF((N166-NETWORKDAYS.INTL(J_GregorianDate(D166,1),J_GregorianDate(J_SUBDAY(J_ADDDAY(D166,N166,1),1,1),1),16,1)-SUMIFS(Holieday[ok],Holieday[date],CONCATENATE("&gt;","=",D166),Holieday[date],CONCATENATE("&lt;","=",J_SUBDAY(J_ADDDAY(D166,N166,1),1,1)))+SUMIFS(Holieday[Friday],Holieday[date],CONCATENATE("&gt;","=",D166),Holieday[date],CONCATENATE("&lt;","=",J_SUBDAY(J_ADDDAY(D166,N166,1),1,1))))=0,J_SUBDAY(J_ADDDAY(D166,N166,1),1,1),IF((N166-NETWORKDAYS.INTL(J_GregorianDate(D166,1),J_GregorianDate(J_SUBDAY(J_ADDDAY(D166,N166,1),1,1),1),16,1)-SUMIFS(Holieday[ok],Holieday[date],CONCATENATE("&gt;","=",D166),Holieday[date],CONCATENATE("&lt;","=",J_SUBDAY(J_ADDDAY(D166,N166,1),1,1)))+SUMIFS(Holieday[Friday],Holieday[date],CONCATENATE("&gt;","=",D166),Holieday[date],CONCATENATE("&lt;","=",J_SUBDAY(J_ADDDAY(D166,N166,1),1,1))))=1,J_SUBDAY(J_ADDDAY(D166,N166+1,1),1,1),IF((N166-NETWORKDAYS.INTL(J_GregorianDate(D166,1),J_GregorianDate(J_SUBDAY(J_ADDDAY(D166,N166,1),1,1),1),16,1)-SUMIFS(Holieday[ok],Holieday[date],CONCATENATE("&gt;","=",D166),Holieday[date],CONCATENATE("&lt;","=",J_SUBDAY(J_ADDDAY(D166,N166,1),1,1)))+SUMIFS(Holieday[Friday],Holieday[date],CONCATENATE("&gt;","=",D166),Holieday[date],CONCATENATE("&lt;","=",J_SUBDAY(J_ADDDAY(D166,N166,1),1,1))))=2,J_SUBDAY(J_ADDDAY(D166,N166+2,1),1,1),J_SUBDAY(J_ADDDAY(D166,N166+3,1),1,1)))))</f>
        <v>1398/09/13</v>
      </c>
      <c r="G166" s="2">
        <f t="shared" si="51"/>
        <v>13980913</v>
      </c>
      <c r="H166" s="109"/>
      <c r="I166" s="110">
        <v>7.1</v>
      </c>
      <c r="J166" s="9">
        <f>j_WEEKDAY(D166,2)</f>
        <v>5</v>
      </c>
      <c r="K166" s="21">
        <f t="shared" si="54"/>
        <v>0</v>
      </c>
      <c r="L166" s="8">
        <f t="shared" si="55"/>
        <v>0</v>
      </c>
      <c r="M166" s="111">
        <v>0</v>
      </c>
      <c r="N166" s="108">
        <v>0</v>
      </c>
      <c r="O166" s="10">
        <f t="shared" si="58"/>
        <v>0</v>
      </c>
      <c r="P166" s="10">
        <f>VALUE(J_normdate(J_ADDDAY($D166,$O166,1)))</f>
        <v>13980914</v>
      </c>
      <c r="Q166" s="9">
        <f t="shared" si="59"/>
        <v>0</v>
      </c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/>
      <c r="BE166" s="7"/>
      <c r="BF166" s="7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BS166" s="7"/>
      <c r="BT166" s="7"/>
      <c r="BU166" s="7"/>
      <c r="BV166" s="7"/>
      <c r="BW166" s="7"/>
      <c r="BX166" s="7"/>
      <c r="BY166" s="7"/>
      <c r="BZ166" s="7"/>
      <c r="CA166" s="7"/>
      <c r="CB166" s="7"/>
      <c r="CC166" s="7"/>
      <c r="CD166" s="7"/>
      <c r="CE166" s="7"/>
      <c r="CF166" s="7"/>
      <c r="CG166" s="7"/>
      <c r="CH166" s="7"/>
      <c r="CI166" s="7"/>
      <c r="CJ166" s="7"/>
      <c r="CK166" s="7"/>
      <c r="CL166" s="7"/>
      <c r="CM166" s="7"/>
      <c r="CN166" s="7"/>
      <c r="CO166" s="7"/>
      <c r="CP166" s="7"/>
      <c r="CQ166" s="7"/>
      <c r="CR166" s="7"/>
      <c r="CS166" s="7"/>
      <c r="CT166" s="7"/>
      <c r="CU166" s="7"/>
      <c r="CV166" s="7"/>
      <c r="CW166" s="7"/>
      <c r="CX166" s="7"/>
      <c r="CY166" s="7"/>
      <c r="CZ166" s="7"/>
      <c r="DA166" s="7"/>
      <c r="DB166" s="7"/>
      <c r="DC166" s="7"/>
      <c r="DD166" s="7"/>
      <c r="DE166" s="7"/>
      <c r="DF166" s="7"/>
      <c r="DG166" s="7"/>
      <c r="DH166" s="7"/>
      <c r="DI166" s="7"/>
      <c r="DJ166" s="7"/>
      <c r="DK166" s="7"/>
      <c r="DL166" s="7"/>
      <c r="DM166" s="7"/>
      <c r="DN166" s="7"/>
      <c r="DO166" s="7"/>
      <c r="DP166" s="7"/>
      <c r="DQ166" s="7"/>
      <c r="DR166" s="7"/>
      <c r="DS166" s="7"/>
      <c r="DT166" s="7"/>
      <c r="DU166" s="7"/>
      <c r="DV166" s="7"/>
      <c r="DW166" s="7"/>
      <c r="DX166" s="7"/>
      <c r="DY166" s="7"/>
      <c r="DZ166" s="7"/>
      <c r="EA166" s="7"/>
      <c r="EB166" s="7"/>
      <c r="EC166" s="7"/>
      <c r="ED166" s="7"/>
      <c r="EE166" s="7"/>
      <c r="EF166" s="7"/>
      <c r="EG166" s="7"/>
      <c r="EH166" s="7"/>
      <c r="EI166" s="7"/>
      <c r="EJ166" s="7"/>
      <c r="EK166" s="7"/>
      <c r="EL166" s="7"/>
      <c r="EM166" s="7"/>
      <c r="EN166" s="7"/>
      <c r="EO166" s="7"/>
      <c r="EP166" s="7"/>
      <c r="EQ166" s="7"/>
      <c r="ER166" s="7"/>
      <c r="ES166" s="7"/>
      <c r="ET166" s="7"/>
      <c r="EU166" s="7"/>
      <c r="EV166" s="7"/>
      <c r="EW166" s="7"/>
      <c r="EX166" s="7"/>
      <c r="EY166" s="7"/>
      <c r="EZ166" s="7"/>
      <c r="FA166" s="7"/>
      <c r="FB166" s="7"/>
      <c r="FC166" s="7"/>
      <c r="FD166" s="7"/>
      <c r="FE166" s="7"/>
      <c r="FF166" s="7"/>
      <c r="FG166" s="7"/>
      <c r="FH166" s="7"/>
      <c r="FI166" s="7"/>
      <c r="FJ166" s="7"/>
      <c r="FK166" s="7"/>
      <c r="FL166" s="7"/>
      <c r="FM166" s="7"/>
      <c r="FN166" s="7"/>
      <c r="FO166" s="7"/>
      <c r="FP166" s="7"/>
      <c r="FQ166" s="7"/>
      <c r="FR166" s="7"/>
      <c r="FS166" s="7"/>
      <c r="FT166" s="7"/>
      <c r="FU166" s="7"/>
      <c r="FV166" s="7"/>
      <c r="FW166" s="7"/>
      <c r="FX166" s="7"/>
      <c r="FY166" s="7"/>
      <c r="FZ166" s="7"/>
      <c r="GA166" s="7"/>
      <c r="GB166" s="7"/>
      <c r="GC166" s="7"/>
      <c r="GD166" s="7"/>
      <c r="GE166" s="7"/>
      <c r="GF166" s="7"/>
      <c r="GG166" s="7"/>
      <c r="GH166" s="7"/>
      <c r="GI166" s="7"/>
      <c r="GJ166" s="7"/>
      <c r="GK166" s="7"/>
      <c r="GL166" s="7"/>
      <c r="GM166" s="7"/>
      <c r="GN166" s="7"/>
      <c r="GO166" s="7"/>
      <c r="GP166" s="7"/>
      <c r="GQ166" s="7"/>
      <c r="GR166" s="7"/>
      <c r="GS166" s="7"/>
      <c r="GT166" s="7"/>
      <c r="GU166" s="7"/>
      <c r="GV166" s="7"/>
      <c r="GW166" s="7"/>
      <c r="GX166" s="7"/>
      <c r="GY166" s="7"/>
      <c r="GZ166" s="7"/>
      <c r="HA166" s="7"/>
      <c r="HB166" s="7"/>
      <c r="HC166" s="7"/>
      <c r="HD166" s="7"/>
      <c r="HE166" s="7"/>
      <c r="HF166" s="7"/>
      <c r="HG166" s="7"/>
      <c r="HH166" s="7"/>
      <c r="HI166" s="7"/>
      <c r="HJ166" s="7"/>
      <c r="HK166" s="7"/>
      <c r="HL166" s="7"/>
      <c r="HM166" s="7"/>
      <c r="HN166" s="7"/>
      <c r="HO166" s="7"/>
      <c r="HP166" s="7"/>
      <c r="HQ166" s="7"/>
      <c r="HR166" s="7"/>
      <c r="HS166" s="7"/>
      <c r="HT166" s="7"/>
      <c r="HU166" s="7"/>
      <c r="HV166" s="7"/>
      <c r="HW166" s="7"/>
      <c r="HX166" s="7"/>
      <c r="HY166" s="7"/>
      <c r="HZ166" s="7"/>
      <c r="IA166" s="7"/>
      <c r="IB166" s="7"/>
      <c r="IC166" s="7"/>
      <c r="ID166" s="7"/>
      <c r="IE166" s="7"/>
      <c r="IF166" s="7"/>
      <c r="IG166" s="7"/>
      <c r="IH166" s="7"/>
      <c r="II166" s="7"/>
      <c r="IJ166" s="7"/>
      <c r="IK166" s="7"/>
      <c r="IL166" s="7"/>
      <c r="IM166" s="7"/>
      <c r="IN166" s="7"/>
      <c r="IO166" s="7"/>
      <c r="IP166" s="7"/>
      <c r="IQ166" s="7"/>
      <c r="IR166" s="7"/>
      <c r="IS166" s="7"/>
      <c r="IT166" s="7"/>
      <c r="IU166" s="7"/>
      <c r="IV166" s="7"/>
      <c r="IW166" s="7"/>
      <c r="IX166" s="7"/>
      <c r="JA166" s="113"/>
      <c r="JB166" s="113"/>
      <c r="JC166" s="113"/>
      <c r="JD166" s="66">
        <f>SUM((TEXT(JA166,"[M]")/60)*'Income Person-hours'!$D$3,(TEXT(JB166,"[M]")/60)*'Income Person-hours'!$D$4,(TEXT(JC166,"[M]")/60)*'Income Person-hours'!$D$5)</f>
        <v>0</v>
      </c>
    </row>
    <row r="167" spans="1:264" s="11" customFormat="1" ht="11.25" hidden="1">
      <c r="A167" s="30">
        <v>7.11</v>
      </c>
      <c r="B167" s="116"/>
      <c r="C167" s="107"/>
      <c r="D167" s="12" t="str">
        <f>IF(OR(j_WEEKDAY(J_ADDDAY(VLOOKUP(I167,A:F,6,FALSE),H167,1),0)=6,SUMIFS(Holieday[ok],Holieday[date],J_ADDDAY(VLOOKUP(I167,A:F,6,FALSE),H167,1)))=FALSE(),J_ADDDAY(VLOOKUP(I167,A:F,6,FALSE),H167,1),IF(OR(j_WEEKDAY(J_ADDDAY(VLOOKUP(I167,A:F,6,FALSE),H167+1,1),0)=6,SUMIFS(Holieday[ok],Holieday[date],J_ADDDAY(VLOOKUP(I167,A:F,6,FALSE),H167+1,1)))=FALSE(),J_ADDDAY(VLOOKUP(I167,A:F,6,FALSE),H167+1,1),IF(OR(j_WEEKDAY(J_ADDDAY(VLOOKUP(I167,A:F,6,FALSE),H167+2,1),0)=6,SUMIFS(Holieday[ok],Holieday[date],J_ADDDAY(VLOOKUP(I167,A:F,6,FALSE),H167+2,1)))=FALSE(),J_ADDDAY(VLOOKUP(I167,A:F,6,FALSE),H167+2,1),IF(OR(j_WEEKDAY(J_ADDDAY(VLOOKUP(I167,A:F,6,FALSE),H167+3,1),0)=6,SUMIFS(Holieday[ok],Holieday[date],J_ADDDAY(VLOOKUP(I167,A:F,6,FALSE),H167+3,1)))=FALSE(),J_ADDDAY(VLOOKUP(I167,A:F,6,FALSE),H167+3,1),IF(OR(j_WEEKDAY(J_ADDDAY(VLOOKUP(I167,A:F,6,FALSE),H167+4,1),0)=6,SUMIFS(Holieday[ok],Holieday[date],J_ADDDAY(VLOOKUP(I167,A:F,6,FALSE),H167+4,1)))=FALSE(),J_ADDDAY(VLOOKUP(I167,A:F,6,FALSE),H167+4,1),J_ADDDAY(VLOOKUP(I167,A:F,6,FALSE),H167+5,1))))))</f>
        <v>1398/09/14</v>
      </c>
      <c r="E167" s="1">
        <f t="shared" si="50"/>
        <v>13980914</v>
      </c>
      <c r="F167" s="12" t="str">
        <f>IF(N167=0,J_SUBDAY(D167,1,1),IF((N167-NETWORKDAYS.INTL(J_GregorianDate(D167,1),J_GregorianDate(J_SUBDAY(J_ADDDAY(D167,N167,1),1,1),1),16,1)-SUMIFS(Holieday[ok],Holieday[date],CONCATENATE("&gt;","=",D167),Holieday[date],CONCATENATE("&lt;","=",J_SUBDAY(J_ADDDAY(D167,N167,1),1,1)))+SUMIFS(Holieday[Friday],Holieday[date],CONCATENATE("&gt;","=",D167),Holieday[date],CONCATENATE("&lt;","=",J_SUBDAY(J_ADDDAY(D167,N167,1),1,1))))=0,J_SUBDAY(J_ADDDAY(D167,N167,1),1,1),IF((N167-NETWORKDAYS.INTL(J_GregorianDate(D167,1),J_GregorianDate(J_SUBDAY(J_ADDDAY(D167,N167,1),1,1),1),16,1)-SUMIFS(Holieday[ok],Holieday[date],CONCATENATE("&gt;","=",D167),Holieday[date],CONCATENATE("&lt;","=",J_SUBDAY(J_ADDDAY(D167,N167,1),1,1)))+SUMIFS(Holieday[Friday],Holieday[date],CONCATENATE("&gt;","=",D167),Holieday[date],CONCATENATE("&lt;","=",J_SUBDAY(J_ADDDAY(D167,N167,1),1,1))))=1,J_SUBDAY(J_ADDDAY(D167,N167+1,1),1,1),IF((N167-NETWORKDAYS.INTL(J_GregorianDate(D167,1),J_GregorianDate(J_SUBDAY(J_ADDDAY(D167,N167,1),1,1),1),16,1)-SUMIFS(Holieday[ok],Holieday[date],CONCATENATE("&gt;","=",D167),Holieday[date],CONCATENATE("&lt;","=",J_SUBDAY(J_ADDDAY(D167,N167,1),1,1)))+SUMIFS(Holieday[Friday],Holieday[date],CONCATENATE("&gt;","=",D167),Holieday[date],CONCATENATE("&lt;","=",J_SUBDAY(J_ADDDAY(D167,N167,1),1,1))))=2,J_SUBDAY(J_ADDDAY(D167,N167+2,1),1,1),J_SUBDAY(J_ADDDAY(D167,N167+3,1),1,1)))))</f>
        <v>1398/09/13</v>
      </c>
      <c r="G167" s="2">
        <f t="shared" si="51"/>
        <v>13980913</v>
      </c>
      <c r="H167" s="109"/>
      <c r="I167" s="110">
        <v>7.1</v>
      </c>
      <c r="J167" s="9">
        <f>j_WEEKDAY(D167,2)</f>
        <v>5</v>
      </c>
      <c r="K167" s="21">
        <f t="shared" si="54"/>
        <v>0</v>
      </c>
      <c r="L167" s="8">
        <f t="shared" si="55"/>
        <v>0</v>
      </c>
      <c r="M167" s="111">
        <v>0</v>
      </c>
      <c r="N167" s="108">
        <v>0</v>
      </c>
      <c r="O167" s="10">
        <f t="shared" si="58"/>
        <v>0</v>
      </c>
      <c r="P167" s="10">
        <f>VALUE(J_normdate(J_ADDDAY($D167,$O167,1)))</f>
        <v>13980914</v>
      </c>
      <c r="Q167" s="9">
        <f t="shared" si="59"/>
        <v>0</v>
      </c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  <c r="BB167" s="7"/>
      <c r="BC167" s="7"/>
      <c r="BD167" s="7"/>
      <c r="BE167" s="7"/>
      <c r="BF167" s="7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BS167" s="7"/>
      <c r="BT167" s="7"/>
      <c r="BU167" s="7"/>
      <c r="BV167" s="7"/>
      <c r="BW167" s="7"/>
      <c r="BX167" s="7"/>
      <c r="BY167" s="7"/>
      <c r="BZ167" s="7"/>
      <c r="CA167" s="7"/>
      <c r="CB167" s="7"/>
      <c r="CC167" s="7"/>
      <c r="CD167" s="7"/>
      <c r="CE167" s="7"/>
      <c r="CF167" s="7"/>
      <c r="CG167" s="7"/>
      <c r="CH167" s="7"/>
      <c r="CI167" s="7"/>
      <c r="CJ167" s="7"/>
      <c r="CK167" s="7"/>
      <c r="CL167" s="7"/>
      <c r="CM167" s="7"/>
      <c r="CN167" s="7"/>
      <c r="CO167" s="7"/>
      <c r="CP167" s="7"/>
      <c r="CQ167" s="7"/>
      <c r="CR167" s="7"/>
      <c r="CS167" s="7"/>
      <c r="CT167" s="7"/>
      <c r="CU167" s="7"/>
      <c r="CV167" s="7"/>
      <c r="CW167" s="7"/>
      <c r="CX167" s="7"/>
      <c r="CY167" s="7"/>
      <c r="CZ167" s="7"/>
      <c r="DA167" s="7"/>
      <c r="DB167" s="7"/>
      <c r="DC167" s="7"/>
      <c r="DD167" s="7"/>
      <c r="DE167" s="7"/>
      <c r="DF167" s="7"/>
      <c r="DG167" s="7"/>
      <c r="DH167" s="7"/>
      <c r="DI167" s="7"/>
      <c r="DJ167" s="7"/>
      <c r="DK167" s="7"/>
      <c r="DL167" s="7"/>
      <c r="DM167" s="7"/>
      <c r="DN167" s="7"/>
      <c r="DO167" s="7"/>
      <c r="DP167" s="7"/>
      <c r="DQ167" s="7"/>
      <c r="DR167" s="7"/>
      <c r="DS167" s="7"/>
      <c r="DT167" s="7"/>
      <c r="DU167" s="7"/>
      <c r="DV167" s="7"/>
      <c r="DW167" s="7"/>
      <c r="DX167" s="7"/>
      <c r="DY167" s="7"/>
      <c r="DZ167" s="7"/>
      <c r="EA167" s="7"/>
      <c r="EB167" s="7"/>
      <c r="EC167" s="7"/>
      <c r="ED167" s="7"/>
      <c r="EE167" s="7"/>
      <c r="EF167" s="7"/>
      <c r="EG167" s="7"/>
      <c r="EH167" s="7"/>
      <c r="EI167" s="7"/>
      <c r="EJ167" s="7"/>
      <c r="EK167" s="7"/>
      <c r="EL167" s="7"/>
      <c r="EM167" s="7"/>
      <c r="EN167" s="7"/>
      <c r="EO167" s="7"/>
      <c r="EP167" s="7"/>
      <c r="EQ167" s="7"/>
      <c r="ER167" s="7"/>
      <c r="ES167" s="7"/>
      <c r="ET167" s="7"/>
      <c r="EU167" s="7"/>
      <c r="EV167" s="7"/>
      <c r="EW167" s="7"/>
      <c r="EX167" s="7"/>
      <c r="EY167" s="7"/>
      <c r="EZ167" s="7"/>
      <c r="FA167" s="7"/>
      <c r="FB167" s="7"/>
      <c r="FC167" s="7"/>
      <c r="FD167" s="7"/>
      <c r="FE167" s="7"/>
      <c r="FF167" s="7"/>
      <c r="FG167" s="7"/>
      <c r="FH167" s="7"/>
      <c r="FI167" s="7"/>
      <c r="FJ167" s="7"/>
      <c r="FK167" s="7"/>
      <c r="FL167" s="7"/>
      <c r="FM167" s="7"/>
      <c r="FN167" s="7"/>
      <c r="FO167" s="7"/>
      <c r="FP167" s="7"/>
      <c r="FQ167" s="7"/>
      <c r="FR167" s="7"/>
      <c r="FS167" s="7"/>
      <c r="FT167" s="7"/>
      <c r="FU167" s="7"/>
      <c r="FV167" s="7"/>
      <c r="FW167" s="7"/>
      <c r="FX167" s="7"/>
      <c r="FY167" s="7"/>
      <c r="FZ167" s="7"/>
      <c r="GA167" s="7"/>
      <c r="GB167" s="7"/>
      <c r="GC167" s="7"/>
      <c r="GD167" s="7"/>
      <c r="GE167" s="7"/>
      <c r="GF167" s="7"/>
      <c r="GG167" s="7"/>
      <c r="GH167" s="7"/>
      <c r="GI167" s="7"/>
      <c r="GJ167" s="7"/>
      <c r="GK167" s="7"/>
      <c r="GL167" s="7"/>
      <c r="GM167" s="7"/>
      <c r="GN167" s="7"/>
      <c r="GO167" s="7"/>
      <c r="GP167" s="7"/>
      <c r="GQ167" s="7"/>
      <c r="GR167" s="7"/>
      <c r="GS167" s="7"/>
      <c r="GT167" s="7"/>
      <c r="GU167" s="7"/>
      <c r="GV167" s="7"/>
      <c r="GW167" s="7"/>
      <c r="GX167" s="7"/>
      <c r="GY167" s="7"/>
      <c r="GZ167" s="7"/>
      <c r="HA167" s="7"/>
      <c r="HB167" s="7"/>
      <c r="HC167" s="7"/>
      <c r="HD167" s="7"/>
      <c r="HE167" s="7"/>
      <c r="HF167" s="7"/>
      <c r="HG167" s="7"/>
      <c r="HH167" s="7"/>
      <c r="HI167" s="7"/>
      <c r="HJ167" s="7"/>
      <c r="HK167" s="7"/>
      <c r="HL167" s="7"/>
      <c r="HM167" s="7"/>
      <c r="HN167" s="7"/>
      <c r="HO167" s="7"/>
      <c r="HP167" s="7"/>
      <c r="HQ167" s="7"/>
      <c r="HR167" s="7"/>
      <c r="HS167" s="7"/>
      <c r="HT167" s="7"/>
      <c r="HU167" s="7"/>
      <c r="HV167" s="7"/>
      <c r="HW167" s="7"/>
      <c r="HX167" s="7"/>
      <c r="HY167" s="7"/>
      <c r="HZ167" s="7"/>
      <c r="IA167" s="7"/>
      <c r="IB167" s="7"/>
      <c r="IC167" s="7"/>
      <c r="ID167" s="7"/>
      <c r="IE167" s="7"/>
      <c r="IF167" s="7"/>
      <c r="IG167" s="7"/>
      <c r="IH167" s="7"/>
      <c r="II167" s="7"/>
      <c r="IJ167" s="7"/>
      <c r="IK167" s="7"/>
      <c r="IL167" s="7"/>
      <c r="IM167" s="7"/>
      <c r="IN167" s="7"/>
      <c r="IO167" s="7"/>
      <c r="IP167" s="7"/>
      <c r="IQ167" s="7"/>
      <c r="IR167" s="7"/>
      <c r="IS167" s="7"/>
      <c r="IT167" s="7"/>
      <c r="IU167" s="7"/>
      <c r="IV167" s="7"/>
      <c r="IW167" s="7"/>
      <c r="IX167" s="7"/>
      <c r="JA167" s="113"/>
      <c r="JB167" s="113"/>
      <c r="JC167" s="113"/>
      <c r="JD167" s="66">
        <f>SUM((TEXT(JA167,"[M]")/60)*'Income Person-hours'!$D$3,(TEXT(JB167,"[M]")/60)*'Income Person-hours'!$D$4,(TEXT(JC167,"[M]")/60)*'Income Person-hours'!$D$5)</f>
        <v>0</v>
      </c>
    </row>
    <row r="168" spans="1:264" s="11" customFormat="1" ht="11.25" hidden="1">
      <c r="A168" s="30">
        <v>7.12</v>
      </c>
      <c r="B168" s="116"/>
      <c r="C168" s="107"/>
      <c r="D168" s="12" t="str">
        <f>IF(OR(j_WEEKDAY(J_ADDDAY(VLOOKUP(I168,A:F,6,FALSE),H168,1),0)=6,SUMIFS(Holieday[ok],Holieday[date],J_ADDDAY(VLOOKUP(I168,A:F,6,FALSE),H168,1)))=FALSE(),J_ADDDAY(VLOOKUP(I168,A:F,6,FALSE),H168,1),IF(OR(j_WEEKDAY(J_ADDDAY(VLOOKUP(I168,A:F,6,FALSE),H168+1,1),0)=6,SUMIFS(Holieday[ok],Holieday[date],J_ADDDAY(VLOOKUP(I168,A:F,6,FALSE),H168+1,1)))=FALSE(),J_ADDDAY(VLOOKUP(I168,A:F,6,FALSE),H168+1,1),IF(OR(j_WEEKDAY(J_ADDDAY(VLOOKUP(I168,A:F,6,FALSE),H168+2,1),0)=6,SUMIFS(Holieday[ok],Holieday[date],J_ADDDAY(VLOOKUP(I168,A:F,6,FALSE),H168+2,1)))=FALSE(),J_ADDDAY(VLOOKUP(I168,A:F,6,FALSE),H168+2,1),IF(OR(j_WEEKDAY(J_ADDDAY(VLOOKUP(I168,A:F,6,FALSE),H168+3,1),0)=6,SUMIFS(Holieday[ok],Holieday[date],J_ADDDAY(VLOOKUP(I168,A:F,6,FALSE),H168+3,1)))=FALSE(),J_ADDDAY(VLOOKUP(I168,A:F,6,FALSE),H168+3,1),IF(OR(j_WEEKDAY(J_ADDDAY(VLOOKUP(I168,A:F,6,FALSE),H168+4,1),0)=6,SUMIFS(Holieday[ok],Holieday[date],J_ADDDAY(VLOOKUP(I168,A:F,6,FALSE),H168+4,1)))=FALSE(),J_ADDDAY(VLOOKUP(I168,A:F,6,FALSE),H168+4,1),J_ADDDAY(VLOOKUP(I168,A:F,6,FALSE),H168+5,1))))))</f>
        <v>1398/09/14</v>
      </c>
      <c r="E168" s="1">
        <f t="shared" si="50"/>
        <v>13980914</v>
      </c>
      <c r="F168" s="12" t="str">
        <f>IF(N168=0,J_SUBDAY(D168,1,1),IF((N168-NETWORKDAYS.INTL(J_GregorianDate(D168,1),J_GregorianDate(J_SUBDAY(J_ADDDAY(D168,N168,1),1,1),1),16,1)-SUMIFS(Holieday[ok],Holieday[date],CONCATENATE("&gt;","=",D168),Holieday[date],CONCATENATE("&lt;","=",J_SUBDAY(J_ADDDAY(D168,N168,1),1,1)))+SUMIFS(Holieday[Friday],Holieday[date],CONCATENATE("&gt;","=",D168),Holieday[date],CONCATENATE("&lt;","=",J_SUBDAY(J_ADDDAY(D168,N168,1),1,1))))=0,J_SUBDAY(J_ADDDAY(D168,N168,1),1,1),IF((N168-NETWORKDAYS.INTL(J_GregorianDate(D168,1),J_GregorianDate(J_SUBDAY(J_ADDDAY(D168,N168,1),1,1),1),16,1)-SUMIFS(Holieday[ok],Holieday[date],CONCATENATE("&gt;","=",D168),Holieday[date],CONCATENATE("&lt;","=",J_SUBDAY(J_ADDDAY(D168,N168,1),1,1)))+SUMIFS(Holieday[Friday],Holieday[date],CONCATENATE("&gt;","=",D168),Holieday[date],CONCATENATE("&lt;","=",J_SUBDAY(J_ADDDAY(D168,N168,1),1,1))))=1,J_SUBDAY(J_ADDDAY(D168,N168+1,1),1,1),IF((N168-NETWORKDAYS.INTL(J_GregorianDate(D168,1),J_GregorianDate(J_SUBDAY(J_ADDDAY(D168,N168,1),1,1),1),16,1)-SUMIFS(Holieday[ok],Holieday[date],CONCATENATE("&gt;","=",D168),Holieday[date],CONCATENATE("&lt;","=",J_SUBDAY(J_ADDDAY(D168,N168,1),1,1)))+SUMIFS(Holieday[Friday],Holieday[date],CONCATENATE("&gt;","=",D168),Holieday[date],CONCATENATE("&lt;","=",J_SUBDAY(J_ADDDAY(D168,N168,1),1,1))))=2,J_SUBDAY(J_ADDDAY(D168,N168+2,1),1,1),J_SUBDAY(J_ADDDAY(D168,N168+3,1),1,1)))))</f>
        <v>1398/09/13</v>
      </c>
      <c r="G168" s="2">
        <f t="shared" si="51"/>
        <v>13980913</v>
      </c>
      <c r="H168" s="109"/>
      <c r="I168" s="110">
        <v>7.1</v>
      </c>
      <c r="J168" s="9">
        <f>j_WEEKDAY(D168,2)</f>
        <v>5</v>
      </c>
      <c r="K168" s="21">
        <f t="shared" si="54"/>
        <v>0</v>
      </c>
      <c r="L168" s="8">
        <f t="shared" si="55"/>
        <v>0</v>
      </c>
      <c r="M168" s="111">
        <v>0</v>
      </c>
      <c r="N168" s="108">
        <v>0</v>
      </c>
      <c r="O168" s="10">
        <f t="shared" si="58"/>
        <v>0</v>
      </c>
      <c r="P168" s="10">
        <f>VALUE(J_normdate(J_ADDDAY($D168,$O168,1)))</f>
        <v>13980914</v>
      </c>
      <c r="Q168" s="9">
        <f t="shared" si="59"/>
        <v>0</v>
      </c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  <c r="BB168" s="7"/>
      <c r="BC168" s="7"/>
      <c r="BD168" s="7"/>
      <c r="BE168" s="7"/>
      <c r="BF168" s="7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BS168" s="7"/>
      <c r="BT168" s="7"/>
      <c r="BU168" s="7"/>
      <c r="BV168" s="7"/>
      <c r="BW168" s="7"/>
      <c r="BX168" s="7"/>
      <c r="BY168" s="7"/>
      <c r="BZ168" s="7"/>
      <c r="CA168" s="7"/>
      <c r="CB168" s="7"/>
      <c r="CC168" s="7"/>
      <c r="CD168" s="7"/>
      <c r="CE168" s="7"/>
      <c r="CF168" s="7"/>
      <c r="CG168" s="7"/>
      <c r="CH168" s="7"/>
      <c r="CI168" s="7"/>
      <c r="CJ168" s="7"/>
      <c r="CK168" s="7"/>
      <c r="CL168" s="7"/>
      <c r="CM168" s="7"/>
      <c r="CN168" s="7"/>
      <c r="CO168" s="7"/>
      <c r="CP168" s="7"/>
      <c r="CQ168" s="7"/>
      <c r="CR168" s="7"/>
      <c r="CS168" s="7"/>
      <c r="CT168" s="7"/>
      <c r="CU168" s="7"/>
      <c r="CV168" s="7"/>
      <c r="CW168" s="7"/>
      <c r="CX168" s="7"/>
      <c r="CY168" s="7"/>
      <c r="CZ168" s="7"/>
      <c r="DA168" s="7"/>
      <c r="DB168" s="7"/>
      <c r="DC168" s="7"/>
      <c r="DD168" s="7"/>
      <c r="DE168" s="7"/>
      <c r="DF168" s="7"/>
      <c r="DG168" s="7"/>
      <c r="DH168" s="7"/>
      <c r="DI168" s="7"/>
      <c r="DJ168" s="7"/>
      <c r="DK168" s="7"/>
      <c r="DL168" s="7"/>
      <c r="DM168" s="7"/>
      <c r="DN168" s="7"/>
      <c r="DO168" s="7"/>
      <c r="DP168" s="7"/>
      <c r="DQ168" s="7"/>
      <c r="DR168" s="7"/>
      <c r="DS168" s="7"/>
      <c r="DT168" s="7"/>
      <c r="DU168" s="7"/>
      <c r="DV168" s="7"/>
      <c r="DW168" s="7"/>
      <c r="DX168" s="7"/>
      <c r="DY168" s="7"/>
      <c r="DZ168" s="7"/>
      <c r="EA168" s="7"/>
      <c r="EB168" s="7"/>
      <c r="EC168" s="7"/>
      <c r="ED168" s="7"/>
      <c r="EE168" s="7"/>
      <c r="EF168" s="7"/>
      <c r="EG168" s="7"/>
      <c r="EH168" s="7"/>
      <c r="EI168" s="7"/>
      <c r="EJ168" s="7"/>
      <c r="EK168" s="7"/>
      <c r="EL168" s="7"/>
      <c r="EM168" s="7"/>
      <c r="EN168" s="7"/>
      <c r="EO168" s="7"/>
      <c r="EP168" s="7"/>
      <c r="EQ168" s="7"/>
      <c r="ER168" s="7"/>
      <c r="ES168" s="7"/>
      <c r="ET168" s="7"/>
      <c r="EU168" s="7"/>
      <c r="EV168" s="7"/>
      <c r="EW168" s="7"/>
      <c r="EX168" s="7"/>
      <c r="EY168" s="7"/>
      <c r="EZ168" s="7"/>
      <c r="FA168" s="7"/>
      <c r="FB168" s="7"/>
      <c r="FC168" s="7"/>
      <c r="FD168" s="7"/>
      <c r="FE168" s="7"/>
      <c r="FF168" s="7"/>
      <c r="FG168" s="7"/>
      <c r="FH168" s="7"/>
      <c r="FI168" s="7"/>
      <c r="FJ168" s="7"/>
      <c r="FK168" s="7"/>
      <c r="FL168" s="7"/>
      <c r="FM168" s="7"/>
      <c r="FN168" s="7"/>
      <c r="FO168" s="7"/>
      <c r="FP168" s="7"/>
      <c r="FQ168" s="7"/>
      <c r="FR168" s="7"/>
      <c r="FS168" s="7"/>
      <c r="FT168" s="7"/>
      <c r="FU168" s="7"/>
      <c r="FV168" s="7"/>
      <c r="FW168" s="7"/>
      <c r="FX168" s="7"/>
      <c r="FY168" s="7"/>
      <c r="FZ168" s="7"/>
      <c r="GA168" s="7"/>
      <c r="GB168" s="7"/>
      <c r="GC168" s="7"/>
      <c r="GD168" s="7"/>
      <c r="GE168" s="7"/>
      <c r="GF168" s="7"/>
      <c r="GG168" s="7"/>
      <c r="GH168" s="7"/>
      <c r="GI168" s="7"/>
      <c r="GJ168" s="7"/>
      <c r="GK168" s="7"/>
      <c r="GL168" s="7"/>
      <c r="GM168" s="7"/>
      <c r="GN168" s="7"/>
      <c r="GO168" s="7"/>
      <c r="GP168" s="7"/>
      <c r="GQ168" s="7"/>
      <c r="GR168" s="7"/>
      <c r="GS168" s="7"/>
      <c r="GT168" s="7"/>
      <c r="GU168" s="7"/>
      <c r="GV168" s="7"/>
      <c r="GW168" s="7"/>
      <c r="GX168" s="7"/>
      <c r="GY168" s="7"/>
      <c r="GZ168" s="7"/>
      <c r="HA168" s="7"/>
      <c r="HB168" s="7"/>
      <c r="HC168" s="7"/>
      <c r="HD168" s="7"/>
      <c r="HE168" s="7"/>
      <c r="HF168" s="7"/>
      <c r="HG168" s="7"/>
      <c r="HH168" s="7"/>
      <c r="HI168" s="7"/>
      <c r="HJ168" s="7"/>
      <c r="HK168" s="7"/>
      <c r="HL168" s="7"/>
      <c r="HM168" s="7"/>
      <c r="HN168" s="7"/>
      <c r="HO168" s="7"/>
      <c r="HP168" s="7"/>
      <c r="HQ168" s="7"/>
      <c r="HR168" s="7"/>
      <c r="HS168" s="7"/>
      <c r="HT168" s="7"/>
      <c r="HU168" s="7"/>
      <c r="HV168" s="7"/>
      <c r="HW168" s="7"/>
      <c r="HX168" s="7"/>
      <c r="HY168" s="7"/>
      <c r="HZ168" s="7"/>
      <c r="IA168" s="7"/>
      <c r="IB168" s="7"/>
      <c r="IC168" s="7"/>
      <c r="ID168" s="7"/>
      <c r="IE168" s="7"/>
      <c r="IF168" s="7"/>
      <c r="IG168" s="7"/>
      <c r="IH168" s="7"/>
      <c r="II168" s="7"/>
      <c r="IJ168" s="7"/>
      <c r="IK168" s="7"/>
      <c r="IL168" s="7"/>
      <c r="IM168" s="7"/>
      <c r="IN168" s="7"/>
      <c r="IO168" s="7"/>
      <c r="IP168" s="7"/>
      <c r="IQ168" s="7"/>
      <c r="IR168" s="7"/>
      <c r="IS168" s="7"/>
      <c r="IT168" s="7"/>
      <c r="IU168" s="7"/>
      <c r="IV168" s="7"/>
      <c r="IW168" s="7"/>
      <c r="IX168" s="7"/>
      <c r="JA168" s="113"/>
      <c r="JB168" s="113"/>
      <c r="JC168" s="113"/>
      <c r="JD168" s="66">
        <f>SUM((TEXT(JA168,"[M]")/60)*'Income Person-hours'!$D$3,(TEXT(JB168,"[M]")/60)*'Income Person-hours'!$D$4,(TEXT(JC168,"[M]")/60)*'Income Person-hours'!$D$5)</f>
        <v>0</v>
      </c>
    </row>
    <row r="169" spans="1:264" s="11" customFormat="1" ht="11.25" hidden="1">
      <c r="A169" s="30">
        <v>7.13</v>
      </c>
      <c r="B169" s="116"/>
      <c r="C169" s="107"/>
      <c r="D169" s="12" t="str">
        <f>IF(OR(j_WEEKDAY(J_ADDDAY(VLOOKUP(I169,A:F,6,FALSE),H169,1),0)=6,SUMIFS(Holieday[ok],Holieday[date],J_ADDDAY(VLOOKUP(I169,A:F,6,FALSE),H169,1)))=FALSE(),J_ADDDAY(VLOOKUP(I169,A:F,6,FALSE),H169,1),IF(OR(j_WEEKDAY(J_ADDDAY(VLOOKUP(I169,A:F,6,FALSE),H169+1,1),0)=6,SUMIFS(Holieday[ok],Holieday[date],J_ADDDAY(VLOOKUP(I169,A:F,6,FALSE),H169+1,1)))=FALSE(),J_ADDDAY(VLOOKUP(I169,A:F,6,FALSE),H169+1,1),IF(OR(j_WEEKDAY(J_ADDDAY(VLOOKUP(I169,A:F,6,FALSE),H169+2,1),0)=6,SUMIFS(Holieday[ok],Holieday[date],J_ADDDAY(VLOOKUP(I169,A:F,6,FALSE),H169+2,1)))=FALSE(),J_ADDDAY(VLOOKUP(I169,A:F,6,FALSE),H169+2,1),IF(OR(j_WEEKDAY(J_ADDDAY(VLOOKUP(I169,A:F,6,FALSE),H169+3,1),0)=6,SUMIFS(Holieday[ok],Holieday[date],J_ADDDAY(VLOOKUP(I169,A:F,6,FALSE),H169+3,1)))=FALSE(),J_ADDDAY(VLOOKUP(I169,A:F,6,FALSE),H169+3,1),IF(OR(j_WEEKDAY(J_ADDDAY(VLOOKUP(I169,A:F,6,FALSE),H169+4,1),0)=6,SUMIFS(Holieday[ok],Holieday[date],J_ADDDAY(VLOOKUP(I169,A:F,6,FALSE),H169+4,1)))=FALSE(),J_ADDDAY(VLOOKUP(I169,A:F,6,FALSE),H169+4,1),J_ADDDAY(VLOOKUP(I169,A:F,6,FALSE),H169+5,1))))))</f>
        <v>1398/09/14</v>
      </c>
      <c r="E169" s="1">
        <f t="shared" si="50"/>
        <v>13980914</v>
      </c>
      <c r="F169" s="12" t="str">
        <f>IF(N169=0,J_SUBDAY(D169,1,1),IF((N169-NETWORKDAYS.INTL(J_GregorianDate(D169,1),J_GregorianDate(J_SUBDAY(J_ADDDAY(D169,N169,1),1,1),1),16,1)-SUMIFS(Holieday[ok],Holieday[date],CONCATENATE("&gt;","=",D169),Holieday[date],CONCATENATE("&lt;","=",J_SUBDAY(J_ADDDAY(D169,N169,1),1,1)))+SUMIFS(Holieday[Friday],Holieday[date],CONCATENATE("&gt;","=",D169),Holieday[date],CONCATENATE("&lt;","=",J_SUBDAY(J_ADDDAY(D169,N169,1),1,1))))=0,J_SUBDAY(J_ADDDAY(D169,N169,1),1,1),IF((N169-NETWORKDAYS.INTL(J_GregorianDate(D169,1),J_GregorianDate(J_SUBDAY(J_ADDDAY(D169,N169,1),1,1),1),16,1)-SUMIFS(Holieday[ok],Holieday[date],CONCATENATE("&gt;","=",D169),Holieday[date],CONCATENATE("&lt;","=",J_SUBDAY(J_ADDDAY(D169,N169,1),1,1)))+SUMIFS(Holieday[Friday],Holieday[date],CONCATENATE("&gt;","=",D169),Holieday[date],CONCATENATE("&lt;","=",J_SUBDAY(J_ADDDAY(D169,N169,1),1,1))))=1,J_SUBDAY(J_ADDDAY(D169,N169+1,1),1,1),IF((N169-NETWORKDAYS.INTL(J_GregorianDate(D169,1),J_GregorianDate(J_SUBDAY(J_ADDDAY(D169,N169,1),1,1),1),16,1)-SUMIFS(Holieday[ok],Holieday[date],CONCATENATE("&gt;","=",D169),Holieday[date],CONCATENATE("&lt;","=",J_SUBDAY(J_ADDDAY(D169,N169,1),1,1)))+SUMIFS(Holieday[Friday],Holieday[date],CONCATENATE("&gt;","=",D169),Holieday[date],CONCATENATE("&lt;","=",J_SUBDAY(J_ADDDAY(D169,N169,1),1,1))))=2,J_SUBDAY(J_ADDDAY(D169,N169+2,1),1,1),J_SUBDAY(J_ADDDAY(D169,N169+3,1),1,1)))))</f>
        <v>1398/09/13</v>
      </c>
      <c r="G169" s="2">
        <f t="shared" si="51"/>
        <v>13980913</v>
      </c>
      <c r="H169" s="109"/>
      <c r="I169" s="110">
        <v>7.1</v>
      </c>
      <c r="J169" s="9">
        <f>j_WEEKDAY(D169,2)</f>
        <v>5</v>
      </c>
      <c r="K169" s="21">
        <f t="shared" si="54"/>
        <v>0</v>
      </c>
      <c r="L169" s="8">
        <f t="shared" si="55"/>
        <v>0</v>
      </c>
      <c r="M169" s="111">
        <v>0</v>
      </c>
      <c r="N169" s="108">
        <v>0</v>
      </c>
      <c r="O169" s="10">
        <f t="shared" si="58"/>
        <v>0</v>
      </c>
      <c r="P169" s="10">
        <f>VALUE(J_normdate(J_ADDDAY($D169,$O169,1)))</f>
        <v>13980914</v>
      </c>
      <c r="Q169" s="9">
        <f t="shared" si="59"/>
        <v>0</v>
      </c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  <c r="BB169" s="7"/>
      <c r="BC169" s="7"/>
      <c r="BD169" s="7"/>
      <c r="BE169" s="7"/>
      <c r="BF169" s="7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BS169" s="7"/>
      <c r="BT169" s="7"/>
      <c r="BU169" s="7"/>
      <c r="BV169" s="7"/>
      <c r="BW169" s="7"/>
      <c r="BX169" s="7"/>
      <c r="BY169" s="7"/>
      <c r="BZ169" s="7"/>
      <c r="CA169" s="7"/>
      <c r="CB169" s="7"/>
      <c r="CC169" s="7"/>
      <c r="CD169" s="7"/>
      <c r="CE169" s="7"/>
      <c r="CF169" s="7"/>
      <c r="CG169" s="7"/>
      <c r="CH169" s="7"/>
      <c r="CI169" s="7"/>
      <c r="CJ169" s="7"/>
      <c r="CK169" s="7"/>
      <c r="CL169" s="7"/>
      <c r="CM169" s="7"/>
      <c r="CN169" s="7"/>
      <c r="CO169" s="7"/>
      <c r="CP169" s="7"/>
      <c r="CQ169" s="7"/>
      <c r="CR169" s="7"/>
      <c r="CS169" s="7"/>
      <c r="CT169" s="7"/>
      <c r="CU169" s="7"/>
      <c r="CV169" s="7"/>
      <c r="CW169" s="7"/>
      <c r="CX169" s="7"/>
      <c r="CY169" s="7"/>
      <c r="CZ169" s="7"/>
      <c r="DA169" s="7"/>
      <c r="DB169" s="7"/>
      <c r="DC169" s="7"/>
      <c r="DD169" s="7"/>
      <c r="DE169" s="7"/>
      <c r="DF169" s="7"/>
      <c r="DG169" s="7"/>
      <c r="DH169" s="7"/>
      <c r="DI169" s="7"/>
      <c r="DJ169" s="7"/>
      <c r="DK169" s="7"/>
      <c r="DL169" s="7"/>
      <c r="DM169" s="7"/>
      <c r="DN169" s="7"/>
      <c r="DO169" s="7"/>
      <c r="DP169" s="7"/>
      <c r="DQ169" s="7"/>
      <c r="DR169" s="7"/>
      <c r="DS169" s="7"/>
      <c r="DT169" s="7"/>
      <c r="DU169" s="7"/>
      <c r="DV169" s="7"/>
      <c r="DW169" s="7"/>
      <c r="DX169" s="7"/>
      <c r="DY169" s="7"/>
      <c r="DZ169" s="7"/>
      <c r="EA169" s="7"/>
      <c r="EB169" s="7"/>
      <c r="EC169" s="7"/>
      <c r="ED169" s="7"/>
      <c r="EE169" s="7"/>
      <c r="EF169" s="7"/>
      <c r="EG169" s="7"/>
      <c r="EH169" s="7"/>
      <c r="EI169" s="7"/>
      <c r="EJ169" s="7"/>
      <c r="EK169" s="7"/>
      <c r="EL169" s="7"/>
      <c r="EM169" s="7"/>
      <c r="EN169" s="7"/>
      <c r="EO169" s="7"/>
      <c r="EP169" s="7"/>
      <c r="EQ169" s="7"/>
      <c r="ER169" s="7"/>
      <c r="ES169" s="7"/>
      <c r="ET169" s="7"/>
      <c r="EU169" s="7"/>
      <c r="EV169" s="7"/>
      <c r="EW169" s="7"/>
      <c r="EX169" s="7"/>
      <c r="EY169" s="7"/>
      <c r="EZ169" s="7"/>
      <c r="FA169" s="7"/>
      <c r="FB169" s="7"/>
      <c r="FC169" s="7"/>
      <c r="FD169" s="7"/>
      <c r="FE169" s="7"/>
      <c r="FF169" s="7"/>
      <c r="FG169" s="7"/>
      <c r="FH169" s="7"/>
      <c r="FI169" s="7"/>
      <c r="FJ169" s="7"/>
      <c r="FK169" s="7"/>
      <c r="FL169" s="7"/>
      <c r="FM169" s="7"/>
      <c r="FN169" s="7"/>
      <c r="FO169" s="7"/>
      <c r="FP169" s="7"/>
      <c r="FQ169" s="7"/>
      <c r="FR169" s="7"/>
      <c r="FS169" s="7"/>
      <c r="FT169" s="7"/>
      <c r="FU169" s="7"/>
      <c r="FV169" s="7"/>
      <c r="FW169" s="7"/>
      <c r="FX169" s="7"/>
      <c r="FY169" s="7"/>
      <c r="FZ169" s="7"/>
      <c r="GA169" s="7"/>
      <c r="GB169" s="7"/>
      <c r="GC169" s="7"/>
      <c r="GD169" s="7"/>
      <c r="GE169" s="7"/>
      <c r="GF169" s="7"/>
      <c r="GG169" s="7"/>
      <c r="GH169" s="7"/>
      <c r="GI169" s="7"/>
      <c r="GJ169" s="7"/>
      <c r="GK169" s="7"/>
      <c r="GL169" s="7"/>
      <c r="GM169" s="7"/>
      <c r="GN169" s="7"/>
      <c r="GO169" s="7"/>
      <c r="GP169" s="7"/>
      <c r="GQ169" s="7"/>
      <c r="GR169" s="7"/>
      <c r="GS169" s="7"/>
      <c r="GT169" s="7"/>
      <c r="GU169" s="7"/>
      <c r="GV169" s="7"/>
      <c r="GW169" s="7"/>
      <c r="GX169" s="7"/>
      <c r="GY169" s="7"/>
      <c r="GZ169" s="7"/>
      <c r="HA169" s="7"/>
      <c r="HB169" s="7"/>
      <c r="HC169" s="7"/>
      <c r="HD169" s="7"/>
      <c r="HE169" s="7"/>
      <c r="HF169" s="7"/>
      <c r="HG169" s="7"/>
      <c r="HH169" s="7"/>
      <c r="HI169" s="7"/>
      <c r="HJ169" s="7"/>
      <c r="HK169" s="7"/>
      <c r="HL169" s="7"/>
      <c r="HM169" s="7"/>
      <c r="HN169" s="7"/>
      <c r="HO169" s="7"/>
      <c r="HP169" s="7"/>
      <c r="HQ169" s="7"/>
      <c r="HR169" s="7"/>
      <c r="HS169" s="7"/>
      <c r="HT169" s="7"/>
      <c r="HU169" s="7"/>
      <c r="HV169" s="7"/>
      <c r="HW169" s="7"/>
      <c r="HX169" s="7"/>
      <c r="HY169" s="7"/>
      <c r="HZ169" s="7"/>
      <c r="IA169" s="7"/>
      <c r="IB169" s="7"/>
      <c r="IC169" s="7"/>
      <c r="ID169" s="7"/>
      <c r="IE169" s="7"/>
      <c r="IF169" s="7"/>
      <c r="IG169" s="7"/>
      <c r="IH169" s="7"/>
      <c r="II169" s="7"/>
      <c r="IJ169" s="7"/>
      <c r="IK169" s="7"/>
      <c r="IL169" s="7"/>
      <c r="IM169" s="7"/>
      <c r="IN169" s="7"/>
      <c r="IO169" s="7"/>
      <c r="IP169" s="7"/>
      <c r="IQ169" s="7"/>
      <c r="IR169" s="7"/>
      <c r="IS169" s="7"/>
      <c r="IT169" s="7"/>
      <c r="IU169" s="7"/>
      <c r="IV169" s="7"/>
      <c r="IW169" s="7"/>
      <c r="IX169" s="7"/>
      <c r="JA169" s="113"/>
      <c r="JB169" s="113"/>
      <c r="JC169" s="113"/>
      <c r="JD169" s="66">
        <f>SUM((TEXT(JA169,"[M]")/60)*'Income Person-hours'!$D$3,(TEXT(JB169,"[M]")/60)*'Income Person-hours'!$D$4,(TEXT(JC169,"[M]")/60)*'Income Person-hours'!$D$5)</f>
        <v>0</v>
      </c>
    </row>
    <row r="170" spans="1:264" s="11" customFormat="1" ht="11.25" hidden="1">
      <c r="A170" s="30">
        <v>7.14</v>
      </c>
      <c r="B170" s="116"/>
      <c r="C170" s="107"/>
      <c r="D170" s="12" t="str">
        <f>IF(OR(j_WEEKDAY(J_ADDDAY(VLOOKUP(I170,A:F,6,FALSE),H170,1),0)=6,SUMIFS(Holieday[ok],Holieday[date],J_ADDDAY(VLOOKUP(I170,A:F,6,FALSE),H170,1)))=FALSE(),J_ADDDAY(VLOOKUP(I170,A:F,6,FALSE),H170,1),IF(OR(j_WEEKDAY(J_ADDDAY(VLOOKUP(I170,A:F,6,FALSE),H170+1,1),0)=6,SUMIFS(Holieday[ok],Holieday[date],J_ADDDAY(VLOOKUP(I170,A:F,6,FALSE),H170+1,1)))=FALSE(),J_ADDDAY(VLOOKUP(I170,A:F,6,FALSE),H170+1,1),IF(OR(j_WEEKDAY(J_ADDDAY(VLOOKUP(I170,A:F,6,FALSE),H170+2,1),0)=6,SUMIFS(Holieday[ok],Holieday[date],J_ADDDAY(VLOOKUP(I170,A:F,6,FALSE),H170+2,1)))=FALSE(),J_ADDDAY(VLOOKUP(I170,A:F,6,FALSE),H170+2,1),IF(OR(j_WEEKDAY(J_ADDDAY(VLOOKUP(I170,A:F,6,FALSE),H170+3,1),0)=6,SUMIFS(Holieday[ok],Holieday[date],J_ADDDAY(VLOOKUP(I170,A:F,6,FALSE),H170+3,1)))=FALSE(),J_ADDDAY(VLOOKUP(I170,A:F,6,FALSE),H170+3,1),IF(OR(j_WEEKDAY(J_ADDDAY(VLOOKUP(I170,A:F,6,FALSE),H170+4,1),0)=6,SUMIFS(Holieday[ok],Holieday[date],J_ADDDAY(VLOOKUP(I170,A:F,6,FALSE),H170+4,1)))=FALSE(),J_ADDDAY(VLOOKUP(I170,A:F,6,FALSE),H170+4,1),J_ADDDAY(VLOOKUP(I170,A:F,6,FALSE),H170+5,1))))))</f>
        <v>1398/09/14</v>
      </c>
      <c r="E170" s="1">
        <f t="shared" si="50"/>
        <v>13980914</v>
      </c>
      <c r="F170" s="12" t="str">
        <f>IF(N170=0,J_SUBDAY(D170,1,1),IF((N170-NETWORKDAYS.INTL(J_GregorianDate(D170,1),J_GregorianDate(J_SUBDAY(J_ADDDAY(D170,N170,1),1,1),1),16,1)-SUMIFS(Holieday[ok],Holieday[date],CONCATENATE("&gt;","=",D170),Holieday[date],CONCATENATE("&lt;","=",J_SUBDAY(J_ADDDAY(D170,N170,1),1,1)))+SUMIFS(Holieday[Friday],Holieday[date],CONCATENATE("&gt;","=",D170),Holieday[date],CONCATENATE("&lt;","=",J_SUBDAY(J_ADDDAY(D170,N170,1),1,1))))=0,J_SUBDAY(J_ADDDAY(D170,N170,1),1,1),IF((N170-NETWORKDAYS.INTL(J_GregorianDate(D170,1),J_GregorianDate(J_SUBDAY(J_ADDDAY(D170,N170,1),1,1),1),16,1)-SUMIFS(Holieday[ok],Holieday[date],CONCATENATE("&gt;","=",D170),Holieday[date],CONCATENATE("&lt;","=",J_SUBDAY(J_ADDDAY(D170,N170,1),1,1)))+SUMIFS(Holieday[Friday],Holieday[date],CONCATENATE("&gt;","=",D170),Holieday[date],CONCATENATE("&lt;","=",J_SUBDAY(J_ADDDAY(D170,N170,1),1,1))))=1,J_SUBDAY(J_ADDDAY(D170,N170+1,1),1,1),IF((N170-NETWORKDAYS.INTL(J_GregorianDate(D170,1),J_GregorianDate(J_SUBDAY(J_ADDDAY(D170,N170,1),1,1),1),16,1)-SUMIFS(Holieday[ok],Holieday[date],CONCATENATE("&gt;","=",D170),Holieday[date],CONCATENATE("&lt;","=",J_SUBDAY(J_ADDDAY(D170,N170,1),1,1)))+SUMIFS(Holieday[Friday],Holieday[date],CONCATENATE("&gt;","=",D170),Holieday[date],CONCATENATE("&lt;","=",J_SUBDAY(J_ADDDAY(D170,N170,1),1,1))))=2,J_SUBDAY(J_ADDDAY(D170,N170+2,1),1,1),J_SUBDAY(J_ADDDAY(D170,N170+3,1),1,1)))))</f>
        <v>1398/09/13</v>
      </c>
      <c r="G170" s="2">
        <f t="shared" si="51"/>
        <v>13980913</v>
      </c>
      <c r="H170" s="109"/>
      <c r="I170" s="110">
        <v>7.1</v>
      </c>
      <c r="J170" s="9">
        <f>j_WEEKDAY(D170,2)</f>
        <v>5</v>
      </c>
      <c r="K170" s="21">
        <f t="shared" si="54"/>
        <v>0</v>
      </c>
      <c r="L170" s="8">
        <f t="shared" si="55"/>
        <v>0</v>
      </c>
      <c r="M170" s="111">
        <v>0</v>
      </c>
      <c r="N170" s="108">
        <v>0</v>
      </c>
      <c r="O170" s="10">
        <f t="shared" si="58"/>
        <v>0</v>
      </c>
      <c r="P170" s="10">
        <f>VALUE(J_normdate(J_ADDDAY($D170,$O170,1)))</f>
        <v>13980914</v>
      </c>
      <c r="Q170" s="9">
        <f t="shared" si="59"/>
        <v>0</v>
      </c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  <c r="BB170" s="7"/>
      <c r="BC170" s="7"/>
      <c r="BD170" s="7"/>
      <c r="BE170" s="7"/>
      <c r="BF170" s="7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/>
      <c r="BS170" s="7"/>
      <c r="BT170" s="7"/>
      <c r="BU170" s="7"/>
      <c r="BV170" s="7"/>
      <c r="BW170" s="7"/>
      <c r="BX170" s="7"/>
      <c r="BY170" s="7"/>
      <c r="BZ170" s="7"/>
      <c r="CA170" s="7"/>
      <c r="CB170" s="7"/>
      <c r="CC170" s="7"/>
      <c r="CD170" s="7"/>
      <c r="CE170" s="7"/>
      <c r="CF170" s="7"/>
      <c r="CG170" s="7"/>
      <c r="CH170" s="7"/>
      <c r="CI170" s="7"/>
      <c r="CJ170" s="7"/>
      <c r="CK170" s="7"/>
      <c r="CL170" s="7"/>
      <c r="CM170" s="7"/>
      <c r="CN170" s="7"/>
      <c r="CO170" s="7"/>
      <c r="CP170" s="7"/>
      <c r="CQ170" s="7"/>
      <c r="CR170" s="7"/>
      <c r="CS170" s="7"/>
      <c r="CT170" s="7"/>
      <c r="CU170" s="7"/>
      <c r="CV170" s="7"/>
      <c r="CW170" s="7"/>
      <c r="CX170" s="7"/>
      <c r="CY170" s="7"/>
      <c r="CZ170" s="7"/>
      <c r="DA170" s="7"/>
      <c r="DB170" s="7"/>
      <c r="DC170" s="7"/>
      <c r="DD170" s="7"/>
      <c r="DE170" s="7"/>
      <c r="DF170" s="7"/>
      <c r="DG170" s="7"/>
      <c r="DH170" s="7"/>
      <c r="DI170" s="7"/>
      <c r="DJ170" s="7"/>
      <c r="DK170" s="7"/>
      <c r="DL170" s="7"/>
      <c r="DM170" s="7"/>
      <c r="DN170" s="7"/>
      <c r="DO170" s="7"/>
      <c r="DP170" s="7"/>
      <c r="DQ170" s="7"/>
      <c r="DR170" s="7"/>
      <c r="DS170" s="7"/>
      <c r="DT170" s="7"/>
      <c r="DU170" s="7"/>
      <c r="DV170" s="7"/>
      <c r="DW170" s="7"/>
      <c r="DX170" s="7"/>
      <c r="DY170" s="7"/>
      <c r="DZ170" s="7"/>
      <c r="EA170" s="7"/>
      <c r="EB170" s="7"/>
      <c r="EC170" s="7"/>
      <c r="ED170" s="7"/>
      <c r="EE170" s="7"/>
      <c r="EF170" s="7"/>
      <c r="EG170" s="7"/>
      <c r="EH170" s="7"/>
      <c r="EI170" s="7"/>
      <c r="EJ170" s="7"/>
      <c r="EK170" s="7"/>
      <c r="EL170" s="7"/>
      <c r="EM170" s="7"/>
      <c r="EN170" s="7"/>
      <c r="EO170" s="7"/>
      <c r="EP170" s="7"/>
      <c r="EQ170" s="7"/>
      <c r="ER170" s="7"/>
      <c r="ES170" s="7"/>
      <c r="ET170" s="7"/>
      <c r="EU170" s="7"/>
      <c r="EV170" s="7"/>
      <c r="EW170" s="7"/>
      <c r="EX170" s="7"/>
      <c r="EY170" s="7"/>
      <c r="EZ170" s="7"/>
      <c r="FA170" s="7"/>
      <c r="FB170" s="7"/>
      <c r="FC170" s="7"/>
      <c r="FD170" s="7"/>
      <c r="FE170" s="7"/>
      <c r="FF170" s="7"/>
      <c r="FG170" s="7"/>
      <c r="FH170" s="7"/>
      <c r="FI170" s="7"/>
      <c r="FJ170" s="7"/>
      <c r="FK170" s="7"/>
      <c r="FL170" s="7"/>
      <c r="FM170" s="7"/>
      <c r="FN170" s="7"/>
      <c r="FO170" s="7"/>
      <c r="FP170" s="7"/>
      <c r="FQ170" s="7"/>
      <c r="FR170" s="7"/>
      <c r="FS170" s="7"/>
      <c r="FT170" s="7"/>
      <c r="FU170" s="7"/>
      <c r="FV170" s="7"/>
      <c r="FW170" s="7"/>
      <c r="FX170" s="7"/>
      <c r="FY170" s="7"/>
      <c r="FZ170" s="7"/>
      <c r="GA170" s="7"/>
      <c r="GB170" s="7"/>
      <c r="GC170" s="7"/>
      <c r="GD170" s="7"/>
      <c r="GE170" s="7"/>
      <c r="GF170" s="7"/>
      <c r="GG170" s="7"/>
      <c r="GH170" s="7"/>
      <c r="GI170" s="7"/>
      <c r="GJ170" s="7"/>
      <c r="GK170" s="7"/>
      <c r="GL170" s="7"/>
      <c r="GM170" s="7"/>
      <c r="GN170" s="7"/>
      <c r="GO170" s="7"/>
      <c r="GP170" s="7"/>
      <c r="GQ170" s="7"/>
      <c r="GR170" s="7"/>
      <c r="GS170" s="7"/>
      <c r="GT170" s="7"/>
      <c r="GU170" s="7"/>
      <c r="GV170" s="7"/>
      <c r="GW170" s="7"/>
      <c r="GX170" s="7"/>
      <c r="GY170" s="7"/>
      <c r="GZ170" s="7"/>
      <c r="HA170" s="7"/>
      <c r="HB170" s="7"/>
      <c r="HC170" s="7"/>
      <c r="HD170" s="7"/>
      <c r="HE170" s="7"/>
      <c r="HF170" s="7"/>
      <c r="HG170" s="7"/>
      <c r="HH170" s="7"/>
      <c r="HI170" s="7"/>
      <c r="HJ170" s="7"/>
      <c r="HK170" s="7"/>
      <c r="HL170" s="7"/>
      <c r="HM170" s="7"/>
      <c r="HN170" s="7"/>
      <c r="HO170" s="7"/>
      <c r="HP170" s="7"/>
      <c r="HQ170" s="7"/>
      <c r="HR170" s="7"/>
      <c r="HS170" s="7"/>
      <c r="HT170" s="7"/>
      <c r="HU170" s="7"/>
      <c r="HV170" s="7"/>
      <c r="HW170" s="7"/>
      <c r="HX170" s="7"/>
      <c r="HY170" s="7"/>
      <c r="HZ170" s="7"/>
      <c r="IA170" s="7"/>
      <c r="IB170" s="7"/>
      <c r="IC170" s="7"/>
      <c r="ID170" s="7"/>
      <c r="IE170" s="7"/>
      <c r="IF170" s="7"/>
      <c r="IG170" s="7"/>
      <c r="IH170" s="7"/>
      <c r="II170" s="7"/>
      <c r="IJ170" s="7"/>
      <c r="IK170" s="7"/>
      <c r="IL170" s="7"/>
      <c r="IM170" s="7"/>
      <c r="IN170" s="7"/>
      <c r="IO170" s="7"/>
      <c r="IP170" s="7"/>
      <c r="IQ170" s="7"/>
      <c r="IR170" s="7"/>
      <c r="IS170" s="7"/>
      <c r="IT170" s="7"/>
      <c r="IU170" s="7"/>
      <c r="IV170" s="7"/>
      <c r="IW170" s="7"/>
      <c r="IX170" s="7"/>
      <c r="JA170" s="113"/>
      <c r="JB170" s="113"/>
      <c r="JC170" s="113"/>
      <c r="JD170" s="66">
        <f>SUM((TEXT(JA170,"[M]")/60)*'Income Person-hours'!$D$3,(TEXT(JB170,"[M]")/60)*'Income Person-hours'!$D$4,(TEXT(JC170,"[M]")/60)*'Income Person-hours'!$D$5)</f>
        <v>0</v>
      </c>
    </row>
    <row r="171" spans="1:264" s="11" customFormat="1" ht="11.25" hidden="1">
      <c r="A171" s="30">
        <v>7.15</v>
      </c>
      <c r="B171" s="116"/>
      <c r="C171" s="107"/>
      <c r="D171" s="12" t="str">
        <f>IF(OR(j_WEEKDAY(J_ADDDAY(VLOOKUP(I171,A:F,6,FALSE),H171,1),0)=6,SUMIFS(Holieday[ok],Holieday[date],J_ADDDAY(VLOOKUP(I171,A:F,6,FALSE),H171,1)))=FALSE(),J_ADDDAY(VLOOKUP(I171,A:F,6,FALSE),H171,1),IF(OR(j_WEEKDAY(J_ADDDAY(VLOOKUP(I171,A:F,6,FALSE),H171+1,1),0)=6,SUMIFS(Holieday[ok],Holieday[date],J_ADDDAY(VLOOKUP(I171,A:F,6,FALSE),H171+1,1)))=FALSE(),J_ADDDAY(VLOOKUP(I171,A:F,6,FALSE),H171+1,1),IF(OR(j_WEEKDAY(J_ADDDAY(VLOOKUP(I171,A:F,6,FALSE),H171+2,1),0)=6,SUMIFS(Holieday[ok],Holieday[date],J_ADDDAY(VLOOKUP(I171,A:F,6,FALSE),H171+2,1)))=FALSE(),J_ADDDAY(VLOOKUP(I171,A:F,6,FALSE),H171+2,1),IF(OR(j_WEEKDAY(J_ADDDAY(VLOOKUP(I171,A:F,6,FALSE),H171+3,1),0)=6,SUMIFS(Holieday[ok],Holieday[date],J_ADDDAY(VLOOKUP(I171,A:F,6,FALSE),H171+3,1)))=FALSE(),J_ADDDAY(VLOOKUP(I171,A:F,6,FALSE),H171+3,1),IF(OR(j_WEEKDAY(J_ADDDAY(VLOOKUP(I171,A:F,6,FALSE),H171+4,1),0)=6,SUMIFS(Holieday[ok],Holieday[date],J_ADDDAY(VLOOKUP(I171,A:F,6,FALSE),H171+4,1)))=FALSE(),J_ADDDAY(VLOOKUP(I171,A:F,6,FALSE),H171+4,1),J_ADDDAY(VLOOKUP(I171,A:F,6,FALSE),H171+5,1))))))</f>
        <v>1398/09/14</v>
      </c>
      <c r="E171" s="1">
        <f t="shared" si="50"/>
        <v>13980914</v>
      </c>
      <c r="F171" s="12" t="str">
        <f>IF(N171=0,J_SUBDAY(D171,1,1),IF((N171-NETWORKDAYS.INTL(J_GregorianDate(D171,1),J_GregorianDate(J_SUBDAY(J_ADDDAY(D171,N171,1),1,1),1),16,1)-SUMIFS(Holieday[ok],Holieday[date],CONCATENATE("&gt;","=",D171),Holieday[date],CONCATENATE("&lt;","=",J_SUBDAY(J_ADDDAY(D171,N171,1),1,1)))+SUMIFS(Holieday[Friday],Holieday[date],CONCATENATE("&gt;","=",D171),Holieday[date],CONCATENATE("&lt;","=",J_SUBDAY(J_ADDDAY(D171,N171,1),1,1))))=0,J_SUBDAY(J_ADDDAY(D171,N171,1),1,1),IF((N171-NETWORKDAYS.INTL(J_GregorianDate(D171,1),J_GregorianDate(J_SUBDAY(J_ADDDAY(D171,N171,1),1,1),1),16,1)-SUMIFS(Holieday[ok],Holieday[date],CONCATENATE("&gt;","=",D171),Holieday[date],CONCATENATE("&lt;","=",J_SUBDAY(J_ADDDAY(D171,N171,1),1,1)))+SUMIFS(Holieday[Friday],Holieday[date],CONCATENATE("&gt;","=",D171),Holieday[date],CONCATENATE("&lt;","=",J_SUBDAY(J_ADDDAY(D171,N171,1),1,1))))=1,J_SUBDAY(J_ADDDAY(D171,N171+1,1),1,1),IF((N171-NETWORKDAYS.INTL(J_GregorianDate(D171,1),J_GregorianDate(J_SUBDAY(J_ADDDAY(D171,N171,1),1,1),1),16,1)-SUMIFS(Holieday[ok],Holieday[date],CONCATENATE("&gt;","=",D171),Holieday[date],CONCATENATE("&lt;","=",J_SUBDAY(J_ADDDAY(D171,N171,1),1,1)))+SUMIFS(Holieday[Friday],Holieday[date],CONCATENATE("&gt;","=",D171),Holieday[date],CONCATENATE("&lt;","=",J_SUBDAY(J_ADDDAY(D171,N171,1),1,1))))=2,J_SUBDAY(J_ADDDAY(D171,N171+2,1),1,1),J_SUBDAY(J_ADDDAY(D171,N171+3,1),1,1)))))</f>
        <v>1398/09/13</v>
      </c>
      <c r="G171" s="2">
        <f t="shared" si="51"/>
        <v>13980913</v>
      </c>
      <c r="H171" s="109"/>
      <c r="I171" s="110">
        <v>7.1</v>
      </c>
      <c r="J171" s="9">
        <f>j_WEEKDAY(D171,2)</f>
        <v>5</v>
      </c>
      <c r="K171" s="21">
        <f t="shared" si="54"/>
        <v>0</v>
      </c>
      <c r="L171" s="8">
        <f t="shared" si="55"/>
        <v>0</v>
      </c>
      <c r="M171" s="111">
        <v>0</v>
      </c>
      <c r="N171" s="108">
        <v>0</v>
      </c>
      <c r="O171" s="10">
        <f t="shared" si="58"/>
        <v>0</v>
      </c>
      <c r="P171" s="10">
        <f>VALUE(J_normdate(J_ADDDAY($D171,$O171,1)))</f>
        <v>13980914</v>
      </c>
      <c r="Q171" s="9">
        <f t="shared" si="59"/>
        <v>0</v>
      </c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  <c r="BB171" s="7"/>
      <c r="BC171" s="7"/>
      <c r="BD171" s="7"/>
      <c r="BE171" s="7"/>
      <c r="BF171" s="7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BS171" s="7"/>
      <c r="BT171" s="7"/>
      <c r="BU171" s="7"/>
      <c r="BV171" s="7"/>
      <c r="BW171" s="7"/>
      <c r="BX171" s="7"/>
      <c r="BY171" s="7"/>
      <c r="BZ171" s="7"/>
      <c r="CA171" s="7"/>
      <c r="CB171" s="7"/>
      <c r="CC171" s="7"/>
      <c r="CD171" s="7"/>
      <c r="CE171" s="7"/>
      <c r="CF171" s="7"/>
      <c r="CG171" s="7"/>
      <c r="CH171" s="7"/>
      <c r="CI171" s="7"/>
      <c r="CJ171" s="7"/>
      <c r="CK171" s="7"/>
      <c r="CL171" s="7"/>
      <c r="CM171" s="7"/>
      <c r="CN171" s="7"/>
      <c r="CO171" s="7"/>
      <c r="CP171" s="7"/>
      <c r="CQ171" s="7"/>
      <c r="CR171" s="7"/>
      <c r="CS171" s="7"/>
      <c r="CT171" s="7"/>
      <c r="CU171" s="7"/>
      <c r="CV171" s="7"/>
      <c r="CW171" s="7"/>
      <c r="CX171" s="7"/>
      <c r="CY171" s="7"/>
      <c r="CZ171" s="7"/>
      <c r="DA171" s="7"/>
      <c r="DB171" s="7"/>
      <c r="DC171" s="7"/>
      <c r="DD171" s="7"/>
      <c r="DE171" s="7"/>
      <c r="DF171" s="7"/>
      <c r="DG171" s="7"/>
      <c r="DH171" s="7"/>
      <c r="DI171" s="7"/>
      <c r="DJ171" s="7"/>
      <c r="DK171" s="7"/>
      <c r="DL171" s="7"/>
      <c r="DM171" s="7"/>
      <c r="DN171" s="7"/>
      <c r="DO171" s="7"/>
      <c r="DP171" s="7"/>
      <c r="DQ171" s="7"/>
      <c r="DR171" s="7"/>
      <c r="DS171" s="7"/>
      <c r="DT171" s="7"/>
      <c r="DU171" s="7"/>
      <c r="DV171" s="7"/>
      <c r="DW171" s="7"/>
      <c r="DX171" s="7"/>
      <c r="DY171" s="7"/>
      <c r="DZ171" s="7"/>
      <c r="EA171" s="7"/>
      <c r="EB171" s="7"/>
      <c r="EC171" s="7"/>
      <c r="ED171" s="7"/>
      <c r="EE171" s="7"/>
      <c r="EF171" s="7"/>
      <c r="EG171" s="7"/>
      <c r="EH171" s="7"/>
      <c r="EI171" s="7"/>
      <c r="EJ171" s="7"/>
      <c r="EK171" s="7"/>
      <c r="EL171" s="7"/>
      <c r="EM171" s="7"/>
      <c r="EN171" s="7"/>
      <c r="EO171" s="7"/>
      <c r="EP171" s="7"/>
      <c r="EQ171" s="7"/>
      <c r="ER171" s="7"/>
      <c r="ES171" s="7"/>
      <c r="ET171" s="7"/>
      <c r="EU171" s="7"/>
      <c r="EV171" s="7"/>
      <c r="EW171" s="7"/>
      <c r="EX171" s="7"/>
      <c r="EY171" s="7"/>
      <c r="EZ171" s="7"/>
      <c r="FA171" s="7"/>
      <c r="FB171" s="7"/>
      <c r="FC171" s="7"/>
      <c r="FD171" s="7"/>
      <c r="FE171" s="7"/>
      <c r="FF171" s="7"/>
      <c r="FG171" s="7"/>
      <c r="FH171" s="7"/>
      <c r="FI171" s="7"/>
      <c r="FJ171" s="7"/>
      <c r="FK171" s="7"/>
      <c r="FL171" s="7"/>
      <c r="FM171" s="7"/>
      <c r="FN171" s="7"/>
      <c r="FO171" s="7"/>
      <c r="FP171" s="7"/>
      <c r="FQ171" s="7"/>
      <c r="FR171" s="7"/>
      <c r="FS171" s="7"/>
      <c r="FT171" s="7"/>
      <c r="FU171" s="7"/>
      <c r="FV171" s="7"/>
      <c r="FW171" s="7"/>
      <c r="FX171" s="7"/>
      <c r="FY171" s="7"/>
      <c r="FZ171" s="7"/>
      <c r="GA171" s="7"/>
      <c r="GB171" s="7"/>
      <c r="GC171" s="7"/>
      <c r="GD171" s="7"/>
      <c r="GE171" s="7"/>
      <c r="GF171" s="7"/>
      <c r="GG171" s="7"/>
      <c r="GH171" s="7"/>
      <c r="GI171" s="7"/>
      <c r="GJ171" s="7"/>
      <c r="GK171" s="7"/>
      <c r="GL171" s="7"/>
      <c r="GM171" s="7"/>
      <c r="GN171" s="7"/>
      <c r="GO171" s="7"/>
      <c r="GP171" s="7"/>
      <c r="GQ171" s="7"/>
      <c r="GR171" s="7"/>
      <c r="GS171" s="7"/>
      <c r="GT171" s="7"/>
      <c r="GU171" s="7"/>
      <c r="GV171" s="7"/>
      <c r="GW171" s="7"/>
      <c r="GX171" s="7"/>
      <c r="GY171" s="7"/>
      <c r="GZ171" s="7"/>
      <c r="HA171" s="7"/>
      <c r="HB171" s="7"/>
      <c r="HC171" s="7"/>
      <c r="HD171" s="7"/>
      <c r="HE171" s="7"/>
      <c r="HF171" s="7"/>
      <c r="HG171" s="7"/>
      <c r="HH171" s="7"/>
      <c r="HI171" s="7"/>
      <c r="HJ171" s="7"/>
      <c r="HK171" s="7"/>
      <c r="HL171" s="7"/>
      <c r="HM171" s="7"/>
      <c r="HN171" s="7"/>
      <c r="HO171" s="7"/>
      <c r="HP171" s="7"/>
      <c r="HQ171" s="7"/>
      <c r="HR171" s="7"/>
      <c r="HS171" s="7"/>
      <c r="HT171" s="7"/>
      <c r="HU171" s="7"/>
      <c r="HV171" s="7"/>
      <c r="HW171" s="7"/>
      <c r="HX171" s="7"/>
      <c r="HY171" s="7"/>
      <c r="HZ171" s="7"/>
      <c r="IA171" s="7"/>
      <c r="IB171" s="7"/>
      <c r="IC171" s="7"/>
      <c r="ID171" s="7"/>
      <c r="IE171" s="7"/>
      <c r="IF171" s="7"/>
      <c r="IG171" s="7"/>
      <c r="IH171" s="7"/>
      <c r="II171" s="7"/>
      <c r="IJ171" s="7"/>
      <c r="IK171" s="7"/>
      <c r="IL171" s="7"/>
      <c r="IM171" s="7"/>
      <c r="IN171" s="7"/>
      <c r="IO171" s="7"/>
      <c r="IP171" s="7"/>
      <c r="IQ171" s="7"/>
      <c r="IR171" s="7"/>
      <c r="IS171" s="7"/>
      <c r="IT171" s="7"/>
      <c r="IU171" s="7"/>
      <c r="IV171" s="7"/>
      <c r="IW171" s="7"/>
      <c r="IX171" s="7"/>
      <c r="JA171" s="113"/>
      <c r="JB171" s="113"/>
      <c r="JC171" s="113"/>
      <c r="JD171" s="66">
        <f>SUM((TEXT(JA171,"[M]")/60)*'Income Person-hours'!$D$3,(TEXT(JB171,"[M]")/60)*'Income Person-hours'!$D$4,(TEXT(JC171,"[M]")/60)*'Income Person-hours'!$D$5)</f>
        <v>0</v>
      </c>
    </row>
    <row r="172" spans="1:264" s="11" customFormat="1" ht="11.25" hidden="1">
      <c r="A172" s="30">
        <v>7.16</v>
      </c>
      <c r="B172" s="116"/>
      <c r="C172" s="107"/>
      <c r="D172" s="12" t="str">
        <f>IF(OR(j_WEEKDAY(J_ADDDAY(VLOOKUP(I172,A:F,6,FALSE),H172,1),0)=6,SUMIFS(Holieday[ok],Holieday[date],J_ADDDAY(VLOOKUP(I172,A:F,6,FALSE),H172,1)))=FALSE(),J_ADDDAY(VLOOKUP(I172,A:F,6,FALSE),H172,1),IF(OR(j_WEEKDAY(J_ADDDAY(VLOOKUP(I172,A:F,6,FALSE),H172+1,1),0)=6,SUMIFS(Holieday[ok],Holieday[date],J_ADDDAY(VLOOKUP(I172,A:F,6,FALSE),H172+1,1)))=FALSE(),J_ADDDAY(VLOOKUP(I172,A:F,6,FALSE),H172+1,1),IF(OR(j_WEEKDAY(J_ADDDAY(VLOOKUP(I172,A:F,6,FALSE),H172+2,1),0)=6,SUMIFS(Holieday[ok],Holieday[date],J_ADDDAY(VLOOKUP(I172,A:F,6,FALSE),H172+2,1)))=FALSE(),J_ADDDAY(VLOOKUP(I172,A:F,6,FALSE),H172+2,1),IF(OR(j_WEEKDAY(J_ADDDAY(VLOOKUP(I172,A:F,6,FALSE),H172+3,1),0)=6,SUMIFS(Holieday[ok],Holieday[date],J_ADDDAY(VLOOKUP(I172,A:F,6,FALSE),H172+3,1)))=FALSE(),J_ADDDAY(VLOOKUP(I172,A:F,6,FALSE),H172+3,1),IF(OR(j_WEEKDAY(J_ADDDAY(VLOOKUP(I172,A:F,6,FALSE),H172+4,1),0)=6,SUMIFS(Holieday[ok],Holieday[date],J_ADDDAY(VLOOKUP(I172,A:F,6,FALSE),H172+4,1)))=FALSE(),J_ADDDAY(VLOOKUP(I172,A:F,6,FALSE),H172+4,1),J_ADDDAY(VLOOKUP(I172,A:F,6,FALSE),H172+5,1))))))</f>
        <v>1398/09/14</v>
      </c>
      <c r="E172" s="1">
        <f t="shared" si="50"/>
        <v>13980914</v>
      </c>
      <c r="F172" s="12" t="str">
        <f>IF(N172=0,J_SUBDAY(D172,1,1),IF((N172-NETWORKDAYS.INTL(J_GregorianDate(D172,1),J_GregorianDate(J_SUBDAY(J_ADDDAY(D172,N172,1),1,1),1),16,1)-SUMIFS(Holieday[ok],Holieday[date],CONCATENATE("&gt;","=",D172),Holieday[date],CONCATENATE("&lt;","=",J_SUBDAY(J_ADDDAY(D172,N172,1),1,1)))+SUMIFS(Holieday[Friday],Holieday[date],CONCATENATE("&gt;","=",D172),Holieday[date],CONCATENATE("&lt;","=",J_SUBDAY(J_ADDDAY(D172,N172,1),1,1))))=0,J_SUBDAY(J_ADDDAY(D172,N172,1),1,1),IF((N172-NETWORKDAYS.INTL(J_GregorianDate(D172,1),J_GregorianDate(J_SUBDAY(J_ADDDAY(D172,N172,1),1,1),1),16,1)-SUMIFS(Holieday[ok],Holieday[date],CONCATENATE("&gt;","=",D172),Holieday[date],CONCATENATE("&lt;","=",J_SUBDAY(J_ADDDAY(D172,N172,1),1,1)))+SUMIFS(Holieday[Friday],Holieday[date],CONCATENATE("&gt;","=",D172),Holieday[date],CONCATENATE("&lt;","=",J_SUBDAY(J_ADDDAY(D172,N172,1),1,1))))=1,J_SUBDAY(J_ADDDAY(D172,N172+1,1),1,1),IF((N172-NETWORKDAYS.INTL(J_GregorianDate(D172,1),J_GregorianDate(J_SUBDAY(J_ADDDAY(D172,N172,1),1,1),1),16,1)-SUMIFS(Holieday[ok],Holieday[date],CONCATENATE("&gt;","=",D172),Holieday[date],CONCATENATE("&lt;","=",J_SUBDAY(J_ADDDAY(D172,N172,1),1,1)))+SUMIFS(Holieday[Friday],Holieday[date],CONCATENATE("&gt;","=",D172),Holieday[date],CONCATENATE("&lt;","=",J_SUBDAY(J_ADDDAY(D172,N172,1),1,1))))=2,J_SUBDAY(J_ADDDAY(D172,N172+2,1),1,1),J_SUBDAY(J_ADDDAY(D172,N172+3,1),1,1)))))</f>
        <v>1398/09/13</v>
      </c>
      <c r="G172" s="2">
        <f t="shared" si="51"/>
        <v>13980913</v>
      </c>
      <c r="H172" s="109"/>
      <c r="I172" s="110">
        <v>7.1</v>
      </c>
      <c r="J172" s="9">
        <f>j_WEEKDAY(D172,2)</f>
        <v>5</v>
      </c>
      <c r="K172" s="21">
        <f t="shared" si="54"/>
        <v>0</v>
      </c>
      <c r="L172" s="8">
        <f t="shared" si="55"/>
        <v>0</v>
      </c>
      <c r="M172" s="111">
        <v>0</v>
      </c>
      <c r="N172" s="108">
        <v>0</v>
      </c>
      <c r="O172" s="10">
        <f t="shared" si="58"/>
        <v>0</v>
      </c>
      <c r="P172" s="10">
        <f>VALUE(J_normdate(J_ADDDAY($D172,$O172,1)))</f>
        <v>13980914</v>
      </c>
      <c r="Q172" s="9">
        <f t="shared" si="59"/>
        <v>0</v>
      </c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  <c r="BB172" s="7"/>
      <c r="BC172" s="7"/>
      <c r="BD172" s="7"/>
      <c r="BE172" s="7"/>
      <c r="BF172" s="7"/>
      <c r="BG172" s="7"/>
      <c r="BH172" s="7"/>
      <c r="BI172" s="7"/>
      <c r="BJ172" s="7"/>
      <c r="BK172" s="7"/>
      <c r="BL172" s="7"/>
      <c r="BM172" s="7"/>
      <c r="BN172" s="7"/>
      <c r="BO172" s="7"/>
      <c r="BP172" s="7"/>
      <c r="BQ172" s="7"/>
      <c r="BR172" s="7"/>
      <c r="BS172" s="7"/>
      <c r="BT172" s="7"/>
      <c r="BU172" s="7"/>
      <c r="BV172" s="7"/>
      <c r="BW172" s="7"/>
      <c r="BX172" s="7"/>
      <c r="BY172" s="7"/>
      <c r="BZ172" s="7"/>
      <c r="CA172" s="7"/>
      <c r="CB172" s="7"/>
      <c r="CC172" s="7"/>
      <c r="CD172" s="7"/>
      <c r="CE172" s="7"/>
      <c r="CF172" s="7"/>
      <c r="CG172" s="7"/>
      <c r="CH172" s="7"/>
      <c r="CI172" s="7"/>
      <c r="CJ172" s="7"/>
      <c r="CK172" s="7"/>
      <c r="CL172" s="7"/>
      <c r="CM172" s="7"/>
      <c r="CN172" s="7"/>
      <c r="CO172" s="7"/>
      <c r="CP172" s="7"/>
      <c r="CQ172" s="7"/>
      <c r="CR172" s="7"/>
      <c r="CS172" s="7"/>
      <c r="CT172" s="7"/>
      <c r="CU172" s="7"/>
      <c r="CV172" s="7"/>
      <c r="CW172" s="7"/>
      <c r="CX172" s="7"/>
      <c r="CY172" s="7"/>
      <c r="CZ172" s="7"/>
      <c r="DA172" s="7"/>
      <c r="DB172" s="7"/>
      <c r="DC172" s="7"/>
      <c r="DD172" s="7"/>
      <c r="DE172" s="7"/>
      <c r="DF172" s="7"/>
      <c r="DG172" s="7"/>
      <c r="DH172" s="7"/>
      <c r="DI172" s="7"/>
      <c r="DJ172" s="7"/>
      <c r="DK172" s="7"/>
      <c r="DL172" s="7"/>
      <c r="DM172" s="7"/>
      <c r="DN172" s="7"/>
      <c r="DO172" s="7"/>
      <c r="DP172" s="7"/>
      <c r="DQ172" s="7"/>
      <c r="DR172" s="7"/>
      <c r="DS172" s="7"/>
      <c r="DT172" s="7"/>
      <c r="DU172" s="7"/>
      <c r="DV172" s="7"/>
      <c r="DW172" s="7"/>
      <c r="DX172" s="7"/>
      <c r="DY172" s="7"/>
      <c r="DZ172" s="7"/>
      <c r="EA172" s="7"/>
      <c r="EB172" s="7"/>
      <c r="EC172" s="7"/>
      <c r="ED172" s="7"/>
      <c r="EE172" s="7"/>
      <c r="EF172" s="7"/>
      <c r="EG172" s="7"/>
      <c r="EH172" s="7"/>
      <c r="EI172" s="7"/>
      <c r="EJ172" s="7"/>
      <c r="EK172" s="7"/>
      <c r="EL172" s="7"/>
      <c r="EM172" s="7"/>
      <c r="EN172" s="7"/>
      <c r="EO172" s="7"/>
      <c r="EP172" s="7"/>
      <c r="EQ172" s="7"/>
      <c r="ER172" s="7"/>
      <c r="ES172" s="7"/>
      <c r="ET172" s="7"/>
      <c r="EU172" s="7"/>
      <c r="EV172" s="7"/>
      <c r="EW172" s="7"/>
      <c r="EX172" s="7"/>
      <c r="EY172" s="7"/>
      <c r="EZ172" s="7"/>
      <c r="FA172" s="7"/>
      <c r="FB172" s="7"/>
      <c r="FC172" s="7"/>
      <c r="FD172" s="7"/>
      <c r="FE172" s="7"/>
      <c r="FF172" s="7"/>
      <c r="FG172" s="7"/>
      <c r="FH172" s="7"/>
      <c r="FI172" s="7"/>
      <c r="FJ172" s="7"/>
      <c r="FK172" s="7"/>
      <c r="FL172" s="7"/>
      <c r="FM172" s="7"/>
      <c r="FN172" s="7"/>
      <c r="FO172" s="7"/>
      <c r="FP172" s="7"/>
      <c r="FQ172" s="7"/>
      <c r="FR172" s="7"/>
      <c r="FS172" s="7"/>
      <c r="FT172" s="7"/>
      <c r="FU172" s="7"/>
      <c r="FV172" s="7"/>
      <c r="FW172" s="7"/>
      <c r="FX172" s="7"/>
      <c r="FY172" s="7"/>
      <c r="FZ172" s="7"/>
      <c r="GA172" s="7"/>
      <c r="GB172" s="7"/>
      <c r="GC172" s="7"/>
      <c r="GD172" s="7"/>
      <c r="GE172" s="7"/>
      <c r="GF172" s="7"/>
      <c r="GG172" s="7"/>
      <c r="GH172" s="7"/>
      <c r="GI172" s="7"/>
      <c r="GJ172" s="7"/>
      <c r="GK172" s="7"/>
      <c r="GL172" s="7"/>
      <c r="GM172" s="7"/>
      <c r="GN172" s="7"/>
      <c r="GO172" s="7"/>
      <c r="GP172" s="7"/>
      <c r="GQ172" s="7"/>
      <c r="GR172" s="7"/>
      <c r="GS172" s="7"/>
      <c r="GT172" s="7"/>
      <c r="GU172" s="7"/>
      <c r="GV172" s="7"/>
      <c r="GW172" s="7"/>
      <c r="GX172" s="7"/>
      <c r="GY172" s="7"/>
      <c r="GZ172" s="7"/>
      <c r="HA172" s="7"/>
      <c r="HB172" s="7"/>
      <c r="HC172" s="7"/>
      <c r="HD172" s="7"/>
      <c r="HE172" s="7"/>
      <c r="HF172" s="7"/>
      <c r="HG172" s="7"/>
      <c r="HH172" s="7"/>
      <c r="HI172" s="7"/>
      <c r="HJ172" s="7"/>
      <c r="HK172" s="7"/>
      <c r="HL172" s="7"/>
      <c r="HM172" s="7"/>
      <c r="HN172" s="7"/>
      <c r="HO172" s="7"/>
      <c r="HP172" s="7"/>
      <c r="HQ172" s="7"/>
      <c r="HR172" s="7"/>
      <c r="HS172" s="7"/>
      <c r="HT172" s="7"/>
      <c r="HU172" s="7"/>
      <c r="HV172" s="7"/>
      <c r="HW172" s="7"/>
      <c r="HX172" s="7"/>
      <c r="HY172" s="7"/>
      <c r="HZ172" s="7"/>
      <c r="IA172" s="7"/>
      <c r="IB172" s="7"/>
      <c r="IC172" s="7"/>
      <c r="ID172" s="7"/>
      <c r="IE172" s="7"/>
      <c r="IF172" s="7"/>
      <c r="IG172" s="7"/>
      <c r="IH172" s="7"/>
      <c r="II172" s="7"/>
      <c r="IJ172" s="7"/>
      <c r="IK172" s="7"/>
      <c r="IL172" s="7"/>
      <c r="IM172" s="7"/>
      <c r="IN172" s="7"/>
      <c r="IO172" s="7"/>
      <c r="IP172" s="7"/>
      <c r="IQ172" s="7"/>
      <c r="IR172" s="7"/>
      <c r="IS172" s="7"/>
      <c r="IT172" s="7"/>
      <c r="IU172" s="7"/>
      <c r="IV172" s="7"/>
      <c r="IW172" s="7"/>
      <c r="IX172" s="7"/>
      <c r="JA172" s="113"/>
      <c r="JB172" s="113"/>
      <c r="JC172" s="113"/>
      <c r="JD172" s="66">
        <f>SUM((TEXT(JA172,"[M]")/60)*'Income Person-hours'!$D$3,(TEXT(JB172,"[M]")/60)*'Income Person-hours'!$D$4,(TEXT(JC172,"[M]")/60)*'Income Person-hours'!$D$5)</f>
        <v>0</v>
      </c>
    </row>
    <row r="173" spans="1:264" s="11" customFormat="1" ht="11.25" hidden="1">
      <c r="A173" s="30">
        <v>7.17</v>
      </c>
      <c r="B173" s="116"/>
      <c r="C173" s="107"/>
      <c r="D173" s="12" t="str">
        <f>IF(OR(j_WEEKDAY(J_ADDDAY(VLOOKUP(I173,A:F,6,FALSE),H173,1),0)=6,SUMIFS(Holieday[ok],Holieday[date],J_ADDDAY(VLOOKUP(I173,A:F,6,FALSE),H173,1)))=FALSE(),J_ADDDAY(VLOOKUP(I173,A:F,6,FALSE),H173,1),IF(OR(j_WEEKDAY(J_ADDDAY(VLOOKUP(I173,A:F,6,FALSE),H173+1,1),0)=6,SUMIFS(Holieday[ok],Holieday[date],J_ADDDAY(VLOOKUP(I173,A:F,6,FALSE),H173+1,1)))=FALSE(),J_ADDDAY(VLOOKUP(I173,A:F,6,FALSE),H173+1,1),IF(OR(j_WEEKDAY(J_ADDDAY(VLOOKUP(I173,A:F,6,FALSE),H173+2,1),0)=6,SUMIFS(Holieday[ok],Holieday[date],J_ADDDAY(VLOOKUP(I173,A:F,6,FALSE),H173+2,1)))=FALSE(),J_ADDDAY(VLOOKUP(I173,A:F,6,FALSE),H173+2,1),IF(OR(j_WEEKDAY(J_ADDDAY(VLOOKUP(I173,A:F,6,FALSE),H173+3,1),0)=6,SUMIFS(Holieday[ok],Holieday[date],J_ADDDAY(VLOOKUP(I173,A:F,6,FALSE),H173+3,1)))=FALSE(),J_ADDDAY(VLOOKUP(I173,A:F,6,FALSE),H173+3,1),IF(OR(j_WEEKDAY(J_ADDDAY(VLOOKUP(I173,A:F,6,FALSE),H173+4,1),0)=6,SUMIFS(Holieday[ok],Holieday[date],J_ADDDAY(VLOOKUP(I173,A:F,6,FALSE),H173+4,1)))=FALSE(),J_ADDDAY(VLOOKUP(I173,A:F,6,FALSE),H173+4,1),J_ADDDAY(VLOOKUP(I173,A:F,6,FALSE),H173+5,1))))))</f>
        <v>1398/09/14</v>
      </c>
      <c r="E173" s="1">
        <f t="shared" si="50"/>
        <v>13980914</v>
      </c>
      <c r="F173" s="12" t="str">
        <f>IF(N173=0,J_SUBDAY(D173,1,1),IF((N173-NETWORKDAYS.INTL(J_GregorianDate(D173,1),J_GregorianDate(J_SUBDAY(J_ADDDAY(D173,N173,1),1,1),1),16,1)-SUMIFS(Holieday[ok],Holieday[date],CONCATENATE("&gt;","=",D173),Holieday[date],CONCATENATE("&lt;","=",J_SUBDAY(J_ADDDAY(D173,N173,1),1,1)))+SUMIFS(Holieday[Friday],Holieday[date],CONCATENATE("&gt;","=",D173),Holieday[date],CONCATENATE("&lt;","=",J_SUBDAY(J_ADDDAY(D173,N173,1),1,1))))=0,J_SUBDAY(J_ADDDAY(D173,N173,1),1,1),IF((N173-NETWORKDAYS.INTL(J_GregorianDate(D173,1),J_GregorianDate(J_SUBDAY(J_ADDDAY(D173,N173,1),1,1),1),16,1)-SUMIFS(Holieday[ok],Holieday[date],CONCATENATE("&gt;","=",D173),Holieday[date],CONCATENATE("&lt;","=",J_SUBDAY(J_ADDDAY(D173,N173,1),1,1)))+SUMIFS(Holieday[Friday],Holieday[date],CONCATENATE("&gt;","=",D173),Holieday[date],CONCATENATE("&lt;","=",J_SUBDAY(J_ADDDAY(D173,N173,1),1,1))))=1,J_SUBDAY(J_ADDDAY(D173,N173+1,1),1,1),IF((N173-NETWORKDAYS.INTL(J_GregorianDate(D173,1),J_GregorianDate(J_SUBDAY(J_ADDDAY(D173,N173,1),1,1),1),16,1)-SUMIFS(Holieday[ok],Holieday[date],CONCATENATE("&gt;","=",D173),Holieday[date],CONCATENATE("&lt;","=",J_SUBDAY(J_ADDDAY(D173,N173,1),1,1)))+SUMIFS(Holieday[Friday],Holieday[date],CONCATENATE("&gt;","=",D173),Holieday[date],CONCATENATE("&lt;","=",J_SUBDAY(J_ADDDAY(D173,N173,1),1,1))))=2,J_SUBDAY(J_ADDDAY(D173,N173+2,1),1,1),J_SUBDAY(J_ADDDAY(D173,N173+3,1),1,1)))))</f>
        <v>1398/09/13</v>
      </c>
      <c r="G173" s="2">
        <f t="shared" si="51"/>
        <v>13980913</v>
      </c>
      <c r="H173" s="109"/>
      <c r="I173" s="110">
        <v>7.1</v>
      </c>
      <c r="J173" s="9">
        <f>j_WEEKDAY(D173,2)</f>
        <v>5</v>
      </c>
      <c r="K173" s="21">
        <f t="shared" si="54"/>
        <v>0</v>
      </c>
      <c r="L173" s="8">
        <f t="shared" si="55"/>
        <v>0</v>
      </c>
      <c r="M173" s="111">
        <v>0</v>
      </c>
      <c r="N173" s="108">
        <v>0</v>
      </c>
      <c r="O173" s="10">
        <f t="shared" si="58"/>
        <v>0</v>
      </c>
      <c r="P173" s="10">
        <f>VALUE(J_normdate(J_ADDDAY($D173,$O173,1)))</f>
        <v>13980914</v>
      </c>
      <c r="Q173" s="9">
        <f t="shared" si="59"/>
        <v>0</v>
      </c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  <c r="BB173" s="7"/>
      <c r="BC173" s="7"/>
      <c r="BD173" s="7"/>
      <c r="BE173" s="7"/>
      <c r="BF173" s="7"/>
      <c r="BG173" s="7"/>
      <c r="BH173" s="7"/>
      <c r="BI173" s="7"/>
      <c r="BJ173" s="7"/>
      <c r="BK173" s="7"/>
      <c r="BL173" s="7"/>
      <c r="BM173" s="7"/>
      <c r="BN173" s="7"/>
      <c r="BO173" s="7"/>
      <c r="BP173" s="7"/>
      <c r="BQ173" s="7"/>
      <c r="BR173" s="7"/>
      <c r="BS173" s="7"/>
      <c r="BT173" s="7"/>
      <c r="BU173" s="7"/>
      <c r="BV173" s="7"/>
      <c r="BW173" s="7"/>
      <c r="BX173" s="7"/>
      <c r="BY173" s="7"/>
      <c r="BZ173" s="7"/>
      <c r="CA173" s="7"/>
      <c r="CB173" s="7"/>
      <c r="CC173" s="7"/>
      <c r="CD173" s="7"/>
      <c r="CE173" s="7"/>
      <c r="CF173" s="7"/>
      <c r="CG173" s="7"/>
      <c r="CH173" s="7"/>
      <c r="CI173" s="7"/>
      <c r="CJ173" s="7"/>
      <c r="CK173" s="7"/>
      <c r="CL173" s="7"/>
      <c r="CM173" s="7"/>
      <c r="CN173" s="7"/>
      <c r="CO173" s="7"/>
      <c r="CP173" s="7"/>
      <c r="CQ173" s="7"/>
      <c r="CR173" s="7"/>
      <c r="CS173" s="7"/>
      <c r="CT173" s="7"/>
      <c r="CU173" s="7"/>
      <c r="CV173" s="7"/>
      <c r="CW173" s="7"/>
      <c r="CX173" s="7"/>
      <c r="CY173" s="7"/>
      <c r="CZ173" s="7"/>
      <c r="DA173" s="7"/>
      <c r="DB173" s="7"/>
      <c r="DC173" s="7"/>
      <c r="DD173" s="7"/>
      <c r="DE173" s="7"/>
      <c r="DF173" s="7"/>
      <c r="DG173" s="7"/>
      <c r="DH173" s="7"/>
      <c r="DI173" s="7"/>
      <c r="DJ173" s="7"/>
      <c r="DK173" s="7"/>
      <c r="DL173" s="7"/>
      <c r="DM173" s="7"/>
      <c r="DN173" s="7"/>
      <c r="DO173" s="7"/>
      <c r="DP173" s="7"/>
      <c r="DQ173" s="7"/>
      <c r="DR173" s="7"/>
      <c r="DS173" s="7"/>
      <c r="DT173" s="7"/>
      <c r="DU173" s="7"/>
      <c r="DV173" s="7"/>
      <c r="DW173" s="7"/>
      <c r="DX173" s="7"/>
      <c r="DY173" s="7"/>
      <c r="DZ173" s="7"/>
      <c r="EA173" s="7"/>
      <c r="EB173" s="7"/>
      <c r="EC173" s="7"/>
      <c r="ED173" s="7"/>
      <c r="EE173" s="7"/>
      <c r="EF173" s="7"/>
      <c r="EG173" s="7"/>
      <c r="EH173" s="7"/>
      <c r="EI173" s="7"/>
      <c r="EJ173" s="7"/>
      <c r="EK173" s="7"/>
      <c r="EL173" s="7"/>
      <c r="EM173" s="7"/>
      <c r="EN173" s="7"/>
      <c r="EO173" s="7"/>
      <c r="EP173" s="7"/>
      <c r="EQ173" s="7"/>
      <c r="ER173" s="7"/>
      <c r="ES173" s="7"/>
      <c r="ET173" s="7"/>
      <c r="EU173" s="7"/>
      <c r="EV173" s="7"/>
      <c r="EW173" s="7"/>
      <c r="EX173" s="7"/>
      <c r="EY173" s="7"/>
      <c r="EZ173" s="7"/>
      <c r="FA173" s="7"/>
      <c r="FB173" s="7"/>
      <c r="FC173" s="7"/>
      <c r="FD173" s="7"/>
      <c r="FE173" s="7"/>
      <c r="FF173" s="7"/>
      <c r="FG173" s="7"/>
      <c r="FH173" s="7"/>
      <c r="FI173" s="7"/>
      <c r="FJ173" s="7"/>
      <c r="FK173" s="7"/>
      <c r="FL173" s="7"/>
      <c r="FM173" s="7"/>
      <c r="FN173" s="7"/>
      <c r="FO173" s="7"/>
      <c r="FP173" s="7"/>
      <c r="FQ173" s="7"/>
      <c r="FR173" s="7"/>
      <c r="FS173" s="7"/>
      <c r="FT173" s="7"/>
      <c r="FU173" s="7"/>
      <c r="FV173" s="7"/>
      <c r="FW173" s="7"/>
      <c r="FX173" s="7"/>
      <c r="FY173" s="7"/>
      <c r="FZ173" s="7"/>
      <c r="GA173" s="7"/>
      <c r="GB173" s="7"/>
      <c r="GC173" s="7"/>
      <c r="GD173" s="7"/>
      <c r="GE173" s="7"/>
      <c r="GF173" s="7"/>
      <c r="GG173" s="7"/>
      <c r="GH173" s="7"/>
      <c r="GI173" s="7"/>
      <c r="GJ173" s="7"/>
      <c r="GK173" s="7"/>
      <c r="GL173" s="7"/>
      <c r="GM173" s="7"/>
      <c r="GN173" s="7"/>
      <c r="GO173" s="7"/>
      <c r="GP173" s="7"/>
      <c r="GQ173" s="7"/>
      <c r="GR173" s="7"/>
      <c r="GS173" s="7"/>
      <c r="GT173" s="7"/>
      <c r="GU173" s="7"/>
      <c r="GV173" s="7"/>
      <c r="GW173" s="7"/>
      <c r="GX173" s="7"/>
      <c r="GY173" s="7"/>
      <c r="GZ173" s="7"/>
      <c r="HA173" s="7"/>
      <c r="HB173" s="7"/>
      <c r="HC173" s="7"/>
      <c r="HD173" s="7"/>
      <c r="HE173" s="7"/>
      <c r="HF173" s="7"/>
      <c r="HG173" s="7"/>
      <c r="HH173" s="7"/>
      <c r="HI173" s="7"/>
      <c r="HJ173" s="7"/>
      <c r="HK173" s="7"/>
      <c r="HL173" s="7"/>
      <c r="HM173" s="7"/>
      <c r="HN173" s="7"/>
      <c r="HO173" s="7"/>
      <c r="HP173" s="7"/>
      <c r="HQ173" s="7"/>
      <c r="HR173" s="7"/>
      <c r="HS173" s="7"/>
      <c r="HT173" s="7"/>
      <c r="HU173" s="7"/>
      <c r="HV173" s="7"/>
      <c r="HW173" s="7"/>
      <c r="HX173" s="7"/>
      <c r="HY173" s="7"/>
      <c r="HZ173" s="7"/>
      <c r="IA173" s="7"/>
      <c r="IB173" s="7"/>
      <c r="IC173" s="7"/>
      <c r="ID173" s="7"/>
      <c r="IE173" s="7"/>
      <c r="IF173" s="7"/>
      <c r="IG173" s="7"/>
      <c r="IH173" s="7"/>
      <c r="II173" s="7"/>
      <c r="IJ173" s="7"/>
      <c r="IK173" s="7"/>
      <c r="IL173" s="7"/>
      <c r="IM173" s="7"/>
      <c r="IN173" s="7"/>
      <c r="IO173" s="7"/>
      <c r="IP173" s="7"/>
      <c r="IQ173" s="7"/>
      <c r="IR173" s="7"/>
      <c r="IS173" s="7"/>
      <c r="IT173" s="7"/>
      <c r="IU173" s="7"/>
      <c r="IV173" s="7"/>
      <c r="IW173" s="7"/>
      <c r="IX173" s="7"/>
      <c r="JA173" s="113"/>
      <c r="JB173" s="113"/>
      <c r="JC173" s="113"/>
      <c r="JD173" s="66">
        <f>SUM((TEXT(JA173,"[M]")/60)*'Income Person-hours'!$D$3,(TEXT(JB173,"[M]")/60)*'Income Person-hours'!$D$4,(TEXT(JC173,"[M]")/60)*'Income Person-hours'!$D$5)</f>
        <v>0</v>
      </c>
    </row>
    <row r="174" spans="1:264" s="11" customFormat="1" ht="11.25" hidden="1">
      <c r="A174" s="30">
        <v>7.18</v>
      </c>
      <c r="B174" s="116"/>
      <c r="C174" s="107"/>
      <c r="D174" s="12" t="str">
        <f>IF(OR(j_WEEKDAY(J_ADDDAY(VLOOKUP(I174,A:F,6,FALSE),H174,1),0)=6,SUMIFS(Holieday[ok],Holieday[date],J_ADDDAY(VLOOKUP(I174,A:F,6,FALSE),H174,1)))=FALSE(),J_ADDDAY(VLOOKUP(I174,A:F,6,FALSE),H174,1),IF(OR(j_WEEKDAY(J_ADDDAY(VLOOKUP(I174,A:F,6,FALSE),H174+1,1),0)=6,SUMIFS(Holieday[ok],Holieday[date],J_ADDDAY(VLOOKUP(I174,A:F,6,FALSE),H174+1,1)))=FALSE(),J_ADDDAY(VLOOKUP(I174,A:F,6,FALSE),H174+1,1),IF(OR(j_WEEKDAY(J_ADDDAY(VLOOKUP(I174,A:F,6,FALSE),H174+2,1),0)=6,SUMIFS(Holieday[ok],Holieday[date],J_ADDDAY(VLOOKUP(I174,A:F,6,FALSE),H174+2,1)))=FALSE(),J_ADDDAY(VLOOKUP(I174,A:F,6,FALSE),H174+2,1),IF(OR(j_WEEKDAY(J_ADDDAY(VLOOKUP(I174,A:F,6,FALSE),H174+3,1),0)=6,SUMIFS(Holieday[ok],Holieday[date],J_ADDDAY(VLOOKUP(I174,A:F,6,FALSE),H174+3,1)))=FALSE(),J_ADDDAY(VLOOKUP(I174,A:F,6,FALSE),H174+3,1),IF(OR(j_WEEKDAY(J_ADDDAY(VLOOKUP(I174,A:F,6,FALSE),H174+4,1),0)=6,SUMIFS(Holieday[ok],Holieday[date],J_ADDDAY(VLOOKUP(I174,A:F,6,FALSE),H174+4,1)))=FALSE(),J_ADDDAY(VLOOKUP(I174,A:F,6,FALSE),H174+4,1),J_ADDDAY(VLOOKUP(I174,A:F,6,FALSE),H174+5,1))))))</f>
        <v>1398/09/14</v>
      </c>
      <c r="E174" s="1">
        <f t="shared" si="50"/>
        <v>13980914</v>
      </c>
      <c r="F174" s="12" t="str">
        <f>IF(N174=0,J_SUBDAY(D174,1,1),IF((N174-NETWORKDAYS.INTL(J_GregorianDate(D174,1),J_GregorianDate(J_SUBDAY(J_ADDDAY(D174,N174,1),1,1),1),16,1)-SUMIFS(Holieday[ok],Holieday[date],CONCATENATE("&gt;","=",D174),Holieday[date],CONCATENATE("&lt;","=",J_SUBDAY(J_ADDDAY(D174,N174,1),1,1)))+SUMIFS(Holieday[Friday],Holieday[date],CONCATENATE("&gt;","=",D174),Holieday[date],CONCATENATE("&lt;","=",J_SUBDAY(J_ADDDAY(D174,N174,1),1,1))))=0,J_SUBDAY(J_ADDDAY(D174,N174,1),1,1),IF((N174-NETWORKDAYS.INTL(J_GregorianDate(D174,1),J_GregorianDate(J_SUBDAY(J_ADDDAY(D174,N174,1),1,1),1),16,1)-SUMIFS(Holieday[ok],Holieday[date],CONCATENATE("&gt;","=",D174),Holieday[date],CONCATENATE("&lt;","=",J_SUBDAY(J_ADDDAY(D174,N174,1),1,1)))+SUMIFS(Holieday[Friday],Holieday[date],CONCATENATE("&gt;","=",D174),Holieday[date],CONCATENATE("&lt;","=",J_SUBDAY(J_ADDDAY(D174,N174,1),1,1))))=1,J_SUBDAY(J_ADDDAY(D174,N174+1,1),1,1),IF((N174-NETWORKDAYS.INTL(J_GregorianDate(D174,1),J_GregorianDate(J_SUBDAY(J_ADDDAY(D174,N174,1),1,1),1),16,1)-SUMIFS(Holieday[ok],Holieday[date],CONCATENATE("&gt;","=",D174),Holieday[date],CONCATENATE("&lt;","=",J_SUBDAY(J_ADDDAY(D174,N174,1),1,1)))+SUMIFS(Holieday[Friday],Holieday[date],CONCATENATE("&gt;","=",D174),Holieday[date],CONCATENATE("&lt;","=",J_SUBDAY(J_ADDDAY(D174,N174,1),1,1))))=2,J_SUBDAY(J_ADDDAY(D174,N174+2,1),1,1),J_SUBDAY(J_ADDDAY(D174,N174+3,1),1,1)))))</f>
        <v>1398/09/13</v>
      </c>
      <c r="G174" s="2">
        <f t="shared" si="51"/>
        <v>13980913</v>
      </c>
      <c r="H174" s="109"/>
      <c r="I174" s="110">
        <v>7.1</v>
      </c>
      <c r="J174" s="9">
        <f>j_WEEKDAY(D174,2)</f>
        <v>5</v>
      </c>
      <c r="K174" s="21">
        <f t="shared" si="54"/>
        <v>0</v>
      </c>
      <c r="L174" s="8">
        <f t="shared" si="55"/>
        <v>0</v>
      </c>
      <c r="M174" s="111">
        <v>0</v>
      </c>
      <c r="N174" s="108">
        <v>0</v>
      </c>
      <c r="O174" s="10">
        <f t="shared" si="58"/>
        <v>0</v>
      </c>
      <c r="P174" s="10">
        <f>VALUE(J_normdate(J_ADDDAY($D174,$O174,1)))</f>
        <v>13980914</v>
      </c>
      <c r="Q174" s="9">
        <f t="shared" si="59"/>
        <v>0</v>
      </c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  <c r="BB174" s="7"/>
      <c r="BC174" s="7"/>
      <c r="BD174" s="7"/>
      <c r="BE174" s="7"/>
      <c r="BF174" s="7"/>
      <c r="BG174" s="7"/>
      <c r="BH174" s="7"/>
      <c r="BI174" s="7"/>
      <c r="BJ174" s="7"/>
      <c r="BK174" s="7"/>
      <c r="BL174" s="7"/>
      <c r="BM174" s="7"/>
      <c r="BN174" s="7"/>
      <c r="BO174" s="7"/>
      <c r="BP174" s="7"/>
      <c r="BQ174" s="7"/>
      <c r="BR174" s="7"/>
      <c r="BS174" s="7"/>
      <c r="BT174" s="7"/>
      <c r="BU174" s="7"/>
      <c r="BV174" s="7"/>
      <c r="BW174" s="7"/>
      <c r="BX174" s="7"/>
      <c r="BY174" s="7"/>
      <c r="BZ174" s="7"/>
      <c r="CA174" s="7"/>
      <c r="CB174" s="7"/>
      <c r="CC174" s="7"/>
      <c r="CD174" s="7"/>
      <c r="CE174" s="7"/>
      <c r="CF174" s="7"/>
      <c r="CG174" s="7"/>
      <c r="CH174" s="7"/>
      <c r="CI174" s="7"/>
      <c r="CJ174" s="7"/>
      <c r="CK174" s="7"/>
      <c r="CL174" s="7"/>
      <c r="CM174" s="7"/>
      <c r="CN174" s="7"/>
      <c r="CO174" s="7"/>
      <c r="CP174" s="7"/>
      <c r="CQ174" s="7"/>
      <c r="CR174" s="7"/>
      <c r="CS174" s="7"/>
      <c r="CT174" s="7"/>
      <c r="CU174" s="7"/>
      <c r="CV174" s="7"/>
      <c r="CW174" s="7"/>
      <c r="CX174" s="7"/>
      <c r="CY174" s="7"/>
      <c r="CZ174" s="7"/>
      <c r="DA174" s="7"/>
      <c r="DB174" s="7"/>
      <c r="DC174" s="7"/>
      <c r="DD174" s="7"/>
      <c r="DE174" s="7"/>
      <c r="DF174" s="7"/>
      <c r="DG174" s="7"/>
      <c r="DH174" s="7"/>
      <c r="DI174" s="7"/>
      <c r="DJ174" s="7"/>
      <c r="DK174" s="7"/>
      <c r="DL174" s="7"/>
      <c r="DM174" s="7"/>
      <c r="DN174" s="7"/>
      <c r="DO174" s="7"/>
      <c r="DP174" s="7"/>
      <c r="DQ174" s="7"/>
      <c r="DR174" s="7"/>
      <c r="DS174" s="7"/>
      <c r="DT174" s="7"/>
      <c r="DU174" s="7"/>
      <c r="DV174" s="7"/>
      <c r="DW174" s="7"/>
      <c r="DX174" s="7"/>
      <c r="DY174" s="7"/>
      <c r="DZ174" s="7"/>
      <c r="EA174" s="7"/>
      <c r="EB174" s="7"/>
      <c r="EC174" s="7"/>
      <c r="ED174" s="7"/>
      <c r="EE174" s="7"/>
      <c r="EF174" s="7"/>
      <c r="EG174" s="7"/>
      <c r="EH174" s="7"/>
      <c r="EI174" s="7"/>
      <c r="EJ174" s="7"/>
      <c r="EK174" s="7"/>
      <c r="EL174" s="7"/>
      <c r="EM174" s="7"/>
      <c r="EN174" s="7"/>
      <c r="EO174" s="7"/>
      <c r="EP174" s="7"/>
      <c r="EQ174" s="7"/>
      <c r="ER174" s="7"/>
      <c r="ES174" s="7"/>
      <c r="ET174" s="7"/>
      <c r="EU174" s="7"/>
      <c r="EV174" s="7"/>
      <c r="EW174" s="7"/>
      <c r="EX174" s="7"/>
      <c r="EY174" s="7"/>
      <c r="EZ174" s="7"/>
      <c r="FA174" s="7"/>
      <c r="FB174" s="7"/>
      <c r="FC174" s="7"/>
      <c r="FD174" s="7"/>
      <c r="FE174" s="7"/>
      <c r="FF174" s="7"/>
      <c r="FG174" s="7"/>
      <c r="FH174" s="7"/>
      <c r="FI174" s="7"/>
      <c r="FJ174" s="7"/>
      <c r="FK174" s="7"/>
      <c r="FL174" s="7"/>
      <c r="FM174" s="7"/>
      <c r="FN174" s="7"/>
      <c r="FO174" s="7"/>
      <c r="FP174" s="7"/>
      <c r="FQ174" s="7"/>
      <c r="FR174" s="7"/>
      <c r="FS174" s="7"/>
      <c r="FT174" s="7"/>
      <c r="FU174" s="7"/>
      <c r="FV174" s="7"/>
      <c r="FW174" s="7"/>
      <c r="FX174" s="7"/>
      <c r="FY174" s="7"/>
      <c r="FZ174" s="7"/>
      <c r="GA174" s="7"/>
      <c r="GB174" s="7"/>
      <c r="GC174" s="7"/>
      <c r="GD174" s="7"/>
      <c r="GE174" s="7"/>
      <c r="GF174" s="7"/>
      <c r="GG174" s="7"/>
      <c r="GH174" s="7"/>
      <c r="GI174" s="7"/>
      <c r="GJ174" s="7"/>
      <c r="GK174" s="7"/>
      <c r="GL174" s="7"/>
      <c r="GM174" s="7"/>
      <c r="GN174" s="7"/>
      <c r="GO174" s="7"/>
      <c r="GP174" s="7"/>
      <c r="GQ174" s="7"/>
      <c r="GR174" s="7"/>
      <c r="GS174" s="7"/>
      <c r="GT174" s="7"/>
      <c r="GU174" s="7"/>
      <c r="GV174" s="7"/>
      <c r="GW174" s="7"/>
      <c r="GX174" s="7"/>
      <c r="GY174" s="7"/>
      <c r="GZ174" s="7"/>
      <c r="HA174" s="7"/>
      <c r="HB174" s="7"/>
      <c r="HC174" s="7"/>
      <c r="HD174" s="7"/>
      <c r="HE174" s="7"/>
      <c r="HF174" s="7"/>
      <c r="HG174" s="7"/>
      <c r="HH174" s="7"/>
      <c r="HI174" s="7"/>
      <c r="HJ174" s="7"/>
      <c r="HK174" s="7"/>
      <c r="HL174" s="7"/>
      <c r="HM174" s="7"/>
      <c r="HN174" s="7"/>
      <c r="HO174" s="7"/>
      <c r="HP174" s="7"/>
      <c r="HQ174" s="7"/>
      <c r="HR174" s="7"/>
      <c r="HS174" s="7"/>
      <c r="HT174" s="7"/>
      <c r="HU174" s="7"/>
      <c r="HV174" s="7"/>
      <c r="HW174" s="7"/>
      <c r="HX174" s="7"/>
      <c r="HY174" s="7"/>
      <c r="HZ174" s="7"/>
      <c r="IA174" s="7"/>
      <c r="IB174" s="7"/>
      <c r="IC174" s="7"/>
      <c r="ID174" s="7"/>
      <c r="IE174" s="7"/>
      <c r="IF174" s="7"/>
      <c r="IG174" s="7"/>
      <c r="IH174" s="7"/>
      <c r="II174" s="7"/>
      <c r="IJ174" s="7"/>
      <c r="IK174" s="7"/>
      <c r="IL174" s="7"/>
      <c r="IM174" s="7"/>
      <c r="IN174" s="7"/>
      <c r="IO174" s="7"/>
      <c r="IP174" s="7"/>
      <c r="IQ174" s="7"/>
      <c r="IR174" s="7"/>
      <c r="IS174" s="7"/>
      <c r="IT174" s="7"/>
      <c r="IU174" s="7"/>
      <c r="IV174" s="7"/>
      <c r="IW174" s="7"/>
      <c r="IX174" s="7"/>
      <c r="JA174" s="113"/>
      <c r="JB174" s="113"/>
      <c r="JC174" s="113"/>
      <c r="JD174" s="66">
        <f>SUM((TEXT(JA174,"[M]")/60)*'Income Person-hours'!$D$3,(TEXT(JB174,"[M]")/60)*'Income Person-hours'!$D$4,(TEXT(JC174,"[M]")/60)*'Income Person-hours'!$D$5)</f>
        <v>0</v>
      </c>
    </row>
    <row r="175" spans="1:264" s="11" customFormat="1" ht="11.25" hidden="1">
      <c r="A175" s="30">
        <v>7.19</v>
      </c>
      <c r="B175" s="116"/>
      <c r="C175" s="107"/>
      <c r="D175" s="12" t="str">
        <f>IF(OR(j_WEEKDAY(J_ADDDAY(VLOOKUP(I175,A:F,6,FALSE),H175,1),0)=6,SUMIFS(Holieday[ok],Holieday[date],J_ADDDAY(VLOOKUP(I175,A:F,6,FALSE),H175,1)))=FALSE(),J_ADDDAY(VLOOKUP(I175,A:F,6,FALSE),H175,1),IF(OR(j_WEEKDAY(J_ADDDAY(VLOOKUP(I175,A:F,6,FALSE),H175+1,1),0)=6,SUMIFS(Holieday[ok],Holieday[date],J_ADDDAY(VLOOKUP(I175,A:F,6,FALSE),H175+1,1)))=FALSE(),J_ADDDAY(VLOOKUP(I175,A:F,6,FALSE),H175+1,1),IF(OR(j_WEEKDAY(J_ADDDAY(VLOOKUP(I175,A:F,6,FALSE),H175+2,1),0)=6,SUMIFS(Holieday[ok],Holieday[date],J_ADDDAY(VLOOKUP(I175,A:F,6,FALSE),H175+2,1)))=FALSE(),J_ADDDAY(VLOOKUP(I175,A:F,6,FALSE),H175+2,1),IF(OR(j_WEEKDAY(J_ADDDAY(VLOOKUP(I175,A:F,6,FALSE),H175+3,1),0)=6,SUMIFS(Holieday[ok],Holieday[date],J_ADDDAY(VLOOKUP(I175,A:F,6,FALSE),H175+3,1)))=FALSE(),J_ADDDAY(VLOOKUP(I175,A:F,6,FALSE),H175+3,1),IF(OR(j_WEEKDAY(J_ADDDAY(VLOOKUP(I175,A:F,6,FALSE),H175+4,1),0)=6,SUMIFS(Holieday[ok],Holieday[date],J_ADDDAY(VLOOKUP(I175,A:F,6,FALSE),H175+4,1)))=FALSE(),J_ADDDAY(VLOOKUP(I175,A:F,6,FALSE),H175+4,1),J_ADDDAY(VLOOKUP(I175,A:F,6,FALSE),H175+5,1))))))</f>
        <v>1398/09/14</v>
      </c>
      <c r="E175" s="1">
        <f t="shared" si="50"/>
        <v>13980914</v>
      </c>
      <c r="F175" s="12" t="str">
        <f>IF(N175=0,J_SUBDAY(D175,1,1),IF((N175-NETWORKDAYS.INTL(J_GregorianDate(D175,1),J_GregorianDate(J_SUBDAY(J_ADDDAY(D175,N175,1),1,1),1),16,1)-SUMIFS(Holieday[ok],Holieday[date],CONCATENATE("&gt;","=",D175),Holieday[date],CONCATENATE("&lt;","=",J_SUBDAY(J_ADDDAY(D175,N175,1),1,1)))+SUMIFS(Holieday[Friday],Holieday[date],CONCATENATE("&gt;","=",D175),Holieday[date],CONCATENATE("&lt;","=",J_SUBDAY(J_ADDDAY(D175,N175,1),1,1))))=0,J_SUBDAY(J_ADDDAY(D175,N175,1),1,1),IF((N175-NETWORKDAYS.INTL(J_GregorianDate(D175,1),J_GregorianDate(J_SUBDAY(J_ADDDAY(D175,N175,1),1,1),1),16,1)-SUMIFS(Holieday[ok],Holieday[date],CONCATENATE("&gt;","=",D175),Holieday[date],CONCATENATE("&lt;","=",J_SUBDAY(J_ADDDAY(D175,N175,1),1,1)))+SUMIFS(Holieday[Friday],Holieday[date],CONCATENATE("&gt;","=",D175),Holieday[date],CONCATENATE("&lt;","=",J_SUBDAY(J_ADDDAY(D175,N175,1),1,1))))=1,J_SUBDAY(J_ADDDAY(D175,N175+1,1),1,1),IF((N175-NETWORKDAYS.INTL(J_GregorianDate(D175,1),J_GregorianDate(J_SUBDAY(J_ADDDAY(D175,N175,1),1,1),1),16,1)-SUMIFS(Holieday[ok],Holieday[date],CONCATENATE("&gt;","=",D175),Holieday[date],CONCATENATE("&lt;","=",J_SUBDAY(J_ADDDAY(D175,N175,1),1,1)))+SUMIFS(Holieday[Friday],Holieday[date],CONCATENATE("&gt;","=",D175),Holieday[date],CONCATENATE("&lt;","=",J_SUBDAY(J_ADDDAY(D175,N175,1),1,1))))=2,J_SUBDAY(J_ADDDAY(D175,N175+2,1),1,1),J_SUBDAY(J_ADDDAY(D175,N175+3,1),1,1)))))</f>
        <v>1398/09/13</v>
      </c>
      <c r="G175" s="2">
        <f t="shared" si="51"/>
        <v>13980913</v>
      </c>
      <c r="H175" s="109"/>
      <c r="I175" s="110">
        <v>7.1</v>
      </c>
      <c r="J175" s="9">
        <f>j_WEEKDAY(D175,2)</f>
        <v>5</v>
      </c>
      <c r="K175" s="21">
        <f t="shared" si="54"/>
        <v>0</v>
      </c>
      <c r="L175" s="8">
        <f t="shared" si="55"/>
        <v>0</v>
      </c>
      <c r="M175" s="111">
        <v>0</v>
      </c>
      <c r="N175" s="108">
        <v>0</v>
      </c>
      <c r="O175" s="10">
        <f t="shared" si="58"/>
        <v>0</v>
      </c>
      <c r="P175" s="10">
        <f>VALUE(J_normdate(J_ADDDAY($D175,$O175,1)))</f>
        <v>13980914</v>
      </c>
      <c r="Q175" s="9">
        <f t="shared" si="59"/>
        <v>0</v>
      </c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  <c r="BB175" s="7"/>
      <c r="BC175" s="7"/>
      <c r="BD175" s="7"/>
      <c r="BE175" s="7"/>
      <c r="BF175" s="7"/>
      <c r="BG175" s="7"/>
      <c r="BH175" s="7"/>
      <c r="BI175" s="7"/>
      <c r="BJ175" s="7"/>
      <c r="BK175" s="7"/>
      <c r="BL175" s="7"/>
      <c r="BM175" s="7"/>
      <c r="BN175" s="7"/>
      <c r="BO175" s="7"/>
      <c r="BP175" s="7"/>
      <c r="BQ175" s="7"/>
      <c r="BR175" s="7"/>
      <c r="BS175" s="7"/>
      <c r="BT175" s="7"/>
      <c r="BU175" s="7"/>
      <c r="BV175" s="7"/>
      <c r="BW175" s="7"/>
      <c r="BX175" s="7"/>
      <c r="BY175" s="7"/>
      <c r="BZ175" s="7"/>
      <c r="CA175" s="7"/>
      <c r="CB175" s="7"/>
      <c r="CC175" s="7"/>
      <c r="CD175" s="7"/>
      <c r="CE175" s="7"/>
      <c r="CF175" s="7"/>
      <c r="CG175" s="7"/>
      <c r="CH175" s="7"/>
      <c r="CI175" s="7"/>
      <c r="CJ175" s="7"/>
      <c r="CK175" s="7"/>
      <c r="CL175" s="7"/>
      <c r="CM175" s="7"/>
      <c r="CN175" s="7"/>
      <c r="CO175" s="7"/>
      <c r="CP175" s="7"/>
      <c r="CQ175" s="7"/>
      <c r="CR175" s="7"/>
      <c r="CS175" s="7"/>
      <c r="CT175" s="7"/>
      <c r="CU175" s="7"/>
      <c r="CV175" s="7"/>
      <c r="CW175" s="7"/>
      <c r="CX175" s="7"/>
      <c r="CY175" s="7"/>
      <c r="CZ175" s="7"/>
      <c r="DA175" s="7"/>
      <c r="DB175" s="7"/>
      <c r="DC175" s="7"/>
      <c r="DD175" s="7"/>
      <c r="DE175" s="7"/>
      <c r="DF175" s="7"/>
      <c r="DG175" s="7"/>
      <c r="DH175" s="7"/>
      <c r="DI175" s="7"/>
      <c r="DJ175" s="7"/>
      <c r="DK175" s="7"/>
      <c r="DL175" s="7"/>
      <c r="DM175" s="7"/>
      <c r="DN175" s="7"/>
      <c r="DO175" s="7"/>
      <c r="DP175" s="7"/>
      <c r="DQ175" s="7"/>
      <c r="DR175" s="7"/>
      <c r="DS175" s="7"/>
      <c r="DT175" s="7"/>
      <c r="DU175" s="7"/>
      <c r="DV175" s="7"/>
      <c r="DW175" s="7"/>
      <c r="DX175" s="7"/>
      <c r="DY175" s="7"/>
      <c r="DZ175" s="7"/>
      <c r="EA175" s="7"/>
      <c r="EB175" s="7"/>
      <c r="EC175" s="7"/>
      <c r="ED175" s="7"/>
      <c r="EE175" s="7"/>
      <c r="EF175" s="7"/>
      <c r="EG175" s="7"/>
      <c r="EH175" s="7"/>
      <c r="EI175" s="7"/>
      <c r="EJ175" s="7"/>
      <c r="EK175" s="7"/>
      <c r="EL175" s="7"/>
      <c r="EM175" s="7"/>
      <c r="EN175" s="7"/>
      <c r="EO175" s="7"/>
      <c r="EP175" s="7"/>
      <c r="EQ175" s="7"/>
      <c r="ER175" s="7"/>
      <c r="ES175" s="7"/>
      <c r="ET175" s="7"/>
      <c r="EU175" s="7"/>
      <c r="EV175" s="7"/>
      <c r="EW175" s="7"/>
      <c r="EX175" s="7"/>
      <c r="EY175" s="7"/>
      <c r="EZ175" s="7"/>
      <c r="FA175" s="7"/>
      <c r="FB175" s="7"/>
      <c r="FC175" s="7"/>
      <c r="FD175" s="7"/>
      <c r="FE175" s="7"/>
      <c r="FF175" s="7"/>
      <c r="FG175" s="7"/>
      <c r="FH175" s="7"/>
      <c r="FI175" s="7"/>
      <c r="FJ175" s="7"/>
      <c r="FK175" s="7"/>
      <c r="FL175" s="7"/>
      <c r="FM175" s="7"/>
      <c r="FN175" s="7"/>
      <c r="FO175" s="7"/>
      <c r="FP175" s="7"/>
      <c r="FQ175" s="7"/>
      <c r="FR175" s="7"/>
      <c r="FS175" s="7"/>
      <c r="FT175" s="7"/>
      <c r="FU175" s="7"/>
      <c r="FV175" s="7"/>
      <c r="FW175" s="7"/>
      <c r="FX175" s="7"/>
      <c r="FY175" s="7"/>
      <c r="FZ175" s="7"/>
      <c r="GA175" s="7"/>
      <c r="GB175" s="7"/>
      <c r="GC175" s="7"/>
      <c r="GD175" s="7"/>
      <c r="GE175" s="7"/>
      <c r="GF175" s="7"/>
      <c r="GG175" s="7"/>
      <c r="GH175" s="7"/>
      <c r="GI175" s="7"/>
      <c r="GJ175" s="7"/>
      <c r="GK175" s="7"/>
      <c r="GL175" s="7"/>
      <c r="GM175" s="7"/>
      <c r="GN175" s="7"/>
      <c r="GO175" s="7"/>
      <c r="GP175" s="7"/>
      <c r="GQ175" s="7"/>
      <c r="GR175" s="7"/>
      <c r="GS175" s="7"/>
      <c r="GT175" s="7"/>
      <c r="GU175" s="7"/>
      <c r="GV175" s="7"/>
      <c r="GW175" s="7"/>
      <c r="GX175" s="7"/>
      <c r="GY175" s="7"/>
      <c r="GZ175" s="7"/>
      <c r="HA175" s="7"/>
      <c r="HB175" s="7"/>
      <c r="HC175" s="7"/>
      <c r="HD175" s="7"/>
      <c r="HE175" s="7"/>
      <c r="HF175" s="7"/>
      <c r="HG175" s="7"/>
      <c r="HH175" s="7"/>
      <c r="HI175" s="7"/>
      <c r="HJ175" s="7"/>
      <c r="HK175" s="7"/>
      <c r="HL175" s="7"/>
      <c r="HM175" s="7"/>
      <c r="HN175" s="7"/>
      <c r="HO175" s="7"/>
      <c r="HP175" s="7"/>
      <c r="HQ175" s="7"/>
      <c r="HR175" s="7"/>
      <c r="HS175" s="7"/>
      <c r="HT175" s="7"/>
      <c r="HU175" s="7"/>
      <c r="HV175" s="7"/>
      <c r="HW175" s="7"/>
      <c r="HX175" s="7"/>
      <c r="HY175" s="7"/>
      <c r="HZ175" s="7"/>
      <c r="IA175" s="7"/>
      <c r="IB175" s="7"/>
      <c r="IC175" s="7"/>
      <c r="ID175" s="7"/>
      <c r="IE175" s="7"/>
      <c r="IF175" s="7"/>
      <c r="IG175" s="7"/>
      <c r="IH175" s="7"/>
      <c r="II175" s="7"/>
      <c r="IJ175" s="7"/>
      <c r="IK175" s="7"/>
      <c r="IL175" s="7"/>
      <c r="IM175" s="7"/>
      <c r="IN175" s="7"/>
      <c r="IO175" s="7"/>
      <c r="IP175" s="7"/>
      <c r="IQ175" s="7"/>
      <c r="IR175" s="7"/>
      <c r="IS175" s="7"/>
      <c r="IT175" s="7"/>
      <c r="IU175" s="7"/>
      <c r="IV175" s="7"/>
      <c r="IW175" s="7"/>
      <c r="IX175" s="7"/>
      <c r="JA175" s="113"/>
      <c r="JB175" s="113"/>
      <c r="JC175" s="113"/>
      <c r="JD175" s="66">
        <f>SUM((TEXT(JA175,"[M]")/60)*'Income Person-hours'!$D$3,(TEXT(JB175,"[M]")/60)*'Income Person-hours'!$D$4,(TEXT(JC175,"[M]")/60)*'Income Person-hours'!$D$5)</f>
        <v>0</v>
      </c>
    </row>
    <row r="176" spans="1:264" s="11" customFormat="1" ht="11.25" hidden="1">
      <c r="A176" s="30">
        <v>7.21</v>
      </c>
      <c r="B176" s="116"/>
      <c r="C176" s="107"/>
      <c r="D176" s="12" t="str">
        <f>IF(OR(j_WEEKDAY(J_ADDDAY(VLOOKUP(I176,A:F,6,FALSE),H176,1),0)=6,SUMIFS(Holieday[ok],Holieday[date],J_ADDDAY(VLOOKUP(I176,A:F,6,FALSE),H176,1)))=FALSE(),J_ADDDAY(VLOOKUP(I176,A:F,6,FALSE),H176,1),IF(OR(j_WEEKDAY(J_ADDDAY(VLOOKUP(I176,A:F,6,FALSE),H176+1,1),0)=6,SUMIFS(Holieday[ok],Holieday[date],J_ADDDAY(VLOOKUP(I176,A:F,6,FALSE),H176+1,1)))=FALSE(),J_ADDDAY(VLOOKUP(I176,A:F,6,FALSE),H176+1,1),IF(OR(j_WEEKDAY(J_ADDDAY(VLOOKUP(I176,A:F,6,FALSE),H176+2,1),0)=6,SUMIFS(Holieday[ok],Holieday[date],J_ADDDAY(VLOOKUP(I176,A:F,6,FALSE),H176+2,1)))=FALSE(),J_ADDDAY(VLOOKUP(I176,A:F,6,FALSE),H176+2,1),IF(OR(j_WEEKDAY(J_ADDDAY(VLOOKUP(I176,A:F,6,FALSE),H176+3,1),0)=6,SUMIFS(Holieday[ok],Holieday[date],J_ADDDAY(VLOOKUP(I176,A:F,6,FALSE),H176+3,1)))=FALSE(),J_ADDDAY(VLOOKUP(I176,A:F,6,FALSE),H176+3,1),IF(OR(j_WEEKDAY(J_ADDDAY(VLOOKUP(I176,A:F,6,FALSE),H176+4,1),0)=6,SUMIFS(Holieday[ok],Holieday[date],J_ADDDAY(VLOOKUP(I176,A:F,6,FALSE),H176+4,1)))=FALSE(),J_ADDDAY(VLOOKUP(I176,A:F,6,FALSE),H176+4,1),J_ADDDAY(VLOOKUP(I176,A:F,6,FALSE),H176+5,1))))))</f>
        <v>1398/09/14</v>
      </c>
      <c r="E176" s="1">
        <f t="shared" si="50"/>
        <v>13980914</v>
      </c>
      <c r="F176" s="12" t="str">
        <f>IF(N176=0,J_SUBDAY(D176,1,1),IF((N176-NETWORKDAYS.INTL(J_GregorianDate(D176,1),J_GregorianDate(J_SUBDAY(J_ADDDAY(D176,N176,1),1,1),1),16,1)-SUMIFS(Holieday[ok],Holieday[date],CONCATENATE("&gt;","=",D176),Holieday[date],CONCATENATE("&lt;","=",J_SUBDAY(J_ADDDAY(D176,N176,1),1,1)))+SUMIFS(Holieday[Friday],Holieday[date],CONCATENATE("&gt;","=",D176),Holieday[date],CONCATENATE("&lt;","=",J_SUBDAY(J_ADDDAY(D176,N176,1),1,1))))=0,J_SUBDAY(J_ADDDAY(D176,N176,1),1,1),IF((N176-NETWORKDAYS.INTL(J_GregorianDate(D176,1),J_GregorianDate(J_SUBDAY(J_ADDDAY(D176,N176,1),1,1),1),16,1)-SUMIFS(Holieday[ok],Holieday[date],CONCATENATE("&gt;","=",D176),Holieday[date],CONCATENATE("&lt;","=",J_SUBDAY(J_ADDDAY(D176,N176,1),1,1)))+SUMIFS(Holieday[Friday],Holieday[date],CONCATENATE("&gt;","=",D176),Holieday[date],CONCATENATE("&lt;","=",J_SUBDAY(J_ADDDAY(D176,N176,1),1,1))))=1,J_SUBDAY(J_ADDDAY(D176,N176+1,1),1,1),IF((N176-NETWORKDAYS.INTL(J_GregorianDate(D176,1),J_GregorianDate(J_SUBDAY(J_ADDDAY(D176,N176,1),1,1),1),16,1)-SUMIFS(Holieday[ok],Holieday[date],CONCATENATE("&gt;","=",D176),Holieday[date],CONCATENATE("&lt;","=",J_SUBDAY(J_ADDDAY(D176,N176,1),1,1)))+SUMIFS(Holieday[Friday],Holieday[date],CONCATENATE("&gt;","=",D176),Holieday[date],CONCATENATE("&lt;","=",J_SUBDAY(J_ADDDAY(D176,N176,1),1,1))))=2,J_SUBDAY(J_ADDDAY(D176,N176+2,1),1,1),J_SUBDAY(J_ADDDAY(D176,N176+3,1),1,1)))))</f>
        <v>1398/09/13</v>
      </c>
      <c r="G176" s="2">
        <f t="shared" si="51"/>
        <v>13980913</v>
      </c>
      <c r="H176" s="109"/>
      <c r="I176" s="110">
        <v>7.1</v>
      </c>
      <c r="J176" s="9">
        <f>j_WEEKDAY(D176,2)</f>
        <v>5</v>
      </c>
      <c r="K176" s="21">
        <f t="shared" si="54"/>
        <v>0</v>
      </c>
      <c r="L176" s="8">
        <f t="shared" si="55"/>
        <v>0</v>
      </c>
      <c r="M176" s="111">
        <v>0</v>
      </c>
      <c r="N176" s="108">
        <v>0</v>
      </c>
      <c r="O176" s="10">
        <f t="shared" si="58"/>
        <v>0</v>
      </c>
      <c r="P176" s="10">
        <f>VALUE(J_normdate(J_ADDDAY($D176,$O176,1)))</f>
        <v>13980914</v>
      </c>
      <c r="Q176" s="9">
        <f t="shared" si="59"/>
        <v>0</v>
      </c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  <c r="BB176" s="7"/>
      <c r="BC176" s="7"/>
      <c r="BD176" s="7"/>
      <c r="BE176" s="7"/>
      <c r="BF176" s="7"/>
      <c r="BG176" s="7"/>
      <c r="BH176" s="7"/>
      <c r="BI176" s="7"/>
      <c r="BJ176" s="7"/>
      <c r="BK176" s="7"/>
      <c r="BL176" s="7"/>
      <c r="BM176" s="7"/>
      <c r="BN176" s="7"/>
      <c r="BO176" s="7"/>
      <c r="BP176" s="7"/>
      <c r="BQ176" s="7"/>
      <c r="BR176" s="7"/>
      <c r="BS176" s="7"/>
      <c r="BT176" s="7"/>
      <c r="BU176" s="7"/>
      <c r="BV176" s="7"/>
      <c r="BW176" s="7"/>
      <c r="BX176" s="7"/>
      <c r="BY176" s="7"/>
      <c r="BZ176" s="7"/>
      <c r="CA176" s="7"/>
      <c r="CB176" s="7"/>
      <c r="CC176" s="7"/>
      <c r="CD176" s="7"/>
      <c r="CE176" s="7"/>
      <c r="CF176" s="7"/>
      <c r="CG176" s="7"/>
      <c r="CH176" s="7"/>
      <c r="CI176" s="7"/>
      <c r="CJ176" s="7"/>
      <c r="CK176" s="7"/>
      <c r="CL176" s="7"/>
      <c r="CM176" s="7"/>
      <c r="CN176" s="7"/>
      <c r="CO176" s="7"/>
      <c r="CP176" s="7"/>
      <c r="CQ176" s="7"/>
      <c r="CR176" s="7"/>
      <c r="CS176" s="7"/>
      <c r="CT176" s="7"/>
      <c r="CU176" s="7"/>
      <c r="CV176" s="7"/>
      <c r="CW176" s="7"/>
      <c r="CX176" s="7"/>
      <c r="CY176" s="7"/>
      <c r="CZ176" s="7"/>
      <c r="DA176" s="7"/>
      <c r="DB176" s="7"/>
      <c r="DC176" s="7"/>
      <c r="DD176" s="7"/>
      <c r="DE176" s="7"/>
      <c r="DF176" s="7"/>
      <c r="DG176" s="7"/>
      <c r="DH176" s="7"/>
      <c r="DI176" s="7"/>
      <c r="DJ176" s="7"/>
      <c r="DK176" s="7"/>
      <c r="DL176" s="7"/>
      <c r="DM176" s="7"/>
      <c r="DN176" s="7"/>
      <c r="DO176" s="7"/>
      <c r="DP176" s="7"/>
      <c r="DQ176" s="7"/>
      <c r="DR176" s="7"/>
      <c r="DS176" s="7"/>
      <c r="DT176" s="7"/>
      <c r="DU176" s="7"/>
      <c r="DV176" s="7"/>
      <c r="DW176" s="7"/>
      <c r="DX176" s="7"/>
      <c r="DY176" s="7"/>
      <c r="DZ176" s="7"/>
      <c r="EA176" s="7"/>
      <c r="EB176" s="7"/>
      <c r="EC176" s="7"/>
      <c r="ED176" s="7"/>
      <c r="EE176" s="7"/>
      <c r="EF176" s="7"/>
      <c r="EG176" s="7"/>
      <c r="EH176" s="7"/>
      <c r="EI176" s="7"/>
      <c r="EJ176" s="7"/>
      <c r="EK176" s="7"/>
      <c r="EL176" s="7"/>
      <c r="EM176" s="7"/>
      <c r="EN176" s="7"/>
      <c r="EO176" s="7"/>
      <c r="EP176" s="7"/>
      <c r="EQ176" s="7"/>
      <c r="ER176" s="7"/>
      <c r="ES176" s="7"/>
      <c r="ET176" s="7"/>
      <c r="EU176" s="7"/>
      <c r="EV176" s="7"/>
      <c r="EW176" s="7"/>
      <c r="EX176" s="7"/>
      <c r="EY176" s="7"/>
      <c r="EZ176" s="7"/>
      <c r="FA176" s="7"/>
      <c r="FB176" s="7"/>
      <c r="FC176" s="7"/>
      <c r="FD176" s="7"/>
      <c r="FE176" s="7"/>
      <c r="FF176" s="7"/>
      <c r="FG176" s="7"/>
      <c r="FH176" s="7"/>
      <c r="FI176" s="7"/>
      <c r="FJ176" s="7"/>
      <c r="FK176" s="7"/>
      <c r="FL176" s="7"/>
      <c r="FM176" s="7"/>
      <c r="FN176" s="7"/>
      <c r="FO176" s="7"/>
      <c r="FP176" s="7"/>
      <c r="FQ176" s="7"/>
      <c r="FR176" s="7"/>
      <c r="FS176" s="7"/>
      <c r="FT176" s="7"/>
      <c r="FU176" s="7"/>
      <c r="FV176" s="7"/>
      <c r="FW176" s="7"/>
      <c r="FX176" s="7"/>
      <c r="FY176" s="7"/>
      <c r="FZ176" s="7"/>
      <c r="GA176" s="7"/>
      <c r="GB176" s="7"/>
      <c r="GC176" s="7"/>
      <c r="GD176" s="7"/>
      <c r="GE176" s="7"/>
      <c r="GF176" s="7"/>
      <c r="GG176" s="7"/>
      <c r="GH176" s="7"/>
      <c r="GI176" s="7"/>
      <c r="GJ176" s="7"/>
      <c r="GK176" s="7"/>
      <c r="GL176" s="7"/>
      <c r="GM176" s="7"/>
      <c r="GN176" s="7"/>
      <c r="GO176" s="7"/>
      <c r="GP176" s="7"/>
      <c r="GQ176" s="7"/>
      <c r="GR176" s="7"/>
      <c r="GS176" s="7"/>
      <c r="GT176" s="7"/>
      <c r="GU176" s="7"/>
      <c r="GV176" s="7"/>
      <c r="GW176" s="7"/>
      <c r="GX176" s="7"/>
      <c r="GY176" s="7"/>
      <c r="GZ176" s="7"/>
      <c r="HA176" s="7"/>
      <c r="HB176" s="7"/>
      <c r="HC176" s="7"/>
      <c r="HD176" s="7"/>
      <c r="HE176" s="7"/>
      <c r="HF176" s="7"/>
      <c r="HG176" s="7"/>
      <c r="HH176" s="7"/>
      <c r="HI176" s="7"/>
      <c r="HJ176" s="7"/>
      <c r="HK176" s="7"/>
      <c r="HL176" s="7"/>
      <c r="HM176" s="7"/>
      <c r="HN176" s="7"/>
      <c r="HO176" s="7"/>
      <c r="HP176" s="7"/>
      <c r="HQ176" s="7"/>
      <c r="HR176" s="7"/>
      <c r="HS176" s="7"/>
      <c r="HT176" s="7"/>
      <c r="HU176" s="7"/>
      <c r="HV176" s="7"/>
      <c r="HW176" s="7"/>
      <c r="HX176" s="7"/>
      <c r="HY176" s="7"/>
      <c r="HZ176" s="7"/>
      <c r="IA176" s="7"/>
      <c r="IB176" s="7"/>
      <c r="IC176" s="7"/>
      <c r="ID176" s="7"/>
      <c r="IE176" s="7"/>
      <c r="IF176" s="7"/>
      <c r="IG176" s="7"/>
      <c r="IH176" s="7"/>
      <c r="II176" s="7"/>
      <c r="IJ176" s="7"/>
      <c r="IK176" s="7"/>
      <c r="IL176" s="7"/>
      <c r="IM176" s="7"/>
      <c r="IN176" s="7"/>
      <c r="IO176" s="7"/>
      <c r="IP176" s="7"/>
      <c r="IQ176" s="7"/>
      <c r="IR176" s="7"/>
      <c r="IS176" s="7"/>
      <c r="IT176" s="7"/>
      <c r="IU176" s="7"/>
      <c r="IV176" s="7"/>
      <c r="IW176" s="7"/>
      <c r="IX176" s="7"/>
      <c r="JA176" s="113"/>
      <c r="JB176" s="113"/>
      <c r="JC176" s="113"/>
      <c r="JD176" s="66">
        <f>SUM((TEXT(JA176,"[M]")/60)*'Income Person-hours'!$D$3,(TEXT(JB176,"[M]")/60)*'Income Person-hours'!$D$4,(TEXT(JC176,"[M]")/60)*'Income Person-hours'!$D$5)</f>
        <v>0</v>
      </c>
    </row>
    <row r="177" spans="1:264 16383:16384" s="11" customFormat="1" ht="11.25" hidden="1">
      <c r="A177" s="30">
        <v>7.22</v>
      </c>
      <c r="B177" s="116"/>
      <c r="C177" s="107"/>
      <c r="D177" s="12" t="str">
        <f>IF(OR(j_WEEKDAY(J_ADDDAY(VLOOKUP(I177,A:F,6,FALSE),H177,1),0)=6,SUMIFS(Holieday[ok],Holieday[date],J_ADDDAY(VLOOKUP(I177,A:F,6,FALSE),H177,1)))=FALSE(),J_ADDDAY(VLOOKUP(I177,A:F,6,FALSE),H177,1),IF(OR(j_WEEKDAY(J_ADDDAY(VLOOKUP(I177,A:F,6,FALSE),H177+1,1),0)=6,SUMIFS(Holieday[ok],Holieday[date],J_ADDDAY(VLOOKUP(I177,A:F,6,FALSE),H177+1,1)))=FALSE(),J_ADDDAY(VLOOKUP(I177,A:F,6,FALSE),H177+1,1),IF(OR(j_WEEKDAY(J_ADDDAY(VLOOKUP(I177,A:F,6,FALSE),H177+2,1),0)=6,SUMIFS(Holieday[ok],Holieday[date],J_ADDDAY(VLOOKUP(I177,A:F,6,FALSE),H177+2,1)))=FALSE(),J_ADDDAY(VLOOKUP(I177,A:F,6,FALSE),H177+2,1),IF(OR(j_WEEKDAY(J_ADDDAY(VLOOKUP(I177,A:F,6,FALSE),H177+3,1),0)=6,SUMIFS(Holieday[ok],Holieday[date],J_ADDDAY(VLOOKUP(I177,A:F,6,FALSE),H177+3,1)))=FALSE(),J_ADDDAY(VLOOKUP(I177,A:F,6,FALSE),H177+3,1),IF(OR(j_WEEKDAY(J_ADDDAY(VLOOKUP(I177,A:F,6,FALSE),H177+4,1),0)=6,SUMIFS(Holieday[ok],Holieday[date],J_ADDDAY(VLOOKUP(I177,A:F,6,FALSE),H177+4,1)))=FALSE(),J_ADDDAY(VLOOKUP(I177,A:F,6,FALSE),H177+4,1),J_ADDDAY(VLOOKUP(I177,A:F,6,FALSE),H177+5,1))))))</f>
        <v>1398/09/14</v>
      </c>
      <c r="E177" s="1">
        <f t="shared" si="50"/>
        <v>13980914</v>
      </c>
      <c r="F177" s="12" t="str">
        <f>IF(N177=0,J_SUBDAY(D177,1,1),IF((N177-NETWORKDAYS.INTL(J_GregorianDate(D177,1),J_GregorianDate(J_SUBDAY(J_ADDDAY(D177,N177,1),1,1),1),16,1)-SUMIFS(Holieday[ok],Holieday[date],CONCATENATE("&gt;","=",D177),Holieday[date],CONCATENATE("&lt;","=",J_SUBDAY(J_ADDDAY(D177,N177,1),1,1)))+SUMIFS(Holieday[Friday],Holieday[date],CONCATENATE("&gt;","=",D177),Holieday[date],CONCATENATE("&lt;","=",J_SUBDAY(J_ADDDAY(D177,N177,1),1,1))))=0,J_SUBDAY(J_ADDDAY(D177,N177,1),1,1),IF((N177-NETWORKDAYS.INTL(J_GregorianDate(D177,1),J_GregorianDate(J_SUBDAY(J_ADDDAY(D177,N177,1),1,1),1),16,1)-SUMIFS(Holieday[ok],Holieday[date],CONCATENATE("&gt;","=",D177),Holieday[date],CONCATENATE("&lt;","=",J_SUBDAY(J_ADDDAY(D177,N177,1),1,1)))+SUMIFS(Holieday[Friday],Holieday[date],CONCATENATE("&gt;","=",D177),Holieday[date],CONCATENATE("&lt;","=",J_SUBDAY(J_ADDDAY(D177,N177,1),1,1))))=1,J_SUBDAY(J_ADDDAY(D177,N177+1,1),1,1),IF((N177-NETWORKDAYS.INTL(J_GregorianDate(D177,1),J_GregorianDate(J_SUBDAY(J_ADDDAY(D177,N177,1),1,1),1),16,1)-SUMIFS(Holieday[ok],Holieday[date],CONCATENATE("&gt;","=",D177),Holieday[date],CONCATENATE("&lt;","=",J_SUBDAY(J_ADDDAY(D177,N177,1),1,1)))+SUMIFS(Holieday[Friday],Holieday[date],CONCATENATE("&gt;","=",D177),Holieday[date],CONCATENATE("&lt;","=",J_SUBDAY(J_ADDDAY(D177,N177,1),1,1))))=2,J_SUBDAY(J_ADDDAY(D177,N177+2,1),1,1),J_SUBDAY(J_ADDDAY(D177,N177+3,1),1,1)))))</f>
        <v>1398/09/13</v>
      </c>
      <c r="G177" s="2">
        <f t="shared" si="51"/>
        <v>13980913</v>
      </c>
      <c r="H177" s="109"/>
      <c r="I177" s="110">
        <v>7.1</v>
      </c>
      <c r="J177" s="9">
        <f>j_WEEKDAY(D177,2)</f>
        <v>5</v>
      </c>
      <c r="K177" s="21">
        <f t="shared" si="54"/>
        <v>0</v>
      </c>
      <c r="L177" s="8">
        <f t="shared" si="55"/>
        <v>0</v>
      </c>
      <c r="M177" s="111">
        <v>0</v>
      </c>
      <c r="N177" s="108">
        <v>0</v>
      </c>
      <c r="O177" s="10">
        <f t="shared" si="58"/>
        <v>0</v>
      </c>
      <c r="P177" s="10">
        <f>VALUE(J_normdate(J_ADDDAY($D177,$O177,1)))</f>
        <v>13980914</v>
      </c>
      <c r="Q177" s="9">
        <f t="shared" si="59"/>
        <v>0</v>
      </c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  <c r="BB177" s="7"/>
      <c r="BC177" s="7"/>
      <c r="BD177" s="7"/>
      <c r="BE177" s="7"/>
      <c r="BF177" s="7"/>
      <c r="BG177" s="7"/>
      <c r="BH177" s="7"/>
      <c r="BI177" s="7"/>
      <c r="BJ177" s="7"/>
      <c r="BK177" s="7"/>
      <c r="BL177" s="7"/>
      <c r="BM177" s="7"/>
      <c r="BN177" s="7"/>
      <c r="BO177" s="7"/>
      <c r="BP177" s="7"/>
      <c r="BQ177" s="7"/>
      <c r="BR177" s="7"/>
      <c r="BS177" s="7"/>
      <c r="BT177" s="7"/>
      <c r="BU177" s="7"/>
      <c r="BV177" s="7"/>
      <c r="BW177" s="7"/>
      <c r="BX177" s="7"/>
      <c r="BY177" s="7"/>
      <c r="BZ177" s="7"/>
      <c r="CA177" s="7"/>
      <c r="CB177" s="7"/>
      <c r="CC177" s="7"/>
      <c r="CD177" s="7"/>
      <c r="CE177" s="7"/>
      <c r="CF177" s="7"/>
      <c r="CG177" s="7"/>
      <c r="CH177" s="7"/>
      <c r="CI177" s="7"/>
      <c r="CJ177" s="7"/>
      <c r="CK177" s="7"/>
      <c r="CL177" s="7"/>
      <c r="CM177" s="7"/>
      <c r="CN177" s="7"/>
      <c r="CO177" s="7"/>
      <c r="CP177" s="7"/>
      <c r="CQ177" s="7"/>
      <c r="CR177" s="7"/>
      <c r="CS177" s="7"/>
      <c r="CT177" s="7"/>
      <c r="CU177" s="7"/>
      <c r="CV177" s="7"/>
      <c r="CW177" s="7"/>
      <c r="CX177" s="7"/>
      <c r="CY177" s="7"/>
      <c r="CZ177" s="7"/>
      <c r="DA177" s="7"/>
      <c r="DB177" s="7"/>
      <c r="DC177" s="7"/>
      <c r="DD177" s="7"/>
      <c r="DE177" s="7"/>
      <c r="DF177" s="7"/>
      <c r="DG177" s="7"/>
      <c r="DH177" s="7"/>
      <c r="DI177" s="7"/>
      <c r="DJ177" s="7"/>
      <c r="DK177" s="7"/>
      <c r="DL177" s="7"/>
      <c r="DM177" s="7"/>
      <c r="DN177" s="7"/>
      <c r="DO177" s="7"/>
      <c r="DP177" s="7"/>
      <c r="DQ177" s="7"/>
      <c r="DR177" s="7"/>
      <c r="DS177" s="7"/>
      <c r="DT177" s="7"/>
      <c r="DU177" s="7"/>
      <c r="DV177" s="7"/>
      <c r="DW177" s="7"/>
      <c r="DX177" s="7"/>
      <c r="DY177" s="7"/>
      <c r="DZ177" s="7"/>
      <c r="EA177" s="7"/>
      <c r="EB177" s="7"/>
      <c r="EC177" s="7"/>
      <c r="ED177" s="7"/>
      <c r="EE177" s="7"/>
      <c r="EF177" s="7"/>
      <c r="EG177" s="7"/>
      <c r="EH177" s="7"/>
      <c r="EI177" s="7"/>
      <c r="EJ177" s="7"/>
      <c r="EK177" s="7"/>
      <c r="EL177" s="7"/>
      <c r="EM177" s="7"/>
      <c r="EN177" s="7"/>
      <c r="EO177" s="7"/>
      <c r="EP177" s="7"/>
      <c r="EQ177" s="7"/>
      <c r="ER177" s="7"/>
      <c r="ES177" s="7"/>
      <c r="ET177" s="7"/>
      <c r="EU177" s="7"/>
      <c r="EV177" s="7"/>
      <c r="EW177" s="7"/>
      <c r="EX177" s="7"/>
      <c r="EY177" s="7"/>
      <c r="EZ177" s="7"/>
      <c r="FA177" s="7"/>
      <c r="FB177" s="7"/>
      <c r="FC177" s="7"/>
      <c r="FD177" s="7"/>
      <c r="FE177" s="7"/>
      <c r="FF177" s="7"/>
      <c r="FG177" s="7"/>
      <c r="FH177" s="7"/>
      <c r="FI177" s="7"/>
      <c r="FJ177" s="7"/>
      <c r="FK177" s="7"/>
      <c r="FL177" s="7"/>
      <c r="FM177" s="7"/>
      <c r="FN177" s="7"/>
      <c r="FO177" s="7"/>
      <c r="FP177" s="7"/>
      <c r="FQ177" s="7"/>
      <c r="FR177" s="7"/>
      <c r="FS177" s="7"/>
      <c r="FT177" s="7"/>
      <c r="FU177" s="7"/>
      <c r="FV177" s="7"/>
      <c r="FW177" s="7"/>
      <c r="FX177" s="7"/>
      <c r="FY177" s="7"/>
      <c r="FZ177" s="7"/>
      <c r="GA177" s="7"/>
      <c r="GB177" s="7"/>
      <c r="GC177" s="7"/>
      <c r="GD177" s="7"/>
      <c r="GE177" s="7"/>
      <c r="GF177" s="7"/>
      <c r="GG177" s="7"/>
      <c r="GH177" s="7"/>
      <c r="GI177" s="7"/>
      <c r="GJ177" s="7"/>
      <c r="GK177" s="7"/>
      <c r="GL177" s="7"/>
      <c r="GM177" s="7"/>
      <c r="GN177" s="7"/>
      <c r="GO177" s="7"/>
      <c r="GP177" s="7"/>
      <c r="GQ177" s="7"/>
      <c r="GR177" s="7"/>
      <c r="GS177" s="7"/>
      <c r="GT177" s="7"/>
      <c r="GU177" s="7"/>
      <c r="GV177" s="7"/>
      <c r="GW177" s="7"/>
      <c r="GX177" s="7"/>
      <c r="GY177" s="7"/>
      <c r="GZ177" s="7"/>
      <c r="HA177" s="7"/>
      <c r="HB177" s="7"/>
      <c r="HC177" s="7"/>
      <c r="HD177" s="7"/>
      <c r="HE177" s="7"/>
      <c r="HF177" s="7"/>
      <c r="HG177" s="7"/>
      <c r="HH177" s="7"/>
      <c r="HI177" s="7"/>
      <c r="HJ177" s="7"/>
      <c r="HK177" s="7"/>
      <c r="HL177" s="7"/>
      <c r="HM177" s="7"/>
      <c r="HN177" s="7"/>
      <c r="HO177" s="7"/>
      <c r="HP177" s="7"/>
      <c r="HQ177" s="7"/>
      <c r="HR177" s="7"/>
      <c r="HS177" s="7"/>
      <c r="HT177" s="7"/>
      <c r="HU177" s="7"/>
      <c r="HV177" s="7"/>
      <c r="HW177" s="7"/>
      <c r="HX177" s="7"/>
      <c r="HY177" s="7"/>
      <c r="HZ177" s="7"/>
      <c r="IA177" s="7"/>
      <c r="IB177" s="7"/>
      <c r="IC177" s="7"/>
      <c r="ID177" s="7"/>
      <c r="IE177" s="7"/>
      <c r="IF177" s="7"/>
      <c r="IG177" s="7"/>
      <c r="IH177" s="7"/>
      <c r="II177" s="7"/>
      <c r="IJ177" s="7"/>
      <c r="IK177" s="7"/>
      <c r="IL177" s="7"/>
      <c r="IM177" s="7"/>
      <c r="IN177" s="7"/>
      <c r="IO177" s="7"/>
      <c r="IP177" s="7"/>
      <c r="IQ177" s="7"/>
      <c r="IR177" s="7"/>
      <c r="IS177" s="7"/>
      <c r="IT177" s="7"/>
      <c r="IU177" s="7"/>
      <c r="IV177" s="7"/>
      <c r="IW177" s="7"/>
      <c r="IX177" s="7"/>
      <c r="JA177" s="113"/>
      <c r="JB177" s="113"/>
      <c r="JC177" s="113"/>
      <c r="JD177" s="66">
        <f>SUM((TEXT(JA177,"[M]")/60)*'Income Person-hours'!$D$3,(TEXT(JB177,"[M]")/60)*'Income Person-hours'!$D$4,(TEXT(JC177,"[M]")/60)*'Income Person-hours'!$D$5)</f>
        <v>0</v>
      </c>
    </row>
    <row r="178" spans="1:264 16383:16384" s="11" customFormat="1" ht="11.25" hidden="1">
      <c r="A178" s="30">
        <v>7.23</v>
      </c>
      <c r="B178" s="116"/>
      <c r="C178" s="107"/>
      <c r="D178" s="12" t="str">
        <f>IF(OR(j_WEEKDAY(J_ADDDAY(VLOOKUP(I178,A:F,6,FALSE),H178,1),0)=6,SUMIFS(Holieday[ok],Holieday[date],J_ADDDAY(VLOOKUP(I178,A:F,6,FALSE),H178,1)))=FALSE(),J_ADDDAY(VLOOKUP(I178,A:F,6,FALSE),H178,1),IF(OR(j_WEEKDAY(J_ADDDAY(VLOOKUP(I178,A:F,6,FALSE),H178+1,1),0)=6,SUMIFS(Holieday[ok],Holieday[date],J_ADDDAY(VLOOKUP(I178,A:F,6,FALSE),H178+1,1)))=FALSE(),J_ADDDAY(VLOOKUP(I178,A:F,6,FALSE),H178+1,1),IF(OR(j_WEEKDAY(J_ADDDAY(VLOOKUP(I178,A:F,6,FALSE),H178+2,1),0)=6,SUMIFS(Holieday[ok],Holieday[date],J_ADDDAY(VLOOKUP(I178,A:F,6,FALSE),H178+2,1)))=FALSE(),J_ADDDAY(VLOOKUP(I178,A:F,6,FALSE),H178+2,1),IF(OR(j_WEEKDAY(J_ADDDAY(VLOOKUP(I178,A:F,6,FALSE),H178+3,1),0)=6,SUMIFS(Holieday[ok],Holieday[date],J_ADDDAY(VLOOKUP(I178,A:F,6,FALSE),H178+3,1)))=FALSE(),J_ADDDAY(VLOOKUP(I178,A:F,6,FALSE),H178+3,1),IF(OR(j_WEEKDAY(J_ADDDAY(VLOOKUP(I178,A:F,6,FALSE),H178+4,1),0)=6,SUMIFS(Holieday[ok],Holieday[date],J_ADDDAY(VLOOKUP(I178,A:F,6,FALSE),H178+4,1)))=FALSE(),J_ADDDAY(VLOOKUP(I178,A:F,6,FALSE),H178+4,1),J_ADDDAY(VLOOKUP(I178,A:F,6,FALSE),H178+5,1))))))</f>
        <v>1398/09/14</v>
      </c>
      <c r="E178" s="1">
        <f t="shared" si="50"/>
        <v>13980914</v>
      </c>
      <c r="F178" s="12" t="str">
        <f>IF(N178=0,J_SUBDAY(D178,1,1),IF((N178-NETWORKDAYS.INTL(J_GregorianDate(D178,1),J_GregorianDate(J_SUBDAY(J_ADDDAY(D178,N178,1),1,1),1),16,1)-SUMIFS(Holieday[ok],Holieday[date],CONCATENATE("&gt;","=",D178),Holieday[date],CONCATENATE("&lt;","=",J_SUBDAY(J_ADDDAY(D178,N178,1),1,1)))+SUMIFS(Holieday[Friday],Holieday[date],CONCATENATE("&gt;","=",D178),Holieday[date],CONCATENATE("&lt;","=",J_SUBDAY(J_ADDDAY(D178,N178,1),1,1))))=0,J_SUBDAY(J_ADDDAY(D178,N178,1),1,1),IF((N178-NETWORKDAYS.INTL(J_GregorianDate(D178,1),J_GregorianDate(J_SUBDAY(J_ADDDAY(D178,N178,1),1,1),1),16,1)-SUMIFS(Holieday[ok],Holieday[date],CONCATENATE("&gt;","=",D178),Holieday[date],CONCATENATE("&lt;","=",J_SUBDAY(J_ADDDAY(D178,N178,1),1,1)))+SUMIFS(Holieday[Friday],Holieday[date],CONCATENATE("&gt;","=",D178),Holieday[date],CONCATENATE("&lt;","=",J_SUBDAY(J_ADDDAY(D178,N178,1),1,1))))=1,J_SUBDAY(J_ADDDAY(D178,N178+1,1),1,1),IF((N178-NETWORKDAYS.INTL(J_GregorianDate(D178,1),J_GregorianDate(J_SUBDAY(J_ADDDAY(D178,N178,1),1,1),1),16,1)-SUMIFS(Holieday[ok],Holieday[date],CONCATENATE("&gt;","=",D178),Holieday[date],CONCATENATE("&lt;","=",J_SUBDAY(J_ADDDAY(D178,N178,1),1,1)))+SUMIFS(Holieday[Friday],Holieday[date],CONCATENATE("&gt;","=",D178),Holieday[date],CONCATENATE("&lt;","=",J_SUBDAY(J_ADDDAY(D178,N178,1),1,1))))=2,J_SUBDAY(J_ADDDAY(D178,N178+2,1),1,1),J_SUBDAY(J_ADDDAY(D178,N178+3,1),1,1)))))</f>
        <v>1398/09/13</v>
      </c>
      <c r="G178" s="2">
        <f t="shared" si="51"/>
        <v>13980913</v>
      </c>
      <c r="H178" s="109"/>
      <c r="I178" s="110">
        <v>7.1</v>
      </c>
      <c r="J178" s="9">
        <f>j_WEEKDAY(D178,2)</f>
        <v>5</v>
      </c>
      <c r="K178" s="21">
        <f t="shared" si="54"/>
        <v>0</v>
      </c>
      <c r="L178" s="8">
        <f t="shared" si="55"/>
        <v>0</v>
      </c>
      <c r="M178" s="111">
        <v>0</v>
      </c>
      <c r="N178" s="108">
        <v>0</v>
      </c>
      <c r="O178" s="10">
        <f t="shared" si="58"/>
        <v>0</v>
      </c>
      <c r="P178" s="10">
        <f>VALUE(J_normdate(J_ADDDAY($D178,$O178,1)))</f>
        <v>13980914</v>
      </c>
      <c r="Q178" s="9">
        <f t="shared" si="59"/>
        <v>0</v>
      </c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  <c r="BB178" s="7"/>
      <c r="BC178" s="7"/>
      <c r="BD178" s="7"/>
      <c r="BE178" s="7"/>
      <c r="BF178" s="7"/>
      <c r="BG178" s="7"/>
      <c r="BH178" s="7"/>
      <c r="BI178" s="7"/>
      <c r="BJ178" s="7"/>
      <c r="BK178" s="7"/>
      <c r="BL178" s="7"/>
      <c r="BM178" s="7"/>
      <c r="BN178" s="7"/>
      <c r="BO178" s="7"/>
      <c r="BP178" s="7"/>
      <c r="BQ178" s="7"/>
      <c r="BR178" s="7"/>
      <c r="BS178" s="7"/>
      <c r="BT178" s="7"/>
      <c r="BU178" s="7"/>
      <c r="BV178" s="7"/>
      <c r="BW178" s="7"/>
      <c r="BX178" s="7"/>
      <c r="BY178" s="7"/>
      <c r="BZ178" s="7"/>
      <c r="CA178" s="7"/>
      <c r="CB178" s="7"/>
      <c r="CC178" s="7"/>
      <c r="CD178" s="7"/>
      <c r="CE178" s="7"/>
      <c r="CF178" s="7"/>
      <c r="CG178" s="7"/>
      <c r="CH178" s="7"/>
      <c r="CI178" s="7"/>
      <c r="CJ178" s="7"/>
      <c r="CK178" s="7"/>
      <c r="CL178" s="7"/>
      <c r="CM178" s="7"/>
      <c r="CN178" s="7"/>
      <c r="CO178" s="7"/>
      <c r="CP178" s="7"/>
      <c r="CQ178" s="7"/>
      <c r="CR178" s="7"/>
      <c r="CS178" s="7"/>
      <c r="CT178" s="7"/>
      <c r="CU178" s="7"/>
      <c r="CV178" s="7"/>
      <c r="CW178" s="7"/>
      <c r="CX178" s="7"/>
      <c r="CY178" s="7"/>
      <c r="CZ178" s="7"/>
      <c r="DA178" s="7"/>
      <c r="DB178" s="7"/>
      <c r="DC178" s="7"/>
      <c r="DD178" s="7"/>
      <c r="DE178" s="7"/>
      <c r="DF178" s="7"/>
      <c r="DG178" s="7"/>
      <c r="DH178" s="7"/>
      <c r="DI178" s="7"/>
      <c r="DJ178" s="7"/>
      <c r="DK178" s="7"/>
      <c r="DL178" s="7"/>
      <c r="DM178" s="7"/>
      <c r="DN178" s="7"/>
      <c r="DO178" s="7"/>
      <c r="DP178" s="7"/>
      <c r="DQ178" s="7"/>
      <c r="DR178" s="7"/>
      <c r="DS178" s="7"/>
      <c r="DT178" s="7"/>
      <c r="DU178" s="7"/>
      <c r="DV178" s="7"/>
      <c r="DW178" s="7"/>
      <c r="DX178" s="7"/>
      <c r="DY178" s="7"/>
      <c r="DZ178" s="7"/>
      <c r="EA178" s="7"/>
      <c r="EB178" s="7"/>
      <c r="EC178" s="7"/>
      <c r="ED178" s="7"/>
      <c r="EE178" s="7"/>
      <c r="EF178" s="7"/>
      <c r="EG178" s="7"/>
      <c r="EH178" s="7"/>
      <c r="EI178" s="7"/>
      <c r="EJ178" s="7"/>
      <c r="EK178" s="7"/>
      <c r="EL178" s="7"/>
      <c r="EM178" s="7"/>
      <c r="EN178" s="7"/>
      <c r="EO178" s="7"/>
      <c r="EP178" s="7"/>
      <c r="EQ178" s="7"/>
      <c r="ER178" s="7"/>
      <c r="ES178" s="7"/>
      <c r="ET178" s="7"/>
      <c r="EU178" s="7"/>
      <c r="EV178" s="7"/>
      <c r="EW178" s="7"/>
      <c r="EX178" s="7"/>
      <c r="EY178" s="7"/>
      <c r="EZ178" s="7"/>
      <c r="FA178" s="7"/>
      <c r="FB178" s="7"/>
      <c r="FC178" s="7"/>
      <c r="FD178" s="7"/>
      <c r="FE178" s="7"/>
      <c r="FF178" s="7"/>
      <c r="FG178" s="7"/>
      <c r="FH178" s="7"/>
      <c r="FI178" s="7"/>
      <c r="FJ178" s="7"/>
      <c r="FK178" s="7"/>
      <c r="FL178" s="7"/>
      <c r="FM178" s="7"/>
      <c r="FN178" s="7"/>
      <c r="FO178" s="7"/>
      <c r="FP178" s="7"/>
      <c r="FQ178" s="7"/>
      <c r="FR178" s="7"/>
      <c r="FS178" s="7"/>
      <c r="FT178" s="7"/>
      <c r="FU178" s="7"/>
      <c r="FV178" s="7"/>
      <c r="FW178" s="7"/>
      <c r="FX178" s="7"/>
      <c r="FY178" s="7"/>
      <c r="FZ178" s="7"/>
      <c r="GA178" s="7"/>
      <c r="GB178" s="7"/>
      <c r="GC178" s="7"/>
      <c r="GD178" s="7"/>
      <c r="GE178" s="7"/>
      <c r="GF178" s="7"/>
      <c r="GG178" s="7"/>
      <c r="GH178" s="7"/>
      <c r="GI178" s="7"/>
      <c r="GJ178" s="7"/>
      <c r="GK178" s="7"/>
      <c r="GL178" s="7"/>
      <c r="GM178" s="7"/>
      <c r="GN178" s="7"/>
      <c r="GO178" s="7"/>
      <c r="GP178" s="7"/>
      <c r="GQ178" s="7"/>
      <c r="GR178" s="7"/>
      <c r="GS178" s="7"/>
      <c r="GT178" s="7"/>
      <c r="GU178" s="7"/>
      <c r="GV178" s="7"/>
      <c r="GW178" s="7"/>
      <c r="GX178" s="7"/>
      <c r="GY178" s="7"/>
      <c r="GZ178" s="7"/>
      <c r="HA178" s="7"/>
      <c r="HB178" s="7"/>
      <c r="HC178" s="7"/>
      <c r="HD178" s="7"/>
      <c r="HE178" s="7"/>
      <c r="HF178" s="7"/>
      <c r="HG178" s="7"/>
      <c r="HH178" s="7"/>
      <c r="HI178" s="7"/>
      <c r="HJ178" s="7"/>
      <c r="HK178" s="7"/>
      <c r="HL178" s="7"/>
      <c r="HM178" s="7"/>
      <c r="HN178" s="7"/>
      <c r="HO178" s="7"/>
      <c r="HP178" s="7"/>
      <c r="HQ178" s="7"/>
      <c r="HR178" s="7"/>
      <c r="HS178" s="7"/>
      <c r="HT178" s="7"/>
      <c r="HU178" s="7"/>
      <c r="HV178" s="7"/>
      <c r="HW178" s="7"/>
      <c r="HX178" s="7"/>
      <c r="HY178" s="7"/>
      <c r="HZ178" s="7"/>
      <c r="IA178" s="7"/>
      <c r="IB178" s="7"/>
      <c r="IC178" s="7"/>
      <c r="ID178" s="7"/>
      <c r="IE178" s="7"/>
      <c r="IF178" s="7"/>
      <c r="IG178" s="7"/>
      <c r="IH178" s="7"/>
      <c r="II178" s="7"/>
      <c r="IJ178" s="7"/>
      <c r="IK178" s="7"/>
      <c r="IL178" s="7"/>
      <c r="IM178" s="7"/>
      <c r="IN178" s="7"/>
      <c r="IO178" s="7"/>
      <c r="IP178" s="7"/>
      <c r="IQ178" s="7"/>
      <c r="IR178" s="7"/>
      <c r="IS178" s="7"/>
      <c r="IT178" s="7"/>
      <c r="IU178" s="7"/>
      <c r="IV178" s="7"/>
      <c r="IW178" s="7"/>
      <c r="IX178" s="7"/>
      <c r="JA178" s="113"/>
      <c r="JB178" s="113"/>
      <c r="JC178" s="113"/>
      <c r="JD178" s="66">
        <f>SUM((TEXT(JA178,"[M]")/60)*'Income Person-hours'!$D$3,(TEXT(JB178,"[M]")/60)*'Income Person-hours'!$D$4,(TEXT(JC178,"[M]")/60)*'Income Person-hours'!$D$5)</f>
        <v>0</v>
      </c>
    </row>
    <row r="179" spans="1:264 16383:16384" s="160" customFormat="1" ht="11.25" hidden="1">
      <c r="A179" s="193">
        <v>8</v>
      </c>
      <c r="B179" s="102"/>
      <c r="C179" s="103"/>
      <c r="D179" s="162" t="str">
        <f>FDate(MIN(E180:E200))</f>
        <v>1398/06/31</v>
      </c>
      <c r="E179" s="160">
        <f t="shared" si="50"/>
        <v>13980631</v>
      </c>
      <c r="F179" s="162" t="str">
        <f>J_SUBDAY(J_ADDDAY(D179,L179,1),1,1)</f>
        <v>1398/06/30</v>
      </c>
      <c r="G179" s="163">
        <f t="shared" si="51"/>
        <v>13980630</v>
      </c>
      <c r="H179" s="104"/>
      <c r="I179" s="105"/>
      <c r="J179" s="162">
        <f>j_WEEKDAY(D179,2)</f>
        <v>1</v>
      </c>
      <c r="K179" s="164">
        <f>SUM(K180:K200)</f>
        <v>0</v>
      </c>
      <c r="L179" s="165">
        <f>J_DIFF(D179,FDate(MAX(G180:G200)))+1</f>
        <v>0</v>
      </c>
      <c r="M179" s="166">
        <f>IF(SUM(L180:L200)&lt;&gt;0,SUMPRODUCT(L180:L200,M180:M200)/SUM(L180:L200),0)</f>
        <v>0</v>
      </c>
      <c r="N179" s="167">
        <f>IF(F179&gt;=D179,NETWORKDAYS.INTL(J_GregorianDate(D179,1),J_GregorianDate(F179,1),16,1)-SUMIFS(Holieday[ok],Holieday[date],CONCATENATE("&gt;","=",D179),Holieday[date],CONCATENATE("&lt;","=",F179))+SUMIFS(Holieday[Friday],Holieday[date],CONCATENATE("&gt;","=",D179),Holieday[date],CONCATENATE("&lt;","=",F179)),0)</f>
        <v>0</v>
      </c>
      <c r="O179" s="159">
        <f t="shared" ref="O179:O200" si="60">ROUNDDOWN(M179*L179,0)</f>
        <v>0</v>
      </c>
      <c r="P179" s="159">
        <f>VALUE(J_normdate(J_ADDDAY($D179,$O179,1)))</f>
        <v>13980631</v>
      </c>
      <c r="Q179" s="162">
        <f t="shared" ref="Q179:Q200" si="61">L179-O179</f>
        <v>0</v>
      </c>
      <c r="IY179" s="59"/>
      <c r="IZ179" s="59"/>
      <c r="JA179" s="188"/>
      <c r="JB179" s="194"/>
      <c r="XFC179" s="162"/>
      <c r="XFD179" s="162"/>
    </row>
    <row r="180" spans="1:264 16383:16384" s="191" customFormat="1" ht="11.25" hidden="1">
      <c r="A180" s="176">
        <v>8.1</v>
      </c>
      <c r="B180" s="106"/>
      <c r="C180" s="107"/>
      <c r="D180" s="172" t="str">
        <f>IF(OR(j_WEEKDAY(J_ADDDAY(VLOOKUP(I180,A:F,6,FALSE),H180,1),0)=6,SUMIFS(Holieday[ok],Holieday[date],J_ADDDAY(VLOOKUP(I180,A:F,6,FALSE),H180,1)))=FALSE(),J_ADDDAY(VLOOKUP(I180,A:F,6,FALSE),H180,1),IF(OR(j_WEEKDAY(J_ADDDAY(VLOOKUP(I180,A:F,6,FALSE),H180+1,1),0)=6,SUMIFS(Holieday[ok],Holieday[date],J_ADDDAY(VLOOKUP(I180,A:F,6,FALSE),H180+1,1)))=FALSE(),J_ADDDAY(VLOOKUP(I180,A:F,6,FALSE),H180+1,1),IF(OR(j_WEEKDAY(J_ADDDAY(VLOOKUP(I180,A:F,6,FALSE),H180+2,1),0)=6,SUMIFS(Holieday[ok],Holieday[date],J_ADDDAY(VLOOKUP(I180,A:F,6,FALSE),H180+2,1)))=FALSE(),J_ADDDAY(VLOOKUP(I180,A:F,6,FALSE),H180+2,1),IF(OR(j_WEEKDAY(J_ADDDAY(VLOOKUP(I180,A:F,6,FALSE),H180+3,1),0)=6,SUMIFS(Holieday[ok],Holieday[date],J_ADDDAY(VLOOKUP(I180,A:F,6,FALSE),H180+3,1)))=FALSE(),J_ADDDAY(VLOOKUP(I180,A:F,6,FALSE),H180+3,1),IF(OR(j_WEEKDAY(J_ADDDAY(VLOOKUP(I180,A:F,6,FALSE),H180+4,1),0)=6,SUMIFS(Holieday[ok],Holieday[date],J_ADDDAY(VLOOKUP(I180,A:F,6,FALSE),H180+4,1)))=FALSE(),J_ADDDAY(VLOOKUP(I180,A:F,6,FALSE),H180+4,1),J_ADDDAY(VLOOKUP(I180,A:F,6,FALSE),H180+5,1))))))</f>
        <v>1398/06/31</v>
      </c>
      <c r="E180" s="160">
        <f t="shared" si="50"/>
        <v>13980631</v>
      </c>
      <c r="F180" s="172" t="str">
        <f>IF(N180=0,J_SUBDAY(D180,1,1),IF((N180-NETWORKDAYS.INTL(J_GregorianDate(D180,1),J_GregorianDate(J_SUBDAY(J_ADDDAY(D180,N180,1),1,1),1),16,1)-SUMIFS(Holieday[ok],Holieday[date],CONCATENATE("&gt;","=",D180),Holieday[date],CONCATENATE("&lt;","=",J_SUBDAY(J_ADDDAY(D180,N180,1),1,1)))+SUMIFS(Holieday[Friday],Holieday[date],CONCATENATE("&gt;","=",D180),Holieday[date],CONCATENATE("&lt;","=",J_SUBDAY(J_ADDDAY(D180,N180,1),1,1))))=0,J_SUBDAY(J_ADDDAY(D180,N180,1),1,1),IF((N180-NETWORKDAYS.INTL(J_GregorianDate(D180,1),J_GregorianDate(J_SUBDAY(J_ADDDAY(D180,N180,1),1,1),1),16,1)-SUMIFS(Holieday[ok],Holieday[date],CONCATENATE("&gt;","=",D180),Holieday[date],CONCATENATE("&lt;","=",J_SUBDAY(J_ADDDAY(D180,N180,1),1,1)))+SUMIFS(Holieday[Friday],Holieday[date],CONCATENATE("&gt;","=",D180),Holieday[date],CONCATENATE("&lt;","=",J_SUBDAY(J_ADDDAY(D180,N180,1),1,1))))=1,J_SUBDAY(J_ADDDAY(D180,N180+1,1),1,1),IF((N180-NETWORKDAYS.INTL(J_GregorianDate(D180,1),J_GregorianDate(J_SUBDAY(J_ADDDAY(D180,N180,1),1,1),1),16,1)-SUMIFS(Holieday[ok],Holieday[date],CONCATENATE("&gt;","=",D180),Holieday[date],CONCATENATE("&lt;","=",J_SUBDAY(J_ADDDAY(D180,N180,1),1,1)))+SUMIFS(Holieday[Friday],Holieday[date],CONCATENATE("&gt;","=",D180),Holieday[date],CONCATENATE("&lt;","=",J_SUBDAY(J_ADDDAY(D180,N180,1),1,1))))=2,J_SUBDAY(J_ADDDAY(D180,N180+2,1),1,1),J_SUBDAY(J_ADDDAY(D180,N180+3,1),1,1)))))</f>
        <v>1398/06/30</v>
      </c>
      <c r="G180" s="163">
        <f t="shared" si="51"/>
        <v>13980630</v>
      </c>
      <c r="H180" s="109"/>
      <c r="I180" s="110">
        <v>1.1000000000000001</v>
      </c>
      <c r="J180" s="171">
        <f>j_WEEKDAY(D180,2)</f>
        <v>1</v>
      </c>
      <c r="K180" s="173">
        <f t="shared" ref="K180:K200" si="62">SUM(JA180:JC180)</f>
        <v>0</v>
      </c>
      <c r="L180" s="174">
        <f t="shared" ref="L180:L200" si="63">J_DIFF(D180,F180)+1</f>
        <v>0</v>
      </c>
      <c r="M180" s="111">
        <v>0</v>
      </c>
      <c r="N180" s="108">
        <v>0</v>
      </c>
      <c r="O180" s="175">
        <f t="shared" si="60"/>
        <v>0</v>
      </c>
      <c r="P180" s="175">
        <f>VALUE(J_normdate(J_ADDDAY($D180,$O180,1)))</f>
        <v>13980631</v>
      </c>
      <c r="Q180" s="171">
        <f t="shared" si="61"/>
        <v>0</v>
      </c>
      <c r="R180" s="169"/>
      <c r="S180" s="169"/>
      <c r="T180" s="169"/>
      <c r="U180" s="169"/>
      <c r="V180" s="169"/>
      <c r="W180" s="169"/>
      <c r="X180" s="169"/>
      <c r="Y180" s="169"/>
      <c r="Z180" s="169"/>
      <c r="AA180" s="169"/>
      <c r="AB180" s="169"/>
      <c r="AC180" s="169"/>
      <c r="AD180" s="169"/>
      <c r="AE180" s="169"/>
      <c r="AF180" s="169"/>
      <c r="AG180" s="169"/>
      <c r="AH180" s="169"/>
      <c r="AI180" s="169"/>
      <c r="AJ180" s="169"/>
      <c r="AK180" s="169"/>
      <c r="AL180" s="169"/>
      <c r="AM180" s="169"/>
      <c r="AN180" s="169"/>
      <c r="AO180" s="169"/>
      <c r="AP180" s="169"/>
      <c r="AQ180" s="169"/>
      <c r="AR180" s="169"/>
      <c r="AS180" s="169"/>
      <c r="AT180" s="169"/>
      <c r="AU180" s="169"/>
      <c r="AV180" s="169"/>
      <c r="AW180" s="169"/>
      <c r="AX180" s="169"/>
      <c r="AY180" s="169"/>
      <c r="AZ180" s="169"/>
      <c r="BA180" s="169"/>
      <c r="BB180" s="169"/>
      <c r="BC180" s="169"/>
      <c r="BD180" s="169"/>
      <c r="BE180" s="169"/>
      <c r="BF180" s="169"/>
      <c r="BG180" s="169"/>
      <c r="BH180" s="169"/>
      <c r="BI180" s="169"/>
      <c r="BJ180" s="169"/>
      <c r="BK180" s="169"/>
      <c r="BL180" s="169"/>
      <c r="BM180" s="169"/>
      <c r="BN180" s="169"/>
      <c r="BO180" s="169"/>
      <c r="BP180" s="169"/>
      <c r="BQ180" s="169"/>
      <c r="BR180" s="169"/>
      <c r="BS180" s="169"/>
      <c r="BT180" s="169"/>
      <c r="BU180" s="169"/>
      <c r="BV180" s="169"/>
      <c r="BW180" s="169"/>
      <c r="BX180" s="169"/>
      <c r="BY180" s="169"/>
      <c r="BZ180" s="169"/>
      <c r="CA180" s="169"/>
      <c r="CB180" s="169"/>
      <c r="CC180" s="169"/>
      <c r="CD180" s="169"/>
      <c r="CE180" s="169"/>
      <c r="CF180" s="169"/>
      <c r="CG180" s="169"/>
      <c r="CH180" s="169"/>
      <c r="CI180" s="169"/>
      <c r="CJ180" s="169"/>
      <c r="CK180" s="169"/>
      <c r="CL180" s="169"/>
      <c r="CM180" s="169"/>
      <c r="CN180" s="169"/>
      <c r="CO180" s="169"/>
      <c r="CP180" s="169"/>
      <c r="CQ180" s="169"/>
      <c r="CR180" s="169"/>
      <c r="CS180" s="169"/>
      <c r="CT180" s="169"/>
      <c r="CU180" s="169"/>
      <c r="CV180" s="169"/>
      <c r="CW180" s="169"/>
      <c r="CX180" s="169"/>
      <c r="CY180" s="169"/>
      <c r="CZ180" s="169"/>
      <c r="DA180" s="169"/>
      <c r="DB180" s="169"/>
      <c r="DC180" s="169"/>
      <c r="DD180" s="169"/>
      <c r="DE180" s="169"/>
      <c r="DF180" s="169"/>
      <c r="DG180" s="169"/>
      <c r="DH180" s="169"/>
      <c r="DI180" s="169"/>
      <c r="DJ180" s="169"/>
      <c r="DK180" s="169"/>
      <c r="DL180" s="169"/>
      <c r="DM180" s="169"/>
      <c r="DN180" s="169"/>
      <c r="DO180" s="169"/>
      <c r="DP180" s="169"/>
      <c r="DQ180" s="169"/>
      <c r="DR180" s="169"/>
      <c r="DS180" s="169"/>
      <c r="DT180" s="169"/>
      <c r="DU180" s="169"/>
      <c r="DV180" s="169"/>
      <c r="DW180" s="169"/>
      <c r="DX180" s="169"/>
      <c r="DY180" s="169"/>
      <c r="DZ180" s="169"/>
      <c r="EA180" s="169"/>
      <c r="EB180" s="169"/>
      <c r="EC180" s="169"/>
      <c r="ED180" s="169"/>
      <c r="EE180" s="169"/>
      <c r="EF180" s="169"/>
      <c r="EG180" s="169"/>
      <c r="EH180" s="169"/>
      <c r="EI180" s="169"/>
      <c r="EJ180" s="169"/>
      <c r="EK180" s="169"/>
      <c r="EL180" s="169"/>
      <c r="EM180" s="169"/>
      <c r="EN180" s="169"/>
      <c r="EO180" s="169"/>
      <c r="EP180" s="169"/>
      <c r="EQ180" s="169"/>
      <c r="ER180" s="169"/>
      <c r="ES180" s="169"/>
      <c r="ET180" s="169"/>
      <c r="EU180" s="169"/>
      <c r="EV180" s="169"/>
      <c r="EW180" s="169"/>
      <c r="EX180" s="169"/>
      <c r="EY180" s="169"/>
      <c r="EZ180" s="169"/>
      <c r="FA180" s="169"/>
      <c r="FB180" s="169"/>
      <c r="FC180" s="169"/>
      <c r="FD180" s="169"/>
      <c r="FE180" s="169"/>
      <c r="FF180" s="169"/>
      <c r="FG180" s="169"/>
      <c r="FH180" s="169"/>
      <c r="FI180" s="169"/>
      <c r="FJ180" s="169"/>
      <c r="FK180" s="169"/>
      <c r="FL180" s="169"/>
      <c r="FM180" s="169"/>
      <c r="FN180" s="169"/>
      <c r="FO180" s="169"/>
      <c r="FP180" s="169"/>
      <c r="FQ180" s="169"/>
      <c r="FR180" s="169"/>
      <c r="FS180" s="169"/>
      <c r="FT180" s="169"/>
      <c r="FU180" s="169"/>
      <c r="FV180" s="169"/>
      <c r="FW180" s="169"/>
      <c r="FX180" s="169"/>
      <c r="FY180" s="169"/>
      <c r="FZ180" s="169"/>
      <c r="GA180" s="169"/>
      <c r="GB180" s="169"/>
      <c r="GC180" s="169"/>
      <c r="GD180" s="169"/>
      <c r="GE180" s="169"/>
      <c r="GF180" s="169"/>
      <c r="GG180" s="169"/>
      <c r="GH180" s="169"/>
      <c r="GI180" s="169"/>
      <c r="GJ180" s="169"/>
      <c r="GK180" s="169"/>
      <c r="GL180" s="169"/>
      <c r="GM180" s="169"/>
      <c r="GN180" s="169"/>
      <c r="GO180" s="169"/>
      <c r="GP180" s="169"/>
      <c r="GQ180" s="169"/>
      <c r="GR180" s="169"/>
      <c r="GS180" s="169"/>
      <c r="GT180" s="169"/>
      <c r="GU180" s="169"/>
      <c r="GV180" s="169"/>
      <c r="GW180" s="169"/>
      <c r="GX180" s="169"/>
      <c r="GY180" s="169"/>
      <c r="GZ180" s="169"/>
      <c r="HA180" s="169"/>
      <c r="HB180" s="169"/>
      <c r="HC180" s="169"/>
      <c r="HD180" s="169"/>
      <c r="HE180" s="169"/>
      <c r="HF180" s="169"/>
      <c r="HG180" s="169"/>
      <c r="HH180" s="169"/>
      <c r="HI180" s="169"/>
      <c r="HJ180" s="169"/>
      <c r="HK180" s="169"/>
      <c r="HL180" s="169"/>
      <c r="HM180" s="169"/>
      <c r="HN180" s="169"/>
      <c r="HO180" s="169"/>
      <c r="HP180" s="169"/>
      <c r="HQ180" s="169"/>
      <c r="HR180" s="169"/>
      <c r="HS180" s="169"/>
      <c r="HT180" s="169"/>
      <c r="HU180" s="169"/>
      <c r="HV180" s="169"/>
      <c r="HW180" s="169"/>
      <c r="HX180" s="169"/>
      <c r="HY180" s="169"/>
      <c r="HZ180" s="169"/>
      <c r="IA180" s="169"/>
      <c r="IB180" s="169"/>
      <c r="IC180" s="169"/>
      <c r="ID180" s="169"/>
      <c r="IE180" s="169"/>
      <c r="IF180" s="169"/>
      <c r="IG180" s="169"/>
      <c r="IH180" s="169"/>
      <c r="II180" s="169"/>
      <c r="IJ180" s="169"/>
      <c r="IK180" s="169"/>
      <c r="IL180" s="169"/>
      <c r="IM180" s="169"/>
      <c r="IN180" s="169"/>
      <c r="IO180" s="169"/>
      <c r="IP180" s="169"/>
      <c r="IQ180" s="169"/>
      <c r="IR180" s="169"/>
      <c r="IS180" s="169"/>
      <c r="IT180" s="169"/>
      <c r="IU180" s="169"/>
      <c r="IV180" s="169"/>
      <c r="IW180" s="169"/>
      <c r="IX180" s="169"/>
      <c r="IY180" s="11"/>
      <c r="IZ180" s="11"/>
      <c r="JA180" s="113"/>
      <c r="JB180" s="118"/>
      <c r="JC180" s="113"/>
      <c r="JD180" s="192">
        <f>SUM((TEXT(JA180,"[M]")/60)*'Income Person-hours'!$D$3,(TEXT(JB180,"[M]")/60)*'Income Person-hours'!$D$4,(TEXT(JC180,"[M]")/60)*'Income Person-hours'!$D$5)</f>
        <v>0</v>
      </c>
    </row>
    <row r="181" spans="1:264 16383:16384" s="11" customFormat="1" ht="11.25" hidden="1">
      <c r="A181" s="30">
        <v>8.1999999999999993</v>
      </c>
      <c r="B181" s="106"/>
      <c r="C181" s="107"/>
      <c r="D181" s="12" t="str">
        <f>IF(OR(j_WEEKDAY(J_ADDDAY(VLOOKUP(I181,A:F,6,FALSE),H181,1),0)=6,SUMIFS(Holieday[ok],Holieday[date],J_ADDDAY(VLOOKUP(I181,A:F,6,FALSE),H181,1)))=FALSE(),J_ADDDAY(VLOOKUP(I181,A:F,6,FALSE),H181,1),IF(OR(j_WEEKDAY(J_ADDDAY(VLOOKUP(I181,A:F,6,FALSE),H181+1,1),0)=6,SUMIFS(Holieday[ok],Holieday[date],J_ADDDAY(VLOOKUP(I181,A:F,6,FALSE),H181+1,1)))=FALSE(),J_ADDDAY(VLOOKUP(I181,A:F,6,FALSE),H181+1,1),IF(OR(j_WEEKDAY(J_ADDDAY(VLOOKUP(I181,A:F,6,FALSE),H181+2,1),0)=6,SUMIFS(Holieday[ok],Holieday[date],J_ADDDAY(VLOOKUP(I181,A:F,6,FALSE),H181+2,1)))=FALSE(),J_ADDDAY(VLOOKUP(I181,A:F,6,FALSE),H181+2,1),IF(OR(j_WEEKDAY(J_ADDDAY(VLOOKUP(I181,A:F,6,FALSE),H181+3,1),0)=6,SUMIFS(Holieday[ok],Holieday[date],J_ADDDAY(VLOOKUP(I181,A:F,6,FALSE),H181+3,1)))=FALSE(),J_ADDDAY(VLOOKUP(I181,A:F,6,FALSE),H181+3,1),IF(OR(j_WEEKDAY(J_ADDDAY(VLOOKUP(I181,A:F,6,FALSE),H181+4,1),0)=6,SUMIFS(Holieday[ok],Holieday[date],J_ADDDAY(VLOOKUP(I181,A:F,6,FALSE),H181+4,1)))=FALSE(),J_ADDDAY(VLOOKUP(I181,A:F,6,FALSE),H181+4,1),J_ADDDAY(VLOOKUP(I181,A:F,6,FALSE),H181+5,1))))))</f>
        <v>1398/06/31</v>
      </c>
      <c r="E181" s="1">
        <f t="shared" si="50"/>
        <v>13980631</v>
      </c>
      <c r="F181" s="12" t="str">
        <f>IF(N181=0,J_SUBDAY(D181,1,1),IF((N181-NETWORKDAYS.INTL(J_GregorianDate(D181,1),J_GregorianDate(J_SUBDAY(J_ADDDAY(D181,N181,1),1,1),1),16,1)-SUMIFS(Holieday[ok],Holieday[date],CONCATENATE("&gt;","=",D181),Holieday[date],CONCATENATE("&lt;","=",J_SUBDAY(J_ADDDAY(D181,N181,1),1,1)))+SUMIFS(Holieday[Friday],Holieday[date],CONCATENATE("&gt;","=",D181),Holieday[date],CONCATENATE("&lt;","=",J_SUBDAY(J_ADDDAY(D181,N181,1),1,1))))=0,J_SUBDAY(J_ADDDAY(D181,N181,1),1,1),IF((N181-NETWORKDAYS.INTL(J_GregorianDate(D181,1),J_GregorianDate(J_SUBDAY(J_ADDDAY(D181,N181,1),1,1),1),16,1)-SUMIFS(Holieday[ok],Holieday[date],CONCATENATE("&gt;","=",D181),Holieday[date],CONCATENATE("&lt;","=",J_SUBDAY(J_ADDDAY(D181,N181,1),1,1)))+SUMIFS(Holieday[Friday],Holieday[date],CONCATENATE("&gt;","=",D181),Holieday[date],CONCATENATE("&lt;","=",J_SUBDAY(J_ADDDAY(D181,N181,1),1,1))))=1,J_SUBDAY(J_ADDDAY(D181,N181+1,1),1,1),IF((N181-NETWORKDAYS.INTL(J_GregorianDate(D181,1),J_GregorianDate(J_SUBDAY(J_ADDDAY(D181,N181,1),1,1),1),16,1)-SUMIFS(Holieday[ok],Holieday[date],CONCATENATE("&gt;","=",D181),Holieday[date],CONCATENATE("&lt;","=",J_SUBDAY(J_ADDDAY(D181,N181,1),1,1)))+SUMIFS(Holieday[Friday],Holieday[date],CONCATENATE("&gt;","=",D181),Holieday[date],CONCATENATE("&lt;","=",J_SUBDAY(J_ADDDAY(D181,N181,1),1,1))))=2,J_SUBDAY(J_ADDDAY(D181,N181+2,1),1,1),J_SUBDAY(J_ADDDAY(D181,N181+3,1),1,1)))))</f>
        <v>1398/06/30</v>
      </c>
      <c r="G181" s="2">
        <f t="shared" si="51"/>
        <v>13980630</v>
      </c>
      <c r="H181" s="109"/>
      <c r="I181" s="110">
        <v>1.1000000000000001</v>
      </c>
      <c r="J181" s="9">
        <f>j_WEEKDAY(D181,2)</f>
        <v>1</v>
      </c>
      <c r="K181" s="21">
        <f>SUM(JA181:JC181)</f>
        <v>0</v>
      </c>
      <c r="L181" s="8">
        <f t="shared" si="63"/>
        <v>0</v>
      </c>
      <c r="M181" s="111">
        <v>0</v>
      </c>
      <c r="N181" s="108">
        <v>0</v>
      </c>
      <c r="O181" s="10">
        <f t="shared" si="60"/>
        <v>0</v>
      </c>
      <c r="P181" s="10">
        <f>VALUE(J_normdate(J_ADDDAY($D181,$O181,1)))</f>
        <v>13980631</v>
      </c>
      <c r="Q181" s="9">
        <f t="shared" si="61"/>
        <v>0</v>
      </c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  <c r="BB181" s="7"/>
      <c r="BC181" s="7"/>
      <c r="BD181" s="7"/>
      <c r="BE181" s="7"/>
      <c r="BF181" s="7"/>
      <c r="BG181" s="7"/>
      <c r="BH181" s="7"/>
      <c r="BI181" s="7"/>
      <c r="BJ181" s="7"/>
      <c r="BK181" s="7"/>
      <c r="BL181" s="7"/>
      <c r="BM181" s="7"/>
      <c r="BN181" s="7"/>
      <c r="BO181" s="7"/>
      <c r="BP181" s="7"/>
      <c r="BQ181" s="7"/>
      <c r="BR181" s="7"/>
      <c r="BS181" s="7"/>
      <c r="BT181" s="7"/>
      <c r="BU181" s="7"/>
      <c r="BV181" s="7"/>
      <c r="BW181" s="7"/>
      <c r="BX181" s="7"/>
      <c r="BY181" s="7"/>
      <c r="BZ181" s="7"/>
      <c r="CA181" s="7"/>
      <c r="CB181" s="7"/>
      <c r="CC181" s="7"/>
      <c r="CD181" s="7"/>
      <c r="CE181" s="7"/>
      <c r="CF181" s="7"/>
      <c r="CG181" s="7"/>
      <c r="CH181" s="7"/>
      <c r="CI181" s="7"/>
      <c r="CJ181" s="7"/>
      <c r="CK181" s="7"/>
      <c r="CL181" s="7"/>
      <c r="CM181" s="7"/>
      <c r="CN181" s="7"/>
      <c r="CO181" s="7"/>
      <c r="CP181" s="7"/>
      <c r="CQ181" s="7"/>
      <c r="CR181" s="7"/>
      <c r="CS181" s="7"/>
      <c r="CT181" s="7"/>
      <c r="CU181" s="7"/>
      <c r="CV181" s="7"/>
      <c r="CW181" s="7"/>
      <c r="CX181" s="7"/>
      <c r="CY181" s="7"/>
      <c r="CZ181" s="7"/>
      <c r="DA181" s="7"/>
      <c r="DB181" s="7"/>
      <c r="DC181" s="7"/>
      <c r="DD181" s="7"/>
      <c r="DE181" s="7"/>
      <c r="DF181" s="7"/>
      <c r="DG181" s="7"/>
      <c r="DH181" s="7"/>
      <c r="DI181" s="7"/>
      <c r="DJ181" s="7"/>
      <c r="DK181" s="7"/>
      <c r="DL181" s="7"/>
      <c r="DM181" s="7"/>
      <c r="DN181" s="7"/>
      <c r="DO181" s="7"/>
      <c r="DP181" s="7"/>
      <c r="DQ181" s="7"/>
      <c r="DR181" s="7"/>
      <c r="DS181" s="7"/>
      <c r="DT181" s="7"/>
      <c r="DU181" s="7"/>
      <c r="DV181" s="7"/>
      <c r="DW181" s="7"/>
      <c r="DX181" s="7"/>
      <c r="DY181" s="7"/>
      <c r="DZ181" s="7"/>
      <c r="EA181" s="7"/>
      <c r="EB181" s="7"/>
      <c r="EC181" s="7"/>
      <c r="ED181" s="7"/>
      <c r="EE181" s="7"/>
      <c r="EF181" s="7"/>
      <c r="EG181" s="7"/>
      <c r="EH181" s="7"/>
      <c r="EI181" s="7"/>
      <c r="EJ181" s="7"/>
      <c r="EK181" s="7"/>
      <c r="EL181" s="7"/>
      <c r="EM181" s="7"/>
      <c r="EN181" s="7"/>
      <c r="EO181" s="7"/>
      <c r="EP181" s="7"/>
      <c r="EQ181" s="7"/>
      <c r="ER181" s="7"/>
      <c r="ES181" s="7"/>
      <c r="ET181" s="7"/>
      <c r="EU181" s="7"/>
      <c r="EV181" s="7"/>
      <c r="EW181" s="7"/>
      <c r="EX181" s="7"/>
      <c r="EY181" s="7"/>
      <c r="EZ181" s="7"/>
      <c r="FA181" s="7"/>
      <c r="FB181" s="7"/>
      <c r="FC181" s="7"/>
      <c r="FD181" s="7"/>
      <c r="FE181" s="7"/>
      <c r="FF181" s="7"/>
      <c r="FG181" s="7"/>
      <c r="FH181" s="7"/>
      <c r="FI181" s="7"/>
      <c r="FJ181" s="7"/>
      <c r="FK181" s="7"/>
      <c r="FL181" s="7"/>
      <c r="FM181" s="7"/>
      <c r="FN181" s="7"/>
      <c r="FO181" s="7"/>
      <c r="FP181" s="7"/>
      <c r="FQ181" s="7"/>
      <c r="FR181" s="7"/>
      <c r="FS181" s="7"/>
      <c r="FT181" s="7"/>
      <c r="FU181" s="7"/>
      <c r="FV181" s="7"/>
      <c r="FW181" s="7"/>
      <c r="FX181" s="7"/>
      <c r="FY181" s="7"/>
      <c r="FZ181" s="7"/>
      <c r="GA181" s="7"/>
      <c r="GB181" s="7"/>
      <c r="GC181" s="7"/>
      <c r="GD181" s="7"/>
      <c r="GE181" s="7"/>
      <c r="GF181" s="7"/>
      <c r="GG181" s="7"/>
      <c r="GH181" s="7"/>
      <c r="GI181" s="7"/>
      <c r="GJ181" s="7"/>
      <c r="GK181" s="7"/>
      <c r="GL181" s="7"/>
      <c r="GM181" s="7"/>
      <c r="GN181" s="7"/>
      <c r="GO181" s="7"/>
      <c r="GP181" s="7"/>
      <c r="GQ181" s="7"/>
      <c r="GR181" s="7"/>
      <c r="GS181" s="7"/>
      <c r="GT181" s="7"/>
      <c r="GU181" s="7"/>
      <c r="GV181" s="7"/>
      <c r="GW181" s="7"/>
      <c r="GX181" s="7"/>
      <c r="GY181" s="7"/>
      <c r="GZ181" s="7"/>
      <c r="HA181" s="7"/>
      <c r="HB181" s="7"/>
      <c r="HC181" s="7"/>
      <c r="HD181" s="7"/>
      <c r="HE181" s="7"/>
      <c r="HF181" s="7"/>
      <c r="HG181" s="7"/>
      <c r="HH181" s="7"/>
      <c r="HI181" s="7"/>
      <c r="HJ181" s="7"/>
      <c r="HK181" s="7"/>
      <c r="HL181" s="7"/>
      <c r="HM181" s="7"/>
      <c r="HN181" s="7"/>
      <c r="HO181" s="7"/>
      <c r="HP181" s="7"/>
      <c r="HQ181" s="7"/>
      <c r="HR181" s="7"/>
      <c r="HS181" s="7"/>
      <c r="HT181" s="7"/>
      <c r="HU181" s="7"/>
      <c r="HV181" s="7"/>
      <c r="HW181" s="7"/>
      <c r="HX181" s="7"/>
      <c r="HY181" s="7"/>
      <c r="HZ181" s="7"/>
      <c r="IA181" s="7"/>
      <c r="IB181" s="7"/>
      <c r="IC181" s="7"/>
      <c r="ID181" s="7"/>
      <c r="IE181" s="7"/>
      <c r="IF181" s="7"/>
      <c r="IG181" s="7"/>
      <c r="IH181" s="7"/>
      <c r="II181" s="7"/>
      <c r="IJ181" s="7"/>
      <c r="IK181" s="7"/>
      <c r="IL181" s="7"/>
      <c r="IM181" s="7"/>
      <c r="IN181" s="7"/>
      <c r="IO181" s="7"/>
      <c r="IP181" s="7"/>
      <c r="IQ181" s="7"/>
      <c r="IR181" s="7"/>
      <c r="IS181" s="7"/>
      <c r="IT181" s="7"/>
      <c r="IU181" s="7"/>
      <c r="IV181" s="7"/>
      <c r="IW181" s="7"/>
      <c r="IX181" s="7"/>
      <c r="JA181" s="113"/>
      <c r="JB181" s="118"/>
      <c r="JC181" s="117"/>
      <c r="JD181" s="192">
        <f>SUM((TEXT(JA181,"[M]")/60)*'Income Person-hours'!$D$3,(TEXT(JB181,"[M]")/60)*'Income Person-hours'!$D$4,(TEXT(JC181,"[M]")/60)*'Income Person-hours'!$D$5)</f>
        <v>0</v>
      </c>
    </row>
    <row r="182" spans="1:264 16383:16384" s="11" customFormat="1" ht="11.25" hidden="1">
      <c r="A182" s="30">
        <v>8.3000000000000007</v>
      </c>
      <c r="B182" s="106"/>
      <c r="C182" s="107"/>
      <c r="D182" s="12" t="str">
        <f>IF(OR(j_WEEKDAY(J_ADDDAY(VLOOKUP(I182,A:F,6,FALSE),H182,1),0)=6,SUMIFS(Holieday[ok],Holieday[date],J_ADDDAY(VLOOKUP(I182,A:F,6,FALSE),H182,1)))=FALSE(),J_ADDDAY(VLOOKUP(I182,A:F,6,FALSE),H182,1),IF(OR(j_WEEKDAY(J_ADDDAY(VLOOKUP(I182,A:F,6,FALSE),H182+1,1),0)=6,SUMIFS(Holieday[ok],Holieday[date],J_ADDDAY(VLOOKUP(I182,A:F,6,FALSE),H182+1,1)))=FALSE(),J_ADDDAY(VLOOKUP(I182,A:F,6,FALSE),H182+1,1),IF(OR(j_WEEKDAY(J_ADDDAY(VLOOKUP(I182,A:F,6,FALSE),H182+2,1),0)=6,SUMIFS(Holieday[ok],Holieday[date],J_ADDDAY(VLOOKUP(I182,A:F,6,FALSE),H182+2,1)))=FALSE(),J_ADDDAY(VLOOKUP(I182,A:F,6,FALSE),H182+2,1),IF(OR(j_WEEKDAY(J_ADDDAY(VLOOKUP(I182,A:F,6,FALSE),H182+3,1),0)=6,SUMIFS(Holieday[ok],Holieday[date],J_ADDDAY(VLOOKUP(I182,A:F,6,FALSE),H182+3,1)))=FALSE(),J_ADDDAY(VLOOKUP(I182,A:F,6,FALSE),H182+3,1),IF(OR(j_WEEKDAY(J_ADDDAY(VLOOKUP(I182,A:F,6,FALSE),H182+4,1),0)=6,SUMIFS(Holieday[ok],Holieday[date],J_ADDDAY(VLOOKUP(I182,A:F,6,FALSE),H182+4,1)))=FALSE(),J_ADDDAY(VLOOKUP(I182,A:F,6,FALSE),H182+4,1),J_ADDDAY(VLOOKUP(I182,A:F,6,FALSE),H182+5,1))))))</f>
        <v>1398/06/31</v>
      </c>
      <c r="E182" s="1">
        <f t="shared" si="50"/>
        <v>13980631</v>
      </c>
      <c r="F182" s="12" t="str">
        <f>IF(N182=0,J_SUBDAY(D182,1,1),IF((N182-NETWORKDAYS.INTL(J_GregorianDate(D182,1),J_GregorianDate(J_SUBDAY(J_ADDDAY(D182,N182,1),1,1),1),16,1)-SUMIFS(Holieday[ok],Holieday[date],CONCATENATE("&gt;","=",D182),Holieday[date],CONCATENATE("&lt;","=",J_SUBDAY(J_ADDDAY(D182,N182,1),1,1)))+SUMIFS(Holieday[Friday],Holieday[date],CONCATENATE("&gt;","=",D182),Holieday[date],CONCATENATE("&lt;","=",J_SUBDAY(J_ADDDAY(D182,N182,1),1,1))))=0,J_SUBDAY(J_ADDDAY(D182,N182,1),1,1),IF((N182-NETWORKDAYS.INTL(J_GregorianDate(D182,1),J_GregorianDate(J_SUBDAY(J_ADDDAY(D182,N182,1),1,1),1),16,1)-SUMIFS(Holieday[ok],Holieday[date],CONCATENATE("&gt;","=",D182),Holieday[date],CONCATENATE("&lt;","=",J_SUBDAY(J_ADDDAY(D182,N182,1),1,1)))+SUMIFS(Holieday[Friday],Holieday[date],CONCATENATE("&gt;","=",D182),Holieday[date],CONCATENATE("&lt;","=",J_SUBDAY(J_ADDDAY(D182,N182,1),1,1))))=1,J_SUBDAY(J_ADDDAY(D182,N182+1,1),1,1),IF((N182-NETWORKDAYS.INTL(J_GregorianDate(D182,1),J_GregorianDate(J_SUBDAY(J_ADDDAY(D182,N182,1),1,1),1),16,1)-SUMIFS(Holieday[ok],Holieday[date],CONCATENATE("&gt;","=",D182),Holieday[date],CONCATENATE("&lt;","=",J_SUBDAY(J_ADDDAY(D182,N182,1),1,1)))+SUMIFS(Holieday[Friday],Holieday[date],CONCATENATE("&gt;","=",D182),Holieday[date],CONCATENATE("&lt;","=",J_SUBDAY(J_ADDDAY(D182,N182,1),1,1))))=2,J_SUBDAY(J_ADDDAY(D182,N182+2,1),1,1),J_SUBDAY(J_ADDDAY(D182,N182+3,1),1,1)))))</f>
        <v>1398/06/30</v>
      </c>
      <c r="G182" s="2">
        <f t="shared" si="51"/>
        <v>13980630</v>
      </c>
      <c r="H182" s="109"/>
      <c r="I182" s="110">
        <v>1.1000000000000001</v>
      </c>
      <c r="J182" s="9">
        <f>j_WEEKDAY(D182,2)</f>
        <v>1</v>
      </c>
      <c r="K182" s="21">
        <f t="shared" si="62"/>
        <v>0</v>
      </c>
      <c r="L182" s="8">
        <f t="shared" si="63"/>
        <v>0</v>
      </c>
      <c r="M182" s="111">
        <v>0</v>
      </c>
      <c r="N182" s="108">
        <v>0</v>
      </c>
      <c r="O182" s="10">
        <f t="shared" si="60"/>
        <v>0</v>
      </c>
      <c r="P182" s="10">
        <f>VALUE(J_normdate(J_ADDDAY($D182,$O182,1)))</f>
        <v>13980631</v>
      </c>
      <c r="Q182" s="9">
        <f t="shared" si="61"/>
        <v>0</v>
      </c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  <c r="BB182" s="7"/>
      <c r="BC182" s="7"/>
      <c r="BD182" s="7"/>
      <c r="BE182" s="7"/>
      <c r="BF182" s="7"/>
      <c r="BG182" s="7"/>
      <c r="BH182" s="7"/>
      <c r="BI182" s="7"/>
      <c r="BJ182" s="7"/>
      <c r="BK182" s="7"/>
      <c r="BL182" s="7"/>
      <c r="BM182" s="7"/>
      <c r="BN182" s="7"/>
      <c r="BO182" s="7"/>
      <c r="BP182" s="7"/>
      <c r="BQ182" s="7"/>
      <c r="BR182" s="7"/>
      <c r="BS182" s="7"/>
      <c r="BT182" s="7"/>
      <c r="BU182" s="7"/>
      <c r="BV182" s="7"/>
      <c r="BW182" s="7"/>
      <c r="BX182" s="7"/>
      <c r="BY182" s="7"/>
      <c r="BZ182" s="7"/>
      <c r="CA182" s="7"/>
      <c r="CB182" s="7"/>
      <c r="CC182" s="7"/>
      <c r="CD182" s="7"/>
      <c r="CE182" s="7"/>
      <c r="CF182" s="7"/>
      <c r="CG182" s="7"/>
      <c r="CH182" s="7"/>
      <c r="CI182" s="7"/>
      <c r="CJ182" s="7"/>
      <c r="CK182" s="7"/>
      <c r="CL182" s="7"/>
      <c r="CM182" s="7"/>
      <c r="CN182" s="7"/>
      <c r="CO182" s="7"/>
      <c r="CP182" s="7"/>
      <c r="CQ182" s="7"/>
      <c r="CR182" s="7"/>
      <c r="CS182" s="7"/>
      <c r="CT182" s="7"/>
      <c r="CU182" s="7"/>
      <c r="CV182" s="7"/>
      <c r="CW182" s="7"/>
      <c r="CX182" s="7"/>
      <c r="CY182" s="7"/>
      <c r="CZ182" s="7"/>
      <c r="DA182" s="7"/>
      <c r="DB182" s="7"/>
      <c r="DC182" s="7"/>
      <c r="DD182" s="7"/>
      <c r="DE182" s="7"/>
      <c r="DF182" s="7"/>
      <c r="DG182" s="7"/>
      <c r="DH182" s="7"/>
      <c r="DI182" s="7"/>
      <c r="DJ182" s="7"/>
      <c r="DK182" s="7"/>
      <c r="DL182" s="7"/>
      <c r="DM182" s="7"/>
      <c r="DN182" s="7"/>
      <c r="DO182" s="7"/>
      <c r="DP182" s="7"/>
      <c r="DQ182" s="7"/>
      <c r="DR182" s="7"/>
      <c r="DS182" s="7"/>
      <c r="DT182" s="7"/>
      <c r="DU182" s="7"/>
      <c r="DV182" s="7"/>
      <c r="DW182" s="7"/>
      <c r="DX182" s="7"/>
      <c r="DY182" s="7"/>
      <c r="DZ182" s="7"/>
      <c r="EA182" s="7"/>
      <c r="EB182" s="7"/>
      <c r="EC182" s="7"/>
      <c r="ED182" s="7"/>
      <c r="EE182" s="7"/>
      <c r="EF182" s="7"/>
      <c r="EG182" s="7"/>
      <c r="EH182" s="7"/>
      <c r="EI182" s="7"/>
      <c r="EJ182" s="7"/>
      <c r="EK182" s="7"/>
      <c r="EL182" s="7"/>
      <c r="EM182" s="7"/>
      <c r="EN182" s="7"/>
      <c r="EO182" s="7"/>
      <c r="EP182" s="7"/>
      <c r="EQ182" s="7"/>
      <c r="ER182" s="7"/>
      <c r="ES182" s="7"/>
      <c r="ET182" s="7"/>
      <c r="EU182" s="7"/>
      <c r="EV182" s="7"/>
      <c r="EW182" s="7"/>
      <c r="EX182" s="7"/>
      <c r="EY182" s="7"/>
      <c r="EZ182" s="7"/>
      <c r="FA182" s="7"/>
      <c r="FB182" s="7"/>
      <c r="FC182" s="7"/>
      <c r="FD182" s="7"/>
      <c r="FE182" s="7"/>
      <c r="FF182" s="7"/>
      <c r="FG182" s="7"/>
      <c r="FH182" s="7"/>
      <c r="FI182" s="7"/>
      <c r="FJ182" s="7"/>
      <c r="FK182" s="7"/>
      <c r="FL182" s="7"/>
      <c r="FM182" s="7"/>
      <c r="FN182" s="7"/>
      <c r="FO182" s="7"/>
      <c r="FP182" s="7"/>
      <c r="FQ182" s="7"/>
      <c r="FR182" s="7"/>
      <c r="FS182" s="7"/>
      <c r="FT182" s="7"/>
      <c r="FU182" s="7"/>
      <c r="FV182" s="7"/>
      <c r="FW182" s="7"/>
      <c r="FX182" s="7"/>
      <c r="FY182" s="7"/>
      <c r="FZ182" s="7"/>
      <c r="GA182" s="7"/>
      <c r="GB182" s="7"/>
      <c r="GC182" s="7"/>
      <c r="GD182" s="7"/>
      <c r="GE182" s="7"/>
      <c r="GF182" s="7"/>
      <c r="GG182" s="7"/>
      <c r="GH182" s="7"/>
      <c r="GI182" s="7"/>
      <c r="GJ182" s="7"/>
      <c r="GK182" s="7"/>
      <c r="GL182" s="7"/>
      <c r="GM182" s="7"/>
      <c r="GN182" s="7"/>
      <c r="GO182" s="7"/>
      <c r="GP182" s="7"/>
      <c r="GQ182" s="7"/>
      <c r="GR182" s="7"/>
      <c r="GS182" s="7"/>
      <c r="GT182" s="7"/>
      <c r="GU182" s="7"/>
      <c r="GV182" s="7"/>
      <c r="GW182" s="7"/>
      <c r="GX182" s="7"/>
      <c r="GY182" s="7"/>
      <c r="GZ182" s="7"/>
      <c r="HA182" s="7"/>
      <c r="HB182" s="7"/>
      <c r="HC182" s="7"/>
      <c r="HD182" s="7"/>
      <c r="HE182" s="7"/>
      <c r="HF182" s="7"/>
      <c r="HG182" s="7"/>
      <c r="HH182" s="7"/>
      <c r="HI182" s="7"/>
      <c r="HJ182" s="7"/>
      <c r="HK182" s="7"/>
      <c r="HL182" s="7"/>
      <c r="HM182" s="7"/>
      <c r="HN182" s="7"/>
      <c r="HO182" s="7"/>
      <c r="HP182" s="7"/>
      <c r="HQ182" s="7"/>
      <c r="HR182" s="7"/>
      <c r="HS182" s="7"/>
      <c r="HT182" s="7"/>
      <c r="HU182" s="7"/>
      <c r="HV182" s="7"/>
      <c r="HW182" s="7"/>
      <c r="HX182" s="7"/>
      <c r="HY182" s="7"/>
      <c r="HZ182" s="7"/>
      <c r="IA182" s="7"/>
      <c r="IB182" s="7"/>
      <c r="IC182" s="7"/>
      <c r="ID182" s="7"/>
      <c r="IE182" s="7"/>
      <c r="IF182" s="7"/>
      <c r="IG182" s="7"/>
      <c r="IH182" s="7"/>
      <c r="II182" s="7"/>
      <c r="IJ182" s="7"/>
      <c r="IK182" s="7"/>
      <c r="IL182" s="7"/>
      <c r="IM182" s="7"/>
      <c r="IN182" s="7"/>
      <c r="IO182" s="7"/>
      <c r="IP182" s="7"/>
      <c r="IQ182" s="7"/>
      <c r="IR182" s="7"/>
      <c r="IS182" s="7"/>
      <c r="IT182" s="7"/>
      <c r="IU182" s="7"/>
      <c r="IV182" s="7"/>
      <c r="IW182" s="7"/>
      <c r="IX182" s="7"/>
      <c r="JA182" s="113"/>
      <c r="JB182" s="113"/>
      <c r="JC182" s="117"/>
      <c r="JD182" s="192">
        <f>SUM((TEXT(JA182,"[M]")/60)*'Income Person-hours'!$D$3,(TEXT(JB182,"[M]")/60)*'Income Person-hours'!$D$4,(TEXT(JC182,"[M]")/60)*'Income Person-hours'!$D$5)</f>
        <v>0</v>
      </c>
    </row>
    <row r="183" spans="1:264 16383:16384" s="191" customFormat="1" ht="11.25" hidden="1">
      <c r="A183" s="176">
        <v>8.4</v>
      </c>
      <c r="B183" s="106"/>
      <c r="C183" s="107"/>
      <c r="D183" s="172" t="str">
        <f>IF(OR(j_WEEKDAY(J_ADDDAY(VLOOKUP(I183,A:F,6,FALSE),H183,1),0)=6,SUMIFS(Holieday[ok],Holieday[date],J_ADDDAY(VLOOKUP(I183,A:F,6,FALSE),H183,1)))=FALSE(),J_ADDDAY(VLOOKUP(I183,A:F,6,FALSE),H183,1),IF(OR(j_WEEKDAY(J_ADDDAY(VLOOKUP(I183,A:F,6,FALSE),H183+1,1),0)=6,SUMIFS(Holieday[ok],Holieday[date],J_ADDDAY(VLOOKUP(I183,A:F,6,FALSE),H183+1,1)))=FALSE(),J_ADDDAY(VLOOKUP(I183,A:F,6,FALSE),H183+1,1),IF(OR(j_WEEKDAY(J_ADDDAY(VLOOKUP(I183,A:F,6,FALSE),H183+2,1),0)=6,SUMIFS(Holieday[ok],Holieday[date],J_ADDDAY(VLOOKUP(I183,A:F,6,FALSE),H183+2,1)))=FALSE(),J_ADDDAY(VLOOKUP(I183,A:F,6,FALSE),H183+2,1),IF(OR(j_WEEKDAY(J_ADDDAY(VLOOKUP(I183,A:F,6,FALSE),H183+3,1),0)=6,SUMIFS(Holieday[ok],Holieday[date],J_ADDDAY(VLOOKUP(I183,A:F,6,FALSE),H183+3,1)))=FALSE(),J_ADDDAY(VLOOKUP(I183,A:F,6,FALSE),H183+3,1),IF(OR(j_WEEKDAY(J_ADDDAY(VLOOKUP(I183,A:F,6,FALSE),H183+4,1),0)=6,SUMIFS(Holieday[ok],Holieday[date],J_ADDDAY(VLOOKUP(I183,A:F,6,FALSE),H183+4,1)))=FALSE(),J_ADDDAY(VLOOKUP(I183,A:F,6,FALSE),H183+4,1),J_ADDDAY(VLOOKUP(I183,A:F,6,FALSE),H183+5,1))))))</f>
        <v>1398/06/31</v>
      </c>
      <c r="E183" s="160">
        <f t="shared" si="50"/>
        <v>13980631</v>
      </c>
      <c r="F183" s="172" t="str">
        <f>IF(N183=0,J_SUBDAY(D183,1,1),IF((N183-NETWORKDAYS.INTL(J_GregorianDate(D183,1),J_GregorianDate(J_SUBDAY(J_ADDDAY(D183,N183,1),1,1),1),16,1)-SUMIFS(Holieday[ok],Holieday[date],CONCATENATE("&gt;","=",D183),Holieday[date],CONCATENATE("&lt;","=",J_SUBDAY(J_ADDDAY(D183,N183,1),1,1)))+SUMIFS(Holieday[Friday],Holieday[date],CONCATENATE("&gt;","=",D183),Holieday[date],CONCATENATE("&lt;","=",J_SUBDAY(J_ADDDAY(D183,N183,1),1,1))))=0,J_SUBDAY(J_ADDDAY(D183,N183,1),1,1),IF((N183-NETWORKDAYS.INTL(J_GregorianDate(D183,1),J_GregorianDate(J_SUBDAY(J_ADDDAY(D183,N183,1),1,1),1),16,1)-SUMIFS(Holieday[ok],Holieday[date],CONCATENATE("&gt;","=",D183),Holieday[date],CONCATENATE("&lt;","=",J_SUBDAY(J_ADDDAY(D183,N183,1),1,1)))+SUMIFS(Holieday[Friday],Holieday[date],CONCATENATE("&gt;","=",D183),Holieday[date],CONCATENATE("&lt;","=",J_SUBDAY(J_ADDDAY(D183,N183,1),1,1))))=1,J_SUBDAY(J_ADDDAY(D183,N183+1,1),1,1),IF((N183-NETWORKDAYS.INTL(J_GregorianDate(D183,1),J_GregorianDate(J_SUBDAY(J_ADDDAY(D183,N183,1),1,1),1),16,1)-SUMIFS(Holieday[ok],Holieday[date],CONCATENATE("&gt;","=",D183),Holieday[date],CONCATENATE("&lt;","=",J_SUBDAY(J_ADDDAY(D183,N183,1),1,1)))+SUMIFS(Holieday[Friday],Holieday[date],CONCATENATE("&gt;","=",D183),Holieday[date],CONCATENATE("&lt;","=",J_SUBDAY(J_ADDDAY(D183,N183,1),1,1))))=2,J_SUBDAY(J_ADDDAY(D183,N183+2,1),1,1),J_SUBDAY(J_ADDDAY(D183,N183+3,1),1,1)))))</f>
        <v>1398/06/30</v>
      </c>
      <c r="G183" s="163">
        <f t="shared" si="51"/>
        <v>13980630</v>
      </c>
      <c r="H183" s="109"/>
      <c r="I183" s="110">
        <v>1.1000000000000001</v>
      </c>
      <c r="J183" s="171">
        <f>j_WEEKDAY(D183,2)</f>
        <v>1</v>
      </c>
      <c r="K183" s="173">
        <f t="shared" si="62"/>
        <v>0</v>
      </c>
      <c r="L183" s="174">
        <f t="shared" si="63"/>
        <v>0</v>
      </c>
      <c r="M183" s="111">
        <v>0</v>
      </c>
      <c r="N183" s="108">
        <v>0</v>
      </c>
      <c r="O183" s="175">
        <f t="shared" si="60"/>
        <v>0</v>
      </c>
      <c r="P183" s="175">
        <f>VALUE(J_normdate(J_ADDDAY($D183,$O183,1)))</f>
        <v>13980631</v>
      </c>
      <c r="Q183" s="171">
        <f t="shared" si="61"/>
        <v>0</v>
      </c>
      <c r="R183" s="169"/>
      <c r="S183" s="169"/>
      <c r="T183" s="169"/>
      <c r="U183" s="169"/>
      <c r="V183" s="169"/>
      <c r="W183" s="169"/>
      <c r="X183" s="169"/>
      <c r="Y183" s="169"/>
      <c r="Z183" s="169"/>
      <c r="AA183" s="169"/>
      <c r="AB183" s="169"/>
      <c r="AC183" s="169"/>
      <c r="AD183" s="169"/>
      <c r="AE183" s="169"/>
      <c r="AF183" s="169"/>
      <c r="AG183" s="169"/>
      <c r="AH183" s="169"/>
      <c r="AI183" s="169"/>
      <c r="AJ183" s="169"/>
      <c r="AK183" s="169"/>
      <c r="AL183" s="169"/>
      <c r="AM183" s="169"/>
      <c r="AN183" s="169"/>
      <c r="AO183" s="169"/>
      <c r="AP183" s="169"/>
      <c r="AQ183" s="169"/>
      <c r="AR183" s="169"/>
      <c r="AS183" s="169"/>
      <c r="AT183" s="169"/>
      <c r="AU183" s="169"/>
      <c r="AV183" s="169"/>
      <c r="AW183" s="169"/>
      <c r="AX183" s="169"/>
      <c r="AY183" s="169"/>
      <c r="AZ183" s="169"/>
      <c r="BA183" s="169"/>
      <c r="BB183" s="169"/>
      <c r="BC183" s="169"/>
      <c r="BD183" s="169"/>
      <c r="BE183" s="169"/>
      <c r="BF183" s="169"/>
      <c r="BG183" s="169"/>
      <c r="BH183" s="169"/>
      <c r="BI183" s="169"/>
      <c r="BJ183" s="169"/>
      <c r="BK183" s="169"/>
      <c r="BL183" s="169"/>
      <c r="BM183" s="169"/>
      <c r="BN183" s="169"/>
      <c r="BO183" s="169"/>
      <c r="BP183" s="169"/>
      <c r="BQ183" s="169"/>
      <c r="BR183" s="169"/>
      <c r="BS183" s="169"/>
      <c r="BT183" s="169"/>
      <c r="BU183" s="169"/>
      <c r="BV183" s="169"/>
      <c r="BW183" s="169"/>
      <c r="BX183" s="169"/>
      <c r="BY183" s="169"/>
      <c r="BZ183" s="169"/>
      <c r="CA183" s="169"/>
      <c r="CB183" s="169"/>
      <c r="CC183" s="169"/>
      <c r="CD183" s="169"/>
      <c r="CE183" s="169"/>
      <c r="CF183" s="169"/>
      <c r="CG183" s="169"/>
      <c r="CH183" s="169"/>
      <c r="CI183" s="169"/>
      <c r="CJ183" s="169"/>
      <c r="CK183" s="169"/>
      <c r="CL183" s="169"/>
      <c r="CM183" s="169"/>
      <c r="CN183" s="169"/>
      <c r="CO183" s="169"/>
      <c r="CP183" s="169"/>
      <c r="CQ183" s="169"/>
      <c r="CR183" s="169"/>
      <c r="CS183" s="169"/>
      <c r="CT183" s="169"/>
      <c r="CU183" s="169"/>
      <c r="CV183" s="169"/>
      <c r="CW183" s="169"/>
      <c r="CX183" s="169"/>
      <c r="CY183" s="169"/>
      <c r="CZ183" s="169"/>
      <c r="DA183" s="169"/>
      <c r="DB183" s="169"/>
      <c r="DC183" s="169"/>
      <c r="DD183" s="169"/>
      <c r="DE183" s="169"/>
      <c r="DF183" s="169"/>
      <c r="DG183" s="169"/>
      <c r="DH183" s="169"/>
      <c r="DI183" s="169"/>
      <c r="DJ183" s="169"/>
      <c r="DK183" s="169"/>
      <c r="DL183" s="169"/>
      <c r="DM183" s="169"/>
      <c r="DN183" s="169"/>
      <c r="DO183" s="169"/>
      <c r="DP183" s="169"/>
      <c r="DQ183" s="169"/>
      <c r="DR183" s="169"/>
      <c r="DS183" s="169"/>
      <c r="DT183" s="169"/>
      <c r="DU183" s="169"/>
      <c r="DV183" s="169"/>
      <c r="DW183" s="169"/>
      <c r="DX183" s="169"/>
      <c r="DY183" s="169"/>
      <c r="DZ183" s="169"/>
      <c r="EA183" s="169"/>
      <c r="EB183" s="169"/>
      <c r="EC183" s="169"/>
      <c r="ED183" s="169"/>
      <c r="EE183" s="169"/>
      <c r="EF183" s="169"/>
      <c r="EG183" s="169"/>
      <c r="EH183" s="169"/>
      <c r="EI183" s="169"/>
      <c r="EJ183" s="169"/>
      <c r="EK183" s="169"/>
      <c r="EL183" s="169"/>
      <c r="EM183" s="169"/>
      <c r="EN183" s="169"/>
      <c r="EO183" s="169"/>
      <c r="EP183" s="169"/>
      <c r="EQ183" s="169"/>
      <c r="ER183" s="169"/>
      <c r="ES183" s="169"/>
      <c r="ET183" s="169"/>
      <c r="EU183" s="169"/>
      <c r="EV183" s="169"/>
      <c r="EW183" s="169"/>
      <c r="EX183" s="169"/>
      <c r="EY183" s="169"/>
      <c r="EZ183" s="169"/>
      <c r="FA183" s="169"/>
      <c r="FB183" s="169"/>
      <c r="FC183" s="169"/>
      <c r="FD183" s="169"/>
      <c r="FE183" s="169"/>
      <c r="FF183" s="169"/>
      <c r="FG183" s="169"/>
      <c r="FH183" s="169"/>
      <c r="FI183" s="169"/>
      <c r="FJ183" s="169"/>
      <c r="FK183" s="169"/>
      <c r="FL183" s="169"/>
      <c r="FM183" s="169"/>
      <c r="FN183" s="169"/>
      <c r="FO183" s="169"/>
      <c r="FP183" s="169"/>
      <c r="FQ183" s="169"/>
      <c r="FR183" s="169"/>
      <c r="FS183" s="169"/>
      <c r="FT183" s="169"/>
      <c r="FU183" s="169"/>
      <c r="FV183" s="169"/>
      <c r="FW183" s="169"/>
      <c r="FX183" s="169"/>
      <c r="FY183" s="169"/>
      <c r="FZ183" s="169"/>
      <c r="GA183" s="169"/>
      <c r="GB183" s="169"/>
      <c r="GC183" s="169"/>
      <c r="GD183" s="169"/>
      <c r="GE183" s="169"/>
      <c r="GF183" s="169"/>
      <c r="GG183" s="169"/>
      <c r="GH183" s="169"/>
      <c r="GI183" s="169"/>
      <c r="GJ183" s="169"/>
      <c r="GK183" s="169"/>
      <c r="GL183" s="169"/>
      <c r="GM183" s="169"/>
      <c r="GN183" s="169"/>
      <c r="GO183" s="169"/>
      <c r="GP183" s="169"/>
      <c r="GQ183" s="169"/>
      <c r="GR183" s="169"/>
      <c r="GS183" s="169"/>
      <c r="GT183" s="169"/>
      <c r="GU183" s="169"/>
      <c r="GV183" s="169"/>
      <c r="GW183" s="169"/>
      <c r="GX183" s="169"/>
      <c r="GY183" s="169"/>
      <c r="GZ183" s="169"/>
      <c r="HA183" s="169"/>
      <c r="HB183" s="169"/>
      <c r="HC183" s="169"/>
      <c r="HD183" s="169"/>
      <c r="HE183" s="169"/>
      <c r="HF183" s="169"/>
      <c r="HG183" s="169"/>
      <c r="HH183" s="169"/>
      <c r="HI183" s="169"/>
      <c r="HJ183" s="169"/>
      <c r="HK183" s="169"/>
      <c r="HL183" s="169"/>
      <c r="HM183" s="169"/>
      <c r="HN183" s="169"/>
      <c r="HO183" s="169"/>
      <c r="HP183" s="169"/>
      <c r="HQ183" s="169"/>
      <c r="HR183" s="169"/>
      <c r="HS183" s="169"/>
      <c r="HT183" s="169"/>
      <c r="HU183" s="169"/>
      <c r="HV183" s="169"/>
      <c r="HW183" s="169"/>
      <c r="HX183" s="169"/>
      <c r="HY183" s="169"/>
      <c r="HZ183" s="169"/>
      <c r="IA183" s="169"/>
      <c r="IB183" s="169"/>
      <c r="IC183" s="169"/>
      <c r="ID183" s="169"/>
      <c r="IE183" s="169"/>
      <c r="IF183" s="169"/>
      <c r="IG183" s="169"/>
      <c r="IH183" s="169"/>
      <c r="II183" s="169"/>
      <c r="IJ183" s="169"/>
      <c r="IK183" s="169"/>
      <c r="IL183" s="169"/>
      <c r="IM183" s="169"/>
      <c r="IN183" s="169"/>
      <c r="IO183" s="169"/>
      <c r="IP183" s="169"/>
      <c r="IQ183" s="169"/>
      <c r="IR183" s="169"/>
      <c r="IS183" s="169"/>
      <c r="IT183" s="169"/>
      <c r="IU183" s="169"/>
      <c r="IV183" s="169"/>
      <c r="IW183" s="169"/>
      <c r="IX183" s="169"/>
      <c r="IY183" s="11"/>
      <c r="IZ183" s="11"/>
      <c r="JA183" s="113"/>
      <c r="JC183" s="204"/>
      <c r="JD183" s="192">
        <f>SUM((TEXT(JA183,"[M]")/60)*'Income Person-hours'!$D$3,(TEXT(JB183,"[M]")/60)*'Income Person-hours'!$D$4,(TEXT(JC183,"[M]")/60)*'Income Person-hours'!$D$5)</f>
        <v>0</v>
      </c>
    </row>
    <row r="184" spans="1:264 16383:16384" s="11" customFormat="1" ht="11.25" hidden="1">
      <c r="A184" s="176">
        <v>8.5</v>
      </c>
      <c r="B184" s="106"/>
      <c r="C184" s="107"/>
      <c r="D184" s="12" t="str">
        <f>IF(OR(j_WEEKDAY(J_ADDDAY(VLOOKUP(I184,A:F,6,FALSE),H184,1),0)=6,SUMIFS(Holieday[ok],Holieday[date],J_ADDDAY(VLOOKUP(I184,A:F,6,FALSE),H184,1)))=FALSE(),J_ADDDAY(VLOOKUP(I184,A:F,6,FALSE),H184,1),IF(OR(j_WEEKDAY(J_ADDDAY(VLOOKUP(I184,A:F,6,FALSE),H184+1,1),0)=6,SUMIFS(Holieday[ok],Holieday[date],J_ADDDAY(VLOOKUP(I184,A:F,6,FALSE),H184+1,1)))=FALSE(),J_ADDDAY(VLOOKUP(I184,A:F,6,FALSE),H184+1,1),IF(OR(j_WEEKDAY(J_ADDDAY(VLOOKUP(I184,A:F,6,FALSE),H184+2,1),0)=6,SUMIFS(Holieday[ok],Holieday[date],J_ADDDAY(VLOOKUP(I184,A:F,6,FALSE),H184+2,1)))=FALSE(),J_ADDDAY(VLOOKUP(I184,A:F,6,FALSE),H184+2,1),IF(OR(j_WEEKDAY(J_ADDDAY(VLOOKUP(I184,A:F,6,FALSE),H184+3,1),0)=6,SUMIFS(Holieday[ok],Holieday[date],J_ADDDAY(VLOOKUP(I184,A:F,6,FALSE),H184+3,1)))=FALSE(),J_ADDDAY(VLOOKUP(I184,A:F,6,FALSE),H184+3,1),IF(OR(j_WEEKDAY(J_ADDDAY(VLOOKUP(I184,A:F,6,FALSE),H184+4,1),0)=6,SUMIFS(Holieday[ok],Holieday[date],J_ADDDAY(VLOOKUP(I184,A:F,6,FALSE),H184+4,1)))=FALSE(),J_ADDDAY(VLOOKUP(I184,A:F,6,FALSE),H184+4,1),J_ADDDAY(VLOOKUP(I184,A:F,6,FALSE),H184+5,1))))))</f>
        <v>1398/06/31</v>
      </c>
      <c r="E184" s="1">
        <f t="shared" si="50"/>
        <v>13980631</v>
      </c>
      <c r="F184" s="12" t="str">
        <f>IF(N184=0,J_SUBDAY(D184,1,1),IF((N184-NETWORKDAYS.INTL(J_GregorianDate(D184,1),J_GregorianDate(J_SUBDAY(J_ADDDAY(D184,N184,1),1,1),1),16,1)-SUMIFS(Holieday[ok],Holieday[date],CONCATENATE("&gt;","=",D184),Holieday[date],CONCATENATE("&lt;","=",J_SUBDAY(J_ADDDAY(D184,N184,1),1,1)))+SUMIFS(Holieday[Friday],Holieday[date],CONCATENATE("&gt;","=",D184),Holieday[date],CONCATENATE("&lt;","=",J_SUBDAY(J_ADDDAY(D184,N184,1),1,1))))=0,J_SUBDAY(J_ADDDAY(D184,N184,1),1,1),IF((N184-NETWORKDAYS.INTL(J_GregorianDate(D184,1),J_GregorianDate(J_SUBDAY(J_ADDDAY(D184,N184,1),1,1),1),16,1)-SUMIFS(Holieday[ok],Holieday[date],CONCATENATE("&gt;","=",D184),Holieday[date],CONCATENATE("&lt;","=",J_SUBDAY(J_ADDDAY(D184,N184,1),1,1)))+SUMIFS(Holieday[Friday],Holieday[date],CONCATENATE("&gt;","=",D184),Holieday[date],CONCATENATE("&lt;","=",J_SUBDAY(J_ADDDAY(D184,N184,1),1,1))))=1,J_SUBDAY(J_ADDDAY(D184,N184+1,1),1,1),IF((N184-NETWORKDAYS.INTL(J_GregorianDate(D184,1),J_GregorianDate(J_SUBDAY(J_ADDDAY(D184,N184,1),1,1),1),16,1)-SUMIFS(Holieday[ok],Holieday[date],CONCATENATE("&gt;","=",D184),Holieday[date],CONCATENATE("&lt;","=",J_SUBDAY(J_ADDDAY(D184,N184,1),1,1)))+SUMIFS(Holieday[Friday],Holieday[date],CONCATENATE("&gt;","=",D184),Holieday[date],CONCATENATE("&lt;","=",J_SUBDAY(J_ADDDAY(D184,N184,1),1,1))))=2,J_SUBDAY(J_ADDDAY(D184,N184+2,1),1,1),J_SUBDAY(J_ADDDAY(D184,N184+3,1),1,1)))))</f>
        <v>1398/06/30</v>
      </c>
      <c r="G184" s="2">
        <f t="shared" si="51"/>
        <v>13980630</v>
      </c>
      <c r="H184" s="109"/>
      <c r="I184" s="110">
        <v>1.1000000000000001</v>
      </c>
      <c r="J184" s="9">
        <f>j_WEEKDAY(D184,2)</f>
        <v>1</v>
      </c>
      <c r="K184" s="21">
        <f t="shared" si="62"/>
        <v>0</v>
      </c>
      <c r="L184" s="8">
        <f t="shared" si="63"/>
        <v>0</v>
      </c>
      <c r="M184" s="111">
        <v>0</v>
      </c>
      <c r="N184" s="108">
        <v>0</v>
      </c>
      <c r="O184" s="10">
        <f t="shared" si="60"/>
        <v>0</v>
      </c>
      <c r="P184" s="10">
        <f>VALUE(J_normdate(J_ADDDAY($D184,$O184,1)))</f>
        <v>13980631</v>
      </c>
      <c r="Q184" s="9">
        <f t="shared" si="61"/>
        <v>0</v>
      </c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  <c r="BB184" s="7"/>
      <c r="BC184" s="7"/>
      <c r="BD184" s="7"/>
      <c r="BE184" s="7"/>
      <c r="BF184" s="7"/>
      <c r="BG184" s="7"/>
      <c r="BH184" s="7"/>
      <c r="BI184" s="7"/>
      <c r="BJ184" s="7"/>
      <c r="BK184" s="7"/>
      <c r="BL184" s="7"/>
      <c r="BM184" s="7"/>
      <c r="BN184" s="7"/>
      <c r="BO184" s="7"/>
      <c r="BP184" s="7"/>
      <c r="BQ184" s="7"/>
      <c r="BR184" s="7"/>
      <c r="BS184" s="7"/>
      <c r="BT184" s="7"/>
      <c r="BU184" s="7"/>
      <c r="BV184" s="7"/>
      <c r="BW184" s="7"/>
      <c r="BX184" s="7"/>
      <c r="BY184" s="7"/>
      <c r="BZ184" s="7"/>
      <c r="CA184" s="7"/>
      <c r="CB184" s="7"/>
      <c r="CC184" s="7"/>
      <c r="CD184" s="7"/>
      <c r="CE184" s="7"/>
      <c r="CF184" s="7"/>
      <c r="CG184" s="7"/>
      <c r="CH184" s="7"/>
      <c r="CI184" s="7"/>
      <c r="CJ184" s="7"/>
      <c r="CK184" s="7"/>
      <c r="CL184" s="7"/>
      <c r="CM184" s="7"/>
      <c r="CN184" s="7"/>
      <c r="CO184" s="7"/>
      <c r="CP184" s="7"/>
      <c r="CQ184" s="7"/>
      <c r="CR184" s="7"/>
      <c r="CS184" s="7"/>
      <c r="CT184" s="7"/>
      <c r="CU184" s="7"/>
      <c r="CV184" s="7"/>
      <c r="CW184" s="7"/>
      <c r="CX184" s="7"/>
      <c r="CY184" s="7"/>
      <c r="CZ184" s="7"/>
      <c r="DA184" s="7"/>
      <c r="DB184" s="7"/>
      <c r="DC184" s="7"/>
      <c r="DD184" s="7"/>
      <c r="DE184" s="7"/>
      <c r="DF184" s="7"/>
      <c r="DG184" s="7"/>
      <c r="DH184" s="7"/>
      <c r="DI184" s="7"/>
      <c r="DJ184" s="7"/>
      <c r="DK184" s="7"/>
      <c r="DL184" s="7"/>
      <c r="DM184" s="7"/>
      <c r="DN184" s="7"/>
      <c r="DO184" s="7"/>
      <c r="DP184" s="7"/>
      <c r="DQ184" s="7"/>
      <c r="DR184" s="7"/>
      <c r="DS184" s="7"/>
      <c r="DT184" s="7"/>
      <c r="DU184" s="7"/>
      <c r="DV184" s="7"/>
      <c r="DW184" s="7"/>
      <c r="DX184" s="7"/>
      <c r="DY184" s="7"/>
      <c r="DZ184" s="7"/>
      <c r="EA184" s="7"/>
      <c r="EB184" s="7"/>
      <c r="EC184" s="7"/>
      <c r="ED184" s="7"/>
      <c r="EE184" s="7"/>
      <c r="EF184" s="7"/>
      <c r="EG184" s="7"/>
      <c r="EH184" s="7"/>
      <c r="EI184" s="7"/>
      <c r="EJ184" s="7"/>
      <c r="EK184" s="7"/>
      <c r="EL184" s="7"/>
      <c r="EM184" s="7"/>
      <c r="EN184" s="7"/>
      <c r="EO184" s="7"/>
      <c r="EP184" s="7"/>
      <c r="EQ184" s="7"/>
      <c r="ER184" s="7"/>
      <c r="ES184" s="7"/>
      <c r="ET184" s="7"/>
      <c r="EU184" s="7"/>
      <c r="EV184" s="7"/>
      <c r="EW184" s="7"/>
      <c r="EX184" s="7"/>
      <c r="EY184" s="7"/>
      <c r="EZ184" s="7"/>
      <c r="FA184" s="7"/>
      <c r="FB184" s="7"/>
      <c r="FC184" s="7"/>
      <c r="FD184" s="7"/>
      <c r="FE184" s="7"/>
      <c r="FF184" s="7"/>
      <c r="FG184" s="7"/>
      <c r="FH184" s="7"/>
      <c r="FI184" s="7"/>
      <c r="FJ184" s="7"/>
      <c r="FK184" s="7"/>
      <c r="FL184" s="7"/>
      <c r="FM184" s="7"/>
      <c r="FN184" s="7"/>
      <c r="FO184" s="7"/>
      <c r="FP184" s="7"/>
      <c r="FQ184" s="7"/>
      <c r="FR184" s="7"/>
      <c r="FS184" s="7"/>
      <c r="FT184" s="7"/>
      <c r="FU184" s="7"/>
      <c r="FV184" s="7"/>
      <c r="FW184" s="7"/>
      <c r="FX184" s="7"/>
      <c r="FY184" s="7"/>
      <c r="FZ184" s="7"/>
      <c r="GA184" s="7"/>
      <c r="GB184" s="7"/>
      <c r="GC184" s="7"/>
      <c r="GD184" s="7"/>
      <c r="GE184" s="7"/>
      <c r="GF184" s="7"/>
      <c r="GG184" s="7"/>
      <c r="GH184" s="7"/>
      <c r="GI184" s="7"/>
      <c r="GJ184" s="7"/>
      <c r="GK184" s="7"/>
      <c r="GL184" s="7"/>
      <c r="GM184" s="7"/>
      <c r="GN184" s="7"/>
      <c r="GO184" s="7"/>
      <c r="GP184" s="7"/>
      <c r="GQ184" s="7"/>
      <c r="GR184" s="7"/>
      <c r="GS184" s="7"/>
      <c r="GT184" s="7"/>
      <c r="GU184" s="7"/>
      <c r="GV184" s="7"/>
      <c r="GW184" s="7"/>
      <c r="GX184" s="7"/>
      <c r="GY184" s="7"/>
      <c r="GZ184" s="7"/>
      <c r="HA184" s="7"/>
      <c r="HB184" s="7"/>
      <c r="HC184" s="7"/>
      <c r="HD184" s="7"/>
      <c r="HE184" s="7"/>
      <c r="HF184" s="7"/>
      <c r="HG184" s="7"/>
      <c r="HH184" s="7"/>
      <c r="HI184" s="7"/>
      <c r="HJ184" s="7"/>
      <c r="HK184" s="7"/>
      <c r="HL184" s="7"/>
      <c r="HM184" s="7"/>
      <c r="HN184" s="7"/>
      <c r="HO184" s="7"/>
      <c r="HP184" s="7"/>
      <c r="HQ184" s="7"/>
      <c r="HR184" s="7"/>
      <c r="HS184" s="7"/>
      <c r="HT184" s="7"/>
      <c r="HU184" s="7"/>
      <c r="HV184" s="7"/>
      <c r="HW184" s="7"/>
      <c r="HX184" s="7"/>
      <c r="HY184" s="7"/>
      <c r="HZ184" s="7"/>
      <c r="IA184" s="7"/>
      <c r="IB184" s="7"/>
      <c r="IC184" s="7"/>
      <c r="ID184" s="7"/>
      <c r="IE184" s="7"/>
      <c r="IF184" s="7"/>
      <c r="IG184" s="7"/>
      <c r="IH184" s="7"/>
      <c r="II184" s="7"/>
      <c r="IJ184" s="7"/>
      <c r="IK184" s="7"/>
      <c r="IL184" s="7"/>
      <c r="IM184" s="7"/>
      <c r="IN184" s="7"/>
      <c r="IO184" s="7"/>
      <c r="IP184" s="7"/>
      <c r="IQ184" s="7"/>
      <c r="IR184" s="7"/>
      <c r="IS184" s="7"/>
      <c r="IT184" s="7"/>
      <c r="IU184" s="7"/>
      <c r="IV184" s="7"/>
      <c r="IW184" s="7"/>
      <c r="IX184" s="7"/>
      <c r="JA184" s="113"/>
      <c r="JB184" s="113"/>
      <c r="JC184" s="113"/>
      <c r="JD184" s="192">
        <f>SUM((TEXT(JA184,"[M]")/60)*'Income Person-hours'!$D$3,(TEXT(JB184,"[M]")/60)*'Income Person-hours'!$D$4,(TEXT(JC184,"[M]")/60)*'Income Person-hours'!$D$5)</f>
        <v>0</v>
      </c>
    </row>
    <row r="185" spans="1:264 16383:16384" s="11" customFormat="1" ht="11.25" hidden="1">
      <c r="A185" s="30">
        <v>8.6</v>
      </c>
      <c r="B185" s="106"/>
      <c r="C185" s="107"/>
      <c r="D185" s="12" t="str">
        <f>IF(OR(j_WEEKDAY(J_ADDDAY(VLOOKUP(I185,A:F,6,FALSE),H185,1),0)=6,SUMIFS(Holieday[ok],Holieday[date],J_ADDDAY(VLOOKUP(I185,A:F,6,FALSE),H185,1)))=FALSE(),J_ADDDAY(VLOOKUP(I185,A:F,6,FALSE),H185,1),IF(OR(j_WEEKDAY(J_ADDDAY(VLOOKUP(I185,A:F,6,FALSE),H185+1,1),0)=6,SUMIFS(Holieday[ok],Holieday[date],J_ADDDAY(VLOOKUP(I185,A:F,6,FALSE),H185+1,1)))=FALSE(),J_ADDDAY(VLOOKUP(I185,A:F,6,FALSE),H185+1,1),IF(OR(j_WEEKDAY(J_ADDDAY(VLOOKUP(I185,A:F,6,FALSE),H185+2,1),0)=6,SUMIFS(Holieday[ok],Holieday[date],J_ADDDAY(VLOOKUP(I185,A:F,6,FALSE),H185+2,1)))=FALSE(),J_ADDDAY(VLOOKUP(I185,A:F,6,FALSE),H185+2,1),IF(OR(j_WEEKDAY(J_ADDDAY(VLOOKUP(I185,A:F,6,FALSE),H185+3,1),0)=6,SUMIFS(Holieday[ok],Holieday[date],J_ADDDAY(VLOOKUP(I185,A:F,6,FALSE),H185+3,1)))=FALSE(),J_ADDDAY(VLOOKUP(I185,A:F,6,FALSE),H185+3,1),IF(OR(j_WEEKDAY(J_ADDDAY(VLOOKUP(I185,A:F,6,FALSE),H185+4,1),0)=6,SUMIFS(Holieday[ok],Holieday[date],J_ADDDAY(VLOOKUP(I185,A:F,6,FALSE),H185+4,1)))=FALSE(),J_ADDDAY(VLOOKUP(I185,A:F,6,FALSE),H185+4,1),J_ADDDAY(VLOOKUP(I185,A:F,6,FALSE),H185+5,1))))))</f>
        <v>1398/06/31</v>
      </c>
      <c r="E185" s="1">
        <f t="shared" si="50"/>
        <v>13980631</v>
      </c>
      <c r="F185" s="12" t="str">
        <f>IF(N185=0,J_SUBDAY(D185,1,1),IF((N185-NETWORKDAYS.INTL(J_GregorianDate(D185,1),J_GregorianDate(J_SUBDAY(J_ADDDAY(D185,N185,1),1,1),1),16,1)-SUMIFS(Holieday[ok],Holieday[date],CONCATENATE("&gt;","=",D185),Holieday[date],CONCATENATE("&lt;","=",J_SUBDAY(J_ADDDAY(D185,N185,1),1,1)))+SUMIFS(Holieday[Friday],Holieday[date],CONCATENATE("&gt;","=",D185),Holieday[date],CONCATENATE("&lt;","=",J_SUBDAY(J_ADDDAY(D185,N185,1),1,1))))=0,J_SUBDAY(J_ADDDAY(D185,N185,1),1,1),IF((N185-NETWORKDAYS.INTL(J_GregorianDate(D185,1),J_GregorianDate(J_SUBDAY(J_ADDDAY(D185,N185,1),1,1),1),16,1)-SUMIFS(Holieday[ok],Holieday[date],CONCATENATE("&gt;","=",D185),Holieday[date],CONCATENATE("&lt;","=",J_SUBDAY(J_ADDDAY(D185,N185,1),1,1)))+SUMIFS(Holieday[Friday],Holieday[date],CONCATENATE("&gt;","=",D185),Holieday[date],CONCATENATE("&lt;","=",J_SUBDAY(J_ADDDAY(D185,N185,1),1,1))))=1,J_SUBDAY(J_ADDDAY(D185,N185+1,1),1,1),IF((N185-NETWORKDAYS.INTL(J_GregorianDate(D185,1),J_GregorianDate(J_SUBDAY(J_ADDDAY(D185,N185,1),1,1),1),16,1)-SUMIFS(Holieday[ok],Holieday[date],CONCATENATE("&gt;","=",D185),Holieday[date],CONCATENATE("&lt;","=",J_SUBDAY(J_ADDDAY(D185,N185,1),1,1)))+SUMIFS(Holieday[Friday],Holieday[date],CONCATENATE("&gt;","=",D185),Holieday[date],CONCATENATE("&lt;","=",J_SUBDAY(J_ADDDAY(D185,N185,1),1,1))))=2,J_SUBDAY(J_ADDDAY(D185,N185+2,1),1,1),J_SUBDAY(J_ADDDAY(D185,N185+3,1),1,1)))))</f>
        <v>1398/06/30</v>
      </c>
      <c r="G185" s="2">
        <f t="shared" si="51"/>
        <v>13980630</v>
      </c>
      <c r="H185" s="109"/>
      <c r="I185" s="110">
        <v>1.1000000000000001</v>
      </c>
      <c r="J185" s="9">
        <f>j_WEEKDAY(D185,2)</f>
        <v>1</v>
      </c>
      <c r="K185" s="21">
        <f t="shared" si="62"/>
        <v>0</v>
      </c>
      <c r="L185" s="8">
        <f t="shared" si="63"/>
        <v>0</v>
      </c>
      <c r="M185" s="111">
        <v>0</v>
      </c>
      <c r="N185" s="108">
        <v>0</v>
      </c>
      <c r="O185" s="10">
        <f t="shared" si="60"/>
        <v>0</v>
      </c>
      <c r="P185" s="10">
        <f>VALUE(J_normdate(J_ADDDAY($D185,$O185,1)))</f>
        <v>13980631</v>
      </c>
      <c r="Q185" s="9">
        <f t="shared" si="61"/>
        <v>0</v>
      </c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  <c r="BB185" s="7"/>
      <c r="BC185" s="7"/>
      <c r="BD185" s="7"/>
      <c r="BE185" s="7"/>
      <c r="BF185" s="7"/>
      <c r="BG185" s="7"/>
      <c r="BH185" s="7"/>
      <c r="BI185" s="7"/>
      <c r="BJ185" s="7"/>
      <c r="BK185" s="7"/>
      <c r="BL185" s="7"/>
      <c r="BM185" s="7"/>
      <c r="BN185" s="7"/>
      <c r="BO185" s="7"/>
      <c r="BP185" s="7"/>
      <c r="BQ185" s="7"/>
      <c r="BR185" s="7"/>
      <c r="BS185" s="7"/>
      <c r="BT185" s="7"/>
      <c r="BU185" s="7"/>
      <c r="BV185" s="7"/>
      <c r="BW185" s="7"/>
      <c r="BX185" s="7"/>
      <c r="BY185" s="7"/>
      <c r="BZ185" s="7"/>
      <c r="CA185" s="7"/>
      <c r="CB185" s="7"/>
      <c r="CC185" s="7"/>
      <c r="CD185" s="7"/>
      <c r="CE185" s="7"/>
      <c r="CF185" s="7"/>
      <c r="CG185" s="7"/>
      <c r="CH185" s="7"/>
      <c r="CI185" s="7"/>
      <c r="CJ185" s="7"/>
      <c r="CK185" s="7"/>
      <c r="CL185" s="7"/>
      <c r="CM185" s="7"/>
      <c r="CN185" s="7"/>
      <c r="CO185" s="7"/>
      <c r="CP185" s="7"/>
      <c r="CQ185" s="7"/>
      <c r="CR185" s="7"/>
      <c r="CS185" s="7"/>
      <c r="CT185" s="7"/>
      <c r="CU185" s="7"/>
      <c r="CV185" s="7"/>
      <c r="CW185" s="7"/>
      <c r="CX185" s="7"/>
      <c r="CY185" s="7"/>
      <c r="CZ185" s="7"/>
      <c r="DA185" s="7"/>
      <c r="DB185" s="7"/>
      <c r="DC185" s="7"/>
      <c r="DD185" s="7"/>
      <c r="DE185" s="7"/>
      <c r="DF185" s="7"/>
      <c r="DG185" s="7"/>
      <c r="DH185" s="7"/>
      <c r="DI185" s="7"/>
      <c r="DJ185" s="7"/>
      <c r="DK185" s="7"/>
      <c r="DL185" s="7"/>
      <c r="DM185" s="7"/>
      <c r="DN185" s="7"/>
      <c r="DO185" s="7"/>
      <c r="DP185" s="7"/>
      <c r="DQ185" s="7"/>
      <c r="DR185" s="7"/>
      <c r="DS185" s="7"/>
      <c r="DT185" s="7"/>
      <c r="DU185" s="7"/>
      <c r="DV185" s="7"/>
      <c r="DW185" s="7"/>
      <c r="DX185" s="7"/>
      <c r="DY185" s="7"/>
      <c r="DZ185" s="7"/>
      <c r="EA185" s="7"/>
      <c r="EB185" s="7"/>
      <c r="EC185" s="7"/>
      <c r="ED185" s="7"/>
      <c r="EE185" s="7"/>
      <c r="EF185" s="7"/>
      <c r="EG185" s="7"/>
      <c r="EH185" s="7"/>
      <c r="EI185" s="7"/>
      <c r="EJ185" s="7"/>
      <c r="EK185" s="7"/>
      <c r="EL185" s="7"/>
      <c r="EM185" s="7"/>
      <c r="EN185" s="7"/>
      <c r="EO185" s="7"/>
      <c r="EP185" s="7"/>
      <c r="EQ185" s="7"/>
      <c r="ER185" s="7"/>
      <c r="ES185" s="7"/>
      <c r="ET185" s="7"/>
      <c r="EU185" s="7"/>
      <c r="EV185" s="7"/>
      <c r="EW185" s="7"/>
      <c r="EX185" s="7"/>
      <c r="EY185" s="7"/>
      <c r="EZ185" s="7"/>
      <c r="FA185" s="7"/>
      <c r="FB185" s="7"/>
      <c r="FC185" s="7"/>
      <c r="FD185" s="7"/>
      <c r="FE185" s="7"/>
      <c r="FF185" s="7"/>
      <c r="FG185" s="7"/>
      <c r="FH185" s="7"/>
      <c r="FI185" s="7"/>
      <c r="FJ185" s="7"/>
      <c r="FK185" s="7"/>
      <c r="FL185" s="7"/>
      <c r="FM185" s="7"/>
      <c r="FN185" s="7"/>
      <c r="FO185" s="7"/>
      <c r="FP185" s="7"/>
      <c r="FQ185" s="7"/>
      <c r="FR185" s="7"/>
      <c r="FS185" s="7"/>
      <c r="FT185" s="7"/>
      <c r="FU185" s="7"/>
      <c r="FV185" s="7"/>
      <c r="FW185" s="7"/>
      <c r="FX185" s="7"/>
      <c r="FY185" s="7"/>
      <c r="FZ185" s="7"/>
      <c r="GA185" s="7"/>
      <c r="GB185" s="7"/>
      <c r="GC185" s="7"/>
      <c r="GD185" s="7"/>
      <c r="GE185" s="7"/>
      <c r="GF185" s="7"/>
      <c r="GG185" s="7"/>
      <c r="GH185" s="7"/>
      <c r="GI185" s="7"/>
      <c r="GJ185" s="7"/>
      <c r="GK185" s="7"/>
      <c r="GL185" s="7"/>
      <c r="GM185" s="7"/>
      <c r="GN185" s="7"/>
      <c r="GO185" s="7"/>
      <c r="GP185" s="7"/>
      <c r="GQ185" s="7"/>
      <c r="GR185" s="7"/>
      <c r="GS185" s="7"/>
      <c r="GT185" s="7"/>
      <c r="GU185" s="7"/>
      <c r="GV185" s="7"/>
      <c r="GW185" s="7"/>
      <c r="GX185" s="7"/>
      <c r="GY185" s="7"/>
      <c r="GZ185" s="7"/>
      <c r="HA185" s="7"/>
      <c r="HB185" s="7"/>
      <c r="HC185" s="7"/>
      <c r="HD185" s="7"/>
      <c r="HE185" s="7"/>
      <c r="HF185" s="7"/>
      <c r="HG185" s="7"/>
      <c r="HH185" s="7"/>
      <c r="HI185" s="7"/>
      <c r="HJ185" s="7"/>
      <c r="HK185" s="7"/>
      <c r="HL185" s="7"/>
      <c r="HM185" s="7"/>
      <c r="HN185" s="7"/>
      <c r="HO185" s="7"/>
      <c r="HP185" s="7"/>
      <c r="HQ185" s="7"/>
      <c r="HR185" s="7"/>
      <c r="HS185" s="7"/>
      <c r="HT185" s="7"/>
      <c r="HU185" s="7"/>
      <c r="HV185" s="7"/>
      <c r="HW185" s="7"/>
      <c r="HX185" s="7"/>
      <c r="HY185" s="7"/>
      <c r="HZ185" s="7"/>
      <c r="IA185" s="7"/>
      <c r="IB185" s="7"/>
      <c r="IC185" s="7"/>
      <c r="ID185" s="7"/>
      <c r="IE185" s="7"/>
      <c r="IF185" s="7"/>
      <c r="IG185" s="7"/>
      <c r="IH185" s="7"/>
      <c r="II185" s="7"/>
      <c r="IJ185" s="7"/>
      <c r="IK185" s="7"/>
      <c r="IL185" s="7"/>
      <c r="IM185" s="7"/>
      <c r="IN185" s="7"/>
      <c r="IO185" s="7"/>
      <c r="IP185" s="7"/>
      <c r="IQ185" s="7"/>
      <c r="IR185" s="7"/>
      <c r="IS185" s="7"/>
      <c r="IT185" s="7"/>
      <c r="IU185" s="7"/>
      <c r="IV185" s="7"/>
      <c r="IW185" s="7"/>
      <c r="IX185" s="7"/>
      <c r="JA185" s="113"/>
      <c r="JB185" s="113"/>
      <c r="JC185" s="113"/>
      <c r="JD185" s="66">
        <f>SUM((TEXT(JA185,"[M]")/60)*'Income Person-hours'!$D$3,(TEXT(JB185,"[M]")/60)*'Income Person-hours'!$D$4,(TEXT(JC185,"[M]")/60)*'Income Person-hours'!$D$5)</f>
        <v>0</v>
      </c>
    </row>
    <row r="186" spans="1:264 16383:16384" s="11" customFormat="1" ht="11.25" hidden="1">
      <c r="A186" s="30">
        <v>8.6999999999999993</v>
      </c>
      <c r="B186" s="116"/>
      <c r="C186" s="107"/>
      <c r="D186" s="12" t="str">
        <f>IF(OR(j_WEEKDAY(J_ADDDAY(VLOOKUP(I186,A:F,6,FALSE),H186,1),0)=6,SUMIFS(Holieday[ok],Holieday[date],J_ADDDAY(VLOOKUP(I186,A:F,6,FALSE),H186,1)))=FALSE(),J_ADDDAY(VLOOKUP(I186,A:F,6,FALSE),H186,1),IF(OR(j_WEEKDAY(J_ADDDAY(VLOOKUP(I186,A:F,6,FALSE),H186+1,1),0)=6,SUMIFS(Holieday[ok],Holieday[date],J_ADDDAY(VLOOKUP(I186,A:F,6,FALSE),H186+1,1)))=FALSE(),J_ADDDAY(VLOOKUP(I186,A:F,6,FALSE),H186+1,1),IF(OR(j_WEEKDAY(J_ADDDAY(VLOOKUP(I186,A:F,6,FALSE),H186+2,1),0)=6,SUMIFS(Holieday[ok],Holieday[date],J_ADDDAY(VLOOKUP(I186,A:F,6,FALSE),H186+2,1)))=FALSE(),J_ADDDAY(VLOOKUP(I186,A:F,6,FALSE),H186+2,1),IF(OR(j_WEEKDAY(J_ADDDAY(VLOOKUP(I186,A:F,6,FALSE),H186+3,1),0)=6,SUMIFS(Holieday[ok],Holieday[date],J_ADDDAY(VLOOKUP(I186,A:F,6,FALSE),H186+3,1)))=FALSE(),J_ADDDAY(VLOOKUP(I186,A:F,6,FALSE),H186+3,1),IF(OR(j_WEEKDAY(J_ADDDAY(VLOOKUP(I186,A:F,6,FALSE),H186+4,1),0)=6,SUMIFS(Holieday[ok],Holieday[date],J_ADDDAY(VLOOKUP(I186,A:F,6,FALSE),H186+4,1)))=FALSE(),J_ADDDAY(VLOOKUP(I186,A:F,6,FALSE),H186+4,1),J_ADDDAY(VLOOKUP(I186,A:F,6,FALSE),H186+5,1))))))</f>
        <v>1398/06/31</v>
      </c>
      <c r="E186" s="1">
        <f t="shared" si="50"/>
        <v>13980631</v>
      </c>
      <c r="F186" s="12" t="str">
        <f>IF(N186=0,J_SUBDAY(D186,1,1),IF((N186-NETWORKDAYS.INTL(J_GregorianDate(D186,1),J_GregorianDate(J_SUBDAY(J_ADDDAY(D186,N186,1),1,1),1),16,1)-SUMIFS(Holieday[ok],Holieday[date],CONCATENATE("&gt;","=",D186),Holieday[date],CONCATENATE("&lt;","=",J_SUBDAY(J_ADDDAY(D186,N186,1),1,1)))+SUMIFS(Holieday[Friday],Holieday[date],CONCATENATE("&gt;","=",D186),Holieday[date],CONCATENATE("&lt;","=",J_SUBDAY(J_ADDDAY(D186,N186,1),1,1))))=0,J_SUBDAY(J_ADDDAY(D186,N186,1),1,1),IF((N186-NETWORKDAYS.INTL(J_GregorianDate(D186,1),J_GregorianDate(J_SUBDAY(J_ADDDAY(D186,N186,1),1,1),1),16,1)-SUMIFS(Holieday[ok],Holieday[date],CONCATENATE("&gt;","=",D186),Holieday[date],CONCATENATE("&lt;","=",J_SUBDAY(J_ADDDAY(D186,N186,1),1,1)))+SUMIFS(Holieday[Friday],Holieday[date],CONCATENATE("&gt;","=",D186),Holieday[date],CONCATENATE("&lt;","=",J_SUBDAY(J_ADDDAY(D186,N186,1),1,1))))=1,J_SUBDAY(J_ADDDAY(D186,N186+1,1),1,1),IF((N186-NETWORKDAYS.INTL(J_GregorianDate(D186,1),J_GregorianDate(J_SUBDAY(J_ADDDAY(D186,N186,1),1,1),1),16,1)-SUMIFS(Holieday[ok],Holieday[date],CONCATENATE("&gt;","=",D186),Holieday[date],CONCATENATE("&lt;","=",J_SUBDAY(J_ADDDAY(D186,N186,1),1,1)))+SUMIFS(Holieday[Friday],Holieday[date],CONCATENATE("&gt;","=",D186),Holieday[date],CONCATENATE("&lt;","=",J_SUBDAY(J_ADDDAY(D186,N186,1),1,1))))=2,J_SUBDAY(J_ADDDAY(D186,N186+2,1),1,1),J_SUBDAY(J_ADDDAY(D186,N186+3,1),1,1)))))</f>
        <v>1398/06/30</v>
      </c>
      <c r="G186" s="2">
        <f t="shared" si="51"/>
        <v>13980630</v>
      </c>
      <c r="H186" s="109"/>
      <c r="I186" s="110">
        <v>1.1000000000000001</v>
      </c>
      <c r="J186" s="9">
        <f>j_WEEKDAY(D186,2)</f>
        <v>1</v>
      </c>
      <c r="K186" s="21">
        <f t="shared" si="62"/>
        <v>0</v>
      </c>
      <c r="L186" s="8">
        <f t="shared" si="63"/>
        <v>0</v>
      </c>
      <c r="M186" s="111">
        <v>0</v>
      </c>
      <c r="N186" s="108">
        <v>0</v>
      </c>
      <c r="O186" s="10">
        <f t="shared" si="60"/>
        <v>0</v>
      </c>
      <c r="P186" s="10">
        <f>VALUE(J_normdate(J_ADDDAY($D186,$O186,1)))</f>
        <v>13980631</v>
      </c>
      <c r="Q186" s="9">
        <f t="shared" si="61"/>
        <v>0</v>
      </c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  <c r="BB186" s="7"/>
      <c r="BC186" s="7"/>
      <c r="BD186" s="7"/>
      <c r="BE186" s="7"/>
      <c r="BF186" s="7"/>
      <c r="BG186" s="7"/>
      <c r="BH186" s="7"/>
      <c r="BI186" s="7"/>
      <c r="BJ186" s="7"/>
      <c r="BK186" s="7"/>
      <c r="BL186" s="7"/>
      <c r="BM186" s="7"/>
      <c r="BN186" s="7"/>
      <c r="BO186" s="7"/>
      <c r="BP186" s="7"/>
      <c r="BQ186" s="7"/>
      <c r="BR186" s="7"/>
      <c r="BS186" s="7"/>
      <c r="BT186" s="7"/>
      <c r="BU186" s="7"/>
      <c r="BV186" s="7"/>
      <c r="BW186" s="7"/>
      <c r="BX186" s="7"/>
      <c r="BY186" s="7"/>
      <c r="BZ186" s="7"/>
      <c r="CA186" s="7"/>
      <c r="CB186" s="7"/>
      <c r="CC186" s="7"/>
      <c r="CD186" s="7"/>
      <c r="CE186" s="7"/>
      <c r="CF186" s="7"/>
      <c r="CG186" s="7"/>
      <c r="CH186" s="7"/>
      <c r="CI186" s="7"/>
      <c r="CJ186" s="7"/>
      <c r="CK186" s="7"/>
      <c r="CL186" s="7"/>
      <c r="CM186" s="7"/>
      <c r="CN186" s="7"/>
      <c r="CO186" s="7"/>
      <c r="CP186" s="7"/>
      <c r="CQ186" s="7"/>
      <c r="CR186" s="7"/>
      <c r="CS186" s="7"/>
      <c r="CT186" s="7"/>
      <c r="CU186" s="7"/>
      <c r="CV186" s="7"/>
      <c r="CW186" s="7"/>
      <c r="CX186" s="7"/>
      <c r="CY186" s="7"/>
      <c r="CZ186" s="7"/>
      <c r="DA186" s="7"/>
      <c r="DB186" s="7"/>
      <c r="DC186" s="7"/>
      <c r="DD186" s="7"/>
      <c r="DE186" s="7"/>
      <c r="DF186" s="7"/>
      <c r="DG186" s="7"/>
      <c r="DH186" s="7"/>
      <c r="DI186" s="7"/>
      <c r="DJ186" s="7"/>
      <c r="DK186" s="7"/>
      <c r="DL186" s="7"/>
      <c r="DM186" s="7"/>
      <c r="DN186" s="7"/>
      <c r="DO186" s="7"/>
      <c r="DP186" s="7"/>
      <c r="DQ186" s="7"/>
      <c r="DR186" s="7"/>
      <c r="DS186" s="7"/>
      <c r="DT186" s="7"/>
      <c r="DU186" s="7"/>
      <c r="DV186" s="7"/>
      <c r="DW186" s="7"/>
      <c r="DX186" s="7"/>
      <c r="DY186" s="7"/>
      <c r="DZ186" s="7"/>
      <c r="EA186" s="7"/>
      <c r="EB186" s="7"/>
      <c r="EC186" s="7"/>
      <c r="ED186" s="7"/>
      <c r="EE186" s="7"/>
      <c r="EF186" s="7"/>
      <c r="EG186" s="7"/>
      <c r="EH186" s="7"/>
      <c r="EI186" s="7"/>
      <c r="EJ186" s="7"/>
      <c r="EK186" s="7"/>
      <c r="EL186" s="7"/>
      <c r="EM186" s="7"/>
      <c r="EN186" s="7"/>
      <c r="EO186" s="7"/>
      <c r="EP186" s="7"/>
      <c r="EQ186" s="7"/>
      <c r="ER186" s="7"/>
      <c r="ES186" s="7"/>
      <c r="ET186" s="7"/>
      <c r="EU186" s="7"/>
      <c r="EV186" s="7"/>
      <c r="EW186" s="7"/>
      <c r="EX186" s="7"/>
      <c r="EY186" s="7"/>
      <c r="EZ186" s="7"/>
      <c r="FA186" s="7"/>
      <c r="FB186" s="7"/>
      <c r="FC186" s="7"/>
      <c r="FD186" s="7"/>
      <c r="FE186" s="7"/>
      <c r="FF186" s="7"/>
      <c r="FG186" s="7"/>
      <c r="FH186" s="7"/>
      <c r="FI186" s="7"/>
      <c r="FJ186" s="7"/>
      <c r="FK186" s="7"/>
      <c r="FL186" s="7"/>
      <c r="FM186" s="7"/>
      <c r="FN186" s="7"/>
      <c r="FO186" s="7"/>
      <c r="FP186" s="7"/>
      <c r="FQ186" s="7"/>
      <c r="FR186" s="7"/>
      <c r="FS186" s="7"/>
      <c r="FT186" s="7"/>
      <c r="FU186" s="7"/>
      <c r="FV186" s="7"/>
      <c r="FW186" s="7"/>
      <c r="FX186" s="7"/>
      <c r="FY186" s="7"/>
      <c r="FZ186" s="7"/>
      <c r="GA186" s="7"/>
      <c r="GB186" s="7"/>
      <c r="GC186" s="7"/>
      <c r="GD186" s="7"/>
      <c r="GE186" s="7"/>
      <c r="GF186" s="7"/>
      <c r="GG186" s="7"/>
      <c r="GH186" s="7"/>
      <c r="GI186" s="7"/>
      <c r="GJ186" s="7"/>
      <c r="GK186" s="7"/>
      <c r="GL186" s="7"/>
      <c r="GM186" s="7"/>
      <c r="GN186" s="7"/>
      <c r="GO186" s="7"/>
      <c r="GP186" s="7"/>
      <c r="GQ186" s="7"/>
      <c r="GR186" s="7"/>
      <c r="GS186" s="7"/>
      <c r="GT186" s="7"/>
      <c r="GU186" s="7"/>
      <c r="GV186" s="7"/>
      <c r="GW186" s="7"/>
      <c r="GX186" s="7"/>
      <c r="GY186" s="7"/>
      <c r="GZ186" s="7"/>
      <c r="HA186" s="7"/>
      <c r="HB186" s="7"/>
      <c r="HC186" s="7"/>
      <c r="HD186" s="7"/>
      <c r="HE186" s="7"/>
      <c r="HF186" s="7"/>
      <c r="HG186" s="7"/>
      <c r="HH186" s="7"/>
      <c r="HI186" s="7"/>
      <c r="HJ186" s="7"/>
      <c r="HK186" s="7"/>
      <c r="HL186" s="7"/>
      <c r="HM186" s="7"/>
      <c r="HN186" s="7"/>
      <c r="HO186" s="7"/>
      <c r="HP186" s="7"/>
      <c r="HQ186" s="7"/>
      <c r="HR186" s="7"/>
      <c r="HS186" s="7"/>
      <c r="HT186" s="7"/>
      <c r="HU186" s="7"/>
      <c r="HV186" s="7"/>
      <c r="HW186" s="7"/>
      <c r="HX186" s="7"/>
      <c r="HY186" s="7"/>
      <c r="HZ186" s="7"/>
      <c r="IA186" s="7"/>
      <c r="IB186" s="7"/>
      <c r="IC186" s="7"/>
      <c r="ID186" s="7"/>
      <c r="IE186" s="7"/>
      <c r="IF186" s="7"/>
      <c r="IG186" s="7"/>
      <c r="IH186" s="7"/>
      <c r="II186" s="7"/>
      <c r="IJ186" s="7"/>
      <c r="IK186" s="7"/>
      <c r="IL186" s="7"/>
      <c r="IM186" s="7"/>
      <c r="IN186" s="7"/>
      <c r="IO186" s="7"/>
      <c r="IP186" s="7"/>
      <c r="IQ186" s="7"/>
      <c r="IR186" s="7"/>
      <c r="IS186" s="7"/>
      <c r="IT186" s="7"/>
      <c r="IU186" s="7"/>
      <c r="IV186" s="7"/>
      <c r="IW186" s="7"/>
      <c r="IX186" s="7"/>
      <c r="JA186" s="113"/>
      <c r="JB186" s="113"/>
      <c r="JC186" s="113"/>
      <c r="JD186" s="66">
        <f>SUM((TEXT(JA186,"[M]")/60)*'Income Person-hours'!$D$3,(TEXT(JB186,"[M]")/60)*'Income Person-hours'!$D$4,(TEXT(JC186,"[M]")/60)*'Income Person-hours'!$D$5)</f>
        <v>0</v>
      </c>
    </row>
    <row r="187" spans="1:264 16383:16384" s="11" customFormat="1" ht="11.25" hidden="1">
      <c r="A187" s="176">
        <v>8.8000000000000007</v>
      </c>
      <c r="B187" s="116"/>
      <c r="C187" s="107"/>
      <c r="D187" s="12" t="str">
        <f>IF(OR(j_WEEKDAY(J_ADDDAY(VLOOKUP(I187,A:F,6,FALSE),H187,1),0)=6,SUMIFS(Holieday[ok],Holieday[date],J_ADDDAY(VLOOKUP(I187,A:F,6,FALSE),H187,1)))=FALSE(),J_ADDDAY(VLOOKUP(I187,A:F,6,FALSE),H187,1),IF(OR(j_WEEKDAY(J_ADDDAY(VLOOKUP(I187,A:F,6,FALSE),H187+1,1),0)=6,SUMIFS(Holieday[ok],Holieday[date],J_ADDDAY(VLOOKUP(I187,A:F,6,FALSE),H187+1,1)))=FALSE(),J_ADDDAY(VLOOKUP(I187,A:F,6,FALSE),H187+1,1),IF(OR(j_WEEKDAY(J_ADDDAY(VLOOKUP(I187,A:F,6,FALSE),H187+2,1),0)=6,SUMIFS(Holieday[ok],Holieday[date],J_ADDDAY(VLOOKUP(I187,A:F,6,FALSE),H187+2,1)))=FALSE(),J_ADDDAY(VLOOKUP(I187,A:F,6,FALSE),H187+2,1),IF(OR(j_WEEKDAY(J_ADDDAY(VLOOKUP(I187,A:F,6,FALSE),H187+3,1),0)=6,SUMIFS(Holieday[ok],Holieday[date],J_ADDDAY(VLOOKUP(I187,A:F,6,FALSE),H187+3,1)))=FALSE(),J_ADDDAY(VLOOKUP(I187,A:F,6,FALSE),H187+3,1),IF(OR(j_WEEKDAY(J_ADDDAY(VLOOKUP(I187,A:F,6,FALSE),H187+4,1),0)=6,SUMIFS(Holieday[ok],Holieday[date],J_ADDDAY(VLOOKUP(I187,A:F,6,FALSE),H187+4,1)))=FALSE(),J_ADDDAY(VLOOKUP(I187,A:F,6,FALSE),H187+4,1),J_ADDDAY(VLOOKUP(I187,A:F,6,FALSE),H187+5,1))))))</f>
        <v>1398/06/31</v>
      </c>
      <c r="E187" s="1">
        <f t="shared" ref="E187:E218" si="64">VALUE(J_normdate(D187))</f>
        <v>13980631</v>
      </c>
      <c r="F187" s="12" t="str">
        <f>IF(N187=0,J_SUBDAY(D187,1,1),IF((N187-NETWORKDAYS.INTL(J_GregorianDate(D187,1),J_GregorianDate(J_SUBDAY(J_ADDDAY(D187,N187,1),1,1),1),16,1)-SUMIFS(Holieday[ok],Holieday[date],CONCATENATE("&gt;","=",D187),Holieday[date],CONCATENATE("&lt;","=",J_SUBDAY(J_ADDDAY(D187,N187,1),1,1)))+SUMIFS(Holieday[Friday],Holieday[date],CONCATENATE("&gt;","=",D187),Holieday[date],CONCATENATE("&lt;","=",J_SUBDAY(J_ADDDAY(D187,N187,1),1,1))))=0,J_SUBDAY(J_ADDDAY(D187,N187,1),1,1),IF((N187-NETWORKDAYS.INTL(J_GregorianDate(D187,1),J_GregorianDate(J_SUBDAY(J_ADDDAY(D187,N187,1),1,1),1),16,1)-SUMIFS(Holieday[ok],Holieday[date],CONCATENATE("&gt;","=",D187),Holieday[date],CONCATENATE("&lt;","=",J_SUBDAY(J_ADDDAY(D187,N187,1),1,1)))+SUMIFS(Holieday[Friday],Holieday[date],CONCATENATE("&gt;","=",D187),Holieday[date],CONCATENATE("&lt;","=",J_SUBDAY(J_ADDDAY(D187,N187,1),1,1))))=1,J_SUBDAY(J_ADDDAY(D187,N187+1,1),1,1),IF((N187-NETWORKDAYS.INTL(J_GregorianDate(D187,1),J_GregorianDate(J_SUBDAY(J_ADDDAY(D187,N187,1),1,1),1),16,1)-SUMIFS(Holieday[ok],Holieday[date],CONCATENATE("&gt;","=",D187),Holieday[date],CONCATENATE("&lt;","=",J_SUBDAY(J_ADDDAY(D187,N187,1),1,1)))+SUMIFS(Holieday[Friday],Holieday[date],CONCATENATE("&gt;","=",D187),Holieday[date],CONCATENATE("&lt;","=",J_SUBDAY(J_ADDDAY(D187,N187,1),1,1))))=2,J_SUBDAY(J_ADDDAY(D187,N187+2,1),1,1),J_SUBDAY(J_ADDDAY(D187,N187+3,1),1,1)))))</f>
        <v>1398/06/30</v>
      </c>
      <c r="G187" s="2">
        <f t="shared" ref="G187:G218" si="65">VALUE(J_normdate(F187))</f>
        <v>13980630</v>
      </c>
      <c r="H187" s="109"/>
      <c r="I187" s="110">
        <v>1.1000000000000001</v>
      </c>
      <c r="J187" s="9">
        <f>j_WEEKDAY(D187,2)</f>
        <v>1</v>
      </c>
      <c r="K187" s="21">
        <f t="shared" si="62"/>
        <v>0</v>
      </c>
      <c r="L187" s="8">
        <f t="shared" si="63"/>
        <v>0</v>
      </c>
      <c r="M187" s="111">
        <v>0</v>
      </c>
      <c r="N187" s="108">
        <v>0</v>
      </c>
      <c r="O187" s="10">
        <f t="shared" si="60"/>
        <v>0</v>
      </c>
      <c r="P187" s="10">
        <f>VALUE(J_normdate(J_ADDDAY($D187,$O187,1)))</f>
        <v>13980631</v>
      </c>
      <c r="Q187" s="9">
        <f t="shared" si="61"/>
        <v>0</v>
      </c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  <c r="BB187" s="7"/>
      <c r="BC187" s="7"/>
      <c r="BD187" s="7"/>
      <c r="BE187" s="7"/>
      <c r="BF187" s="7"/>
      <c r="BG187" s="7"/>
      <c r="BH187" s="7"/>
      <c r="BI187" s="7"/>
      <c r="BJ187" s="7"/>
      <c r="BK187" s="7"/>
      <c r="BL187" s="7"/>
      <c r="BM187" s="7"/>
      <c r="BN187" s="7"/>
      <c r="BO187" s="7"/>
      <c r="BP187" s="7"/>
      <c r="BQ187" s="7"/>
      <c r="BR187" s="7"/>
      <c r="BS187" s="7"/>
      <c r="BT187" s="7"/>
      <c r="BU187" s="7"/>
      <c r="BV187" s="7"/>
      <c r="BW187" s="7"/>
      <c r="BX187" s="7"/>
      <c r="BY187" s="7"/>
      <c r="BZ187" s="7"/>
      <c r="CA187" s="7"/>
      <c r="CB187" s="7"/>
      <c r="CC187" s="7"/>
      <c r="CD187" s="7"/>
      <c r="CE187" s="7"/>
      <c r="CF187" s="7"/>
      <c r="CG187" s="7"/>
      <c r="CH187" s="7"/>
      <c r="CI187" s="7"/>
      <c r="CJ187" s="7"/>
      <c r="CK187" s="7"/>
      <c r="CL187" s="7"/>
      <c r="CM187" s="7"/>
      <c r="CN187" s="7"/>
      <c r="CO187" s="7"/>
      <c r="CP187" s="7"/>
      <c r="CQ187" s="7"/>
      <c r="CR187" s="7"/>
      <c r="CS187" s="7"/>
      <c r="CT187" s="7"/>
      <c r="CU187" s="7"/>
      <c r="CV187" s="7"/>
      <c r="CW187" s="7"/>
      <c r="CX187" s="7"/>
      <c r="CY187" s="7"/>
      <c r="CZ187" s="7"/>
      <c r="DA187" s="7"/>
      <c r="DB187" s="7"/>
      <c r="DC187" s="7"/>
      <c r="DD187" s="7"/>
      <c r="DE187" s="7"/>
      <c r="DF187" s="7"/>
      <c r="DG187" s="7"/>
      <c r="DH187" s="7"/>
      <c r="DI187" s="7"/>
      <c r="DJ187" s="7"/>
      <c r="DK187" s="7"/>
      <c r="DL187" s="7"/>
      <c r="DM187" s="7"/>
      <c r="DN187" s="7"/>
      <c r="DO187" s="7"/>
      <c r="DP187" s="7"/>
      <c r="DQ187" s="7"/>
      <c r="DR187" s="7"/>
      <c r="DS187" s="7"/>
      <c r="DT187" s="7"/>
      <c r="DU187" s="7"/>
      <c r="DV187" s="7"/>
      <c r="DW187" s="7"/>
      <c r="DX187" s="7"/>
      <c r="DY187" s="7"/>
      <c r="DZ187" s="7"/>
      <c r="EA187" s="7"/>
      <c r="EB187" s="7"/>
      <c r="EC187" s="7"/>
      <c r="ED187" s="7"/>
      <c r="EE187" s="7"/>
      <c r="EF187" s="7"/>
      <c r="EG187" s="7"/>
      <c r="EH187" s="7"/>
      <c r="EI187" s="7"/>
      <c r="EJ187" s="7"/>
      <c r="EK187" s="7"/>
      <c r="EL187" s="7"/>
      <c r="EM187" s="7"/>
      <c r="EN187" s="7"/>
      <c r="EO187" s="7"/>
      <c r="EP187" s="7"/>
      <c r="EQ187" s="7"/>
      <c r="ER187" s="7"/>
      <c r="ES187" s="7"/>
      <c r="ET187" s="7"/>
      <c r="EU187" s="7"/>
      <c r="EV187" s="7"/>
      <c r="EW187" s="7"/>
      <c r="EX187" s="7"/>
      <c r="EY187" s="7"/>
      <c r="EZ187" s="7"/>
      <c r="FA187" s="7"/>
      <c r="FB187" s="7"/>
      <c r="FC187" s="7"/>
      <c r="FD187" s="7"/>
      <c r="FE187" s="7"/>
      <c r="FF187" s="7"/>
      <c r="FG187" s="7"/>
      <c r="FH187" s="7"/>
      <c r="FI187" s="7"/>
      <c r="FJ187" s="7"/>
      <c r="FK187" s="7"/>
      <c r="FL187" s="7"/>
      <c r="FM187" s="7"/>
      <c r="FN187" s="7"/>
      <c r="FO187" s="7"/>
      <c r="FP187" s="7"/>
      <c r="FQ187" s="7"/>
      <c r="FR187" s="7"/>
      <c r="FS187" s="7"/>
      <c r="FT187" s="7"/>
      <c r="FU187" s="7"/>
      <c r="FV187" s="7"/>
      <c r="FW187" s="7"/>
      <c r="FX187" s="7"/>
      <c r="FY187" s="7"/>
      <c r="FZ187" s="7"/>
      <c r="GA187" s="7"/>
      <c r="GB187" s="7"/>
      <c r="GC187" s="7"/>
      <c r="GD187" s="7"/>
      <c r="GE187" s="7"/>
      <c r="GF187" s="7"/>
      <c r="GG187" s="7"/>
      <c r="GH187" s="7"/>
      <c r="GI187" s="7"/>
      <c r="GJ187" s="7"/>
      <c r="GK187" s="7"/>
      <c r="GL187" s="7"/>
      <c r="GM187" s="7"/>
      <c r="GN187" s="7"/>
      <c r="GO187" s="7"/>
      <c r="GP187" s="7"/>
      <c r="GQ187" s="7"/>
      <c r="GR187" s="7"/>
      <c r="GS187" s="7"/>
      <c r="GT187" s="7"/>
      <c r="GU187" s="7"/>
      <c r="GV187" s="7"/>
      <c r="GW187" s="7"/>
      <c r="GX187" s="7"/>
      <c r="GY187" s="7"/>
      <c r="GZ187" s="7"/>
      <c r="HA187" s="7"/>
      <c r="HB187" s="7"/>
      <c r="HC187" s="7"/>
      <c r="HD187" s="7"/>
      <c r="HE187" s="7"/>
      <c r="HF187" s="7"/>
      <c r="HG187" s="7"/>
      <c r="HH187" s="7"/>
      <c r="HI187" s="7"/>
      <c r="HJ187" s="7"/>
      <c r="HK187" s="7"/>
      <c r="HL187" s="7"/>
      <c r="HM187" s="7"/>
      <c r="HN187" s="7"/>
      <c r="HO187" s="7"/>
      <c r="HP187" s="7"/>
      <c r="HQ187" s="7"/>
      <c r="HR187" s="7"/>
      <c r="HS187" s="7"/>
      <c r="HT187" s="7"/>
      <c r="HU187" s="7"/>
      <c r="HV187" s="7"/>
      <c r="HW187" s="7"/>
      <c r="HX187" s="7"/>
      <c r="HY187" s="7"/>
      <c r="HZ187" s="7"/>
      <c r="IA187" s="7"/>
      <c r="IB187" s="7"/>
      <c r="IC187" s="7"/>
      <c r="ID187" s="7"/>
      <c r="IE187" s="7"/>
      <c r="IF187" s="7"/>
      <c r="IG187" s="7"/>
      <c r="IH187" s="7"/>
      <c r="II187" s="7"/>
      <c r="IJ187" s="7"/>
      <c r="IK187" s="7"/>
      <c r="IL187" s="7"/>
      <c r="IM187" s="7"/>
      <c r="IN187" s="7"/>
      <c r="IO187" s="7"/>
      <c r="IP187" s="7"/>
      <c r="IQ187" s="7"/>
      <c r="IR187" s="7"/>
      <c r="IS187" s="7"/>
      <c r="IT187" s="7"/>
      <c r="IU187" s="7"/>
      <c r="IV187" s="7"/>
      <c r="IW187" s="7"/>
      <c r="IX187" s="7"/>
      <c r="JA187" s="113"/>
      <c r="JB187" s="113"/>
      <c r="JC187" s="113"/>
      <c r="JD187" s="66">
        <f>SUM((TEXT(JA187,"[M]")/60)*'Income Person-hours'!$D$3,(TEXT(JB187,"[M]")/60)*'Income Person-hours'!$D$4,(TEXT(JC187,"[M]")/60)*'Income Person-hours'!$D$5)</f>
        <v>0</v>
      </c>
    </row>
    <row r="188" spans="1:264 16383:16384" s="11" customFormat="1" ht="11.25" hidden="1">
      <c r="A188" s="176">
        <v>8.9</v>
      </c>
      <c r="B188" s="116"/>
      <c r="C188" s="107"/>
      <c r="D188" s="12" t="str">
        <f>IF(OR(j_WEEKDAY(J_ADDDAY(VLOOKUP(I188,A:F,6,FALSE),H188,1),0)=6,SUMIFS(Holieday[ok],Holieday[date],J_ADDDAY(VLOOKUP(I188,A:F,6,FALSE),H188,1)))=FALSE(),J_ADDDAY(VLOOKUP(I188,A:F,6,FALSE),H188,1),IF(OR(j_WEEKDAY(J_ADDDAY(VLOOKUP(I188,A:F,6,FALSE),H188+1,1),0)=6,SUMIFS(Holieday[ok],Holieday[date],J_ADDDAY(VLOOKUP(I188,A:F,6,FALSE),H188+1,1)))=FALSE(),J_ADDDAY(VLOOKUP(I188,A:F,6,FALSE),H188+1,1),IF(OR(j_WEEKDAY(J_ADDDAY(VLOOKUP(I188,A:F,6,FALSE),H188+2,1),0)=6,SUMIFS(Holieday[ok],Holieday[date],J_ADDDAY(VLOOKUP(I188,A:F,6,FALSE),H188+2,1)))=FALSE(),J_ADDDAY(VLOOKUP(I188,A:F,6,FALSE),H188+2,1),IF(OR(j_WEEKDAY(J_ADDDAY(VLOOKUP(I188,A:F,6,FALSE),H188+3,1),0)=6,SUMIFS(Holieday[ok],Holieday[date],J_ADDDAY(VLOOKUP(I188,A:F,6,FALSE),H188+3,1)))=FALSE(),J_ADDDAY(VLOOKUP(I188,A:F,6,FALSE),H188+3,1),IF(OR(j_WEEKDAY(J_ADDDAY(VLOOKUP(I188,A:F,6,FALSE),H188+4,1),0)=6,SUMIFS(Holieday[ok],Holieday[date],J_ADDDAY(VLOOKUP(I188,A:F,6,FALSE),H188+4,1)))=FALSE(),J_ADDDAY(VLOOKUP(I188,A:F,6,FALSE),H188+4,1),J_ADDDAY(VLOOKUP(I188,A:F,6,FALSE),H188+5,1))))))</f>
        <v>1398/06/31</v>
      </c>
      <c r="E188" s="1">
        <f t="shared" si="64"/>
        <v>13980631</v>
      </c>
      <c r="F188" s="12" t="str">
        <f>IF(N188=0,J_SUBDAY(D188,1,1),IF((N188-NETWORKDAYS.INTL(J_GregorianDate(D188,1),J_GregorianDate(J_SUBDAY(J_ADDDAY(D188,N188,1),1,1),1),16,1)-SUMIFS(Holieday[ok],Holieday[date],CONCATENATE("&gt;","=",D188),Holieday[date],CONCATENATE("&lt;","=",J_SUBDAY(J_ADDDAY(D188,N188,1),1,1)))+SUMIFS(Holieday[Friday],Holieday[date],CONCATENATE("&gt;","=",D188),Holieday[date],CONCATENATE("&lt;","=",J_SUBDAY(J_ADDDAY(D188,N188,1),1,1))))=0,J_SUBDAY(J_ADDDAY(D188,N188,1),1,1),IF((N188-NETWORKDAYS.INTL(J_GregorianDate(D188,1),J_GregorianDate(J_SUBDAY(J_ADDDAY(D188,N188,1),1,1),1),16,1)-SUMIFS(Holieday[ok],Holieday[date],CONCATENATE("&gt;","=",D188),Holieday[date],CONCATENATE("&lt;","=",J_SUBDAY(J_ADDDAY(D188,N188,1),1,1)))+SUMIFS(Holieday[Friday],Holieday[date],CONCATENATE("&gt;","=",D188),Holieday[date],CONCATENATE("&lt;","=",J_SUBDAY(J_ADDDAY(D188,N188,1),1,1))))=1,J_SUBDAY(J_ADDDAY(D188,N188+1,1),1,1),IF((N188-NETWORKDAYS.INTL(J_GregorianDate(D188,1),J_GregorianDate(J_SUBDAY(J_ADDDAY(D188,N188,1),1,1),1),16,1)-SUMIFS(Holieday[ok],Holieday[date],CONCATENATE("&gt;","=",D188),Holieday[date],CONCATENATE("&lt;","=",J_SUBDAY(J_ADDDAY(D188,N188,1),1,1)))+SUMIFS(Holieday[Friday],Holieday[date],CONCATENATE("&gt;","=",D188),Holieday[date],CONCATENATE("&lt;","=",J_SUBDAY(J_ADDDAY(D188,N188,1),1,1))))=2,J_SUBDAY(J_ADDDAY(D188,N188+2,1),1,1),J_SUBDAY(J_ADDDAY(D188,N188+3,1),1,1)))))</f>
        <v>1398/06/30</v>
      </c>
      <c r="G188" s="2">
        <f t="shared" si="65"/>
        <v>13980630</v>
      </c>
      <c r="H188" s="109"/>
      <c r="I188" s="110">
        <v>1.1000000000000001</v>
      </c>
      <c r="J188" s="9">
        <f>j_WEEKDAY(D188,2)</f>
        <v>1</v>
      </c>
      <c r="K188" s="21">
        <f t="shared" si="62"/>
        <v>0</v>
      </c>
      <c r="L188" s="8">
        <f t="shared" si="63"/>
        <v>0</v>
      </c>
      <c r="M188" s="111">
        <v>0</v>
      </c>
      <c r="N188" s="108">
        <v>0</v>
      </c>
      <c r="O188" s="10">
        <f t="shared" si="60"/>
        <v>0</v>
      </c>
      <c r="P188" s="10">
        <f>VALUE(J_normdate(J_ADDDAY($D188,$O188,1)))</f>
        <v>13980631</v>
      </c>
      <c r="Q188" s="9">
        <f t="shared" si="61"/>
        <v>0</v>
      </c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  <c r="BB188" s="7"/>
      <c r="BC188" s="7"/>
      <c r="BD188" s="7"/>
      <c r="BE188" s="7"/>
      <c r="BF188" s="7"/>
      <c r="BG188" s="7"/>
      <c r="BH188" s="7"/>
      <c r="BI188" s="7"/>
      <c r="BJ188" s="7"/>
      <c r="BK188" s="7"/>
      <c r="BL188" s="7"/>
      <c r="BM188" s="7"/>
      <c r="BN188" s="7"/>
      <c r="BO188" s="7"/>
      <c r="BP188" s="7"/>
      <c r="BQ188" s="7"/>
      <c r="BR188" s="7"/>
      <c r="BS188" s="7"/>
      <c r="BT188" s="7"/>
      <c r="BU188" s="7"/>
      <c r="BV188" s="7"/>
      <c r="BW188" s="7"/>
      <c r="BX188" s="7"/>
      <c r="BY188" s="7"/>
      <c r="BZ188" s="7"/>
      <c r="CA188" s="7"/>
      <c r="CB188" s="7"/>
      <c r="CC188" s="7"/>
      <c r="CD188" s="7"/>
      <c r="CE188" s="7"/>
      <c r="CF188" s="7"/>
      <c r="CG188" s="7"/>
      <c r="CH188" s="7"/>
      <c r="CI188" s="7"/>
      <c r="CJ188" s="7"/>
      <c r="CK188" s="7"/>
      <c r="CL188" s="7"/>
      <c r="CM188" s="7"/>
      <c r="CN188" s="7"/>
      <c r="CO188" s="7"/>
      <c r="CP188" s="7"/>
      <c r="CQ188" s="7"/>
      <c r="CR188" s="7"/>
      <c r="CS188" s="7"/>
      <c r="CT188" s="7"/>
      <c r="CU188" s="7"/>
      <c r="CV188" s="7"/>
      <c r="CW188" s="7"/>
      <c r="CX188" s="7"/>
      <c r="CY188" s="7"/>
      <c r="CZ188" s="7"/>
      <c r="DA188" s="7"/>
      <c r="DB188" s="7"/>
      <c r="DC188" s="7"/>
      <c r="DD188" s="7"/>
      <c r="DE188" s="7"/>
      <c r="DF188" s="7"/>
      <c r="DG188" s="7"/>
      <c r="DH188" s="7"/>
      <c r="DI188" s="7"/>
      <c r="DJ188" s="7"/>
      <c r="DK188" s="7"/>
      <c r="DL188" s="7"/>
      <c r="DM188" s="7"/>
      <c r="DN188" s="7"/>
      <c r="DO188" s="7"/>
      <c r="DP188" s="7"/>
      <c r="DQ188" s="7"/>
      <c r="DR188" s="7"/>
      <c r="DS188" s="7"/>
      <c r="DT188" s="7"/>
      <c r="DU188" s="7"/>
      <c r="DV188" s="7"/>
      <c r="DW188" s="7"/>
      <c r="DX188" s="7"/>
      <c r="DY188" s="7"/>
      <c r="DZ188" s="7"/>
      <c r="EA188" s="7"/>
      <c r="EB188" s="7"/>
      <c r="EC188" s="7"/>
      <c r="ED188" s="7"/>
      <c r="EE188" s="7"/>
      <c r="EF188" s="7"/>
      <c r="EG188" s="7"/>
      <c r="EH188" s="7"/>
      <c r="EI188" s="7"/>
      <c r="EJ188" s="7"/>
      <c r="EK188" s="7"/>
      <c r="EL188" s="7"/>
      <c r="EM188" s="7"/>
      <c r="EN188" s="7"/>
      <c r="EO188" s="7"/>
      <c r="EP188" s="7"/>
      <c r="EQ188" s="7"/>
      <c r="ER188" s="7"/>
      <c r="ES188" s="7"/>
      <c r="ET188" s="7"/>
      <c r="EU188" s="7"/>
      <c r="EV188" s="7"/>
      <c r="EW188" s="7"/>
      <c r="EX188" s="7"/>
      <c r="EY188" s="7"/>
      <c r="EZ188" s="7"/>
      <c r="FA188" s="7"/>
      <c r="FB188" s="7"/>
      <c r="FC188" s="7"/>
      <c r="FD188" s="7"/>
      <c r="FE188" s="7"/>
      <c r="FF188" s="7"/>
      <c r="FG188" s="7"/>
      <c r="FH188" s="7"/>
      <c r="FI188" s="7"/>
      <c r="FJ188" s="7"/>
      <c r="FK188" s="7"/>
      <c r="FL188" s="7"/>
      <c r="FM188" s="7"/>
      <c r="FN188" s="7"/>
      <c r="FO188" s="7"/>
      <c r="FP188" s="7"/>
      <c r="FQ188" s="7"/>
      <c r="FR188" s="7"/>
      <c r="FS188" s="7"/>
      <c r="FT188" s="7"/>
      <c r="FU188" s="7"/>
      <c r="FV188" s="7"/>
      <c r="FW188" s="7"/>
      <c r="FX188" s="7"/>
      <c r="FY188" s="7"/>
      <c r="FZ188" s="7"/>
      <c r="GA188" s="7"/>
      <c r="GB188" s="7"/>
      <c r="GC188" s="7"/>
      <c r="GD188" s="7"/>
      <c r="GE188" s="7"/>
      <c r="GF188" s="7"/>
      <c r="GG188" s="7"/>
      <c r="GH188" s="7"/>
      <c r="GI188" s="7"/>
      <c r="GJ188" s="7"/>
      <c r="GK188" s="7"/>
      <c r="GL188" s="7"/>
      <c r="GM188" s="7"/>
      <c r="GN188" s="7"/>
      <c r="GO188" s="7"/>
      <c r="GP188" s="7"/>
      <c r="GQ188" s="7"/>
      <c r="GR188" s="7"/>
      <c r="GS188" s="7"/>
      <c r="GT188" s="7"/>
      <c r="GU188" s="7"/>
      <c r="GV188" s="7"/>
      <c r="GW188" s="7"/>
      <c r="GX188" s="7"/>
      <c r="GY188" s="7"/>
      <c r="GZ188" s="7"/>
      <c r="HA188" s="7"/>
      <c r="HB188" s="7"/>
      <c r="HC188" s="7"/>
      <c r="HD188" s="7"/>
      <c r="HE188" s="7"/>
      <c r="HF188" s="7"/>
      <c r="HG188" s="7"/>
      <c r="HH188" s="7"/>
      <c r="HI188" s="7"/>
      <c r="HJ188" s="7"/>
      <c r="HK188" s="7"/>
      <c r="HL188" s="7"/>
      <c r="HM188" s="7"/>
      <c r="HN188" s="7"/>
      <c r="HO188" s="7"/>
      <c r="HP188" s="7"/>
      <c r="HQ188" s="7"/>
      <c r="HR188" s="7"/>
      <c r="HS188" s="7"/>
      <c r="HT188" s="7"/>
      <c r="HU188" s="7"/>
      <c r="HV188" s="7"/>
      <c r="HW188" s="7"/>
      <c r="HX188" s="7"/>
      <c r="HY188" s="7"/>
      <c r="HZ188" s="7"/>
      <c r="IA188" s="7"/>
      <c r="IB188" s="7"/>
      <c r="IC188" s="7"/>
      <c r="ID188" s="7"/>
      <c r="IE188" s="7"/>
      <c r="IF188" s="7"/>
      <c r="IG188" s="7"/>
      <c r="IH188" s="7"/>
      <c r="II188" s="7"/>
      <c r="IJ188" s="7"/>
      <c r="IK188" s="7"/>
      <c r="IL188" s="7"/>
      <c r="IM188" s="7"/>
      <c r="IN188" s="7"/>
      <c r="IO188" s="7"/>
      <c r="IP188" s="7"/>
      <c r="IQ188" s="7"/>
      <c r="IR188" s="7"/>
      <c r="IS188" s="7"/>
      <c r="IT188" s="7"/>
      <c r="IU188" s="7"/>
      <c r="IV188" s="7"/>
      <c r="IW188" s="7"/>
      <c r="IX188" s="7"/>
      <c r="JA188" s="113"/>
      <c r="JB188" s="113"/>
      <c r="JC188" s="113"/>
      <c r="JD188" s="66">
        <f>SUM((TEXT(JA188,"[M]")/60)*'Income Person-hours'!$D$3,(TEXT(JB188,"[M]")/60)*'Income Person-hours'!$D$4,(TEXT(JC188,"[M]")/60)*'Income Person-hours'!$D$5)</f>
        <v>0</v>
      </c>
    </row>
    <row r="189" spans="1:264 16383:16384" s="11" customFormat="1" ht="11.25" hidden="1">
      <c r="A189" s="30">
        <v>8.11</v>
      </c>
      <c r="B189" s="116"/>
      <c r="C189" s="107"/>
      <c r="D189" s="12" t="str">
        <f>IF(OR(j_WEEKDAY(J_ADDDAY(VLOOKUP(I189,A:F,6,FALSE),H189,1),0)=6,SUMIFS(Holieday[ok],Holieday[date],J_ADDDAY(VLOOKUP(I189,A:F,6,FALSE),H189,1)))=FALSE(),J_ADDDAY(VLOOKUP(I189,A:F,6,FALSE),H189,1),IF(OR(j_WEEKDAY(J_ADDDAY(VLOOKUP(I189,A:F,6,FALSE),H189+1,1),0)=6,SUMIFS(Holieday[ok],Holieday[date],J_ADDDAY(VLOOKUP(I189,A:F,6,FALSE),H189+1,1)))=FALSE(),J_ADDDAY(VLOOKUP(I189,A:F,6,FALSE),H189+1,1),IF(OR(j_WEEKDAY(J_ADDDAY(VLOOKUP(I189,A:F,6,FALSE),H189+2,1),0)=6,SUMIFS(Holieday[ok],Holieday[date],J_ADDDAY(VLOOKUP(I189,A:F,6,FALSE),H189+2,1)))=FALSE(),J_ADDDAY(VLOOKUP(I189,A:F,6,FALSE),H189+2,1),IF(OR(j_WEEKDAY(J_ADDDAY(VLOOKUP(I189,A:F,6,FALSE),H189+3,1),0)=6,SUMIFS(Holieday[ok],Holieday[date],J_ADDDAY(VLOOKUP(I189,A:F,6,FALSE),H189+3,1)))=FALSE(),J_ADDDAY(VLOOKUP(I189,A:F,6,FALSE),H189+3,1),IF(OR(j_WEEKDAY(J_ADDDAY(VLOOKUP(I189,A:F,6,FALSE),H189+4,1),0)=6,SUMIFS(Holieday[ok],Holieday[date],J_ADDDAY(VLOOKUP(I189,A:F,6,FALSE),H189+4,1)))=FALSE(),J_ADDDAY(VLOOKUP(I189,A:F,6,FALSE),H189+4,1),J_ADDDAY(VLOOKUP(I189,A:F,6,FALSE),H189+5,1))))))</f>
        <v>1398/06/31</v>
      </c>
      <c r="E189" s="1">
        <f t="shared" si="64"/>
        <v>13980631</v>
      </c>
      <c r="F189" s="12" t="str">
        <f>IF(N189=0,J_SUBDAY(D189,1,1),IF((N189-NETWORKDAYS.INTL(J_GregorianDate(D189,1),J_GregorianDate(J_SUBDAY(J_ADDDAY(D189,N189,1),1,1),1),16,1)-SUMIFS(Holieday[ok],Holieday[date],CONCATENATE("&gt;","=",D189),Holieday[date],CONCATENATE("&lt;","=",J_SUBDAY(J_ADDDAY(D189,N189,1),1,1)))+SUMIFS(Holieday[Friday],Holieday[date],CONCATENATE("&gt;","=",D189),Holieday[date],CONCATENATE("&lt;","=",J_SUBDAY(J_ADDDAY(D189,N189,1),1,1))))=0,J_SUBDAY(J_ADDDAY(D189,N189,1),1,1),IF((N189-NETWORKDAYS.INTL(J_GregorianDate(D189,1),J_GregorianDate(J_SUBDAY(J_ADDDAY(D189,N189,1),1,1),1),16,1)-SUMIFS(Holieday[ok],Holieday[date],CONCATENATE("&gt;","=",D189),Holieday[date],CONCATENATE("&lt;","=",J_SUBDAY(J_ADDDAY(D189,N189,1),1,1)))+SUMIFS(Holieday[Friday],Holieday[date],CONCATENATE("&gt;","=",D189),Holieday[date],CONCATENATE("&lt;","=",J_SUBDAY(J_ADDDAY(D189,N189,1),1,1))))=1,J_SUBDAY(J_ADDDAY(D189,N189+1,1),1,1),IF((N189-NETWORKDAYS.INTL(J_GregorianDate(D189,1),J_GregorianDate(J_SUBDAY(J_ADDDAY(D189,N189,1),1,1),1),16,1)-SUMIFS(Holieday[ok],Holieday[date],CONCATENATE("&gt;","=",D189),Holieday[date],CONCATENATE("&lt;","=",J_SUBDAY(J_ADDDAY(D189,N189,1),1,1)))+SUMIFS(Holieday[Friday],Holieday[date],CONCATENATE("&gt;","=",D189),Holieday[date],CONCATENATE("&lt;","=",J_SUBDAY(J_ADDDAY(D189,N189,1),1,1))))=2,J_SUBDAY(J_ADDDAY(D189,N189+2,1),1,1),J_SUBDAY(J_ADDDAY(D189,N189+3,1),1,1)))))</f>
        <v>1398/06/30</v>
      </c>
      <c r="G189" s="2">
        <f t="shared" si="65"/>
        <v>13980630</v>
      </c>
      <c r="H189" s="109"/>
      <c r="I189" s="110">
        <v>1.1000000000000001</v>
      </c>
      <c r="J189" s="9">
        <f>j_WEEKDAY(D189,2)</f>
        <v>1</v>
      </c>
      <c r="K189" s="21">
        <f t="shared" si="62"/>
        <v>0</v>
      </c>
      <c r="L189" s="8">
        <f t="shared" si="63"/>
        <v>0</v>
      </c>
      <c r="M189" s="111">
        <v>0</v>
      </c>
      <c r="N189" s="108">
        <v>0</v>
      </c>
      <c r="O189" s="10">
        <f t="shared" si="60"/>
        <v>0</v>
      </c>
      <c r="P189" s="10">
        <f>VALUE(J_normdate(J_ADDDAY($D189,$O189,1)))</f>
        <v>13980631</v>
      </c>
      <c r="Q189" s="9">
        <f t="shared" si="61"/>
        <v>0</v>
      </c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  <c r="BB189" s="7"/>
      <c r="BC189" s="7"/>
      <c r="BD189" s="7"/>
      <c r="BE189" s="7"/>
      <c r="BF189" s="7"/>
      <c r="BG189" s="7"/>
      <c r="BH189" s="7"/>
      <c r="BI189" s="7"/>
      <c r="BJ189" s="7"/>
      <c r="BK189" s="7"/>
      <c r="BL189" s="7"/>
      <c r="BM189" s="7"/>
      <c r="BN189" s="7"/>
      <c r="BO189" s="7"/>
      <c r="BP189" s="7"/>
      <c r="BQ189" s="7"/>
      <c r="BR189" s="7"/>
      <c r="BS189" s="7"/>
      <c r="BT189" s="7"/>
      <c r="BU189" s="7"/>
      <c r="BV189" s="7"/>
      <c r="BW189" s="7"/>
      <c r="BX189" s="7"/>
      <c r="BY189" s="7"/>
      <c r="BZ189" s="7"/>
      <c r="CA189" s="7"/>
      <c r="CB189" s="7"/>
      <c r="CC189" s="7"/>
      <c r="CD189" s="7"/>
      <c r="CE189" s="7"/>
      <c r="CF189" s="7"/>
      <c r="CG189" s="7"/>
      <c r="CH189" s="7"/>
      <c r="CI189" s="7"/>
      <c r="CJ189" s="7"/>
      <c r="CK189" s="7"/>
      <c r="CL189" s="7"/>
      <c r="CM189" s="7"/>
      <c r="CN189" s="7"/>
      <c r="CO189" s="7"/>
      <c r="CP189" s="7"/>
      <c r="CQ189" s="7"/>
      <c r="CR189" s="7"/>
      <c r="CS189" s="7"/>
      <c r="CT189" s="7"/>
      <c r="CU189" s="7"/>
      <c r="CV189" s="7"/>
      <c r="CW189" s="7"/>
      <c r="CX189" s="7"/>
      <c r="CY189" s="7"/>
      <c r="CZ189" s="7"/>
      <c r="DA189" s="7"/>
      <c r="DB189" s="7"/>
      <c r="DC189" s="7"/>
      <c r="DD189" s="7"/>
      <c r="DE189" s="7"/>
      <c r="DF189" s="7"/>
      <c r="DG189" s="7"/>
      <c r="DH189" s="7"/>
      <c r="DI189" s="7"/>
      <c r="DJ189" s="7"/>
      <c r="DK189" s="7"/>
      <c r="DL189" s="7"/>
      <c r="DM189" s="7"/>
      <c r="DN189" s="7"/>
      <c r="DO189" s="7"/>
      <c r="DP189" s="7"/>
      <c r="DQ189" s="7"/>
      <c r="DR189" s="7"/>
      <c r="DS189" s="7"/>
      <c r="DT189" s="7"/>
      <c r="DU189" s="7"/>
      <c r="DV189" s="7"/>
      <c r="DW189" s="7"/>
      <c r="DX189" s="7"/>
      <c r="DY189" s="7"/>
      <c r="DZ189" s="7"/>
      <c r="EA189" s="7"/>
      <c r="EB189" s="7"/>
      <c r="EC189" s="7"/>
      <c r="ED189" s="7"/>
      <c r="EE189" s="7"/>
      <c r="EF189" s="7"/>
      <c r="EG189" s="7"/>
      <c r="EH189" s="7"/>
      <c r="EI189" s="7"/>
      <c r="EJ189" s="7"/>
      <c r="EK189" s="7"/>
      <c r="EL189" s="7"/>
      <c r="EM189" s="7"/>
      <c r="EN189" s="7"/>
      <c r="EO189" s="7"/>
      <c r="EP189" s="7"/>
      <c r="EQ189" s="7"/>
      <c r="ER189" s="7"/>
      <c r="ES189" s="7"/>
      <c r="ET189" s="7"/>
      <c r="EU189" s="7"/>
      <c r="EV189" s="7"/>
      <c r="EW189" s="7"/>
      <c r="EX189" s="7"/>
      <c r="EY189" s="7"/>
      <c r="EZ189" s="7"/>
      <c r="FA189" s="7"/>
      <c r="FB189" s="7"/>
      <c r="FC189" s="7"/>
      <c r="FD189" s="7"/>
      <c r="FE189" s="7"/>
      <c r="FF189" s="7"/>
      <c r="FG189" s="7"/>
      <c r="FH189" s="7"/>
      <c r="FI189" s="7"/>
      <c r="FJ189" s="7"/>
      <c r="FK189" s="7"/>
      <c r="FL189" s="7"/>
      <c r="FM189" s="7"/>
      <c r="FN189" s="7"/>
      <c r="FO189" s="7"/>
      <c r="FP189" s="7"/>
      <c r="FQ189" s="7"/>
      <c r="FR189" s="7"/>
      <c r="FS189" s="7"/>
      <c r="FT189" s="7"/>
      <c r="FU189" s="7"/>
      <c r="FV189" s="7"/>
      <c r="FW189" s="7"/>
      <c r="FX189" s="7"/>
      <c r="FY189" s="7"/>
      <c r="FZ189" s="7"/>
      <c r="GA189" s="7"/>
      <c r="GB189" s="7"/>
      <c r="GC189" s="7"/>
      <c r="GD189" s="7"/>
      <c r="GE189" s="7"/>
      <c r="GF189" s="7"/>
      <c r="GG189" s="7"/>
      <c r="GH189" s="7"/>
      <c r="GI189" s="7"/>
      <c r="GJ189" s="7"/>
      <c r="GK189" s="7"/>
      <c r="GL189" s="7"/>
      <c r="GM189" s="7"/>
      <c r="GN189" s="7"/>
      <c r="GO189" s="7"/>
      <c r="GP189" s="7"/>
      <c r="GQ189" s="7"/>
      <c r="GR189" s="7"/>
      <c r="GS189" s="7"/>
      <c r="GT189" s="7"/>
      <c r="GU189" s="7"/>
      <c r="GV189" s="7"/>
      <c r="GW189" s="7"/>
      <c r="GX189" s="7"/>
      <c r="GY189" s="7"/>
      <c r="GZ189" s="7"/>
      <c r="HA189" s="7"/>
      <c r="HB189" s="7"/>
      <c r="HC189" s="7"/>
      <c r="HD189" s="7"/>
      <c r="HE189" s="7"/>
      <c r="HF189" s="7"/>
      <c r="HG189" s="7"/>
      <c r="HH189" s="7"/>
      <c r="HI189" s="7"/>
      <c r="HJ189" s="7"/>
      <c r="HK189" s="7"/>
      <c r="HL189" s="7"/>
      <c r="HM189" s="7"/>
      <c r="HN189" s="7"/>
      <c r="HO189" s="7"/>
      <c r="HP189" s="7"/>
      <c r="HQ189" s="7"/>
      <c r="HR189" s="7"/>
      <c r="HS189" s="7"/>
      <c r="HT189" s="7"/>
      <c r="HU189" s="7"/>
      <c r="HV189" s="7"/>
      <c r="HW189" s="7"/>
      <c r="HX189" s="7"/>
      <c r="HY189" s="7"/>
      <c r="HZ189" s="7"/>
      <c r="IA189" s="7"/>
      <c r="IB189" s="7"/>
      <c r="IC189" s="7"/>
      <c r="ID189" s="7"/>
      <c r="IE189" s="7"/>
      <c r="IF189" s="7"/>
      <c r="IG189" s="7"/>
      <c r="IH189" s="7"/>
      <c r="II189" s="7"/>
      <c r="IJ189" s="7"/>
      <c r="IK189" s="7"/>
      <c r="IL189" s="7"/>
      <c r="IM189" s="7"/>
      <c r="IN189" s="7"/>
      <c r="IO189" s="7"/>
      <c r="IP189" s="7"/>
      <c r="IQ189" s="7"/>
      <c r="IR189" s="7"/>
      <c r="IS189" s="7"/>
      <c r="IT189" s="7"/>
      <c r="IU189" s="7"/>
      <c r="IV189" s="7"/>
      <c r="IW189" s="7"/>
      <c r="IX189" s="7"/>
      <c r="JA189" s="113"/>
      <c r="JB189" s="113"/>
      <c r="JC189" s="113"/>
      <c r="JD189" s="66">
        <f>SUM((TEXT(JA189,"[M]")/60)*'Income Person-hours'!$D$3,(TEXT(JB189,"[M]")/60)*'Income Person-hours'!$D$4,(TEXT(JC189,"[M]")/60)*'Income Person-hours'!$D$5)</f>
        <v>0</v>
      </c>
    </row>
    <row r="190" spans="1:264 16383:16384" s="11" customFormat="1" ht="11.25" hidden="1">
      <c r="A190" s="30">
        <v>8.1199999999999992</v>
      </c>
      <c r="B190" s="116"/>
      <c r="C190" s="107"/>
      <c r="D190" s="12" t="str">
        <f>IF(OR(j_WEEKDAY(J_ADDDAY(VLOOKUP(I190,A:F,6,FALSE),H190,1),0)=6,SUMIFS(Holieday[ok],Holieday[date],J_ADDDAY(VLOOKUP(I190,A:F,6,FALSE),H190,1)))=FALSE(),J_ADDDAY(VLOOKUP(I190,A:F,6,FALSE),H190,1),IF(OR(j_WEEKDAY(J_ADDDAY(VLOOKUP(I190,A:F,6,FALSE),H190+1,1),0)=6,SUMIFS(Holieday[ok],Holieday[date],J_ADDDAY(VLOOKUP(I190,A:F,6,FALSE),H190+1,1)))=FALSE(),J_ADDDAY(VLOOKUP(I190,A:F,6,FALSE),H190+1,1),IF(OR(j_WEEKDAY(J_ADDDAY(VLOOKUP(I190,A:F,6,FALSE),H190+2,1),0)=6,SUMIFS(Holieday[ok],Holieday[date],J_ADDDAY(VLOOKUP(I190,A:F,6,FALSE),H190+2,1)))=FALSE(),J_ADDDAY(VLOOKUP(I190,A:F,6,FALSE),H190+2,1),IF(OR(j_WEEKDAY(J_ADDDAY(VLOOKUP(I190,A:F,6,FALSE),H190+3,1),0)=6,SUMIFS(Holieday[ok],Holieday[date],J_ADDDAY(VLOOKUP(I190,A:F,6,FALSE),H190+3,1)))=FALSE(),J_ADDDAY(VLOOKUP(I190,A:F,6,FALSE),H190+3,1),IF(OR(j_WEEKDAY(J_ADDDAY(VLOOKUP(I190,A:F,6,FALSE),H190+4,1),0)=6,SUMIFS(Holieday[ok],Holieday[date],J_ADDDAY(VLOOKUP(I190,A:F,6,FALSE),H190+4,1)))=FALSE(),J_ADDDAY(VLOOKUP(I190,A:F,6,FALSE),H190+4,1),J_ADDDAY(VLOOKUP(I190,A:F,6,FALSE),H190+5,1))))))</f>
        <v>1398/06/31</v>
      </c>
      <c r="E190" s="1">
        <f t="shared" si="64"/>
        <v>13980631</v>
      </c>
      <c r="F190" s="12" t="str">
        <f>IF(N190=0,J_SUBDAY(D190,1,1),IF((N190-NETWORKDAYS.INTL(J_GregorianDate(D190,1),J_GregorianDate(J_SUBDAY(J_ADDDAY(D190,N190,1),1,1),1),16,1)-SUMIFS(Holieday[ok],Holieday[date],CONCATENATE("&gt;","=",D190),Holieday[date],CONCATENATE("&lt;","=",J_SUBDAY(J_ADDDAY(D190,N190,1),1,1)))+SUMIFS(Holieday[Friday],Holieday[date],CONCATENATE("&gt;","=",D190),Holieday[date],CONCATENATE("&lt;","=",J_SUBDAY(J_ADDDAY(D190,N190,1),1,1))))=0,J_SUBDAY(J_ADDDAY(D190,N190,1),1,1),IF((N190-NETWORKDAYS.INTL(J_GregorianDate(D190,1),J_GregorianDate(J_SUBDAY(J_ADDDAY(D190,N190,1),1,1),1),16,1)-SUMIFS(Holieday[ok],Holieday[date],CONCATENATE("&gt;","=",D190),Holieday[date],CONCATENATE("&lt;","=",J_SUBDAY(J_ADDDAY(D190,N190,1),1,1)))+SUMIFS(Holieday[Friday],Holieday[date],CONCATENATE("&gt;","=",D190),Holieday[date],CONCATENATE("&lt;","=",J_SUBDAY(J_ADDDAY(D190,N190,1),1,1))))=1,J_SUBDAY(J_ADDDAY(D190,N190+1,1),1,1),IF((N190-NETWORKDAYS.INTL(J_GregorianDate(D190,1),J_GregorianDate(J_SUBDAY(J_ADDDAY(D190,N190,1),1,1),1),16,1)-SUMIFS(Holieday[ok],Holieday[date],CONCATENATE("&gt;","=",D190),Holieday[date],CONCATENATE("&lt;","=",J_SUBDAY(J_ADDDAY(D190,N190,1),1,1)))+SUMIFS(Holieday[Friday],Holieday[date],CONCATENATE("&gt;","=",D190),Holieday[date],CONCATENATE("&lt;","=",J_SUBDAY(J_ADDDAY(D190,N190,1),1,1))))=2,J_SUBDAY(J_ADDDAY(D190,N190+2,1),1,1),J_SUBDAY(J_ADDDAY(D190,N190+3,1),1,1)))))</f>
        <v>1398/06/30</v>
      </c>
      <c r="G190" s="2">
        <f t="shared" si="65"/>
        <v>13980630</v>
      </c>
      <c r="H190" s="109"/>
      <c r="I190" s="110">
        <v>1.1000000000000001</v>
      </c>
      <c r="J190" s="9">
        <f>j_WEEKDAY(D190,2)</f>
        <v>1</v>
      </c>
      <c r="K190" s="21">
        <f t="shared" si="62"/>
        <v>0</v>
      </c>
      <c r="L190" s="8">
        <f t="shared" si="63"/>
        <v>0</v>
      </c>
      <c r="M190" s="111">
        <v>0</v>
      </c>
      <c r="N190" s="108">
        <v>0</v>
      </c>
      <c r="O190" s="10">
        <f t="shared" si="60"/>
        <v>0</v>
      </c>
      <c r="P190" s="10">
        <f>VALUE(J_normdate(J_ADDDAY($D190,$O190,1)))</f>
        <v>13980631</v>
      </c>
      <c r="Q190" s="9">
        <f t="shared" si="61"/>
        <v>0</v>
      </c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  <c r="BB190" s="7"/>
      <c r="BC190" s="7"/>
      <c r="BD190" s="7"/>
      <c r="BE190" s="7"/>
      <c r="BF190" s="7"/>
      <c r="BG190" s="7"/>
      <c r="BH190" s="7"/>
      <c r="BI190" s="7"/>
      <c r="BJ190" s="7"/>
      <c r="BK190" s="7"/>
      <c r="BL190" s="7"/>
      <c r="BM190" s="7"/>
      <c r="BN190" s="7"/>
      <c r="BO190" s="7"/>
      <c r="BP190" s="7"/>
      <c r="BQ190" s="7"/>
      <c r="BR190" s="7"/>
      <c r="BS190" s="7"/>
      <c r="BT190" s="7"/>
      <c r="BU190" s="7"/>
      <c r="BV190" s="7"/>
      <c r="BW190" s="7"/>
      <c r="BX190" s="7"/>
      <c r="BY190" s="7"/>
      <c r="BZ190" s="7"/>
      <c r="CA190" s="7"/>
      <c r="CB190" s="7"/>
      <c r="CC190" s="7"/>
      <c r="CD190" s="7"/>
      <c r="CE190" s="7"/>
      <c r="CF190" s="7"/>
      <c r="CG190" s="7"/>
      <c r="CH190" s="7"/>
      <c r="CI190" s="7"/>
      <c r="CJ190" s="7"/>
      <c r="CK190" s="7"/>
      <c r="CL190" s="7"/>
      <c r="CM190" s="7"/>
      <c r="CN190" s="7"/>
      <c r="CO190" s="7"/>
      <c r="CP190" s="7"/>
      <c r="CQ190" s="7"/>
      <c r="CR190" s="7"/>
      <c r="CS190" s="7"/>
      <c r="CT190" s="7"/>
      <c r="CU190" s="7"/>
      <c r="CV190" s="7"/>
      <c r="CW190" s="7"/>
      <c r="CX190" s="7"/>
      <c r="CY190" s="7"/>
      <c r="CZ190" s="7"/>
      <c r="DA190" s="7"/>
      <c r="DB190" s="7"/>
      <c r="DC190" s="7"/>
      <c r="DD190" s="7"/>
      <c r="DE190" s="7"/>
      <c r="DF190" s="7"/>
      <c r="DG190" s="7"/>
      <c r="DH190" s="7"/>
      <c r="DI190" s="7"/>
      <c r="DJ190" s="7"/>
      <c r="DK190" s="7"/>
      <c r="DL190" s="7"/>
      <c r="DM190" s="7"/>
      <c r="DN190" s="7"/>
      <c r="DO190" s="7"/>
      <c r="DP190" s="7"/>
      <c r="DQ190" s="7"/>
      <c r="DR190" s="7"/>
      <c r="DS190" s="7"/>
      <c r="DT190" s="7"/>
      <c r="DU190" s="7"/>
      <c r="DV190" s="7"/>
      <c r="DW190" s="7"/>
      <c r="DX190" s="7"/>
      <c r="DY190" s="7"/>
      <c r="DZ190" s="7"/>
      <c r="EA190" s="7"/>
      <c r="EB190" s="7"/>
      <c r="EC190" s="7"/>
      <c r="ED190" s="7"/>
      <c r="EE190" s="7"/>
      <c r="EF190" s="7"/>
      <c r="EG190" s="7"/>
      <c r="EH190" s="7"/>
      <c r="EI190" s="7"/>
      <c r="EJ190" s="7"/>
      <c r="EK190" s="7"/>
      <c r="EL190" s="7"/>
      <c r="EM190" s="7"/>
      <c r="EN190" s="7"/>
      <c r="EO190" s="7"/>
      <c r="EP190" s="7"/>
      <c r="EQ190" s="7"/>
      <c r="ER190" s="7"/>
      <c r="ES190" s="7"/>
      <c r="ET190" s="7"/>
      <c r="EU190" s="7"/>
      <c r="EV190" s="7"/>
      <c r="EW190" s="7"/>
      <c r="EX190" s="7"/>
      <c r="EY190" s="7"/>
      <c r="EZ190" s="7"/>
      <c r="FA190" s="7"/>
      <c r="FB190" s="7"/>
      <c r="FC190" s="7"/>
      <c r="FD190" s="7"/>
      <c r="FE190" s="7"/>
      <c r="FF190" s="7"/>
      <c r="FG190" s="7"/>
      <c r="FH190" s="7"/>
      <c r="FI190" s="7"/>
      <c r="FJ190" s="7"/>
      <c r="FK190" s="7"/>
      <c r="FL190" s="7"/>
      <c r="FM190" s="7"/>
      <c r="FN190" s="7"/>
      <c r="FO190" s="7"/>
      <c r="FP190" s="7"/>
      <c r="FQ190" s="7"/>
      <c r="FR190" s="7"/>
      <c r="FS190" s="7"/>
      <c r="FT190" s="7"/>
      <c r="FU190" s="7"/>
      <c r="FV190" s="7"/>
      <c r="FW190" s="7"/>
      <c r="FX190" s="7"/>
      <c r="FY190" s="7"/>
      <c r="FZ190" s="7"/>
      <c r="GA190" s="7"/>
      <c r="GB190" s="7"/>
      <c r="GC190" s="7"/>
      <c r="GD190" s="7"/>
      <c r="GE190" s="7"/>
      <c r="GF190" s="7"/>
      <c r="GG190" s="7"/>
      <c r="GH190" s="7"/>
      <c r="GI190" s="7"/>
      <c r="GJ190" s="7"/>
      <c r="GK190" s="7"/>
      <c r="GL190" s="7"/>
      <c r="GM190" s="7"/>
      <c r="GN190" s="7"/>
      <c r="GO190" s="7"/>
      <c r="GP190" s="7"/>
      <c r="GQ190" s="7"/>
      <c r="GR190" s="7"/>
      <c r="GS190" s="7"/>
      <c r="GT190" s="7"/>
      <c r="GU190" s="7"/>
      <c r="GV190" s="7"/>
      <c r="GW190" s="7"/>
      <c r="GX190" s="7"/>
      <c r="GY190" s="7"/>
      <c r="GZ190" s="7"/>
      <c r="HA190" s="7"/>
      <c r="HB190" s="7"/>
      <c r="HC190" s="7"/>
      <c r="HD190" s="7"/>
      <c r="HE190" s="7"/>
      <c r="HF190" s="7"/>
      <c r="HG190" s="7"/>
      <c r="HH190" s="7"/>
      <c r="HI190" s="7"/>
      <c r="HJ190" s="7"/>
      <c r="HK190" s="7"/>
      <c r="HL190" s="7"/>
      <c r="HM190" s="7"/>
      <c r="HN190" s="7"/>
      <c r="HO190" s="7"/>
      <c r="HP190" s="7"/>
      <c r="HQ190" s="7"/>
      <c r="HR190" s="7"/>
      <c r="HS190" s="7"/>
      <c r="HT190" s="7"/>
      <c r="HU190" s="7"/>
      <c r="HV190" s="7"/>
      <c r="HW190" s="7"/>
      <c r="HX190" s="7"/>
      <c r="HY190" s="7"/>
      <c r="HZ190" s="7"/>
      <c r="IA190" s="7"/>
      <c r="IB190" s="7"/>
      <c r="IC190" s="7"/>
      <c r="ID190" s="7"/>
      <c r="IE190" s="7"/>
      <c r="IF190" s="7"/>
      <c r="IG190" s="7"/>
      <c r="IH190" s="7"/>
      <c r="II190" s="7"/>
      <c r="IJ190" s="7"/>
      <c r="IK190" s="7"/>
      <c r="IL190" s="7"/>
      <c r="IM190" s="7"/>
      <c r="IN190" s="7"/>
      <c r="IO190" s="7"/>
      <c r="IP190" s="7"/>
      <c r="IQ190" s="7"/>
      <c r="IR190" s="7"/>
      <c r="IS190" s="7"/>
      <c r="IT190" s="7"/>
      <c r="IU190" s="7"/>
      <c r="IV190" s="7"/>
      <c r="IW190" s="7"/>
      <c r="IX190" s="7"/>
      <c r="JA190" s="113"/>
      <c r="JB190" s="113"/>
      <c r="JC190" s="113"/>
      <c r="JD190" s="66">
        <f>SUM((TEXT(JA190,"[M]")/60)*'Income Person-hours'!$D$3,(TEXT(JB190,"[M]")/60)*'Income Person-hours'!$D$4,(TEXT(JC190,"[M]")/60)*'Income Person-hours'!$D$5)</f>
        <v>0</v>
      </c>
    </row>
    <row r="191" spans="1:264 16383:16384" s="11" customFormat="1" ht="11.25" hidden="1">
      <c r="A191" s="30">
        <v>8.1300000000000008</v>
      </c>
      <c r="B191" s="116"/>
      <c r="C191" s="107"/>
      <c r="D191" s="12" t="str">
        <f>IF(OR(j_WEEKDAY(J_ADDDAY(VLOOKUP(I191,A:F,6,FALSE),H191,1),0)=6,SUMIFS(Holieday[ok],Holieday[date],J_ADDDAY(VLOOKUP(I191,A:F,6,FALSE),H191,1)))=FALSE(),J_ADDDAY(VLOOKUP(I191,A:F,6,FALSE),H191,1),IF(OR(j_WEEKDAY(J_ADDDAY(VLOOKUP(I191,A:F,6,FALSE),H191+1,1),0)=6,SUMIFS(Holieday[ok],Holieday[date],J_ADDDAY(VLOOKUP(I191,A:F,6,FALSE),H191+1,1)))=FALSE(),J_ADDDAY(VLOOKUP(I191,A:F,6,FALSE),H191+1,1),IF(OR(j_WEEKDAY(J_ADDDAY(VLOOKUP(I191,A:F,6,FALSE),H191+2,1),0)=6,SUMIFS(Holieday[ok],Holieday[date],J_ADDDAY(VLOOKUP(I191,A:F,6,FALSE),H191+2,1)))=FALSE(),J_ADDDAY(VLOOKUP(I191,A:F,6,FALSE),H191+2,1),IF(OR(j_WEEKDAY(J_ADDDAY(VLOOKUP(I191,A:F,6,FALSE),H191+3,1),0)=6,SUMIFS(Holieday[ok],Holieday[date],J_ADDDAY(VLOOKUP(I191,A:F,6,FALSE),H191+3,1)))=FALSE(),J_ADDDAY(VLOOKUP(I191,A:F,6,FALSE),H191+3,1),IF(OR(j_WEEKDAY(J_ADDDAY(VLOOKUP(I191,A:F,6,FALSE),H191+4,1),0)=6,SUMIFS(Holieday[ok],Holieday[date],J_ADDDAY(VLOOKUP(I191,A:F,6,FALSE),H191+4,1)))=FALSE(),J_ADDDAY(VLOOKUP(I191,A:F,6,FALSE),H191+4,1),J_ADDDAY(VLOOKUP(I191,A:F,6,FALSE),H191+5,1))))))</f>
        <v>1398/06/31</v>
      </c>
      <c r="E191" s="1">
        <f t="shared" si="64"/>
        <v>13980631</v>
      </c>
      <c r="F191" s="12" t="str">
        <f>IF(N191=0,J_SUBDAY(D191,1,1),IF((N191-NETWORKDAYS.INTL(J_GregorianDate(D191,1),J_GregorianDate(J_SUBDAY(J_ADDDAY(D191,N191,1),1,1),1),16,1)-SUMIFS(Holieday[ok],Holieday[date],CONCATENATE("&gt;","=",D191),Holieday[date],CONCATENATE("&lt;","=",J_SUBDAY(J_ADDDAY(D191,N191,1),1,1)))+SUMIFS(Holieday[Friday],Holieday[date],CONCATENATE("&gt;","=",D191),Holieday[date],CONCATENATE("&lt;","=",J_SUBDAY(J_ADDDAY(D191,N191,1),1,1))))=0,J_SUBDAY(J_ADDDAY(D191,N191,1),1,1),IF((N191-NETWORKDAYS.INTL(J_GregorianDate(D191,1),J_GregorianDate(J_SUBDAY(J_ADDDAY(D191,N191,1),1,1),1),16,1)-SUMIFS(Holieday[ok],Holieday[date],CONCATENATE("&gt;","=",D191),Holieday[date],CONCATENATE("&lt;","=",J_SUBDAY(J_ADDDAY(D191,N191,1),1,1)))+SUMIFS(Holieday[Friday],Holieday[date],CONCATENATE("&gt;","=",D191),Holieday[date],CONCATENATE("&lt;","=",J_SUBDAY(J_ADDDAY(D191,N191,1),1,1))))=1,J_SUBDAY(J_ADDDAY(D191,N191+1,1),1,1),IF((N191-NETWORKDAYS.INTL(J_GregorianDate(D191,1),J_GregorianDate(J_SUBDAY(J_ADDDAY(D191,N191,1),1,1),1),16,1)-SUMIFS(Holieday[ok],Holieday[date],CONCATENATE("&gt;","=",D191),Holieday[date],CONCATENATE("&lt;","=",J_SUBDAY(J_ADDDAY(D191,N191,1),1,1)))+SUMIFS(Holieday[Friday],Holieday[date],CONCATENATE("&gt;","=",D191),Holieday[date],CONCATENATE("&lt;","=",J_SUBDAY(J_ADDDAY(D191,N191,1),1,1))))=2,J_SUBDAY(J_ADDDAY(D191,N191+2,1),1,1),J_SUBDAY(J_ADDDAY(D191,N191+3,1),1,1)))))</f>
        <v>1398/06/30</v>
      </c>
      <c r="G191" s="2">
        <f t="shared" si="65"/>
        <v>13980630</v>
      </c>
      <c r="H191" s="109"/>
      <c r="I191" s="110">
        <v>1.1000000000000001</v>
      </c>
      <c r="J191" s="9">
        <f>j_WEEKDAY(D191,2)</f>
        <v>1</v>
      </c>
      <c r="K191" s="21">
        <f t="shared" si="62"/>
        <v>0</v>
      </c>
      <c r="L191" s="8">
        <f t="shared" si="63"/>
        <v>0</v>
      </c>
      <c r="M191" s="111">
        <v>0</v>
      </c>
      <c r="N191" s="108">
        <v>0</v>
      </c>
      <c r="O191" s="10">
        <f t="shared" si="60"/>
        <v>0</v>
      </c>
      <c r="P191" s="10">
        <f>VALUE(J_normdate(J_ADDDAY($D191,$O191,1)))</f>
        <v>13980631</v>
      </c>
      <c r="Q191" s="9">
        <f t="shared" si="61"/>
        <v>0</v>
      </c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  <c r="BB191" s="7"/>
      <c r="BC191" s="7"/>
      <c r="BD191" s="7"/>
      <c r="BE191" s="7"/>
      <c r="BF191" s="7"/>
      <c r="BG191" s="7"/>
      <c r="BH191" s="7"/>
      <c r="BI191" s="7"/>
      <c r="BJ191" s="7"/>
      <c r="BK191" s="7"/>
      <c r="BL191" s="7"/>
      <c r="BM191" s="7"/>
      <c r="BN191" s="7"/>
      <c r="BO191" s="7"/>
      <c r="BP191" s="7"/>
      <c r="BQ191" s="7"/>
      <c r="BR191" s="7"/>
      <c r="BS191" s="7"/>
      <c r="BT191" s="7"/>
      <c r="BU191" s="7"/>
      <c r="BV191" s="7"/>
      <c r="BW191" s="7"/>
      <c r="BX191" s="7"/>
      <c r="BY191" s="7"/>
      <c r="BZ191" s="7"/>
      <c r="CA191" s="7"/>
      <c r="CB191" s="7"/>
      <c r="CC191" s="7"/>
      <c r="CD191" s="7"/>
      <c r="CE191" s="7"/>
      <c r="CF191" s="7"/>
      <c r="CG191" s="7"/>
      <c r="CH191" s="7"/>
      <c r="CI191" s="7"/>
      <c r="CJ191" s="7"/>
      <c r="CK191" s="7"/>
      <c r="CL191" s="7"/>
      <c r="CM191" s="7"/>
      <c r="CN191" s="7"/>
      <c r="CO191" s="7"/>
      <c r="CP191" s="7"/>
      <c r="CQ191" s="7"/>
      <c r="CR191" s="7"/>
      <c r="CS191" s="7"/>
      <c r="CT191" s="7"/>
      <c r="CU191" s="7"/>
      <c r="CV191" s="7"/>
      <c r="CW191" s="7"/>
      <c r="CX191" s="7"/>
      <c r="CY191" s="7"/>
      <c r="CZ191" s="7"/>
      <c r="DA191" s="7"/>
      <c r="DB191" s="7"/>
      <c r="DC191" s="7"/>
      <c r="DD191" s="7"/>
      <c r="DE191" s="7"/>
      <c r="DF191" s="7"/>
      <c r="DG191" s="7"/>
      <c r="DH191" s="7"/>
      <c r="DI191" s="7"/>
      <c r="DJ191" s="7"/>
      <c r="DK191" s="7"/>
      <c r="DL191" s="7"/>
      <c r="DM191" s="7"/>
      <c r="DN191" s="7"/>
      <c r="DO191" s="7"/>
      <c r="DP191" s="7"/>
      <c r="DQ191" s="7"/>
      <c r="DR191" s="7"/>
      <c r="DS191" s="7"/>
      <c r="DT191" s="7"/>
      <c r="DU191" s="7"/>
      <c r="DV191" s="7"/>
      <c r="DW191" s="7"/>
      <c r="DX191" s="7"/>
      <c r="DY191" s="7"/>
      <c r="DZ191" s="7"/>
      <c r="EA191" s="7"/>
      <c r="EB191" s="7"/>
      <c r="EC191" s="7"/>
      <c r="ED191" s="7"/>
      <c r="EE191" s="7"/>
      <c r="EF191" s="7"/>
      <c r="EG191" s="7"/>
      <c r="EH191" s="7"/>
      <c r="EI191" s="7"/>
      <c r="EJ191" s="7"/>
      <c r="EK191" s="7"/>
      <c r="EL191" s="7"/>
      <c r="EM191" s="7"/>
      <c r="EN191" s="7"/>
      <c r="EO191" s="7"/>
      <c r="EP191" s="7"/>
      <c r="EQ191" s="7"/>
      <c r="ER191" s="7"/>
      <c r="ES191" s="7"/>
      <c r="ET191" s="7"/>
      <c r="EU191" s="7"/>
      <c r="EV191" s="7"/>
      <c r="EW191" s="7"/>
      <c r="EX191" s="7"/>
      <c r="EY191" s="7"/>
      <c r="EZ191" s="7"/>
      <c r="FA191" s="7"/>
      <c r="FB191" s="7"/>
      <c r="FC191" s="7"/>
      <c r="FD191" s="7"/>
      <c r="FE191" s="7"/>
      <c r="FF191" s="7"/>
      <c r="FG191" s="7"/>
      <c r="FH191" s="7"/>
      <c r="FI191" s="7"/>
      <c r="FJ191" s="7"/>
      <c r="FK191" s="7"/>
      <c r="FL191" s="7"/>
      <c r="FM191" s="7"/>
      <c r="FN191" s="7"/>
      <c r="FO191" s="7"/>
      <c r="FP191" s="7"/>
      <c r="FQ191" s="7"/>
      <c r="FR191" s="7"/>
      <c r="FS191" s="7"/>
      <c r="FT191" s="7"/>
      <c r="FU191" s="7"/>
      <c r="FV191" s="7"/>
      <c r="FW191" s="7"/>
      <c r="FX191" s="7"/>
      <c r="FY191" s="7"/>
      <c r="FZ191" s="7"/>
      <c r="GA191" s="7"/>
      <c r="GB191" s="7"/>
      <c r="GC191" s="7"/>
      <c r="GD191" s="7"/>
      <c r="GE191" s="7"/>
      <c r="GF191" s="7"/>
      <c r="GG191" s="7"/>
      <c r="GH191" s="7"/>
      <c r="GI191" s="7"/>
      <c r="GJ191" s="7"/>
      <c r="GK191" s="7"/>
      <c r="GL191" s="7"/>
      <c r="GM191" s="7"/>
      <c r="GN191" s="7"/>
      <c r="GO191" s="7"/>
      <c r="GP191" s="7"/>
      <c r="GQ191" s="7"/>
      <c r="GR191" s="7"/>
      <c r="GS191" s="7"/>
      <c r="GT191" s="7"/>
      <c r="GU191" s="7"/>
      <c r="GV191" s="7"/>
      <c r="GW191" s="7"/>
      <c r="GX191" s="7"/>
      <c r="GY191" s="7"/>
      <c r="GZ191" s="7"/>
      <c r="HA191" s="7"/>
      <c r="HB191" s="7"/>
      <c r="HC191" s="7"/>
      <c r="HD191" s="7"/>
      <c r="HE191" s="7"/>
      <c r="HF191" s="7"/>
      <c r="HG191" s="7"/>
      <c r="HH191" s="7"/>
      <c r="HI191" s="7"/>
      <c r="HJ191" s="7"/>
      <c r="HK191" s="7"/>
      <c r="HL191" s="7"/>
      <c r="HM191" s="7"/>
      <c r="HN191" s="7"/>
      <c r="HO191" s="7"/>
      <c r="HP191" s="7"/>
      <c r="HQ191" s="7"/>
      <c r="HR191" s="7"/>
      <c r="HS191" s="7"/>
      <c r="HT191" s="7"/>
      <c r="HU191" s="7"/>
      <c r="HV191" s="7"/>
      <c r="HW191" s="7"/>
      <c r="HX191" s="7"/>
      <c r="HY191" s="7"/>
      <c r="HZ191" s="7"/>
      <c r="IA191" s="7"/>
      <c r="IB191" s="7"/>
      <c r="IC191" s="7"/>
      <c r="ID191" s="7"/>
      <c r="IE191" s="7"/>
      <c r="IF191" s="7"/>
      <c r="IG191" s="7"/>
      <c r="IH191" s="7"/>
      <c r="II191" s="7"/>
      <c r="IJ191" s="7"/>
      <c r="IK191" s="7"/>
      <c r="IL191" s="7"/>
      <c r="IM191" s="7"/>
      <c r="IN191" s="7"/>
      <c r="IO191" s="7"/>
      <c r="IP191" s="7"/>
      <c r="IQ191" s="7"/>
      <c r="IR191" s="7"/>
      <c r="IS191" s="7"/>
      <c r="IT191" s="7"/>
      <c r="IU191" s="7"/>
      <c r="IV191" s="7"/>
      <c r="IW191" s="7"/>
      <c r="IX191" s="7"/>
      <c r="JA191" s="113"/>
      <c r="JB191" s="113"/>
      <c r="JC191" s="113"/>
      <c r="JD191" s="66">
        <f>SUM((TEXT(JA191,"[M]")/60)*'Income Person-hours'!$D$3,(TEXT(JB191,"[M]")/60)*'Income Person-hours'!$D$4,(TEXT(JC191,"[M]")/60)*'Income Person-hours'!$D$5)</f>
        <v>0</v>
      </c>
    </row>
    <row r="192" spans="1:264 16383:16384" s="11" customFormat="1" ht="11.25" hidden="1">
      <c r="A192" s="30">
        <v>8.14</v>
      </c>
      <c r="B192" s="116"/>
      <c r="C192" s="107"/>
      <c r="D192" s="12" t="str">
        <f>IF(OR(j_WEEKDAY(J_ADDDAY(VLOOKUP(I192,A:F,6,FALSE),H192,1),0)=6,SUMIFS(Holieday[ok],Holieday[date],J_ADDDAY(VLOOKUP(I192,A:F,6,FALSE),H192,1)))=FALSE(),J_ADDDAY(VLOOKUP(I192,A:F,6,FALSE),H192,1),IF(OR(j_WEEKDAY(J_ADDDAY(VLOOKUP(I192,A:F,6,FALSE),H192+1,1),0)=6,SUMIFS(Holieday[ok],Holieday[date],J_ADDDAY(VLOOKUP(I192,A:F,6,FALSE),H192+1,1)))=FALSE(),J_ADDDAY(VLOOKUP(I192,A:F,6,FALSE),H192+1,1),IF(OR(j_WEEKDAY(J_ADDDAY(VLOOKUP(I192,A:F,6,FALSE),H192+2,1),0)=6,SUMIFS(Holieday[ok],Holieday[date],J_ADDDAY(VLOOKUP(I192,A:F,6,FALSE),H192+2,1)))=FALSE(),J_ADDDAY(VLOOKUP(I192,A:F,6,FALSE),H192+2,1),IF(OR(j_WEEKDAY(J_ADDDAY(VLOOKUP(I192,A:F,6,FALSE),H192+3,1),0)=6,SUMIFS(Holieday[ok],Holieday[date],J_ADDDAY(VLOOKUP(I192,A:F,6,FALSE),H192+3,1)))=FALSE(),J_ADDDAY(VLOOKUP(I192,A:F,6,FALSE),H192+3,1),IF(OR(j_WEEKDAY(J_ADDDAY(VLOOKUP(I192,A:F,6,FALSE),H192+4,1),0)=6,SUMIFS(Holieday[ok],Holieday[date],J_ADDDAY(VLOOKUP(I192,A:F,6,FALSE),H192+4,1)))=FALSE(),J_ADDDAY(VLOOKUP(I192,A:F,6,FALSE),H192+4,1),J_ADDDAY(VLOOKUP(I192,A:F,6,FALSE),H192+5,1))))))</f>
        <v>1398/06/31</v>
      </c>
      <c r="E192" s="1">
        <f t="shared" si="64"/>
        <v>13980631</v>
      </c>
      <c r="F192" s="12" t="str">
        <f>IF(N192=0,J_SUBDAY(D192,1,1),IF((N192-NETWORKDAYS.INTL(J_GregorianDate(D192,1),J_GregorianDate(J_SUBDAY(J_ADDDAY(D192,N192,1),1,1),1),16,1)-SUMIFS(Holieday[ok],Holieday[date],CONCATENATE("&gt;","=",D192),Holieday[date],CONCATENATE("&lt;","=",J_SUBDAY(J_ADDDAY(D192,N192,1),1,1)))+SUMIFS(Holieday[Friday],Holieday[date],CONCATENATE("&gt;","=",D192),Holieday[date],CONCATENATE("&lt;","=",J_SUBDAY(J_ADDDAY(D192,N192,1),1,1))))=0,J_SUBDAY(J_ADDDAY(D192,N192,1),1,1),IF((N192-NETWORKDAYS.INTL(J_GregorianDate(D192,1),J_GregorianDate(J_SUBDAY(J_ADDDAY(D192,N192,1),1,1),1),16,1)-SUMIFS(Holieday[ok],Holieday[date],CONCATENATE("&gt;","=",D192),Holieday[date],CONCATENATE("&lt;","=",J_SUBDAY(J_ADDDAY(D192,N192,1),1,1)))+SUMIFS(Holieday[Friday],Holieday[date],CONCATENATE("&gt;","=",D192),Holieday[date],CONCATENATE("&lt;","=",J_SUBDAY(J_ADDDAY(D192,N192,1),1,1))))=1,J_SUBDAY(J_ADDDAY(D192,N192+1,1),1,1),IF((N192-NETWORKDAYS.INTL(J_GregorianDate(D192,1),J_GregorianDate(J_SUBDAY(J_ADDDAY(D192,N192,1),1,1),1),16,1)-SUMIFS(Holieday[ok],Holieday[date],CONCATENATE("&gt;","=",D192),Holieday[date],CONCATENATE("&lt;","=",J_SUBDAY(J_ADDDAY(D192,N192,1),1,1)))+SUMIFS(Holieday[Friday],Holieday[date],CONCATENATE("&gt;","=",D192),Holieday[date],CONCATENATE("&lt;","=",J_SUBDAY(J_ADDDAY(D192,N192,1),1,1))))=2,J_SUBDAY(J_ADDDAY(D192,N192+2,1),1,1),J_SUBDAY(J_ADDDAY(D192,N192+3,1),1,1)))))</f>
        <v>1398/06/30</v>
      </c>
      <c r="G192" s="2">
        <f t="shared" si="65"/>
        <v>13980630</v>
      </c>
      <c r="H192" s="109"/>
      <c r="I192" s="110">
        <v>1.1000000000000001</v>
      </c>
      <c r="J192" s="9">
        <f>j_WEEKDAY(D192,2)</f>
        <v>1</v>
      </c>
      <c r="K192" s="21">
        <f t="shared" si="62"/>
        <v>0</v>
      </c>
      <c r="L192" s="8">
        <f t="shared" si="63"/>
        <v>0</v>
      </c>
      <c r="M192" s="111">
        <v>0</v>
      </c>
      <c r="N192" s="108">
        <v>0</v>
      </c>
      <c r="O192" s="10">
        <f t="shared" si="60"/>
        <v>0</v>
      </c>
      <c r="P192" s="10">
        <f>VALUE(J_normdate(J_ADDDAY($D192,$O192,1)))</f>
        <v>13980631</v>
      </c>
      <c r="Q192" s="9">
        <f t="shared" si="61"/>
        <v>0</v>
      </c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  <c r="BB192" s="7"/>
      <c r="BC192" s="7"/>
      <c r="BD192" s="7"/>
      <c r="BE192" s="7"/>
      <c r="BF192" s="7"/>
      <c r="BG192" s="7"/>
      <c r="BH192" s="7"/>
      <c r="BI192" s="7"/>
      <c r="BJ192" s="7"/>
      <c r="BK192" s="7"/>
      <c r="BL192" s="7"/>
      <c r="BM192" s="7"/>
      <c r="BN192" s="7"/>
      <c r="BO192" s="7"/>
      <c r="BP192" s="7"/>
      <c r="BQ192" s="7"/>
      <c r="BR192" s="7"/>
      <c r="BS192" s="7"/>
      <c r="BT192" s="7"/>
      <c r="BU192" s="7"/>
      <c r="BV192" s="7"/>
      <c r="BW192" s="7"/>
      <c r="BX192" s="7"/>
      <c r="BY192" s="7"/>
      <c r="BZ192" s="7"/>
      <c r="CA192" s="7"/>
      <c r="CB192" s="7"/>
      <c r="CC192" s="7"/>
      <c r="CD192" s="7"/>
      <c r="CE192" s="7"/>
      <c r="CF192" s="7"/>
      <c r="CG192" s="7"/>
      <c r="CH192" s="7"/>
      <c r="CI192" s="7"/>
      <c r="CJ192" s="7"/>
      <c r="CK192" s="7"/>
      <c r="CL192" s="7"/>
      <c r="CM192" s="7"/>
      <c r="CN192" s="7"/>
      <c r="CO192" s="7"/>
      <c r="CP192" s="7"/>
      <c r="CQ192" s="7"/>
      <c r="CR192" s="7"/>
      <c r="CS192" s="7"/>
      <c r="CT192" s="7"/>
      <c r="CU192" s="7"/>
      <c r="CV192" s="7"/>
      <c r="CW192" s="7"/>
      <c r="CX192" s="7"/>
      <c r="CY192" s="7"/>
      <c r="CZ192" s="7"/>
      <c r="DA192" s="7"/>
      <c r="DB192" s="7"/>
      <c r="DC192" s="7"/>
      <c r="DD192" s="7"/>
      <c r="DE192" s="7"/>
      <c r="DF192" s="7"/>
      <c r="DG192" s="7"/>
      <c r="DH192" s="7"/>
      <c r="DI192" s="7"/>
      <c r="DJ192" s="7"/>
      <c r="DK192" s="7"/>
      <c r="DL192" s="7"/>
      <c r="DM192" s="7"/>
      <c r="DN192" s="7"/>
      <c r="DO192" s="7"/>
      <c r="DP192" s="7"/>
      <c r="DQ192" s="7"/>
      <c r="DR192" s="7"/>
      <c r="DS192" s="7"/>
      <c r="DT192" s="7"/>
      <c r="DU192" s="7"/>
      <c r="DV192" s="7"/>
      <c r="DW192" s="7"/>
      <c r="DX192" s="7"/>
      <c r="DY192" s="7"/>
      <c r="DZ192" s="7"/>
      <c r="EA192" s="7"/>
      <c r="EB192" s="7"/>
      <c r="EC192" s="7"/>
      <c r="ED192" s="7"/>
      <c r="EE192" s="7"/>
      <c r="EF192" s="7"/>
      <c r="EG192" s="7"/>
      <c r="EH192" s="7"/>
      <c r="EI192" s="7"/>
      <c r="EJ192" s="7"/>
      <c r="EK192" s="7"/>
      <c r="EL192" s="7"/>
      <c r="EM192" s="7"/>
      <c r="EN192" s="7"/>
      <c r="EO192" s="7"/>
      <c r="EP192" s="7"/>
      <c r="EQ192" s="7"/>
      <c r="ER192" s="7"/>
      <c r="ES192" s="7"/>
      <c r="ET192" s="7"/>
      <c r="EU192" s="7"/>
      <c r="EV192" s="7"/>
      <c r="EW192" s="7"/>
      <c r="EX192" s="7"/>
      <c r="EY192" s="7"/>
      <c r="EZ192" s="7"/>
      <c r="FA192" s="7"/>
      <c r="FB192" s="7"/>
      <c r="FC192" s="7"/>
      <c r="FD192" s="7"/>
      <c r="FE192" s="7"/>
      <c r="FF192" s="7"/>
      <c r="FG192" s="7"/>
      <c r="FH192" s="7"/>
      <c r="FI192" s="7"/>
      <c r="FJ192" s="7"/>
      <c r="FK192" s="7"/>
      <c r="FL192" s="7"/>
      <c r="FM192" s="7"/>
      <c r="FN192" s="7"/>
      <c r="FO192" s="7"/>
      <c r="FP192" s="7"/>
      <c r="FQ192" s="7"/>
      <c r="FR192" s="7"/>
      <c r="FS192" s="7"/>
      <c r="FT192" s="7"/>
      <c r="FU192" s="7"/>
      <c r="FV192" s="7"/>
      <c r="FW192" s="7"/>
      <c r="FX192" s="7"/>
      <c r="FY192" s="7"/>
      <c r="FZ192" s="7"/>
      <c r="GA192" s="7"/>
      <c r="GB192" s="7"/>
      <c r="GC192" s="7"/>
      <c r="GD192" s="7"/>
      <c r="GE192" s="7"/>
      <c r="GF192" s="7"/>
      <c r="GG192" s="7"/>
      <c r="GH192" s="7"/>
      <c r="GI192" s="7"/>
      <c r="GJ192" s="7"/>
      <c r="GK192" s="7"/>
      <c r="GL192" s="7"/>
      <c r="GM192" s="7"/>
      <c r="GN192" s="7"/>
      <c r="GO192" s="7"/>
      <c r="GP192" s="7"/>
      <c r="GQ192" s="7"/>
      <c r="GR192" s="7"/>
      <c r="GS192" s="7"/>
      <c r="GT192" s="7"/>
      <c r="GU192" s="7"/>
      <c r="GV192" s="7"/>
      <c r="GW192" s="7"/>
      <c r="GX192" s="7"/>
      <c r="GY192" s="7"/>
      <c r="GZ192" s="7"/>
      <c r="HA192" s="7"/>
      <c r="HB192" s="7"/>
      <c r="HC192" s="7"/>
      <c r="HD192" s="7"/>
      <c r="HE192" s="7"/>
      <c r="HF192" s="7"/>
      <c r="HG192" s="7"/>
      <c r="HH192" s="7"/>
      <c r="HI192" s="7"/>
      <c r="HJ192" s="7"/>
      <c r="HK192" s="7"/>
      <c r="HL192" s="7"/>
      <c r="HM192" s="7"/>
      <c r="HN192" s="7"/>
      <c r="HO192" s="7"/>
      <c r="HP192" s="7"/>
      <c r="HQ192" s="7"/>
      <c r="HR192" s="7"/>
      <c r="HS192" s="7"/>
      <c r="HT192" s="7"/>
      <c r="HU192" s="7"/>
      <c r="HV192" s="7"/>
      <c r="HW192" s="7"/>
      <c r="HX192" s="7"/>
      <c r="HY192" s="7"/>
      <c r="HZ192" s="7"/>
      <c r="IA192" s="7"/>
      <c r="IB192" s="7"/>
      <c r="IC192" s="7"/>
      <c r="ID192" s="7"/>
      <c r="IE192" s="7"/>
      <c r="IF192" s="7"/>
      <c r="IG192" s="7"/>
      <c r="IH192" s="7"/>
      <c r="II192" s="7"/>
      <c r="IJ192" s="7"/>
      <c r="IK192" s="7"/>
      <c r="IL192" s="7"/>
      <c r="IM192" s="7"/>
      <c r="IN192" s="7"/>
      <c r="IO192" s="7"/>
      <c r="IP192" s="7"/>
      <c r="IQ192" s="7"/>
      <c r="IR192" s="7"/>
      <c r="IS192" s="7"/>
      <c r="IT192" s="7"/>
      <c r="IU192" s="7"/>
      <c r="IV192" s="7"/>
      <c r="IW192" s="7"/>
      <c r="IX192" s="7"/>
      <c r="JA192" s="113"/>
      <c r="JB192" s="113"/>
      <c r="JC192" s="113"/>
      <c r="JD192" s="66">
        <f>SUM((TEXT(JA192,"[M]")/60)*'Income Person-hours'!$D$3,(TEXT(JB192,"[M]")/60)*'Income Person-hours'!$D$4,(TEXT(JC192,"[M]")/60)*'Income Person-hours'!$D$5)</f>
        <v>0</v>
      </c>
    </row>
    <row r="193" spans="1:264 16383:16384" s="11" customFormat="1" ht="11.25" hidden="1">
      <c r="A193" s="30">
        <v>8.15</v>
      </c>
      <c r="B193" s="116"/>
      <c r="C193" s="107"/>
      <c r="D193" s="12" t="str">
        <f>IF(OR(j_WEEKDAY(J_ADDDAY(VLOOKUP(I193,A:F,6,FALSE),H193,1),0)=6,SUMIFS(Holieday[ok],Holieday[date],J_ADDDAY(VLOOKUP(I193,A:F,6,FALSE),H193,1)))=FALSE(),J_ADDDAY(VLOOKUP(I193,A:F,6,FALSE),H193,1),IF(OR(j_WEEKDAY(J_ADDDAY(VLOOKUP(I193,A:F,6,FALSE),H193+1,1),0)=6,SUMIFS(Holieday[ok],Holieday[date],J_ADDDAY(VLOOKUP(I193,A:F,6,FALSE),H193+1,1)))=FALSE(),J_ADDDAY(VLOOKUP(I193,A:F,6,FALSE),H193+1,1),IF(OR(j_WEEKDAY(J_ADDDAY(VLOOKUP(I193,A:F,6,FALSE),H193+2,1),0)=6,SUMIFS(Holieday[ok],Holieday[date],J_ADDDAY(VLOOKUP(I193,A:F,6,FALSE),H193+2,1)))=FALSE(),J_ADDDAY(VLOOKUP(I193,A:F,6,FALSE),H193+2,1),IF(OR(j_WEEKDAY(J_ADDDAY(VLOOKUP(I193,A:F,6,FALSE),H193+3,1),0)=6,SUMIFS(Holieday[ok],Holieday[date],J_ADDDAY(VLOOKUP(I193,A:F,6,FALSE),H193+3,1)))=FALSE(),J_ADDDAY(VLOOKUP(I193,A:F,6,FALSE),H193+3,1),IF(OR(j_WEEKDAY(J_ADDDAY(VLOOKUP(I193,A:F,6,FALSE),H193+4,1),0)=6,SUMIFS(Holieday[ok],Holieday[date],J_ADDDAY(VLOOKUP(I193,A:F,6,FALSE),H193+4,1)))=FALSE(),J_ADDDAY(VLOOKUP(I193,A:F,6,FALSE),H193+4,1),J_ADDDAY(VLOOKUP(I193,A:F,6,FALSE),H193+5,1))))))</f>
        <v>1398/06/31</v>
      </c>
      <c r="E193" s="1">
        <f t="shared" si="64"/>
        <v>13980631</v>
      </c>
      <c r="F193" s="12" t="str">
        <f>IF(N193=0,J_SUBDAY(D193,1,1),IF((N193-NETWORKDAYS.INTL(J_GregorianDate(D193,1),J_GregorianDate(J_SUBDAY(J_ADDDAY(D193,N193,1),1,1),1),16,1)-SUMIFS(Holieday[ok],Holieday[date],CONCATENATE("&gt;","=",D193),Holieday[date],CONCATENATE("&lt;","=",J_SUBDAY(J_ADDDAY(D193,N193,1),1,1)))+SUMIFS(Holieday[Friday],Holieday[date],CONCATENATE("&gt;","=",D193),Holieday[date],CONCATENATE("&lt;","=",J_SUBDAY(J_ADDDAY(D193,N193,1),1,1))))=0,J_SUBDAY(J_ADDDAY(D193,N193,1),1,1),IF((N193-NETWORKDAYS.INTL(J_GregorianDate(D193,1),J_GregorianDate(J_SUBDAY(J_ADDDAY(D193,N193,1),1,1),1),16,1)-SUMIFS(Holieday[ok],Holieday[date],CONCATENATE("&gt;","=",D193),Holieday[date],CONCATENATE("&lt;","=",J_SUBDAY(J_ADDDAY(D193,N193,1),1,1)))+SUMIFS(Holieday[Friday],Holieday[date],CONCATENATE("&gt;","=",D193),Holieday[date],CONCATENATE("&lt;","=",J_SUBDAY(J_ADDDAY(D193,N193,1),1,1))))=1,J_SUBDAY(J_ADDDAY(D193,N193+1,1),1,1),IF((N193-NETWORKDAYS.INTL(J_GregorianDate(D193,1),J_GregorianDate(J_SUBDAY(J_ADDDAY(D193,N193,1),1,1),1),16,1)-SUMIFS(Holieday[ok],Holieday[date],CONCATENATE("&gt;","=",D193),Holieday[date],CONCATENATE("&lt;","=",J_SUBDAY(J_ADDDAY(D193,N193,1),1,1)))+SUMIFS(Holieday[Friday],Holieday[date],CONCATENATE("&gt;","=",D193),Holieday[date],CONCATENATE("&lt;","=",J_SUBDAY(J_ADDDAY(D193,N193,1),1,1))))=2,J_SUBDAY(J_ADDDAY(D193,N193+2,1),1,1),J_SUBDAY(J_ADDDAY(D193,N193+3,1),1,1)))))</f>
        <v>1398/06/30</v>
      </c>
      <c r="G193" s="2">
        <f t="shared" si="65"/>
        <v>13980630</v>
      </c>
      <c r="H193" s="109"/>
      <c r="I193" s="110">
        <v>1.1000000000000001</v>
      </c>
      <c r="J193" s="9">
        <f>j_WEEKDAY(D193,2)</f>
        <v>1</v>
      </c>
      <c r="K193" s="21">
        <f t="shared" si="62"/>
        <v>0</v>
      </c>
      <c r="L193" s="8">
        <f t="shared" si="63"/>
        <v>0</v>
      </c>
      <c r="M193" s="111">
        <v>0</v>
      </c>
      <c r="N193" s="108">
        <v>0</v>
      </c>
      <c r="O193" s="10">
        <f t="shared" si="60"/>
        <v>0</v>
      </c>
      <c r="P193" s="10">
        <f>VALUE(J_normdate(J_ADDDAY($D193,$O193,1)))</f>
        <v>13980631</v>
      </c>
      <c r="Q193" s="9">
        <f t="shared" si="61"/>
        <v>0</v>
      </c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  <c r="BB193" s="7"/>
      <c r="BC193" s="7"/>
      <c r="BD193" s="7"/>
      <c r="BE193" s="7"/>
      <c r="BF193" s="7"/>
      <c r="BG193" s="7"/>
      <c r="BH193" s="7"/>
      <c r="BI193" s="7"/>
      <c r="BJ193" s="7"/>
      <c r="BK193" s="7"/>
      <c r="BL193" s="7"/>
      <c r="BM193" s="7"/>
      <c r="BN193" s="7"/>
      <c r="BO193" s="7"/>
      <c r="BP193" s="7"/>
      <c r="BQ193" s="7"/>
      <c r="BR193" s="7"/>
      <c r="BS193" s="7"/>
      <c r="BT193" s="7"/>
      <c r="BU193" s="7"/>
      <c r="BV193" s="7"/>
      <c r="BW193" s="7"/>
      <c r="BX193" s="7"/>
      <c r="BY193" s="7"/>
      <c r="BZ193" s="7"/>
      <c r="CA193" s="7"/>
      <c r="CB193" s="7"/>
      <c r="CC193" s="7"/>
      <c r="CD193" s="7"/>
      <c r="CE193" s="7"/>
      <c r="CF193" s="7"/>
      <c r="CG193" s="7"/>
      <c r="CH193" s="7"/>
      <c r="CI193" s="7"/>
      <c r="CJ193" s="7"/>
      <c r="CK193" s="7"/>
      <c r="CL193" s="7"/>
      <c r="CM193" s="7"/>
      <c r="CN193" s="7"/>
      <c r="CO193" s="7"/>
      <c r="CP193" s="7"/>
      <c r="CQ193" s="7"/>
      <c r="CR193" s="7"/>
      <c r="CS193" s="7"/>
      <c r="CT193" s="7"/>
      <c r="CU193" s="7"/>
      <c r="CV193" s="7"/>
      <c r="CW193" s="7"/>
      <c r="CX193" s="7"/>
      <c r="CY193" s="7"/>
      <c r="CZ193" s="7"/>
      <c r="DA193" s="7"/>
      <c r="DB193" s="7"/>
      <c r="DC193" s="7"/>
      <c r="DD193" s="7"/>
      <c r="DE193" s="7"/>
      <c r="DF193" s="7"/>
      <c r="DG193" s="7"/>
      <c r="DH193" s="7"/>
      <c r="DI193" s="7"/>
      <c r="DJ193" s="7"/>
      <c r="DK193" s="7"/>
      <c r="DL193" s="7"/>
      <c r="DM193" s="7"/>
      <c r="DN193" s="7"/>
      <c r="DO193" s="7"/>
      <c r="DP193" s="7"/>
      <c r="DQ193" s="7"/>
      <c r="DR193" s="7"/>
      <c r="DS193" s="7"/>
      <c r="DT193" s="7"/>
      <c r="DU193" s="7"/>
      <c r="DV193" s="7"/>
      <c r="DW193" s="7"/>
      <c r="DX193" s="7"/>
      <c r="DY193" s="7"/>
      <c r="DZ193" s="7"/>
      <c r="EA193" s="7"/>
      <c r="EB193" s="7"/>
      <c r="EC193" s="7"/>
      <c r="ED193" s="7"/>
      <c r="EE193" s="7"/>
      <c r="EF193" s="7"/>
      <c r="EG193" s="7"/>
      <c r="EH193" s="7"/>
      <c r="EI193" s="7"/>
      <c r="EJ193" s="7"/>
      <c r="EK193" s="7"/>
      <c r="EL193" s="7"/>
      <c r="EM193" s="7"/>
      <c r="EN193" s="7"/>
      <c r="EO193" s="7"/>
      <c r="EP193" s="7"/>
      <c r="EQ193" s="7"/>
      <c r="ER193" s="7"/>
      <c r="ES193" s="7"/>
      <c r="ET193" s="7"/>
      <c r="EU193" s="7"/>
      <c r="EV193" s="7"/>
      <c r="EW193" s="7"/>
      <c r="EX193" s="7"/>
      <c r="EY193" s="7"/>
      <c r="EZ193" s="7"/>
      <c r="FA193" s="7"/>
      <c r="FB193" s="7"/>
      <c r="FC193" s="7"/>
      <c r="FD193" s="7"/>
      <c r="FE193" s="7"/>
      <c r="FF193" s="7"/>
      <c r="FG193" s="7"/>
      <c r="FH193" s="7"/>
      <c r="FI193" s="7"/>
      <c r="FJ193" s="7"/>
      <c r="FK193" s="7"/>
      <c r="FL193" s="7"/>
      <c r="FM193" s="7"/>
      <c r="FN193" s="7"/>
      <c r="FO193" s="7"/>
      <c r="FP193" s="7"/>
      <c r="FQ193" s="7"/>
      <c r="FR193" s="7"/>
      <c r="FS193" s="7"/>
      <c r="FT193" s="7"/>
      <c r="FU193" s="7"/>
      <c r="FV193" s="7"/>
      <c r="FW193" s="7"/>
      <c r="FX193" s="7"/>
      <c r="FY193" s="7"/>
      <c r="FZ193" s="7"/>
      <c r="GA193" s="7"/>
      <c r="GB193" s="7"/>
      <c r="GC193" s="7"/>
      <c r="GD193" s="7"/>
      <c r="GE193" s="7"/>
      <c r="GF193" s="7"/>
      <c r="GG193" s="7"/>
      <c r="GH193" s="7"/>
      <c r="GI193" s="7"/>
      <c r="GJ193" s="7"/>
      <c r="GK193" s="7"/>
      <c r="GL193" s="7"/>
      <c r="GM193" s="7"/>
      <c r="GN193" s="7"/>
      <c r="GO193" s="7"/>
      <c r="GP193" s="7"/>
      <c r="GQ193" s="7"/>
      <c r="GR193" s="7"/>
      <c r="GS193" s="7"/>
      <c r="GT193" s="7"/>
      <c r="GU193" s="7"/>
      <c r="GV193" s="7"/>
      <c r="GW193" s="7"/>
      <c r="GX193" s="7"/>
      <c r="GY193" s="7"/>
      <c r="GZ193" s="7"/>
      <c r="HA193" s="7"/>
      <c r="HB193" s="7"/>
      <c r="HC193" s="7"/>
      <c r="HD193" s="7"/>
      <c r="HE193" s="7"/>
      <c r="HF193" s="7"/>
      <c r="HG193" s="7"/>
      <c r="HH193" s="7"/>
      <c r="HI193" s="7"/>
      <c r="HJ193" s="7"/>
      <c r="HK193" s="7"/>
      <c r="HL193" s="7"/>
      <c r="HM193" s="7"/>
      <c r="HN193" s="7"/>
      <c r="HO193" s="7"/>
      <c r="HP193" s="7"/>
      <c r="HQ193" s="7"/>
      <c r="HR193" s="7"/>
      <c r="HS193" s="7"/>
      <c r="HT193" s="7"/>
      <c r="HU193" s="7"/>
      <c r="HV193" s="7"/>
      <c r="HW193" s="7"/>
      <c r="HX193" s="7"/>
      <c r="HY193" s="7"/>
      <c r="HZ193" s="7"/>
      <c r="IA193" s="7"/>
      <c r="IB193" s="7"/>
      <c r="IC193" s="7"/>
      <c r="ID193" s="7"/>
      <c r="IE193" s="7"/>
      <c r="IF193" s="7"/>
      <c r="IG193" s="7"/>
      <c r="IH193" s="7"/>
      <c r="II193" s="7"/>
      <c r="IJ193" s="7"/>
      <c r="IK193" s="7"/>
      <c r="IL193" s="7"/>
      <c r="IM193" s="7"/>
      <c r="IN193" s="7"/>
      <c r="IO193" s="7"/>
      <c r="IP193" s="7"/>
      <c r="IQ193" s="7"/>
      <c r="IR193" s="7"/>
      <c r="IS193" s="7"/>
      <c r="IT193" s="7"/>
      <c r="IU193" s="7"/>
      <c r="IV193" s="7"/>
      <c r="IW193" s="7"/>
      <c r="IX193" s="7"/>
      <c r="JA193" s="113"/>
      <c r="JB193" s="113"/>
      <c r="JC193" s="113"/>
      <c r="JD193" s="66">
        <f>SUM((TEXT(JA193,"[M]")/60)*'Income Person-hours'!$D$3,(TEXT(JB193,"[M]")/60)*'Income Person-hours'!$D$4,(TEXT(JC193,"[M]")/60)*'Income Person-hours'!$D$5)</f>
        <v>0</v>
      </c>
    </row>
    <row r="194" spans="1:264 16383:16384" s="11" customFormat="1" ht="11.25" hidden="1">
      <c r="A194" s="30">
        <v>8.16</v>
      </c>
      <c r="B194" s="116"/>
      <c r="C194" s="107"/>
      <c r="D194" s="12" t="str">
        <f>IF(OR(j_WEEKDAY(J_ADDDAY(VLOOKUP(I194,A:F,6,FALSE),H194,1),0)=6,SUMIFS(Holieday[ok],Holieday[date],J_ADDDAY(VLOOKUP(I194,A:F,6,FALSE),H194,1)))=FALSE(),J_ADDDAY(VLOOKUP(I194,A:F,6,FALSE),H194,1),IF(OR(j_WEEKDAY(J_ADDDAY(VLOOKUP(I194,A:F,6,FALSE),H194+1,1),0)=6,SUMIFS(Holieday[ok],Holieday[date],J_ADDDAY(VLOOKUP(I194,A:F,6,FALSE),H194+1,1)))=FALSE(),J_ADDDAY(VLOOKUP(I194,A:F,6,FALSE),H194+1,1),IF(OR(j_WEEKDAY(J_ADDDAY(VLOOKUP(I194,A:F,6,FALSE),H194+2,1),0)=6,SUMIFS(Holieday[ok],Holieday[date],J_ADDDAY(VLOOKUP(I194,A:F,6,FALSE),H194+2,1)))=FALSE(),J_ADDDAY(VLOOKUP(I194,A:F,6,FALSE),H194+2,1),IF(OR(j_WEEKDAY(J_ADDDAY(VLOOKUP(I194,A:F,6,FALSE),H194+3,1),0)=6,SUMIFS(Holieday[ok],Holieday[date],J_ADDDAY(VLOOKUP(I194,A:F,6,FALSE),H194+3,1)))=FALSE(),J_ADDDAY(VLOOKUP(I194,A:F,6,FALSE),H194+3,1),IF(OR(j_WEEKDAY(J_ADDDAY(VLOOKUP(I194,A:F,6,FALSE),H194+4,1),0)=6,SUMIFS(Holieday[ok],Holieday[date],J_ADDDAY(VLOOKUP(I194,A:F,6,FALSE),H194+4,1)))=FALSE(),J_ADDDAY(VLOOKUP(I194,A:F,6,FALSE),H194+4,1),J_ADDDAY(VLOOKUP(I194,A:F,6,FALSE),H194+5,1))))))</f>
        <v>1398/06/31</v>
      </c>
      <c r="E194" s="1">
        <f t="shared" si="64"/>
        <v>13980631</v>
      </c>
      <c r="F194" s="12" t="str">
        <f>IF(N194=0,J_SUBDAY(D194,1,1),IF((N194-NETWORKDAYS.INTL(J_GregorianDate(D194,1),J_GregorianDate(J_SUBDAY(J_ADDDAY(D194,N194,1),1,1),1),16,1)-SUMIFS(Holieday[ok],Holieday[date],CONCATENATE("&gt;","=",D194),Holieday[date],CONCATENATE("&lt;","=",J_SUBDAY(J_ADDDAY(D194,N194,1),1,1)))+SUMIFS(Holieday[Friday],Holieday[date],CONCATENATE("&gt;","=",D194),Holieday[date],CONCATENATE("&lt;","=",J_SUBDAY(J_ADDDAY(D194,N194,1),1,1))))=0,J_SUBDAY(J_ADDDAY(D194,N194,1),1,1),IF((N194-NETWORKDAYS.INTL(J_GregorianDate(D194,1),J_GregorianDate(J_SUBDAY(J_ADDDAY(D194,N194,1),1,1),1),16,1)-SUMIFS(Holieday[ok],Holieday[date],CONCATENATE("&gt;","=",D194),Holieday[date],CONCATENATE("&lt;","=",J_SUBDAY(J_ADDDAY(D194,N194,1),1,1)))+SUMIFS(Holieday[Friday],Holieday[date],CONCATENATE("&gt;","=",D194),Holieday[date],CONCATENATE("&lt;","=",J_SUBDAY(J_ADDDAY(D194,N194,1),1,1))))=1,J_SUBDAY(J_ADDDAY(D194,N194+1,1),1,1),IF((N194-NETWORKDAYS.INTL(J_GregorianDate(D194,1),J_GregorianDate(J_SUBDAY(J_ADDDAY(D194,N194,1),1,1),1),16,1)-SUMIFS(Holieday[ok],Holieday[date],CONCATENATE("&gt;","=",D194),Holieday[date],CONCATENATE("&lt;","=",J_SUBDAY(J_ADDDAY(D194,N194,1),1,1)))+SUMIFS(Holieday[Friday],Holieday[date],CONCATENATE("&gt;","=",D194),Holieday[date],CONCATENATE("&lt;","=",J_SUBDAY(J_ADDDAY(D194,N194,1),1,1))))=2,J_SUBDAY(J_ADDDAY(D194,N194+2,1),1,1),J_SUBDAY(J_ADDDAY(D194,N194+3,1),1,1)))))</f>
        <v>1398/06/30</v>
      </c>
      <c r="G194" s="2">
        <f t="shared" si="65"/>
        <v>13980630</v>
      </c>
      <c r="H194" s="109"/>
      <c r="I194" s="110">
        <v>1.1000000000000001</v>
      </c>
      <c r="J194" s="9">
        <f>j_WEEKDAY(D194,2)</f>
        <v>1</v>
      </c>
      <c r="K194" s="21">
        <f t="shared" si="62"/>
        <v>0</v>
      </c>
      <c r="L194" s="8">
        <f t="shared" si="63"/>
        <v>0</v>
      </c>
      <c r="M194" s="111">
        <v>0</v>
      </c>
      <c r="N194" s="108">
        <v>0</v>
      </c>
      <c r="O194" s="10">
        <f t="shared" si="60"/>
        <v>0</v>
      </c>
      <c r="P194" s="10">
        <f>VALUE(J_normdate(J_ADDDAY($D194,$O194,1)))</f>
        <v>13980631</v>
      </c>
      <c r="Q194" s="9">
        <f t="shared" si="61"/>
        <v>0</v>
      </c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7"/>
      <c r="AY194" s="7"/>
      <c r="AZ194" s="7"/>
      <c r="BA194" s="7"/>
      <c r="BB194" s="7"/>
      <c r="BC194" s="7"/>
      <c r="BD194" s="7"/>
      <c r="BE194" s="7"/>
      <c r="BF194" s="7"/>
      <c r="BG194" s="7"/>
      <c r="BH194" s="7"/>
      <c r="BI194" s="7"/>
      <c r="BJ194" s="7"/>
      <c r="BK194" s="7"/>
      <c r="BL194" s="7"/>
      <c r="BM194" s="7"/>
      <c r="BN194" s="7"/>
      <c r="BO194" s="7"/>
      <c r="BP194" s="7"/>
      <c r="BQ194" s="7"/>
      <c r="BR194" s="7"/>
      <c r="BS194" s="7"/>
      <c r="BT194" s="7"/>
      <c r="BU194" s="7"/>
      <c r="BV194" s="7"/>
      <c r="BW194" s="7"/>
      <c r="BX194" s="7"/>
      <c r="BY194" s="7"/>
      <c r="BZ194" s="7"/>
      <c r="CA194" s="7"/>
      <c r="CB194" s="7"/>
      <c r="CC194" s="7"/>
      <c r="CD194" s="7"/>
      <c r="CE194" s="7"/>
      <c r="CF194" s="7"/>
      <c r="CG194" s="7"/>
      <c r="CH194" s="7"/>
      <c r="CI194" s="7"/>
      <c r="CJ194" s="7"/>
      <c r="CK194" s="7"/>
      <c r="CL194" s="7"/>
      <c r="CM194" s="7"/>
      <c r="CN194" s="7"/>
      <c r="CO194" s="7"/>
      <c r="CP194" s="7"/>
      <c r="CQ194" s="7"/>
      <c r="CR194" s="7"/>
      <c r="CS194" s="7"/>
      <c r="CT194" s="7"/>
      <c r="CU194" s="7"/>
      <c r="CV194" s="7"/>
      <c r="CW194" s="7"/>
      <c r="CX194" s="7"/>
      <c r="CY194" s="7"/>
      <c r="CZ194" s="7"/>
      <c r="DA194" s="7"/>
      <c r="DB194" s="7"/>
      <c r="DC194" s="7"/>
      <c r="DD194" s="7"/>
      <c r="DE194" s="7"/>
      <c r="DF194" s="7"/>
      <c r="DG194" s="7"/>
      <c r="DH194" s="7"/>
      <c r="DI194" s="7"/>
      <c r="DJ194" s="7"/>
      <c r="DK194" s="7"/>
      <c r="DL194" s="7"/>
      <c r="DM194" s="7"/>
      <c r="DN194" s="7"/>
      <c r="DO194" s="7"/>
      <c r="DP194" s="7"/>
      <c r="DQ194" s="7"/>
      <c r="DR194" s="7"/>
      <c r="DS194" s="7"/>
      <c r="DT194" s="7"/>
      <c r="DU194" s="7"/>
      <c r="DV194" s="7"/>
      <c r="DW194" s="7"/>
      <c r="DX194" s="7"/>
      <c r="DY194" s="7"/>
      <c r="DZ194" s="7"/>
      <c r="EA194" s="7"/>
      <c r="EB194" s="7"/>
      <c r="EC194" s="7"/>
      <c r="ED194" s="7"/>
      <c r="EE194" s="7"/>
      <c r="EF194" s="7"/>
      <c r="EG194" s="7"/>
      <c r="EH194" s="7"/>
      <c r="EI194" s="7"/>
      <c r="EJ194" s="7"/>
      <c r="EK194" s="7"/>
      <c r="EL194" s="7"/>
      <c r="EM194" s="7"/>
      <c r="EN194" s="7"/>
      <c r="EO194" s="7"/>
      <c r="EP194" s="7"/>
      <c r="EQ194" s="7"/>
      <c r="ER194" s="7"/>
      <c r="ES194" s="7"/>
      <c r="ET194" s="7"/>
      <c r="EU194" s="7"/>
      <c r="EV194" s="7"/>
      <c r="EW194" s="7"/>
      <c r="EX194" s="7"/>
      <c r="EY194" s="7"/>
      <c r="EZ194" s="7"/>
      <c r="FA194" s="7"/>
      <c r="FB194" s="7"/>
      <c r="FC194" s="7"/>
      <c r="FD194" s="7"/>
      <c r="FE194" s="7"/>
      <c r="FF194" s="7"/>
      <c r="FG194" s="7"/>
      <c r="FH194" s="7"/>
      <c r="FI194" s="7"/>
      <c r="FJ194" s="7"/>
      <c r="FK194" s="7"/>
      <c r="FL194" s="7"/>
      <c r="FM194" s="7"/>
      <c r="FN194" s="7"/>
      <c r="FO194" s="7"/>
      <c r="FP194" s="7"/>
      <c r="FQ194" s="7"/>
      <c r="FR194" s="7"/>
      <c r="FS194" s="7"/>
      <c r="FT194" s="7"/>
      <c r="FU194" s="7"/>
      <c r="FV194" s="7"/>
      <c r="FW194" s="7"/>
      <c r="FX194" s="7"/>
      <c r="FY194" s="7"/>
      <c r="FZ194" s="7"/>
      <c r="GA194" s="7"/>
      <c r="GB194" s="7"/>
      <c r="GC194" s="7"/>
      <c r="GD194" s="7"/>
      <c r="GE194" s="7"/>
      <c r="GF194" s="7"/>
      <c r="GG194" s="7"/>
      <c r="GH194" s="7"/>
      <c r="GI194" s="7"/>
      <c r="GJ194" s="7"/>
      <c r="GK194" s="7"/>
      <c r="GL194" s="7"/>
      <c r="GM194" s="7"/>
      <c r="GN194" s="7"/>
      <c r="GO194" s="7"/>
      <c r="GP194" s="7"/>
      <c r="GQ194" s="7"/>
      <c r="GR194" s="7"/>
      <c r="GS194" s="7"/>
      <c r="GT194" s="7"/>
      <c r="GU194" s="7"/>
      <c r="GV194" s="7"/>
      <c r="GW194" s="7"/>
      <c r="GX194" s="7"/>
      <c r="GY194" s="7"/>
      <c r="GZ194" s="7"/>
      <c r="HA194" s="7"/>
      <c r="HB194" s="7"/>
      <c r="HC194" s="7"/>
      <c r="HD194" s="7"/>
      <c r="HE194" s="7"/>
      <c r="HF194" s="7"/>
      <c r="HG194" s="7"/>
      <c r="HH194" s="7"/>
      <c r="HI194" s="7"/>
      <c r="HJ194" s="7"/>
      <c r="HK194" s="7"/>
      <c r="HL194" s="7"/>
      <c r="HM194" s="7"/>
      <c r="HN194" s="7"/>
      <c r="HO194" s="7"/>
      <c r="HP194" s="7"/>
      <c r="HQ194" s="7"/>
      <c r="HR194" s="7"/>
      <c r="HS194" s="7"/>
      <c r="HT194" s="7"/>
      <c r="HU194" s="7"/>
      <c r="HV194" s="7"/>
      <c r="HW194" s="7"/>
      <c r="HX194" s="7"/>
      <c r="HY194" s="7"/>
      <c r="HZ194" s="7"/>
      <c r="IA194" s="7"/>
      <c r="IB194" s="7"/>
      <c r="IC194" s="7"/>
      <c r="ID194" s="7"/>
      <c r="IE194" s="7"/>
      <c r="IF194" s="7"/>
      <c r="IG194" s="7"/>
      <c r="IH194" s="7"/>
      <c r="II194" s="7"/>
      <c r="IJ194" s="7"/>
      <c r="IK194" s="7"/>
      <c r="IL194" s="7"/>
      <c r="IM194" s="7"/>
      <c r="IN194" s="7"/>
      <c r="IO194" s="7"/>
      <c r="IP194" s="7"/>
      <c r="IQ194" s="7"/>
      <c r="IR194" s="7"/>
      <c r="IS194" s="7"/>
      <c r="IT194" s="7"/>
      <c r="IU194" s="7"/>
      <c r="IV194" s="7"/>
      <c r="IW194" s="7"/>
      <c r="IX194" s="7"/>
      <c r="JA194" s="113"/>
      <c r="JB194" s="113"/>
      <c r="JC194" s="113"/>
      <c r="JD194" s="66">
        <f>SUM((TEXT(JA194,"[M]")/60)*'Income Person-hours'!$D$3,(TEXT(JB194,"[M]")/60)*'Income Person-hours'!$D$4,(TEXT(JC194,"[M]")/60)*'Income Person-hours'!$D$5)</f>
        <v>0</v>
      </c>
    </row>
    <row r="195" spans="1:264 16383:16384" s="11" customFormat="1" ht="11.25" hidden="1">
      <c r="A195" s="30">
        <v>8.17</v>
      </c>
      <c r="B195" s="116"/>
      <c r="C195" s="107"/>
      <c r="D195" s="12" t="str">
        <f>IF(OR(j_WEEKDAY(J_ADDDAY(VLOOKUP(I195,A:F,6,FALSE),H195,1),0)=6,SUMIFS(Holieday[ok],Holieday[date],J_ADDDAY(VLOOKUP(I195,A:F,6,FALSE),H195,1)))=FALSE(),J_ADDDAY(VLOOKUP(I195,A:F,6,FALSE),H195,1),IF(OR(j_WEEKDAY(J_ADDDAY(VLOOKUP(I195,A:F,6,FALSE),H195+1,1),0)=6,SUMIFS(Holieday[ok],Holieday[date],J_ADDDAY(VLOOKUP(I195,A:F,6,FALSE),H195+1,1)))=FALSE(),J_ADDDAY(VLOOKUP(I195,A:F,6,FALSE),H195+1,1),IF(OR(j_WEEKDAY(J_ADDDAY(VLOOKUP(I195,A:F,6,FALSE),H195+2,1),0)=6,SUMIFS(Holieday[ok],Holieday[date],J_ADDDAY(VLOOKUP(I195,A:F,6,FALSE),H195+2,1)))=FALSE(),J_ADDDAY(VLOOKUP(I195,A:F,6,FALSE),H195+2,1),IF(OR(j_WEEKDAY(J_ADDDAY(VLOOKUP(I195,A:F,6,FALSE),H195+3,1),0)=6,SUMIFS(Holieday[ok],Holieday[date],J_ADDDAY(VLOOKUP(I195,A:F,6,FALSE),H195+3,1)))=FALSE(),J_ADDDAY(VLOOKUP(I195,A:F,6,FALSE),H195+3,1),IF(OR(j_WEEKDAY(J_ADDDAY(VLOOKUP(I195,A:F,6,FALSE),H195+4,1),0)=6,SUMIFS(Holieday[ok],Holieday[date],J_ADDDAY(VLOOKUP(I195,A:F,6,FALSE),H195+4,1)))=FALSE(),J_ADDDAY(VLOOKUP(I195,A:F,6,FALSE),H195+4,1),J_ADDDAY(VLOOKUP(I195,A:F,6,FALSE),H195+5,1))))))</f>
        <v>1398/06/31</v>
      </c>
      <c r="E195" s="1">
        <f t="shared" si="64"/>
        <v>13980631</v>
      </c>
      <c r="F195" s="12" t="str">
        <f>IF(N195=0,J_SUBDAY(D195,1,1),IF((N195-NETWORKDAYS.INTL(J_GregorianDate(D195,1),J_GregorianDate(J_SUBDAY(J_ADDDAY(D195,N195,1),1,1),1),16,1)-SUMIFS(Holieday[ok],Holieday[date],CONCATENATE("&gt;","=",D195),Holieday[date],CONCATENATE("&lt;","=",J_SUBDAY(J_ADDDAY(D195,N195,1),1,1)))+SUMIFS(Holieday[Friday],Holieday[date],CONCATENATE("&gt;","=",D195),Holieday[date],CONCATENATE("&lt;","=",J_SUBDAY(J_ADDDAY(D195,N195,1),1,1))))=0,J_SUBDAY(J_ADDDAY(D195,N195,1),1,1),IF((N195-NETWORKDAYS.INTL(J_GregorianDate(D195,1),J_GregorianDate(J_SUBDAY(J_ADDDAY(D195,N195,1),1,1),1),16,1)-SUMIFS(Holieday[ok],Holieday[date],CONCATENATE("&gt;","=",D195),Holieday[date],CONCATENATE("&lt;","=",J_SUBDAY(J_ADDDAY(D195,N195,1),1,1)))+SUMIFS(Holieday[Friday],Holieday[date],CONCATENATE("&gt;","=",D195),Holieday[date],CONCATENATE("&lt;","=",J_SUBDAY(J_ADDDAY(D195,N195,1),1,1))))=1,J_SUBDAY(J_ADDDAY(D195,N195+1,1),1,1),IF((N195-NETWORKDAYS.INTL(J_GregorianDate(D195,1),J_GregorianDate(J_SUBDAY(J_ADDDAY(D195,N195,1),1,1),1),16,1)-SUMIFS(Holieday[ok],Holieday[date],CONCATENATE("&gt;","=",D195),Holieday[date],CONCATENATE("&lt;","=",J_SUBDAY(J_ADDDAY(D195,N195,1),1,1)))+SUMIFS(Holieday[Friday],Holieday[date],CONCATENATE("&gt;","=",D195),Holieday[date],CONCATENATE("&lt;","=",J_SUBDAY(J_ADDDAY(D195,N195,1),1,1))))=2,J_SUBDAY(J_ADDDAY(D195,N195+2,1),1,1),J_SUBDAY(J_ADDDAY(D195,N195+3,1),1,1)))))</f>
        <v>1398/06/30</v>
      </c>
      <c r="G195" s="2">
        <f t="shared" si="65"/>
        <v>13980630</v>
      </c>
      <c r="H195" s="109"/>
      <c r="I195" s="110">
        <v>1.1000000000000001</v>
      </c>
      <c r="J195" s="9">
        <f>j_WEEKDAY(D195,2)</f>
        <v>1</v>
      </c>
      <c r="K195" s="21">
        <f t="shared" si="62"/>
        <v>0</v>
      </c>
      <c r="L195" s="8">
        <f t="shared" si="63"/>
        <v>0</v>
      </c>
      <c r="M195" s="111">
        <v>0</v>
      </c>
      <c r="N195" s="108">
        <v>0</v>
      </c>
      <c r="O195" s="10">
        <f t="shared" si="60"/>
        <v>0</v>
      </c>
      <c r="P195" s="10">
        <f>VALUE(J_normdate(J_ADDDAY($D195,$O195,1)))</f>
        <v>13980631</v>
      </c>
      <c r="Q195" s="9">
        <f t="shared" si="61"/>
        <v>0</v>
      </c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  <c r="BB195" s="7"/>
      <c r="BC195" s="7"/>
      <c r="BD195" s="7"/>
      <c r="BE195" s="7"/>
      <c r="BF195" s="7"/>
      <c r="BG195" s="7"/>
      <c r="BH195" s="7"/>
      <c r="BI195" s="7"/>
      <c r="BJ195" s="7"/>
      <c r="BK195" s="7"/>
      <c r="BL195" s="7"/>
      <c r="BM195" s="7"/>
      <c r="BN195" s="7"/>
      <c r="BO195" s="7"/>
      <c r="BP195" s="7"/>
      <c r="BQ195" s="7"/>
      <c r="BR195" s="7"/>
      <c r="BS195" s="7"/>
      <c r="BT195" s="7"/>
      <c r="BU195" s="7"/>
      <c r="BV195" s="7"/>
      <c r="BW195" s="7"/>
      <c r="BX195" s="7"/>
      <c r="BY195" s="7"/>
      <c r="BZ195" s="7"/>
      <c r="CA195" s="7"/>
      <c r="CB195" s="7"/>
      <c r="CC195" s="7"/>
      <c r="CD195" s="7"/>
      <c r="CE195" s="7"/>
      <c r="CF195" s="7"/>
      <c r="CG195" s="7"/>
      <c r="CH195" s="7"/>
      <c r="CI195" s="7"/>
      <c r="CJ195" s="7"/>
      <c r="CK195" s="7"/>
      <c r="CL195" s="7"/>
      <c r="CM195" s="7"/>
      <c r="CN195" s="7"/>
      <c r="CO195" s="7"/>
      <c r="CP195" s="7"/>
      <c r="CQ195" s="7"/>
      <c r="CR195" s="7"/>
      <c r="CS195" s="7"/>
      <c r="CT195" s="7"/>
      <c r="CU195" s="7"/>
      <c r="CV195" s="7"/>
      <c r="CW195" s="7"/>
      <c r="CX195" s="7"/>
      <c r="CY195" s="7"/>
      <c r="CZ195" s="7"/>
      <c r="DA195" s="7"/>
      <c r="DB195" s="7"/>
      <c r="DC195" s="7"/>
      <c r="DD195" s="7"/>
      <c r="DE195" s="7"/>
      <c r="DF195" s="7"/>
      <c r="DG195" s="7"/>
      <c r="DH195" s="7"/>
      <c r="DI195" s="7"/>
      <c r="DJ195" s="7"/>
      <c r="DK195" s="7"/>
      <c r="DL195" s="7"/>
      <c r="DM195" s="7"/>
      <c r="DN195" s="7"/>
      <c r="DO195" s="7"/>
      <c r="DP195" s="7"/>
      <c r="DQ195" s="7"/>
      <c r="DR195" s="7"/>
      <c r="DS195" s="7"/>
      <c r="DT195" s="7"/>
      <c r="DU195" s="7"/>
      <c r="DV195" s="7"/>
      <c r="DW195" s="7"/>
      <c r="DX195" s="7"/>
      <c r="DY195" s="7"/>
      <c r="DZ195" s="7"/>
      <c r="EA195" s="7"/>
      <c r="EB195" s="7"/>
      <c r="EC195" s="7"/>
      <c r="ED195" s="7"/>
      <c r="EE195" s="7"/>
      <c r="EF195" s="7"/>
      <c r="EG195" s="7"/>
      <c r="EH195" s="7"/>
      <c r="EI195" s="7"/>
      <c r="EJ195" s="7"/>
      <c r="EK195" s="7"/>
      <c r="EL195" s="7"/>
      <c r="EM195" s="7"/>
      <c r="EN195" s="7"/>
      <c r="EO195" s="7"/>
      <c r="EP195" s="7"/>
      <c r="EQ195" s="7"/>
      <c r="ER195" s="7"/>
      <c r="ES195" s="7"/>
      <c r="ET195" s="7"/>
      <c r="EU195" s="7"/>
      <c r="EV195" s="7"/>
      <c r="EW195" s="7"/>
      <c r="EX195" s="7"/>
      <c r="EY195" s="7"/>
      <c r="EZ195" s="7"/>
      <c r="FA195" s="7"/>
      <c r="FB195" s="7"/>
      <c r="FC195" s="7"/>
      <c r="FD195" s="7"/>
      <c r="FE195" s="7"/>
      <c r="FF195" s="7"/>
      <c r="FG195" s="7"/>
      <c r="FH195" s="7"/>
      <c r="FI195" s="7"/>
      <c r="FJ195" s="7"/>
      <c r="FK195" s="7"/>
      <c r="FL195" s="7"/>
      <c r="FM195" s="7"/>
      <c r="FN195" s="7"/>
      <c r="FO195" s="7"/>
      <c r="FP195" s="7"/>
      <c r="FQ195" s="7"/>
      <c r="FR195" s="7"/>
      <c r="FS195" s="7"/>
      <c r="FT195" s="7"/>
      <c r="FU195" s="7"/>
      <c r="FV195" s="7"/>
      <c r="FW195" s="7"/>
      <c r="FX195" s="7"/>
      <c r="FY195" s="7"/>
      <c r="FZ195" s="7"/>
      <c r="GA195" s="7"/>
      <c r="GB195" s="7"/>
      <c r="GC195" s="7"/>
      <c r="GD195" s="7"/>
      <c r="GE195" s="7"/>
      <c r="GF195" s="7"/>
      <c r="GG195" s="7"/>
      <c r="GH195" s="7"/>
      <c r="GI195" s="7"/>
      <c r="GJ195" s="7"/>
      <c r="GK195" s="7"/>
      <c r="GL195" s="7"/>
      <c r="GM195" s="7"/>
      <c r="GN195" s="7"/>
      <c r="GO195" s="7"/>
      <c r="GP195" s="7"/>
      <c r="GQ195" s="7"/>
      <c r="GR195" s="7"/>
      <c r="GS195" s="7"/>
      <c r="GT195" s="7"/>
      <c r="GU195" s="7"/>
      <c r="GV195" s="7"/>
      <c r="GW195" s="7"/>
      <c r="GX195" s="7"/>
      <c r="GY195" s="7"/>
      <c r="GZ195" s="7"/>
      <c r="HA195" s="7"/>
      <c r="HB195" s="7"/>
      <c r="HC195" s="7"/>
      <c r="HD195" s="7"/>
      <c r="HE195" s="7"/>
      <c r="HF195" s="7"/>
      <c r="HG195" s="7"/>
      <c r="HH195" s="7"/>
      <c r="HI195" s="7"/>
      <c r="HJ195" s="7"/>
      <c r="HK195" s="7"/>
      <c r="HL195" s="7"/>
      <c r="HM195" s="7"/>
      <c r="HN195" s="7"/>
      <c r="HO195" s="7"/>
      <c r="HP195" s="7"/>
      <c r="HQ195" s="7"/>
      <c r="HR195" s="7"/>
      <c r="HS195" s="7"/>
      <c r="HT195" s="7"/>
      <c r="HU195" s="7"/>
      <c r="HV195" s="7"/>
      <c r="HW195" s="7"/>
      <c r="HX195" s="7"/>
      <c r="HY195" s="7"/>
      <c r="HZ195" s="7"/>
      <c r="IA195" s="7"/>
      <c r="IB195" s="7"/>
      <c r="IC195" s="7"/>
      <c r="ID195" s="7"/>
      <c r="IE195" s="7"/>
      <c r="IF195" s="7"/>
      <c r="IG195" s="7"/>
      <c r="IH195" s="7"/>
      <c r="II195" s="7"/>
      <c r="IJ195" s="7"/>
      <c r="IK195" s="7"/>
      <c r="IL195" s="7"/>
      <c r="IM195" s="7"/>
      <c r="IN195" s="7"/>
      <c r="IO195" s="7"/>
      <c r="IP195" s="7"/>
      <c r="IQ195" s="7"/>
      <c r="IR195" s="7"/>
      <c r="IS195" s="7"/>
      <c r="IT195" s="7"/>
      <c r="IU195" s="7"/>
      <c r="IV195" s="7"/>
      <c r="IW195" s="7"/>
      <c r="IX195" s="7"/>
      <c r="JA195" s="113"/>
      <c r="JB195" s="113"/>
      <c r="JC195" s="113"/>
      <c r="JD195" s="66">
        <f>SUM((TEXT(JA195,"[M]")/60)*'Income Person-hours'!$D$3,(TEXT(JB195,"[M]")/60)*'Income Person-hours'!$D$4,(TEXT(JC195,"[M]")/60)*'Income Person-hours'!$D$5)</f>
        <v>0</v>
      </c>
    </row>
    <row r="196" spans="1:264 16383:16384" s="11" customFormat="1" ht="11.25" hidden="1">
      <c r="A196" s="30">
        <v>8.18</v>
      </c>
      <c r="B196" s="116"/>
      <c r="C196" s="107"/>
      <c r="D196" s="12" t="str">
        <f>IF(OR(j_WEEKDAY(J_ADDDAY(VLOOKUP(I196,A:F,6,FALSE),H196,1),0)=6,SUMIFS(Holieday[ok],Holieday[date],J_ADDDAY(VLOOKUP(I196,A:F,6,FALSE),H196,1)))=FALSE(),J_ADDDAY(VLOOKUP(I196,A:F,6,FALSE),H196,1),IF(OR(j_WEEKDAY(J_ADDDAY(VLOOKUP(I196,A:F,6,FALSE),H196+1,1),0)=6,SUMIFS(Holieday[ok],Holieday[date],J_ADDDAY(VLOOKUP(I196,A:F,6,FALSE),H196+1,1)))=FALSE(),J_ADDDAY(VLOOKUP(I196,A:F,6,FALSE),H196+1,1),IF(OR(j_WEEKDAY(J_ADDDAY(VLOOKUP(I196,A:F,6,FALSE),H196+2,1),0)=6,SUMIFS(Holieday[ok],Holieday[date],J_ADDDAY(VLOOKUP(I196,A:F,6,FALSE),H196+2,1)))=FALSE(),J_ADDDAY(VLOOKUP(I196,A:F,6,FALSE),H196+2,1),IF(OR(j_WEEKDAY(J_ADDDAY(VLOOKUP(I196,A:F,6,FALSE),H196+3,1),0)=6,SUMIFS(Holieday[ok],Holieday[date],J_ADDDAY(VLOOKUP(I196,A:F,6,FALSE),H196+3,1)))=FALSE(),J_ADDDAY(VLOOKUP(I196,A:F,6,FALSE),H196+3,1),IF(OR(j_WEEKDAY(J_ADDDAY(VLOOKUP(I196,A:F,6,FALSE),H196+4,1),0)=6,SUMIFS(Holieday[ok],Holieday[date],J_ADDDAY(VLOOKUP(I196,A:F,6,FALSE),H196+4,1)))=FALSE(),J_ADDDAY(VLOOKUP(I196,A:F,6,FALSE),H196+4,1),J_ADDDAY(VLOOKUP(I196,A:F,6,FALSE),H196+5,1))))))</f>
        <v>1398/06/31</v>
      </c>
      <c r="E196" s="1">
        <f t="shared" si="64"/>
        <v>13980631</v>
      </c>
      <c r="F196" s="12" t="str">
        <f>IF(N196=0,J_SUBDAY(D196,1,1),IF((N196-NETWORKDAYS.INTL(J_GregorianDate(D196,1),J_GregorianDate(J_SUBDAY(J_ADDDAY(D196,N196,1),1,1),1),16,1)-SUMIFS(Holieday[ok],Holieday[date],CONCATENATE("&gt;","=",D196),Holieday[date],CONCATENATE("&lt;","=",J_SUBDAY(J_ADDDAY(D196,N196,1),1,1)))+SUMIFS(Holieday[Friday],Holieday[date],CONCATENATE("&gt;","=",D196),Holieday[date],CONCATENATE("&lt;","=",J_SUBDAY(J_ADDDAY(D196,N196,1),1,1))))=0,J_SUBDAY(J_ADDDAY(D196,N196,1),1,1),IF((N196-NETWORKDAYS.INTL(J_GregorianDate(D196,1),J_GregorianDate(J_SUBDAY(J_ADDDAY(D196,N196,1),1,1),1),16,1)-SUMIFS(Holieday[ok],Holieday[date],CONCATENATE("&gt;","=",D196),Holieday[date],CONCATENATE("&lt;","=",J_SUBDAY(J_ADDDAY(D196,N196,1),1,1)))+SUMIFS(Holieday[Friday],Holieday[date],CONCATENATE("&gt;","=",D196),Holieday[date],CONCATENATE("&lt;","=",J_SUBDAY(J_ADDDAY(D196,N196,1),1,1))))=1,J_SUBDAY(J_ADDDAY(D196,N196+1,1),1,1),IF((N196-NETWORKDAYS.INTL(J_GregorianDate(D196,1),J_GregorianDate(J_SUBDAY(J_ADDDAY(D196,N196,1),1,1),1),16,1)-SUMIFS(Holieday[ok],Holieday[date],CONCATENATE("&gt;","=",D196),Holieday[date],CONCATENATE("&lt;","=",J_SUBDAY(J_ADDDAY(D196,N196,1),1,1)))+SUMIFS(Holieday[Friday],Holieday[date],CONCATENATE("&gt;","=",D196),Holieday[date],CONCATENATE("&lt;","=",J_SUBDAY(J_ADDDAY(D196,N196,1),1,1))))=2,J_SUBDAY(J_ADDDAY(D196,N196+2,1),1,1),J_SUBDAY(J_ADDDAY(D196,N196+3,1),1,1)))))</f>
        <v>1398/06/30</v>
      </c>
      <c r="G196" s="2">
        <f t="shared" si="65"/>
        <v>13980630</v>
      </c>
      <c r="H196" s="109"/>
      <c r="I196" s="110">
        <v>1.1000000000000001</v>
      </c>
      <c r="J196" s="9">
        <f>j_WEEKDAY(D196,2)</f>
        <v>1</v>
      </c>
      <c r="K196" s="21">
        <f t="shared" si="62"/>
        <v>0</v>
      </c>
      <c r="L196" s="8">
        <f t="shared" si="63"/>
        <v>0</v>
      </c>
      <c r="M196" s="111">
        <v>0</v>
      </c>
      <c r="N196" s="108">
        <v>0</v>
      </c>
      <c r="O196" s="10">
        <f t="shared" si="60"/>
        <v>0</v>
      </c>
      <c r="P196" s="10">
        <f>VALUE(J_normdate(J_ADDDAY($D196,$O196,1)))</f>
        <v>13980631</v>
      </c>
      <c r="Q196" s="9">
        <f t="shared" si="61"/>
        <v>0</v>
      </c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  <c r="BB196" s="7"/>
      <c r="BC196" s="7"/>
      <c r="BD196" s="7"/>
      <c r="BE196" s="7"/>
      <c r="BF196" s="7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BS196" s="7"/>
      <c r="BT196" s="7"/>
      <c r="BU196" s="7"/>
      <c r="BV196" s="7"/>
      <c r="BW196" s="7"/>
      <c r="BX196" s="7"/>
      <c r="BY196" s="7"/>
      <c r="BZ196" s="7"/>
      <c r="CA196" s="7"/>
      <c r="CB196" s="7"/>
      <c r="CC196" s="7"/>
      <c r="CD196" s="7"/>
      <c r="CE196" s="7"/>
      <c r="CF196" s="7"/>
      <c r="CG196" s="7"/>
      <c r="CH196" s="7"/>
      <c r="CI196" s="7"/>
      <c r="CJ196" s="7"/>
      <c r="CK196" s="7"/>
      <c r="CL196" s="7"/>
      <c r="CM196" s="7"/>
      <c r="CN196" s="7"/>
      <c r="CO196" s="7"/>
      <c r="CP196" s="7"/>
      <c r="CQ196" s="7"/>
      <c r="CR196" s="7"/>
      <c r="CS196" s="7"/>
      <c r="CT196" s="7"/>
      <c r="CU196" s="7"/>
      <c r="CV196" s="7"/>
      <c r="CW196" s="7"/>
      <c r="CX196" s="7"/>
      <c r="CY196" s="7"/>
      <c r="CZ196" s="7"/>
      <c r="DA196" s="7"/>
      <c r="DB196" s="7"/>
      <c r="DC196" s="7"/>
      <c r="DD196" s="7"/>
      <c r="DE196" s="7"/>
      <c r="DF196" s="7"/>
      <c r="DG196" s="7"/>
      <c r="DH196" s="7"/>
      <c r="DI196" s="7"/>
      <c r="DJ196" s="7"/>
      <c r="DK196" s="7"/>
      <c r="DL196" s="7"/>
      <c r="DM196" s="7"/>
      <c r="DN196" s="7"/>
      <c r="DO196" s="7"/>
      <c r="DP196" s="7"/>
      <c r="DQ196" s="7"/>
      <c r="DR196" s="7"/>
      <c r="DS196" s="7"/>
      <c r="DT196" s="7"/>
      <c r="DU196" s="7"/>
      <c r="DV196" s="7"/>
      <c r="DW196" s="7"/>
      <c r="DX196" s="7"/>
      <c r="DY196" s="7"/>
      <c r="DZ196" s="7"/>
      <c r="EA196" s="7"/>
      <c r="EB196" s="7"/>
      <c r="EC196" s="7"/>
      <c r="ED196" s="7"/>
      <c r="EE196" s="7"/>
      <c r="EF196" s="7"/>
      <c r="EG196" s="7"/>
      <c r="EH196" s="7"/>
      <c r="EI196" s="7"/>
      <c r="EJ196" s="7"/>
      <c r="EK196" s="7"/>
      <c r="EL196" s="7"/>
      <c r="EM196" s="7"/>
      <c r="EN196" s="7"/>
      <c r="EO196" s="7"/>
      <c r="EP196" s="7"/>
      <c r="EQ196" s="7"/>
      <c r="ER196" s="7"/>
      <c r="ES196" s="7"/>
      <c r="ET196" s="7"/>
      <c r="EU196" s="7"/>
      <c r="EV196" s="7"/>
      <c r="EW196" s="7"/>
      <c r="EX196" s="7"/>
      <c r="EY196" s="7"/>
      <c r="EZ196" s="7"/>
      <c r="FA196" s="7"/>
      <c r="FB196" s="7"/>
      <c r="FC196" s="7"/>
      <c r="FD196" s="7"/>
      <c r="FE196" s="7"/>
      <c r="FF196" s="7"/>
      <c r="FG196" s="7"/>
      <c r="FH196" s="7"/>
      <c r="FI196" s="7"/>
      <c r="FJ196" s="7"/>
      <c r="FK196" s="7"/>
      <c r="FL196" s="7"/>
      <c r="FM196" s="7"/>
      <c r="FN196" s="7"/>
      <c r="FO196" s="7"/>
      <c r="FP196" s="7"/>
      <c r="FQ196" s="7"/>
      <c r="FR196" s="7"/>
      <c r="FS196" s="7"/>
      <c r="FT196" s="7"/>
      <c r="FU196" s="7"/>
      <c r="FV196" s="7"/>
      <c r="FW196" s="7"/>
      <c r="FX196" s="7"/>
      <c r="FY196" s="7"/>
      <c r="FZ196" s="7"/>
      <c r="GA196" s="7"/>
      <c r="GB196" s="7"/>
      <c r="GC196" s="7"/>
      <c r="GD196" s="7"/>
      <c r="GE196" s="7"/>
      <c r="GF196" s="7"/>
      <c r="GG196" s="7"/>
      <c r="GH196" s="7"/>
      <c r="GI196" s="7"/>
      <c r="GJ196" s="7"/>
      <c r="GK196" s="7"/>
      <c r="GL196" s="7"/>
      <c r="GM196" s="7"/>
      <c r="GN196" s="7"/>
      <c r="GO196" s="7"/>
      <c r="GP196" s="7"/>
      <c r="GQ196" s="7"/>
      <c r="GR196" s="7"/>
      <c r="GS196" s="7"/>
      <c r="GT196" s="7"/>
      <c r="GU196" s="7"/>
      <c r="GV196" s="7"/>
      <c r="GW196" s="7"/>
      <c r="GX196" s="7"/>
      <c r="GY196" s="7"/>
      <c r="GZ196" s="7"/>
      <c r="HA196" s="7"/>
      <c r="HB196" s="7"/>
      <c r="HC196" s="7"/>
      <c r="HD196" s="7"/>
      <c r="HE196" s="7"/>
      <c r="HF196" s="7"/>
      <c r="HG196" s="7"/>
      <c r="HH196" s="7"/>
      <c r="HI196" s="7"/>
      <c r="HJ196" s="7"/>
      <c r="HK196" s="7"/>
      <c r="HL196" s="7"/>
      <c r="HM196" s="7"/>
      <c r="HN196" s="7"/>
      <c r="HO196" s="7"/>
      <c r="HP196" s="7"/>
      <c r="HQ196" s="7"/>
      <c r="HR196" s="7"/>
      <c r="HS196" s="7"/>
      <c r="HT196" s="7"/>
      <c r="HU196" s="7"/>
      <c r="HV196" s="7"/>
      <c r="HW196" s="7"/>
      <c r="HX196" s="7"/>
      <c r="HY196" s="7"/>
      <c r="HZ196" s="7"/>
      <c r="IA196" s="7"/>
      <c r="IB196" s="7"/>
      <c r="IC196" s="7"/>
      <c r="ID196" s="7"/>
      <c r="IE196" s="7"/>
      <c r="IF196" s="7"/>
      <c r="IG196" s="7"/>
      <c r="IH196" s="7"/>
      <c r="II196" s="7"/>
      <c r="IJ196" s="7"/>
      <c r="IK196" s="7"/>
      <c r="IL196" s="7"/>
      <c r="IM196" s="7"/>
      <c r="IN196" s="7"/>
      <c r="IO196" s="7"/>
      <c r="IP196" s="7"/>
      <c r="IQ196" s="7"/>
      <c r="IR196" s="7"/>
      <c r="IS196" s="7"/>
      <c r="IT196" s="7"/>
      <c r="IU196" s="7"/>
      <c r="IV196" s="7"/>
      <c r="IW196" s="7"/>
      <c r="IX196" s="7"/>
      <c r="JA196" s="113"/>
      <c r="JB196" s="113"/>
      <c r="JC196" s="113"/>
      <c r="JD196" s="66">
        <f>SUM((TEXT(JA196,"[M]")/60)*'Income Person-hours'!$D$3,(TEXT(JB196,"[M]")/60)*'Income Person-hours'!$D$4,(TEXT(JC196,"[M]")/60)*'Income Person-hours'!$D$5)</f>
        <v>0</v>
      </c>
    </row>
    <row r="197" spans="1:264 16383:16384" s="11" customFormat="1" ht="11.25" hidden="1">
      <c r="A197" s="30">
        <v>8.19</v>
      </c>
      <c r="B197" s="116"/>
      <c r="C197" s="107"/>
      <c r="D197" s="12" t="str">
        <f>IF(OR(j_WEEKDAY(J_ADDDAY(VLOOKUP(I197,A:F,6,FALSE),H197,1),0)=6,SUMIFS(Holieday[ok],Holieday[date],J_ADDDAY(VLOOKUP(I197,A:F,6,FALSE),H197,1)))=FALSE(),J_ADDDAY(VLOOKUP(I197,A:F,6,FALSE),H197,1),IF(OR(j_WEEKDAY(J_ADDDAY(VLOOKUP(I197,A:F,6,FALSE),H197+1,1),0)=6,SUMIFS(Holieday[ok],Holieday[date],J_ADDDAY(VLOOKUP(I197,A:F,6,FALSE),H197+1,1)))=FALSE(),J_ADDDAY(VLOOKUP(I197,A:F,6,FALSE),H197+1,1),IF(OR(j_WEEKDAY(J_ADDDAY(VLOOKUP(I197,A:F,6,FALSE),H197+2,1),0)=6,SUMIFS(Holieday[ok],Holieday[date],J_ADDDAY(VLOOKUP(I197,A:F,6,FALSE),H197+2,1)))=FALSE(),J_ADDDAY(VLOOKUP(I197,A:F,6,FALSE),H197+2,1),IF(OR(j_WEEKDAY(J_ADDDAY(VLOOKUP(I197,A:F,6,FALSE),H197+3,1),0)=6,SUMIFS(Holieday[ok],Holieday[date],J_ADDDAY(VLOOKUP(I197,A:F,6,FALSE),H197+3,1)))=FALSE(),J_ADDDAY(VLOOKUP(I197,A:F,6,FALSE),H197+3,1),IF(OR(j_WEEKDAY(J_ADDDAY(VLOOKUP(I197,A:F,6,FALSE),H197+4,1),0)=6,SUMIFS(Holieday[ok],Holieday[date],J_ADDDAY(VLOOKUP(I197,A:F,6,FALSE),H197+4,1)))=FALSE(),J_ADDDAY(VLOOKUP(I197,A:F,6,FALSE),H197+4,1),J_ADDDAY(VLOOKUP(I197,A:F,6,FALSE),H197+5,1))))))</f>
        <v>1398/06/31</v>
      </c>
      <c r="E197" s="1">
        <f t="shared" si="64"/>
        <v>13980631</v>
      </c>
      <c r="F197" s="12" t="str">
        <f>IF(N197=0,J_SUBDAY(D197,1,1),IF((N197-NETWORKDAYS.INTL(J_GregorianDate(D197,1),J_GregorianDate(J_SUBDAY(J_ADDDAY(D197,N197,1),1,1),1),16,1)-SUMIFS(Holieday[ok],Holieday[date],CONCATENATE("&gt;","=",D197),Holieday[date],CONCATENATE("&lt;","=",J_SUBDAY(J_ADDDAY(D197,N197,1),1,1)))+SUMIFS(Holieday[Friday],Holieday[date],CONCATENATE("&gt;","=",D197),Holieday[date],CONCATENATE("&lt;","=",J_SUBDAY(J_ADDDAY(D197,N197,1),1,1))))=0,J_SUBDAY(J_ADDDAY(D197,N197,1),1,1),IF((N197-NETWORKDAYS.INTL(J_GregorianDate(D197,1),J_GregorianDate(J_SUBDAY(J_ADDDAY(D197,N197,1),1,1),1),16,1)-SUMIFS(Holieday[ok],Holieday[date],CONCATENATE("&gt;","=",D197),Holieday[date],CONCATENATE("&lt;","=",J_SUBDAY(J_ADDDAY(D197,N197,1),1,1)))+SUMIFS(Holieday[Friday],Holieday[date],CONCATENATE("&gt;","=",D197),Holieday[date],CONCATENATE("&lt;","=",J_SUBDAY(J_ADDDAY(D197,N197,1),1,1))))=1,J_SUBDAY(J_ADDDAY(D197,N197+1,1),1,1),IF((N197-NETWORKDAYS.INTL(J_GregorianDate(D197,1),J_GregorianDate(J_SUBDAY(J_ADDDAY(D197,N197,1),1,1),1),16,1)-SUMIFS(Holieday[ok],Holieday[date],CONCATENATE("&gt;","=",D197),Holieday[date],CONCATENATE("&lt;","=",J_SUBDAY(J_ADDDAY(D197,N197,1),1,1)))+SUMIFS(Holieday[Friday],Holieday[date],CONCATENATE("&gt;","=",D197),Holieday[date],CONCATENATE("&lt;","=",J_SUBDAY(J_ADDDAY(D197,N197,1),1,1))))=2,J_SUBDAY(J_ADDDAY(D197,N197+2,1),1,1),J_SUBDAY(J_ADDDAY(D197,N197+3,1),1,1)))))</f>
        <v>1398/06/30</v>
      </c>
      <c r="G197" s="2">
        <f t="shared" si="65"/>
        <v>13980630</v>
      </c>
      <c r="H197" s="109"/>
      <c r="I197" s="110">
        <v>1.1000000000000001</v>
      </c>
      <c r="J197" s="9">
        <f>j_WEEKDAY(D197,2)</f>
        <v>1</v>
      </c>
      <c r="K197" s="21">
        <f t="shared" si="62"/>
        <v>0</v>
      </c>
      <c r="L197" s="8">
        <f t="shared" si="63"/>
        <v>0</v>
      </c>
      <c r="M197" s="111">
        <v>0</v>
      </c>
      <c r="N197" s="108">
        <v>0</v>
      </c>
      <c r="O197" s="10">
        <f t="shared" si="60"/>
        <v>0</v>
      </c>
      <c r="P197" s="10">
        <f>VALUE(J_normdate(J_ADDDAY($D197,$O197,1)))</f>
        <v>13980631</v>
      </c>
      <c r="Q197" s="9">
        <f t="shared" si="61"/>
        <v>0</v>
      </c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  <c r="BB197" s="7"/>
      <c r="BC197" s="7"/>
      <c r="BD197" s="7"/>
      <c r="BE197" s="7"/>
      <c r="BF197" s="7"/>
      <c r="BG197" s="7"/>
      <c r="BH197" s="7"/>
      <c r="BI197" s="7"/>
      <c r="BJ197" s="7"/>
      <c r="BK197" s="7"/>
      <c r="BL197" s="7"/>
      <c r="BM197" s="7"/>
      <c r="BN197" s="7"/>
      <c r="BO197" s="7"/>
      <c r="BP197" s="7"/>
      <c r="BQ197" s="7"/>
      <c r="BR197" s="7"/>
      <c r="BS197" s="7"/>
      <c r="BT197" s="7"/>
      <c r="BU197" s="7"/>
      <c r="BV197" s="7"/>
      <c r="BW197" s="7"/>
      <c r="BX197" s="7"/>
      <c r="BY197" s="7"/>
      <c r="BZ197" s="7"/>
      <c r="CA197" s="7"/>
      <c r="CB197" s="7"/>
      <c r="CC197" s="7"/>
      <c r="CD197" s="7"/>
      <c r="CE197" s="7"/>
      <c r="CF197" s="7"/>
      <c r="CG197" s="7"/>
      <c r="CH197" s="7"/>
      <c r="CI197" s="7"/>
      <c r="CJ197" s="7"/>
      <c r="CK197" s="7"/>
      <c r="CL197" s="7"/>
      <c r="CM197" s="7"/>
      <c r="CN197" s="7"/>
      <c r="CO197" s="7"/>
      <c r="CP197" s="7"/>
      <c r="CQ197" s="7"/>
      <c r="CR197" s="7"/>
      <c r="CS197" s="7"/>
      <c r="CT197" s="7"/>
      <c r="CU197" s="7"/>
      <c r="CV197" s="7"/>
      <c r="CW197" s="7"/>
      <c r="CX197" s="7"/>
      <c r="CY197" s="7"/>
      <c r="CZ197" s="7"/>
      <c r="DA197" s="7"/>
      <c r="DB197" s="7"/>
      <c r="DC197" s="7"/>
      <c r="DD197" s="7"/>
      <c r="DE197" s="7"/>
      <c r="DF197" s="7"/>
      <c r="DG197" s="7"/>
      <c r="DH197" s="7"/>
      <c r="DI197" s="7"/>
      <c r="DJ197" s="7"/>
      <c r="DK197" s="7"/>
      <c r="DL197" s="7"/>
      <c r="DM197" s="7"/>
      <c r="DN197" s="7"/>
      <c r="DO197" s="7"/>
      <c r="DP197" s="7"/>
      <c r="DQ197" s="7"/>
      <c r="DR197" s="7"/>
      <c r="DS197" s="7"/>
      <c r="DT197" s="7"/>
      <c r="DU197" s="7"/>
      <c r="DV197" s="7"/>
      <c r="DW197" s="7"/>
      <c r="DX197" s="7"/>
      <c r="DY197" s="7"/>
      <c r="DZ197" s="7"/>
      <c r="EA197" s="7"/>
      <c r="EB197" s="7"/>
      <c r="EC197" s="7"/>
      <c r="ED197" s="7"/>
      <c r="EE197" s="7"/>
      <c r="EF197" s="7"/>
      <c r="EG197" s="7"/>
      <c r="EH197" s="7"/>
      <c r="EI197" s="7"/>
      <c r="EJ197" s="7"/>
      <c r="EK197" s="7"/>
      <c r="EL197" s="7"/>
      <c r="EM197" s="7"/>
      <c r="EN197" s="7"/>
      <c r="EO197" s="7"/>
      <c r="EP197" s="7"/>
      <c r="EQ197" s="7"/>
      <c r="ER197" s="7"/>
      <c r="ES197" s="7"/>
      <c r="ET197" s="7"/>
      <c r="EU197" s="7"/>
      <c r="EV197" s="7"/>
      <c r="EW197" s="7"/>
      <c r="EX197" s="7"/>
      <c r="EY197" s="7"/>
      <c r="EZ197" s="7"/>
      <c r="FA197" s="7"/>
      <c r="FB197" s="7"/>
      <c r="FC197" s="7"/>
      <c r="FD197" s="7"/>
      <c r="FE197" s="7"/>
      <c r="FF197" s="7"/>
      <c r="FG197" s="7"/>
      <c r="FH197" s="7"/>
      <c r="FI197" s="7"/>
      <c r="FJ197" s="7"/>
      <c r="FK197" s="7"/>
      <c r="FL197" s="7"/>
      <c r="FM197" s="7"/>
      <c r="FN197" s="7"/>
      <c r="FO197" s="7"/>
      <c r="FP197" s="7"/>
      <c r="FQ197" s="7"/>
      <c r="FR197" s="7"/>
      <c r="FS197" s="7"/>
      <c r="FT197" s="7"/>
      <c r="FU197" s="7"/>
      <c r="FV197" s="7"/>
      <c r="FW197" s="7"/>
      <c r="FX197" s="7"/>
      <c r="FY197" s="7"/>
      <c r="FZ197" s="7"/>
      <c r="GA197" s="7"/>
      <c r="GB197" s="7"/>
      <c r="GC197" s="7"/>
      <c r="GD197" s="7"/>
      <c r="GE197" s="7"/>
      <c r="GF197" s="7"/>
      <c r="GG197" s="7"/>
      <c r="GH197" s="7"/>
      <c r="GI197" s="7"/>
      <c r="GJ197" s="7"/>
      <c r="GK197" s="7"/>
      <c r="GL197" s="7"/>
      <c r="GM197" s="7"/>
      <c r="GN197" s="7"/>
      <c r="GO197" s="7"/>
      <c r="GP197" s="7"/>
      <c r="GQ197" s="7"/>
      <c r="GR197" s="7"/>
      <c r="GS197" s="7"/>
      <c r="GT197" s="7"/>
      <c r="GU197" s="7"/>
      <c r="GV197" s="7"/>
      <c r="GW197" s="7"/>
      <c r="GX197" s="7"/>
      <c r="GY197" s="7"/>
      <c r="GZ197" s="7"/>
      <c r="HA197" s="7"/>
      <c r="HB197" s="7"/>
      <c r="HC197" s="7"/>
      <c r="HD197" s="7"/>
      <c r="HE197" s="7"/>
      <c r="HF197" s="7"/>
      <c r="HG197" s="7"/>
      <c r="HH197" s="7"/>
      <c r="HI197" s="7"/>
      <c r="HJ197" s="7"/>
      <c r="HK197" s="7"/>
      <c r="HL197" s="7"/>
      <c r="HM197" s="7"/>
      <c r="HN197" s="7"/>
      <c r="HO197" s="7"/>
      <c r="HP197" s="7"/>
      <c r="HQ197" s="7"/>
      <c r="HR197" s="7"/>
      <c r="HS197" s="7"/>
      <c r="HT197" s="7"/>
      <c r="HU197" s="7"/>
      <c r="HV197" s="7"/>
      <c r="HW197" s="7"/>
      <c r="HX197" s="7"/>
      <c r="HY197" s="7"/>
      <c r="HZ197" s="7"/>
      <c r="IA197" s="7"/>
      <c r="IB197" s="7"/>
      <c r="IC197" s="7"/>
      <c r="ID197" s="7"/>
      <c r="IE197" s="7"/>
      <c r="IF197" s="7"/>
      <c r="IG197" s="7"/>
      <c r="IH197" s="7"/>
      <c r="II197" s="7"/>
      <c r="IJ197" s="7"/>
      <c r="IK197" s="7"/>
      <c r="IL197" s="7"/>
      <c r="IM197" s="7"/>
      <c r="IN197" s="7"/>
      <c r="IO197" s="7"/>
      <c r="IP197" s="7"/>
      <c r="IQ197" s="7"/>
      <c r="IR197" s="7"/>
      <c r="IS197" s="7"/>
      <c r="IT197" s="7"/>
      <c r="IU197" s="7"/>
      <c r="IV197" s="7"/>
      <c r="IW197" s="7"/>
      <c r="IX197" s="7"/>
      <c r="JA197" s="113"/>
      <c r="JB197" s="113"/>
      <c r="JC197" s="113"/>
      <c r="JD197" s="66">
        <f>SUM((TEXT(JA197,"[M]")/60)*'Income Person-hours'!$D$3,(TEXT(JB197,"[M]")/60)*'Income Person-hours'!$D$4,(TEXT(JC197,"[M]")/60)*'Income Person-hours'!$D$5)</f>
        <v>0</v>
      </c>
    </row>
    <row r="198" spans="1:264 16383:16384" s="11" customFormat="1" ht="11.25" hidden="1">
      <c r="A198" s="30">
        <v>8.2100000000000009</v>
      </c>
      <c r="B198" s="116"/>
      <c r="C198" s="107"/>
      <c r="D198" s="12" t="str">
        <f>IF(OR(j_WEEKDAY(J_ADDDAY(VLOOKUP(I198,A:F,6,FALSE),H198,1),0)=6,SUMIFS(Holieday[ok],Holieday[date],J_ADDDAY(VLOOKUP(I198,A:F,6,FALSE),H198,1)))=FALSE(),J_ADDDAY(VLOOKUP(I198,A:F,6,FALSE),H198,1),IF(OR(j_WEEKDAY(J_ADDDAY(VLOOKUP(I198,A:F,6,FALSE),H198+1,1),0)=6,SUMIFS(Holieday[ok],Holieday[date],J_ADDDAY(VLOOKUP(I198,A:F,6,FALSE),H198+1,1)))=FALSE(),J_ADDDAY(VLOOKUP(I198,A:F,6,FALSE),H198+1,1),IF(OR(j_WEEKDAY(J_ADDDAY(VLOOKUP(I198,A:F,6,FALSE),H198+2,1),0)=6,SUMIFS(Holieday[ok],Holieday[date],J_ADDDAY(VLOOKUP(I198,A:F,6,FALSE),H198+2,1)))=FALSE(),J_ADDDAY(VLOOKUP(I198,A:F,6,FALSE),H198+2,1),IF(OR(j_WEEKDAY(J_ADDDAY(VLOOKUP(I198,A:F,6,FALSE),H198+3,1),0)=6,SUMIFS(Holieday[ok],Holieday[date],J_ADDDAY(VLOOKUP(I198,A:F,6,FALSE),H198+3,1)))=FALSE(),J_ADDDAY(VLOOKUP(I198,A:F,6,FALSE),H198+3,1),IF(OR(j_WEEKDAY(J_ADDDAY(VLOOKUP(I198,A:F,6,FALSE),H198+4,1),0)=6,SUMIFS(Holieday[ok],Holieday[date],J_ADDDAY(VLOOKUP(I198,A:F,6,FALSE),H198+4,1)))=FALSE(),J_ADDDAY(VLOOKUP(I198,A:F,6,FALSE),H198+4,1),J_ADDDAY(VLOOKUP(I198,A:F,6,FALSE),H198+5,1))))))</f>
        <v>1398/06/31</v>
      </c>
      <c r="E198" s="1">
        <f t="shared" si="64"/>
        <v>13980631</v>
      </c>
      <c r="F198" s="12" t="str">
        <f>IF(N198=0,J_SUBDAY(D198,1,1),IF((N198-NETWORKDAYS.INTL(J_GregorianDate(D198,1),J_GregorianDate(J_SUBDAY(J_ADDDAY(D198,N198,1),1,1),1),16,1)-SUMIFS(Holieday[ok],Holieday[date],CONCATENATE("&gt;","=",D198),Holieday[date],CONCATENATE("&lt;","=",J_SUBDAY(J_ADDDAY(D198,N198,1),1,1)))+SUMIFS(Holieday[Friday],Holieday[date],CONCATENATE("&gt;","=",D198),Holieday[date],CONCATENATE("&lt;","=",J_SUBDAY(J_ADDDAY(D198,N198,1),1,1))))=0,J_SUBDAY(J_ADDDAY(D198,N198,1),1,1),IF((N198-NETWORKDAYS.INTL(J_GregorianDate(D198,1),J_GregorianDate(J_SUBDAY(J_ADDDAY(D198,N198,1),1,1),1),16,1)-SUMIFS(Holieday[ok],Holieday[date],CONCATENATE("&gt;","=",D198),Holieday[date],CONCATENATE("&lt;","=",J_SUBDAY(J_ADDDAY(D198,N198,1),1,1)))+SUMIFS(Holieday[Friday],Holieday[date],CONCATENATE("&gt;","=",D198),Holieday[date],CONCATENATE("&lt;","=",J_SUBDAY(J_ADDDAY(D198,N198,1),1,1))))=1,J_SUBDAY(J_ADDDAY(D198,N198+1,1),1,1),IF((N198-NETWORKDAYS.INTL(J_GregorianDate(D198,1),J_GregorianDate(J_SUBDAY(J_ADDDAY(D198,N198,1),1,1),1),16,1)-SUMIFS(Holieday[ok],Holieday[date],CONCATENATE("&gt;","=",D198),Holieday[date],CONCATENATE("&lt;","=",J_SUBDAY(J_ADDDAY(D198,N198,1),1,1)))+SUMIFS(Holieday[Friday],Holieday[date],CONCATENATE("&gt;","=",D198),Holieday[date],CONCATENATE("&lt;","=",J_SUBDAY(J_ADDDAY(D198,N198,1),1,1))))=2,J_SUBDAY(J_ADDDAY(D198,N198+2,1),1,1),J_SUBDAY(J_ADDDAY(D198,N198+3,1),1,1)))))</f>
        <v>1398/06/30</v>
      </c>
      <c r="G198" s="2">
        <f t="shared" si="65"/>
        <v>13980630</v>
      </c>
      <c r="H198" s="109"/>
      <c r="I198" s="110">
        <v>1.1000000000000001</v>
      </c>
      <c r="J198" s="9">
        <f>j_WEEKDAY(D198,2)</f>
        <v>1</v>
      </c>
      <c r="K198" s="21">
        <f t="shared" si="62"/>
        <v>0</v>
      </c>
      <c r="L198" s="8">
        <f t="shared" si="63"/>
        <v>0</v>
      </c>
      <c r="M198" s="111">
        <v>0</v>
      </c>
      <c r="N198" s="108">
        <v>0</v>
      </c>
      <c r="O198" s="10">
        <f t="shared" si="60"/>
        <v>0</v>
      </c>
      <c r="P198" s="10">
        <f>VALUE(J_normdate(J_ADDDAY($D198,$O198,1)))</f>
        <v>13980631</v>
      </c>
      <c r="Q198" s="9">
        <f t="shared" si="61"/>
        <v>0</v>
      </c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  <c r="BB198" s="7"/>
      <c r="BC198" s="7"/>
      <c r="BD198" s="7"/>
      <c r="BE198" s="7"/>
      <c r="BF198" s="7"/>
      <c r="BG198" s="7"/>
      <c r="BH198" s="7"/>
      <c r="BI198" s="7"/>
      <c r="BJ198" s="7"/>
      <c r="BK198" s="7"/>
      <c r="BL198" s="7"/>
      <c r="BM198" s="7"/>
      <c r="BN198" s="7"/>
      <c r="BO198" s="7"/>
      <c r="BP198" s="7"/>
      <c r="BQ198" s="7"/>
      <c r="BR198" s="7"/>
      <c r="BS198" s="7"/>
      <c r="BT198" s="7"/>
      <c r="BU198" s="7"/>
      <c r="BV198" s="7"/>
      <c r="BW198" s="7"/>
      <c r="BX198" s="7"/>
      <c r="BY198" s="7"/>
      <c r="BZ198" s="7"/>
      <c r="CA198" s="7"/>
      <c r="CB198" s="7"/>
      <c r="CC198" s="7"/>
      <c r="CD198" s="7"/>
      <c r="CE198" s="7"/>
      <c r="CF198" s="7"/>
      <c r="CG198" s="7"/>
      <c r="CH198" s="7"/>
      <c r="CI198" s="7"/>
      <c r="CJ198" s="7"/>
      <c r="CK198" s="7"/>
      <c r="CL198" s="7"/>
      <c r="CM198" s="7"/>
      <c r="CN198" s="7"/>
      <c r="CO198" s="7"/>
      <c r="CP198" s="7"/>
      <c r="CQ198" s="7"/>
      <c r="CR198" s="7"/>
      <c r="CS198" s="7"/>
      <c r="CT198" s="7"/>
      <c r="CU198" s="7"/>
      <c r="CV198" s="7"/>
      <c r="CW198" s="7"/>
      <c r="CX198" s="7"/>
      <c r="CY198" s="7"/>
      <c r="CZ198" s="7"/>
      <c r="DA198" s="7"/>
      <c r="DB198" s="7"/>
      <c r="DC198" s="7"/>
      <c r="DD198" s="7"/>
      <c r="DE198" s="7"/>
      <c r="DF198" s="7"/>
      <c r="DG198" s="7"/>
      <c r="DH198" s="7"/>
      <c r="DI198" s="7"/>
      <c r="DJ198" s="7"/>
      <c r="DK198" s="7"/>
      <c r="DL198" s="7"/>
      <c r="DM198" s="7"/>
      <c r="DN198" s="7"/>
      <c r="DO198" s="7"/>
      <c r="DP198" s="7"/>
      <c r="DQ198" s="7"/>
      <c r="DR198" s="7"/>
      <c r="DS198" s="7"/>
      <c r="DT198" s="7"/>
      <c r="DU198" s="7"/>
      <c r="DV198" s="7"/>
      <c r="DW198" s="7"/>
      <c r="DX198" s="7"/>
      <c r="DY198" s="7"/>
      <c r="DZ198" s="7"/>
      <c r="EA198" s="7"/>
      <c r="EB198" s="7"/>
      <c r="EC198" s="7"/>
      <c r="ED198" s="7"/>
      <c r="EE198" s="7"/>
      <c r="EF198" s="7"/>
      <c r="EG198" s="7"/>
      <c r="EH198" s="7"/>
      <c r="EI198" s="7"/>
      <c r="EJ198" s="7"/>
      <c r="EK198" s="7"/>
      <c r="EL198" s="7"/>
      <c r="EM198" s="7"/>
      <c r="EN198" s="7"/>
      <c r="EO198" s="7"/>
      <c r="EP198" s="7"/>
      <c r="EQ198" s="7"/>
      <c r="ER198" s="7"/>
      <c r="ES198" s="7"/>
      <c r="ET198" s="7"/>
      <c r="EU198" s="7"/>
      <c r="EV198" s="7"/>
      <c r="EW198" s="7"/>
      <c r="EX198" s="7"/>
      <c r="EY198" s="7"/>
      <c r="EZ198" s="7"/>
      <c r="FA198" s="7"/>
      <c r="FB198" s="7"/>
      <c r="FC198" s="7"/>
      <c r="FD198" s="7"/>
      <c r="FE198" s="7"/>
      <c r="FF198" s="7"/>
      <c r="FG198" s="7"/>
      <c r="FH198" s="7"/>
      <c r="FI198" s="7"/>
      <c r="FJ198" s="7"/>
      <c r="FK198" s="7"/>
      <c r="FL198" s="7"/>
      <c r="FM198" s="7"/>
      <c r="FN198" s="7"/>
      <c r="FO198" s="7"/>
      <c r="FP198" s="7"/>
      <c r="FQ198" s="7"/>
      <c r="FR198" s="7"/>
      <c r="FS198" s="7"/>
      <c r="FT198" s="7"/>
      <c r="FU198" s="7"/>
      <c r="FV198" s="7"/>
      <c r="FW198" s="7"/>
      <c r="FX198" s="7"/>
      <c r="FY198" s="7"/>
      <c r="FZ198" s="7"/>
      <c r="GA198" s="7"/>
      <c r="GB198" s="7"/>
      <c r="GC198" s="7"/>
      <c r="GD198" s="7"/>
      <c r="GE198" s="7"/>
      <c r="GF198" s="7"/>
      <c r="GG198" s="7"/>
      <c r="GH198" s="7"/>
      <c r="GI198" s="7"/>
      <c r="GJ198" s="7"/>
      <c r="GK198" s="7"/>
      <c r="GL198" s="7"/>
      <c r="GM198" s="7"/>
      <c r="GN198" s="7"/>
      <c r="GO198" s="7"/>
      <c r="GP198" s="7"/>
      <c r="GQ198" s="7"/>
      <c r="GR198" s="7"/>
      <c r="GS198" s="7"/>
      <c r="GT198" s="7"/>
      <c r="GU198" s="7"/>
      <c r="GV198" s="7"/>
      <c r="GW198" s="7"/>
      <c r="GX198" s="7"/>
      <c r="GY198" s="7"/>
      <c r="GZ198" s="7"/>
      <c r="HA198" s="7"/>
      <c r="HB198" s="7"/>
      <c r="HC198" s="7"/>
      <c r="HD198" s="7"/>
      <c r="HE198" s="7"/>
      <c r="HF198" s="7"/>
      <c r="HG198" s="7"/>
      <c r="HH198" s="7"/>
      <c r="HI198" s="7"/>
      <c r="HJ198" s="7"/>
      <c r="HK198" s="7"/>
      <c r="HL198" s="7"/>
      <c r="HM198" s="7"/>
      <c r="HN198" s="7"/>
      <c r="HO198" s="7"/>
      <c r="HP198" s="7"/>
      <c r="HQ198" s="7"/>
      <c r="HR198" s="7"/>
      <c r="HS198" s="7"/>
      <c r="HT198" s="7"/>
      <c r="HU198" s="7"/>
      <c r="HV198" s="7"/>
      <c r="HW198" s="7"/>
      <c r="HX198" s="7"/>
      <c r="HY198" s="7"/>
      <c r="HZ198" s="7"/>
      <c r="IA198" s="7"/>
      <c r="IB198" s="7"/>
      <c r="IC198" s="7"/>
      <c r="ID198" s="7"/>
      <c r="IE198" s="7"/>
      <c r="IF198" s="7"/>
      <c r="IG198" s="7"/>
      <c r="IH198" s="7"/>
      <c r="II198" s="7"/>
      <c r="IJ198" s="7"/>
      <c r="IK198" s="7"/>
      <c r="IL198" s="7"/>
      <c r="IM198" s="7"/>
      <c r="IN198" s="7"/>
      <c r="IO198" s="7"/>
      <c r="IP198" s="7"/>
      <c r="IQ198" s="7"/>
      <c r="IR198" s="7"/>
      <c r="IS198" s="7"/>
      <c r="IT198" s="7"/>
      <c r="IU198" s="7"/>
      <c r="IV198" s="7"/>
      <c r="IW198" s="7"/>
      <c r="IX198" s="7"/>
      <c r="JA198" s="113"/>
      <c r="JB198" s="113"/>
      <c r="JC198" s="113"/>
      <c r="JD198" s="66">
        <f>SUM((TEXT(JA198,"[M]")/60)*'Income Person-hours'!$D$3,(TEXT(JB198,"[M]")/60)*'Income Person-hours'!$D$4,(TEXT(JC198,"[M]")/60)*'Income Person-hours'!$D$5)</f>
        <v>0</v>
      </c>
    </row>
    <row r="199" spans="1:264 16383:16384" s="11" customFormat="1" ht="11.25" hidden="1">
      <c r="A199" s="30">
        <v>8.2200000000000006</v>
      </c>
      <c r="B199" s="116"/>
      <c r="C199" s="107"/>
      <c r="D199" s="12" t="str">
        <f>IF(OR(j_WEEKDAY(J_ADDDAY(VLOOKUP(I199,A:F,6,FALSE),H199,1),0)=6,SUMIFS(Holieday[ok],Holieday[date],J_ADDDAY(VLOOKUP(I199,A:F,6,FALSE),H199,1)))=FALSE(),J_ADDDAY(VLOOKUP(I199,A:F,6,FALSE),H199,1),IF(OR(j_WEEKDAY(J_ADDDAY(VLOOKUP(I199,A:F,6,FALSE),H199+1,1),0)=6,SUMIFS(Holieday[ok],Holieday[date],J_ADDDAY(VLOOKUP(I199,A:F,6,FALSE),H199+1,1)))=FALSE(),J_ADDDAY(VLOOKUP(I199,A:F,6,FALSE),H199+1,1),IF(OR(j_WEEKDAY(J_ADDDAY(VLOOKUP(I199,A:F,6,FALSE),H199+2,1),0)=6,SUMIFS(Holieday[ok],Holieday[date],J_ADDDAY(VLOOKUP(I199,A:F,6,FALSE),H199+2,1)))=FALSE(),J_ADDDAY(VLOOKUP(I199,A:F,6,FALSE),H199+2,1),IF(OR(j_WEEKDAY(J_ADDDAY(VLOOKUP(I199,A:F,6,FALSE),H199+3,1),0)=6,SUMIFS(Holieday[ok],Holieday[date],J_ADDDAY(VLOOKUP(I199,A:F,6,FALSE),H199+3,1)))=FALSE(),J_ADDDAY(VLOOKUP(I199,A:F,6,FALSE),H199+3,1),IF(OR(j_WEEKDAY(J_ADDDAY(VLOOKUP(I199,A:F,6,FALSE),H199+4,1),0)=6,SUMIFS(Holieday[ok],Holieday[date],J_ADDDAY(VLOOKUP(I199,A:F,6,FALSE),H199+4,1)))=FALSE(),J_ADDDAY(VLOOKUP(I199,A:F,6,FALSE),H199+4,1),J_ADDDAY(VLOOKUP(I199,A:F,6,FALSE),H199+5,1))))))</f>
        <v>1398/06/31</v>
      </c>
      <c r="E199" s="1">
        <f t="shared" si="64"/>
        <v>13980631</v>
      </c>
      <c r="F199" s="12" t="str">
        <f>IF(N199=0,J_SUBDAY(D199,1,1),IF((N199-NETWORKDAYS.INTL(J_GregorianDate(D199,1),J_GregorianDate(J_SUBDAY(J_ADDDAY(D199,N199,1),1,1),1),16,1)-SUMIFS(Holieday[ok],Holieday[date],CONCATENATE("&gt;","=",D199),Holieday[date],CONCATENATE("&lt;","=",J_SUBDAY(J_ADDDAY(D199,N199,1),1,1)))+SUMIFS(Holieday[Friday],Holieday[date],CONCATENATE("&gt;","=",D199),Holieday[date],CONCATENATE("&lt;","=",J_SUBDAY(J_ADDDAY(D199,N199,1),1,1))))=0,J_SUBDAY(J_ADDDAY(D199,N199,1),1,1),IF((N199-NETWORKDAYS.INTL(J_GregorianDate(D199,1),J_GregorianDate(J_SUBDAY(J_ADDDAY(D199,N199,1),1,1),1),16,1)-SUMIFS(Holieday[ok],Holieday[date],CONCATENATE("&gt;","=",D199),Holieday[date],CONCATENATE("&lt;","=",J_SUBDAY(J_ADDDAY(D199,N199,1),1,1)))+SUMIFS(Holieday[Friday],Holieday[date],CONCATENATE("&gt;","=",D199),Holieday[date],CONCATENATE("&lt;","=",J_SUBDAY(J_ADDDAY(D199,N199,1),1,1))))=1,J_SUBDAY(J_ADDDAY(D199,N199+1,1),1,1),IF((N199-NETWORKDAYS.INTL(J_GregorianDate(D199,1),J_GregorianDate(J_SUBDAY(J_ADDDAY(D199,N199,1),1,1),1),16,1)-SUMIFS(Holieday[ok],Holieday[date],CONCATENATE("&gt;","=",D199),Holieday[date],CONCATENATE("&lt;","=",J_SUBDAY(J_ADDDAY(D199,N199,1),1,1)))+SUMIFS(Holieday[Friday],Holieday[date],CONCATENATE("&gt;","=",D199),Holieday[date],CONCATENATE("&lt;","=",J_SUBDAY(J_ADDDAY(D199,N199,1),1,1))))=2,J_SUBDAY(J_ADDDAY(D199,N199+2,1),1,1),J_SUBDAY(J_ADDDAY(D199,N199+3,1),1,1)))))</f>
        <v>1398/06/30</v>
      </c>
      <c r="G199" s="2">
        <f t="shared" si="65"/>
        <v>13980630</v>
      </c>
      <c r="H199" s="109"/>
      <c r="I199" s="110">
        <v>1.1000000000000001</v>
      </c>
      <c r="J199" s="9">
        <f>j_WEEKDAY(D199,2)</f>
        <v>1</v>
      </c>
      <c r="K199" s="21">
        <f t="shared" si="62"/>
        <v>0</v>
      </c>
      <c r="L199" s="8">
        <f t="shared" si="63"/>
        <v>0</v>
      </c>
      <c r="M199" s="111">
        <v>0</v>
      </c>
      <c r="N199" s="108">
        <v>0</v>
      </c>
      <c r="O199" s="10">
        <f t="shared" si="60"/>
        <v>0</v>
      </c>
      <c r="P199" s="10">
        <f>VALUE(J_normdate(J_ADDDAY($D199,$O199,1)))</f>
        <v>13980631</v>
      </c>
      <c r="Q199" s="9">
        <f t="shared" si="61"/>
        <v>0</v>
      </c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  <c r="BB199" s="7"/>
      <c r="BC199" s="7"/>
      <c r="BD199" s="7"/>
      <c r="BE199" s="7"/>
      <c r="BF199" s="7"/>
      <c r="BG199" s="7"/>
      <c r="BH199" s="7"/>
      <c r="BI199" s="7"/>
      <c r="BJ199" s="7"/>
      <c r="BK199" s="7"/>
      <c r="BL199" s="7"/>
      <c r="BM199" s="7"/>
      <c r="BN199" s="7"/>
      <c r="BO199" s="7"/>
      <c r="BP199" s="7"/>
      <c r="BQ199" s="7"/>
      <c r="BR199" s="7"/>
      <c r="BS199" s="7"/>
      <c r="BT199" s="7"/>
      <c r="BU199" s="7"/>
      <c r="BV199" s="7"/>
      <c r="BW199" s="7"/>
      <c r="BX199" s="7"/>
      <c r="BY199" s="7"/>
      <c r="BZ199" s="7"/>
      <c r="CA199" s="7"/>
      <c r="CB199" s="7"/>
      <c r="CC199" s="7"/>
      <c r="CD199" s="7"/>
      <c r="CE199" s="7"/>
      <c r="CF199" s="7"/>
      <c r="CG199" s="7"/>
      <c r="CH199" s="7"/>
      <c r="CI199" s="7"/>
      <c r="CJ199" s="7"/>
      <c r="CK199" s="7"/>
      <c r="CL199" s="7"/>
      <c r="CM199" s="7"/>
      <c r="CN199" s="7"/>
      <c r="CO199" s="7"/>
      <c r="CP199" s="7"/>
      <c r="CQ199" s="7"/>
      <c r="CR199" s="7"/>
      <c r="CS199" s="7"/>
      <c r="CT199" s="7"/>
      <c r="CU199" s="7"/>
      <c r="CV199" s="7"/>
      <c r="CW199" s="7"/>
      <c r="CX199" s="7"/>
      <c r="CY199" s="7"/>
      <c r="CZ199" s="7"/>
      <c r="DA199" s="7"/>
      <c r="DB199" s="7"/>
      <c r="DC199" s="7"/>
      <c r="DD199" s="7"/>
      <c r="DE199" s="7"/>
      <c r="DF199" s="7"/>
      <c r="DG199" s="7"/>
      <c r="DH199" s="7"/>
      <c r="DI199" s="7"/>
      <c r="DJ199" s="7"/>
      <c r="DK199" s="7"/>
      <c r="DL199" s="7"/>
      <c r="DM199" s="7"/>
      <c r="DN199" s="7"/>
      <c r="DO199" s="7"/>
      <c r="DP199" s="7"/>
      <c r="DQ199" s="7"/>
      <c r="DR199" s="7"/>
      <c r="DS199" s="7"/>
      <c r="DT199" s="7"/>
      <c r="DU199" s="7"/>
      <c r="DV199" s="7"/>
      <c r="DW199" s="7"/>
      <c r="DX199" s="7"/>
      <c r="DY199" s="7"/>
      <c r="DZ199" s="7"/>
      <c r="EA199" s="7"/>
      <c r="EB199" s="7"/>
      <c r="EC199" s="7"/>
      <c r="ED199" s="7"/>
      <c r="EE199" s="7"/>
      <c r="EF199" s="7"/>
      <c r="EG199" s="7"/>
      <c r="EH199" s="7"/>
      <c r="EI199" s="7"/>
      <c r="EJ199" s="7"/>
      <c r="EK199" s="7"/>
      <c r="EL199" s="7"/>
      <c r="EM199" s="7"/>
      <c r="EN199" s="7"/>
      <c r="EO199" s="7"/>
      <c r="EP199" s="7"/>
      <c r="EQ199" s="7"/>
      <c r="ER199" s="7"/>
      <c r="ES199" s="7"/>
      <c r="ET199" s="7"/>
      <c r="EU199" s="7"/>
      <c r="EV199" s="7"/>
      <c r="EW199" s="7"/>
      <c r="EX199" s="7"/>
      <c r="EY199" s="7"/>
      <c r="EZ199" s="7"/>
      <c r="FA199" s="7"/>
      <c r="FB199" s="7"/>
      <c r="FC199" s="7"/>
      <c r="FD199" s="7"/>
      <c r="FE199" s="7"/>
      <c r="FF199" s="7"/>
      <c r="FG199" s="7"/>
      <c r="FH199" s="7"/>
      <c r="FI199" s="7"/>
      <c r="FJ199" s="7"/>
      <c r="FK199" s="7"/>
      <c r="FL199" s="7"/>
      <c r="FM199" s="7"/>
      <c r="FN199" s="7"/>
      <c r="FO199" s="7"/>
      <c r="FP199" s="7"/>
      <c r="FQ199" s="7"/>
      <c r="FR199" s="7"/>
      <c r="FS199" s="7"/>
      <c r="FT199" s="7"/>
      <c r="FU199" s="7"/>
      <c r="FV199" s="7"/>
      <c r="FW199" s="7"/>
      <c r="FX199" s="7"/>
      <c r="FY199" s="7"/>
      <c r="FZ199" s="7"/>
      <c r="GA199" s="7"/>
      <c r="GB199" s="7"/>
      <c r="GC199" s="7"/>
      <c r="GD199" s="7"/>
      <c r="GE199" s="7"/>
      <c r="GF199" s="7"/>
      <c r="GG199" s="7"/>
      <c r="GH199" s="7"/>
      <c r="GI199" s="7"/>
      <c r="GJ199" s="7"/>
      <c r="GK199" s="7"/>
      <c r="GL199" s="7"/>
      <c r="GM199" s="7"/>
      <c r="GN199" s="7"/>
      <c r="GO199" s="7"/>
      <c r="GP199" s="7"/>
      <c r="GQ199" s="7"/>
      <c r="GR199" s="7"/>
      <c r="GS199" s="7"/>
      <c r="GT199" s="7"/>
      <c r="GU199" s="7"/>
      <c r="GV199" s="7"/>
      <c r="GW199" s="7"/>
      <c r="GX199" s="7"/>
      <c r="GY199" s="7"/>
      <c r="GZ199" s="7"/>
      <c r="HA199" s="7"/>
      <c r="HB199" s="7"/>
      <c r="HC199" s="7"/>
      <c r="HD199" s="7"/>
      <c r="HE199" s="7"/>
      <c r="HF199" s="7"/>
      <c r="HG199" s="7"/>
      <c r="HH199" s="7"/>
      <c r="HI199" s="7"/>
      <c r="HJ199" s="7"/>
      <c r="HK199" s="7"/>
      <c r="HL199" s="7"/>
      <c r="HM199" s="7"/>
      <c r="HN199" s="7"/>
      <c r="HO199" s="7"/>
      <c r="HP199" s="7"/>
      <c r="HQ199" s="7"/>
      <c r="HR199" s="7"/>
      <c r="HS199" s="7"/>
      <c r="HT199" s="7"/>
      <c r="HU199" s="7"/>
      <c r="HV199" s="7"/>
      <c r="HW199" s="7"/>
      <c r="HX199" s="7"/>
      <c r="HY199" s="7"/>
      <c r="HZ199" s="7"/>
      <c r="IA199" s="7"/>
      <c r="IB199" s="7"/>
      <c r="IC199" s="7"/>
      <c r="ID199" s="7"/>
      <c r="IE199" s="7"/>
      <c r="IF199" s="7"/>
      <c r="IG199" s="7"/>
      <c r="IH199" s="7"/>
      <c r="II199" s="7"/>
      <c r="IJ199" s="7"/>
      <c r="IK199" s="7"/>
      <c r="IL199" s="7"/>
      <c r="IM199" s="7"/>
      <c r="IN199" s="7"/>
      <c r="IO199" s="7"/>
      <c r="IP199" s="7"/>
      <c r="IQ199" s="7"/>
      <c r="IR199" s="7"/>
      <c r="IS199" s="7"/>
      <c r="IT199" s="7"/>
      <c r="IU199" s="7"/>
      <c r="IV199" s="7"/>
      <c r="IW199" s="7"/>
      <c r="IX199" s="7"/>
      <c r="JA199" s="113"/>
      <c r="JB199" s="113"/>
      <c r="JC199" s="113"/>
      <c r="JD199" s="66">
        <f>SUM((TEXT(JA199,"[M]")/60)*'Income Person-hours'!$D$3,(TEXT(JB199,"[M]")/60)*'Income Person-hours'!$D$4,(TEXT(JC199,"[M]")/60)*'Income Person-hours'!$D$5)</f>
        <v>0</v>
      </c>
    </row>
    <row r="200" spans="1:264 16383:16384" s="11" customFormat="1" ht="11.25" hidden="1">
      <c r="A200" s="30">
        <v>8.23</v>
      </c>
      <c r="B200" s="116"/>
      <c r="C200" s="107"/>
      <c r="D200" s="12" t="str">
        <f>IF(OR(j_WEEKDAY(J_ADDDAY(VLOOKUP(I200,A:F,6,FALSE),H200,1),0)=6,SUMIFS(Holieday[ok],Holieday[date],J_ADDDAY(VLOOKUP(I200,A:F,6,FALSE),H200,1)))=FALSE(),J_ADDDAY(VLOOKUP(I200,A:F,6,FALSE),H200,1),IF(OR(j_WEEKDAY(J_ADDDAY(VLOOKUP(I200,A:F,6,FALSE),H200+1,1),0)=6,SUMIFS(Holieday[ok],Holieday[date],J_ADDDAY(VLOOKUP(I200,A:F,6,FALSE),H200+1,1)))=FALSE(),J_ADDDAY(VLOOKUP(I200,A:F,6,FALSE),H200+1,1),IF(OR(j_WEEKDAY(J_ADDDAY(VLOOKUP(I200,A:F,6,FALSE),H200+2,1),0)=6,SUMIFS(Holieday[ok],Holieday[date],J_ADDDAY(VLOOKUP(I200,A:F,6,FALSE),H200+2,1)))=FALSE(),J_ADDDAY(VLOOKUP(I200,A:F,6,FALSE),H200+2,1),IF(OR(j_WEEKDAY(J_ADDDAY(VLOOKUP(I200,A:F,6,FALSE),H200+3,1),0)=6,SUMIFS(Holieday[ok],Holieday[date],J_ADDDAY(VLOOKUP(I200,A:F,6,FALSE),H200+3,1)))=FALSE(),J_ADDDAY(VLOOKUP(I200,A:F,6,FALSE),H200+3,1),IF(OR(j_WEEKDAY(J_ADDDAY(VLOOKUP(I200,A:F,6,FALSE),H200+4,1),0)=6,SUMIFS(Holieday[ok],Holieday[date],J_ADDDAY(VLOOKUP(I200,A:F,6,FALSE),H200+4,1)))=FALSE(),J_ADDDAY(VLOOKUP(I200,A:F,6,FALSE),H200+4,1),J_ADDDAY(VLOOKUP(I200,A:F,6,FALSE),H200+5,1))))))</f>
        <v>1398/06/31</v>
      </c>
      <c r="E200" s="1">
        <f t="shared" si="64"/>
        <v>13980631</v>
      </c>
      <c r="F200" s="12" t="str">
        <f>IF(N200=0,J_SUBDAY(D200,1,1),IF((N200-NETWORKDAYS.INTL(J_GregorianDate(D200,1),J_GregorianDate(J_SUBDAY(J_ADDDAY(D200,N200,1),1,1),1),16,1)-SUMIFS(Holieday[ok],Holieday[date],CONCATENATE("&gt;","=",D200),Holieday[date],CONCATENATE("&lt;","=",J_SUBDAY(J_ADDDAY(D200,N200,1),1,1)))+SUMIFS(Holieday[Friday],Holieday[date],CONCATENATE("&gt;","=",D200),Holieday[date],CONCATENATE("&lt;","=",J_SUBDAY(J_ADDDAY(D200,N200,1),1,1))))=0,J_SUBDAY(J_ADDDAY(D200,N200,1),1,1),IF((N200-NETWORKDAYS.INTL(J_GregorianDate(D200,1),J_GregorianDate(J_SUBDAY(J_ADDDAY(D200,N200,1),1,1),1),16,1)-SUMIFS(Holieday[ok],Holieday[date],CONCATENATE("&gt;","=",D200),Holieday[date],CONCATENATE("&lt;","=",J_SUBDAY(J_ADDDAY(D200,N200,1),1,1)))+SUMIFS(Holieday[Friday],Holieday[date],CONCATENATE("&gt;","=",D200),Holieday[date],CONCATENATE("&lt;","=",J_SUBDAY(J_ADDDAY(D200,N200,1),1,1))))=1,J_SUBDAY(J_ADDDAY(D200,N200+1,1),1,1),IF((N200-NETWORKDAYS.INTL(J_GregorianDate(D200,1),J_GregorianDate(J_SUBDAY(J_ADDDAY(D200,N200,1),1,1),1),16,1)-SUMIFS(Holieday[ok],Holieday[date],CONCATENATE("&gt;","=",D200),Holieday[date],CONCATENATE("&lt;","=",J_SUBDAY(J_ADDDAY(D200,N200,1),1,1)))+SUMIFS(Holieday[Friday],Holieday[date],CONCATENATE("&gt;","=",D200),Holieday[date],CONCATENATE("&lt;","=",J_SUBDAY(J_ADDDAY(D200,N200,1),1,1))))=2,J_SUBDAY(J_ADDDAY(D200,N200+2,1),1,1),J_SUBDAY(J_ADDDAY(D200,N200+3,1),1,1)))))</f>
        <v>1398/06/30</v>
      </c>
      <c r="G200" s="2">
        <f t="shared" si="65"/>
        <v>13980630</v>
      </c>
      <c r="H200" s="109"/>
      <c r="I200" s="110">
        <v>1.1000000000000001</v>
      </c>
      <c r="J200" s="9">
        <f>j_WEEKDAY(D200,2)</f>
        <v>1</v>
      </c>
      <c r="K200" s="21">
        <f t="shared" si="62"/>
        <v>0</v>
      </c>
      <c r="L200" s="8">
        <f t="shared" si="63"/>
        <v>0</v>
      </c>
      <c r="M200" s="111">
        <v>0</v>
      </c>
      <c r="N200" s="108">
        <v>0</v>
      </c>
      <c r="O200" s="10">
        <f t="shared" si="60"/>
        <v>0</v>
      </c>
      <c r="P200" s="10">
        <f>VALUE(J_normdate(J_ADDDAY($D200,$O200,1)))</f>
        <v>13980631</v>
      </c>
      <c r="Q200" s="9">
        <f t="shared" si="61"/>
        <v>0</v>
      </c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  <c r="BB200" s="7"/>
      <c r="BC200" s="7"/>
      <c r="BD200" s="7"/>
      <c r="BE200" s="7"/>
      <c r="BF200" s="7"/>
      <c r="BG200" s="7"/>
      <c r="BH200" s="7"/>
      <c r="BI200" s="7"/>
      <c r="BJ200" s="7"/>
      <c r="BK200" s="7"/>
      <c r="BL200" s="7"/>
      <c r="BM200" s="7"/>
      <c r="BN200" s="7"/>
      <c r="BO200" s="7"/>
      <c r="BP200" s="7"/>
      <c r="BQ200" s="7"/>
      <c r="BR200" s="7"/>
      <c r="BS200" s="7"/>
      <c r="BT200" s="7"/>
      <c r="BU200" s="7"/>
      <c r="BV200" s="7"/>
      <c r="BW200" s="7"/>
      <c r="BX200" s="7"/>
      <c r="BY200" s="7"/>
      <c r="BZ200" s="7"/>
      <c r="CA200" s="7"/>
      <c r="CB200" s="7"/>
      <c r="CC200" s="7"/>
      <c r="CD200" s="7"/>
      <c r="CE200" s="7"/>
      <c r="CF200" s="7"/>
      <c r="CG200" s="7"/>
      <c r="CH200" s="7"/>
      <c r="CI200" s="7"/>
      <c r="CJ200" s="7"/>
      <c r="CK200" s="7"/>
      <c r="CL200" s="7"/>
      <c r="CM200" s="7"/>
      <c r="CN200" s="7"/>
      <c r="CO200" s="7"/>
      <c r="CP200" s="7"/>
      <c r="CQ200" s="7"/>
      <c r="CR200" s="7"/>
      <c r="CS200" s="7"/>
      <c r="CT200" s="7"/>
      <c r="CU200" s="7"/>
      <c r="CV200" s="7"/>
      <c r="CW200" s="7"/>
      <c r="CX200" s="7"/>
      <c r="CY200" s="7"/>
      <c r="CZ200" s="7"/>
      <c r="DA200" s="7"/>
      <c r="DB200" s="7"/>
      <c r="DC200" s="7"/>
      <c r="DD200" s="7"/>
      <c r="DE200" s="7"/>
      <c r="DF200" s="7"/>
      <c r="DG200" s="7"/>
      <c r="DH200" s="7"/>
      <c r="DI200" s="7"/>
      <c r="DJ200" s="7"/>
      <c r="DK200" s="7"/>
      <c r="DL200" s="7"/>
      <c r="DM200" s="7"/>
      <c r="DN200" s="7"/>
      <c r="DO200" s="7"/>
      <c r="DP200" s="7"/>
      <c r="DQ200" s="7"/>
      <c r="DR200" s="7"/>
      <c r="DS200" s="7"/>
      <c r="DT200" s="7"/>
      <c r="DU200" s="7"/>
      <c r="DV200" s="7"/>
      <c r="DW200" s="7"/>
      <c r="DX200" s="7"/>
      <c r="DY200" s="7"/>
      <c r="DZ200" s="7"/>
      <c r="EA200" s="7"/>
      <c r="EB200" s="7"/>
      <c r="EC200" s="7"/>
      <c r="ED200" s="7"/>
      <c r="EE200" s="7"/>
      <c r="EF200" s="7"/>
      <c r="EG200" s="7"/>
      <c r="EH200" s="7"/>
      <c r="EI200" s="7"/>
      <c r="EJ200" s="7"/>
      <c r="EK200" s="7"/>
      <c r="EL200" s="7"/>
      <c r="EM200" s="7"/>
      <c r="EN200" s="7"/>
      <c r="EO200" s="7"/>
      <c r="EP200" s="7"/>
      <c r="EQ200" s="7"/>
      <c r="ER200" s="7"/>
      <c r="ES200" s="7"/>
      <c r="ET200" s="7"/>
      <c r="EU200" s="7"/>
      <c r="EV200" s="7"/>
      <c r="EW200" s="7"/>
      <c r="EX200" s="7"/>
      <c r="EY200" s="7"/>
      <c r="EZ200" s="7"/>
      <c r="FA200" s="7"/>
      <c r="FB200" s="7"/>
      <c r="FC200" s="7"/>
      <c r="FD200" s="7"/>
      <c r="FE200" s="7"/>
      <c r="FF200" s="7"/>
      <c r="FG200" s="7"/>
      <c r="FH200" s="7"/>
      <c r="FI200" s="7"/>
      <c r="FJ200" s="7"/>
      <c r="FK200" s="7"/>
      <c r="FL200" s="7"/>
      <c r="FM200" s="7"/>
      <c r="FN200" s="7"/>
      <c r="FO200" s="7"/>
      <c r="FP200" s="7"/>
      <c r="FQ200" s="7"/>
      <c r="FR200" s="7"/>
      <c r="FS200" s="7"/>
      <c r="FT200" s="7"/>
      <c r="FU200" s="7"/>
      <c r="FV200" s="7"/>
      <c r="FW200" s="7"/>
      <c r="FX200" s="7"/>
      <c r="FY200" s="7"/>
      <c r="FZ200" s="7"/>
      <c r="GA200" s="7"/>
      <c r="GB200" s="7"/>
      <c r="GC200" s="7"/>
      <c r="GD200" s="7"/>
      <c r="GE200" s="7"/>
      <c r="GF200" s="7"/>
      <c r="GG200" s="7"/>
      <c r="GH200" s="7"/>
      <c r="GI200" s="7"/>
      <c r="GJ200" s="7"/>
      <c r="GK200" s="7"/>
      <c r="GL200" s="7"/>
      <c r="GM200" s="7"/>
      <c r="GN200" s="7"/>
      <c r="GO200" s="7"/>
      <c r="GP200" s="7"/>
      <c r="GQ200" s="7"/>
      <c r="GR200" s="7"/>
      <c r="GS200" s="7"/>
      <c r="GT200" s="7"/>
      <c r="GU200" s="7"/>
      <c r="GV200" s="7"/>
      <c r="GW200" s="7"/>
      <c r="GX200" s="7"/>
      <c r="GY200" s="7"/>
      <c r="GZ200" s="7"/>
      <c r="HA200" s="7"/>
      <c r="HB200" s="7"/>
      <c r="HC200" s="7"/>
      <c r="HD200" s="7"/>
      <c r="HE200" s="7"/>
      <c r="HF200" s="7"/>
      <c r="HG200" s="7"/>
      <c r="HH200" s="7"/>
      <c r="HI200" s="7"/>
      <c r="HJ200" s="7"/>
      <c r="HK200" s="7"/>
      <c r="HL200" s="7"/>
      <c r="HM200" s="7"/>
      <c r="HN200" s="7"/>
      <c r="HO200" s="7"/>
      <c r="HP200" s="7"/>
      <c r="HQ200" s="7"/>
      <c r="HR200" s="7"/>
      <c r="HS200" s="7"/>
      <c r="HT200" s="7"/>
      <c r="HU200" s="7"/>
      <c r="HV200" s="7"/>
      <c r="HW200" s="7"/>
      <c r="HX200" s="7"/>
      <c r="HY200" s="7"/>
      <c r="HZ200" s="7"/>
      <c r="IA200" s="7"/>
      <c r="IB200" s="7"/>
      <c r="IC200" s="7"/>
      <c r="ID200" s="7"/>
      <c r="IE200" s="7"/>
      <c r="IF200" s="7"/>
      <c r="IG200" s="7"/>
      <c r="IH200" s="7"/>
      <c r="II200" s="7"/>
      <c r="IJ200" s="7"/>
      <c r="IK200" s="7"/>
      <c r="IL200" s="7"/>
      <c r="IM200" s="7"/>
      <c r="IN200" s="7"/>
      <c r="IO200" s="7"/>
      <c r="IP200" s="7"/>
      <c r="IQ200" s="7"/>
      <c r="IR200" s="7"/>
      <c r="IS200" s="7"/>
      <c r="IT200" s="7"/>
      <c r="IU200" s="7"/>
      <c r="IV200" s="7"/>
      <c r="IW200" s="7"/>
      <c r="IX200" s="7"/>
      <c r="JA200" s="113"/>
      <c r="JB200" s="113"/>
      <c r="JC200" s="113"/>
      <c r="JD200" s="66">
        <f>SUM((TEXT(JA200,"[M]")/60)*'Income Person-hours'!$D$3,(TEXT(JB200,"[M]")/60)*'Income Person-hours'!$D$4,(TEXT(JC200,"[M]")/60)*'Income Person-hours'!$D$5)</f>
        <v>0</v>
      </c>
    </row>
    <row r="201" spans="1:264 16383:16384" s="220" customFormat="1" ht="11.25" hidden="1">
      <c r="A201" s="216">
        <v>9</v>
      </c>
      <c r="B201" s="217"/>
      <c r="C201" s="218"/>
      <c r="D201" s="219" t="str">
        <f>FDate(MIN(E202:E222))</f>
        <v>1398/06/31</v>
      </c>
      <c r="E201" s="1">
        <f t="shared" si="64"/>
        <v>13980631</v>
      </c>
      <c r="F201" s="219" t="str">
        <f>J_SUBDAY(J_ADDDAY(D201,L201,1),1,1)</f>
        <v>1398/06/30</v>
      </c>
      <c r="G201" s="2">
        <f t="shared" si="65"/>
        <v>13980630</v>
      </c>
      <c r="H201" s="114"/>
      <c r="I201" s="115"/>
      <c r="J201" s="219">
        <f>j_WEEKDAY(D201,2)</f>
        <v>1</v>
      </c>
      <c r="K201" s="20">
        <f>SUM(K202:K222)</f>
        <v>0</v>
      </c>
      <c r="L201" s="225">
        <f>J_DIFF(D201,FDate(MAX(G202:G222)))+1</f>
        <v>0</v>
      </c>
      <c r="M201" s="226">
        <f>IF(SUM(L202:L222)&lt;&gt;0,SUMPRODUCT(L202:L222,M202:M222)/SUM(L202:L222),0)</f>
        <v>0</v>
      </c>
      <c r="N201" s="214">
        <f>IF(F201&gt;=D201,NETWORKDAYS.INTL(J_GregorianDate(D201,1),J_GregorianDate(F201,1),16,1)-SUMIFS(Holieday[ok],Holieday[date],CONCATENATE("&gt;","=",D201),Holieday[date],CONCATENATE("&lt;","=",F201))+SUMIFS(Holieday[Friday],Holieday[date],CONCATENATE("&gt;","=",D201),Holieday[date],CONCATENATE("&lt;","=",F201)),0)</f>
        <v>0</v>
      </c>
      <c r="O201" s="14">
        <f t="shared" ref="O201:O222" si="66">ROUNDDOWN(M201*L201,0)</f>
        <v>0</v>
      </c>
      <c r="P201" s="14">
        <f>VALUE(J_normdate(J_ADDDAY($D201,$O201,1)))</f>
        <v>13980631</v>
      </c>
      <c r="Q201" s="4">
        <f t="shared" ref="Q201:Q222" si="67">L201-O201</f>
        <v>0</v>
      </c>
      <c r="IY201" s="221"/>
      <c r="IZ201" s="221"/>
      <c r="JA201" s="222"/>
      <c r="JB201" s="223"/>
      <c r="JC201" s="224"/>
      <c r="XFC201" s="219"/>
      <c r="XFD201" s="219"/>
    </row>
    <row r="202" spans="1:264 16383:16384" s="11" customFormat="1" ht="11.25" hidden="1">
      <c r="A202" s="30">
        <v>9.1</v>
      </c>
      <c r="B202" s="106"/>
      <c r="C202" s="107"/>
      <c r="D202" s="12" t="str">
        <f>IF(OR(j_WEEKDAY(J_ADDDAY(VLOOKUP(I202,A:F,6,FALSE),H202,1),0)=6,SUMIFS(Holieday[ok],Holieday[date],J_ADDDAY(VLOOKUP(I202,A:F,6,FALSE),H202,1)))=FALSE(),J_ADDDAY(VLOOKUP(I202,A:F,6,FALSE),H202,1),IF(OR(j_WEEKDAY(J_ADDDAY(VLOOKUP(I202,A:F,6,FALSE),H202+1,1),0)=6,SUMIFS(Holieday[ok],Holieday[date],J_ADDDAY(VLOOKUP(I202,A:F,6,FALSE),H202+1,1)))=FALSE(),J_ADDDAY(VLOOKUP(I202,A:F,6,FALSE),H202+1,1),IF(OR(j_WEEKDAY(J_ADDDAY(VLOOKUP(I202,A:F,6,FALSE),H202+2,1),0)=6,SUMIFS(Holieday[ok],Holieday[date],J_ADDDAY(VLOOKUP(I202,A:F,6,FALSE),H202+2,1)))=FALSE(),J_ADDDAY(VLOOKUP(I202,A:F,6,FALSE),H202+2,1),IF(OR(j_WEEKDAY(J_ADDDAY(VLOOKUP(I202,A:F,6,FALSE),H202+3,1),0)=6,SUMIFS(Holieday[ok],Holieday[date],J_ADDDAY(VLOOKUP(I202,A:F,6,FALSE),H202+3,1)))=FALSE(),J_ADDDAY(VLOOKUP(I202,A:F,6,FALSE),H202+3,1),IF(OR(j_WEEKDAY(J_ADDDAY(VLOOKUP(I202,A:F,6,FALSE),H202+4,1),0)=6,SUMIFS(Holieday[ok],Holieday[date],J_ADDDAY(VLOOKUP(I202,A:F,6,FALSE),H202+4,1)))=FALSE(),J_ADDDAY(VLOOKUP(I202,A:F,6,FALSE),H202+4,1),J_ADDDAY(VLOOKUP(I202,A:F,6,FALSE),H202+5,1))))))</f>
        <v>1398/06/31</v>
      </c>
      <c r="E202" s="1">
        <f t="shared" si="64"/>
        <v>13980631</v>
      </c>
      <c r="F202" s="12" t="str">
        <f>IF(N202=0,J_SUBDAY(D202,1,1),IF((N202-NETWORKDAYS.INTL(J_GregorianDate(D202,1),J_GregorianDate(J_SUBDAY(J_ADDDAY(D202,N202,1),1,1),1),16,1)-SUMIFS(Holieday[ok],Holieday[date],CONCATENATE("&gt;","=",D202),Holieday[date],CONCATENATE("&lt;","=",J_SUBDAY(J_ADDDAY(D202,N202,1),1,1)))+SUMIFS(Holieday[Friday],Holieday[date],CONCATENATE("&gt;","=",D202),Holieday[date],CONCATENATE("&lt;","=",J_SUBDAY(J_ADDDAY(D202,N202,1),1,1))))=0,J_SUBDAY(J_ADDDAY(D202,N202,1),1,1),IF((N202-NETWORKDAYS.INTL(J_GregorianDate(D202,1),J_GregorianDate(J_SUBDAY(J_ADDDAY(D202,N202,1),1,1),1),16,1)-SUMIFS(Holieday[ok],Holieday[date],CONCATENATE("&gt;","=",D202),Holieday[date],CONCATENATE("&lt;","=",J_SUBDAY(J_ADDDAY(D202,N202,1),1,1)))+SUMIFS(Holieday[Friday],Holieday[date],CONCATENATE("&gt;","=",D202),Holieday[date],CONCATENATE("&lt;","=",J_SUBDAY(J_ADDDAY(D202,N202,1),1,1))))=1,J_SUBDAY(J_ADDDAY(D202,N202+1,1),1,1),IF((N202-NETWORKDAYS.INTL(J_GregorianDate(D202,1),J_GregorianDate(J_SUBDAY(J_ADDDAY(D202,N202,1),1,1),1),16,1)-SUMIFS(Holieday[ok],Holieday[date],CONCATENATE("&gt;","=",D202),Holieday[date],CONCATENATE("&lt;","=",J_SUBDAY(J_ADDDAY(D202,N202,1),1,1)))+SUMIFS(Holieday[Friday],Holieday[date],CONCATENATE("&gt;","=",D202),Holieday[date],CONCATENATE("&lt;","=",J_SUBDAY(J_ADDDAY(D202,N202,1),1,1))))=2,J_SUBDAY(J_ADDDAY(D202,N202+2,1),1,1),J_SUBDAY(J_ADDDAY(D202,N202+3,1),1,1)))))</f>
        <v>1398/06/30</v>
      </c>
      <c r="G202" s="2">
        <f t="shared" si="65"/>
        <v>13980630</v>
      </c>
      <c r="H202" s="109"/>
      <c r="I202" s="110">
        <v>1.1000000000000001</v>
      </c>
      <c r="J202" s="9">
        <f>j_WEEKDAY(D202,2)</f>
        <v>1</v>
      </c>
      <c r="K202" s="21">
        <f>SUM(JA202:JC202)</f>
        <v>0</v>
      </c>
      <c r="L202" s="8">
        <f t="shared" ref="L202:L222" si="68">J_DIFF(D202,F202)+1</f>
        <v>0</v>
      </c>
      <c r="M202" s="111">
        <v>0</v>
      </c>
      <c r="N202" s="108">
        <v>0</v>
      </c>
      <c r="O202" s="10">
        <f t="shared" si="66"/>
        <v>0</v>
      </c>
      <c r="P202" s="10">
        <f>VALUE(J_normdate(J_ADDDAY($D202,$O202,1)))</f>
        <v>13980631</v>
      </c>
      <c r="Q202" s="9">
        <f t="shared" si="67"/>
        <v>0</v>
      </c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  <c r="BB202" s="7"/>
      <c r="BC202" s="7"/>
      <c r="BD202" s="7"/>
      <c r="BE202" s="7"/>
      <c r="BF202" s="7"/>
      <c r="BG202" s="7"/>
      <c r="BH202" s="7"/>
      <c r="BI202" s="7"/>
      <c r="BJ202" s="7"/>
      <c r="BK202" s="7"/>
      <c r="BL202" s="7"/>
      <c r="BM202" s="7"/>
      <c r="BN202" s="7"/>
      <c r="BO202" s="7"/>
      <c r="BP202" s="7"/>
      <c r="BQ202" s="7"/>
      <c r="BR202" s="7"/>
      <c r="BS202" s="7"/>
      <c r="BT202" s="7"/>
      <c r="BU202" s="7"/>
      <c r="BV202" s="7"/>
      <c r="BW202" s="7"/>
      <c r="BX202" s="7"/>
      <c r="BY202" s="7"/>
      <c r="BZ202" s="7"/>
      <c r="CA202" s="7"/>
      <c r="CB202" s="7"/>
      <c r="CC202" s="7"/>
      <c r="CD202" s="7"/>
      <c r="CE202" s="7"/>
      <c r="CF202" s="7"/>
      <c r="CG202" s="7"/>
      <c r="CH202" s="7"/>
      <c r="CI202" s="7"/>
      <c r="CJ202" s="7"/>
      <c r="CK202" s="7"/>
      <c r="CL202" s="7"/>
      <c r="CM202" s="7"/>
      <c r="CN202" s="7"/>
      <c r="CO202" s="7"/>
      <c r="CP202" s="7"/>
      <c r="CQ202" s="7"/>
      <c r="CR202" s="7"/>
      <c r="CS202" s="7"/>
      <c r="CT202" s="7"/>
      <c r="CU202" s="7"/>
      <c r="CV202" s="7"/>
      <c r="CW202" s="7"/>
      <c r="CX202" s="7"/>
      <c r="CY202" s="7"/>
      <c r="CZ202" s="7"/>
      <c r="DA202" s="7"/>
      <c r="DB202" s="7"/>
      <c r="DC202" s="7"/>
      <c r="DD202" s="7"/>
      <c r="DE202" s="7"/>
      <c r="DF202" s="7"/>
      <c r="DG202" s="7"/>
      <c r="DH202" s="7"/>
      <c r="DI202" s="7"/>
      <c r="DJ202" s="7"/>
      <c r="DK202" s="7"/>
      <c r="DL202" s="7"/>
      <c r="DM202" s="7"/>
      <c r="DN202" s="7"/>
      <c r="DO202" s="7"/>
      <c r="DP202" s="7"/>
      <c r="DQ202" s="7"/>
      <c r="DR202" s="7"/>
      <c r="DS202" s="7"/>
      <c r="DT202" s="7"/>
      <c r="DU202" s="7"/>
      <c r="DV202" s="7"/>
      <c r="DW202" s="7"/>
      <c r="DX202" s="7"/>
      <c r="DY202" s="7"/>
      <c r="DZ202" s="7"/>
      <c r="EA202" s="7"/>
      <c r="EB202" s="7"/>
      <c r="EC202" s="7"/>
      <c r="ED202" s="7"/>
      <c r="EE202" s="7"/>
      <c r="EF202" s="7"/>
      <c r="EG202" s="7"/>
      <c r="EH202" s="7"/>
      <c r="EI202" s="7"/>
      <c r="EJ202" s="7"/>
      <c r="EK202" s="7"/>
      <c r="EL202" s="7"/>
      <c r="EM202" s="7"/>
      <c r="EN202" s="7"/>
      <c r="EO202" s="7"/>
      <c r="EP202" s="7"/>
      <c r="EQ202" s="7"/>
      <c r="ER202" s="7"/>
      <c r="ES202" s="7"/>
      <c r="ET202" s="7"/>
      <c r="EU202" s="7"/>
      <c r="EV202" s="7"/>
      <c r="EW202" s="7"/>
      <c r="EX202" s="7"/>
      <c r="EY202" s="7"/>
      <c r="EZ202" s="7"/>
      <c r="FA202" s="7"/>
      <c r="FB202" s="7"/>
      <c r="FC202" s="7"/>
      <c r="FD202" s="7"/>
      <c r="FE202" s="7"/>
      <c r="FF202" s="7"/>
      <c r="FG202" s="7"/>
      <c r="FH202" s="7"/>
      <c r="FI202" s="7"/>
      <c r="FJ202" s="7"/>
      <c r="FK202" s="7"/>
      <c r="FL202" s="7"/>
      <c r="FM202" s="7"/>
      <c r="FN202" s="7"/>
      <c r="FO202" s="7"/>
      <c r="FP202" s="7"/>
      <c r="FQ202" s="7"/>
      <c r="FR202" s="7"/>
      <c r="FS202" s="7"/>
      <c r="FT202" s="7"/>
      <c r="FU202" s="7"/>
      <c r="FV202" s="7"/>
      <c r="FW202" s="7"/>
      <c r="FX202" s="7"/>
      <c r="FY202" s="7"/>
      <c r="FZ202" s="7"/>
      <c r="GA202" s="7"/>
      <c r="GB202" s="7"/>
      <c r="GC202" s="7"/>
      <c r="GD202" s="7"/>
      <c r="GE202" s="7"/>
      <c r="GF202" s="7"/>
      <c r="GG202" s="7"/>
      <c r="GH202" s="7"/>
      <c r="GI202" s="7"/>
      <c r="GJ202" s="7"/>
      <c r="GK202" s="7"/>
      <c r="GL202" s="7"/>
      <c r="GM202" s="7"/>
      <c r="GN202" s="7"/>
      <c r="GO202" s="7"/>
      <c r="GP202" s="7"/>
      <c r="GQ202" s="7"/>
      <c r="GR202" s="7"/>
      <c r="GS202" s="7"/>
      <c r="GT202" s="7"/>
      <c r="GU202" s="7"/>
      <c r="GV202" s="7"/>
      <c r="GW202" s="7"/>
      <c r="GX202" s="7"/>
      <c r="GY202" s="7"/>
      <c r="GZ202" s="7"/>
      <c r="HA202" s="7"/>
      <c r="HB202" s="7"/>
      <c r="HC202" s="7"/>
      <c r="HD202" s="7"/>
      <c r="HE202" s="7"/>
      <c r="HF202" s="7"/>
      <c r="HG202" s="7"/>
      <c r="HH202" s="7"/>
      <c r="HI202" s="7"/>
      <c r="HJ202" s="7"/>
      <c r="HK202" s="7"/>
      <c r="HL202" s="7"/>
      <c r="HM202" s="7"/>
      <c r="HN202" s="7"/>
      <c r="HO202" s="7"/>
      <c r="HP202" s="7"/>
      <c r="HQ202" s="7"/>
      <c r="HR202" s="7"/>
      <c r="HS202" s="7"/>
      <c r="HT202" s="7"/>
      <c r="HU202" s="7"/>
      <c r="HV202" s="7"/>
      <c r="HW202" s="7"/>
      <c r="HX202" s="7"/>
      <c r="HY202" s="7"/>
      <c r="HZ202" s="7"/>
      <c r="IA202" s="7"/>
      <c r="IB202" s="7"/>
      <c r="IC202" s="7"/>
      <c r="ID202" s="7"/>
      <c r="IE202" s="7"/>
      <c r="IF202" s="7"/>
      <c r="IG202" s="7"/>
      <c r="IH202" s="7"/>
      <c r="II202" s="7"/>
      <c r="IJ202" s="7"/>
      <c r="IK202" s="7"/>
      <c r="IL202" s="7"/>
      <c r="IM202" s="7"/>
      <c r="IN202" s="7"/>
      <c r="IO202" s="7"/>
      <c r="IP202" s="7"/>
      <c r="IQ202" s="7"/>
      <c r="IR202" s="7"/>
      <c r="IS202" s="7"/>
      <c r="IT202" s="7"/>
      <c r="IU202" s="7"/>
      <c r="IV202" s="7"/>
      <c r="IW202" s="7"/>
      <c r="IX202" s="7"/>
      <c r="JA202" s="113"/>
      <c r="JB202" s="113"/>
      <c r="JC202" s="113"/>
      <c r="JD202" s="66">
        <f>SUM((TEXT(JA202,"[M]")/60)*'Income Person-hours'!$D$3,(TEXT(JB202,"[M]")/60)*'Income Person-hours'!$D$4,(TEXT(JC202,"[M]")/60)*'Income Person-hours'!$D$5)</f>
        <v>0</v>
      </c>
    </row>
    <row r="203" spans="1:264 16383:16384" s="11" customFormat="1" ht="11.25" hidden="1">
      <c r="A203" s="30">
        <v>9.1999999999999993</v>
      </c>
      <c r="B203" s="106"/>
      <c r="C203" s="107"/>
      <c r="D203" s="12" t="str">
        <f>IF(OR(j_WEEKDAY(J_ADDDAY(VLOOKUP(I203,A:F,6,FALSE),H203,1),0)=6,SUMIFS(Holieday[ok],Holieday[date],J_ADDDAY(VLOOKUP(I203,A:F,6,FALSE),H203,1)))=FALSE(),J_ADDDAY(VLOOKUP(I203,A:F,6,FALSE),H203,1),IF(OR(j_WEEKDAY(J_ADDDAY(VLOOKUP(I203,A:F,6,FALSE),H203+1,1),0)=6,SUMIFS(Holieday[ok],Holieday[date],J_ADDDAY(VLOOKUP(I203,A:F,6,FALSE),H203+1,1)))=FALSE(),J_ADDDAY(VLOOKUP(I203,A:F,6,FALSE),H203+1,1),IF(OR(j_WEEKDAY(J_ADDDAY(VLOOKUP(I203,A:F,6,FALSE),H203+2,1),0)=6,SUMIFS(Holieday[ok],Holieday[date],J_ADDDAY(VLOOKUP(I203,A:F,6,FALSE),H203+2,1)))=FALSE(),J_ADDDAY(VLOOKUP(I203,A:F,6,FALSE),H203+2,1),IF(OR(j_WEEKDAY(J_ADDDAY(VLOOKUP(I203,A:F,6,FALSE),H203+3,1),0)=6,SUMIFS(Holieday[ok],Holieday[date],J_ADDDAY(VLOOKUP(I203,A:F,6,FALSE),H203+3,1)))=FALSE(),J_ADDDAY(VLOOKUP(I203,A:F,6,FALSE),H203+3,1),IF(OR(j_WEEKDAY(J_ADDDAY(VLOOKUP(I203,A:F,6,FALSE),H203+4,1),0)=6,SUMIFS(Holieday[ok],Holieday[date],J_ADDDAY(VLOOKUP(I203,A:F,6,FALSE),H203+4,1)))=FALSE(),J_ADDDAY(VLOOKUP(I203,A:F,6,FALSE),H203+4,1),J_ADDDAY(VLOOKUP(I203,A:F,6,FALSE),H203+5,1))))))</f>
        <v>1398/06/31</v>
      </c>
      <c r="E203" s="1">
        <f t="shared" si="64"/>
        <v>13980631</v>
      </c>
      <c r="F203" s="12" t="str">
        <f>IF(N203=0,J_SUBDAY(D203,1,1),IF((N203-NETWORKDAYS.INTL(J_GregorianDate(D203,1),J_GregorianDate(J_SUBDAY(J_ADDDAY(D203,N203,1),1,1),1),16,1)-SUMIFS(Holieday[ok],Holieday[date],CONCATENATE("&gt;","=",D203),Holieday[date],CONCATENATE("&lt;","=",J_SUBDAY(J_ADDDAY(D203,N203,1),1,1)))+SUMIFS(Holieday[Friday],Holieday[date],CONCATENATE("&gt;","=",D203),Holieday[date],CONCATENATE("&lt;","=",J_SUBDAY(J_ADDDAY(D203,N203,1),1,1))))=0,J_SUBDAY(J_ADDDAY(D203,N203,1),1,1),IF((N203-NETWORKDAYS.INTL(J_GregorianDate(D203,1),J_GregorianDate(J_SUBDAY(J_ADDDAY(D203,N203,1),1,1),1),16,1)-SUMIFS(Holieday[ok],Holieday[date],CONCATENATE("&gt;","=",D203),Holieday[date],CONCATENATE("&lt;","=",J_SUBDAY(J_ADDDAY(D203,N203,1),1,1)))+SUMIFS(Holieday[Friday],Holieday[date],CONCATENATE("&gt;","=",D203),Holieday[date],CONCATENATE("&lt;","=",J_SUBDAY(J_ADDDAY(D203,N203,1),1,1))))=1,J_SUBDAY(J_ADDDAY(D203,N203+1,1),1,1),IF((N203-NETWORKDAYS.INTL(J_GregorianDate(D203,1),J_GregorianDate(J_SUBDAY(J_ADDDAY(D203,N203,1),1,1),1),16,1)-SUMIFS(Holieday[ok],Holieday[date],CONCATENATE("&gt;","=",D203),Holieday[date],CONCATENATE("&lt;","=",J_SUBDAY(J_ADDDAY(D203,N203,1),1,1)))+SUMIFS(Holieday[Friday],Holieday[date],CONCATENATE("&gt;","=",D203),Holieday[date],CONCATENATE("&lt;","=",J_SUBDAY(J_ADDDAY(D203,N203,1),1,1))))=2,J_SUBDAY(J_ADDDAY(D203,N203+2,1),1,1),J_SUBDAY(J_ADDDAY(D203,N203+3,1),1,1)))))</f>
        <v>1398/06/30</v>
      </c>
      <c r="G203" s="2">
        <f t="shared" si="65"/>
        <v>13980630</v>
      </c>
      <c r="H203" s="109"/>
      <c r="I203" s="110">
        <v>1.1000000000000001</v>
      </c>
      <c r="J203" s="9">
        <f>j_WEEKDAY(D203,2)</f>
        <v>1</v>
      </c>
      <c r="K203" s="21">
        <f t="shared" ref="K203:K244" si="69">SUM(JA203:JC203)</f>
        <v>0</v>
      </c>
      <c r="L203" s="8">
        <f t="shared" si="68"/>
        <v>0</v>
      </c>
      <c r="M203" s="111">
        <v>0</v>
      </c>
      <c r="N203" s="108">
        <v>0</v>
      </c>
      <c r="O203" s="10">
        <f t="shared" si="66"/>
        <v>0</v>
      </c>
      <c r="P203" s="10">
        <f>VALUE(J_normdate(J_ADDDAY($D203,$O203,1)))</f>
        <v>13980631</v>
      </c>
      <c r="Q203" s="9">
        <f t="shared" si="67"/>
        <v>0</v>
      </c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  <c r="BB203" s="7"/>
      <c r="BC203" s="7"/>
      <c r="BD203" s="7"/>
      <c r="BE203" s="7"/>
      <c r="BF203" s="7"/>
      <c r="BG203" s="7"/>
      <c r="BH203" s="7"/>
      <c r="BI203" s="7"/>
      <c r="BJ203" s="7"/>
      <c r="BK203" s="7"/>
      <c r="BL203" s="7"/>
      <c r="BM203" s="7"/>
      <c r="BN203" s="7"/>
      <c r="BO203" s="7"/>
      <c r="BP203" s="7"/>
      <c r="BQ203" s="7"/>
      <c r="BR203" s="7"/>
      <c r="BS203" s="7"/>
      <c r="BT203" s="7"/>
      <c r="BU203" s="7"/>
      <c r="BV203" s="7"/>
      <c r="BW203" s="7"/>
      <c r="BX203" s="7"/>
      <c r="BY203" s="7"/>
      <c r="BZ203" s="7"/>
      <c r="CA203" s="7"/>
      <c r="CB203" s="7"/>
      <c r="CC203" s="7"/>
      <c r="CD203" s="7"/>
      <c r="CE203" s="7"/>
      <c r="CF203" s="7"/>
      <c r="CG203" s="7"/>
      <c r="CH203" s="7"/>
      <c r="CI203" s="7"/>
      <c r="CJ203" s="7"/>
      <c r="CK203" s="7"/>
      <c r="CL203" s="7"/>
      <c r="CM203" s="7"/>
      <c r="CN203" s="7"/>
      <c r="CO203" s="7"/>
      <c r="CP203" s="7"/>
      <c r="CQ203" s="7"/>
      <c r="CR203" s="7"/>
      <c r="CS203" s="7"/>
      <c r="CT203" s="7"/>
      <c r="CU203" s="7"/>
      <c r="CV203" s="7"/>
      <c r="CW203" s="7"/>
      <c r="CX203" s="7"/>
      <c r="CY203" s="7"/>
      <c r="CZ203" s="7"/>
      <c r="DA203" s="7"/>
      <c r="DB203" s="7"/>
      <c r="DC203" s="7"/>
      <c r="DD203" s="7"/>
      <c r="DE203" s="7"/>
      <c r="DF203" s="7"/>
      <c r="DG203" s="7"/>
      <c r="DH203" s="7"/>
      <c r="DI203" s="7"/>
      <c r="DJ203" s="7"/>
      <c r="DK203" s="7"/>
      <c r="DL203" s="7"/>
      <c r="DM203" s="7"/>
      <c r="DN203" s="7"/>
      <c r="DO203" s="7"/>
      <c r="DP203" s="7"/>
      <c r="DQ203" s="7"/>
      <c r="DR203" s="7"/>
      <c r="DS203" s="7"/>
      <c r="DT203" s="7"/>
      <c r="DU203" s="7"/>
      <c r="DV203" s="7"/>
      <c r="DW203" s="7"/>
      <c r="DX203" s="7"/>
      <c r="DY203" s="7"/>
      <c r="DZ203" s="7"/>
      <c r="EA203" s="7"/>
      <c r="EB203" s="7"/>
      <c r="EC203" s="7"/>
      <c r="ED203" s="7"/>
      <c r="EE203" s="7"/>
      <c r="EF203" s="7"/>
      <c r="EG203" s="7"/>
      <c r="EH203" s="7"/>
      <c r="EI203" s="7"/>
      <c r="EJ203" s="7"/>
      <c r="EK203" s="7"/>
      <c r="EL203" s="7"/>
      <c r="EM203" s="7"/>
      <c r="EN203" s="7"/>
      <c r="EO203" s="7"/>
      <c r="EP203" s="7"/>
      <c r="EQ203" s="7"/>
      <c r="ER203" s="7"/>
      <c r="ES203" s="7"/>
      <c r="ET203" s="7"/>
      <c r="EU203" s="7"/>
      <c r="EV203" s="7"/>
      <c r="EW203" s="7"/>
      <c r="EX203" s="7"/>
      <c r="EY203" s="7"/>
      <c r="EZ203" s="7"/>
      <c r="FA203" s="7"/>
      <c r="FB203" s="7"/>
      <c r="FC203" s="7"/>
      <c r="FD203" s="7"/>
      <c r="FE203" s="7"/>
      <c r="FF203" s="7"/>
      <c r="FG203" s="7"/>
      <c r="FH203" s="7"/>
      <c r="FI203" s="7"/>
      <c r="FJ203" s="7"/>
      <c r="FK203" s="7"/>
      <c r="FL203" s="7"/>
      <c r="FM203" s="7"/>
      <c r="FN203" s="7"/>
      <c r="FO203" s="7"/>
      <c r="FP203" s="7"/>
      <c r="FQ203" s="7"/>
      <c r="FR203" s="7"/>
      <c r="FS203" s="7"/>
      <c r="FT203" s="7"/>
      <c r="FU203" s="7"/>
      <c r="FV203" s="7"/>
      <c r="FW203" s="7"/>
      <c r="FX203" s="7"/>
      <c r="FY203" s="7"/>
      <c r="FZ203" s="7"/>
      <c r="GA203" s="7"/>
      <c r="GB203" s="7"/>
      <c r="GC203" s="7"/>
      <c r="GD203" s="7"/>
      <c r="GE203" s="7"/>
      <c r="GF203" s="7"/>
      <c r="GG203" s="7"/>
      <c r="GH203" s="7"/>
      <c r="GI203" s="7"/>
      <c r="GJ203" s="7"/>
      <c r="GK203" s="7"/>
      <c r="GL203" s="7"/>
      <c r="GM203" s="7"/>
      <c r="GN203" s="7"/>
      <c r="GO203" s="7"/>
      <c r="GP203" s="7"/>
      <c r="GQ203" s="7"/>
      <c r="GR203" s="7"/>
      <c r="GS203" s="7"/>
      <c r="GT203" s="7"/>
      <c r="GU203" s="7"/>
      <c r="GV203" s="7"/>
      <c r="GW203" s="7"/>
      <c r="GX203" s="7"/>
      <c r="GY203" s="7"/>
      <c r="GZ203" s="7"/>
      <c r="HA203" s="7"/>
      <c r="HB203" s="7"/>
      <c r="HC203" s="7"/>
      <c r="HD203" s="7"/>
      <c r="HE203" s="7"/>
      <c r="HF203" s="7"/>
      <c r="HG203" s="7"/>
      <c r="HH203" s="7"/>
      <c r="HI203" s="7"/>
      <c r="HJ203" s="7"/>
      <c r="HK203" s="7"/>
      <c r="HL203" s="7"/>
      <c r="HM203" s="7"/>
      <c r="HN203" s="7"/>
      <c r="HO203" s="7"/>
      <c r="HP203" s="7"/>
      <c r="HQ203" s="7"/>
      <c r="HR203" s="7"/>
      <c r="HS203" s="7"/>
      <c r="HT203" s="7"/>
      <c r="HU203" s="7"/>
      <c r="HV203" s="7"/>
      <c r="HW203" s="7"/>
      <c r="HX203" s="7"/>
      <c r="HY203" s="7"/>
      <c r="HZ203" s="7"/>
      <c r="IA203" s="7"/>
      <c r="IB203" s="7"/>
      <c r="IC203" s="7"/>
      <c r="ID203" s="7"/>
      <c r="IE203" s="7"/>
      <c r="IF203" s="7"/>
      <c r="IG203" s="7"/>
      <c r="IH203" s="7"/>
      <c r="II203" s="7"/>
      <c r="IJ203" s="7"/>
      <c r="IK203" s="7"/>
      <c r="IL203" s="7"/>
      <c r="IM203" s="7"/>
      <c r="IN203" s="7"/>
      <c r="IO203" s="7"/>
      <c r="IP203" s="7"/>
      <c r="IQ203" s="7"/>
      <c r="IR203" s="7"/>
      <c r="IS203" s="7"/>
      <c r="IT203" s="7"/>
      <c r="IU203" s="7"/>
      <c r="IV203" s="7"/>
      <c r="IW203" s="7"/>
      <c r="IX203" s="7"/>
      <c r="JA203" s="113"/>
      <c r="JB203" s="113"/>
      <c r="JC203" s="113"/>
      <c r="JD203" s="66">
        <f>SUM((TEXT(JA203,"[M]")/60)*'Income Person-hours'!$D$3,(TEXT(JB203,"[M]")/60)*'Income Person-hours'!$D$4,(TEXT(JC203,"[M]")/60)*'Income Person-hours'!$D$5)</f>
        <v>0</v>
      </c>
    </row>
    <row r="204" spans="1:264 16383:16384" s="11" customFormat="1" ht="11.25" hidden="1">
      <c r="A204" s="30">
        <v>9.3000000000000007</v>
      </c>
      <c r="B204" s="116"/>
      <c r="C204" s="107"/>
      <c r="D204" s="12" t="str">
        <f>IF(OR(j_WEEKDAY(J_ADDDAY(VLOOKUP(I204,A:F,6,FALSE),H204,1),0)=6,SUMIFS(Holieday[ok],Holieday[date],J_ADDDAY(VLOOKUP(I204,A:F,6,FALSE),H204,1)))=FALSE(),J_ADDDAY(VLOOKUP(I204,A:F,6,FALSE),H204,1),IF(OR(j_WEEKDAY(J_ADDDAY(VLOOKUP(I204,A:F,6,FALSE),H204+1,1),0)=6,SUMIFS(Holieday[ok],Holieday[date],J_ADDDAY(VLOOKUP(I204,A:F,6,FALSE),H204+1,1)))=FALSE(),J_ADDDAY(VLOOKUP(I204,A:F,6,FALSE),H204+1,1),IF(OR(j_WEEKDAY(J_ADDDAY(VLOOKUP(I204,A:F,6,FALSE),H204+2,1),0)=6,SUMIFS(Holieday[ok],Holieday[date],J_ADDDAY(VLOOKUP(I204,A:F,6,FALSE),H204+2,1)))=FALSE(),J_ADDDAY(VLOOKUP(I204,A:F,6,FALSE),H204+2,1),IF(OR(j_WEEKDAY(J_ADDDAY(VLOOKUP(I204,A:F,6,FALSE),H204+3,1),0)=6,SUMIFS(Holieday[ok],Holieday[date],J_ADDDAY(VLOOKUP(I204,A:F,6,FALSE),H204+3,1)))=FALSE(),J_ADDDAY(VLOOKUP(I204,A:F,6,FALSE),H204+3,1),IF(OR(j_WEEKDAY(J_ADDDAY(VLOOKUP(I204,A:F,6,FALSE),H204+4,1),0)=6,SUMIFS(Holieday[ok],Holieday[date],J_ADDDAY(VLOOKUP(I204,A:F,6,FALSE),H204+4,1)))=FALSE(),J_ADDDAY(VLOOKUP(I204,A:F,6,FALSE),H204+4,1),J_ADDDAY(VLOOKUP(I204,A:F,6,FALSE),H204+5,1))))))</f>
        <v>1398/06/31</v>
      </c>
      <c r="E204" s="1">
        <f t="shared" si="64"/>
        <v>13980631</v>
      </c>
      <c r="F204" s="12" t="str">
        <f>IF(N204=0,J_SUBDAY(D204,1,1),IF((N204-NETWORKDAYS.INTL(J_GregorianDate(D204,1),J_GregorianDate(J_SUBDAY(J_ADDDAY(D204,N204,1),1,1),1),16,1)-SUMIFS(Holieday[ok],Holieday[date],CONCATENATE("&gt;","=",D204),Holieday[date],CONCATENATE("&lt;","=",J_SUBDAY(J_ADDDAY(D204,N204,1),1,1)))+SUMIFS(Holieday[Friday],Holieday[date],CONCATENATE("&gt;","=",D204),Holieday[date],CONCATENATE("&lt;","=",J_SUBDAY(J_ADDDAY(D204,N204,1),1,1))))=0,J_SUBDAY(J_ADDDAY(D204,N204,1),1,1),IF((N204-NETWORKDAYS.INTL(J_GregorianDate(D204,1),J_GregorianDate(J_SUBDAY(J_ADDDAY(D204,N204,1),1,1),1),16,1)-SUMIFS(Holieday[ok],Holieday[date],CONCATENATE("&gt;","=",D204),Holieday[date],CONCATENATE("&lt;","=",J_SUBDAY(J_ADDDAY(D204,N204,1),1,1)))+SUMIFS(Holieday[Friday],Holieday[date],CONCATENATE("&gt;","=",D204),Holieday[date],CONCATENATE("&lt;","=",J_SUBDAY(J_ADDDAY(D204,N204,1),1,1))))=1,J_SUBDAY(J_ADDDAY(D204,N204+1,1),1,1),IF((N204-NETWORKDAYS.INTL(J_GregorianDate(D204,1),J_GregorianDate(J_SUBDAY(J_ADDDAY(D204,N204,1),1,1),1),16,1)-SUMIFS(Holieday[ok],Holieday[date],CONCATENATE("&gt;","=",D204),Holieday[date],CONCATENATE("&lt;","=",J_SUBDAY(J_ADDDAY(D204,N204,1),1,1)))+SUMIFS(Holieday[Friday],Holieday[date],CONCATENATE("&gt;","=",D204),Holieday[date],CONCATENATE("&lt;","=",J_SUBDAY(J_ADDDAY(D204,N204,1),1,1))))=2,J_SUBDAY(J_ADDDAY(D204,N204+2,1),1,1),J_SUBDAY(J_ADDDAY(D204,N204+3,1),1,1)))))</f>
        <v>1398/06/30</v>
      </c>
      <c r="G204" s="2">
        <f t="shared" si="65"/>
        <v>13980630</v>
      </c>
      <c r="H204" s="109"/>
      <c r="I204" s="110">
        <v>1.1000000000000001</v>
      </c>
      <c r="J204" s="9">
        <f>j_WEEKDAY(D204,2)</f>
        <v>1</v>
      </c>
      <c r="K204" s="21">
        <f t="shared" si="69"/>
        <v>0</v>
      </c>
      <c r="L204" s="8">
        <f t="shared" si="68"/>
        <v>0</v>
      </c>
      <c r="M204" s="111">
        <v>0</v>
      </c>
      <c r="N204" s="108">
        <v>0</v>
      </c>
      <c r="O204" s="10">
        <f t="shared" si="66"/>
        <v>0</v>
      </c>
      <c r="P204" s="10">
        <f>VALUE(J_normdate(J_ADDDAY($D204,$O204,1)))</f>
        <v>13980631</v>
      </c>
      <c r="Q204" s="9">
        <f t="shared" si="67"/>
        <v>0</v>
      </c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  <c r="BB204" s="7"/>
      <c r="BC204" s="7"/>
      <c r="BD204" s="7"/>
      <c r="BE204" s="7"/>
      <c r="BF204" s="7"/>
      <c r="BG204" s="7"/>
      <c r="BH204" s="7"/>
      <c r="BI204" s="7"/>
      <c r="BJ204" s="7"/>
      <c r="BK204" s="7"/>
      <c r="BL204" s="7"/>
      <c r="BM204" s="7"/>
      <c r="BN204" s="7"/>
      <c r="BO204" s="7"/>
      <c r="BP204" s="7"/>
      <c r="BQ204" s="7"/>
      <c r="BR204" s="7"/>
      <c r="BS204" s="7"/>
      <c r="BT204" s="7"/>
      <c r="BU204" s="7"/>
      <c r="BV204" s="7"/>
      <c r="BW204" s="7"/>
      <c r="BX204" s="7"/>
      <c r="BY204" s="7"/>
      <c r="BZ204" s="7"/>
      <c r="CA204" s="7"/>
      <c r="CB204" s="7"/>
      <c r="CC204" s="7"/>
      <c r="CD204" s="7"/>
      <c r="CE204" s="7"/>
      <c r="CF204" s="7"/>
      <c r="CG204" s="7"/>
      <c r="CH204" s="7"/>
      <c r="CI204" s="7"/>
      <c r="CJ204" s="7"/>
      <c r="CK204" s="7"/>
      <c r="CL204" s="7"/>
      <c r="CM204" s="7"/>
      <c r="CN204" s="7"/>
      <c r="CO204" s="7"/>
      <c r="CP204" s="7"/>
      <c r="CQ204" s="7"/>
      <c r="CR204" s="7"/>
      <c r="CS204" s="7"/>
      <c r="CT204" s="7"/>
      <c r="CU204" s="7"/>
      <c r="CV204" s="7"/>
      <c r="CW204" s="7"/>
      <c r="CX204" s="7"/>
      <c r="CY204" s="7"/>
      <c r="CZ204" s="7"/>
      <c r="DA204" s="7"/>
      <c r="DB204" s="7"/>
      <c r="DC204" s="7"/>
      <c r="DD204" s="7"/>
      <c r="DE204" s="7"/>
      <c r="DF204" s="7"/>
      <c r="DG204" s="7"/>
      <c r="DH204" s="7"/>
      <c r="DI204" s="7"/>
      <c r="DJ204" s="7"/>
      <c r="DK204" s="7"/>
      <c r="DL204" s="7"/>
      <c r="DM204" s="7"/>
      <c r="DN204" s="7"/>
      <c r="DO204" s="7"/>
      <c r="DP204" s="7"/>
      <c r="DQ204" s="7"/>
      <c r="DR204" s="7"/>
      <c r="DS204" s="7"/>
      <c r="DT204" s="7"/>
      <c r="DU204" s="7"/>
      <c r="DV204" s="7"/>
      <c r="DW204" s="7"/>
      <c r="DX204" s="7"/>
      <c r="DY204" s="7"/>
      <c r="DZ204" s="7"/>
      <c r="EA204" s="7"/>
      <c r="EB204" s="7"/>
      <c r="EC204" s="7"/>
      <c r="ED204" s="7"/>
      <c r="EE204" s="7"/>
      <c r="EF204" s="7"/>
      <c r="EG204" s="7"/>
      <c r="EH204" s="7"/>
      <c r="EI204" s="7"/>
      <c r="EJ204" s="7"/>
      <c r="EK204" s="7"/>
      <c r="EL204" s="7"/>
      <c r="EM204" s="7"/>
      <c r="EN204" s="7"/>
      <c r="EO204" s="7"/>
      <c r="EP204" s="7"/>
      <c r="EQ204" s="7"/>
      <c r="ER204" s="7"/>
      <c r="ES204" s="7"/>
      <c r="ET204" s="7"/>
      <c r="EU204" s="7"/>
      <c r="EV204" s="7"/>
      <c r="EW204" s="7"/>
      <c r="EX204" s="7"/>
      <c r="EY204" s="7"/>
      <c r="EZ204" s="7"/>
      <c r="FA204" s="7"/>
      <c r="FB204" s="7"/>
      <c r="FC204" s="7"/>
      <c r="FD204" s="7"/>
      <c r="FE204" s="7"/>
      <c r="FF204" s="7"/>
      <c r="FG204" s="7"/>
      <c r="FH204" s="7"/>
      <c r="FI204" s="7"/>
      <c r="FJ204" s="7"/>
      <c r="FK204" s="7"/>
      <c r="FL204" s="7"/>
      <c r="FM204" s="7"/>
      <c r="FN204" s="7"/>
      <c r="FO204" s="7"/>
      <c r="FP204" s="7"/>
      <c r="FQ204" s="7"/>
      <c r="FR204" s="7"/>
      <c r="FS204" s="7"/>
      <c r="FT204" s="7"/>
      <c r="FU204" s="7"/>
      <c r="FV204" s="7"/>
      <c r="FW204" s="7"/>
      <c r="FX204" s="7"/>
      <c r="FY204" s="7"/>
      <c r="FZ204" s="7"/>
      <c r="GA204" s="7"/>
      <c r="GB204" s="7"/>
      <c r="GC204" s="7"/>
      <c r="GD204" s="7"/>
      <c r="GE204" s="7"/>
      <c r="GF204" s="7"/>
      <c r="GG204" s="7"/>
      <c r="GH204" s="7"/>
      <c r="GI204" s="7"/>
      <c r="GJ204" s="7"/>
      <c r="GK204" s="7"/>
      <c r="GL204" s="7"/>
      <c r="GM204" s="7"/>
      <c r="GN204" s="7"/>
      <c r="GO204" s="7"/>
      <c r="GP204" s="7"/>
      <c r="GQ204" s="7"/>
      <c r="GR204" s="7"/>
      <c r="GS204" s="7"/>
      <c r="GT204" s="7"/>
      <c r="GU204" s="7"/>
      <c r="GV204" s="7"/>
      <c r="GW204" s="7"/>
      <c r="GX204" s="7"/>
      <c r="GY204" s="7"/>
      <c r="GZ204" s="7"/>
      <c r="HA204" s="7"/>
      <c r="HB204" s="7"/>
      <c r="HC204" s="7"/>
      <c r="HD204" s="7"/>
      <c r="HE204" s="7"/>
      <c r="HF204" s="7"/>
      <c r="HG204" s="7"/>
      <c r="HH204" s="7"/>
      <c r="HI204" s="7"/>
      <c r="HJ204" s="7"/>
      <c r="HK204" s="7"/>
      <c r="HL204" s="7"/>
      <c r="HM204" s="7"/>
      <c r="HN204" s="7"/>
      <c r="HO204" s="7"/>
      <c r="HP204" s="7"/>
      <c r="HQ204" s="7"/>
      <c r="HR204" s="7"/>
      <c r="HS204" s="7"/>
      <c r="HT204" s="7"/>
      <c r="HU204" s="7"/>
      <c r="HV204" s="7"/>
      <c r="HW204" s="7"/>
      <c r="HX204" s="7"/>
      <c r="HY204" s="7"/>
      <c r="HZ204" s="7"/>
      <c r="IA204" s="7"/>
      <c r="IB204" s="7"/>
      <c r="IC204" s="7"/>
      <c r="ID204" s="7"/>
      <c r="IE204" s="7"/>
      <c r="IF204" s="7"/>
      <c r="IG204" s="7"/>
      <c r="IH204" s="7"/>
      <c r="II204" s="7"/>
      <c r="IJ204" s="7"/>
      <c r="IK204" s="7"/>
      <c r="IL204" s="7"/>
      <c r="IM204" s="7"/>
      <c r="IN204" s="7"/>
      <c r="IO204" s="7"/>
      <c r="IP204" s="7"/>
      <c r="IQ204" s="7"/>
      <c r="IR204" s="7"/>
      <c r="IS204" s="7"/>
      <c r="IT204" s="7"/>
      <c r="IU204" s="7"/>
      <c r="IV204" s="7"/>
      <c r="IW204" s="7"/>
      <c r="IX204" s="7"/>
      <c r="JA204" s="113"/>
      <c r="JB204" s="113"/>
      <c r="JC204" s="113"/>
      <c r="JD204" s="66">
        <f>SUM((TEXT(JA204,"[M]")/60)*'Income Person-hours'!$D$3,(TEXT(JB204,"[M]")/60)*'Income Person-hours'!$D$4,(TEXT(JC204,"[M]")/60)*'Income Person-hours'!$D$5)</f>
        <v>0</v>
      </c>
    </row>
    <row r="205" spans="1:264 16383:16384" s="11" customFormat="1" ht="11.25" hidden="1">
      <c r="A205" s="30">
        <v>9.4</v>
      </c>
      <c r="B205" s="116"/>
      <c r="C205" s="107"/>
      <c r="D205" s="12" t="str">
        <f>IF(OR(j_WEEKDAY(J_ADDDAY(VLOOKUP(I205,A:F,6,FALSE),H205,1),0)=6,SUMIFS(Holieday[ok],Holieday[date],J_ADDDAY(VLOOKUP(I205,A:F,6,FALSE),H205,1)))=FALSE(),J_ADDDAY(VLOOKUP(I205,A:F,6,FALSE),H205,1),IF(OR(j_WEEKDAY(J_ADDDAY(VLOOKUP(I205,A:F,6,FALSE),H205+1,1),0)=6,SUMIFS(Holieday[ok],Holieday[date],J_ADDDAY(VLOOKUP(I205,A:F,6,FALSE),H205+1,1)))=FALSE(),J_ADDDAY(VLOOKUP(I205,A:F,6,FALSE),H205+1,1),IF(OR(j_WEEKDAY(J_ADDDAY(VLOOKUP(I205,A:F,6,FALSE),H205+2,1),0)=6,SUMIFS(Holieday[ok],Holieday[date],J_ADDDAY(VLOOKUP(I205,A:F,6,FALSE),H205+2,1)))=FALSE(),J_ADDDAY(VLOOKUP(I205,A:F,6,FALSE),H205+2,1),IF(OR(j_WEEKDAY(J_ADDDAY(VLOOKUP(I205,A:F,6,FALSE),H205+3,1),0)=6,SUMIFS(Holieday[ok],Holieday[date],J_ADDDAY(VLOOKUP(I205,A:F,6,FALSE),H205+3,1)))=FALSE(),J_ADDDAY(VLOOKUP(I205,A:F,6,FALSE),H205+3,1),IF(OR(j_WEEKDAY(J_ADDDAY(VLOOKUP(I205,A:F,6,FALSE),H205+4,1),0)=6,SUMIFS(Holieday[ok],Holieday[date],J_ADDDAY(VLOOKUP(I205,A:F,6,FALSE),H205+4,1)))=FALSE(),J_ADDDAY(VLOOKUP(I205,A:F,6,FALSE),H205+4,1),J_ADDDAY(VLOOKUP(I205,A:F,6,FALSE),H205+5,1))))))</f>
        <v>1398/06/31</v>
      </c>
      <c r="E205" s="1">
        <f t="shared" si="64"/>
        <v>13980631</v>
      </c>
      <c r="F205" s="12" t="str">
        <f>IF(N205=0,J_SUBDAY(D205,1,1),IF((N205-NETWORKDAYS.INTL(J_GregorianDate(D205,1),J_GregorianDate(J_SUBDAY(J_ADDDAY(D205,N205,1),1,1),1),16,1)-SUMIFS(Holieday[ok],Holieday[date],CONCATENATE("&gt;","=",D205),Holieday[date],CONCATENATE("&lt;","=",J_SUBDAY(J_ADDDAY(D205,N205,1),1,1)))+SUMIFS(Holieday[Friday],Holieday[date],CONCATENATE("&gt;","=",D205),Holieday[date],CONCATENATE("&lt;","=",J_SUBDAY(J_ADDDAY(D205,N205,1),1,1))))=0,J_SUBDAY(J_ADDDAY(D205,N205,1),1,1),IF((N205-NETWORKDAYS.INTL(J_GregorianDate(D205,1),J_GregorianDate(J_SUBDAY(J_ADDDAY(D205,N205,1),1,1),1),16,1)-SUMIFS(Holieday[ok],Holieday[date],CONCATENATE("&gt;","=",D205),Holieday[date],CONCATENATE("&lt;","=",J_SUBDAY(J_ADDDAY(D205,N205,1),1,1)))+SUMIFS(Holieday[Friday],Holieday[date],CONCATENATE("&gt;","=",D205),Holieday[date],CONCATENATE("&lt;","=",J_SUBDAY(J_ADDDAY(D205,N205,1),1,1))))=1,J_SUBDAY(J_ADDDAY(D205,N205+1,1),1,1),IF((N205-NETWORKDAYS.INTL(J_GregorianDate(D205,1),J_GregorianDate(J_SUBDAY(J_ADDDAY(D205,N205,1),1,1),1),16,1)-SUMIFS(Holieday[ok],Holieday[date],CONCATENATE("&gt;","=",D205),Holieday[date],CONCATENATE("&lt;","=",J_SUBDAY(J_ADDDAY(D205,N205,1),1,1)))+SUMIFS(Holieday[Friday],Holieday[date],CONCATENATE("&gt;","=",D205),Holieday[date],CONCATENATE("&lt;","=",J_SUBDAY(J_ADDDAY(D205,N205,1),1,1))))=2,J_SUBDAY(J_ADDDAY(D205,N205+2,1),1,1),J_SUBDAY(J_ADDDAY(D205,N205+3,1),1,1)))))</f>
        <v>1398/06/30</v>
      </c>
      <c r="G205" s="2">
        <f t="shared" si="65"/>
        <v>13980630</v>
      </c>
      <c r="H205" s="109"/>
      <c r="I205" s="110">
        <v>1.1000000000000001</v>
      </c>
      <c r="J205" s="9">
        <f>j_WEEKDAY(D205,2)</f>
        <v>1</v>
      </c>
      <c r="K205" s="21">
        <f t="shared" si="69"/>
        <v>0</v>
      </c>
      <c r="L205" s="8">
        <f t="shared" si="68"/>
        <v>0</v>
      </c>
      <c r="M205" s="111">
        <v>0</v>
      </c>
      <c r="N205" s="108">
        <v>0</v>
      </c>
      <c r="O205" s="10">
        <f t="shared" si="66"/>
        <v>0</v>
      </c>
      <c r="P205" s="10">
        <f>VALUE(J_normdate(J_ADDDAY($D205,$O205,1)))</f>
        <v>13980631</v>
      </c>
      <c r="Q205" s="9">
        <f t="shared" si="67"/>
        <v>0</v>
      </c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  <c r="BB205" s="7"/>
      <c r="BC205" s="7"/>
      <c r="BD205" s="7"/>
      <c r="BE205" s="7"/>
      <c r="BF205" s="7"/>
      <c r="BG205" s="7"/>
      <c r="BH205" s="7"/>
      <c r="BI205" s="7"/>
      <c r="BJ205" s="7"/>
      <c r="BK205" s="7"/>
      <c r="BL205" s="7"/>
      <c r="BM205" s="7"/>
      <c r="BN205" s="7"/>
      <c r="BO205" s="7"/>
      <c r="BP205" s="7"/>
      <c r="BQ205" s="7"/>
      <c r="BR205" s="7"/>
      <c r="BS205" s="7"/>
      <c r="BT205" s="7"/>
      <c r="BU205" s="7"/>
      <c r="BV205" s="7"/>
      <c r="BW205" s="7"/>
      <c r="BX205" s="7"/>
      <c r="BY205" s="7"/>
      <c r="BZ205" s="7"/>
      <c r="CA205" s="7"/>
      <c r="CB205" s="7"/>
      <c r="CC205" s="7"/>
      <c r="CD205" s="7"/>
      <c r="CE205" s="7"/>
      <c r="CF205" s="7"/>
      <c r="CG205" s="7"/>
      <c r="CH205" s="7"/>
      <c r="CI205" s="7"/>
      <c r="CJ205" s="7"/>
      <c r="CK205" s="7"/>
      <c r="CL205" s="7"/>
      <c r="CM205" s="7"/>
      <c r="CN205" s="7"/>
      <c r="CO205" s="7"/>
      <c r="CP205" s="7"/>
      <c r="CQ205" s="7"/>
      <c r="CR205" s="7"/>
      <c r="CS205" s="7"/>
      <c r="CT205" s="7"/>
      <c r="CU205" s="7"/>
      <c r="CV205" s="7"/>
      <c r="CW205" s="7"/>
      <c r="CX205" s="7"/>
      <c r="CY205" s="7"/>
      <c r="CZ205" s="7"/>
      <c r="DA205" s="7"/>
      <c r="DB205" s="7"/>
      <c r="DC205" s="7"/>
      <c r="DD205" s="7"/>
      <c r="DE205" s="7"/>
      <c r="DF205" s="7"/>
      <c r="DG205" s="7"/>
      <c r="DH205" s="7"/>
      <c r="DI205" s="7"/>
      <c r="DJ205" s="7"/>
      <c r="DK205" s="7"/>
      <c r="DL205" s="7"/>
      <c r="DM205" s="7"/>
      <c r="DN205" s="7"/>
      <c r="DO205" s="7"/>
      <c r="DP205" s="7"/>
      <c r="DQ205" s="7"/>
      <c r="DR205" s="7"/>
      <c r="DS205" s="7"/>
      <c r="DT205" s="7"/>
      <c r="DU205" s="7"/>
      <c r="DV205" s="7"/>
      <c r="DW205" s="7"/>
      <c r="DX205" s="7"/>
      <c r="DY205" s="7"/>
      <c r="DZ205" s="7"/>
      <c r="EA205" s="7"/>
      <c r="EB205" s="7"/>
      <c r="EC205" s="7"/>
      <c r="ED205" s="7"/>
      <c r="EE205" s="7"/>
      <c r="EF205" s="7"/>
      <c r="EG205" s="7"/>
      <c r="EH205" s="7"/>
      <c r="EI205" s="7"/>
      <c r="EJ205" s="7"/>
      <c r="EK205" s="7"/>
      <c r="EL205" s="7"/>
      <c r="EM205" s="7"/>
      <c r="EN205" s="7"/>
      <c r="EO205" s="7"/>
      <c r="EP205" s="7"/>
      <c r="EQ205" s="7"/>
      <c r="ER205" s="7"/>
      <c r="ES205" s="7"/>
      <c r="ET205" s="7"/>
      <c r="EU205" s="7"/>
      <c r="EV205" s="7"/>
      <c r="EW205" s="7"/>
      <c r="EX205" s="7"/>
      <c r="EY205" s="7"/>
      <c r="EZ205" s="7"/>
      <c r="FA205" s="7"/>
      <c r="FB205" s="7"/>
      <c r="FC205" s="7"/>
      <c r="FD205" s="7"/>
      <c r="FE205" s="7"/>
      <c r="FF205" s="7"/>
      <c r="FG205" s="7"/>
      <c r="FH205" s="7"/>
      <c r="FI205" s="7"/>
      <c r="FJ205" s="7"/>
      <c r="FK205" s="7"/>
      <c r="FL205" s="7"/>
      <c r="FM205" s="7"/>
      <c r="FN205" s="7"/>
      <c r="FO205" s="7"/>
      <c r="FP205" s="7"/>
      <c r="FQ205" s="7"/>
      <c r="FR205" s="7"/>
      <c r="FS205" s="7"/>
      <c r="FT205" s="7"/>
      <c r="FU205" s="7"/>
      <c r="FV205" s="7"/>
      <c r="FW205" s="7"/>
      <c r="FX205" s="7"/>
      <c r="FY205" s="7"/>
      <c r="FZ205" s="7"/>
      <c r="GA205" s="7"/>
      <c r="GB205" s="7"/>
      <c r="GC205" s="7"/>
      <c r="GD205" s="7"/>
      <c r="GE205" s="7"/>
      <c r="GF205" s="7"/>
      <c r="GG205" s="7"/>
      <c r="GH205" s="7"/>
      <c r="GI205" s="7"/>
      <c r="GJ205" s="7"/>
      <c r="GK205" s="7"/>
      <c r="GL205" s="7"/>
      <c r="GM205" s="7"/>
      <c r="GN205" s="7"/>
      <c r="GO205" s="7"/>
      <c r="GP205" s="7"/>
      <c r="GQ205" s="7"/>
      <c r="GR205" s="7"/>
      <c r="GS205" s="7"/>
      <c r="GT205" s="7"/>
      <c r="GU205" s="7"/>
      <c r="GV205" s="7"/>
      <c r="GW205" s="7"/>
      <c r="GX205" s="7"/>
      <c r="GY205" s="7"/>
      <c r="GZ205" s="7"/>
      <c r="HA205" s="7"/>
      <c r="HB205" s="7"/>
      <c r="HC205" s="7"/>
      <c r="HD205" s="7"/>
      <c r="HE205" s="7"/>
      <c r="HF205" s="7"/>
      <c r="HG205" s="7"/>
      <c r="HH205" s="7"/>
      <c r="HI205" s="7"/>
      <c r="HJ205" s="7"/>
      <c r="HK205" s="7"/>
      <c r="HL205" s="7"/>
      <c r="HM205" s="7"/>
      <c r="HN205" s="7"/>
      <c r="HO205" s="7"/>
      <c r="HP205" s="7"/>
      <c r="HQ205" s="7"/>
      <c r="HR205" s="7"/>
      <c r="HS205" s="7"/>
      <c r="HT205" s="7"/>
      <c r="HU205" s="7"/>
      <c r="HV205" s="7"/>
      <c r="HW205" s="7"/>
      <c r="HX205" s="7"/>
      <c r="HY205" s="7"/>
      <c r="HZ205" s="7"/>
      <c r="IA205" s="7"/>
      <c r="IB205" s="7"/>
      <c r="IC205" s="7"/>
      <c r="ID205" s="7"/>
      <c r="IE205" s="7"/>
      <c r="IF205" s="7"/>
      <c r="IG205" s="7"/>
      <c r="IH205" s="7"/>
      <c r="II205" s="7"/>
      <c r="IJ205" s="7"/>
      <c r="IK205" s="7"/>
      <c r="IL205" s="7"/>
      <c r="IM205" s="7"/>
      <c r="IN205" s="7"/>
      <c r="IO205" s="7"/>
      <c r="IP205" s="7"/>
      <c r="IQ205" s="7"/>
      <c r="IR205" s="7"/>
      <c r="IS205" s="7"/>
      <c r="IT205" s="7"/>
      <c r="IU205" s="7"/>
      <c r="IV205" s="7"/>
      <c r="IW205" s="7"/>
      <c r="IX205" s="7"/>
      <c r="JA205" s="113"/>
      <c r="JB205" s="113"/>
      <c r="JC205" s="113"/>
      <c r="JD205" s="66">
        <f>SUM((TEXT(JA205,"[M]")/60)*'Income Person-hours'!$D$3,(TEXT(JB205,"[M]")/60)*'Income Person-hours'!$D$4,(TEXT(JC205,"[M]")/60)*'Income Person-hours'!$D$5)</f>
        <v>0</v>
      </c>
    </row>
    <row r="206" spans="1:264 16383:16384" s="11" customFormat="1" ht="11.25" hidden="1">
      <c r="A206" s="30">
        <v>9.5</v>
      </c>
      <c r="B206" s="116"/>
      <c r="C206" s="107"/>
      <c r="D206" s="12" t="str">
        <f>IF(OR(j_WEEKDAY(J_ADDDAY(VLOOKUP(I206,A:F,6,FALSE),H206,1),0)=6,SUMIFS(Holieday[ok],Holieday[date],J_ADDDAY(VLOOKUP(I206,A:F,6,FALSE),H206,1)))=FALSE(),J_ADDDAY(VLOOKUP(I206,A:F,6,FALSE),H206,1),IF(OR(j_WEEKDAY(J_ADDDAY(VLOOKUP(I206,A:F,6,FALSE),H206+1,1),0)=6,SUMIFS(Holieday[ok],Holieday[date],J_ADDDAY(VLOOKUP(I206,A:F,6,FALSE),H206+1,1)))=FALSE(),J_ADDDAY(VLOOKUP(I206,A:F,6,FALSE),H206+1,1),IF(OR(j_WEEKDAY(J_ADDDAY(VLOOKUP(I206,A:F,6,FALSE),H206+2,1),0)=6,SUMIFS(Holieday[ok],Holieday[date],J_ADDDAY(VLOOKUP(I206,A:F,6,FALSE),H206+2,1)))=FALSE(),J_ADDDAY(VLOOKUP(I206,A:F,6,FALSE),H206+2,1),IF(OR(j_WEEKDAY(J_ADDDAY(VLOOKUP(I206,A:F,6,FALSE),H206+3,1),0)=6,SUMIFS(Holieday[ok],Holieday[date],J_ADDDAY(VLOOKUP(I206,A:F,6,FALSE),H206+3,1)))=FALSE(),J_ADDDAY(VLOOKUP(I206,A:F,6,FALSE),H206+3,1),IF(OR(j_WEEKDAY(J_ADDDAY(VLOOKUP(I206,A:F,6,FALSE),H206+4,1),0)=6,SUMIFS(Holieday[ok],Holieday[date],J_ADDDAY(VLOOKUP(I206,A:F,6,FALSE),H206+4,1)))=FALSE(),J_ADDDAY(VLOOKUP(I206,A:F,6,FALSE),H206+4,1),J_ADDDAY(VLOOKUP(I206,A:F,6,FALSE),H206+5,1))))))</f>
        <v>1398/06/31</v>
      </c>
      <c r="E206" s="1">
        <f t="shared" si="64"/>
        <v>13980631</v>
      </c>
      <c r="F206" s="12" t="str">
        <f>IF(N206=0,J_SUBDAY(D206,1,1),IF((N206-NETWORKDAYS.INTL(J_GregorianDate(D206,1),J_GregorianDate(J_SUBDAY(J_ADDDAY(D206,N206,1),1,1),1),16,1)-SUMIFS(Holieday[ok],Holieday[date],CONCATENATE("&gt;","=",D206),Holieday[date],CONCATENATE("&lt;","=",J_SUBDAY(J_ADDDAY(D206,N206,1),1,1)))+SUMIFS(Holieday[Friday],Holieday[date],CONCATENATE("&gt;","=",D206),Holieday[date],CONCATENATE("&lt;","=",J_SUBDAY(J_ADDDAY(D206,N206,1),1,1))))=0,J_SUBDAY(J_ADDDAY(D206,N206,1),1,1),IF((N206-NETWORKDAYS.INTL(J_GregorianDate(D206,1),J_GregorianDate(J_SUBDAY(J_ADDDAY(D206,N206,1),1,1),1),16,1)-SUMIFS(Holieday[ok],Holieday[date],CONCATENATE("&gt;","=",D206),Holieday[date],CONCATENATE("&lt;","=",J_SUBDAY(J_ADDDAY(D206,N206,1),1,1)))+SUMIFS(Holieday[Friday],Holieday[date],CONCATENATE("&gt;","=",D206),Holieday[date],CONCATENATE("&lt;","=",J_SUBDAY(J_ADDDAY(D206,N206,1),1,1))))=1,J_SUBDAY(J_ADDDAY(D206,N206+1,1),1,1),IF((N206-NETWORKDAYS.INTL(J_GregorianDate(D206,1),J_GregorianDate(J_SUBDAY(J_ADDDAY(D206,N206,1),1,1),1),16,1)-SUMIFS(Holieday[ok],Holieday[date],CONCATENATE("&gt;","=",D206),Holieday[date],CONCATENATE("&lt;","=",J_SUBDAY(J_ADDDAY(D206,N206,1),1,1)))+SUMIFS(Holieday[Friday],Holieday[date],CONCATENATE("&gt;","=",D206),Holieday[date],CONCATENATE("&lt;","=",J_SUBDAY(J_ADDDAY(D206,N206,1),1,1))))=2,J_SUBDAY(J_ADDDAY(D206,N206+2,1),1,1),J_SUBDAY(J_ADDDAY(D206,N206+3,1),1,1)))))</f>
        <v>1398/06/30</v>
      </c>
      <c r="G206" s="2">
        <f t="shared" si="65"/>
        <v>13980630</v>
      </c>
      <c r="H206" s="109"/>
      <c r="I206" s="110">
        <v>1.1000000000000001</v>
      </c>
      <c r="J206" s="9">
        <f>j_WEEKDAY(D206,2)</f>
        <v>1</v>
      </c>
      <c r="K206" s="21">
        <f t="shared" si="69"/>
        <v>0</v>
      </c>
      <c r="L206" s="8">
        <f t="shared" si="68"/>
        <v>0</v>
      </c>
      <c r="M206" s="111">
        <v>0</v>
      </c>
      <c r="N206" s="108">
        <v>0</v>
      </c>
      <c r="O206" s="10">
        <f t="shared" si="66"/>
        <v>0</v>
      </c>
      <c r="P206" s="10">
        <f>VALUE(J_normdate(J_ADDDAY($D206,$O206,1)))</f>
        <v>13980631</v>
      </c>
      <c r="Q206" s="9">
        <f t="shared" si="67"/>
        <v>0</v>
      </c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  <c r="BB206" s="7"/>
      <c r="BC206" s="7"/>
      <c r="BD206" s="7"/>
      <c r="BE206" s="7"/>
      <c r="BF206" s="7"/>
      <c r="BG206" s="7"/>
      <c r="BH206" s="7"/>
      <c r="BI206" s="7"/>
      <c r="BJ206" s="7"/>
      <c r="BK206" s="7"/>
      <c r="BL206" s="7"/>
      <c r="BM206" s="7"/>
      <c r="BN206" s="7"/>
      <c r="BO206" s="7"/>
      <c r="BP206" s="7"/>
      <c r="BQ206" s="7"/>
      <c r="BR206" s="7"/>
      <c r="BS206" s="7"/>
      <c r="BT206" s="7"/>
      <c r="BU206" s="7"/>
      <c r="BV206" s="7"/>
      <c r="BW206" s="7"/>
      <c r="BX206" s="7"/>
      <c r="BY206" s="7"/>
      <c r="BZ206" s="7"/>
      <c r="CA206" s="7"/>
      <c r="CB206" s="7"/>
      <c r="CC206" s="7"/>
      <c r="CD206" s="7"/>
      <c r="CE206" s="7"/>
      <c r="CF206" s="7"/>
      <c r="CG206" s="7"/>
      <c r="CH206" s="7"/>
      <c r="CI206" s="7"/>
      <c r="CJ206" s="7"/>
      <c r="CK206" s="7"/>
      <c r="CL206" s="7"/>
      <c r="CM206" s="7"/>
      <c r="CN206" s="7"/>
      <c r="CO206" s="7"/>
      <c r="CP206" s="7"/>
      <c r="CQ206" s="7"/>
      <c r="CR206" s="7"/>
      <c r="CS206" s="7"/>
      <c r="CT206" s="7"/>
      <c r="CU206" s="7"/>
      <c r="CV206" s="7"/>
      <c r="CW206" s="7"/>
      <c r="CX206" s="7"/>
      <c r="CY206" s="7"/>
      <c r="CZ206" s="7"/>
      <c r="DA206" s="7"/>
      <c r="DB206" s="7"/>
      <c r="DC206" s="7"/>
      <c r="DD206" s="7"/>
      <c r="DE206" s="7"/>
      <c r="DF206" s="7"/>
      <c r="DG206" s="7"/>
      <c r="DH206" s="7"/>
      <c r="DI206" s="7"/>
      <c r="DJ206" s="7"/>
      <c r="DK206" s="7"/>
      <c r="DL206" s="7"/>
      <c r="DM206" s="7"/>
      <c r="DN206" s="7"/>
      <c r="DO206" s="7"/>
      <c r="DP206" s="7"/>
      <c r="DQ206" s="7"/>
      <c r="DR206" s="7"/>
      <c r="DS206" s="7"/>
      <c r="DT206" s="7"/>
      <c r="DU206" s="7"/>
      <c r="DV206" s="7"/>
      <c r="DW206" s="7"/>
      <c r="DX206" s="7"/>
      <c r="DY206" s="7"/>
      <c r="DZ206" s="7"/>
      <c r="EA206" s="7"/>
      <c r="EB206" s="7"/>
      <c r="EC206" s="7"/>
      <c r="ED206" s="7"/>
      <c r="EE206" s="7"/>
      <c r="EF206" s="7"/>
      <c r="EG206" s="7"/>
      <c r="EH206" s="7"/>
      <c r="EI206" s="7"/>
      <c r="EJ206" s="7"/>
      <c r="EK206" s="7"/>
      <c r="EL206" s="7"/>
      <c r="EM206" s="7"/>
      <c r="EN206" s="7"/>
      <c r="EO206" s="7"/>
      <c r="EP206" s="7"/>
      <c r="EQ206" s="7"/>
      <c r="ER206" s="7"/>
      <c r="ES206" s="7"/>
      <c r="ET206" s="7"/>
      <c r="EU206" s="7"/>
      <c r="EV206" s="7"/>
      <c r="EW206" s="7"/>
      <c r="EX206" s="7"/>
      <c r="EY206" s="7"/>
      <c r="EZ206" s="7"/>
      <c r="FA206" s="7"/>
      <c r="FB206" s="7"/>
      <c r="FC206" s="7"/>
      <c r="FD206" s="7"/>
      <c r="FE206" s="7"/>
      <c r="FF206" s="7"/>
      <c r="FG206" s="7"/>
      <c r="FH206" s="7"/>
      <c r="FI206" s="7"/>
      <c r="FJ206" s="7"/>
      <c r="FK206" s="7"/>
      <c r="FL206" s="7"/>
      <c r="FM206" s="7"/>
      <c r="FN206" s="7"/>
      <c r="FO206" s="7"/>
      <c r="FP206" s="7"/>
      <c r="FQ206" s="7"/>
      <c r="FR206" s="7"/>
      <c r="FS206" s="7"/>
      <c r="FT206" s="7"/>
      <c r="FU206" s="7"/>
      <c r="FV206" s="7"/>
      <c r="FW206" s="7"/>
      <c r="FX206" s="7"/>
      <c r="FY206" s="7"/>
      <c r="FZ206" s="7"/>
      <c r="GA206" s="7"/>
      <c r="GB206" s="7"/>
      <c r="GC206" s="7"/>
      <c r="GD206" s="7"/>
      <c r="GE206" s="7"/>
      <c r="GF206" s="7"/>
      <c r="GG206" s="7"/>
      <c r="GH206" s="7"/>
      <c r="GI206" s="7"/>
      <c r="GJ206" s="7"/>
      <c r="GK206" s="7"/>
      <c r="GL206" s="7"/>
      <c r="GM206" s="7"/>
      <c r="GN206" s="7"/>
      <c r="GO206" s="7"/>
      <c r="GP206" s="7"/>
      <c r="GQ206" s="7"/>
      <c r="GR206" s="7"/>
      <c r="GS206" s="7"/>
      <c r="GT206" s="7"/>
      <c r="GU206" s="7"/>
      <c r="GV206" s="7"/>
      <c r="GW206" s="7"/>
      <c r="GX206" s="7"/>
      <c r="GY206" s="7"/>
      <c r="GZ206" s="7"/>
      <c r="HA206" s="7"/>
      <c r="HB206" s="7"/>
      <c r="HC206" s="7"/>
      <c r="HD206" s="7"/>
      <c r="HE206" s="7"/>
      <c r="HF206" s="7"/>
      <c r="HG206" s="7"/>
      <c r="HH206" s="7"/>
      <c r="HI206" s="7"/>
      <c r="HJ206" s="7"/>
      <c r="HK206" s="7"/>
      <c r="HL206" s="7"/>
      <c r="HM206" s="7"/>
      <c r="HN206" s="7"/>
      <c r="HO206" s="7"/>
      <c r="HP206" s="7"/>
      <c r="HQ206" s="7"/>
      <c r="HR206" s="7"/>
      <c r="HS206" s="7"/>
      <c r="HT206" s="7"/>
      <c r="HU206" s="7"/>
      <c r="HV206" s="7"/>
      <c r="HW206" s="7"/>
      <c r="HX206" s="7"/>
      <c r="HY206" s="7"/>
      <c r="HZ206" s="7"/>
      <c r="IA206" s="7"/>
      <c r="IB206" s="7"/>
      <c r="IC206" s="7"/>
      <c r="ID206" s="7"/>
      <c r="IE206" s="7"/>
      <c r="IF206" s="7"/>
      <c r="IG206" s="7"/>
      <c r="IH206" s="7"/>
      <c r="II206" s="7"/>
      <c r="IJ206" s="7"/>
      <c r="IK206" s="7"/>
      <c r="IL206" s="7"/>
      <c r="IM206" s="7"/>
      <c r="IN206" s="7"/>
      <c r="IO206" s="7"/>
      <c r="IP206" s="7"/>
      <c r="IQ206" s="7"/>
      <c r="IR206" s="7"/>
      <c r="IS206" s="7"/>
      <c r="IT206" s="7"/>
      <c r="IU206" s="7"/>
      <c r="IV206" s="7"/>
      <c r="IW206" s="7"/>
      <c r="IX206" s="7"/>
      <c r="JA206" s="113"/>
      <c r="JB206" s="113"/>
      <c r="JC206" s="113"/>
      <c r="JD206" s="66">
        <f>SUM((TEXT(JA206,"[M]")/60)*'Income Person-hours'!$D$3,(TEXT(JB206,"[M]")/60)*'Income Person-hours'!$D$4,(TEXT(JC206,"[M]")/60)*'Income Person-hours'!$D$5)</f>
        <v>0</v>
      </c>
    </row>
    <row r="207" spans="1:264 16383:16384" s="11" customFormat="1" ht="11.25" hidden="1">
      <c r="A207" s="30">
        <v>9.6</v>
      </c>
      <c r="B207" s="116"/>
      <c r="C207" s="107"/>
      <c r="D207" s="12" t="str">
        <f>IF(OR(j_WEEKDAY(J_ADDDAY(VLOOKUP(I207,A:F,6,FALSE),H207,1),0)=6,SUMIFS(Holieday[ok],Holieday[date],J_ADDDAY(VLOOKUP(I207,A:F,6,FALSE),H207,1)))=FALSE(),J_ADDDAY(VLOOKUP(I207,A:F,6,FALSE),H207,1),IF(OR(j_WEEKDAY(J_ADDDAY(VLOOKUP(I207,A:F,6,FALSE),H207+1,1),0)=6,SUMIFS(Holieday[ok],Holieday[date],J_ADDDAY(VLOOKUP(I207,A:F,6,FALSE),H207+1,1)))=FALSE(),J_ADDDAY(VLOOKUP(I207,A:F,6,FALSE),H207+1,1),IF(OR(j_WEEKDAY(J_ADDDAY(VLOOKUP(I207,A:F,6,FALSE),H207+2,1),0)=6,SUMIFS(Holieday[ok],Holieday[date],J_ADDDAY(VLOOKUP(I207,A:F,6,FALSE),H207+2,1)))=FALSE(),J_ADDDAY(VLOOKUP(I207,A:F,6,FALSE),H207+2,1),IF(OR(j_WEEKDAY(J_ADDDAY(VLOOKUP(I207,A:F,6,FALSE),H207+3,1),0)=6,SUMIFS(Holieday[ok],Holieday[date],J_ADDDAY(VLOOKUP(I207,A:F,6,FALSE),H207+3,1)))=FALSE(),J_ADDDAY(VLOOKUP(I207,A:F,6,FALSE),H207+3,1),IF(OR(j_WEEKDAY(J_ADDDAY(VLOOKUP(I207,A:F,6,FALSE),H207+4,1),0)=6,SUMIFS(Holieday[ok],Holieday[date],J_ADDDAY(VLOOKUP(I207,A:F,6,FALSE),H207+4,1)))=FALSE(),J_ADDDAY(VLOOKUP(I207,A:F,6,FALSE),H207+4,1),J_ADDDAY(VLOOKUP(I207,A:F,6,FALSE),H207+5,1))))))</f>
        <v>1398/06/31</v>
      </c>
      <c r="E207" s="1">
        <f t="shared" si="64"/>
        <v>13980631</v>
      </c>
      <c r="F207" s="12" t="str">
        <f>IF(N207=0,J_SUBDAY(D207,1,1),IF((N207-NETWORKDAYS.INTL(J_GregorianDate(D207,1),J_GregorianDate(J_SUBDAY(J_ADDDAY(D207,N207,1),1,1),1),16,1)-SUMIFS(Holieday[ok],Holieday[date],CONCATENATE("&gt;","=",D207),Holieday[date],CONCATENATE("&lt;","=",J_SUBDAY(J_ADDDAY(D207,N207,1),1,1)))+SUMIFS(Holieday[Friday],Holieday[date],CONCATENATE("&gt;","=",D207),Holieday[date],CONCATENATE("&lt;","=",J_SUBDAY(J_ADDDAY(D207,N207,1),1,1))))=0,J_SUBDAY(J_ADDDAY(D207,N207,1),1,1),IF((N207-NETWORKDAYS.INTL(J_GregorianDate(D207,1),J_GregorianDate(J_SUBDAY(J_ADDDAY(D207,N207,1),1,1),1),16,1)-SUMIFS(Holieday[ok],Holieday[date],CONCATENATE("&gt;","=",D207),Holieday[date],CONCATENATE("&lt;","=",J_SUBDAY(J_ADDDAY(D207,N207,1),1,1)))+SUMIFS(Holieday[Friday],Holieday[date],CONCATENATE("&gt;","=",D207),Holieday[date],CONCATENATE("&lt;","=",J_SUBDAY(J_ADDDAY(D207,N207,1),1,1))))=1,J_SUBDAY(J_ADDDAY(D207,N207+1,1),1,1),IF((N207-NETWORKDAYS.INTL(J_GregorianDate(D207,1),J_GregorianDate(J_SUBDAY(J_ADDDAY(D207,N207,1),1,1),1),16,1)-SUMIFS(Holieday[ok],Holieday[date],CONCATENATE("&gt;","=",D207),Holieday[date],CONCATENATE("&lt;","=",J_SUBDAY(J_ADDDAY(D207,N207,1),1,1)))+SUMIFS(Holieday[Friday],Holieday[date],CONCATENATE("&gt;","=",D207),Holieday[date],CONCATENATE("&lt;","=",J_SUBDAY(J_ADDDAY(D207,N207,1),1,1))))=2,J_SUBDAY(J_ADDDAY(D207,N207+2,1),1,1),J_SUBDAY(J_ADDDAY(D207,N207+3,1),1,1)))))</f>
        <v>1398/06/30</v>
      </c>
      <c r="G207" s="2">
        <f t="shared" si="65"/>
        <v>13980630</v>
      </c>
      <c r="H207" s="109"/>
      <c r="I207" s="110">
        <v>1.1000000000000001</v>
      </c>
      <c r="J207" s="9">
        <f>j_WEEKDAY(D207,2)</f>
        <v>1</v>
      </c>
      <c r="K207" s="21">
        <f t="shared" si="69"/>
        <v>0</v>
      </c>
      <c r="L207" s="8">
        <f t="shared" si="68"/>
        <v>0</v>
      </c>
      <c r="M207" s="111">
        <v>0</v>
      </c>
      <c r="N207" s="108">
        <v>0</v>
      </c>
      <c r="O207" s="10">
        <f t="shared" si="66"/>
        <v>0</v>
      </c>
      <c r="P207" s="10">
        <f>VALUE(J_normdate(J_ADDDAY($D207,$O207,1)))</f>
        <v>13980631</v>
      </c>
      <c r="Q207" s="9">
        <f t="shared" si="67"/>
        <v>0</v>
      </c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  <c r="BB207" s="7"/>
      <c r="BC207" s="7"/>
      <c r="BD207" s="7"/>
      <c r="BE207" s="7"/>
      <c r="BF207" s="7"/>
      <c r="BG207" s="7"/>
      <c r="BH207" s="7"/>
      <c r="BI207" s="7"/>
      <c r="BJ207" s="7"/>
      <c r="BK207" s="7"/>
      <c r="BL207" s="7"/>
      <c r="BM207" s="7"/>
      <c r="BN207" s="7"/>
      <c r="BO207" s="7"/>
      <c r="BP207" s="7"/>
      <c r="BQ207" s="7"/>
      <c r="BR207" s="7"/>
      <c r="BS207" s="7"/>
      <c r="BT207" s="7"/>
      <c r="BU207" s="7"/>
      <c r="BV207" s="7"/>
      <c r="BW207" s="7"/>
      <c r="BX207" s="7"/>
      <c r="BY207" s="7"/>
      <c r="BZ207" s="7"/>
      <c r="CA207" s="7"/>
      <c r="CB207" s="7"/>
      <c r="CC207" s="7"/>
      <c r="CD207" s="7"/>
      <c r="CE207" s="7"/>
      <c r="CF207" s="7"/>
      <c r="CG207" s="7"/>
      <c r="CH207" s="7"/>
      <c r="CI207" s="7"/>
      <c r="CJ207" s="7"/>
      <c r="CK207" s="7"/>
      <c r="CL207" s="7"/>
      <c r="CM207" s="7"/>
      <c r="CN207" s="7"/>
      <c r="CO207" s="7"/>
      <c r="CP207" s="7"/>
      <c r="CQ207" s="7"/>
      <c r="CR207" s="7"/>
      <c r="CS207" s="7"/>
      <c r="CT207" s="7"/>
      <c r="CU207" s="7"/>
      <c r="CV207" s="7"/>
      <c r="CW207" s="7"/>
      <c r="CX207" s="7"/>
      <c r="CY207" s="7"/>
      <c r="CZ207" s="7"/>
      <c r="DA207" s="7"/>
      <c r="DB207" s="7"/>
      <c r="DC207" s="7"/>
      <c r="DD207" s="7"/>
      <c r="DE207" s="7"/>
      <c r="DF207" s="7"/>
      <c r="DG207" s="7"/>
      <c r="DH207" s="7"/>
      <c r="DI207" s="7"/>
      <c r="DJ207" s="7"/>
      <c r="DK207" s="7"/>
      <c r="DL207" s="7"/>
      <c r="DM207" s="7"/>
      <c r="DN207" s="7"/>
      <c r="DO207" s="7"/>
      <c r="DP207" s="7"/>
      <c r="DQ207" s="7"/>
      <c r="DR207" s="7"/>
      <c r="DS207" s="7"/>
      <c r="DT207" s="7"/>
      <c r="DU207" s="7"/>
      <c r="DV207" s="7"/>
      <c r="DW207" s="7"/>
      <c r="DX207" s="7"/>
      <c r="DY207" s="7"/>
      <c r="DZ207" s="7"/>
      <c r="EA207" s="7"/>
      <c r="EB207" s="7"/>
      <c r="EC207" s="7"/>
      <c r="ED207" s="7"/>
      <c r="EE207" s="7"/>
      <c r="EF207" s="7"/>
      <c r="EG207" s="7"/>
      <c r="EH207" s="7"/>
      <c r="EI207" s="7"/>
      <c r="EJ207" s="7"/>
      <c r="EK207" s="7"/>
      <c r="EL207" s="7"/>
      <c r="EM207" s="7"/>
      <c r="EN207" s="7"/>
      <c r="EO207" s="7"/>
      <c r="EP207" s="7"/>
      <c r="EQ207" s="7"/>
      <c r="ER207" s="7"/>
      <c r="ES207" s="7"/>
      <c r="ET207" s="7"/>
      <c r="EU207" s="7"/>
      <c r="EV207" s="7"/>
      <c r="EW207" s="7"/>
      <c r="EX207" s="7"/>
      <c r="EY207" s="7"/>
      <c r="EZ207" s="7"/>
      <c r="FA207" s="7"/>
      <c r="FB207" s="7"/>
      <c r="FC207" s="7"/>
      <c r="FD207" s="7"/>
      <c r="FE207" s="7"/>
      <c r="FF207" s="7"/>
      <c r="FG207" s="7"/>
      <c r="FH207" s="7"/>
      <c r="FI207" s="7"/>
      <c r="FJ207" s="7"/>
      <c r="FK207" s="7"/>
      <c r="FL207" s="7"/>
      <c r="FM207" s="7"/>
      <c r="FN207" s="7"/>
      <c r="FO207" s="7"/>
      <c r="FP207" s="7"/>
      <c r="FQ207" s="7"/>
      <c r="FR207" s="7"/>
      <c r="FS207" s="7"/>
      <c r="FT207" s="7"/>
      <c r="FU207" s="7"/>
      <c r="FV207" s="7"/>
      <c r="FW207" s="7"/>
      <c r="FX207" s="7"/>
      <c r="FY207" s="7"/>
      <c r="FZ207" s="7"/>
      <c r="GA207" s="7"/>
      <c r="GB207" s="7"/>
      <c r="GC207" s="7"/>
      <c r="GD207" s="7"/>
      <c r="GE207" s="7"/>
      <c r="GF207" s="7"/>
      <c r="GG207" s="7"/>
      <c r="GH207" s="7"/>
      <c r="GI207" s="7"/>
      <c r="GJ207" s="7"/>
      <c r="GK207" s="7"/>
      <c r="GL207" s="7"/>
      <c r="GM207" s="7"/>
      <c r="GN207" s="7"/>
      <c r="GO207" s="7"/>
      <c r="GP207" s="7"/>
      <c r="GQ207" s="7"/>
      <c r="GR207" s="7"/>
      <c r="GS207" s="7"/>
      <c r="GT207" s="7"/>
      <c r="GU207" s="7"/>
      <c r="GV207" s="7"/>
      <c r="GW207" s="7"/>
      <c r="GX207" s="7"/>
      <c r="GY207" s="7"/>
      <c r="GZ207" s="7"/>
      <c r="HA207" s="7"/>
      <c r="HB207" s="7"/>
      <c r="HC207" s="7"/>
      <c r="HD207" s="7"/>
      <c r="HE207" s="7"/>
      <c r="HF207" s="7"/>
      <c r="HG207" s="7"/>
      <c r="HH207" s="7"/>
      <c r="HI207" s="7"/>
      <c r="HJ207" s="7"/>
      <c r="HK207" s="7"/>
      <c r="HL207" s="7"/>
      <c r="HM207" s="7"/>
      <c r="HN207" s="7"/>
      <c r="HO207" s="7"/>
      <c r="HP207" s="7"/>
      <c r="HQ207" s="7"/>
      <c r="HR207" s="7"/>
      <c r="HS207" s="7"/>
      <c r="HT207" s="7"/>
      <c r="HU207" s="7"/>
      <c r="HV207" s="7"/>
      <c r="HW207" s="7"/>
      <c r="HX207" s="7"/>
      <c r="HY207" s="7"/>
      <c r="HZ207" s="7"/>
      <c r="IA207" s="7"/>
      <c r="IB207" s="7"/>
      <c r="IC207" s="7"/>
      <c r="ID207" s="7"/>
      <c r="IE207" s="7"/>
      <c r="IF207" s="7"/>
      <c r="IG207" s="7"/>
      <c r="IH207" s="7"/>
      <c r="II207" s="7"/>
      <c r="IJ207" s="7"/>
      <c r="IK207" s="7"/>
      <c r="IL207" s="7"/>
      <c r="IM207" s="7"/>
      <c r="IN207" s="7"/>
      <c r="IO207" s="7"/>
      <c r="IP207" s="7"/>
      <c r="IQ207" s="7"/>
      <c r="IR207" s="7"/>
      <c r="IS207" s="7"/>
      <c r="IT207" s="7"/>
      <c r="IU207" s="7"/>
      <c r="IV207" s="7"/>
      <c r="IW207" s="7"/>
      <c r="IX207" s="7"/>
      <c r="JA207" s="113"/>
      <c r="JB207" s="113"/>
      <c r="JC207" s="113"/>
      <c r="JD207" s="66">
        <f>SUM((TEXT(JA207,"[M]")/60)*'Income Person-hours'!$D$3,(TEXT(JB207,"[M]")/60)*'Income Person-hours'!$D$4,(TEXT(JC207,"[M]")/60)*'Income Person-hours'!$D$5)</f>
        <v>0</v>
      </c>
    </row>
    <row r="208" spans="1:264 16383:16384" s="11" customFormat="1" ht="11.25" hidden="1">
      <c r="A208" s="30">
        <v>9.6999999999999993</v>
      </c>
      <c r="B208" s="116"/>
      <c r="C208" s="107"/>
      <c r="D208" s="12" t="str">
        <f>IF(OR(j_WEEKDAY(J_ADDDAY(VLOOKUP(I208,A:F,6,FALSE),H208,1),0)=6,SUMIFS(Holieday[ok],Holieday[date],J_ADDDAY(VLOOKUP(I208,A:F,6,FALSE),H208,1)))=FALSE(),J_ADDDAY(VLOOKUP(I208,A:F,6,FALSE),H208,1),IF(OR(j_WEEKDAY(J_ADDDAY(VLOOKUP(I208,A:F,6,FALSE),H208+1,1),0)=6,SUMIFS(Holieday[ok],Holieday[date],J_ADDDAY(VLOOKUP(I208,A:F,6,FALSE),H208+1,1)))=FALSE(),J_ADDDAY(VLOOKUP(I208,A:F,6,FALSE),H208+1,1),IF(OR(j_WEEKDAY(J_ADDDAY(VLOOKUP(I208,A:F,6,FALSE),H208+2,1),0)=6,SUMIFS(Holieday[ok],Holieday[date],J_ADDDAY(VLOOKUP(I208,A:F,6,FALSE),H208+2,1)))=FALSE(),J_ADDDAY(VLOOKUP(I208,A:F,6,FALSE),H208+2,1),IF(OR(j_WEEKDAY(J_ADDDAY(VLOOKUP(I208,A:F,6,FALSE),H208+3,1),0)=6,SUMIFS(Holieday[ok],Holieday[date],J_ADDDAY(VLOOKUP(I208,A:F,6,FALSE),H208+3,1)))=FALSE(),J_ADDDAY(VLOOKUP(I208,A:F,6,FALSE),H208+3,1),IF(OR(j_WEEKDAY(J_ADDDAY(VLOOKUP(I208,A:F,6,FALSE),H208+4,1),0)=6,SUMIFS(Holieday[ok],Holieday[date],J_ADDDAY(VLOOKUP(I208,A:F,6,FALSE),H208+4,1)))=FALSE(),J_ADDDAY(VLOOKUP(I208,A:F,6,FALSE),H208+4,1),J_ADDDAY(VLOOKUP(I208,A:F,6,FALSE),H208+5,1))))))</f>
        <v>1398/06/31</v>
      </c>
      <c r="E208" s="1">
        <f t="shared" si="64"/>
        <v>13980631</v>
      </c>
      <c r="F208" s="12" t="str">
        <f>IF(N208=0,J_SUBDAY(D208,1,1),IF((N208-NETWORKDAYS.INTL(J_GregorianDate(D208,1),J_GregorianDate(J_SUBDAY(J_ADDDAY(D208,N208,1),1,1),1),16,1)-SUMIFS(Holieday[ok],Holieday[date],CONCATENATE("&gt;","=",D208),Holieday[date],CONCATENATE("&lt;","=",J_SUBDAY(J_ADDDAY(D208,N208,1),1,1)))+SUMIFS(Holieday[Friday],Holieday[date],CONCATENATE("&gt;","=",D208),Holieday[date],CONCATENATE("&lt;","=",J_SUBDAY(J_ADDDAY(D208,N208,1),1,1))))=0,J_SUBDAY(J_ADDDAY(D208,N208,1),1,1),IF((N208-NETWORKDAYS.INTL(J_GregorianDate(D208,1),J_GregorianDate(J_SUBDAY(J_ADDDAY(D208,N208,1),1,1),1),16,1)-SUMIFS(Holieday[ok],Holieday[date],CONCATENATE("&gt;","=",D208),Holieday[date],CONCATENATE("&lt;","=",J_SUBDAY(J_ADDDAY(D208,N208,1),1,1)))+SUMIFS(Holieday[Friday],Holieday[date],CONCATENATE("&gt;","=",D208),Holieday[date],CONCATENATE("&lt;","=",J_SUBDAY(J_ADDDAY(D208,N208,1),1,1))))=1,J_SUBDAY(J_ADDDAY(D208,N208+1,1),1,1),IF((N208-NETWORKDAYS.INTL(J_GregorianDate(D208,1),J_GregorianDate(J_SUBDAY(J_ADDDAY(D208,N208,1),1,1),1),16,1)-SUMIFS(Holieday[ok],Holieday[date],CONCATENATE("&gt;","=",D208),Holieday[date],CONCATENATE("&lt;","=",J_SUBDAY(J_ADDDAY(D208,N208,1),1,1)))+SUMIFS(Holieday[Friday],Holieday[date],CONCATENATE("&gt;","=",D208),Holieday[date],CONCATENATE("&lt;","=",J_SUBDAY(J_ADDDAY(D208,N208,1),1,1))))=2,J_SUBDAY(J_ADDDAY(D208,N208+2,1),1,1),J_SUBDAY(J_ADDDAY(D208,N208+3,1),1,1)))))</f>
        <v>1398/06/30</v>
      </c>
      <c r="G208" s="2">
        <f t="shared" si="65"/>
        <v>13980630</v>
      </c>
      <c r="H208" s="109"/>
      <c r="I208" s="110">
        <v>1.1000000000000001</v>
      </c>
      <c r="J208" s="9">
        <f>j_WEEKDAY(D208,2)</f>
        <v>1</v>
      </c>
      <c r="K208" s="21">
        <f t="shared" si="69"/>
        <v>0</v>
      </c>
      <c r="L208" s="8">
        <f t="shared" si="68"/>
        <v>0</v>
      </c>
      <c r="M208" s="111">
        <v>0</v>
      </c>
      <c r="N208" s="108">
        <v>0</v>
      </c>
      <c r="O208" s="10">
        <f t="shared" si="66"/>
        <v>0</v>
      </c>
      <c r="P208" s="10">
        <f>VALUE(J_normdate(J_ADDDAY($D208,$O208,1)))</f>
        <v>13980631</v>
      </c>
      <c r="Q208" s="9">
        <f t="shared" si="67"/>
        <v>0</v>
      </c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  <c r="BB208" s="7"/>
      <c r="BC208" s="7"/>
      <c r="BD208" s="7"/>
      <c r="BE208" s="7"/>
      <c r="BF208" s="7"/>
      <c r="BG208" s="7"/>
      <c r="BH208" s="7"/>
      <c r="BI208" s="7"/>
      <c r="BJ208" s="7"/>
      <c r="BK208" s="7"/>
      <c r="BL208" s="7"/>
      <c r="BM208" s="7"/>
      <c r="BN208" s="7"/>
      <c r="BO208" s="7"/>
      <c r="BP208" s="7"/>
      <c r="BQ208" s="7"/>
      <c r="BR208" s="7"/>
      <c r="BS208" s="7"/>
      <c r="BT208" s="7"/>
      <c r="BU208" s="7"/>
      <c r="BV208" s="7"/>
      <c r="BW208" s="7"/>
      <c r="BX208" s="7"/>
      <c r="BY208" s="7"/>
      <c r="BZ208" s="7"/>
      <c r="CA208" s="7"/>
      <c r="CB208" s="7"/>
      <c r="CC208" s="7"/>
      <c r="CD208" s="7"/>
      <c r="CE208" s="7"/>
      <c r="CF208" s="7"/>
      <c r="CG208" s="7"/>
      <c r="CH208" s="7"/>
      <c r="CI208" s="7"/>
      <c r="CJ208" s="7"/>
      <c r="CK208" s="7"/>
      <c r="CL208" s="7"/>
      <c r="CM208" s="7"/>
      <c r="CN208" s="7"/>
      <c r="CO208" s="7"/>
      <c r="CP208" s="7"/>
      <c r="CQ208" s="7"/>
      <c r="CR208" s="7"/>
      <c r="CS208" s="7"/>
      <c r="CT208" s="7"/>
      <c r="CU208" s="7"/>
      <c r="CV208" s="7"/>
      <c r="CW208" s="7"/>
      <c r="CX208" s="7"/>
      <c r="CY208" s="7"/>
      <c r="CZ208" s="7"/>
      <c r="DA208" s="7"/>
      <c r="DB208" s="7"/>
      <c r="DC208" s="7"/>
      <c r="DD208" s="7"/>
      <c r="DE208" s="7"/>
      <c r="DF208" s="7"/>
      <c r="DG208" s="7"/>
      <c r="DH208" s="7"/>
      <c r="DI208" s="7"/>
      <c r="DJ208" s="7"/>
      <c r="DK208" s="7"/>
      <c r="DL208" s="7"/>
      <c r="DM208" s="7"/>
      <c r="DN208" s="7"/>
      <c r="DO208" s="7"/>
      <c r="DP208" s="7"/>
      <c r="DQ208" s="7"/>
      <c r="DR208" s="7"/>
      <c r="DS208" s="7"/>
      <c r="DT208" s="7"/>
      <c r="DU208" s="7"/>
      <c r="DV208" s="7"/>
      <c r="DW208" s="7"/>
      <c r="DX208" s="7"/>
      <c r="DY208" s="7"/>
      <c r="DZ208" s="7"/>
      <c r="EA208" s="7"/>
      <c r="EB208" s="7"/>
      <c r="EC208" s="7"/>
      <c r="ED208" s="7"/>
      <c r="EE208" s="7"/>
      <c r="EF208" s="7"/>
      <c r="EG208" s="7"/>
      <c r="EH208" s="7"/>
      <c r="EI208" s="7"/>
      <c r="EJ208" s="7"/>
      <c r="EK208" s="7"/>
      <c r="EL208" s="7"/>
      <c r="EM208" s="7"/>
      <c r="EN208" s="7"/>
      <c r="EO208" s="7"/>
      <c r="EP208" s="7"/>
      <c r="EQ208" s="7"/>
      <c r="ER208" s="7"/>
      <c r="ES208" s="7"/>
      <c r="ET208" s="7"/>
      <c r="EU208" s="7"/>
      <c r="EV208" s="7"/>
      <c r="EW208" s="7"/>
      <c r="EX208" s="7"/>
      <c r="EY208" s="7"/>
      <c r="EZ208" s="7"/>
      <c r="FA208" s="7"/>
      <c r="FB208" s="7"/>
      <c r="FC208" s="7"/>
      <c r="FD208" s="7"/>
      <c r="FE208" s="7"/>
      <c r="FF208" s="7"/>
      <c r="FG208" s="7"/>
      <c r="FH208" s="7"/>
      <c r="FI208" s="7"/>
      <c r="FJ208" s="7"/>
      <c r="FK208" s="7"/>
      <c r="FL208" s="7"/>
      <c r="FM208" s="7"/>
      <c r="FN208" s="7"/>
      <c r="FO208" s="7"/>
      <c r="FP208" s="7"/>
      <c r="FQ208" s="7"/>
      <c r="FR208" s="7"/>
      <c r="FS208" s="7"/>
      <c r="FT208" s="7"/>
      <c r="FU208" s="7"/>
      <c r="FV208" s="7"/>
      <c r="FW208" s="7"/>
      <c r="FX208" s="7"/>
      <c r="FY208" s="7"/>
      <c r="FZ208" s="7"/>
      <c r="GA208" s="7"/>
      <c r="GB208" s="7"/>
      <c r="GC208" s="7"/>
      <c r="GD208" s="7"/>
      <c r="GE208" s="7"/>
      <c r="GF208" s="7"/>
      <c r="GG208" s="7"/>
      <c r="GH208" s="7"/>
      <c r="GI208" s="7"/>
      <c r="GJ208" s="7"/>
      <c r="GK208" s="7"/>
      <c r="GL208" s="7"/>
      <c r="GM208" s="7"/>
      <c r="GN208" s="7"/>
      <c r="GO208" s="7"/>
      <c r="GP208" s="7"/>
      <c r="GQ208" s="7"/>
      <c r="GR208" s="7"/>
      <c r="GS208" s="7"/>
      <c r="GT208" s="7"/>
      <c r="GU208" s="7"/>
      <c r="GV208" s="7"/>
      <c r="GW208" s="7"/>
      <c r="GX208" s="7"/>
      <c r="GY208" s="7"/>
      <c r="GZ208" s="7"/>
      <c r="HA208" s="7"/>
      <c r="HB208" s="7"/>
      <c r="HC208" s="7"/>
      <c r="HD208" s="7"/>
      <c r="HE208" s="7"/>
      <c r="HF208" s="7"/>
      <c r="HG208" s="7"/>
      <c r="HH208" s="7"/>
      <c r="HI208" s="7"/>
      <c r="HJ208" s="7"/>
      <c r="HK208" s="7"/>
      <c r="HL208" s="7"/>
      <c r="HM208" s="7"/>
      <c r="HN208" s="7"/>
      <c r="HO208" s="7"/>
      <c r="HP208" s="7"/>
      <c r="HQ208" s="7"/>
      <c r="HR208" s="7"/>
      <c r="HS208" s="7"/>
      <c r="HT208" s="7"/>
      <c r="HU208" s="7"/>
      <c r="HV208" s="7"/>
      <c r="HW208" s="7"/>
      <c r="HX208" s="7"/>
      <c r="HY208" s="7"/>
      <c r="HZ208" s="7"/>
      <c r="IA208" s="7"/>
      <c r="IB208" s="7"/>
      <c r="IC208" s="7"/>
      <c r="ID208" s="7"/>
      <c r="IE208" s="7"/>
      <c r="IF208" s="7"/>
      <c r="IG208" s="7"/>
      <c r="IH208" s="7"/>
      <c r="II208" s="7"/>
      <c r="IJ208" s="7"/>
      <c r="IK208" s="7"/>
      <c r="IL208" s="7"/>
      <c r="IM208" s="7"/>
      <c r="IN208" s="7"/>
      <c r="IO208" s="7"/>
      <c r="IP208" s="7"/>
      <c r="IQ208" s="7"/>
      <c r="IR208" s="7"/>
      <c r="IS208" s="7"/>
      <c r="IT208" s="7"/>
      <c r="IU208" s="7"/>
      <c r="IV208" s="7"/>
      <c r="IW208" s="7"/>
      <c r="IX208" s="7"/>
      <c r="JA208" s="113"/>
      <c r="JB208" s="113"/>
      <c r="JC208" s="113"/>
      <c r="JD208" s="66">
        <f>SUM((TEXT(JA208,"[M]")/60)*'Income Person-hours'!$D$3,(TEXT(JB208,"[M]")/60)*'Income Person-hours'!$D$4,(TEXT(JC208,"[M]")/60)*'Income Person-hours'!$D$5)</f>
        <v>0</v>
      </c>
    </row>
    <row r="209" spans="1:264 16383:16384" s="11" customFormat="1" ht="11.25" hidden="1">
      <c r="A209" s="30">
        <v>9.8000000000000007</v>
      </c>
      <c r="B209" s="116"/>
      <c r="C209" s="107"/>
      <c r="D209" s="12" t="str">
        <f>IF(OR(j_WEEKDAY(J_ADDDAY(VLOOKUP(I209,A:F,6,FALSE),H209,1),0)=6,SUMIFS(Holieday[ok],Holieday[date],J_ADDDAY(VLOOKUP(I209,A:F,6,FALSE),H209,1)))=FALSE(),J_ADDDAY(VLOOKUP(I209,A:F,6,FALSE),H209,1),IF(OR(j_WEEKDAY(J_ADDDAY(VLOOKUP(I209,A:F,6,FALSE),H209+1,1),0)=6,SUMIFS(Holieday[ok],Holieday[date],J_ADDDAY(VLOOKUP(I209,A:F,6,FALSE),H209+1,1)))=FALSE(),J_ADDDAY(VLOOKUP(I209,A:F,6,FALSE),H209+1,1),IF(OR(j_WEEKDAY(J_ADDDAY(VLOOKUP(I209,A:F,6,FALSE),H209+2,1),0)=6,SUMIFS(Holieday[ok],Holieday[date],J_ADDDAY(VLOOKUP(I209,A:F,6,FALSE),H209+2,1)))=FALSE(),J_ADDDAY(VLOOKUP(I209,A:F,6,FALSE),H209+2,1),IF(OR(j_WEEKDAY(J_ADDDAY(VLOOKUP(I209,A:F,6,FALSE),H209+3,1),0)=6,SUMIFS(Holieday[ok],Holieday[date],J_ADDDAY(VLOOKUP(I209,A:F,6,FALSE),H209+3,1)))=FALSE(),J_ADDDAY(VLOOKUP(I209,A:F,6,FALSE),H209+3,1),IF(OR(j_WEEKDAY(J_ADDDAY(VLOOKUP(I209,A:F,6,FALSE),H209+4,1),0)=6,SUMIFS(Holieday[ok],Holieday[date],J_ADDDAY(VLOOKUP(I209,A:F,6,FALSE),H209+4,1)))=FALSE(),J_ADDDAY(VLOOKUP(I209,A:F,6,FALSE),H209+4,1),J_ADDDAY(VLOOKUP(I209,A:F,6,FALSE),H209+5,1))))))</f>
        <v>1398/06/31</v>
      </c>
      <c r="E209" s="1">
        <f t="shared" si="64"/>
        <v>13980631</v>
      </c>
      <c r="F209" s="12" t="str">
        <f>IF(N209=0,J_SUBDAY(D209,1,1),IF((N209-NETWORKDAYS.INTL(J_GregorianDate(D209,1),J_GregorianDate(J_SUBDAY(J_ADDDAY(D209,N209,1),1,1),1),16,1)-SUMIFS(Holieday[ok],Holieday[date],CONCATENATE("&gt;","=",D209),Holieday[date],CONCATENATE("&lt;","=",J_SUBDAY(J_ADDDAY(D209,N209,1),1,1)))+SUMIFS(Holieday[Friday],Holieday[date],CONCATENATE("&gt;","=",D209),Holieday[date],CONCATENATE("&lt;","=",J_SUBDAY(J_ADDDAY(D209,N209,1),1,1))))=0,J_SUBDAY(J_ADDDAY(D209,N209,1),1,1),IF((N209-NETWORKDAYS.INTL(J_GregorianDate(D209,1),J_GregorianDate(J_SUBDAY(J_ADDDAY(D209,N209,1),1,1),1),16,1)-SUMIFS(Holieday[ok],Holieday[date],CONCATENATE("&gt;","=",D209),Holieday[date],CONCATENATE("&lt;","=",J_SUBDAY(J_ADDDAY(D209,N209,1),1,1)))+SUMIFS(Holieday[Friday],Holieday[date],CONCATENATE("&gt;","=",D209),Holieday[date],CONCATENATE("&lt;","=",J_SUBDAY(J_ADDDAY(D209,N209,1),1,1))))=1,J_SUBDAY(J_ADDDAY(D209,N209+1,1),1,1),IF((N209-NETWORKDAYS.INTL(J_GregorianDate(D209,1),J_GregorianDate(J_SUBDAY(J_ADDDAY(D209,N209,1),1,1),1),16,1)-SUMIFS(Holieday[ok],Holieday[date],CONCATENATE("&gt;","=",D209),Holieday[date],CONCATENATE("&lt;","=",J_SUBDAY(J_ADDDAY(D209,N209,1),1,1)))+SUMIFS(Holieday[Friday],Holieday[date],CONCATENATE("&gt;","=",D209),Holieday[date],CONCATENATE("&lt;","=",J_SUBDAY(J_ADDDAY(D209,N209,1),1,1))))=2,J_SUBDAY(J_ADDDAY(D209,N209+2,1),1,1),J_SUBDAY(J_ADDDAY(D209,N209+3,1),1,1)))))</f>
        <v>1398/06/30</v>
      </c>
      <c r="G209" s="2">
        <f t="shared" si="65"/>
        <v>13980630</v>
      </c>
      <c r="H209" s="109"/>
      <c r="I209" s="110">
        <v>1.1000000000000001</v>
      </c>
      <c r="J209" s="9">
        <f>j_WEEKDAY(D209,2)</f>
        <v>1</v>
      </c>
      <c r="K209" s="21">
        <f t="shared" si="69"/>
        <v>0</v>
      </c>
      <c r="L209" s="8">
        <f t="shared" si="68"/>
        <v>0</v>
      </c>
      <c r="M209" s="111">
        <v>0</v>
      </c>
      <c r="N209" s="108">
        <v>0</v>
      </c>
      <c r="O209" s="10">
        <f t="shared" si="66"/>
        <v>0</v>
      </c>
      <c r="P209" s="10">
        <f>VALUE(J_normdate(J_ADDDAY($D209,$O209,1)))</f>
        <v>13980631</v>
      </c>
      <c r="Q209" s="9">
        <f t="shared" si="67"/>
        <v>0</v>
      </c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  <c r="BB209" s="7"/>
      <c r="BC209" s="7"/>
      <c r="BD209" s="7"/>
      <c r="BE209" s="7"/>
      <c r="BF209" s="7"/>
      <c r="BG209" s="7"/>
      <c r="BH209" s="7"/>
      <c r="BI209" s="7"/>
      <c r="BJ209" s="7"/>
      <c r="BK209" s="7"/>
      <c r="BL209" s="7"/>
      <c r="BM209" s="7"/>
      <c r="BN209" s="7"/>
      <c r="BO209" s="7"/>
      <c r="BP209" s="7"/>
      <c r="BQ209" s="7"/>
      <c r="BR209" s="7"/>
      <c r="BS209" s="7"/>
      <c r="BT209" s="7"/>
      <c r="BU209" s="7"/>
      <c r="BV209" s="7"/>
      <c r="BW209" s="7"/>
      <c r="BX209" s="7"/>
      <c r="BY209" s="7"/>
      <c r="BZ209" s="7"/>
      <c r="CA209" s="7"/>
      <c r="CB209" s="7"/>
      <c r="CC209" s="7"/>
      <c r="CD209" s="7"/>
      <c r="CE209" s="7"/>
      <c r="CF209" s="7"/>
      <c r="CG209" s="7"/>
      <c r="CH209" s="7"/>
      <c r="CI209" s="7"/>
      <c r="CJ209" s="7"/>
      <c r="CK209" s="7"/>
      <c r="CL209" s="7"/>
      <c r="CM209" s="7"/>
      <c r="CN209" s="7"/>
      <c r="CO209" s="7"/>
      <c r="CP209" s="7"/>
      <c r="CQ209" s="7"/>
      <c r="CR209" s="7"/>
      <c r="CS209" s="7"/>
      <c r="CT209" s="7"/>
      <c r="CU209" s="7"/>
      <c r="CV209" s="7"/>
      <c r="CW209" s="7"/>
      <c r="CX209" s="7"/>
      <c r="CY209" s="7"/>
      <c r="CZ209" s="7"/>
      <c r="DA209" s="7"/>
      <c r="DB209" s="7"/>
      <c r="DC209" s="7"/>
      <c r="DD209" s="7"/>
      <c r="DE209" s="7"/>
      <c r="DF209" s="7"/>
      <c r="DG209" s="7"/>
      <c r="DH209" s="7"/>
      <c r="DI209" s="7"/>
      <c r="DJ209" s="7"/>
      <c r="DK209" s="7"/>
      <c r="DL209" s="7"/>
      <c r="DM209" s="7"/>
      <c r="DN209" s="7"/>
      <c r="DO209" s="7"/>
      <c r="DP209" s="7"/>
      <c r="DQ209" s="7"/>
      <c r="DR209" s="7"/>
      <c r="DS209" s="7"/>
      <c r="DT209" s="7"/>
      <c r="DU209" s="7"/>
      <c r="DV209" s="7"/>
      <c r="DW209" s="7"/>
      <c r="DX209" s="7"/>
      <c r="DY209" s="7"/>
      <c r="DZ209" s="7"/>
      <c r="EA209" s="7"/>
      <c r="EB209" s="7"/>
      <c r="EC209" s="7"/>
      <c r="ED209" s="7"/>
      <c r="EE209" s="7"/>
      <c r="EF209" s="7"/>
      <c r="EG209" s="7"/>
      <c r="EH209" s="7"/>
      <c r="EI209" s="7"/>
      <c r="EJ209" s="7"/>
      <c r="EK209" s="7"/>
      <c r="EL209" s="7"/>
      <c r="EM209" s="7"/>
      <c r="EN209" s="7"/>
      <c r="EO209" s="7"/>
      <c r="EP209" s="7"/>
      <c r="EQ209" s="7"/>
      <c r="ER209" s="7"/>
      <c r="ES209" s="7"/>
      <c r="ET209" s="7"/>
      <c r="EU209" s="7"/>
      <c r="EV209" s="7"/>
      <c r="EW209" s="7"/>
      <c r="EX209" s="7"/>
      <c r="EY209" s="7"/>
      <c r="EZ209" s="7"/>
      <c r="FA209" s="7"/>
      <c r="FB209" s="7"/>
      <c r="FC209" s="7"/>
      <c r="FD209" s="7"/>
      <c r="FE209" s="7"/>
      <c r="FF209" s="7"/>
      <c r="FG209" s="7"/>
      <c r="FH209" s="7"/>
      <c r="FI209" s="7"/>
      <c r="FJ209" s="7"/>
      <c r="FK209" s="7"/>
      <c r="FL209" s="7"/>
      <c r="FM209" s="7"/>
      <c r="FN209" s="7"/>
      <c r="FO209" s="7"/>
      <c r="FP209" s="7"/>
      <c r="FQ209" s="7"/>
      <c r="FR209" s="7"/>
      <c r="FS209" s="7"/>
      <c r="FT209" s="7"/>
      <c r="FU209" s="7"/>
      <c r="FV209" s="7"/>
      <c r="FW209" s="7"/>
      <c r="FX209" s="7"/>
      <c r="FY209" s="7"/>
      <c r="FZ209" s="7"/>
      <c r="GA209" s="7"/>
      <c r="GB209" s="7"/>
      <c r="GC209" s="7"/>
      <c r="GD209" s="7"/>
      <c r="GE209" s="7"/>
      <c r="GF209" s="7"/>
      <c r="GG209" s="7"/>
      <c r="GH209" s="7"/>
      <c r="GI209" s="7"/>
      <c r="GJ209" s="7"/>
      <c r="GK209" s="7"/>
      <c r="GL209" s="7"/>
      <c r="GM209" s="7"/>
      <c r="GN209" s="7"/>
      <c r="GO209" s="7"/>
      <c r="GP209" s="7"/>
      <c r="GQ209" s="7"/>
      <c r="GR209" s="7"/>
      <c r="GS209" s="7"/>
      <c r="GT209" s="7"/>
      <c r="GU209" s="7"/>
      <c r="GV209" s="7"/>
      <c r="GW209" s="7"/>
      <c r="GX209" s="7"/>
      <c r="GY209" s="7"/>
      <c r="GZ209" s="7"/>
      <c r="HA209" s="7"/>
      <c r="HB209" s="7"/>
      <c r="HC209" s="7"/>
      <c r="HD209" s="7"/>
      <c r="HE209" s="7"/>
      <c r="HF209" s="7"/>
      <c r="HG209" s="7"/>
      <c r="HH209" s="7"/>
      <c r="HI209" s="7"/>
      <c r="HJ209" s="7"/>
      <c r="HK209" s="7"/>
      <c r="HL209" s="7"/>
      <c r="HM209" s="7"/>
      <c r="HN209" s="7"/>
      <c r="HO209" s="7"/>
      <c r="HP209" s="7"/>
      <c r="HQ209" s="7"/>
      <c r="HR209" s="7"/>
      <c r="HS209" s="7"/>
      <c r="HT209" s="7"/>
      <c r="HU209" s="7"/>
      <c r="HV209" s="7"/>
      <c r="HW209" s="7"/>
      <c r="HX209" s="7"/>
      <c r="HY209" s="7"/>
      <c r="HZ209" s="7"/>
      <c r="IA209" s="7"/>
      <c r="IB209" s="7"/>
      <c r="IC209" s="7"/>
      <c r="ID209" s="7"/>
      <c r="IE209" s="7"/>
      <c r="IF209" s="7"/>
      <c r="IG209" s="7"/>
      <c r="IH209" s="7"/>
      <c r="II209" s="7"/>
      <c r="IJ209" s="7"/>
      <c r="IK209" s="7"/>
      <c r="IL209" s="7"/>
      <c r="IM209" s="7"/>
      <c r="IN209" s="7"/>
      <c r="IO209" s="7"/>
      <c r="IP209" s="7"/>
      <c r="IQ209" s="7"/>
      <c r="IR209" s="7"/>
      <c r="IS209" s="7"/>
      <c r="IT209" s="7"/>
      <c r="IU209" s="7"/>
      <c r="IV209" s="7"/>
      <c r="IW209" s="7"/>
      <c r="IX209" s="7"/>
      <c r="JA209" s="113"/>
      <c r="JB209" s="113"/>
      <c r="JC209" s="113"/>
      <c r="JD209" s="66">
        <f>SUM((TEXT(JA209,"[M]")/60)*'Income Person-hours'!$D$3,(TEXT(JB209,"[M]")/60)*'Income Person-hours'!$D$4,(TEXT(JC209,"[M]")/60)*'Income Person-hours'!$D$5)</f>
        <v>0</v>
      </c>
    </row>
    <row r="210" spans="1:264 16383:16384" s="11" customFormat="1" ht="11.25" hidden="1">
      <c r="A210" s="30">
        <v>9.9</v>
      </c>
      <c r="B210" s="116"/>
      <c r="C210" s="107"/>
      <c r="D210" s="12" t="str">
        <f>IF(OR(j_WEEKDAY(J_ADDDAY(VLOOKUP(I210,A:F,6,FALSE),H210,1),0)=6,SUMIFS(Holieday[ok],Holieday[date],J_ADDDAY(VLOOKUP(I210,A:F,6,FALSE),H210,1)))=FALSE(),J_ADDDAY(VLOOKUP(I210,A:F,6,FALSE),H210,1),IF(OR(j_WEEKDAY(J_ADDDAY(VLOOKUP(I210,A:F,6,FALSE),H210+1,1),0)=6,SUMIFS(Holieday[ok],Holieday[date],J_ADDDAY(VLOOKUP(I210,A:F,6,FALSE),H210+1,1)))=FALSE(),J_ADDDAY(VLOOKUP(I210,A:F,6,FALSE),H210+1,1),IF(OR(j_WEEKDAY(J_ADDDAY(VLOOKUP(I210,A:F,6,FALSE),H210+2,1),0)=6,SUMIFS(Holieday[ok],Holieday[date],J_ADDDAY(VLOOKUP(I210,A:F,6,FALSE),H210+2,1)))=FALSE(),J_ADDDAY(VLOOKUP(I210,A:F,6,FALSE),H210+2,1),IF(OR(j_WEEKDAY(J_ADDDAY(VLOOKUP(I210,A:F,6,FALSE),H210+3,1),0)=6,SUMIFS(Holieday[ok],Holieday[date],J_ADDDAY(VLOOKUP(I210,A:F,6,FALSE),H210+3,1)))=FALSE(),J_ADDDAY(VLOOKUP(I210,A:F,6,FALSE),H210+3,1),IF(OR(j_WEEKDAY(J_ADDDAY(VLOOKUP(I210,A:F,6,FALSE),H210+4,1),0)=6,SUMIFS(Holieday[ok],Holieday[date],J_ADDDAY(VLOOKUP(I210,A:F,6,FALSE),H210+4,1)))=FALSE(),J_ADDDAY(VLOOKUP(I210,A:F,6,FALSE),H210+4,1),J_ADDDAY(VLOOKUP(I210,A:F,6,FALSE),H210+5,1))))))</f>
        <v>1398/06/31</v>
      </c>
      <c r="E210" s="1">
        <f t="shared" si="64"/>
        <v>13980631</v>
      </c>
      <c r="F210" s="12" t="str">
        <f>IF(N210=0,J_SUBDAY(D210,1,1),IF((N210-NETWORKDAYS.INTL(J_GregorianDate(D210,1),J_GregorianDate(J_SUBDAY(J_ADDDAY(D210,N210,1),1,1),1),16,1)-SUMIFS(Holieday[ok],Holieday[date],CONCATENATE("&gt;","=",D210),Holieday[date],CONCATENATE("&lt;","=",J_SUBDAY(J_ADDDAY(D210,N210,1),1,1)))+SUMIFS(Holieday[Friday],Holieday[date],CONCATENATE("&gt;","=",D210),Holieday[date],CONCATENATE("&lt;","=",J_SUBDAY(J_ADDDAY(D210,N210,1),1,1))))=0,J_SUBDAY(J_ADDDAY(D210,N210,1),1,1),IF((N210-NETWORKDAYS.INTL(J_GregorianDate(D210,1),J_GregorianDate(J_SUBDAY(J_ADDDAY(D210,N210,1),1,1),1),16,1)-SUMIFS(Holieday[ok],Holieday[date],CONCATENATE("&gt;","=",D210),Holieday[date],CONCATENATE("&lt;","=",J_SUBDAY(J_ADDDAY(D210,N210,1),1,1)))+SUMIFS(Holieday[Friday],Holieday[date],CONCATENATE("&gt;","=",D210),Holieday[date],CONCATENATE("&lt;","=",J_SUBDAY(J_ADDDAY(D210,N210,1),1,1))))=1,J_SUBDAY(J_ADDDAY(D210,N210+1,1),1,1),IF((N210-NETWORKDAYS.INTL(J_GregorianDate(D210,1),J_GregorianDate(J_SUBDAY(J_ADDDAY(D210,N210,1),1,1),1),16,1)-SUMIFS(Holieday[ok],Holieday[date],CONCATENATE("&gt;","=",D210),Holieday[date],CONCATENATE("&lt;","=",J_SUBDAY(J_ADDDAY(D210,N210,1),1,1)))+SUMIFS(Holieday[Friday],Holieday[date],CONCATENATE("&gt;","=",D210),Holieday[date],CONCATENATE("&lt;","=",J_SUBDAY(J_ADDDAY(D210,N210,1),1,1))))=2,J_SUBDAY(J_ADDDAY(D210,N210+2,1),1,1),J_SUBDAY(J_ADDDAY(D210,N210+3,1),1,1)))))</f>
        <v>1398/06/30</v>
      </c>
      <c r="G210" s="2">
        <f t="shared" si="65"/>
        <v>13980630</v>
      </c>
      <c r="H210" s="109"/>
      <c r="I210" s="110">
        <v>1.1000000000000001</v>
      </c>
      <c r="J210" s="9">
        <f>j_WEEKDAY(D210,2)</f>
        <v>1</v>
      </c>
      <c r="K210" s="21">
        <f t="shared" si="69"/>
        <v>0</v>
      </c>
      <c r="L210" s="8">
        <f t="shared" si="68"/>
        <v>0</v>
      </c>
      <c r="M210" s="111">
        <v>0</v>
      </c>
      <c r="N210" s="108">
        <v>0</v>
      </c>
      <c r="O210" s="10">
        <f t="shared" si="66"/>
        <v>0</v>
      </c>
      <c r="P210" s="10">
        <f>VALUE(J_normdate(J_ADDDAY($D210,$O210,1)))</f>
        <v>13980631</v>
      </c>
      <c r="Q210" s="9">
        <f t="shared" si="67"/>
        <v>0</v>
      </c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7"/>
      <c r="BB210" s="7"/>
      <c r="BC210" s="7"/>
      <c r="BD210" s="7"/>
      <c r="BE210" s="7"/>
      <c r="BF210" s="7"/>
      <c r="BG210" s="7"/>
      <c r="BH210" s="7"/>
      <c r="BI210" s="7"/>
      <c r="BJ210" s="7"/>
      <c r="BK210" s="7"/>
      <c r="BL210" s="7"/>
      <c r="BM210" s="7"/>
      <c r="BN210" s="7"/>
      <c r="BO210" s="7"/>
      <c r="BP210" s="7"/>
      <c r="BQ210" s="7"/>
      <c r="BR210" s="7"/>
      <c r="BS210" s="7"/>
      <c r="BT210" s="7"/>
      <c r="BU210" s="7"/>
      <c r="BV210" s="7"/>
      <c r="BW210" s="7"/>
      <c r="BX210" s="7"/>
      <c r="BY210" s="7"/>
      <c r="BZ210" s="7"/>
      <c r="CA210" s="7"/>
      <c r="CB210" s="7"/>
      <c r="CC210" s="7"/>
      <c r="CD210" s="7"/>
      <c r="CE210" s="7"/>
      <c r="CF210" s="7"/>
      <c r="CG210" s="7"/>
      <c r="CH210" s="7"/>
      <c r="CI210" s="7"/>
      <c r="CJ210" s="7"/>
      <c r="CK210" s="7"/>
      <c r="CL210" s="7"/>
      <c r="CM210" s="7"/>
      <c r="CN210" s="7"/>
      <c r="CO210" s="7"/>
      <c r="CP210" s="7"/>
      <c r="CQ210" s="7"/>
      <c r="CR210" s="7"/>
      <c r="CS210" s="7"/>
      <c r="CT210" s="7"/>
      <c r="CU210" s="7"/>
      <c r="CV210" s="7"/>
      <c r="CW210" s="7"/>
      <c r="CX210" s="7"/>
      <c r="CY210" s="7"/>
      <c r="CZ210" s="7"/>
      <c r="DA210" s="7"/>
      <c r="DB210" s="7"/>
      <c r="DC210" s="7"/>
      <c r="DD210" s="7"/>
      <c r="DE210" s="7"/>
      <c r="DF210" s="7"/>
      <c r="DG210" s="7"/>
      <c r="DH210" s="7"/>
      <c r="DI210" s="7"/>
      <c r="DJ210" s="7"/>
      <c r="DK210" s="7"/>
      <c r="DL210" s="7"/>
      <c r="DM210" s="7"/>
      <c r="DN210" s="7"/>
      <c r="DO210" s="7"/>
      <c r="DP210" s="7"/>
      <c r="DQ210" s="7"/>
      <c r="DR210" s="7"/>
      <c r="DS210" s="7"/>
      <c r="DT210" s="7"/>
      <c r="DU210" s="7"/>
      <c r="DV210" s="7"/>
      <c r="DW210" s="7"/>
      <c r="DX210" s="7"/>
      <c r="DY210" s="7"/>
      <c r="DZ210" s="7"/>
      <c r="EA210" s="7"/>
      <c r="EB210" s="7"/>
      <c r="EC210" s="7"/>
      <c r="ED210" s="7"/>
      <c r="EE210" s="7"/>
      <c r="EF210" s="7"/>
      <c r="EG210" s="7"/>
      <c r="EH210" s="7"/>
      <c r="EI210" s="7"/>
      <c r="EJ210" s="7"/>
      <c r="EK210" s="7"/>
      <c r="EL210" s="7"/>
      <c r="EM210" s="7"/>
      <c r="EN210" s="7"/>
      <c r="EO210" s="7"/>
      <c r="EP210" s="7"/>
      <c r="EQ210" s="7"/>
      <c r="ER210" s="7"/>
      <c r="ES210" s="7"/>
      <c r="ET210" s="7"/>
      <c r="EU210" s="7"/>
      <c r="EV210" s="7"/>
      <c r="EW210" s="7"/>
      <c r="EX210" s="7"/>
      <c r="EY210" s="7"/>
      <c r="EZ210" s="7"/>
      <c r="FA210" s="7"/>
      <c r="FB210" s="7"/>
      <c r="FC210" s="7"/>
      <c r="FD210" s="7"/>
      <c r="FE210" s="7"/>
      <c r="FF210" s="7"/>
      <c r="FG210" s="7"/>
      <c r="FH210" s="7"/>
      <c r="FI210" s="7"/>
      <c r="FJ210" s="7"/>
      <c r="FK210" s="7"/>
      <c r="FL210" s="7"/>
      <c r="FM210" s="7"/>
      <c r="FN210" s="7"/>
      <c r="FO210" s="7"/>
      <c r="FP210" s="7"/>
      <c r="FQ210" s="7"/>
      <c r="FR210" s="7"/>
      <c r="FS210" s="7"/>
      <c r="FT210" s="7"/>
      <c r="FU210" s="7"/>
      <c r="FV210" s="7"/>
      <c r="FW210" s="7"/>
      <c r="FX210" s="7"/>
      <c r="FY210" s="7"/>
      <c r="FZ210" s="7"/>
      <c r="GA210" s="7"/>
      <c r="GB210" s="7"/>
      <c r="GC210" s="7"/>
      <c r="GD210" s="7"/>
      <c r="GE210" s="7"/>
      <c r="GF210" s="7"/>
      <c r="GG210" s="7"/>
      <c r="GH210" s="7"/>
      <c r="GI210" s="7"/>
      <c r="GJ210" s="7"/>
      <c r="GK210" s="7"/>
      <c r="GL210" s="7"/>
      <c r="GM210" s="7"/>
      <c r="GN210" s="7"/>
      <c r="GO210" s="7"/>
      <c r="GP210" s="7"/>
      <c r="GQ210" s="7"/>
      <c r="GR210" s="7"/>
      <c r="GS210" s="7"/>
      <c r="GT210" s="7"/>
      <c r="GU210" s="7"/>
      <c r="GV210" s="7"/>
      <c r="GW210" s="7"/>
      <c r="GX210" s="7"/>
      <c r="GY210" s="7"/>
      <c r="GZ210" s="7"/>
      <c r="HA210" s="7"/>
      <c r="HB210" s="7"/>
      <c r="HC210" s="7"/>
      <c r="HD210" s="7"/>
      <c r="HE210" s="7"/>
      <c r="HF210" s="7"/>
      <c r="HG210" s="7"/>
      <c r="HH210" s="7"/>
      <c r="HI210" s="7"/>
      <c r="HJ210" s="7"/>
      <c r="HK210" s="7"/>
      <c r="HL210" s="7"/>
      <c r="HM210" s="7"/>
      <c r="HN210" s="7"/>
      <c r="HO210" s="7"/>
      <c r="HP210" s="7"/>
      <c r="HQ210" s="7"/>
      <c r="HR210" s="7"/>
      <c r="HS210" s="7"/>
      <c r="HT210" s="7"/>
      <c r="HU210" s="7"/>
      <c r="HV210" s="7"/>
      <c r="HW210" s="7"/>
      <c r="HX210" s="7"/>
      <c r="HY210" s="7"/>
      <c r="HZ210" s="7"/>
      <c r="IA210" s="7"/>
      <c r="IB210" s="7"/>
      <c r="IC210" s="7"/>
      <c r="ID210" s="7"/>
      <c r="IE210" s="7"/>
      <c r="IF210" s="7"/>
      <c r="IG210" s="7"/>
      <c r="IH210" s="7"/>
      <c r="II210" s="7"/>
      <c r="IJ210" s="7"/>
      <c r="IK210" s="7"/>
      <c r="IL210" s="7"/>
      <c r="IM210" s="7"/>
      <c r="IN210" s="7"/>
      <c r="IO210" s="7"/>
      <c r="IP210" s="7"/>
      <c r="IQ210" s="7"/>
      <c r="IR210" s="7"/>
      <c r="IS210" s="7"/>
      <c r="IT210" s="7"/>
      <c r="IU210" s="7"/>
      <c r="IV210" s="7"/>
      <c r="IW210" s="7"/>
      <c r="IX210" s="7"/>
      <c r="JA210" s="113"/>
      <c r="JB210" s="113"/>
      <c r="JC210" s="113"/>
      <c r="JD210" s="66">
        <f>SUM((TEXT(JA210,"[M]")/60)*'Income Person-hours'!$D$3,(TEXT(JB210,"[M]")/60)*'Income Person-hours'!$D$4,(TEXT(JC210,"[M]")/60)*'Income Person-hours'!$D$5)</f>
        <v>0</v>
      </c>
    </row>
    <row r="211" spans="1:264 16383:16384" s="11" customFormat="1" ht="11.25" hidden="1">
      <c r="A211" s="30">
        <v>9.11</v>
      </c>
      <c r="B211" s="116"/>
      <c r="C211" s="107"/>
      <c r="D211" s="12" t="str">
        <f>IF(OR(j_WEEKDAY(J_ADDDAY(VLOOKUP(I211,A:F,6,FALSE),H211,1),0)=6,SUMIFS(Holieday[ok],Holieday[date],J_ADDDAY(VLOOKUP(I211,A:F,6,FALSE),H211,1)))=FALSE(),J_ADDDAY(VLOOKUP(I211,A:F,6,FALSE),H211,1),IF(OR(j_WEEKDAY(J_ADDDAY(VLOOKUP(I211,A:F,6,FALSE),H211+1,1),0)=6,SUMIFS(Holieday[ok],Holieday[date],J_ADDDAY(VLOOKUP(I211,A:F,6,FALSE),H211+1,1)))=FALSE(),J_ADDDAY(VLOOKUP(I211,A:F,6,FALSE),H211+1,1),IF(OR(j_WEEKDAY(J_ADDDAY(VLOOKUP(I211,A:F,6,FALSE),H211+2,1),0)=6,SUMIFS(Holieday[ok],Holieday[date],J_ADDDAY(VLOOKUP(I211,A:F,6,FALSE),H211+2,1)))=FALSE(),J_ADDDAY(VLOOKUP(I211,A:F,6,FALSE),H211+2,1),IF(OR(j_WEEKDAY(J_ADDDAY(VLOOKUP(I211,A:F,6,FALSE),H211+3,1),0)=6,SUMIFS(Holieday[ok],Holieday[date],J_ADDDAY(VLOOKUP(I211,A:F,6,FALSE),H211+3,1)))=FALSE(),J_ADDDAY(VLOOKUP(I211,A:F,6,FALSE),H211+3,1),IF(OR(j_WEEKDAY(J_ADDDAY(VLOOKUP(I211,A:F,6,FALSE),H211+4,1),0)=6,SUMIFS(Holieday[ok],Holieday[date],J_ADDDAY(VLOOKUP(I211,A:F,6,FALSE),H211+4,1)))=FALSE(),J_ADDDAY(VLOOKUP(I211,A:F,6,FALSE),H211+4,1),J_ADDDAY(VLOOKUP(I211,A:F,6,FALSE),H211+5,1))))))</f>
        <v>1398/06/31</v>
      </c>
      <c r="E211" s="1">
        <f t="shared" si="64"/>
        <v>13980631</v>
      </c>
      <c r="F211" s="12" t="str">
        <f>IF(N211=0,J_SUBDAY(D211,1,1),IF((N211-NETWORKDAYS.INTL(J_GregorianDate(D211,1),J_GregorianDate(J_SUBDAY(J_ADDDAY(D211,N211,1),1,1),1),16,1)-SUMIFS(Holieday[ok],Holieday[date],CONCATENATE("&gt;","=",D211),Holieday[date],CONCATENATE("&lt;","=",J_SUBDAY(J_ADDDAY(D211,N211,1),1,1)))+SUMIFS(Holieday[Friday],Holieday[date],CONCATENATE("&gt;","=",D211),Holieday[date],CONCATENATE("&lt;","=",J_SUBDAY(J_ADDDAY(D211,N211,1),1,1))))=0,J_SUBDAY(J_ADDDAY(D211,N211,1),1,1),IF((N211-NETWORKDAYS.INTL(J_GregorianDate(D211,1),J_GregorianDate(J_SUBDAY(J_ADDDAY(D211,N211,1),1,1),1),16,1)-SUMIFS(Holieday[ok],Holieday[date],CONCATENATE("&gt;","=",D211),Holieday[date],CONCATENATE("&lt;","=",J_SUBDAY(J_ADDDAY(D211,N211,1),1,1)))+SUMIFS(Holieday[Friday],Holieday[date],CONCATENATE("&gt;","=",D211),Holieday[date],CONCATENATE("&lt;","=",J_SUBDAY(J_ADDDAY(D211,N211,1),1,1))))=1,J_SUBDAY(J_ADDDAY(D211,N211+1,1),1,1),IF((N211-NETWORKDAYS.INTL(J_GregorianDate(D211,1),J_GregorianDate(J_SUBDAY(J_ADDDAY(D211,N211,1),1,1),1),16,1)-SUMIFS(Holieday[ok],Holieday[date],CONCATENATE("&gt;","=",D211),Holieday[date],CONCATENATE("&lt;","=",J_SUBDAY(J_ADDDAY(D211,N211,1),1,1)))+SUMIFS(Holieday[Friday],Holieday[date],CONCATENATE("&gt;","=",D211),Holieday[date],CONCATENATE("&lt;","=",J_SUBDAY(J_ADDDAY(D211,N211,1),1,1))))=2,J_SUBDAY(J_ADDDAY(D211,N211+2,1),1,1),J_SUBDAY(J_ADDDAY(D211,N211+3,1),1,1)))))</f>
        <v>1398/06/30</v>
      </c>
      <c r="G211" s="2">
        <f t="shared" si="65"/>
        <v>13980630</v>
      </c>
      <c r="H211" s="109"/>
      <c r="I211" s="110">
        <v>1.1000000000000001</v>
      </c>
      <c r="J211" s="9">
        <f>j_WEEKDAY(D211,2)</f>
        <v>1</v>
      </c>
      <c r="K211" s="21">
        <f t="shared" si="69"/>
        <v>0</v>
      </c>
      <c r="L211" s="8">
        <f t="shared" si="68"/>
        <v>0</v>
      </c>
      <c r="M211" s="111">
        <v>0</v>
      </c>
      <c r="N211" s="108">
        <v>0</v>
      </c>
      <c r="O211" s="10">
        <f t="shared" si="66"/>
        <v>0</v>
      </c>
      <c r="P211" s="10">
        <f>VALUE(J_normdate(J_ADDDAY($D211,$O211,1)))</f>
        <v>13980631</v>
      </c>
      <c r="Q211" s="9">
        <f t="shared" si="67"/>
        <v>0</v>
      </c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  <c r="BB211" s="7"/>
      <c r="BC211" s="7"/>
      <c r="BD211" s="7"/>
      <c r="BE211" s="7"/>
      <c r="BF211" s="7"/>
      <c r="BG211" s="7"/>
      <c r="BH211" s="7"/>
      <c r="BI211" s="7"/>
      <c r="BJ211" s="7"/>
      <c r="BK211" s="7"/>
      <c r="BL211" s="7"/>
      <c r="BM211" s="7"/>
      <c r="BN211" s="7"/>
      <c r="BO211" s="7"/>
      <c r="BP211" s="7"/>
      <c r="BQ211" s="7"/>
      <c r="BR211" s="7"/>
      <c r="BS211" s="7"/>
      <c r="BT211" s="7"/>
      <c r="BU211" s="7"/>
      <c r="BV211" s="7"/>
      <c r="BW211" s="7"/>
      <c r="BX211" s="7"/>
      <c r="BY211" s="7"/>
      <c r="BZ211" s="7"/>
      <c r="CA211" s="7"/>
      <c r="CB211" s="7"/>
      <c r="CC211" s="7"/>
      <c r="CD211" s="7"/>
      <c r="CE211" s="7"/>
      <c r="CF211" s="7"/>
      <c r="CG211" s="7"/>
      <c r="CH211" s="7"/>
      <c r="CI211" s="7"/>
      <c r="CJ211" s="7"/>
      <c r="CK211" s="7"/>
      <c r="CL211" s="7"/>
      <c r="CM211" s="7"/>
      <c r="CN211" s="7"/>
      <c r="CO211" s="7"/>
      <c r="CP211" s="7"/>
      <c r="CQ211" s="7"/>
      <c r="CR211" s="7"/>
      <c r="CS211" s="7"/>
      <c r="CT211" s="7"/>
      <c r="CU211" s="7"/>
      <c r="CV211" s="7"/>
      <c r="CW211" s="7"/>
      <c r="CX211" s="7"/>
      <c r="CY211" s="7"/>
      <c r="CZ211" s="7"/>
      <c r="DA211" s="7"/>
      <c r="DB211" s="7"/>
      <c r="DC211" s="7"/>
      <c r="DD211" s="7"/>
      <c r="DE211" s="7"/>
      <c r="DF211" s="7"/>
      <c r="DG211" s="7"/>
      <c r="DH211" s="7"/>
      <c r="DI211" s="7"/>
      <c r="DJ211" s="7"/>
      <c r="DK211" s="7"/>
      <c r="DL211" s="7"/>
      <c r="DM211" s="7"/>
      <c r="DN211" s="7"/>
      <c r="DO211" s="7"/>
      <c r="DP211" s="7"/>
      <c r="DQ211" s="7"/>
      <c r="DR211" s="7"/>
      <c r="DS211" s="7"/>
      <c r="DT211" s="7"/>
      <c r="DU211" s="7"/>
      <c r="DV211" s="7"/>
      <c r="DW211" s="7"/>
      <c r="DX211" s="7"/>
      <c r="DY211" s="7"/>
      <c r="DZ211" s="7"/>
      <c r="EA211" s="7"/>
      <c r="EB211" s="7"/>
      <c r="EC211" s="7"/>
      <c r="ED211" s="7"/>
      <c r="EE211" s="7"/>
      <c r="EF211" s="7"/>
      <c r="EG211" s="7"/>
      <c r="EH211" s="7"/>
      <c r="EI211" s="7"/>
      <c r="EJ211" s="7"/>
      <c r="EK211" s="7"/>
      <c r="EL211" s="7"/>
      <c r="EM211" s="7"/>
      <c r="EN211" s="7"/>
      <c r="EO211" s="7"/>
      <c r="EP211" s="7"/>
      <c r="EQ211" s="7"/>
      <c r="ER211" s="7"/>
      <c r="ES211" s="7"/>
      <c r="ET211" s="7"/>
      <c r="EU211" s="7"/>
      <c r="EV211" s="7"/>
      <c r="EW211" s="7"/>
      <c r="EX211" s="7"/>
      <c r="EY211" s="7"/>
      <c r="EZ211" s="7"/>
      <c r="FA211" s="7"/>
      <c r="FB211" s="7"/>
      <c r="FC211" s="7"/>
      <c r="FD211" s="7"/>
      <c r="FE211" s="7"/>
      <c r="FF211" s="7"/>
      <c r="FG211" s="7"/>
      <c r="FH211" s="7"/>
      <c r="FI211" s="7"/>
      <c r="FJ211" s="7"/>
      <c r="FK211" s="7"/>
      <c r="FL211" s="7"/>
      <c r="FM211" s="7"/>
      <c r="FN211" s="7"/>
      <c r="FO211" s="7"/>
      <c r="FP211" s="7"/>
      <c r="FQ211" s="7"/>
      <c r="FR211" s="7"/>
      <c r="FS211" s="7"/>
      <c r="FT211" s="7"/>
      <c r="FU211" s="7"/>
      <c r="FV211" s="7"/>
      <c r="FW211" s="7"/>
      <c r="FX211" s="7"/>
      <c r="FY211" s="7"/>
      <c r="FZ211" s="7"/>
      <c r="GA211" s="7"/>
      <c r="GB211" s="7"/>
      <c r="GC211" s="7"/>
      <c r="GD211" s="7"/>
      <c r="GE211" s="7"/>
      <c r="GF211" s="7"/>
      <c r="GG211" s="7"/>
      <c r="GH211" s="7"/>
      <c r="GI211" s="7"/>
      <c r="GJ211" s="7"/>
      <c r="GK211" s="7"/>
      <c r="GL211" s="7"/>
      <c r="GM211" s="7"/>
      <c r="GN211" s="7"/>
      <c r="GO211" s="7"/>
      <c r="GP211" s="7"/>
      <c r="GQ211" s="7"/>
      <c r="GR211" s="7"/>
      <c r="GS211" s="7"/>
      <c r="GT211" s="7"/>
      <c r="GU211" s="7"/>
      <c r="GV211" s="7"/>
      <c r="GW211" s="7"/>
      <c r="GX211" s="7"/>
      <c r="GY211" s="7"/>
      <c r="GZ211" s="7"/>
      <c r="HA211" s="7"/>
      <c r="HB211" s="7"/>
      <c r="HC211" s="7"/>
      <c r="HD211" s="7"/>
      <c r="HE211" s="7"/>
      <c r="HF211" s="7"/>
      <c r="HG211" s="7"/>
      <c r="HH211" s="7"/>
      <c r="HI211" s="7"/>
      <c r="HJ211" s="7"/>
      <c r="HK211" s="7"/>
      <c r="HL211" s="7"/>
      <c r="HM211" s="7"/>
      <c r="HN211" s="7"/>
      <c r="HO211" s="7"/>
      <c r="HP211" s="7"/>
      <c r="HQ211" s="7"/>
      <c r="HR211" s="7"/>
      <c r="HS211" s="7"/>
      <c r="HT211" s="7"/>
      <c r="HU211" s="7"/>
      <c r="HV211" s="7"/>
      <c r="HW211" s="7"/>
      <c r="HX211" s="7"/>
      <c r="HY211" s="7"/>
      <c r="HZ211" s="7"/>
      <c r="IA211" s="7"/>
      <c r="IB211" s="7"/>
      <c r="IC211" s="7"/>
      <c r="ID211" s="7"/>
      <c r="IE211" s="7"/>
      <c r="IF211" s="7"/>
      <c r="IG211" s="7"/>
      <c r="IH211" s="7"/>
      <c r="II211" s="7"/>
      <c r="IJ211" s="7"/>
      <c r="IK211" s="7"/>
      <c r="IL211" s="7"/>
      <c r="IM211" s="7"/>
      <c r="IN211" s="7"/>
      <c r="IO211" s="7"/>
      <c r="IP211" s="7"/>
      <c r="IQ211" s="7"/>
      <c r="IR211" s="7"/>
      <c r="IS211" s="7"/>
      <c r="IT211" s="7"/>
      <c r="IU211" s="7"/>
      <c r="IV211" s="7"/>
      <c r="IW211" s="7"/>
      <c r="IX211" s="7"/>
      <c r="JA211" s="113"/>
      <c r="JB211" s="113"/>
      <c r="JC211" s="113"/>
      <c r="JD211" s="66">
        <f>SUM((TEXT(JA211,"[M]")/60)*'Income Person-hours'!$D$3,(TEXT(JB211,"[M]")/60)*'Income Person-hours'!$D$4,(TEXT(JC211,"[M]")/60)*'Income Person-hours'!$D$5)</f>
        <v>0</v>
      </c>
    </row>
    <row r="212" spans="1:264 16383:16384" s="11" customFormat="1" ht="11.25" hidden="1">
      <c r="A212" s="30">
        <v>9.1199999999999992</v>
      </c>
      <c r="B212" s="116"/>
      <c r="C212" s="107"/>
      <c r="D212" s="12" t="str">
        <f>IF(OR(j_WEEKDAY(J_ADDDAY(VLOOKUP(I212,A:F,6,FALSE),H212,1),0)=6,SUMIFS(Holieday[ok],Holieday[date],J_ADDDAY(VLOOKUP(I212,A:F,6,FALSE),H212,1)))=FALSE(),J_ADDDAY(VLOOKUP(I212,A:F,6,FALSE),H212,1),IF(OR(j_WEEKDAY(J_ADDDAY(VLOOKUP(I212,A:F,6,FALSE),H212+1,1),0)=6,SUMIFS(Holieday[ok],Holieday[date],J_ADDDAY(VLOOKUP(I212,A:F,6,FALSE),H212+1,1)))=FALSE(),J_ADDDAY(VLOOKUP(I212,A:F,6,FALSE),H212+1,1),IF(OR(j_WEEKDAY(J_ADDDAY(VLOOKUP(I212,A:F,6,FALSE),H212+2,1),0)=6,SUMIFS(Holieday[ok],Holieday[date],J_ADDDAY(VLOOKUP(I212,A:F,6,FALSE),H212+2,1)))=FALSE(),J_ADDDAY(VLOOKUP(I212,A:F,6,FALSE),H212+2,1),IF(OR(j_WEEKDAY(J_ADDDAY(VLOOKUP(I212,A:F,6,FALSE),H212+3,1),0)=6,SUMIFS(Holieday[ok],Holieday[date],J_ADDDAY(VLOOKUP(I212,A:F,6,FALSE),H212+3,1)))=FALSE(),J_ADDDAY(VLOOKUP(I212,A:F,6,FALSE),H212+3,1),IF(OR(j_WEEKDAY(J_ADDDAY(VLOOKUP(I212,A:F,6,FALSE),H212+4,1),0)=6,SUMIFS(Holieday[ok],Holieday[date],J_ADDDAY(VLOOKUP(I212,A:F,6,FALSE),H212+4,1)))=FALSE(),J_ADDDAY(VLOOKUP(I212,A:F,6,FALSE),H212+4,1),J_ADDDAY(VLOOKUP(I212,A:F,6,FALSE),H212+5,1))))))</f>
        <v>1398/06/31</v>
      </c>
      <c r="E212" s="1">
        <f t="shared" si="64"/>
        <v>13980631</v>
      </c>
      <c r="F212" s="12" t="str">
        <f>IF(N212=0,J_SUBDAY(D212,1,1),IF((N212-NETWORKDAYS.INTL(J_GregorianDate(D212,1),J_GregorianDate(J_SUBDAY(J_ADDDAY(D212,N212,1),1,1),1),16,1)-SUMIFS(Holieday[ok],Holieday[date],CONCATENATE("&gt;","=",D212),Holieday[date],CONCATENATE("&lt;","=",J_SUBDAY(J_ADDDAY(D212,N212,1),1,1)))+SUMIFS(Holieday[Friday],Holieday[date],CONCATENATE("&gt;","=",D212),Holieday[date],CONCATENATE("&lt;","=",J_SUBDAY(J_ADDDAY(D212,N212,1),1,1))))=0,J_SUBDAY(J_ADDDAY(D212,N212,1),1,1),IF((N212-NETWORKDAYS.INTL(J_GregorianDate(D212,1),J_GregorianDate(J_SUBDAY(J_ADDDAY(D212,N212,1),1,1),1),16,1)-SUMIFS(Holieday[ok],Holieday[date],CONCATENATE("&gt;","=",D212),Holieday[date],CONCATENATE("&lt;","=",J_SUBDAY(J_ADDDAY(D212,N212,1),1,1)))+SUMIFS(Holieday[Friday],Holieday[date],CONCATENATE("&gt;","=",D212),Holieday[date],CONCATENATE("&lt;","=",J_SUBDAY(J_ADDDAY(D212,N212,1),1,1))))=1,J_SUBDAY(J_ADDDAY(D212,N212+1,1),1,1),IF((N212-NETWORKDAYS.INTL(J_GregorianDate(D212,1),J_GregorianDate(J_SUBDAY(J_ADDDAY(D212,N212,1),1,1),1),16,1)-SUMIFS(Holieday[ok],Holieday[date],CONCATENATE("&gt;","=",D212),Holieday[date],CONCATENATE("&lt;","=",J_SUBDAY(J_ADDDAY(D212,N212,1),1,1)))+SUMIFS(Holieday[Friday],Holieday[date],CONCATENATE("&gt;","=",D212),Holieday[date],CONCATENATE("&lt;","=",J_SUBDAY(J_ADDDAY(D212,N212,1),1,1))))=2,J_SUBDAY(J_ADDDAY(D212,N212+2,1),1,1),J_SUBDAY(J_ADDDAY(D212,N212+3,1),1,1)))))</f>
        <v>1398/06/30</v>
      </c>
      <c r="G212" s="2">
        <f t="shared" si="65"/>
        <v>13980630</v>
      </c>
      <c r="H212" s="109"/>
      <c r="I212" s="110">
        <v>1.1000000000000001</v>
      </c>
      <c r="J212" s="9">
        <f>j_WEEKDAY(D212,2)</f>
        <v>1</v>
      </c>
      <c r="K212" s="21">
        <f t="shared" si="69"/>
        <v>0</v>
      </c>
      <c r="L212" s="8">
        <f t="shared" si="68"/>
        <v>0</v>
      </c>
      <c r="M212" s="111">
        <v>0</v>
      </c>
      <c r="N212" s="108">
        <v>0</v>
      </c>
      <c r="O212" s="10">
        <f t="shared" si="66"/>
        <v>0</v>
      </c>
      <c r="P212" s="10">
        <f>VALUE(J_normdate(J_ADDDAY($D212,$O212,1)))</f>
        <v>13980631</v>
      </c>
      <c r="Q212" s="9">
        <f t="shared" si="67"/>
        <v>0</v>
      </c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/>
      <c r="BB212" s="7"/>
      <c r="BC212" s="7"/>
      <c r="BD212" s="7"/>
      <c r="BE212" s="7"/>
      <c r="BF212" s="7"/>
      <c r="BG212" s="7"/>
      <c r="BH212" s="7"/>
      <c r="BI212" s="7"/>
      <c r="BJ212" s="7"/>
      <c r="BK212" s="7"/>
      <c r="BL212" s="7"/>
      <c r="BM212" s="7"/>
      <c r="BN212" s="7"/>
      <c r="BO212" s="7"/>
      <c r="BP212" s="7"/>
      <c r="BQ212" s="7"/>
      <c r="BR212" s="7"/>
      <c r="BS212" s="7"/>
      <c r="BT212" s="7"/>
      <c r="BU212" s="7"/>
      <c r="BV212" s="7"/>
      <c r="BW212" s="7"/>
      <c r="BX212" s="7"/>
      <c r="BY212" s="7"/>
      <c r="BZ212" s="7"/>
      <c r="CA212" s="7"/>
      <c r="CB212" s="7"/>
      <c r="CC212" s="7"/>
      <c r="CD212" s="7"/>
      <c r="CE212" s="7"/>
      <c r="CF212" s="7"/>
      <c r="CG212" s="7"/>
      <c r="CH212" s="7"/>
      <c r="CI212" s="7"/>
      <c r="CJ212" s="7"/>
      <c r="CK212" s="7"/>
      <c r="CL212" s="7"/>
      <c r="CM212" s="7"/>
      <c r="CN212" s="7"/>
      <c r="CO212" s="7"/>
      <c r="CP212" s="7"/>
      <c r="CQ212" s="7"/>
      <c r="CR212" s="7"/>
      <c r="CS212" s="7"/>
      <c r="CT212" s="7"/>
      <c r="CU212" s="7"/>
      <c r="CV212" s="7"/>
      <c r="CW212" s="7"/>
      <c r="CX212" s="7"/>
      <c r="CY212" s="7"/>
      <c r="CZ212" s="7"/>
      <c r="DA212" s="7"/>
      <c r="DB212" s="7"/>
      <c r="DC212" s="7"/>
      <c r="DD212" s="7"/>
      <c r="DE212" s="7"/>
      <c r="DF212" s="7"/>
      <c r="DG212" s="7"/>
      <c r="DH212" s="7"/>
      <c r="DI212" s="7"/>
      <c r="DJ212" s="7"/>
      <c r="DK212" s="7"/>
      <c r="DL212" s="7"/>
      <c r="DM212" s="7"/>
      <c r="DN212" s="7"/>
      <c r="DO212" s="7"/>
      <c r="DP212" s="7"/>
      <c r="DQ212" s="7"/>
      <c r="DR212" s="7"/>
      <c r="DS212" s="7"/>
      <c r="DT212" s="7"/>
      <c r="DU212" s="7"/>
      <c r="DV212" s="7"/>
      <c r="DW212" s="7"/>
      <c r="DX212" s="7"/>
      <c r="DY212" s="7"/>
      <c r="DZ212" s="7"/>
      <c r="EA212" s="7"/>
      <c r="EB212" s="7"/>
      <c r="EC212" s="7"/>
      <c r="ED212" s="7"/>
      <c r="EE212" s="7"/>
      <c r="EF212" s="7"/>
      <c r="EG212" s="7"/>
      <c r="EH212" s="7"/>
      <c r="EI212" s="7"/>
      <c r="EJ212" s="7"/>
      <c r="EK212" s="7"/>
      <c r="EL212" s="7"/>
      <c r="EM212" s="7"/>
      <c r="EN212" s="7"/>
      <c r="EO212" s="7"/>
      <c r="EP212" s="7"/>
      <c r="EQ212" s="7"/>
      <c r="ER212" s="7"/>
      <c r="ES212" s="7"/>
      <c r="ET212" s="7"/>
      <c r="EU212" s="7"/>
      <c r="EV212" s="7"/>
      <c r="EW212" s="7"/>
      <c r="EX212" s="7"/>
      <c r="EY212" s="7"/>
      <c r="EZ212" s="7"/>
      <c r="FA212" s="7"/>
      <c r="FB212" s="7"/>
      <c r="FC212" s="7"/>
      <c r="FD212" s="7"/>
      <c r="FE212" s="7"/>
      <c r="FF212" s="7"/>
      <c r="FG212" s="7"/>
      <c r="FH212" s="7"/>
      <c r="FI212" s="7"/>
      <c r="FJ212" s="7"/>
      <c r="FK212" s="7"/>
      <c r="FL212" s="7"/>
      <c r="FM212" s="7"/>
      <c r="FN212" s="7"/>
      <c r="FO212" s="7"/>
      <c r="FP212" s="7"/>
      <c r="FQ212" s="7"/>
      <c r="FR212" s="7"/>
      <c r="FS212" s="7"/>
      <c r="FT212" s="7"/>
      <c r="FU212" s="7"/>
      <c r="FV212" s="7"/>
      <c r="FW212" s="7"/>
      <c r="FX212" s="7"/>
      <c r="FY212" s="7"/>
      <c r="FZ212" s="7"/>
      <c r="GA212" s="7"/>
      <c r="GB212" s="7"/>
      <c r="GC212" s="7"/>
      <c r="GD212" s="7"/>
      <c r="GE212" s="7"/>
      <c r="GF212" s="7"/>
      <c r="GG212" s="7"/>
      <c r="GH212" s="7"/>
      <c r="GI212" s="7"/>
      <c r="GJ212" s="7"/>
      <c r="GK212" s="7"/>
      <c r="GL212" s="7"/>
      <c r="GM212" s="7"/>
      <c r="GN212" s="7"/>
      <c r="GO212" s="7"/>
      <c r="GP212" s="7"/>
      <c r="GQ212" s="7"/>
      <c r="GR212" s="7"/>
      <c r="GS212" s="7"/>
      <c r="GT212" s="7"/>
      <c r="GU212" s="7"/>
      <c r="GV212" s="7"/>
      <c r="GW212" s="7"/>
      <c r="GX212" s="7"/>
      <c r="GY212" s="7"/>
      <c r="GZ212" s="7"/>
      <c r="HA212" s="7"/>
      <c r="HB212" s="7"/>
      <c r="HC212" s="7"/>
      <c r="HD212" s="7"/>
      <c r="HE212" s="7"/>
      <c r="HF212" s="7"/>
      <c r="HG212" s="7"/>
      <c r="HH212" s="7"/>
      <c r="HI212" s="7"/>
      <c r="HJ212" s="7"/>
      <c r="HK212" s="7"/>
      <c r="HL212" s="7"/>
      <c r="HM212" s="7"/>
      <c r="HN212" s="7"/>
      <c r="HO212" s="7"/>
      <c r="HP212" s="7"/>
      <c r="HQ212" s="7"/>
      <c r="HR212" s="7"/>
      <c r="HS212" s="7"/>
      <c r="HT212" s="7"/>
      <c r="HU212" s="7"/>
      <c r="HV212" s="7"/>
      <c r="HW212" s="7"/>
      <c r="HX212" s="7"/>
      <c r="HY212" s="7"/>
      <c r="HZ212" s="7"/>
      <c r="IA212" s="7"/>
      <c r="IB212" s="7"/>
      <c r="IC212" s="7"/>
      <c r="ID212" s="7"/>
      <c r="IE212" s="7"/>
      <c r="IF212" s="7"/>
      <c r="IG212" s="7"/>
      <c r="IH212" s="7"/>
      <c r="II212" s="7"/>
      <c r="IJ212" s="7"/>
      <c r="IK212" s="7"/>
      <c r="IL212" s="7"/>
      <c r="IM212" s="7"/>
      <c r="IN212" s="7"/>
      <c r="IO212" s="7"/>
      <c r="IP212" s="7"/>
      <c r="IQ212" s="7"/>
      <c r="IR212" s="7"/>
      <c r="IS212" s="7"/>
      <c r="IT212" s="7"/>
      <c r="IU212" s="7"/>
      <c r="IV212" s="7"/>
      <c r="IW212" s="7"/>
      <c r="IX212" s="7"/>
      <c r="JA212" s="113"/>
      <c r="JB212" s="113"/>
      <c r="JC212" s="113"/>
      <c r="JD212" s="66">
        <f>SUM((TEXT(JA212,"[M]")/60)*'Income Person-hours'!$D$3,(TEXT(JB212,"[M]")/60)*'Income Person-hours'!$D$4,(TEXT(JC212,"[M]")/60)*'Income Person-hours'!$D$5)</f>
        <v>0</v>
      </c>
    </row>
    <row r="213" spans="1:264 16383:16384" s="11" customFormat="1" ht="11.25" hidden="1">
      <c r="A213" s="30">
        <v>9.1300000000000008</v>
      </c>
      <c r="B213" s="116"/>
      <c r="C213" s="107"/>
      <c r="D213" s="12" t="str">
        <f>IF(OR(j_WEEKDAY(J_ADDDAY(VLOOKUP(I213,A:F,6,FALSE),H213,1),0)=6,SUMIFS(Holieday[ok],Holieday[date],J_ADDDAY(VLOOKUP(I213,A:F,6,FALSE),H213,1)))=FALSE(),J_ADDDAY(VLOOKUP(I213,A:F,6,FALSE),H213,1),IF(OR(j_WEEKDAY(J_ADDDAY(VLOOKUP(I213,A:F,6,FALSE),H213+1,1),0)=6,SUMIFS(Holieday[ok],Holieday[date],J_ADDDAY(VLOOKUP(I213,A:F,6,FALSE),H213+1,1)))=FALSE(),J_ADDDAY(VLOOKUP(I213,A:F,6,FALSE),H213+1,1),IF(OR(j_WEEKDAY(J_ADDDAY(VLOOKUP(I213,A:F,6,FALSE),H213+2,1),0)=6,SUMIFS(Holieday[ok],Holieday[date],J_ADDDAY(VLOOKUP(I213,A:F,6,FALSE),H213+2,1)))=FALSE(),J_ADDDAY(VLOOKUP(I213,A:F,6,FALSE),H213+2,1),IF(OR(j_WEEKDAY(J_ADDDAY(VLOOKUP(I213,A:F,6,FALSE),H213+3,1),0)=6,SUMIFS(Holieday[ok],Holieday[date],J_ADDDAY(VLOOKUP(I213,A:F,6,FALSE),H213+3,1)))=FALSE(),J_ADDDAY(VLOOKUP(I213,A:F,6,FALSE),H213+3,1),IF(OR(j_WEEKDAY(J_ADDDAY(VLOOKUP(I213,A:F,6,FALSE),H213+4,1),0)=6,SUMIFS(Holieday[ok],Holieday[date],J_ADDDAY(VLOOKUP(I213,A:F,6,FALSE),H213+4,1)))=FALSE(),J_ADDDAY(VLOOKUP(I213,A:F,6,FALSE),H213+4,1),J_ADDDAY(VLOOKUP(I213,A:F,6,FALSE),H213+5,1))))))</f>
        <v>1398/06/31</v>
      </c>
      <c r="E213" s="1">
        <f t="shared" si="64"/>
        <v>13980631</v>
      </c>
      <c r="F213" s="12" t="str">
        <f>IF(N213=0,J_SUBDAY(D213,1,1),IF((N213-NETWORKDAYS.INTL(J_GregorianDate(D213,1),J_GregorianDate(J_SUBDAY(J_ADDDAY(D213,N213,1),1,1),1),16,1)-SUMIFS(Holieday[ok],Holieday[date],CONCATENATE("&gt;","=",D213),Holieday[date],CONCATENATE("&lt;","=",J_SUBDAY(J_ADDDAY(D213,N213,1),1,1)))+SUMIFS(Holieday[Friday],Holieday[date],CONCATENATE("&gt;","=",D213),Holieday[date],CONCATENATE("&lt;","=",J_SUBDAY(J_ADDDAY(D213,N213,1),1,1))))=0,J_SUBDAY(J_ADDDAY(D213,N213,1),1,1),IF((N213-NETWORKDAYS.INTL(J_GregorianDate(D213,1),J_GregorianDate(J_SUBDAY(J_ADDDAY(D213,N213,1),1,1),1),16,1)-SUMIFS(Holieday[ok],Holieday[date],CONCATENATE("&gt;","=",D213),Holieday[date],CONCATENATE("&lt;","=",J_SUBDAY(J_ADDDAY(D213,N213,1),1,1)))+SUMIFS(Holieday[Friday],Holieday[date],CONCATENATE("&gt;","=",D213),Holieday[date],CONCATENATE("&lt;","=",J_SUBDAY(J_ADDDAY(D213,N213,1),1,1))))=1,J_SUBDAY(J_ADDDAY(D213,N213+1,1),1,1),IF((N213-NETWORKDAYS.INTL(J_GregorianDate(D213,1),J_GregorianDate(J_SUBDAY(J_ADDDAY(D213,N213,1),1,1),1),16,1)-SUMIFS(Holieday[ok],Holieday[date],CONCATENATE("&gt;","=",D213),Holieday[date],CONCATENATE("&lt;","=",J_SUBDAY(J_ADDDAY(D213,N213,1),1,1)))+SUMIFS(Holieday[Friday],Holieday[date],CONCATENATE("&gt;","=",D213),Holieday[date],CONCATENATE("&lt;","=",J_SUBDAY(J_ADDDAY(D213,N213,1),1,1))))=2,J_SUBDAY(J_ADDDAY(D213,N213+2,1),1,1),J_SUBDAY(J_ADDDAY(D213,N213+3,1),1,1)))))</f>
        <v>1398/06/30</v>
      </c>
      <c r="G213" s="2">
        <f t="shared" si="65"/>
        <v>13980630</v>
      </c>
      <c r="H213" s="109"/>
      <c r="I213" s="110">
        <v>1.1000000000000001</v>
      </c>
      <c r="J213" s="9">
        <f>j_WEEKDAY(D213,2)</f>
        <v>1</v>
      </c>
      <c r="K213" s="21">
        <f t="shared" si="69"/>
        <v>0</v>
      </c>
      <c r="L213" s="8">
        <f t="shared" si="68"/>
        <v>0</v>
      </c>
      <c r="M213" s="111">
        <v>0</v>
      </c>
      <c r="N213" s="108">
        <v>0</v>
      </c>
      <c r="O213" s="10">
        <f t="shared" si="66"/>
        <v>0</v>
      </c>
      <c r="P213" s="10">
        <f>VALUE(J_normdate(J_ADDDAY($D213,$O213,1)))</f>
        <v>13980631</v>
      </c>
      <c r="Q213" s="9">
        <f t="shared" si="67"/>
        <v>0</v>
      </c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  <c r="BB213" s="7"/>
      <c r="BC213" s="7"/>
      <c r="BD213" s="7"/>
      <c r="BE213" s="7"/>
      <c r="BF213" s="7"/>
      <c r="BG213" s="7"/>
      <c r="BH213" s="7"/>
      <c r="BI213" s="7"/>
      <c r="BJ213" s="7"/>
      <c r="BK213" s="7"/>
      <c r="BL213" s="7"/>
      <c r="BM213" s="7"/>
      <c r="BN213" s="7"/>
      <c r="BO213" s="7"/>
      <c r="BP213" s="7"/>
      <c r="BQ213" s="7"/>
      <c r="BR213" s="7"/>
      <c r="BS213" s="7"/>
      <c r="BT213" s="7"/>
      <c r="BU213" s="7"/>
      <c r="BV213" s="7"/>
      <c r="BW213" s="7"/>
      <c r="BX213" s="7"/>
      <c r="BY213" s="7"/>
      <c r="BZ213" s="7"/>
      <c r="CA213" s="7"/>
      <c r="CB213" s="7"/>
      <c r="CC213" s="7"/>
      <c r="CD213" s="7"/>
      <c r="CE213" s="7"/>
      <c r="CF213" s="7"/>
      <c r="CG213" s="7"/>
      <c r="CH213" s="7"/>
      <c r="CI213" s="7"/>
      <c r="CJ213" s="7"/>
      <c r="CK213" s="7"/>
      <c r="CL213" s="7"/>
      <c r="CM213" s="7"/>
      <c r="CN213" s="7"/>
      <c r="CO213" s="7"/>
      <c r="CP213" s="7"/>
      <c r="CQ213" s="7"/>
      <c r="CR213" s="7"/>
      <c r="CS213" s="7"/>
      <c r="CT213" s="7"/>
      <c r="CU213" s="7"/>
      <c r="CV213" s="7"/>
      <c r="CW213" s="7"/>
      <c r="CX213" s="7"/>
      <c r="CY213" s="7"/>
      <c r="CZ213" s="7"/>
      <c r="DA213" s="7"/>
      <c r="DB213" s="7"/>
      <c r="DC213" s="7"/>
      <c r="DD213" s="7"/>
      <c r="DE213" s="7"/>
      <c r="DF213" s="7"/>
      <c r="DG213" s="7"/>
      <c r="DH213" s="7"/>
      <c r="DI213" s="7"/>
      <c r="DJ213" s="7"/>
      <c r="DK213" s="7"/>
      <c r="DL213" s="7"/>
      <c r="DM213" s="7"/>
      <c r="DN213" s="7"/>
      <c r="DO213" s="7"/>
      <c r="DP213" s="7"/>
      <c r="DQ213" s="7"/>
      <c r="DR213" s="7"/>
      <c r="DS213" s="7"/>
      <c r="DT213" s="7"/>
      <c r="DU213" s="7"/>
      <c r="DV213" s="7"/>
      <c r="DW213" s="7"/>
      <c r="DX213" s="7"/>
      <c r="DY213" s="7"/>
      <c r="DZ213" s="7"/>
      <c r="EA213" s="7"/>
      <c r="EB213" s="7"/>
      <c r="EC213" s="7"/>
      <c r="ED213" s="7"/>
      <c r="EE213" s="7"/>
      <c r="EF213" s="7"/>
      <c r="EG213" s="7"/>
      <c r="EH213" s="7"/>
      <c r="EI213" s="7"/>
      <c r="EJ213" s="7"/>
      <c r="EK213" s="7"/>
      <c r="EL213" s="7"/>
      <c r="EM213" s="7"/>
      <c r="EN213" s="7"/>
      <c r="EO213" s="7"/>
      <c r="EP213" s="7"/>
      <c r="EQ213" s="7"/>
      <c r="ER213" s="7"/>
      <c r="ES213" s="7"/>
      <c r="ET213" s="7"/>
      <c r="EU213" s="7"/>
      <c r="EV213" s="7"/>
      <c r="EW213" s="7"/>
      <c r="EX213" s="7"/>
      <c r="EY213" s="7"/>
      <c r="EZ213" s="7"/>
      <c r="FA213" s="7"/>
      <c r="FB213" s="7"/>
      <c r="FC213" s="7"/>
      <c r="FD213" s="7"/>
      <c r="FE213" s="7"/>
      <c r="FF213" s="7"/>
      <c r="FG213" s="7"/>
      <c r="FH213" s="7"/>
      <c r="FI213" s="7"/>
      <c r="FJ213" s="7"/>
      <c r="FK213" s="7"/>
      <c r="FL213" s="7"/>
      <c r="FM213" s="7"/>
      <c r="FN213" s="7"/>
      <c r="FO213" s="7"/>
      <c r="FP213" s="7"/>
      <c r="FQ213" s="7"/>
      <c r="FR213" s="7"/>
      <c r="FS213" s="7"/>
      <c r="FT213" s="7"/>
      <c r="FU213" s="7"/>
      <c r="FV213" s="7"/>
      <c r="FW213" s="7"/>
      <c r="FX213" s="7"/>
      <c r="FY213" s="7"/>
      <c r="FZ213" s="7"/>
      <c r="GA213" s="7"/>
      <c r="GB213" s="7"/>
      <c r="GC213" s="7"/>
      <c r="GD213" s="7"/>
      <c r="GE213" s="7"/>
      <c r="GF213" s="7"/>
      <c r="GG213" s="7"/>
      <c r="GH213" s="7"/>
      <c r="GI213" s="7"/>
      <c r="GJ213" s="7"/>
      <c r="GK213" s="7"/>
      <c r="GL213" s="7"/>
      <c r="GM213" s="7"/>
      <c r="GN213" s="7"/>
      <c r="GO213" s="7"/>
      <c r="GP213" s="7"/>
      <c r="GQ213" s="7"/>
      <c r="GR213" s="7"/>
      <c r="GS213" s="7"/>
      <c r="GT213" s="7"/>
      <c r="GU213" s="7"/>
      <c r="GV213" s="7"/>
      <c r="GW213" s="7"/>
      <c r="GX213" s="7"/>
      <c r="GY213" s="7"/>
      <c r="GZ213" s="7"/>
      <c r="HA213" s="7"/>
      <c r="HB213" s="7"/>
      <c r="HC213" s="7"/>
      <c r="HD213" s="7"/>
      <c r="HE213" s="7"/>
      <c r="HF213" s="7"/>
      <c r="HG213" s="7"/>
      <c r="HH213" s="7"/>
      <c r="HI213" s="7"/>
      <c r="HJ213" s="7"/>
      <c r="HK213" s="7"/>
      <c r="HL213" s="7"/>
      <c r="HM213" s="7"/>
      <c r="HN213" s="7"/>
      <c r="HO213" s="7"/>
      <c r="HP213" s="7"/>
      <c r="HQ213" s="7"/>
      <c r="HR213" s="7"/>
      <c r="HS213" s="7"/>
      <c r="HT213" s="7"/>
      <c r="HU213" s="7"/>
      <c r="HV213" s="7"/>
      <c r="HW213" s="7"/>
      <c r="HX213" s="7"/>
      <c r="HY213" s="7"/>
      <c r="HZ213" s="7"/>
      <c r="IA213" s="7"/>
      <c r="IB213" s="7"/>
      <c r="IC213" s="7"/>
      <c r="ID213" s="7"/>
      <c r="IE213" s="7"/>
      <c r="IF213" s="7"/>
      <c r="IG213" s="7"/>
      <c r="IH213" s="7"/>
      <c r="II213" s="7"/>
      <c r="IJ213" s="7"/>
      <c r="IK213" s="7"/>
      <c r="IL213" s="7"/>
      <c r="IM213" s="7"/>
      <c r="IN213" s="7"/>
      <c r="IO213" s="7"/>
      <c r="IP213" s="7"/>
      <c r="IQ213" s="7"/>
      <c r="IR213" s="7"/>
      <c r="IS213" s="7"/>
      <c r="IT213" s="7"/>
      <c r="IU213" s="7"/>
      <c r="IV213" s="7"/>
      <c r="IW213" s="7"/>
      <c r="IX213" s="7"/>
      <c r="JA213" s="113"/>
      <c r="JB213" s="113"/>
      <c r="JC213" s="113"/>
      <c r="JD213" s="66">
        <f>SUM((TEXT(JA213,"[M]")/60)*'Income Person-hours'!$D$3,(TEXT(JB213,"[M]")/60)*'Income Person-hours'!$D$4,(TEXT(JC213,"[M]")/60)*'Income Person-hours'!$D$5)</f>
        <v>0</v>
      </c>
    </row>
    <row r="214" spans="1:264 16383:16384" s="11" customFormat="1" ht="11.25" hidden="1">
      <c r="A214" s="30">
        <v>9.14</v>
      </c>
      <c r="B214" s="116"/>
      <c r="C214" s="107"/>
      <c r="D214" s="12" t="str">
        <f>IF(OR(j_WEEKDAY(J_ADDDAY(VLOOKUP(I214,A:F,6,FALSE),H214,1),0)=6,SUMIFS(Holieday[ok],Holieday[date],J_ADDDAY(VLOOKUP(I214,A:F,6,FALSE),H214,1)))=FALSE(),J_ADDDAY(VLOOKUP(I214,A:F,6,FALSE),H214,1),IF(OR(j_WEEKDAY(J_ADDDAY(VLOOKUP(I214,A:F,6,FALSE),H214+1,1),0)=6,SUMIFS(Holieday[ok],Holieday[date],J_ADDDAY(VLOOKUP(I214,A:F,6,FALSE),H214+1,1)))=FALSE(),J_ADDDAY(VLOOKUP(I214,A:F,6,FALSE),H214+1,1),IF(OR(j_WEEKDAY(J_ADDDAY(VLOOKUP(I214,A:F,6,FALSE),H214+2,1),0)=6,SUMIFS(Holieday[ok],Holieday[date],J_ADDDAY(VLOOKUP(I214,A:F,6,FALSE),H214+2,1)))=FALSE(),J_ADDDAY(VLOOKUP(I214,A:F,6,FALSE),H214+2,1),IF(OR(j_WEEKDAY(J_ADDDAY(VLOOKUP(I214,A:F,6,FALSE),H214+3,1),0)=6,SUMIFS(Holieday[ok],Holieday[date],J_ADDDAY(VLOOKUP(I214,A:F,6,FALSE),H214+3,1)))=FALSE(),J_ADDDAY(VLOOKUP(I214,A:F,6,FALSE),H214+3,1),IF(OR(j_WEEKDAY(J_ADDDAY(VLOOKUP(I214,A:F,6,FALSE),H214+4,1),0)=6,SUMIFS(Holieday[ok],Holieday[date],J_ADDDAY(VLOOKUP(I214,A:F,6,FALSE),H214+4,1)))=FALSE(),J_ADDDAY(VLOOKUP(I214,A:F,6,FALSE),H214+4,1),J_ADDDAY(VLOOKUP(I214,A:F,6,FALSE),H214+5,1))))))</f>
        <v>1398/06/31</v>
      </c>
      <c r="E214" s="1">
        <f t="shared" si="64"/>
        <v>13980631</v>
      </c>
      <c r="F214" s="12" t="str">
        <f>IF(N214=0,J_SUBDAY(D214,1,1),IF((N214-NETWORKDAYS.INTL(J_GregorianDate(D214,1),J_GregorianDate(J_SUBDAY(J_ADDDAY(D214,N214,1),1,1),1),16,1)-SUMIFS(Holieday[ok],Holieday[date],CONCATENATE("&gt;","=",D214),Holieday[date],CONCATENATE("&lt;","=",J_SUBDAY(J_ADDDAY(D214,N214,1),1,1)))+SUMIFS(Holieday[Friday],Holieday[date],CONCATENATE("&gt;","=",D214),Holieday[date],CONCATENATE("&lt;","=",J_SUBDAY(J_ADDDAY(D214,N214,1),1,1))))=0,J_SUBDAY(J_ADDDAY(D214,N214,1),1,1),IF((N214-NETWORKDAYS.INTL(J_GregorianDate(D214,1),J_GregorianDate(J_SUBDAY(J_ADDDAY(D214,N214,1),1,1),1),16,1)-SUMIFS(Holieday[ok],Holieday[date],CONCATENATE("&gt;","=",D214),Holieday[date],CONCATENATE("&lt;","=",J_SUBDAY(J_ADDDAY(D214,N214,1),1,1)))+SUMIFS(Holieday[Friday],Holieday[date],CONCATENATE("&gt;","=",D214),Holieday[date],CONCATENATE("&lt;","=",J_SUBDAY(J_ADDDAY(D214,N214,1),1,1))))=1,J_SUBDAY(J_ADDDAY(D214,N214+1,1),1,1),IF((N214-NETWORKDAYS.INTL(J_GregorianDate(D214,1),J_GregorianDate(J_SUBDAY(J_ADDDAY(D214,N214,1),1,1),1),16,1)-SUMIFS(Holieday[ok],Holieday[date],CONCATENATE("&gt;","=",D214),Holieday[date],CONCATENATE("&lt;","=",J_SUBDAY(J_ADDDAY(D214,N214,1),1,1)))+SUMIFS(Holieday[Friday],Holieday[date],CONCATENATE("&gt;","=",D214),Holieday[date],CONCATENATE("&lt;","=",J_SUBDAY(J_ADDDAY(D214,N214,1),1,1))))=2,J_SUBDAY(J_ADDDAY(D214,N214+2,1),1,1),J_SUBDAY(J_ADDDAY(D214,N214+3,1),1,1)))))</f>
        <v>1398/06/30</v>
      </c>
      <c r="G214" s="2">
        <f t="shared" si="65"/>
        <v>13980630</v>
      </c>
      <c r="H214" s="109"/>
      <c r="I214" s="110">
        <v>1.1000000000000001</v>
      </c>
      <c r="J214" s="9">
        <f>j_WEEKDAY(D214,2)</f>
        <v>1</v>
      </c>
      <c r="K214" s="21">
        <f t="shared" si="69"/>
        <v>0</v>
      </c>
      <c r="L214" s="8">
        <f t="shared" si="68"/>
        <v>0</v>
      </c>
      <c r="M214" s="111">
        <v>0</v>
      </c>
      <c r="N214" s="108">
        <v>0</v>
      </c>
      <c r="O214" s="10">
        <f t="shared" si="66"/>
        <v>0</v>
      </c>
      <c r="P214" s="10">
        <f>VALUE(J_normdate(J_ADDDAY($D214,$O214,1)))</f>
        <v>13980631</v>
      </c>
      <c r="Q214" s="9">
        <f t="shared" si="67"/>
        <v>0</v>
      </c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  <c r="BB214" s="7"/>
      <c r="BC214" s="7"/>
      <c r="BD214" s="7"/>
      <c r="BE214" s="7"/>
      <c r="BF214" s="7"/>
      <c r="BG214" s="7"/>
      <c r="BH214" s="7"/>
      <c r="BI214" s="7"/>
      <c r="BJ214" s="7"/>
      <c r="BK214" s="7"/>
      <c r="BL214" s="7"/>
      <c r="BM214" s="7"/>
      <c r="BN214" s="7"/>
      <c r="BO214" s="7"/>
      <c r="BP214" s="7"/>
      <c r="BQ214" s="7"/>
      <c r="BR214" s="7"/>
      <c r="BS214" s="7"/>
      <c r="BT214" s="7"/>
      <c r="BU214" s="7"/>
      <c r="BV214" s="7"/>
      <c r="BW214" s="7"/>
      <c r="BX214" s="7"/>
      <c r="BY214" s="7"/>
      <c r="BZ214" s="7"/>
      <c r="CA214" s="7"/>
      <c r="CB214" s="7"/>
      <c r="CC214" s="7"/>
      <c r="CD214" s="7"/>
      <c r="CE214" s="7"/>
      <c r="CF214" s="7"/>
      <c r="CG214" s="7"/>
      <c r="CH214" s="7"/>
      <c r="CI214" s="7"/>
      <c r="CJ214" s="7"/>
      <c r="CK214" s="7"/>
      <c r="CL214" s="7"/>
      <c r="CM214" s="7"/>
      <c r="CN214" s="7"/>
      <c r="CO214" s="7"/>
      <c r="CP214" s="7"/>
      <c r="CQ214" s="7"/>
      <c r="CR214" s="7"/>
      <c r="CS214" s="7"/>
      <c r="CT214" s="7"/>
      <c r="CU214" s="7"/>
      <c r="CV214" s="7"/>
      <c r="CW214" s="7"/>
      <c r="CX214" s="7"/>
      <c r="CY214" s="7"/>
      <c r="CZ214" s="7"/>
      <c r="DA214" s="7"/>
      <c r="DB214" s="7"/>
      <c r="DC214" s="7"/>
      <c r="DD214" s="7"/>
      <c r="DE214" s="7"/>
      <c r="DF214" s="7"/>
      <c r="DG214" s="7"/>
      <c r="DH214" s="7"/>
      <c r="DI214" s="7"/>
      <c r="DJ214" s="7"/>
      <c r="DK214" s="7"/>
      <c r="DL214" s="7"/>
      <c r="DM214" s="7"/>
      <c r="DN214" s="7"/>
      <c r="DO214" s="7"/>
      <c r="DP214" s="7"/>
      <c r="DQ214" s="7"/>
      <c r="DR214" s="7"/>
      <c r="DS214" s="7"/>
      <c r="DT214" s="7"/>
      <c r="DU214" s="7"/>
      <c r="DV214" s="7"/>
      <c r="DW214" s="7"/>
      <c r="DX214" s="7"/>
      <c r="DY214" s="7"/>
      <c r="DZ214" s="7"/>
      <c r="EA214" s="7"/>
      <c r="EB214" s="7"/>
      <c r="EC214" s="7"/>
      <c r="ED214" s="7"/>
      <c r="EE214" s="7"/>
      <c r="EF214" s="7"/>
      <c r="EG214" s="7"/>
      <c r="EH214" s="7"/>
      <c r="EI214" s="7"/>
      <c r="EJ214" s="7"/>
      <c r="EK214" s="7"/>
      <c r="EL214" s="7"/>
      <c r="EM214" s="7"/>
      <c r="EN214" s="7"/>
      <c r="EO214" s="7"/>
      <c r="EP214" s="7"/>
      <c r="EQ214" s="7"/>
      <c r="ER214" s="7"/>
      <c r="ES214" s="7"/>
      <c r="ET214" s="7"/>
      <c r="EU214" s="7"/>
      <c r="EV214" s="7"/>
      <c r="EW214" s="7"/>
      <c r="EX214" s="7"/>
      <c r="EY214" s="7"/>
      <c r="EZ214" s="7"/>
      <c r="FA214" s="7"/>
      <c r="FB214" s="7"/>
      <c r="FC214" s="7"/>
      <c r="FD214" s="7"/>
      <c r="FE214" s="7"/>
      <c r="FF214" s="7"/>
      <c r="FG214" s="7"/>
      <c r="FH214" s="7"/>
      <c r="FI214" s="7"/>
      <c r="FJ214" s="7"/>
      <c r="FK214" s="7"/>
      <c r="FL214" s="7"/>
      <c r="FM214" s="7"/>
      <c r="FN214" s="7"/>
      <c r="FO214" s="7"/>
      <c r="FP214" s="7"/>
      <c r="FQ214" s="7"/>
      <c r="FR214" s="7"/>
      <c r="FS214" s="7"/>
      <c r="FT214" s="7"/>
      <c r="FU214" s="7"/>
      <c r="FV214" s="7"/>
      <c r="FW214" s="7"/>
      <c r="FX214" s="7"/>
      <c r="FY214" s="7"/>
      <c r="FZ214" s="7"/>
      <c r="GA214" s="7"/>
      <c r="GB214" s="7"/>
      <c r="GC214" s="7"/>
      <c r="GD214" s="7"/>
      <c r="GE214" s="7"/>
      <c r="GF214" s="7"/>
      <c r="GG214" s="7"/>
      <c r="GH214" s="7"/>
      <c r="GI214" s="7"/>
      <c r="GJ214" s="7"/>
      <c r="GK214" s="7"/>
      <c r="GL214" s="7"/>
      <c r="GM214" s="7"/>
      <c r="GN214" s="7"/>
      <c r="GO214" s="7"/>
      <c r="GP214" s="7"/>
      <c r="GQ214" s="7"/>
      <c r="GR214" s="7"/>
      <c r="GS214" s="7"/>
      <c r="GT214" s="7"/>
      <c r="GU214" s="7"/>
      <c r="GV214" s="7"/>
      <c r="GW214" s="7"/>
      <c r="GX214" s="7"/>
      <c r="GY214" s="7"/>
      <c r="GZ214" s="7"/>
      <c r="HA214" s="7"/>
      <c r="HB214" s="7"/>
      <c r="HC214" s="7"/>
      <c r="HD214" s="7"/>
      <c r="HE214" s="7"/>
      <c r="HF214" s="7"/>
      <c r="HG214" s="7"/>
      <c r="HH214" s="7"/>
      <c r="HI214" s="7"/>
      <c r="HJ214" s="7"/>
      <c r="HK214" s="7"/>
      <c r="HL214" s="7"/>
      <c r="HM214" s="7"/>
      <c r="HN214" s="7"/>
      <c r="HO214" s="7"/>
      <c r="HP214" s="7"/>
      <c r="HQ214" s="7"/>
      <c r="HR214" s="7"/>
      <c r="HS214" s="7"/>
      <c r="HT214" s="7"/>
      <c r="HU214" s="7"/>
      <c r="HV214" s="7"/>
      <c r="HW214" s="7"/>
      <c r="HX214" s="7"/>
      <c r="HY214" s="7"/>
      <c r="HZ214" s="7"/>
      <c r="IA214" s="7"/>
      <c r="IB214" s="7"/>
      <c r="IC214" s="7"/>
      <c r="ID214" s="7"/>
      <c r="IE214" s="7"/>
      <c r="IF214" s="7"/>
      <c r="IG214" s="7"/>
      <c r="IH214" s="7"/>
      <c r="II214" s="7"/>
      <c r="IJ214" s="7"/>
      <c r="IK214" s="7"/>
      <c r="IL214" s="7"/>
      <c r="IM214" s="7"/>
      <c r="IN214" s="7"/>
      <c r="IO214" s="7"/>
      <c r="IP214" s="7"/>
      <c r="IQ214" s="7"/>
      <c r="IR214" s="7"/>
      <c r="IS214" s="7"/>
      <c r="IT214" s="7"/>
      <c r="IU214" s="7"/>
      <c r="IV214" s="7"/>
      <c r="IW214" s="7"/>
      <c r="IX214" s="7"/>
      <c r="JA214" s="113"/>
      <c r="JB214" s="113"/>
      <c r="JC214" s="113"/>
      <c r="JD214" s="66">
        <f>SUM((TEXT(JA214,"[M]")/60)*'Income Person-hours'!$D$3,(TEXT(JB214,"[M]")/60)*'Income Person-hours'!$D$4,(TEXT(JC214,"[M]")/60)*'Income Person-hours'!$D$5)</f>
        <v>0</v>
      </c>
    </row>
    <row r="215" spans="1:264 16383:16384" s="11" customFormat="1" ht="11.25" hidden="1">
      <c r="A215" s="30">
        <v>9.15</v>
      </c>
      <c r="B215" s="116"/>
      <c r="C215" s="107"/>
      <c r="D215" s="12" t="str">
        <f>IF(OR(j_WEEKDAY(J_ADDDAY(VLOOKUP(I215,A:F,6,FALSE),H215,1),0)=6,SUMIFS(Holieday[ok],Holieday[date],J_ADDDAY(VLOOKUP(I215,A:F,6,FALSE),H215,1)))=FALSE(),J_ADDDAY(VLOOKUP(I215,A:F,6,FALSE),H215,1),IF(OR(j_WEEKDAY(J_ADDDAY(VLOOKUP(I215,A:F,6,FALSE),H215+1,1),0)=6,SUMIFS(Holieday[ok],Holieday[date],J_ADDDAY(VLOOKUP(I215,A:F,6,FALSE),H215+1,1)))=FALSE(),J_ADDDAY(VLOOKUP(I215,A:F,6,FALSE),H215+1,1),IF(OR(j_WEEKDAY(J_ADDDAY(VLOOKUP(I215,A:F,6,FALSE),H215+2,1),0)=6,SUMIFS(Holieday[ok],Holieday[date],J_ADDDAY(VLOOKUP(I215,A:F,6,FALSE),H215+2,1)))=FALSE(),J_ADDDAY(VLOOKUP(I215,A:F,6,FALSE),H215+2,1),IF(OR(j_WEEKDAY(J_ADDDAY(VLOOKUP(I215,A:F,6,FALSE),H215+3,1),0)=6,SUMIFS(Holieday[ok],Holieday[date],J_ADDDAY(VLOOKUP(I215,A:F,6,FALSE),H215+3,1)))=FALSE(),J_ADDDAY(VLOOKUP(I215,A:F,6,FALSE),H215+3,1),IF(OR(j_WEEKDAY(J_ADDDAY(VLOOKUP(I215,A:F,6,FALSE),H215+4,1),0)=6,SUMIFS(Holieday[ok],Holieday[date],J_ADDDAY(VLOOKUP(I215,A:F,6,FALSE),H215+4,1)))=FALSE(),J_ADDDAY(VLOOKUP(I215,A:F,6,FALSE),H215+4,1),J_ADDDAY(VLOOKUP(I215,A:F,6,FALSE),H215+5,1))))))</f>
        <v>1398/06/31</v>
      </c>
      <c r="E215" s="1">
        <f t="shared" si="64"/>
        <v>13980631</v>
      </c>
      <c r="F215" s="12" t="str">
        <f>IF(N215=0,J_SUBDAY(D215,1,1),IF((N215-NETWORKDAYS.INTL(J_GregorianDate(D215,1),J_GregorianDate(J_SUBDAY(J_ADDDAY(D215,N215,1),1,1),1),16,1)-SUMIFS(Holieday[ok],Holieday[date],CONCATENATE("&gt;","=",D215),Holieday[date],CONCATENATE("&lt;","=",J_SUBDAY(J_ADDDAY(D215,N215,1),1,1)))+SUMIFS(Holieday[Friday],Holieday[date],CONCATENATE("&gt;","=",D215),Holieday[date],CONCATENATE("&lt;","=",J_SUBDAY(J_ADDDAY(D215,N215,1),1,1))))=0,J_SUBDAY(J_ADDDAY(D215,N215,1),1,1),IF((N215-NETWORKDAYS.INTL(J_GregorianDate(D215,1),J_GregorianDate(J_SUBDAY(J_ADDDAY(D215,N215,1),1,1),1),16,1)-SUMIFS(Holieday[ok],Holieday[date],CONCATENATE("&gt;","=",D215),Holieday[date],CONCATENATE("&lt;","=",J_SUBDAY(J_ADDDAY(D215,N215,1),1,1)))+SUMIFS(Holieday[Friday],Holieday[date],CONCATENATE("&gt;","=",D215),Holieday[date],CONCATENATE("&lt;","=",J_SUBDAY(J_ADDDAY(D215,N215,1),1,1))))=1,J_SUBDAY(J_ADDDAY(D215,N215+1,1),1,1),IF((N215-NETWORKDAYS.INTL(J_GregorianDate(D215,1),J_GregorianDate(J_SUBDAY(J_ADDDAY(D215,N215,1),1,1),1),16,1)-SUMIFS(Holieday[ok],Holieday[date],CONCATENATE("&gt;","=",D215),Holieday[date],CONCATENATE("&lt;","=",J_SUBDAY(J_ADDDAY(D215,N215,1),1,1)))+SUMIFS(Holieday[Friday],Holieday[date],CONCATENATE("&gt;","=",D215),Holieday[date],CONCATENATE("&lt;","=",J_SUBDAY(J_ADDDAY(D215,N215,1),1,1))))=2,J_SUBDAY(J_ADDDAY(D215,N215+2,1),1,1),J_SUBDAY(J_ADDDAY(D215,N215+3,1),1,1)))))</f>
        <v>1398/06/30</v>
      </c>
      <c r="G215" s="2">
        <f t="shared" si="65"/>
        <v>13980630</v>
      </c>
      <c r="H215" s="109"/>
      <c r="I215" s="110">
        <v>1.1000000000000001</v>
      </c>
      <c r="J215" s="9">
        <f>j_WEEKDAY(D215,2)</f>
        <v>1</v>
      </c>
      <c r="K215" s="21">
        <f t="shared" si="69"/>
        <v>0</v>
      </c>
      <c r="L215" s="8">
        <f t="shared" si="68"/>
        <v>0</v>
      </c>
      <c r="M215" s="111">
        <v>0</v>
      </c>
      <c r="N215" s="108">
        <v>0</v>
      </c>
      <c r="O215" s="10">
        <f t="shared" si="66"/>
        <v>0</v>
      </c>
      <c r="P215" s="10">
        <f>VALUE(J_normdate(J_ADDDAY($D215,$O215,1)))</f>
        <v>13980631</v>
      </c>
      <c r="Q215" s="9">
        <f t="shared" si="67"/>
        <v>0</v>
      </c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  <c r="BP215" s="7"/>
      <c r="BQ215" s="7"/>
      <c r="BR215" s="7"/>
      <c r="BS215" s="7"/>
      <c r="BT215" s="7"/>
      <c r="BU215" s="7"/>
      <c r="BV215" s="7"/>
      <c r="BW215" s="7"/>
      <c r="BX215" s="7"/>
      <c r="BY215" s="7"/>
      <c r="BZ215" s="7"/>
      <c r="CA215" s="7"/>
      <c r="CB215" s="7"/>
      <c r="CC215" s="7"/>
      <c r="CD215" s="7"/>
      <c r="CE215" s="7"/>
      <c r="CF215" s="7"/>
      <c r="CG215" s="7"/>
      <c r="CH215" s="7"/>
      <c r="CI215" s="7"/>
      <c r="CJ215" s="7"/>
      <c r="CK215" s="7"/>
      <c r="CL215" s="7"/>
      <c r="CM215" s="7"/>
      <c r="CN215" s="7"/>
      <c r="CO215" s="7"/>
      <c r="CP215" s="7"/>
      <c r="CQ215" s="7"/>
      <c r="CR215" s="7"/>
      <c r="CS215" s="7"/>
      <c r="CT215" s="7"/>
      <c r="CU215" s="7"/>
      <c r="CV215" s="7"/>
      <c r="CW215" s="7"/>
      <c r="CX215" s="7"/>
      <c r="CY215" s="7"/>
      <c r="CZ215" s="7"/>
      <c r="DA215" s="7"/>
      <c r="DB215" s="7"/>
      <c r="DC215" s="7"/>
      <c r="DD215" s="7"/>
      <c r="DE215" s="7"/>
      <c r="DF215" s="7"/>
      <c r="DG215" s="7"/>
      <c r="DH215" s="7"/>
      <c r="DI215" s="7"/>
      <c r="DJ215" s="7"/>
      <c r="DK215" s="7"/>
      <c r="DL215" s="7"/>
      <c r="DM215" s="7"/>
      <c r="DN215" s="7"/>
      <c r="DO215" s="7"/>
      <c r="DP215" s="7"/>
      <c r="DQ215" s="7"/>
      <c r="DR215" s="7"/>
      <c r="DS215" s="7"/>
      <c r="DT215" s="7"/>
      <c r="DU215" s="7"/>
      <c r="DV215" s="7"/>
      <c r="DW215" s="7"/>
      <c r="DX215" s="7"/>
      <c r="DY215" s="7"/>
      <c r="DZ215" s="7"/>
      <c r="EA215" s="7"/>
      <c r="EB215" s="7"/>
      <c r="EC215" s="7"/>
      <c r="ED215" s="7"/>
      <c r="EE215" s="7"/>
      <c r="EF215" s="7"/>
      <c r="EG215" s="7"/>
      <c r="EH215" s="7"/>
      <c r="EI215" s="7"/>
      <c r="EJ215" s="7"/>
      <c r="EK215" s="7"/>
      <c r="EL215" s="7"/>
      <c r="EM215" s="7"/>
      <c r="EN215" s="7"/>
      <c r="EO215" s="7"/>
      <c r="EP215" s="7"/>
      <c r="EQ215" s="7"/>
      <c r="ER215" s="7"/>
      <c r="ES215" s="7"/>
      <c r="ET215" s="7"/>
      <c r="EU215" s="7"/>
      <c r="EV215" s="7"/>
      <c r="EW215" s="7"/>
      <c r="EX215" s="7"/>
      <c r="EY215" s="7"/>
      <c r="EZ215" s="7"/>
      <c r="FA215" s="7"/>
      <c r="FB215" s="7"/>
      <c r="FC215" s="7"/>
      <c r="FD215" s="7"/>
      <c r="FE215" s="7"/>
      <c r="FF215" s="7"/>
      <c r="FG215" s="7"/>
      <c r="FH215" s="7"/>
      <c r="FI215" s="7"/>
      <c r="FJ215" s="7"/>
      <c r="FK215" s="7"/>
      <c r="FL215" s="7"/>
      <c r="FM215" s="7"/>
      <c r="FN215" s="7"/>
      <c r="FO215" s="7"/>
      <c r="FP215" s="7"/>
      <c r="FQ215" s="7"/>
      <c r="FR215" s="7"/>
      <c r="FS215" s="7"/>
      <c r="FT215" s="7"/>
      <c r="FU215" s="7"/>
      <c r="FV215" s="7"/>
      <c r="FW215" s="7"/>
      <c r="FX215" s="7"/>
      <c r="FY215" s="7"/>
      <c r="FZ215" s="7"/>
      <c r="GA215" s="7"/>
      <c r="GB215" s="7"/>
      <c r="GC215" s="7"/>
      <c r="GD215" s="7"/>
      <c r="GE215" s="7"/>
      <c r="GF215" s="7"/>
      <c r="GG215" s="7"/>
      <c r="GH215" s="7"/>
      <c r="GI215" s="7"/>
      <c r="GJ215" s="7"/>
      <c r="GK215" s="7"/>
      <c r="GL215" s="7"/>
      <c r="GM215" s="7"/>
      <c r="GN215" s="7"/>
      <c r="GO215" s="7"/>
      <c r="GP215" s="7"/>
      <c r="GQ215" s="7"/>
      <c r="GR215" s="7"/>
      <c r="GS215" s="7"/>
      <c r="GT215" s="7"/>
      <c r="GU215" s="7"/>
      <c r="GV215" s="7"/>
      <c r="GW215" s="7"/>
      <c r="GX215" s="7"/>
      <c r="GY215" s="7"/>
      <c r="GZ215" s="7"/>
      <c r="HA215" s="7"/>
      <c r="HB215" s="7"/>
      <c r="HC215" s="7"/>
      <c r="HD215" s="7"/>
      <c r="HE215" s="7"/>
      <c r="HF215" s="7"/>
      <c r="HG215" s="7"/>
      <c r="HH215" s="7"/>
      <c r="HI215" s="7"/>
      <c r="HJ215" s="7"/>
      <c r="HK215" s="7"/>
      <c r="HL215" s="7"/>
      <c r="HM215" s="7"/>
      <c r="HN215" s="7"/>
      <c r="HO215" s="7"/>
      <c r="HP215" s="7"/>
      <c r="HQ215" s="7"/>
      <c r="HR215" s="7"/>
      <c r="HS215" s="7"/>
      <c r="HT215" s="7"/>
      <c r="HU215" s="7"/>
      <c r="HV215" s="7"/>
      <c r="HW215" s="7"/>
      <c r="HX215" s="7"/>
      <c r="HY215" s="7"/>
      <c r="HZ215" s="7"/>
      <c r="IA215" s="7"/>
      <c r="IB215" s="7"/>
      <c r="IC215" s="7"/>
      <c r="ID215" s="7"/>
      <c r="IE215" s="7"/>
      <c r="IF215" s="7"/>
      <c r="IG215" s="7"/>
      <c r="IH215" s="7"/>
      <c r="II215" s="7"/>
      <c r="IJ215" s="7"/>
      <c r="IK215" s="7"/>
      <c r="IL215" s="7"/>
      <c r="IM215" s="7"/>
      <c r="IN215" s="7"/>
      <c r="IO215" s="7"/>
      <c r="IP215" s="7"/>
      <c r="IQ215" s="7"/>
      <c r="IR215" s="7"/>
      <c r="IS215" s="7"/>
      <c r="IT215" s="7"/>
      <c r="IU215" s="7"/>
      <c r="IV215" s="7"/>
      <c r="IW215" s="7"/>
      <c r="IX215" s="7"/>
      <c r="JA215" s="113"/>
      <c r="JB215" s="113"/>
      <c r="JC215" s="113"/>
      <c r="JD215" s="66">
        <f>SUM((TEXT(JA215,"[M]")/60)*'Income Person-hours'!$D$3,(TEXT(JB215,"[M]")/60)*'Income Person-hours'!$D$4,(TEXT(JC215,"[M]")/60)*'Income Person-hours'!$D$5)</f>
        <v>0</v>
      </c>
    </row>
    <row r="216" spans="1:264 16383:16384" s="11" customFormat="1" ht="11.25" hidden="1">
      <c r="A216" s="30">
        <v>9.16</v>
      </c>
      <c r="B216" s="116"/>
      <c r="C216" s="107"/>
      <c r="D216" s="12" t="str">
        <f>IF(OR(j_WEEKDAY(J_ADDDAY(VLOOKUP(I216,A:F,6,FALSE),H216,1),0)=6,SUMIFS(Holieday[ok],Holieday[date],J_ADDDAY(VLOOKUP(I216,A:F,6,FALSE),H216,1)))=FALSE(),J_ADDDAY(VLOOKUP(I216,A:F,6,FALSE),H216,1),IF(OR(j_WEEKDAY(J_ADDDAY(VLOOKUP(I216,A:F,6,FALSE),H216+1,1),0)=6,SUMIFS(Holieday[ok],Holieday[date],J_ADDDAY(VLOOKUP(I216,A:F,6,FALSE),H216+1,1)))=FALSE(),J_ADDDAY(VLOOKUP(I216,A:F,6,FALSE),H216+1,1),IF(OR(j_WEEKDAY(J_ADDDAY(VLOOKUP(I216,A:F,6,FALSE),H216+2,1),0)=6,SUMIFS(Holieday[ok],Holieday[date],J_ADDDAY(VLOOKUP(I216,A:F,6,FALSE),H216+2,1)))=FALSE(),J_ADDDAY(VLOOKUP(I216,A:F,6,FALSE),H216+2,1),IF(OR(j_WEEKDAY(J_ADDDAY(VLOOKUP(I216,A:F,6,FALSE),H216+3,1),0)=6,SUMIFS(Holieday[ok],Holieday[date],J_ADDDAY(VLOOKUP(I216,A:F,6,FALSE),H216+3,1)))=FALSE(),J_ADDDAY(VLOOKUP(I216,A:F,6,FALSE),H216+3,1),IF(OR(j_WEEKDAY(J_ADDDAY(VLOOKUP(I216,A:F,6,FALSE),H216+4,1),0)=6,SUMIFS(Holieday[ok],Holieday[date],J_ADDDAY(VLOOKUP(I216,A:F,6,FALSE),H216+4,1)))=FALSE(),J_ADDDAY(VLOOKUP(I216,A:F,6,FALSE),H216+4,1),J_ADDDAY(VLOOKUP(I216,A:F,6,FALSE),H216+5,1))))))</f>
        <v>1398/06/31</v>
      </c>
      <c r="E216" s="1">
        <f t="shared" si="64"/>
        <v>13980631</v>
      </c>
      <c r="F216" s="12" t="str">
        <f>IF(N216=0,J_SUBDAY(D216,1,1),IF((N216-NETWORKDAYS.INTL(J_GregorianDate(D216,1),J_GregorianDate(J_SUBDAY(J_ADDDAY(D216,N216,1),1,1),1),16,1)-SUMIFS(Holieday[ok],Holieday[date],CONCATENATE("&gt;","=",D216),Holieday[date],CONCATENATE("&lt;","=",J_SUBDAY(J_ADDDAY(D216,N216,1),1,1)))+SUMIFS(Holieday[Friday],Holieday[date],CONCATENATE("&gt;","=",D216),Holieday[date],CONCATENATE("&lt;","=",J_SUBDAY(J_ADDDAY(D216,N216,1),1,1))))=0,J_SUBDAY(J_ADDDAY(D216,N216,1),1,1),IF((N216-NETWORKDAYS.INTL(J_GregorianDate(D216,1),J_GregorianDate(J_SUBDAY(J_ADDDAY(D216,N216,1),1,1),1),16,1)-SUMIFS(Holieday[ok],Holieday[date],CONCATENATE("&gt;","=",D216),Holieday[date],CONCATENATE("&lt;","=",J_SUBDAY(J_ADDDAY(D216,N216,1),1,1)))+SUMIFS(Holieday[Friday],Holieday[date],CONCATENATE("&gt;","=",D216),Holieday[date],CONCATENATE("&lt;","=",J_SUBDAY(J_ADDDAY(D216,N216,1),1,1))))=1,J_SUBDAY(J_ADDDAY(D216,N216+1,1),1,1),IF((N216-NETWORKDAYS.INTL(J_GregorianDate(D216,1),J_GregorianDate(J_SUBDAY(J_ADDDAY(D216,N216,1),1,1),1),16,1)-SUMIFS(Holieday[ok],Holieday[date],CONCATENATE("&gt;","=",D216),Holieday[date],CONCATENATE("&lt;","=",J_SUBDAY(J_ADDDAY(D216,N216,1),1,1)))+SUMIFS(Holieday[Friday],Holieday[date],CONCATENATE("&gt;","=",D216),Holieday[date],CONCATENATE("&lt;","=",J_SUBDAY(J_ADDDAY(D216,N216,1),1,1))))=2,J_SUBDAY(J_ADDDAY(D216,N216+2,1),1,1),J_SUBDAY(J_ADDDAY(D216,N216+3,1),1,1)))))</f>
        <v>1398/06/30</v>
      </c>
      <c r="G216" s="2">
        <f t="shared" si="65"/>
        <v>13980630</v>
      </c>
      <c r="H216" s="109"/>
      <c r="I216" s="110">
        <v>1.1000000000000001</v>
      </c>
      <c r="J216" s="9">
        <f>j_WEEKDAY(D216,2)</f>
        <v>1</v>
      </c>
      <c r="K216" s="21">
        <f t="shared" si="69"/>
        <v>0</v>
      </c>
      <c r="L216" s="8">
        <f t="shared" si="68"/>
        <v>0</v>
      </c>
      <c r="M216" s="111">
        <v>0</v>
      </c>
      <c r="N216" s="108">
        <v>0</v>
      </c>
      <c r="O216" s="10">
        <f t="shared" si="66"/>
        <v>0</v>
      </c>
      <c r="P216" s="10">
        <f>VALUE(J_normdate(J_ADDDAY($D216,$O216,1)))</f>
        <v>13980631</v>
      </c>
      <c r="Q216" s="9">
        <f t="shared" si="67"/>
        <v>0</v>
      </c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  <c r="BP216" s="7"/>
      <c r="BQ216" s="7"/>
      <c r="BR216" s="7"/>
      <c r="BS216" s="7"/>
      <c r="BT216" s="7"/>
      <c r="BU216" s="7"/>
      <c r="BV216" s="7"/>
      <c r="BW216" s="7"/>
      <c r="BX216" s="7"/>
      <c r="BY216" s="7"/>
      <c r="BZ216" s="7"/>
      <c r="CA216" s="7"/>
      <c r="CB216" s="7"/>
      <c r="CC216" s="7"/>
      <c r="CD216" s="7"/>
      <c r="CE216" s="7"/>
      <c r="CF216" s="7"/>
      <c r="CG216" s="7"/>
      <c r="CH216" s="7"/>
      <c r="CI216" s="7"/>
      <c r="CJ216" s="7"/>
      <c r="CK216" s="7"/>
      <c r="CL216" s="7"/>
      <c r="CM216" s="7"/>
      <c r="CN216" s="7"/>
      <c r="CO216" s="7"/>
      <c r="CP216" s="7"/>
      <c r="CQ216" s="7"/>
      <c r="CR216" s="7"/>
      <c r="CS216" s="7"/>
      <c r="CT216" s="7"/>
      <c r="CU216" s="7"/>
      <c r="CV216" s="7"/>
      <c r="CW216" s="7"/>
      <c r="CX216" s="7"/>
      <c r="CY216" s="7"/>
      <c r="CZ216" s="7"/>
      <c r="DA216" s="7"/>
      <c r="DB216" s="7"/>
      <c r="DC216" s="7"/>
      <c r="DD216" s="7"/>
      <c r="DE216" s="7"/>
      <c r="DF216" s="7"/>
      <c r="DG216" s="7"/>
      <c r="DH216" s="7"/>
      <c r="DI216" s="7"/>
      <c r="DJ216" s="7"/>
      <c r="DK216" s="7"/>
      <c r="DL216" s="7"/>
      <c r="DM216" s="7"/>
      <c r="DN216" s="7"/>
      <c r="DO216" s="7"/>
      <c r="DP216" s="7"/>
      <c r="DQ216" s="7"/>
      <c r="DR216" s="7"/>
      <c r="DS216" s="7"/>
      <c r="DT216" s="7"/>
      <c r="DU216" s="7"/>
      <c r="DV216" s="7"/>
      <c r="DW216" s="7"/>
      <c r="DX216" s="7"/>
      <c r="DY216" s="7"/>
      <c r="DZ216" s="7"/>
      <c r="EA216" s="7"/>
      <c r="EB216" s="7"/>
      <c r="EC216" s="7"/>
      <c r="ED216" s="7"/>
      <c r="EE216" s="7"/>
      <c r="EF216" s="7"/>
      <c r="EG216" s="7"/>
      <c r="EH216" s="7"/>
      <c r="EI216" s="7"/>
      <c r="EJ216" s="7"/>
      <c r="EK216" s="7"/>
      <c r="EL216" s="7"/>
      <c r="EM216" s="7"/>
      <c r="EN216" s="7"/>
      <c r="EO216" s="7"/>
      <c r="EP216" s="7"/>
      <c r="EQ216" s="7"/>
      <c r="ER216" s="7"/>
      <c r="ES216" s="7"/>
      <c r="ET216" s="7"/>
      <c r="EU216" s="7"/>
      <c r="EV216" s="7"/>
      <c r="EW216" s="7"/>
      <c r="EX216" s="7"/>
      <c r="EY216" s="7"/>
      <c r="EZ216" s="7"/>
      <c r="FA216" s="7"/>
      <c r="FB216" s="7"/>
      <c r="FC216" s="7"/>
      <c r="FD216" s="7"/>
      <c r="FE216" s="7"/>
      <c r="FF216" s="7"/>
      <c r="FG216" s="7"/>
      <c r="FH216" s="7"/>
      <c r="FI216" s="7"/>
      <c r="FJ216" s="7"/>
      <c r="FK216" s="7"/>
      <c r="FL216" s="7"/>
      <c r="FM216" s="7"/>
      <c r="FN216" s="7"/>
      <c r="FO216" s="7"/>
      <c r="FP216" s="7"/>
      <c r="FQ216" s="7"/>
      <c r="FR216" s="7"/>
      <c r="FS216" s="7"/>
      <c r="FT216" s="7"/>
      <c r="FU216" s="7"/>
      <c r="FV216" s="7"/>
      <c r="FW216" s="7"/>
      <c r="FX216" s="7"/>
      <c r="FY216" s="7"/>
      <c r="FZ216" s="7"/>
      <c r="GA216" s="7"/>
      <c r="GB216" s="7"/>
      <c r="GC216" s="7"/>
      <c r="GD216" s="7"/>
      <c r="GE216" s="7"/>
      <c r="GF216" s="7"/>
      <c r="GG216" s="7"/>
      <c r="GH216" s="7"/>
      <c r="GI216" s="7"/>
      <c r="GJ216" s="7"/>
      <c r="GK216" s="7"/>
      <c r="GL216" s="7"/>
      <c r="GM216" s="7"/>
      <c r="GN216" s="7"/>
      <c r="GO216" s="7"/>
      <c r="GP216" s="7"/>
      <c r="GQ216" s="7"/>
      <c r="GR216" s="7"/>
      <c r="GS216" s="7"/>
      <c r="GT216" s="7"/>
      <c r="GU216" s="7"/>
      <c r="GV216" s="7"/>
      <c r="GW216" s="7"/>
      <c r="GX216" s="7"/>
      <c r="GY216" s="7"/>
      <c r="GZ216" s="7"/>
      <c r="HA216" s="7"/>
      <c r="HB216" s="7"/>
      <c r="HC216" s="7"/>
      <c r="HD216" s="7"/>
      <c r="HE216" s="7"/>
      <c r="HF216" s="7"/>
      <c r="HG216" s="7"/>
      <c r="HH216" s="7"/>
      <c r="HI216" s="7"/>
      <c r="HJ216" s="7"/>
      <c r="HK216" s="7"/>
      <c r="HL216" s="7"/>
      <c r="HM216" s="7"/>
      <c r="HN216" s="7"/>
      <c r="HO216" s="7"/>
      <c r="HP216" s="7"/>
      <c r="HQ216" s="7"/>
      <c r="HR216" s="7"/>
      <c r="HS216" s="7"/>
      <c r="HT216" s="7"/>
      <c r="HU216" s="7"/>
      <c r="HV216" s="7"/>
      <c r="HW216" s="7"/>
      <c r="HX216" s="7"/>
      <c r="HY216" s="7"/>
      <c r="HZ216" s="7"/>
      <c r="IA216" s="7"/>
      <c r="IB216" s="7"/>
      <c r="IC216" s="7"/>
      <c r="ID216" s="7"/>
      <c r="IE216" s="7"/>
      <c r="IF216" s="7"/>
      <c r="IG216" s="7"/>
      <c r="IH216" s="7"/>
      <c r="II216" s="7"/>
      <c r="IJ216" s="7"/>
      <c r="IK216" s="7"/>
      <c r="IL216" s="7"/>
      <c r="IM216" s="7"/>
      <c r="IN216" s="7"/>
      <c r="IO216" s="7"/>
      <c r="IP216" s="7"/>
      <c r="IQ216" s="7"/>
      <c r="IR216" s="7"/>
      <c r="IS216" s="7"/>
      <c r="IT216" s="7"/>
      <c r="IU216" s="7"/>
      <c r="IV216" s="7"/>
      <c r="IW216" s="7"/>
      <c r="IX216" s="7"/>
      <c r="JA216" s="113"/>
      <c r="JB216" s="113"/>
      <c r="JC216" s="113"/>
      <c r="JD216" s="66">
        <f>SUM((TEXT(JA216,"[M]")/60)*'Income Person-hours'!$D$3,(TEXT(JB216,"[M]")/60)*'Income Person-hours'!$D$4,(TEXT(JC216,"[M]")/60)*'Income Person-hours'!$D$5)</f>
        <v>0</v>
      </c>
    </row>
    <row r="217" spans="1:264 16383:16384" s="11" customFormat="1" ht="11.25" hidden="1">
      <c r="A217" s="30">
        <v>9.17</v>
      </c>
      <c r="B217" s="116"/>
      <c r="C217" s="107"/>
      <c r="D217" s="12" t="str">
        <f>IF(OR(j_WEEKDAY(J_ADDDAY(VLOOKUP(I217,A:F,6,FALSE),H217,1),0)=6,SUMIFS(Holieday[ok],Holieday[date],J_ADDDAY(VLOOKUP(I217,A:F,6,FALSE),H217,1)))=FALSE(),J_ADDDAY(VLOOKUP(I217,A:F,6,FALSE),H217,1),IF(OR(j_WEEKDAY(J_ADDDAY(VLOOKUP(I217,A:F,6,FALSE),H217+1,1),0)=6,SUMIFS(Holieday[ok],Holieday[date],J_ADDDAY(VLOOKUP(I217,A:F,6,FALSE),H217+1,1)))=FALSE(),J_ADDDAY(VLOOKUP(I217,A:F,6,FALSE),H217+1,1),IF(OR(j_WEEKDAY(J_ADDDAY(VLOOKUP(I217,A:F,6,FALSE),H217+2,1),0)=6,SUMIFS(Holieday[ok],Holieday[date],J_ADDDAY(VLOOKUP(I217,A:F,6,FALSE),H217+2,1)))=FALSE(),J_ADDDAY(VLOOKUP(I217,A:F,6,FALSE),H217+2,1),IF(OR(j_WEEKDAY(J_ADDDAY(VLOOKUP(I217,A:F,6,FALSE),H217+3,1),0)=6,SUMIFS(Holieday[ok],Holieday[date],J_ADDDAY(VLOOKUP(I217,A:F,6,FALSE),H217+3,1)))=FALSE(),J_ADDDAY(VLOOKUP(I217,A:F,6,FALSE),H217+3,1),IF(OR(j_WEEKDAY(J_ADDDAY(VLOOKUP(I217,A:F,6,FALSE),H217+4,1),0)=6,SUMIFS(Holieday[ok],Holieday[date],J_ADDDAY(VLOOKUP(I217,A:F,6,FALSE),H217+4,1)))=FALSE(),J_ADDDAY(VLOOKUP(I217,A:F,6,FALSE),H217+4,1),J_ADDDAY(VLOOKUP(I217,A:F,6,FALSE),H217+5,1))))))</f>
        <v>1398/06/31</v>
      </c>
      <c r="E217" s="1">
        <f t="shared" si="64"/>
        <v>13980631</v>
      </c>
      <c r="F217" s="12" t="str">
        <f>IF(N217=0,J_SUBDAY(D217,1,1),IF((N217-NETWORKDAYS.INTL(J_GregorianDate(D217,1),J_GregorianDate(J_SUBDAY(J_ADDDAY(D217,N217,1),1,1),1),16,1)-SUMIFS(Holieday[ok],Holieday[date],CONCATENATE("&gt;","=",D217),Holieday[date],CONCATENATE("&lt;","=",J_SUBDAY(J_ADDDAY(D217,N217,1),1,1)))+SUMIFS(Holieday[Friday],Holieday[date],CONCATENATE("&gt;","=",D217),Holieday[date],CONCATENATE("&lt;","=",J_SUBDAY(J_ADDDAY(D217,N217,1),1,1))))=0,J_SUBDAY(J_ADDDAY(D217,N217,1),1,1),IF((N217-NETWORKDAYS.INTL(J_GregorianDate(D217,1),J_GregorianDate(J_SUBDAY(J_ADDDAY(D217,N217,1),1,1),1),16,1)-SUMIFS(Holieday[ok],Holieday[date],CONCATENATE("&gt;","=",D217),Holieday[date],CONCATENATE("&lt;","=",J_SUBDAY(J_ADDDAY(D217,N217,1),1,1)))+SUMIFS(Holieday[Friday],Holieday[date],CONCATENATE("&gt;","=",D217),Holieday[date],CONCATENATE("&lt;","=",J_SUBDAY(J_ADDDAY(D217,N217,1),1,1))))=1,J_SUBDAY(J_ADDDAY(D217,N217+1,1),1,1),IF((N217-NETWORKDAYS.INTL(J_GregorianDate(D217,1),J_GregorianDate(J_SUBDAY(J_ADDDAY(D217,N217,1),1,1),1),16,1)-SUMIFS(Holieday[ok],Holieday[date],CONCATENATE("&gt;","=",D217),Holieday[date],CONCATENATE("&lt;","=",J_SUBDAY(J_ADDDAY(D217,N217,1),1,1)))+SUMIFS(Holieday[Friday],Holieday[date],CONCATENATE("&gt;","=",D217),Holieday[date],CONCATENATE("&lt;","=",J_SUBDAY(J_ADDDAY(D217,N217,1),1,1))))=2,J_SUBDAY(J_ADDDAY(D217,N217+2,1),1,1),J_SUBDAY(J_ADDDAY(D217,N217+3,1),1,1)))))</f>
        <v>1398/06/30</v>
      </c>
      <c r="G217" s="2">
        <f t="shared" si="65"/>
        <v>13980630</v>
      </c>
      <c r="H217" s="109"/>
      <c r="I217" s="110">
        <v>1.1000000000000001</v>
      </c>
      <c r="J217" s="9">
        <f>j_WEEKDAY(D217,2)</f>
        <v>1</v>
      </c>
      <c r="K217" s="21">
        <f t="shared" si="69"/>
        <v>0</v>
      </c>
      <c r="L217" s="8">
        <f t="shared" si="68"/>
        <v>0</v>
      </c>
      <c r="M217" s="111">
        <v>0</v>
      </c>
      <c r="N217" s="108">
        <v>0</v>
      </c>
      <c r="O217" s="10">
        <f t="shared" si="66"/>
        <v>0</v>
      </c>
      <c r="P217" s="10">
        <f>VALUE(J_normdate(J_ADDDAY($D217,$O217,1)))</f>
        <v>13980631</v>
      </c>
      <c r="Q217" s="9">
        <f t="shared" si="67"/>
        <v>0</v>
      </c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  <c r="BP217" s="7"/>
      <c r="BQ217" s="7"/>
      <c r="BR217" s="7"/>
      <c r="BS217" s="7"/>
      <c r="BT217" s="7"/>
      <c r="BU217" s="7"/>
      <c r="BV217" s="7"/>
      <c r="BW217" s="7"/>
      <c r="BX217" s="7"/>
      <c r="BY217" s="7"/>
      <c r="BZ217" s="7"/>
      <c r="CA217" s="7"/>
      <c r="CB217" s="7"/>
      <c r="CC217" s="7"/>
      <c r="CD217" s="7"/>
      <c r="CE217" s="7"/>
      <c r="CF217" s="7"/>
      <c r="CG217" s="7"/>
      <c r="CH217" s="7"/>
      <c r="CI217" s="7"/>
      <c r="CJ217" s="7"/>
      <c r="CK217" s="7"/>
      <c r="CL217" s="7"/>
      <c r="CM217" s="7"/>
      <c r="CN217" s="7"/>
      <c r="CO217" s="7"/>
      <c r="CP217" s="7"/>
      <c r="CQ217" s="7"/>
      <c r="CR217" s="7"/>
      <c r="CS217" s="7"/>
      <c r="CT217" s="7"/>
      <c r="CU217" s="7"/>
      <c r="CV217" s="7"/>
      <c r="CW217" s="7"/>
      <c r="CX217" s="7"/>
      <c r="CY217" s="7"/>
      <c r="CZ217" s="7"/>
      <c r="DA217" s="7"/>
      <c r="DB217" s="7"/>
      <c r="DC217" s="7"/>
      <c r="DD217" s="7"/>
      <c r="DE217" s="7"/>
      <c r="DF217" s="7"/>
      <c r="DG217" s="7"/>
      <c r="DH217" s="7"/>
      <c r="DI217" s="7"/>
      <c r="DJ217" s="7"/>
      <c r="DK217" s="7"/>
      <c r="DL217" s="7"/>
      <c r="DM217" s="7"/>
      <c r="DN217" s="7"/>
      <c r="DO217" s="7"/>
      <c r="DP217" s="7"/>
      <c r="DQ217" s="7"/>
      <c r="DR217" s="7"/>
      <c r="DS217" s="7"/>
      <c r="DT217" s="7"/>
      <c r="DU217" s="7"/>
      <c r="DV217" s="7"/>
      <c r="DW217" s="7"/>
      <c r="DX217" s="7"/>
      <c r="DY217" s="7"/>
      <c r="DZ217" s="7"/>
      <c r="EA217" s="7"/>
      <c r="EB217" s="7"/>
      <c r="EC217" s="7"/>
      <c r="ED217" s="7"/>
      <c r="EE217" s="7"/>
      <c r="EF217" s="7"/>
      <c r="EG217" s="7"/>
      <c r="EH217" s="7"/>
      <c r="EI217" s="7"/>
      <c r="EJ217" s="7"/>
      <c r="EK217" s="7"/>
      <c r="EL217" s="7"/>
      <c r="EM217" s="7"/>
      <c r="EN217" s="7"/>
      <c r="EO217" s="7"/>
      <c r="EP217" s="7"/>
      <c r="EQ217" s="7"/>
      <c r="ER217" s="7"/>
      <c r="ES217" s="7"/>
      <c r="ET217" s="7"/>
      <c r="EU217" s="7"/>
      <c r="EV217" s="7"/>
      <c r="EW217" s="7"/>
      <c r="EX217" s="7"/>
      <c r="EY217" s="7"/>
      <c r="EZ217" s="7"/>
      <c r="FA217" s="7"/>
      <c r="FB217" s="7"/>
      <c r="FC217" s="7"/>
      <c r="FD217" s="7"/>
      <c r="FE217" s="7"/>
      <c r="FF217" s="7"/>
      <c r="FG217" s="7"/>
      <c r="FH217" s="7"/>
      <c r="FI217" s="7"/>
      <c r="FJ217" s="7"/>
      <c r="FK217" s="7"/>
      <c r="FL217" s="7"/>
      <c r="FM217" s="7"/>
      <c r="FN217" s="7"/>
      <c r="FO217" s="7"/>
      <c r="FP217" s="7"/>
      <c r="FQ217" s="7"/>
      <c r="FR217" s="7"/>
      <c r="FS217" s="7"/>
      <c r="FT217" s="7"/>
      <c r="FU217" s="7"/>
      <c r="FV217" s="7"/>
      <c r="FW217" s="7"/>
      <c r="FX217" s="7"/>
      <c r="FY217" s="7"/>
      <c r="FZ217" s="7"/>
      <c r="GA217" s="7"/>
      <c r="GB217" s="7"/>
      <c r="GC217" s="7"/>
      <c r="GD217" s="7"/>
      <c r="GE217" s="7"/>
      <c r="GF217" s="7"/>
      <c r="GG217" s="7"/>
      <c r="GH217" s="7"/>
      <c r="GI217" s="7"/>
      <c r="GJ217" s="7"/>
      <c r="GK217" s="7"/>
      <c r="GL217" s="7"/>
      <c r="GM217" s="7"/>
      <c r="GN217" s="7"/>
      <c r="GO217" s="7"/>
      <c r="GP217" s="7"/>
      <c r="GQ217" s="7"/>
      <c r="GR217" s="7"/>
      <c r="GS217" s="7"/>
      <c r="GT217" s="7"/>
      <c r="GU217" s="7"/>
      <c r="GV217" s="7"/>
      <c r="GW217" s="7"/>
      <c r="GX217" s="7"/>
      <c r="GY217" s="7"/>
      <c r="GZ217" s="7"/>
      <c r="HA217" s="7"/>
      <c r="HB217" s="7"/>
      <c r="HC217" s="7"/>
      <c r="HD217" s="7"/>
      <c r="HE217" s="7"/>
      <c r="HF217" s="7"/>
      <c r="HG217" s="7"/>
      <c r="HH217" s="7"/>
      <c r="HI217" s="7"/>
      <c r="HJ217" s="7"/>
      <c r="HK217" s="7"/>
      <c r="HL217" s="7"/>
      <c r="HM217" s="7"/>
      <c r="HN217" s="7"/>
      <c r="HO217" s="7"/>
      <c r="HP217" s="7"/>
      <c r="HQ217" s="7"/>
      <c r="HR217" s="7"/>
      <c r="HS217" s="7"/>
      <c r="HT217" s="7"/>
      <c r="HU217" s="7"/>
      <c r="HV217" s="7"/>
      <c r="HW217" s="7"/>
      <c r="HX217" s="7"/>
      <c r="HY217" s="7"/>
      <c r="HZ217" s="7"/>
      <c r="IA217" s="7"/>
      <c r="IB217" s="7"/>
      <c r="IC217" s="7"/>
      <c r="ID217" s="7"/>
      <c r="IE217" s="7"/>
      <c r="IF217" s="7"/>
      <c r="IG217" s="7"/>
      <c r="IH217" s="7"/>
      <c r="II217" s="7"/>
      <c r="IJ217" s="7"/>
      <c r="IK217" s="7"/>
      <c r="IL217" s="7"/>
      <c r="IM217" s="7"/>
      <c r="IN217" s="7"/>
      <c r="IO217" s="7"/>
      <c r="IP217" s="7"/>
      <c r="IQ217" s="7"/>
      <c r="IR217" s="7"/>
      <c r="IS217" s="7"/>
      <c r="IT217" s="7"/>
      <c r="IU217" s="7"/>
      <c r="IV217" s="7"/>
      <c r="IW217" s="7"/>
      <c r="IX217" s="7"/>
      <c r="JA217" s="113"/>
      <c r="JB217" s="113"/>
      <c r="JC217" s="113"/>
      <c r="JD217" s="66">
        <f>SUM((TEXT(JA217,"[M]")/60)*'Income Person-hours'!$D$3,(TEXT(JB217,"[M]")/60)*'Income Person-hours'!$D$4,(TEXT(JC217,"[M]")/60)*'Income Person-hours'!$D$5)</f>
        <v>0</v>
      </c>
    </row>
    <row r="218" spans="1:264 16383:16384" s="11" customFormat="1" ht="11.25" hidden="1">
      <c r="A218" s="30">
        <v>9.18</v>
      </c>
      <c r="B218" s="116"/>
      <c r="C218" s="107"/>
      <c r="D218" s="12" t="str">
        <f>IF(OR(j_WEEKDAY(J_ADDDAY(VLOOKUP(I218,A:F,6,FALSE),H218,1),0)=6,SUMIFS(Holieday[ok],Holieday[date],J_ADDDAY(VLOOKUP(I218,A:F,6,FALSE),H218,1)))=FALSE(),J_ADDDAY(VLOOKUP(I218,A:F,6,FALSE),H218,1),IF(OR(j_WEEKDAY(J_ADDDAY(VLOOKUP(I218,A:F,6,FALSE),H218+1,1),0)=6,SUMIFS(Holieday[ok],Holieday[date],J_ADDDAY(VLOOKUP(I218,A:F,6,FALSE),H218+1,1)))=FALSE(),J_ADDDAY(VLOOKUP(I218,A:F,6,FALSE),H218+1,1),IF(OR(j_WEEKDAY(J_ADDDAY(VLOOKUP(I218,A:F,6,FALSE),H218+2,1),0)=6,SUMIFS(Holieday[ok],Holieday[date],J_ADDDAY(VLOOKUP(I218,A:F,6,FALSE),H218+2,1)))=FALSE(),J_ADDDAY(VLOOKUP(I218,A:F,6,FALSE),H218+2,1),IF(OR(j_WEEKDAY(J_ADDDAY(VLOOKUP(I218,A:F,6,FALSE),H218+3,1),0)=6,SUMIFS(Holieday[ok],Holieday[date],J_ADDDAY(VLOOKUP(I218,A:F,6,FALSE),H218+3,1)))=FALSE(),J_ADDDAY(VLOOKUP(I218,A:F,6,FALSE),H218+3,1),IF(OR(j_WEEKDAY(J_ADDDAY(VLOOKUP(I218,A:F,6,FALSE),H218+4,1),0)=6,SUMIFS(Holieday[ok],Holieday[date],J_ADDDAY(VLOOKUP(I218,A:F,6,FALSE),H218+4,1)))=FALSE(),J_ADDDAY(VLOOKUP(I218,A:F,6,FALSE),H218+4,1),J_ADDDAY(VLOOKUP(I218,A:F,6,FALSE),H218+5,1))))))</f>
        <v>1398/06/31</v>
      </c>
      <c r="E218" s="1">
        <f t="shared" si="64"/>
        <v>13980631</v>
      </c>
      <c r="F218" s="12" t="str">
        <f>IF(N218=0,J_SUBDAY(D218,1,1),IF((N218-NETWORKDAYS.INTL(J_GregorianDate(D218,1),J_GregorianDate(J_SUBDAY(J_ADDDAY(D218,N218,1),1,1),1),16,1)-SUMIFS(Holieday[ok],Holieday[date],CONCATENATE("&gt;","=",D218),Holieday[date],CONCATENATE("&lt;","=",J_SUBDAY(J_ADDDAY(D218,N218,1),1,1)))+SUMIFS(Holieday[Friday],Holieday[date],CONCATENATE("&gt;","=",D218),Holieday[date],CONCATENATE("&lt;","=",J_SUBDAY(J_ADDDAY(D218,N218,1),1,1))))=0,J_SUBDAY(J_ADDDAY(D218,N218,1),1,1),IF((N218-NETWORKDAYS.INTL(J_GregorianDate(D218,1),J_GregorianDate(J_SUBDAY(J_ADDDAY(D218,N218,1),1,1),1),16,1)-SUMIFS(Holieday[ok],Holieday[date],CONCATENATE("&gt;","=",D218),Holieday[date],CONCATENATE("&lt;","=",J_SUBDAY(J_ADDDAY(D218,N218,1),1,1)))+SUMIFS(Holieday[Friday],Holieday[date],CONCATENATE("&gt;","=",D218),Holieday[date],CONCATENATE("&lt;","=",J_SUBDAY(J_ADDDAY(D218,N218,1),1,1))))=1,J_SUBDAY(J_ADDDAY(D218,N218+1,1),1,1),IF((N218-NETWORKDAYS.INTL(J_GregorianDate(D218,1),J_GregorianDate(J_SUBDAY(J_ADDDAY(D218,N218,1),1,1),1),16,1)-SUMIFS(Holieday[ok],Holieday[date],CONCATENATE("&gt;","=",D218),Holieday[date],CONCATENATE("&lt;","=",J_SUBDAY(J_ADDDAY(D218,N218,1),1,1)))+SUMIFS(Holieday[Friday],Holieday[date],CONCATENATE("&gt;","=",D218),Holieday[date],CONCATENATE("&lt;","=",J_SUBDAY(J_ADDDAY(D218,N218,1),1,1))))=2,J_SUBDAY(J_ADDDAY(D218,N218+2,1),1,1),J_SUBDAY(J_ADDDAY(D218,N218+3,1),1,1)))))</f>
        <v>1398/06/30</v>
      </c>
      <c r="G218" s="2">
        <f t="shared" si="65"/>
        <v>13980630</v>
      </c>
      <c r="H218" s="109"/>
      <c r="I218" s="110">
        <v>1.1000000000000001</v>
      </c>
      <c r="J218" s="9">
        <f>j_WEEKDAY(D218,2)</f>
        <v>1</v>
      </c>
      <c r="K218" s="21">
        <f t="shared" si="69"/>
        <v>0</v>
      </c>
      <c r="L218" s="8">
        <f t="shared" si="68"/>
        <v>0</v>
      </c>
      <c r="M218" s="111">
        <v>0</v>
      </c>
      <c r="N218" s="108">
        <v>0</v>
      </c>
      <c r="O218" s="10">
        <f t="shared" si="66"/>
        <v>0</v>
      </c>
      <c r="P218" s="10">
        <f>VALUE(J_normdate(J_ADDDAY($D218,$O218,1)))</f>
        <v>13980631</v>
      </c>
      <c r="Q218" s="9">
        <f t="shared" si="67"/>
        <v>0</v>
      </c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  <c r="BP218" s="7"/>
      <c r="BQ218" s="7"/>
      <c r="BR218" s="7"/>
      <c r="BS218" s="7"/>
      <c r="BT218" s="7"/>
      <c r="BU218" s="7"/>
      <c r="BV218" s="7"/>
      <c r="BW218" s="7"/>
      <c r="BX218" s="7"/>
      <c r="BY218" s="7"/>
      <c r="BZ218" s="7"/>
      <c r="CA218" s="7"/>
      <c r="CB218" s="7"/>
      <c r="CC218" s="7"/>
      <c r="CD218" s="7"/>
      <c r="CE218" s="7"/>
      <c r="CF218" s="7"/>
      <c r="CG218" s="7"/>
      <c r="CH218" s="7"/>
      <c r="CI218" s="7"/>
      <c r="CJ218" s="7"/>
      <c r="CK218" s="7"/>
      <c r="CL218" s="7"/>
      <c r="CM218" s="7"/>
      <c r="CN218" s="7"/>
      <c r="CO218" s="7"/>
      <c r="CP218" s="7"/>
      <c r="CQ218" s="7"/>
      <c r="CR218" s="7"/>
      <c r="CS218" s="7"/>
      <c r="CT218" s="7"/>
      <c r="CU218" s="7"/>
      <c r="CV218" s="7"/>
      <c r="CW218" s="7"/>
      <c r="CX218" s="7"/>
      <c r="CY218" s="7"/>
      <c r="CZ218" s="7"/>
      <c r="DA218" s="7"/>
      <c r="DB218" s="7"/>
      <c r="DC218" s="7"/>
      <c r="DD218" s="7"/>
      <c r="DE218" s="7"/>
      <c r="DF218" s="7"/>
      <c r="DG218" s="7"/>
      <c r="DH218" s="7"/>
      <c r="DI218" s="7"/>
      <c r="DJ218" s="7"/>
      <c r="DK218" s="7"/>
      <c r="DL218" s="7"/>
      <c r="DM218" s="7"/>
      <c r="DN218" s="7"/>
      <c r="DO218" s="7"/>
      <c r="DP218" s="7"/>
      <c r="DQ218" s="7"/>
      <c r="DR218" s="7"/>
      <c r="DS218" s="7"/>
      <c r="DT218" s="7"/>
      <c r="DU218" s="7"/>
      <c r="DV218" s="7"/>
      <c r="DW218" s="7"/>
      <c r="DX218" s="7"/>
      <c r="DY218" s="7"/>
      <c r="DZ218" s="7"/>
      <c r="EA218" s="7"/>
      <c r="EB218" s="7"/>
      <c r="EC218" s="7"/>
      <c r="ED218" s="7"/>
      <c r="EE218" s="7"/>
      <c r="EF218" s="7"/>
      <c r="EG218" s="7"/>
      <c r="EH218" s="7"/>
      <c r="EI218" s="7"/>
      <c r="EJ218" s="7"/>
      <c r="EK218" s="7"/>
      <c r="EL218" s="7"/>
      <c r="EM218" s="7"/>
      <c r="EN218" s="7"/>
      <c r="EO218" s="7"/>
      <c r="EP218" s="7"/>
      <c r="EQ218" s="7"/>
      <c r="ER218" s="7"/>
      <c r="ES218" s="7"/>
      <c r="ET218" s="7"/>
      <c r="EU218" s="7"/>
      <c r="EV218" s="7"/>
      <c r="EW218" s="7"/>
      <c r="EX218" s="7"/>
      <c r="EY218" s="7"/>
      <c r="EZ218" s="7"/>
      <c r="FA218" s="7"/>
      <c r="FB218" s="7"/>
      <c r="FC218" s="7"/>
      <c r="FD218" s="7"/>
      <c r="FE218" s="7"/>
      <c r="FF218" s="7"/>
      <c r="FG218" s="7"/>
      <c r="FH218" s="7"/>
      <c r="FI218" s="7"/>
      <c r="FJ218" s="7"/>
      <c r="FK218" s="7"/>
      <c r="FL218" s="7"/>
      <c r="FM218" s="7"/>
      <c r="FN218" s="7"/>
      <c r="FO218" s="7"/>
      <c r="FP218" s="7"/>
      <c r="FQ218" s="7"/>
      <c r="FR218" s="7"/>
      <c r="FS218" s="7"/>
      <c r="FT218" s="7"/>
      <c r="FU218" s="7"/>
      <c r="FV218" s="7"/>
      <c r="FW218" s="7"/>
      <c r="FX218" s="7"/>
      <c r="FY218" s="7"/>
      <c r="FZ218" s="7"/>
      <c r="GA218" s="7"/>
      <c r="GB218" s="7"/>
      <c r="GC218" s="7"/>
      <c r="GD218" s="7"/>
      <c r="GE218" s="7"/>
      <c r="GF218" s="7"/>
      <c r="GG218" s="7"/>
      <c r="GH218" s="7"/>
      <c r="GI218" s="7"/>
      <c r="GJ218" s="7"/>
      <c r="GK218" s="7"/>
      <c r="GL218" s="7"/>
      <c r="GM218" s="7"/>
      <c r="GN218" s="7"/>
      <c r="GO218" s="7"/>
      <c r="GP218" s="7"/>
      <c r="GQ218" s="7"/>
      <c r="GR218" s="7"/>
      <c r="GS218" s="7"/>
      <c r="GT218" s="7"/>
      <c r="GU218" s="7"/>
      <c r="GV218" s="7"/>
      <c r="GW218" s="7"/>
      <c r="GX218" s="7"/>
      <c r="GY218" s="7"/>
      <c r="GZ218" s="7"/>
      <c r="HA218" s="7"/>
      <c r="HB218" s="7"/>
      <c r="HC218" s="7"/>
      <c r="HD218" s="7"/>
      <c r="HE218" s="7"/>
      <c r="HF218" s="7"/>
      <c r="HG218" s="7"/>
      <c r="HH218" s="7"/>
      <c r="HI218" s="7"/>
      <c r="HJ218" s="7"/>
      <c r="HK218" s="7"/>
      <c r="HL218" s="7"/>
      <c r="HM218" s="7"/>
      <c r="HN218" s="7"/>
      <c r="HO218" s="7"/>
      <c r="HP218" s="7"/>
      <c r="HQ218" s="7"/>
      <c r="HR218" s="7"/>
      <c r="HS218" s="7"/>
      <c r="HT218" s="7"/>
      <c r="HU218" s="7"/>
      <c r="HV218" s="7"/>
      <c r="HW218" s="7"/>
      <c r="HX218" s="7"/>
      <c r="HY218" s="7"/>
      <c r="HZ218" s="7"/>
      <c r="IA218" s="7"/>
      <c r="IB218" s="7"/>
      <c r="IC218" s="7"/>
      <c r="ID218" s="7"/>
      <c r="IE218" s="7"/>
      <c r="IF218" s="7"/>
      <c r="IG218" s="7"/>
      <c r="IH218" s="7"/>
      <c r="II218" s="7"/>
      <c r="IJ218" s="7"/>
      <c r="IK218" s="7"/>
      <c r="IL218" s="7"/>
      <c r="IM218" s="7"/>
      <c r="IN218" s="7"/>
      <c r="IO218" s="7"/>
      <c r="IP218" s="7"/>
      <c r="IQ218" s="7"/>
      <c r="IR218" s="7"/>
      <c r="IS218" s="7"/>
      <c r="IT218" s="7"/>
      <c r="IU218" s="7"/>
      <c r="IV218" s="7"/>
      <c r="IW218" s="7"/>
      <c r="IX218" s="7"/>
      <c r="JA218" s="113"/>
      <c r="JB218" s="113"/>
      <c r="JC218" s="113"/>
      <c r="JD218" s="66">
        <f>SUM((TEXT(JA218,"[M]")/60)*'Income Person-hours'!$D$3,(TEXT(JB218,"[M]")/60)*'Income Person-hours'!$D$4,(TEXT(JC218,"[M]")/60)*'Income Person-hours'!$D$5)</f>
        <v>0</v>
      </c>
    </row>
    <row r="219" spans="1:264 16383:16384" s="11" customFormat="1" ht="11.25" hidden="1">
      <c r="A219" s="30">
        <v>9.19</v>
      </c>
      <c r="B219" s="116"/>
      <c r="C219" s="107"/>
      <c r="D219" s="12" t="str">
        <f>IF(OR(j_WEEKDAY(J_ADDDAY(VLOOKUP(I219,A:F,6,FALSE),H219,1),0)=6,SUMIFS(Holieday[ok],Holieday[date],J_ADDDAY(VLOOKUP(I219,A:F,6,FALSE),H219,1)))=FALSE(),J_ADDDAY(VLOOKUP(I219,A:F,6,FALSE),H219,1),IF(OR(j_WEEKDAY(J_ADDDAY(VLOOKUP(I219,A:F,6,FALSE),H219+1,1),0)=6,SUMIFS(Holieday[ok],Holieday[date],J_ADDDAY(VLOOKUP(I219,A:F,6,FALSE),H219+1,1)))=FALSE(),J_ADDDAY(VLOOKUP(I219,A:F,6,FALSE),H219+1,1),IF(OR(j_WEEKDAY(J_ADDDAY(VLOOKUP(I219,A:F,6,FALSE),H219+2,1),0)=6,SUMIFS(Holieday[ok],Holieday[date],J_ADDDAY(VLOOKUP(I219,A:F,6,FALSE),H219+2,1)))=FALSE(),J_ADDDAY(VLOOKUP(I219,A:F,6,FALSE),H219+2,1),IF(OR(j_WEEKDAY(J_ADDDAY(VLOOKUP(I219,A:F,6,FALSE),H219+3,1),0)=6,SUMIFS(Holieday[ok],Holieday[date],J_ADDDAY(VLOOKUP(I219,A:F,6,FALSE),H219+3,1)))=FALSE(),J_ADDDAY(VLOOKUP(I219,A:F,6,FALSE),H219+3,1),IF(OR(j_WEEKDAY(J_ADDDAY(VLOOKUP(I219,A:F,6,FALSE),H219+4,1),0)=6,SUMIFS(Holieday[ok],Holieday[date],J_ADDDAY(VLOOKUP(I219,A:F,6,FALSE),H219+4,1)))=FALSE(),J_ADDDAY(VLOOKUP(I219,A:F,6,FALSE),H219+4,1),J_ADDDAY(VLOOKUP(I219,A:F,6,FALSE),H219+5,1))))))</f>
        <v>1398/06/31</v>
      </c>
      <c r="E219" s="1">
        <f t="shared" ref="E219:E244" si="70">VALUE(J_normdate(D219))</f>
        <v>13980631</v>
      </c>
      <c r="F219" s="12" t="str">
        <f>IF(N219=0,J_SUBDAY(D219,1,1),IF((N219-NETWORKDAYS.INTL(J_GregorianDate(D219,1),J_GregorianDate(J_SUBDAY(J_ADDDAY(D219,N219,1),1,1),1),16,1)-SUMIFS(Holieday[ok],Holieday[date],CONCATENATE("&gt;","=",D219),Holieday[date],CONCATENATE("&lt;","=",J_SUBDAY(J_ADDDAY(D219,N219,1),1,1)))+SUMIFS(Holieday[Friday],Holieday[date],CONCATENATE("&gt;","=",D219),Holieday[date],CONCATENATE("&lt;","=",J_SUBDAY(J_ADDDAY(D219,N219,1),1,1))))=0,J_SUBDAY(J_ADDDAY(D219,N219,1),1,1),IF((N219-NETWORKDAYS.INTL(J_GregorianDate(D219,1),J_GregorianDate(J_SUBDAY(J_ADDDAY(D219,N219,1),1,1),1),16,1)-SUMIFS(Holieday[ok],Holieday[date],CONCATENATE("&gt;","=",D219),Holieday[date],CONCATENATE("&lt;","=",J_SUBDAY(J_ADDDAY(D219,N219,1),1,1)))+SUMIFS(Holieday[Friday],Holieday[date],CONCATENATE("&gt;","=",D219),Holieday[date],CONCATENATE("&lt;","=",J_SUBDAY(J_ADDDAY(D219,N219,1),1,1))))=1,J_SUBDAY(J_ADDDAY(D219,N219+1,1),1,1),IF((N219-NETWORKDAYS.INTL(J_GregorianDate(D219,1),J_GregorianDate(J_SUBDAY(J_ADDDAY(D219,N219,1),1,1),1),16,1)-SUMIFS(Holieday[ok],Holieday[date],CONCATENATE("&gt;","=",D219),Holieday[date],CONCATENATE("&lt;","=",J_SUBDAY(J_ADDDAY(D219,N219,1),1,1)))+SUMIFS(Holieday[Friday],Holieday[date],CONCATENATE("&gt;","=",D219),Holieday[date],CONCATENATE("&lt;","=",J_SUBDAY(J_ADDDAY(D219,N219,1),1,1))))=2,J_SUBDAY(J_ADDDAY(D219,N219+2,1),1,1),J_SUBDAY(J_ADDDAY(D219,N219+3,1),1,1)))))</f>
        <v>1398/06/30</v>
      </c>
      <c r="G219" s="2">
        <f t="shared" ref="G219:G244" si="71">VALUE(J_normdate(F219))</f>
        <v>13980630</v>
      </c>
      <c r="H219" s="109"/>
      <c r="I219" s="110">
        <v>1.1000000000000001</v>
      </c>
      <c r="J219" s="9">
        <f>j_WEEKDAY(D219,2)</f>
        <v>1</v>
      </c>
      <c r="K219" s="21">
        <f t="shared" si="69"/>
        <v>0</v>
      </c>
      <c r="L219" s="8">
        <f t="shared" si="68"/>
        <v>0</v>
      </c>
      <c r="M219" s="111">
        <v>0</v>
      </c>
      <c r="N219" s="108">
        <v>0</v>
      </c>
      <c r="O219" s="10">
        <f t="shared" si="66"/>
        <v>0</v>
      </c>
      <c r="P219" s="10">
        <f>VALUE(J_normdate(J_ADDDAY($D219,$O219,1)))</f>
        <v>13980631</v>
      </c>
      <c r="Q219" s="9">
        <f t="shared" si="67"/>
        <v>0</v>
      </c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  <c r="BP219" s="7"/>
      <c r="BQ219" s="7"/>
      <c r="BR219" s="7"/>
      <c r="BS219" s="7"/>
      <c r="BT219" s="7"/>
      <c r="BU219" s="7"/>
      <c r="BV219" s="7"/>
      <c r="BW219" s="7"/>
      <c r="BX219" s="7"/>
      <c r="BY219" s="7"/>
      <c r="BZ219" s="7"/>
      <c r="CA219" s="7"/>
      <c r="CB219" s="7"/>
      <c r="CC219" s="7"/>
      <c r="CD219" s="7"/>
      <c r="CE219" s="7"/>
      <c r="CF219" s="7"/>
      <c r="CG219" s="7"/>
      <c r="CH219" s="7"/>
      <c r="CI219" s="7"/>
      <c r="CJ219" s="7"/>
      <c r="CK219" s="7"/>
      <c r="CL219" s="7"/>
      <c r="CM219" s="7"/>
      <c r="CN219" s="7"/>
      <c r="CO219" s="7"/>
      <c r="CP219" s="7"/>
      <c r="CQ219" s="7"/>
      <c r="CR219" s="7"/>
      <c r="CS219" s="7"/>
      <c r="CT219" s="7"/>
      <c r="CU219" s="7"/>
      <c r="CV219" s="7"/>
      <c r="CW219" s="7"/>
      <c r="CX219" s="7"/>
      <c r="CY219" s="7"/>
      <c r="CZ219" s="7"/>
      <c r="DA219" s="7"/>
      <c r="DB219" s="7"/>
      <c r="DC219" s="7"/>
      <c r="DD219" s="7"/>
      <c r="DE219" s="7"/>
      <c r="DF219" s="7"/>
      <c r="DG219" s="7"/>
      <c r="DH219" s="7"/>
      <c r="DI219" s="7"/>
      <c r="DJ219" s="7"/>
      <c r="DK219" s="7"/>
      <c r="DL219" s="7"/>
      <c r="DM219" s="7"/>
      <c r="DN219" s="7"/>
      <c r="DO219" s="7"/>
      <c r="DP219" s="7"/>
      <c r="DQ219" s="7"/>
      <c r="DR219" s="7"/>
      <c r="DS219" s="7"/>
      <c r="DT219" s="7"/>
      <c r="DU219" s="7"/>
      <c r="DV219" s="7"/>
      <c r="DW219" s="7"/>
      <c r="DX219" s="7"/>
      <c r="DY219" s="7"/>
      <c r="DZ219" s="7"/>
      <c r="EA219" s="7"/>
      <c r="EB219" s="7"/>
      <c r="EC219" s="7"/>
      <c r="ED219" s="7"/>
      <c r="EE219" s="7"/>
      <c r="EF219" s="7"/>
      <c r="EG219" s="7"/>
      <c r="EH219" s="7"/>
      <c r="EI219" s="7"/>
      <c r="EJ219" s="7"/>
      <c r="EK219" s="7"/>
      <c r="EL219" s="7"/>
      <c r="EM219" s="7"/>
      <c r="EN219" s="7"/>
      <c r="EO219" s="7"/>
      <c r="EP219" s="7"/>
      <c r="EQ219" s="7"/>
      <c r="ER219" s="7"/>
      <c r="ES219" s="7"/>
      <c r="ET219" s="7"/>
      <c r="EU219" s="7"/>
      <c r="EV219" s="7"/>
      <c r="EW219" s="7"/>
      <c r="EX219" s="7"/>
      <c r="EY219" s="7"/>
      <c r="EZ219" s="7"/>
      <c r="FA219" s="7"/>
      <c r="FB219" s="7"/>
      <c r="FC219" s="7"/>
      <c r="FD219" s="7"/>
      <c r="FE219" s="7"/>
      <c r="FF219" s="7"/>
      <c r="FG219" s="7"/>
      <c r="FH219" s="7"/>
      <c r="FI219" s="7"/>
      <c r="FJ219" s="7"/>
      <c r="FK219" s="7"/>
      <c r="FL219" s="7"/>
      <c r="FM219" s="7"/>
      <c r="FN219" s="7"/>
      <c r="FO219" s="7"/>
      <c r="FP219" s="7"/>
      <c r="FQ219" s="7"/>
      <c r="FR219" s="7"/>
      <c r="FS219" s="7"/>
      <c r="FT219" s="7"/>
      <c r="FU219" s="7"/>
      <c r="FV219" s="7"/>
      <c r="FW219" s="7"/>
      <c r="FX219" s="7"/>
      <c r="FY219" s="7"/>
      <c r="FZ219" s="7"/>
      <c r="GA219" s="7"/>
      <c r="GB219" s="7"/>
      <c r="GC219" s="7"/>
      <c r="GD219" s="7"/>
      <c r="GE219" s="7"/>
      <c r="GF219" s="7"/>
      <c r="GG219" s="7"/>
      <c r="GH219" s="7"/>
      <c r="GI219" s="7"/>
      <c r="GJ219" s="7"/>
      <c r="GK219" s="7"/>
      <c r="GL219" s="7"/>
      <c r="GM219" s="7"/>
      <c r="GN219" s="7"/>
      <c r="GO219" s="7"/>
      <c r="GP219" s="7"/>
      <c r="GQ219" s="7"/>
      <c r="GR219" s="7"/>
      <c r="GS219" s="7"/>
      <c r="GT219" s="7"/>
      <c r="GU219" s="7"/>
      <c r="GV219" s="7"/>
      <c r="GW219" s="7"/>
      <c r="GX219" s="7"/>
      <c r="GY219" s="7"/>
      <c r="GZ219" s="7"/>
      <c r="HA219" s="7"/>
      <c r="HB219" s="7"/>
      <c r="HC219" s="7"/>
      <c r="HD219" s="7"/>
      <c r="HE219" s="7"/>
      <c r="HF219" s="7"/>
      <c r="HG219" s="7"/>
      <c r="HH219" s="7"/>
      <c r="HI219" s="7"/>
      <c r="HJ219" s="7"/>
      <c r="HK219" s="7"/>
      <c r="HL219" s="7"/>
      <c r="HM219" s="7"/>
      <c r="HN219" s="7"/>
      <c r="HO219" s="7"/>
      <c r="HP219" s="7"/>
      <c r="HQ219" s="7"/>
      <c r="HR219" s="7"/>
      <c r="HS219" s="7"/>
      <c r="HT219" s="7"/>
      <c r="HU219" s="7"/>
      <c r="HV219" s="7"/>
      <c r="HW219" s="7"/>
      <c r="HX219" s="7"/>
      <c r="HY219" s="7"/>
      <c r="HZ219" s="7"/>
      <c r="IA219" s="7"/>
      <c r="IB219" s="7"/>
      <c r="IC219" s="7"/>
      <c r="ID219" s="7"/>
      <c r="IE219" s="7"/>
      <c r="IF219" s="7"/>
      <c r="IG219" s="7"/>
      <c r="IH219" s="7"/>
      <c r="II219" s="7"/>
      <c r="IJ219" s="7"/>
      <c r="IK219" s="7"/>
      <c r="IL219" s="7"/>
      <c r="IM219" s="7"/>
      <c r="IN219" s="7"/>
      <c r="IO219" s="7"/>
      <c r="IP219" s="7"/>
      <c r="IQ219" s="7"/>
      <c r="IR219" s="7"/>
      <c r="IS219" s="7"/>
      <c r="IT219" s="7"/>
      <c r="IU219" s="7"/>
      <c r="IV219" s="7"/>
      <c r="IW219" s="7"/>
      <c r="IX219" s="7"/>
      <c r="JA219" s="113"/>
      <c r="JB219" s="113"/>
      <c r="JC219" s="113"/>
      <c r="JD219" s="66">
        <f>SUM((TEXT(JA219,"[M]")/60)*'Income Person-hours'!$D$3,(TEXT(JB219,"[M]")/60)*'Income Person-hours'!$D$4,(TEXT(JC219,"[M]")/60)*'Income Person-hours'!$D$5)</f>
        <v>0</v>
      </c>
    </row>
    <row r="220" spans="1:264 16383:16384" s="11" customFormat="1" ht="11.25" hidden="1">
      <c r="A220" s="5" t="s">
        <v>76</v>
      </c>
      <c r="B220" s="116"/>
      <c r="C220" s="107"/>
      <c r="D220" s="12" t="str">
        <f>IF(OR(j_WEEKDAY(J_ADDDAY(VLOOKUP(I220,A:F,6,FALSE),H220,1),0)=6,SUMIFS(Holieday[ok],Holieday[date],J_ADDDAY(VLOOKUP(I220,A:F,6,FALSE),H220,1)))=FALSE(),J_ADDDAY(VLOOKUP(I220,A:F,6,FALSE),H220,1),IF(OR(j_WEEKDAY(J_ADDDAY(VLOOKUP(I220,A:F,6,FALSE),H220+1,1),0)=6,SUMIFS(Holieday[ok],Holieday[date],J_ADDDAY(VLOOKUP(I220,A:F,6,FALSE),H220+1,1)))=FALSE(),J_ADDDAY(VLOOKUP(I220,A:F,6,FALSE),H220+1,1),IF(OR(j_WEEKDAY(J_ADDDAY(VLOOKUP(I220,A:F,6,FALSE),H220+2,1),0)=6,SUMIFS(Holieday[ok],Holieday[date],J_ADDDAY(VLOOKUP(I220,A:F,6,FALSE),H220+2,1)))=FALSE(),J_ADDDAY(VLOOKUP(I220,A:F,6,FALSE),H220+2,1),IF(OR(j_WEEKDAY(J_ADDDAY(VLOOKUP(I220,A:F,6,FALSE),H220+3,1),0)=6,SUMIFS(Holieday[ok],Holieday[date],J_ADDDAY(VLOOKUP(I220,A:F,6,FALSE),H220+3,1)))=FALSE(),J_ADDDAY(VLOOKUP(I220,A:F,6,FALSE),H220+3,1),IF(OR(j_WEEKDAY(J_ADDDAY(VLOOKUP(I220,A:F,6,FALSE),H220+4,1),0)=6,SUMIFS(Holieday[ok],Holieday[date],J_ADDDAY(VLOOKUP(I220,A:F,6,FALSE),H220+4,1)))=FALSE(),J_ADDDAY(VLOOKUP(I220,A:F,6,FALSE),H220+4,1),J_ADDDAY(VLOOKUP(I220,A:F,6,FALSE),H220+5,1))))))</f>
        <v>1398/06/31</v>
      </c>
      <c r="E220" s="1">
        <f t="shared" si="70"/>
        <v>13980631</v>
      </c>
      <c r="F220" s="12" t="str">
        <f>IF(N220=0,J_SUBDAY(D220,1,1),IF((N220-NETWORKDAYS.INTL(J_GregorianDate(D220,1),J_GregorianDate(J_SUBDAY(J_ADDDAY(D220,N220,1),1,1),1),16,1)-SUMIFS(Holieday[ok],Holieday[date],CONCATENATE("&gt;","=",D220),Holieday[date],CONCATENATE("&lt;","=",J_SUBDAY(J_ADDDAY(D220,N220,1),1,1)))+SUMIFS(Holieday[Friday],Holieday[date],CONCATENATE("&gt;","=",D220),Holieday[date],CONCATENATE("&lt;","=",J_SUBDAY(J_ADDDAY(D220,N220,1),1,1))))=0,J_SUBDAY(J_ADDDAY(D220,N220,1),1,1),IF((N220-NETWORKDAYS.INTL(J_GregorianDate(D220,1),J_GregorianDate(J_SUBDAY(J_ADDDAY(D220,N220,1),1,1),1),16,1)-SUMIFS(Holieday[ok],Holieday[date],CONCATENATE("&gt;","=",D220),Holieday[date],CONCATENATE("&lt;","=",J_SUBDAY(J_ADDDAY(D220,N220,1),1,1)))+SUMIFS(Holieday[Friday],Holieday[date],CONCATENATE("&gt;","=",D220),Holieday[date],CONCATENATE("&lt;","=",J_SUBDAY(J_ADDDAY(D220,N220,1),1,1))))=1,J_SUBDAY(J_ADDDAY(D220,N220+1,1),1,1),IF((N220-NETWORKDAYS.INTL(J_GregorianDate(D220,1),J_GregorianDate(J_SUBDAY(J_ADDDAY(D220,N220,1),1,1),1),16,1)-SUMIFS(Holieday[ok],Holieday[date],CONCATENATE("&gt;","=",D220),Holieday[date],CONCATENATE("&lt;","=",J_SUBDAY(J_ADDDAY(D220,N220,1),1,1)))+SUMIFS(Holieday[Friday],Holieday[date],CONCATENATE("&gt;","=",D220),Holieday[date],CONCATENATE("&lt;","=",J_SUBDAY(J_ADDDAY(D220,N220,1),1,1))))=2,J_SUBDAY(J_ADDDAY(D220,N220+2,1),1,1),J_SUBDAY(J_ADDDAY(D220,N220+3,1),1,1)))))</f>
        <v>1398/06/30</v>
      </c>
      <c r="G220" s="2">
        <f t="shared" si="71"/>
        <v>13980630</v>
      </c>
      <c r="H220" s="109"/>
      <c r="I220" s="110">
        <v>1.1000000000000001</v>
      </c>
      <c r="J220" s="9">
        <f>j_WEEKDAY(D220,2)</f>
        <v>1</v>
      </c>
      <c r="K220" s="21">
        <f t="shared" si="69"/>
        <v>0</v>
      </c>
      <c r="L220" s="8">
        <f t="shared" si="68"/>
        <v>0</v>
      </c>
      <c r="M220" s="111">
        <v>0</v>
      </c>
      <c r="N220" s="108">
        <v>0</v>
      </c>
      <c r="O220" s="10">
        <f t="shared" si="66"/>
        <v>0</v>
      </c>
      <c r="P220" s="10">
        <f>VALUE(J_normdate(J_ADDDAY($D220,$O220,1)))</f>
        <v>13980631</v>
      </c>
      <c r="Q220" s="9">
        <f t="shared" si="67"/>
        <v>0</v>
      </c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  <c r="AY220" s="7"/>
      <c r="AZ220" s="7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  <c r="BP220" s="7"/>
      <c r="BQ220" s="7"/>
      <c r="BR220" s="7"/>
      <c r="BS220" s="7"/>
      <c r="BT220" s="7"/>
      <c r="BU220" s="7"/>
      <c r="BV220" s="7"/>
      <c r="BW220" s="7"/>
      <c r="BX220" s="7"/>
      <c r="BY220" s="7"/>
      <c r="BZ220" s="7"/>
      <c r="CA220" s="7"/>
      <c r="CB220" s="7"/>
      <c r="CC220" s="7"/>
      <c r="CD220" s="7"/>
      <c r="CE220" s="7"/>
      <c r="CF220" s="7"/>
      <c r="CG220" s="7"/>
      <c r="CH220" s="7"/>
      <c r="CI220" s="7"/>
      <c r="CJ220" s="7"/>
      <c r="CK220" s="7"/>
      <c r="CL220" s="7"/>
      <c r="CM220" s="7"/>
      <c r="CN220" s="7"/>
      <c r="CO220" s="7"/>
      <c r="CP220" s="7"/>
      <c r="CQ220" s="7"/>
      <c r="CR220" s="7"/>
      <c r="CS220" s="7"/>
      <c r="CT220" s="7"/>
      <c r="CU220" s="7"/>
      <c r="CV220" s="7"/>
      <c r="CW220" s="7"/>
      <c r="CX220" s="7"/>
      <c r="CY220" s="7"/>
      <c r="CZ220" s="7"/>
      <c r="DA220" s="7"/>
      <c r="DB220" s="7"/>
      <c r="DC220" s="7"/>
      <c r="DD220" s="7"/>
      <c r="DE220" s="7"/>
      <c r="DF220" s="7"/>
      <c r="DG220" s="7"/>
      <c r="DH220" s="7"/>
      <c r="DI220" s="7"/>
      <c r="DJ220" s="7"/>
      <c r="DK220" s="7"/>
      <c r="DL220" s="7"/>
      <c r="DM220" s="7"/>
      <c r="DN220" s="7"/>
      <c r="DO220" s="7"/>
      <c r="DP220" s="7"/>
      <c r="DQ220" s="7"/>
      <c r="DR220" s="7"/>
      <c r="DS220" s="7"/>
      <c r="DT220" s="7"/>
      <c r="DU220" s="7"/>
      <c r="DV220" s="7"/>
      <c r="DW220" s="7"/>
      <c r="DX220" s="7"/>
      <c r="DY220" s="7"/>
      <c r="DZ220" s="7"/>
      <c r="EA220" s="7"/>
      <c r="EB220" s="7"/>
      <c r="EC220" s="7"/>
      <c r="ED220" s="7"/>
      <c r="EE220" s="7"/>
      <c r="EF220" s="7"/>
      <c r="EG220" s="7"/>
      <c r="EH220" s="7"/>
      <c r="EI220" s="7"/>
      <c r="EJ220" s="7"/>
      <c r="EK220" s="7"/>
      <c r="EL220" s="7"/>
      <c r="EM220" s="7"/>
      <c r="EN220" s="7"/>
      <c r="EO220" s="7"/>
      <c r="EP220" s="7"/>
      <c r="EQ220" s="7"/>
      <c r="ER220" s="7"/>
      <c r="ES220" s="7"/>
      <c r="ET220" s="7"/>
      <c r="EU220" s="7"/>
      <c r="EV220" s="7"/>
      <c r="EW220" s="7"/>
      <c r="EX220" s="7"/>
      <c r="EY220" s="7"/>
      <c r="EZ220" s="7"/>
      <c r="FA220" s="7"/>
      <c r="FB220" s="7"/>
      <c r="FC220" s="7"/>
      <c r="FD220" s="7"/>
      <c r="FE220" s="7"/>
      <c r="FF220" s="7"/>
      <c r="FG220" s="7"/>
      <c r="FH220" s="7"/>
      <c r="FI220" s="7"/>
      <c r="FJ220" s="7"/>
      <c r="FK220" s="7"/>
      <c r="FL220" s="7"/>
      <c r="FM220" s="7"/>
      <c r="FN220" s="7"/>
      <c r="FO220" s="7"/>
      <c r="FP220" s="7"/>
      <c r="FQ220" s="7"/>
      <c r="FR220" s="7"/>
      <c r="FS220" s="7"/>
      <c r="FT220" s="7"/>
      <c r="FU220" s="7"/>
      <c r="FV220" s="7"/>
      <c r="FW220" s="7"/>
      <c r="FX220" s="7"/>
      <c r="FY220" s="7"/>
      <c r="FZ220" s="7"/>
      <c r="GA220" s="7"/>
      <c r="GB220" s="7"/>
      <c r="GC220" s="7"/>
      <c r="GD220" s="7"/>
      <c r="GE220" s="7"/>
      <c r="GF220" s="7"/>
      <c r="GG220" s="7"/>
      <c r="GH220" s="7"/>
      <c r="GI220" s="7"/>
      <c r="GJ220" s="7"/>
      <c r="GK220" s="7"/>
      <c r="GL220" s="7"/>
      <c r="GM220" s="7"/>
      <c r="GN220" s="7"/>
      <c r="GO220" s="7"/>
      <c r="GP220" s="7"/>
      <c r="GQ220" s="7"/>
      <c r="GR220" s="7"/>
      <c r="GS220" s="7"/>
      <c r="GT220" s="7"/>
      <c r="GU220" s="7"/>
      <c r="GV220" s="7"/>
      <c r="GW220" s="7"/>
      <c r="GX220" s="7"/>
      <c r="GY220" s="7"/>
      <c r="GZ220" s="7"/>
      <c r="HA220" s="7"/>
      <c r="HB220" s="7"/>
      <c r="HC220" s="7"/>
      <c r="HD220" s="7"/>
      <c r="HE220" s="7"/>
      <c r="HF220" s="7"/>
      <c r="HG220" s="7"/>
      <c r="HH220" s="7"/>
      <c r="HI220" s="7"/>
      <c r="HJ220" s="7"/>
      <c r="HK220" s="7"/>
      <c r="HL220" s="7"/>
      <c r="HM220" s="7"/>
      <c r="HN220" s="7"/>
      <c r="HO220" s="7"/>
      <c r="HP220" s="7"/>
      <c r="HQ220" s="7"/>
      <c r="HR220" s="7"/>
      <c r="HS220" s="7"/>
      <c r="HT220" s="7"/>
      <c r="HU220" s="7"/>
      <c r="HV220" s="7"/>
      <c r="HW220" s="7"/>
      <c r="HX220" s="7"/>
      <c r="HY220" s="7"/>
      <c r="HZ220" s="7"/>
      <c r="IA220" s="7"/>
      <c r="IB220" s="7"/>
      <c r="IC220" s="7"/>
      <c r="ID220" s="7"/>
      <c r="IE220" s="7"/>
      <c r="IF220" s="7"/>
      <c r="IG220" s="7"/>
      <c r="IH220" s="7"/>
      <c r="II220" s="7"/>
      <c r="IJ220" s="7"/>
      <c r="IK220" s="7"/>
      <c r="IL220" s="7"/>
      <c r="IM220" s="7"/>
      <c r="IN220" s="7"/>
      <c r="IO220" s="7"/>
      <c r="IP220" s="7"/>
      <c r="IQ220" s="7"/>
      <c r="IR220" s="7"/>
      <c r="IS220" s="7"/>
      <c r="IT220" s="7"/>
      <c r="IU220" s="7"/>
      <c r="IV220" s="7"/>
      <c r="IW220" s="7"/>
      <c r="IX220" s="7"/>
      <c r="JA220" s="113"/>
      <c r="JB220" s="113"/>
      <c r="JC220" s="113"/>
      <c r="JD220" s="66">
        <f>SUM((TEXT(JA220,"[M]")/60)*'Income Person-hours'!$D$3,(TEXT(JB220,"[M]")/60)*'Income Person-hours'!$D$4,(TEXT(JC220,"[M]")/60)*'Income Person-hours'!$D$5)</f>
        <v>0</v>
      </c>
    </row>
    <row r="221" spans="1:264 16383:16384" s="11" customFormat="1" ht="11.25" hidden="1">
      <c r="A221" s="5" t="s">
        <v>77</v>
      </c>
      <c r="B221" s="116"/>
      <c r="C221" s="107"/>
      <c r="D221" s="12" t="str">
        <f>IF(OR(j_WEEKDAY(J_ADDDAY(VLOOKUP(I221,A:F,6,FALSE),H221,1),0)=6,SUMIFS(Holieday[ok],Holieday[date],J_ADDDAY(VLOOKUP(I221,A:F,6,FALSE),H221,1)))=FALSE(),J_ADDDAY(VLOOKUP(I221,A:F,6,FALSE),H221,1),IF(OR(j_WEEKDAY(J_ADDDAY(VLOOKUP(I221,A:F,6,FALSE),H221+1,1),0)=6,SUMIFS(Holieday[ok],Holieday[date],J_ADDDAY(VLOOKUP(I221,A:F,6,FALSE),H221+1,1)))=FALSE(),J_ADDDAY(VLOOKUP(I221,A:F,6,FALSE),H221+1,1),IF(OR(j_WEEKDAY(J_ADDDAY(VLOOKUP(I221,A:F,6,FALSE),H221+2,1),0)=6,SUMIFS(Holieday[ok],Holieday[date],J_ADDDAY(VLOOKUP(I221,A:F,6,FALSE),H221+2,1)))=FALSE(),J_ADDDAY(VLOOKUP(I221,A:F,6,FALSE),H221+2,1),IF(OR(j_WEEKDAY(J_ADDDAY(VLOOKUP(I221,A:F,6,FALSE),H221+3,1),0)=6,SUMIFS(Holieday[ok],Holieday[date],J_ADDDAY(VLOOKUP(I221,A:F,6,FALSE),H221+3,1)))=FALSE(),J_ADDDAY(VLOOKUP(I221,A:F,6,FALSE),H221+3,1),IF(OR(j_WEEKDAY(J_ADDDAY(VLOOKUP(I221,A:F,6,FALSE),H221+4,1),0)=6,SUMIFS(Holieday[ok],Holieday[date],J_ADDDAY(VLOOKUP(I221,A:F,6,FALSE),H221+4,1)))=FALSE(),J_ADDDAY(VLOOKUP(I221,A:F,6,FALSE),H221+4,1),J_ADDDAY(VLOOKUP(I221,A:F,6,FALSE),H221+5,1))))))</f>
        <v>1398/06/31</v>
      </c>
      <c r="E221" s="1">
        <f t="shared" si="70"/>
        <v>13980631</v>
      </c>
      <c r="F221" s="12" t="str">
        <f>IF(N221=0,J_SUBDAY(D221,1,1),IF((N221-NETWORKDAYS.INTL(J_GregorianDate(D221,1),J_GregorianDate(J_SUBDAY(J_ADDDAY(D221,N221,1),1,1),1),16,1)-SUMIFS(Holieday[ok],Holieday[date],CONCATENATE("&gt;","=",D221),Holieday[date],CONCATENATE("&lt;","=",J_SUBDAY(J_ADDDAY(D221,N221,1),1,1)))+SUMIFS(Holieday[Friday],Holieday[date],CONCATENATE("&gt;","=",D221),Holieday[date],CONCATENATE("&lt;","=",J_SUBDAY(J_ADDDAY(D221,N221,1),1,1))))=0,J_SUBDAY(J_ADDDAY(D221,N221,1),1,1),IF((N221-NETWORKDAYS.INTL(J_GregorianDate(D221,1),J_GregorianDate(J_SUBDAY(J_ADDDAY(D221,N221,1),1,1),1),16,1)-SUMIFS(Holieday[ok],Holieday[date],CONCATENATE("&gt;","=",D221),Holieday[date],CONCATENATE("&lt;","=",J_SUBDAY(J_ADDDAY(D221,N221,1),1,1)))+SUMIFS(Holieday[Friday],Holieday[date],CONCATENATE("&gt;","=",D221),Holieday[date],CONCATENATE("&lt;","=",J_SUBDAY(J_ADDDAY(D221,N221,1),1,1))))=1,J_SUBDAY(J_ADDDAY(D221,N221+1,1),1,1),IF((N221-NETWORKDAYS.INTL(J_GregorianDate(D221,1),J_GregorianDate(J_SUBDAY(J_ADDDAY(D221,N221,1),1,1),1),16,1)-SUMIFS(Holieday[ok],Holieday[date],CONCATENATE("&gt;","=",D221),Holieday[date],CONCATENATE("&lt;","=",J_SUBDAY(J_ADDDAY(D221,N221,1),1,1)))+SUMIFS(Holieday[Friday],Holieday[date],CONCATENATE("&gt;","=",D221),Holieday[date],CONCATENATE("&lt;","=",J_SUBDAY(J_ADDDAY(D221,N221,1),1,1))))=2,J_SUBDAY(J_ADDDAY(D221,N221+2,1),1,1),J_SUBDAY(J_ADDDAY(D221,N221+3,1),1,1)))))</f>
        <v>1398/06/30</v>
      </c>
      <c r="G221" s="2">
        <f t="shared" si="71"/>
        <v>13980630</v>
      </c>
      <c r="H221" s="109"/>
      <c r="I221" s="110">
        <v>1.1000000000000001</v>
      </c>
      <c r="J221" s="9">
        <f>j_WEEKDAY(D221,2)</f>
        <v>1</v>
      </c>
      <c r="K221" s="21">
        <f t="shared" si="69"/>
        <v>0</v>
      </c>
      <c r="L221" s="8">
        <f t="shared" si="68"/>
        <v>0</v>
      </c>
      <c r="M221" s="111">
        <v>0</v>
      </c>
      <c r="N221" s="108">
        <v>0</v>
      </c>
      <c r="O221" s="10">
        <f t="shared" si="66"/>
        <v>0</v>
      </c>
      <c r="P221" s="10">
        <f>VALUE(J_normdate(J_ADDDAY($D221,$O221,1)))</f>
        <v>13980631</v>
      </c>
      <c r="Q221" s="9">
        <f t="shared" si="67"/>
        <v>0</v>
      </c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  <c r="AY221" s="7"/>
      <c r="AZ221" s="7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  <c r="BP221" s="7"/>
      <c r="BQ221" s="7"/>
      <c r="BR221" s="7"/>
      <c r="BS221" s="7"/>
      <c r="BT221" s="7"/>
      <c r="BU221" s="7"/>
      <c r="BV221" s="7"/>
      <c r="BW221" s="7"/>
      <c r="BX221" s="7"/>
      <c r="BY221" s="7"/>
      <c r="BZ221" s="7"/>
      <c r="CA221" s="7"/>
      <c r="CB221" s="7"/>
      <c r="CC221" s="7"/>
      <c r="CD221" s="7"/>
      <c r="CE221" s="7"/>
      <c r="CF221" s="7"/>
      <c r="CG221" s="7"/>
      <c r="CH221" s="7"/>
      <c r="CI221" s="7"/>
      <c r="CJ221" s="7"/>
      <c r="CK221" s="7"/>
      <c r="CL221" s="7"/>
      <c r="CM221" s="7"/>
      <c r="CN221" s="7"/>
      <c r="CO221" s="7"/>
      <c r="CP221" s="7"/>
      <c r="CQ221" s="7"/>
      <c r="CR221" s="7"/>
      <c r="CS221" s="7"/>
      <c r="CT221" s="7"/>
      <c r="CU221" s="7"/>
      <c r="CV221" s="7"/>
      <c r="CW221" s="7"/>
      <c r="CX221" s="7"/>
      <c r="CY221" s="7"/>
      <c r="CZ221" s="7"/>
      <c r="DA221" s="7"/>
      <c r="DB221" s="7"/>
      <c r="DC221" s="7"/>
      <c r="DD221" s="7"/>
      <c r="DE221" s="7"/>
      <c r="DF221" s="7"/>
      <c r="DG221" s="7"/>
      <c r="DH221" s="7"/>
      <c r="DI221" s="7"/>
      <c r="DJ221" s="7"/>
      <c r="DK221" s="7"/>
      <c r="DL221" s="7"/>
      <c r="DM221" s="7"/>
      <c r="DN221" s="7"/>
      <c r="DO221" s="7"/>
      <c r="DP221" s="7"/>
      <c r="DQ221" s="7"/>
      <c r="DR221" s="7"/>
      <c r="DS221" s="7"/>
      <c r="DT221" s="7"/>
      <c r="DU221" s="7"/>
      <c r="DV221" s="7"/>
      <c r="DW221" s="7"/>
      <c r="DX221" s="7"/>
      <c r="DY221" s="7"/>
      <c r="DZ221" s="7"/>
      <c r="EA221" s="7"/>
      <c r="EB221" s="7"/>
      <c r="EC221" s="7"/>
      <c r="ED221" s="7"/>
      <c r="EE221" s="7"/>
      <c r="EF221" s="7"/>
      <c r="EG221" s="7"/>
      <c r="EH221" s="7"/>
      <c r="EI221" s="7"/>
      <c r="EJ221" s="7"/>
      <c r="EK221" s="7"/>
      <c r="EL221" s="7"/>
      <c r="EM221" s="7"/>
      <c r="EN221" s="7"/>
      <c r="EO221" s="7"/>
      <c r="EP221" s="7"/>
      <c r="EQ221" s="7"/>
      <c r="ER221" s="7"/>
      <c r="ES221" s="7"/>
      <c r="ET221" s="7"/>
      <c r="EU221" s="7"/>
      <c r="EV221" s="7"/>
      <c r="EW221" s="7"/>
      <c r="EX221" s="7"/>
      <c r="EY221" s="7"/>
      <c r="EZ221" s="7"/>
      <c r="FA221" s="7"/>
      <c r="FB221" s="7"/>
      <c r="FC221" s="7"/>
      <c r="FD221" s="7"/>
      <c r="FE221" s="7"/>
      <c r="FF221" s="7"/>
      <c r="FG221" s="7"/>
      <c r="FH221" s="7"/>
      <c r="FI221" s="7"/>
      <c r="FJ221" s="7"/>
      <c r="FK221" s="7"/>
      <c r="FL221" s="7"/>
      <c r="FM221" s="7"/>
      <c r="FN221" s="7"/>
      <c r="FO221" s="7"/>
      <c r="FP221" s="7"/>
      <c r="FQ221" s="7"/>
      <c r="FR221" s="7"/>
      <c r="FS221" s="7"/>
      <c r="FT221" s="7"/>
      <c r="FU221" s="7"/>
      <c r="FV221" s="7"/>
      <c r="FW221" s="7"/>
      <c r="FX221" s="7"/>
      <c r="FY221" s="7"/>
      <c r="FZ221" s="7"/>
      <c r="GA221" s="7"/>
      <c r="GB221" s="7"/>
      <c r="GC221" s="7"/>
      <c r="GD221" s="7"/>
      <c r="GE221" s="7"/>
      <c r="GF221" s="7"/>
      <c r="GG221" s="7"/>
      <c r="GH221" s="7"/>
      <c r="GI221" s="7"/>
      <c r="GJ221" s="7"/>
      <c r="GK221" s="7"/>
      <c r="GL221" s="7"/>
      <c r="GM221" s="7"/>
      <c r="GN221" s="7"/>
      <c r="GO221" s="7"/>
      <c r="GP221" s="7"/>
      <c r="GQ221" s="7"/>
      <c r="GR221" s="7"/>
      <c r="GS221" s="7"/>
      <c r="GT221" s="7"/>
      <c r="GU221" s="7"/>
      <c r="GV221" s="7"/>
      <c r="GW221" s="7"/>
      <c r="GX221" s="7"/>
      <c r="GY221" s="7"/>
      <c r="GZ221" s="7"/>
      <c r="HA221" s="7"/>
      <c r="HB221" s="7"/>
      <c r="HC221" s="7"/>
      <c r="HD221" s="7"/>
      <c r="HE221" s="7"/>
      <c r="HF221" s="7"/>
      <c r="HG221" s="7"/>
      <c r="HH221" s="7"/>
      <c r="HI221" s="7"/>
      <c r="HJ221" s="7"/>
      <c r="HK221" s="7"/>
      <c r="HL221" s="7"/>
      <c r="HM221" s="7"/>
      <c r="HN221" s="7"/>
      <c r="HO221" s="7"/>
      <c r="HP221" s="7"/>
      <c r="HQ221" s="7"/>
      <c r="HR221" s="7"/>
      <c r="HS221" s="7"/>
      <c r="HT221" s="7"/>
      <c r="HU221" s="7"/>
      <c r="HV221" s="7"/>
      <c r="HW221" s="7"/>
      <c r="HX221" s="7"/>
      <c r="HY221" s="7"/>
      <c r="HZ221" s="7"/>
      <c r="IA221" s="7"/>
      <c r="IB221" s="7"/>
      <c r="IC221" s="7"/>
      <c r="ID221" s="7"/>
      <c r="IE221" s="7"/>
      <c r="IF221" s="7"/>
      <c r="IG221" s="7"/>
      <c r="IH221" s="7"/>
      <c r="II221" s="7"/>
      <c r="IJ221" s="7"/>
      <c r="IK221" s="7"/>
      <c r="IL221" s="7"/>
      <c r="IM221" s="7"/>
      <c r="IN221" s="7"/>
      <c r="IO221" s="7"/>
      <c r="IP221" s="7"/>
      <c r="IQ221" s="7"/>
      <c r="IR221" s="7"/>
      <c r="IS221" s="7"/>
      <c r="IT221" s="7"/>
      <c r="IU221" s="7"/>
      <c r="IV221" s="7"/>
      <c r="IW221" s="7"/>
      <c r="IX221" s="7"/>
      <c r="JA221" s="113"/>
      <c r="JB221" s="113"/>
      <c r="JC221" s="113"/>
      <c r="JD221" s="66">
        <f>SUM((TEXT(JA221,"[M]")/60)*'Income Person-hours'!$D$3,(TEXT(JB221,"[M]")/60)*'Income Person-hours'!$D$4,(TEXT(JC221,"[M]")/60)*'Income Person-hours'!$D$5)</f>
        <v>0</v>
      </c>
    </row>
    <row r="222" spans="1:264 16383:16384" s="11" customFormat="1" ht="11.25" hidden="1">
      <c r="A222" s="5" t="s">
        <v>78</v>
      </c>
      <c r="B222" s="116"/>
      <c r="C222" s="107"/>
      <c r="D222" s="12" t="str">
        <f>IF(OR(j_WEEKDAY(J_ADDDAY(VLOOKUP(I222,A:F,6,FALSE),H222,1),0)=6,SUMIFS(Holieday[ok],Holieday[date],J_ADDDAY(VLOOKUP(I222,A:F,6,FALSE),H222,1)))=FALSE(),J_ADDDAY(VLOOKUP(I222,A:F,6,FALSE),H222,1),IF(OR(j_WEEKDAY(J_ADDDAY(VLOOKUP(I222,A:F,6,FALSE),H222+1,1),0)=6,SUMIFS(Holieday[ok],Holieday[date],J_ADDDAY(VLOOKUP(I222,A:F,6,FALSE),H222+1,1)))=FALSE(),J_ADDDAY(VLOOKUP(I222,A:F,6,FALSE),H222+1,1),IF(OR(j_WEEKDAY(J_ADDDAY(VLOOKUP(I222,A:F,6,FALSE),H222+2,1),0)=6,SUMIFS(Holieday[ok],Holieday[date],J_ADDDAY(VLOOKUP(I222,A:F,6,FALSE),H222+2,1)))=FALSE(),J_ADDDAY(VLOOKUP(I222,A:F,6,FALSE),H222+2,1),IF(OR(j_WEEKDAY(J_ADDDAY(VLOOKUP(I222,A:F,6,FALSE),H222+3,1),0)=6,SUMIFS(Holieday[ok],Holieday[date],J_ADDDAY(VLOOKUP(I222,A:F,6,FALSE),H222+3,1)))=FALSE(),J_ADDDAY(VLOOKUP(I222,A:F,6,FALSE),H222+3,1),IF(OR(j_WEEKDAY(J_ADDDAY(VLOOKUP(I222,A:F,6,FALSE),H222+4,1),0)=6,SUMIFS(Holieday[ok],Holieday[date],J_ADDDAY(VLOOKUP(I222,A:F,6,FALSE),H222+4,1)))=FALSE(),J_ADDDAY(VLOOKUP(I222,A:F,6,FALSE),H222+4,1),J_ADDDAY(VLOOKUP(I222,A:F,6,FALSE),H222+5,1))))))</f>
        <v>1398/06/31</v>
      </c>
      <c r="E222" s="1">
        <f t="shared" si="70"/>
        <v>13980631</v>
      </c>
      <c r="F222" s="12" t="str">
        <f>IF(N222=0,J_SUBDAY(D222,1,1),IF((N222-NETWORKDAYS.INTL(J_GregorianDate(D222,1),J_GregorianDate(J_SUBDAY(J_ADDDAY(D222,N222,1),1,1),1),16,1)-SUMIFS(Holieday[ok],Holieday[date],CONCATENATE("&gt;","=",D222),Holieday[date],CONCATENATE("&lt;","=",J_SUBDAY(J_ADDDAY(D222,N222,1),1,1)))+SUMIFS(Holieday[Friday],Holieday[date],CONCATENATE("&gt;","=",D222),Holieday[date],CONCATENATE("&lt;","=",J_SUBDAY(J_ADDDAY(D222,N222,1),1,1))))=0,J_SUBDAY(J_ADDDAY(D222,N222,1),1,1),IF((N222-NETWORKDAYS.INTL(J_GregorianDate(D222,1),J_GregorianDate(J_SUBDAY(J_ADDDAY(D222,N222,1),1,1),1),16,1)-SUMIFS(Holieday[ok],Holieday[date],CONCATENATE("&gt;","=",D222),Holieday[date],CONCATENATE("&lt;","=",J_SUBDAY(J_ADDDAY(D222,N222,1),1,1)))+SUMIFS(Holieday[Friday],Holieday[date],CONCATENATE("&gt;","=",D222),Holieday[date],CONCATENATE("&lt;","=",J_SUBDAY(J_ADDDAY(D222,N222,1),1,1))))=1,J_SUBDAY(J_ADDDAY(D222,N222+1,1),1,1),IF((N222-NETWORKDAYS.INTL(J_GregorianDate(D222,1),J_GregorianDate(J_SUBDAY(J_ADDDAY(D222,N222,1),1,1),1),16,1)-SUMIFS(Holieday[ok],Holieday[date],CONCATENATE("&gt;","=",D222),Holieday[date],CONCATENATE("&lt;","=",J_SUBDAY(J_ADDDAY(D222,N222,1),1,1)))+SUMIFS(Holieday[Friday],Holieday[date],CONCATENATE("&gt;","=",D222),Holieday[date],CONCATENATE("&lt;","=",J_SUBDAY(J_ADDDAY(D222,N222,1),1,1))))=2,J_SUBDAY(J_ADDDAY(D222,N222+2,1),1,1),J_SUBDAY(J_ADDDAY(D222,N222+3,1),1,1)))))</f>
        <v>1398/06/30</v>
      </c>
      <c r="G222" s="2">
        <f t="shared" si="71"/>
        <v>13980630</v>
      </c>
      <c r="H222" s="109"/>
      <c r="I222" s="110">
        <v>1.1000000000000001</v>
      </c>
      <c r="J222" s="9">
        <f>j_WEEKDAY(D222,2)</f>
        <v>1</v>
      </c>
      <c r="K222" s="21">
        <f t="shared" si="69"/>
        <v>0</v>
      </c>
      <c r="L222" s="8">
        <f t="shared" si="68"/>
        <v>0</v>
      </c>
      <c r="M222" s="111">
        <v>0</v>
      </c>
      <c r="N222" s="108">
        <v>0</v>
      </c>
      <c r="O222" s="10">
        <f t="shared" si="66"/>
        <v>0</v>
      </c>
      <c r="P222" s="10">
        <f>VALUE(J_normdate(J_ADDDAY($D222,$O222,1)))</f>
        <v>13980631</v>
      </c>
      <c r="Q222" s="9">
        <f t="shared" si="67"/>
        <v>0</v>
      </c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  <c r="AY222" s="7"/>
      <c r="AZ222" s="7"/>
      <c r="BA222" s="7"/>
      <c r="BB222" s="7"/>
      <c r="BC222" s="7"/>
      <c r="BD222" s="7"/>
      <c r="BE222" s="7"/>
      <c r="BF222" s="7"/>
      <c r="BG222" s="7"/>
      <c r="BH222" s="7"/>
      <c r="BI222" s="7"/>
      <c r="BJ222" s="7"/>
      <c r="BK222" s="7"/>
      <c r="BL222" s="7"/>
      <c r="BM222" s="7"/>
      <c r="BN222" s="7"/>
      <c r="BO222" s="7"/>
      <c r="BP222" s="7"/>
      <c r="BQ222" s="7"/>
      <c r="BR222" s="7"/>
      <c r="BS222" s="7"/>
      <c r="BT222" s="7"/>
      <c r="BU222" s="7"/>
      <c r="BV222" s="7"/>
      <c r="BW222" s="7"/>
      <c r="BX222" s="7"/>
      <c r="BY222" s="7"/>
      <c r="BZ222" s="7"/>
      <c r="CA222" s="7"/>
      <c r="CB222" s="7"/>
      <c r="CC222" s="7"/>
      <c r="CD222" s="7"/>
      <c r="CE222" s="7"/>
      <c r="CF222" s="7"/>
      <c r="CG222" s="7"/>
      <c r="CH222" s="7"/>
      <c r="CI222" s="7"/>
      <c r="CJ222" s="7"/>
      <c r="CK222" s="7"/>
      <c r="CL222" s="7"/>
      <c r="CM222" s="7"/>
      <c r="CN222" s="7"/>
      <c r="CO222" s="7"/>
      <c r="CP222" s="7"/>
      <c r="CQ222" s="7"/>
      <c r="CR222" s="7"/>
      <c r="CS222" s="7"/>
      <c r="CT222" s="7"/>
      <c r="CU222" s="7"/>
      <c r="CV222" s="7"/>
      <c r="CW222" s="7"/>
      <c r="CX222" s="7"/>
      <c r="CY222" s="7"/>
      <c r="CZ222" s="7"/>
      <c r="DA222" s="7"/>
      <c r="DB222" s="7"/>
      <c r="DC222" s="7"/>
      <c r="DD222" s="7"/>
      <c r="DE222" s="7"/>
      <c r="DF222" s="7"/>
      <c r="DG222" s="7"/>
      <c r="DH222" s="7"/>
      <c r="DI222" s="7"/>
      <c r="DJ222" s="7"/>
      <c r="DK222" s="7"/>
      <c r="DL222" s="7"/>
      <c r="DM222" s="7"/>
      <c r="DN222" s="7"/>
      <c r="DO222" s="7"/>
      <c r="DP222" s="7"/>
      <c r="DQ222" s="7"/>
      <c r="DR222" s="7"/>
      <c r="DS222" s="7"/>
      <c r="DT222" s="7"/>
      <c r="DU222" s="7"/>
      <c r="DV222" s="7"/>
      <c r="DW222" s="7"/>
      <c r="DX222" s="7"/>
      <c r="DY222" s="7"/>
      <c r="DZ222" s="7"/>
      <c r="EA222" s="7"/>
      <c r="EB222" s="7"/>
      <c r="EC222" s="7"/>
      <c r="ED222" s="7"/>
      <c r="EE222" s="7"/>
      <c r="EF222" s="7"/>
      <c r="EG222" s="7"/>
      <c r="EH222" s="7"/>
      <c r="EI222" s="7"/>
      <c r="EJ222" s="7"/>
      <c r="EK222" s="7"/>
      <c r="EL222" s="7"/>
      <c r="EM222" s="7"/>
      <c r="EN222" s="7"/>
      <c r="EO222" s="7"/>
      <c r="EP222" s="7"/>
      <c r="EQ222" s="7"/>
      <c r="ER222" s="7"/>
      <c r="ES222" s="7"/>
      <c r="ET222" s="7"/>
      <c r="EU222" s="7"/>
      <c r="EV222" s="7"/>
      <c r="EW222" s="7"/>
      <c r="EX222" s="7"/>
      <c r="EY222" s="7"/>
      <c r="EZ222" s="7"/>
      <c r="FA222" s="7"/>
      <c r="FB222" s="7"/>
      <c r="FC222" s="7"/>
      <c r="FD222" s="7"/>
      <c r="FE222" s="7"/>
      <c r="FF222" s="7"/>
      <c r="FG222" s="7"/>
      <c r="FH222" s="7"/>
      <c r="FI222" s="7"/>
      <c r="FJ222" s="7"/>
      <c r="FK222" s="7"/>
      <c r="FL222" s="7"/>
      <c r="FM222" s="7"/>
      <c r="FN222" s="7"/>
      <c r="FO222" s="7"/>
      <c r="FP222" s="7"/>
      <c r="FQ222" s="7"/>
      <c r="FR222" s="7"/>
      <c r="FS222" s="7"/>
      <c r="FT222" s="7"/>
      <c r="FU222" s="7"/>
      <c r="FV222" s="7"/>
      <c r="FW222" s="7"/>
      <c r="FX222" s="7"/>
      <c r="FY222" s="7"/>
      <c r="FZ222" s="7"/>
      <c r="GA222" s="7"/>
      <c r="GB222" s="7"/>
      <c r="GC222" s="7"/>
      <c r="GD222" s="7"/>
      <c r="GE222" s="7"/>
      <c r="GF222" s="7"/>
      <c r="GG222" s="7"/>
      <c r="GH222" s="7"/>
      <c r="GI222" s="7"/>
      <c r="GJ222" s="7"/>
      <c r="GK222" s="7"/>
      <c r="GL222" s="7"/>
      <c r="GM222" s="7"/>
      <c r="GN222" s="7"/>
      <c r="GO222" s="7"/>
      <c r="GP222" s="7"/>
      <c r="GQ222" s="7"/>
      <c r="GR222" s="7"/>
      <c r="GS222" s="7"/>
      <c r="GT222" s="7"/>
      <c r="GU222" s="7"/>
      <c r="GV222" s="7"/>
      <c r="GW222" s="7"/>
      <c r="GX222" s="7"/>
      <c r="GY222" s="7"/>
      <c r="GZ222" s="7"/>
      <c r="HA222" s="7"/>
      <c r="HB222" s="7"/>
      <c r="HC222" s="7"/>
      <c r="HD222" s="7"/>
      <c r="HE222" s="7"/>
      <c r="HF222" s="7"/>
      <c r="HG222" s="7"/>
      <c r="HH222" s="7"/>
      <c r="HI222" s="7"/>
      <c r="HJ222" s="7"/>
      <c r="HK222" s="7"/>
      <c r="HL222" s="7"/>
      <c r="HM222" s="7"/>
      <c r="HN222" s="7"/>
      <c r="HO222" s="7"/>
      <c r="HP222" s="7"/>
      <c r="HQ222" s="7"/>
      <c r="HR222" s="7"/>
      <c r="HS222" s="7"/>
      <c r="HT222" s="7"/>
      <c r="HU222" s="7"/>
      <c r="HV222" s="7"/>
      <c r="HW222" s="7"/>
      <c r="HX222" s="7"/>
      <c r="HY222" s="7"/>
      <c r="HZ222" s="7"/>
      <c r="IA222" s="7"/>
      <c r="IB222" s="7"/>
      <c r="IC222" s="7"/>
      <c r="ID222" s="7"/>
      <c r="IE222" s="7"/>
      <c r="IF222" s="7"/>
      <c r="IG222" s="7"/>
      <c r="IH222" s="7"/>
      <c r="II222" s="7"/>
      <c r="IJ222" s="7"/>
      <c r="IK222" s="7"/>
      <c r="IL222" s="7"/>
      <c r="IM222" s="7"/>
      <c r="IN222" s="7"/>
      <c r="IO222" s="7"/>
      <c r="IP222" s="7"/>
      <c r="IQ222" s="7"/>
      <c r="IR222" s="7"/>
      <c r="IS222" s="7"/>
      <c r="IT222" s="7"/>
      <c r="IU222" s="7"/>
      <c r="IV222" s="7"/>
      <c r="IW222" s="7"/>
      <c r="IX222" s="7"/>
      <c r="JA222" s="113"/>
      <c r="JB222" s="113"/>
      <c r="JC222" s="113"/>
      <c r="JD222" s="66">
        <f>SUM((TEXT(JA222,"[M]")/60)*'Income Person-hours'!$D$3,(TEXT(JB222,"[M]")/60)*'Income Person-hours'!$D$4,(TEXT(JC222,"[M]")/60)*'Income Person-hours'!$D$5)</f>
        <v>0</v>
      </c>
    </row>
    <row r="223" spans="1:264 16383:16384" s="1" customFormat="1" ht="11.25" hidden="1">
      <c r="A223" s="58">
        <v>10</v>
      </c>
      <c r="B223" s="102"/>
      <c r="C223" s="103"/>
      <c r="D223" s="4" t="str">
        <f>FDate(MIN(E224:E244))</f>
        <v>1398/06/30</v>
      </c>
      <c r="E223" s="1">
        <f t="shared" si="70"/>
        <v>13980630</v>
      </c>
      <c r="F223" s="4" t="str">
        <f>J_SUBDAY(J_ADDDAY(D223,L223,1),1,1)</f>
        <v>1398/06/29</v>
      </c>
      <c r="G223" s="2">
        <f t="shared" si="71"/>
        <v>13980629</v>
      </c>
      <c r="H223" s="104"/>
      <c r="I223" s="105"/>
      <c r="J223" s="4">
        <f>j_WEEKDAY(D223,2)</f>
        <v>0</v>
      </c>
      <c r="K223" s="20">
        <f>SUM(K224:K244)</f>
        <v>0</v>
      </c>
      <c r="L223" s="3">
        <f>J_DIFF(D223,FDate(MAX(G224:G244)))+1</f>
        <v>0</v>
      </c>
      <c r="M223" s="166">
        <f>IF(SUM(L224:L244)&lt;&gt;0,SUMPRODUCT(L224:L244,M224:M244)/SUM(L224:L244),0)</f>
        <v>0</v>
      </c>
      <c r="N223" s="167">
        <f>IF(F223&gt;=D223,NETWORKDAYS.INTL(J_GregorianDate(D223,1),J_GregorianDate(F223,1),16,1)-SUMIFS(Holieday[ok],Holieday[date],CONCATENATE("&gt;","=",D223),Holieday[date],CONCATENATE("&lt;","=",F223))+SUMIFS(Holieday[Friday],Holieday[date],CONCATENATE("&gt;","=",D223),Holieday[date],CONCATENATE("&lt;","=",F223)),0)</f>
        <v>0</v>
      </c>
      <c r="O223" s="14">
        <f t="shared" ref="O223" si="72">ROUNDDOWN(M223*L223,0)</f>
        <v>0</v>
      </c>
      <c r="P223" s="14">
        <f>VALUE(J_normdate(J_ADDDAY($D223,$O223,1)))</f>
        <v>13980630</v>
      </c>
      <c r="Q223" s="4">
        <f t="shared" ref="Q223" si="73">L223-O223</f>
        <v>0</v>
      </c>
      <c r="IV223" s="160"/>
      <c r="IW223" s="160"/>
      <c r="IX223" s="160"/>
      <c r="IY223" s="188"/>
      <c r="IZ223" s="188"/>
      <c r="JA223" s="188"/>
      <c r="JB223" s="189"/>
      <c r="JC223" s="160"/>
      <c r="XFC223" s="4"/>
      <c r="XFD223" s="4"/>
    </row>
    <row r="224" spans="1:264 16383:16384" s="11" customFormat="1" ht="11.25" hidden="1">
      <c r="A224" s="30">
        <v>10.1</v>
      </c>
      <c r="B224" s="116"/>
      <c r="C224" s="107"/>
      <c r="D224" s="12" t="str">
        <f>IF(OR(j_WEEKDAY(J_ADDDAY(VLOOKUP(I224,A:F,6,FALSE),H224,1),0)=6,SUMIFS(Holieday[ok],Holieday[date],J_ADDDAY(VLOOKUP(I224,A:F,6,FALSE),H224,1)))=FALSE(),J_ADDDAY(VLOOKUP(I224,A:F,6,FALSE),H224,1),IF(OR(j_WEEKDAY(J_ADDDAY(VLOOKUP(I224,A:F,6,FALSE),H224+1,1),0)=6,SUMIFS(Holieday[ok],Holieday[date],J_ADDDAY(VLOOKUP(I224,A:F,6,FALSE),H224+1,1)))=FALSE(),J_ADDDAY(VLOOKUP(I224,A:F,6,FALSE),H224+1,1),IF(OR(j_WEEKDAY(J_ADDDAY(VLOOKUP(I224,A:F,6,FALSE),H224+2,1),0)=6,SUMIFS(Holieday[ok],Holieday[date],J_ADDDAY(VLOOKUP(I224,A:F,6,FALSE),H224+2,1)))=FALSE(),J_ADDDAY(VLOOKUP(I224,A:F,6,FALSE),H224+2,1),IF(OR(j_WEEKDAY(J_ADDDAY(VLOOKUP(I224,A:F,6,FALSE),H224+3,1),0)=6,SUMIFS(Holieday[ok],Holieday[date],J_ADDDAY(VLOOKUP(I224,A:F,6,FALSE),H224+3,1)))=FALSE(),J_ADDDAY(VLOOKUP(I224,A:F,6,FALSE),H224+3,1),IF(OR(j_WEEKDAY(J_ADDDAY(VLOOKUP(I224,A:F,6,FALSE),H224+4,1),0)=6,SUMIFS(Holieday[ok],Holieday[date],J_ADDDAY(VLOOKUP(I224,A:F,6,FALSE),H224+4,1)))=FALSE(),J_ADDDAY(VLOOKUP(I224,A:F,6,FALSE),H224+4,1),J_ADDDAY(VLOOKUP(I224,A:F,6,FALSE),H224+5,1))))))</f>
        <v>1398/06/30</v>
      </c>
      <c r="E224" s="1">
        <f t="shared" si="70"/>
        <v>13980630</v>
      </c>
      <c r="F224" s="12" t="str">
        <f>IF(N224=0,J_SUBDAY(D224,1,1),IF((N224-NETWORKDAYS.INTL(J_GregorianDate(D224,1),J_GregorianDate(J_SUBDAY(J_ADDDAY(D224,N224,1),1,1),1),16,1)-SUMIFS(Holieday[ok],Holieday[date],CONCATENATE("&gt;","=",D224),Holieday[date],CONCATENATE("&lt;","=",J_SUBDAY(J_ADDDAY(D224,N224,1),1,1)))+SUMIFS(Holieday[Friday],Holieday[date],CONCATENATE("&gt;","=",D224),Holieday[date],CONCATENATE("&lt;","=",J_SUBDAY(J_ADDDAY(D224,N224,1),1,1))))=0,J_SUBDAY(J_ADDDAY(D224,N224,1),1,1),IF((N224-NETWORKDAYS.INTL(J_GregorianDate(D224,1),J_GregorianDate(J_SUBDAY(J_ADDDAY(D224,N224,1),1,1),1),16,1)-SUMIFS(Holieday[ok],Holieday[date],CONCATENATE("&gt;","=",D224),Holieday[date],CONCATENATE("&lt;","=",J_SUBDAY(J_ADDDAY(D224,N224,1),1,1)))+SUMIFS(Holieday[Friday],Holieday[date],CONCATENATE("&gt;","=",D224),Holieday[date],CONCATENATE("&lt;","=",J_SUBDAY(J_ADDDAY(D224,N224,1),1,1))))=1,J_SUBDAY(J_ADDDAY(D224,N224+1,1),1,1),IF((N224-NETWORKDAYS.INTL(J_GregorianDate(D224,1),J_GregorianDate(J_SUBDAY(J_ADDDAY(D224,N224,1),1,1),1),16,1)-SUMIFS(Holieday[ok],Holieday[date],CONCATENATE("&gt;","=",D224),Holieday[date],CONCATENATE("&lt;","=",J_SUBDAY(J_ADDDAY(D224,N224,1),1,1)))+SUMIFS(Holieday[Friday],Holieday[date],CONCATENATE("&gt;","=",D224),Holieday[date],CONCATENATE("&lt;","=",J_SUBDAY(J_ADDDAY(D224,N224,1),1,1))))=2,J_SUBDAY(J_ADDDAY(D224,N224+2,1),1,1),J_SUBDAY(J_ADDDAY(D224,N224+3,1),1,1)))))</f>
        <v>1398/06/29</v>
      </c>
      <c r="G224" s="2">
        <f t="shared" si="71"/>
        <v>13980629</v>
      </c>
      <c r="H224" s="109"/>
      <c r="I224" s="110">
        <v>9.1</v>
      </c>
      <c r="J224" s="9">
        <f>j_WEEKDAY(D224,2)</f>
        <v>0</v>
      </c>
      <c r="K224" s="21">
        <f t="shared" si="69"/>
        <v>0</v>
      </c>
      <c r="L224" s="8">
        <f t="shared" ref="L224:L244" si="74">J_DIFF(D224,F224)+1</f>
        <v>0</v>
      </c>
      <c r="M224" s="111">
        <v>0</v>
      </c>
      <c r="N224" s="108">
        <v>0</v>
      </c>
      <c r="O224" s="10">
        <f t="shared" ref="O224:O244" si="75">ROUNDDOWN(M224*L224,0)</f>
        <v>0</v>
      </c>
      <c r="P224" s="10">
        <f>VALUE(J_normdate(J_ADDDAY($D224,$O224,1)))</f>
        <v>13980630</v>
      </c>
      <c r="Q224" s="9">
        <f t="shared" ref="Q224:Q244" si="76">L224-O224</f>
        <v>0</v>
      </c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  <c r="BP224" s="7"/>
      <c r="BQ224" s="7"/>
      <c r="BR224" s="7"/>
      <c r="BS224" s="7"/>
      <c r="BT224" s="7"/>
      <c r="BU224" s="7"/>
      <c r="BV224" s="7"/>
      <c r="BW224" s="7"/>
      <c r="BX224" s="7"/>
      <c r="BY224" s="7"/>
      <c r="BZ224" s="7"/>
      <c r="CA224" s="7"/>
      <c r="CB224" s="7"/>
      <c r="CC224" s="7"/>
      <c r="CD224" s="7"/>
      <c r="CE224" s="7"/>
      <c r="CF224" s="7"/>
      <c r="CG224" s="7"/>
      <c r="CH224" s="7"/>
      <c r="CI224" s="7"/>
      <c r="CJ224" s="7"/>
      <c r="CK224" s="7"/>
      <c r="CL224" s="7"/>
      <c r="CM224" s="7"/>
      <c r="CN224" s="7"/>
      <c r="CO224" s="7"/>
      <c r="CP224" s="7"/>
      <c r="CQ224" s="7"/>
      <c r="CR224" s="7"/>
      <c r="CS224" s="7"/>
      <c r="CT224" s="7"/>
      <c r="CU224" s="7"/>
      <c r="CV224" s="7"/>
      <c r="CW224" s="7"/>
      <c r="CX224" s="7"/>
      <c r="CY224" s="7"/>
      <c r="CZ224" s="7"/>
      <c r="DA224" s="7"/>
      <c r="DB224" s="7"/>
      <c r="DC224" s="7"/>
      <c r="DD224" s="7"/>
      <c r="DE224" s="7"/>
      <c r="DF224" s="7"/>
      <c r="DG224" s="7"/>
      <c r="DH224" s="7"/>
      <c r="DI224" s="7"/>
      <c r="DJ224" s="7"/>
      <c r="DK224" s="7"/>
      <c r="DL224" s="7"/>
      <c r="DM224" s="7"/>
      <c r="DN224" s="7"/>
      <c r="DO224" s="7"/>
      <c r="DP224" s="7"/>
      <c r="DQ224" s="7"/>
      <c r="DR224" s="7"/>
      <c r="DS224" s="7"/>
      <c r="DT224" s="7"/>
      <c r="DU224" s="7"/>
      <c r="DV224" s="7"/>
      <c r="DW224" s="7"/>
      <c r="DX224" s="7"/>
      <c r="DY224" s="7"/>
      <c r="DZ224" s="7"/>
      <c r="EA224" s="7"/>
      <c r="EB224" s="7"/>
      <c r="EC224" s="7"/>
      <c r="ED224" s="7"/>
      <c r="EE224" s="7"/>
      <c r="EF224" s="7"/>
      <c r="EG224" s="7"/>
      <c r="EH224" s="7"/>
      <c r="EI224" s="7"/>
      <c r="EJ224" s="7"/>
      <c r="EK224" s="7"/>
      <c r="EL224" s="7"/>
      <c r="EM224" s="7"/>
      <c r="EN224" s="7"/>
      <c r="EO224" s="7"/>
      <c r="EP224" s="7"/>
      <c r="EQ224" s="7"/>
      <c r="ER224" s="7"/>
      <c r="ES224" s="7"/>
      <c r="ET224" s="7"/>
      <c r="EU224" s="7"/>
      <c r="EV224" s="7"/>
      <c r="EW224" s="7"/>
      <c r="EX224" s="7"/>
      <c r="EY224" s="7"/>
      <c r="EZ224" s="7"/>
      <c r="FA224" s="7"/>
      <c r="FB224" s="7"/>
      <c r="FC224" s="7"/>
      <c r="FD224" s="7"/>
      <c r="FE224" s="7"/>
      <c r="FF224" s="7"/>
      <c r="FG224" s="7"/>
      <c r="FH224" s="7"/>
      <c r="FI224" s="7"/>
      <c r="FJ224" s="7"/>
      <c r="FK224" s="7"/>
      <c r="FL224" s="7"/>
      <c r="FM224" s="7"/>
      <c r="FN224" s="7"/>
      <c r="FO224" s="7"/>
      <c r="FP224" s="7"/>
      <c r="FQ224" s="7"/>
      <c r="FR224" s="7"/>
      <c r="FS224" s="7"/>
      <c r="FT224" s="7"/>
      <c r="FU224" s="7"/>
      <c r="FV224" s="7"/>
      <c r="FW224" s="7"/>
      <c r="FX224" s="7"/>
      <c r="FY224" s="7"/>
      <c r="FZ224" s="7"/>
      <c r="GA224" s="7"/>
      <c r="GB224" s="7"/>
      <c r="GC224" s="7"/>
      <c r="GD224" s="7"/>
      <c r="GE224" s="7"/>
      <c r="GF224" s="7"/>
      <c r="GG224" s="7"/>
      <c r="GH224" s="7"/>
      <c r="GI224" s="7"/>
      <c r="GJ224" s="7"/>
      <c r="GK224" s="7"/>
      <c r="GL224" s="7"/>
      <c r="GM224" s="7"/>
      <c r="GN224" s="7"/>
      <c r="GO224" s="7"/>
      <c r="GP224" s="7"/>
      <c r="GQ224" s="7"/>
      <c r="GR224" s="7"/>
      <c r="GS224" s="7"/>
      <c r="GT224" s="7"/>
      <c r="GU224" s="7"/>
      <c r="GV224" s="7"/>
      <c r="GW224" s="7"/>
      <c r="GX224" s="7"/>
      <c r="GY224" s="7"/>
      <c r="GZ224" s="7"/>
      <c r="HA224" s="7"/>
      <c r="HB224" s="7"/>
      <c r="HC224" s="7"/>
      <c r="HD224" s="7"/>
      <c r="HE224" s="7"/>
      <c r="HF224" s="7"/>
      <c r="HG224" s="7"/>
      <c r="HH224" s="7"/>
      <c r="HI224" s="7"/>
      <c r="HJ224" s="7"/>
      <c r="HK224" s="7"/>
      <c r="HL224" s="7"/>
      <c r="HM224" s="7"/>
      <c r="HN224" s="7"/>
      <c r="HO224" s="7"/>
      <c r="HP224" s="7"/>
      <c r="HQ224" s="7"/>
      <c r="HR224" s="7"/>
      <c r="HS224" s="7"/>
      <c r="HT224" s="7"/>
      <c r="HU224" s="7"/>
      <c r="HV224" s="7"/>
      <c r="HW224" s="7"/>
      <c r="HX224" s="7"/>
      <c r="HY224" s="7"/>
      <c r="HZ224" s="7"/>
      <c r="IA224" s="7"/>
      <c r="IB224" s="7"/>
      <c r="IC224" s="7"/>
      <c r="ID224" s="7"/>
      <c r="IE224" s="7"/>
      <c r="IF224" s="7"/>
      <c r="IG224" s="7"/>
      <c r="IH224" s="7"/>
      <c r="II224" s="7"/>
      <c r="IJ224" s="7"/>
      <c r="IK224" s="7"/>
      <c r="IL224" s="7"/>
      <c r="IM224" s="7"/>
      <c r="IN224" s="7"/>
      <c r="IO224" s="7"/>
      <c r="IP224" s="7"/>
      <c r="IQ224" s="7"/>
      <c r="IR224" s="7"/>
      <c r="IS224" s="7"/>
      <c r="IT224" s="7"/>
      <c r="IU224" s="7"/>
      <c r="IV224" s="7"/>
      <c r="IW224" s="7"/>
      <c r="IX224" s="7"/>
      <c r="JA224" s="113"/>
      <c r="JB224" s="113"/>
      <c r="JC224" s="113"/>
      <c r="JD224" s="66">
        <f>SUM((TEXT(JA224,"[M]")/60)*'Income Person-hours'!$D$3,(TEXT(JB224,"[M]")/60)*'Income Person-hours'!$D$4,(TEXT(JC224,"[M]")/60)*'Income Person-hours'!$D$5)</f>
        <v>0</v>
      </c>
    </row>
    <row r="225" spans="1:264" s="11" customFormat="1" ht="11.25" hidden="1">
      <c r="A225" s="30">
        <v>10.199999999999999</v>
      </c>
      <c r="B225" s="116"/>
      <c r="C225" s="107"/>
      <c r="D225" s="12" t="str">
        <f>IF(OR(j_WEEKDAY(J_ADDDAY(VLOOKUP(I225,A:F,6,FALSE),H225,1),0)=6,SUMIFS(Holieday[ok],Holieday[date],J_ADDDAY(VLOOKUP(I225,A:F,6,FALSE),H225,1)))=FALSE(),J_ADDDAY(VLOOKUP(I225,A:F,6,FALSE),H225,1),IF(OR(j_WEEKDAY(J_ADDDAY(VLOOKUP(I225,A:F,6,FALSE),H225+1,1),0)=6,SUMIFS(Holieday[ok],Holieday[date],J_ADDDAY(VLOOKUP(I225,A:F,6,FALSE),H225+1,1)))=FALSE(),J_ADDDAY(VLOOKUP(I225,A:F,6,FALSE),H225+1,1),IF(OR(j_WEEKDAY(J_ADDDAY(VLOOKUP(I225,A:F,6,FALSE),H225+2,1),0)=6,SUMIFS(Holieday[ok],Holieday[date],J_ADDDAY(VLOOKUP(I225,A:F,6,FALSE),H225+2,1)))=FALSE(),J_ADDDAY(VLOOKUP(I225,A:F,6,FALSE),H225+2,1),IF(OR(j_WEEKDAY(J_ADDDAY(VLOOKUP(I225,A:F,6,FALSE),H225+3,1),0)=6,SUMIFS(Holieday[ok],Holieday[date],J_ADDDAY(VLOOKUP(I225,A:F,6,FALSE),H225+3,1)))=FALSE(),J_ADDDAY(VLOOKUP(I225,A:F,6,FALSE),H225+3,1),IF(OR(j_WEEKDAY(J_ADDDAY(VLOOKUP(I225,A:F,6,FALSE),H225+4,1),0)=6,SUMIFS(Holieday[ok],Holieday[date],J_ADDDAY(VLOOKUP(I225,A:F,6,FALSE),H225+4,1)))=FALSE(),J_ADDDAY(VLOOKUP(I225,A:F,6,FALSE),H225+4,1),J_ADDDAY(VLOOKUP(I225,A:F,6,FALSE),H225+5,1))))))</f>
        <v>1398/06/30</v>
      </c>
      <c r="E225" s="1">
        <f t="shared" si="70"/>
        <v>13980630</v>
      </c>
      <c r="F225" s="12" t="str">
        <f>IF(N225=0,J_SUBDAY(D225,1,1),IF((N225-NETWORKDAYS.INTL(J_GregorianDate(D225,1),J_GregorianDate(J_SUBDAY(J_ADDDAY(D225,N225,1),1,1),1),16,1)-SUMIFS(Holieday[ok],Holieday[date],CONCATENATE("&gt;","=",D225),Holieday[date],CONCATENATE("&lt;","=",J_SUBDAY(J_ADDDAY(D225,N225,1),1,1)))+SUMIFS(Holieday[Friday],Holieday[date],CONCATENATE("&gt;","=",D225),Holieday[date],CONCATENATE("&lt;","=",J_SUBDAY(J_ADDDAY(D225,N225,1),1,1))))=0,J_SUBDAY(J_ADDDAY(D225,N225,1),1,1),IF((N225-NETWORKDAYS.INTL(J_GregorianDate(D225,1),J_GregorianDate(J_SUBDAY(J_ADDDAY(D225,N225,1),1,1),1),16,1)-SUMIFS(Holieday[ok],Holieday[date],CONCATENATE("&gt;","=",D225),Holieday[date],CONCATENATE("&lt;","=",J_SUBDAY(J_ADDDAY(D225,N225,1),1,1)))+SUMIFS(Holieday[Friday],Holieday[date],CONCATENATE("&gt;","=",D225),Holieday[date],CONCATENATE("&lt;","=",J_SUBDAY(J_ADDDAY(D225,N225,1),1,1))))=1,J_SUBDAY(J_ADDDAY(D225,N225+1,1),1,1),IF((N225-NETWORKDAYS.INTL(J_GregorianDate(D225,1),J_GregorianDate(J_SUBDAY(J_ADDDAY(D225,N225,1),1,1),1),16,1)-SUMIFS(Holieday[ok],Holieday[date],CONCATENATE("&gt;","=",D225),Holieday[date],CONCATENATE("&lt;","=",J_SUBDAY(J_ADDDAY(D225,N225,1),1,1)))+SUMIFS(Holieday[Friday],Holieday[date],CONCATENATE("&gt;","=",D225),Holieday[date],CONCATENATE("&lt;","=",J_SUBDAY(J_ADDDAY(D225,N225,1),1,1))))=2,J_SUBDAY(J_ADDDAY(D225,N225+2,1),1,1),J_SUBDAY(J_ADDDAY(D225,N225+3,1),1,1)))))</f>
        <v>1398/06/29</v>
      </c>
      <c r="G225" s="2">
        <f t="shared" si="71"/>
        <v>13980629</v>
      </c>
      <c r="H225" s="109"/>
      <c r="I225" s="110">
        <v>10.1</v>
      </c>
      <c r="J225" s="9">
        <f>j_WEEKDAY(D225,2)</f>
        <v>0</v>
      </c>
      <c r="K225" s="21">
        <f t="shared" si="69"/>
        <v>0</v>
      </c>
      <c r="L225" s="8">
        <f t="shared" si="74"/>
        <v>0</v>
      </c>
      <c r="M225" s="111">
        <v>0</v>
      </c>
      <c r="N225" s="108">
        <v>0</v>
      </c>
      <c r="O225" s="10">
        <f t="shared" si="75"/>
        <v>0</v>
      </c>
      <c r="P225" s="10">
        <f>VALUE(J_normdate(J_ADDDAY($D225,$O225,1)))</f>
        <v>13980630</v>
      </c>
      <c r="Q225" s="9">
        <f t="shared" si="76"/>
        <v>0</v>
      </c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Y225" s="7"/>
      <c r="AZ225" s="7"/>
      <c r="BA225" s="7"/>
      <c r="BB225" s="7"/>
      <c r="BC225" s="7"/>
      <c r="BD225" s="7"/>
      <c r="BE225" s="7"/>
      <c r="BF225" s="7"/>
      <c r="BG225" s="7"/>
      <c r="BH225" s="7"/>
      <c r="BI225" s="7"/>
      <c r="BJ225" s="7"/>
      <c r="BK225" s="7"/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F225" s="7"/>
      <c r="EG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JA225" s="113"/>
      <c r="JB225" s="113"/>
      <c r="JC225" s="113"/>
      <c r="JD225" s="66">
        <f>SUM((TEXT(JA225,"[M]")/60)*'Income Person-hours'!$D$3,(TEXT(JB225,"[M]")/60)*'Income Person-hours'!$D$4,(TEXT(JC225,"[M]")/60)*'Income Person-hours'!$D$5)</f>
        <v>0</v>
      </c>
    </row>
    <row r="226" spans="1:264" s="11" customFormat="1" ht="11.25" hidden="1">
      <c r="A226" s="30">
        <v>10.3</v>
      </c>
      <c r="B226" s="116"/>
      <c r="C226" s="107"/>
      <c r="D226" s="12" t="str">
        <f>IF(OR(j_WEEKDAY(J_ADDDAY(VLOOKUP(I226,A:F,6,FALSE),H226,1),0)=6,SUMIFS(Holieday[ok],Holieday[date],J_ADDDAY(VLOOKUP(I226,A:F,6,FALSE),H226,1)))=FALSE(),J_ADDDAY(VLOOKUP(I226,A:F,6,FALSE),H226,1),IF(OR(j_WEEKDAY(J_ADDDAY(VLOOKUP(I226,A:F,6,FALSE),H226+1,1),0)=6,SUMIFS(Holieday[ok],Holieday[date],J_ADDDAY(VLOOKUP(I226,A:F,6,FALSE),H226+1,1)))=FALSE(),J_ADDDAY(VLOOKUP(I226,A:F,6,FALSE),H226+1,1),IF(OR(j_WEEKDAY(J_ADDDAY(VLOOKUP(I226,A:F,6,FALSE),H226+2,1),0)=6,SUMIFS(Holieday[ok],Holieday[date],J_ADDDAY(VLOOKUP(I226,A:F,6,FALSE),H226+2,1)))=FALSE(),J_ADDDAY(VLOOKUP(I226,A:F,6,FALSE),H226+2,1),IF(OR(j_WEEKDAY(J_ADDDAY(VLOOKUP(I226,A:F,6,FALSE),H226+3,1),0)=6,SUMIFS(Holieday[ok],Holieday[date],J_ADDDAY(VLOOKUP(I226,A:F,6,FALSE),H226+3,1)))=FALSE(),J_ADDDAY(VLOOKUP(I226,A:F,6,FALSE),H226+3,1),IF(OR(j_WEEKDAY(J_ADDDAY(VLOOKUP(I226,A:F,6,FALSE),H226+4,1),0)=6,SUMIFS(Holieday[ok],Holieday[date],J_ADDDAY(VLOOKUP(I226,A:F,6,FALSE),H226+4,1)))=FALSE(),J_ADDDAY(VLOOKUP(I226,A:F,6,FALSE),H226+4,1),J_ADDDAY(VLOOKUP(I226,A:F,6,FALSE),H226+5,1))))))</f>
        <v>1398/06/30</v>
      </c>
      <c r="E226" s="1">
        <f t="shared" si="70"/>
        <v>13980630</v>
      </c>
      <c r="F226" s="12" t="str">
        <f>IF(N226=0,J_SUBDAY(D226,1,1),IF((N226-NETWORKDAYS.INTL(J_GregorianDate(D226,1),J_GregorianDate(J_SUBDAY(J_ADDDAY(D226,N226,1),1,1),1),16,1)-SUMIFS(Holieday[ok],Holieday[date],CONCATENATE("&gt;","=",D226),Holieday[date],CONCATENATE("&lt;","=",J_SUBDAY(J_ADDDAY(D226,N226,1),1,1)))+SUMIFS(Holieday[Friday],Holieday[date],CONCATENATE("&gt;","=",D226),Holieday[date],CONCATENATE("&lt;","=",J_SUBDAY(J_ADDDAY(D226,N226,1),1,1))))=0,J_SUBDAY(J_ADDDAY(D226,N226,1),1,1),IF((N226-NETWORKDAYS.INTL(J_GregorianDate(D226,1),J_GregorianDate(J_SUBDAY(J_ADDDAY(D226,N226,1),1,1),1),16,1)-SUMIFS(Holieday[ok],Holieday[date],CONCATENATE("&gt;","=",D226),Holieday[date],CONCATENATE("&lt;","=",J_SUBDAY(J_ADDDAY(D226,N226,1),1,1)))+SUMIFS(Holieday[Friday],Holieday[date],CONCATENATE("&gt;","=",D226),Holieday[date],CONCATENATE("&lt;","=",J_SUBDAY(J_ADDDAY(D226,N226,1),1,1))))=1,J_SUBDAY(J_ADDDAY(D226,N226+1,1),1,1),IF((N226-NETWORKDAYS.INTL(J_GregorianDate(D226,1),J_GregorianDate(J_SUBDAY(J_ADDDAY(D226,N226,1),1,1),1),16,1)-SUMIFS(Holieday[ok],Holieday[date],CONCATENATE("&gt;","=",D226),Holieday[date],CONCATENATE("&lt;","=",J_SUBDAY(J_ADDDAY(D226,N226,1),1,1)))+SUMIFS(Holieday[Friday],Holieday[date],CONCATENATE("&gt;","=",D226),Holieday[date],CONCATENATE("&lt;","=",J_SUBDAY(J_ADDDAY(D226,N226,1),1,1))))=2,J_SUBDAY(J_ADDDAY(D226,N226+2,1),1,1),J_SUBDAY(J_ADDDAY(D226,N226+3,1),1,1)))))</f>
        <v>1398/06/29</v>
      </c>
      <c r="G226" s="2">
        <f t="shared" si="71"/>
        <v>13980629</v>
      </c>
      <c r="H226" s="109"/>
      <c r="I226" s="110">
        <v>10.1</v>
      </c>
      <c r="J226" s="9">
        <f>j_WEEKDAY(D226,2)</f>
        <v>0</v>
      </c>
      <c r="K226" s="21">
        <f t="shared" si="69"/>
        <v>0</v>
      </c>
      <c r="L226" s="8">
        <f t="shared" si="74"/>
        <v>0</v>
      </c>
      <c r="M226" s="111">
        <v>0</v>
      </c>
      <c r="N226" s="108">
        <v>0</v>
      </c>
      <c r="O226" s="10">
        <f t="shared" si="75"/>
        <v>0</v>
      </c>
      <c r="P226" s="10">
        <f>VALUE(J_normdate(J_ADDDAY($D226,$O226,1)))</f>
        <v>13980630</v>
      </c>
      <c r="Q226" s="9">
        <f t="shared" si="76"/>
        <v>0</v>
      </c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Y226" s="7"/>
      <c r="AZ226" s="7"/>
      <c r="BA226" s="7"/>
      <c r="BB226" s="7"/>
      <c r="BC226" s="7"/>
      <c r="BD226" s="7"/>
      <c r="BE226" s="7"/>
      <c r="BF226" s="7"/>
      <c r="BG226" s="7"/>
      <c r="BH226" s="7"/>
      <c r="BI226" s="7"/>
      <c r="BJ226" s="7"/>
      <c r="BK226" s="7"/>
      <c r="BL226" s="7"/>
      <c r="BM226" s="7"/>
      <c r="BN226" s="7"/>
      <c r="BO226" s="7"/>
      <c r="BP226" s="7"/>
      <c r="BQ226" s="7"/>
      <c r="BR226" s="7"/>
      <c r="BS226" s="7"/>
      <c r="BT226" s="7"/>
      <c r="BU226" s="7"/>
      <c r="BV226" s="7"/>
      <c r="BW226" s="7"/>
      <c r="BX226" s="7"/>
      <c r="BY226" s="7"/>
      <c r="BZ226" s="7"/>
      <c r="CA226" s="7"/>
      <c r="CB226" s="7"/>
      <c r="CC226" s="7"/>
      <c r="CD226" s="7"/>
      <c r="CE226" s="7"/>
      <c r="CF226" s="7"/>
      <c r="CG226" s="7"/>
      <c r="CH226" s="7"/>
      <c r="CI226" s="7"/>
      <c r="CJ226" s="7"/>
      <c r="CK226" s="7"/>
      <c r="CL226" s="7"/>
      <c r="CM226" s="7"/>
      <c r="CN226" s="7"/>
      <c r="CO226" s="7"/>
      <c r="CP226" s="7"/>
      <c r="CQ226" s="7"/>
      <c r="CR226" s="7"/>
      <c r="CS226" s="7"/>
      <c r="CT226" s="7"/>
      <c r="CU226" s="7"/>
      <c r="CV226" s="7"/>
      <c r="CW226" s="7"/>
      <c r="CX226" s="7"/>
      <c r="CY226" s="7"/>
      <c r="CZ226" s="7"/>
      <c r="DA226" s="7"/>
      <c r="DB226" s="7"/>
      <c r="DC226" s="7"/>
      <c r="DD226" s="7"/>
      <c r="DE226" s="7"/>
      <c r="DF226" s="7"/>
      <c r="DG226" s="7"/>
      <c r="DH226" s="7"/>
      <c r="DI226" s="7"/>
      <c r="DJ226" s="7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  <c r="DY226" s="7"/>
      <c r="DZ226" s="7"/>
      <c r="EA226" s="7"/>
      <c r="EB226" s="7"/>
      <c r="EC226" s="7"/>
      <c r="ED226" s="7"/>
      <c r="EE226" s="7"/>
      <c r="EF226" s="7"/>
      <c r="EG226" s="7"/>
      <c r="EH226" s="7"/>
      <c r="EI226" s="7"/>
      <c r="EJ226" s="7"/>
      <c r="EK226" s="7"/>
      <c r="EL226" s="7"/>
      <c r="EM226" s="7"/>
      <c r="EN226" s="7"/>
      <c r="EO226" s="7"/>
      <c r="EP226" s="7"/>
      <c r="EQ226" s="7"/>
      <c r="ER226" s="7"/>
      <c r="ES226" s="7"/>
      <c r="ET226" s="7"/>
      <c r="EU226" s="7"/>
      <c r="EV226" s="7"/>
      <c r="EW226" s="7"/>
      <c r="EX226" s="7"/>
      <c r="EY226" s="7"/>
      <c r="EZ226" s="7"/>
      <c r="FA226" s="7"/>
      <c r="FB226" s="7"/>
      <c r="FC226" s="7"/>
      <c r="FD226" s="7"/>
      <c r="FE226" s="7"/>
      <c r="FF226" s="7"/>
      <c r="FG226" s="7"/>
      <c r="FH226" s="7"/>
      <c r="FI226" s="7"/>
      <c r="FJ226" s="7"/>
      <c r="FK226" s="7"/>
      <c r="FL226" s="7"/>
      <c r="FM226" s="7"/>
      <c r="FN226" s="7"/>
      <c r="FO226" s="7"/>
      <c r="FP226" s="7"/>
      <c r="FQ226" s="7"/>
      <c r="FR226" s="7"/>
      <c r="FS226" s="7"/>
      <c r="FT226" s="7"/>
      <c r="FU226" s="7"/>
      <c r="FV226" s="7"/>
      <c r="FW226" s="7"/>
      <c r="FX226" s="7"/>
      <c r="FY226" s="7"/>
      <c r="FZ226" s="7"/>
      <c r="GA226" s="7"/>
      <c r="GB226" s="7"/>
      <c r="GC226" s="7"/>
      <c r="GD226" s="7"/>
      <c r="GE226" s="7"/>
      <c r="GF226" s="7"/>
      <c r="GG226" s="7"/>
      <c r="GH226" s="7"/>
      <c r="GI226" s="7"/>
      <c r="GJ226" s="7"/>
      <c r="GK226" s="7"/>
      <c r="GL226" s="7"/>
      <c r="GM226" s="7"/>
      <c r="GN226" s="7"/>
      <c r="GO226" s="7"/>
      <c r="GP226" s="7"/>
      <c r="GQ226" s="7"/>
      <c r="GR226" s="7"/>
      <c r="GS226" s="7"/>
      <c r="GT226" s="7"/>
      <c r="GU226" s="7"/>
      <c r="GV226" s="7"/>
      <c r="GW226" s="7"/>
      <c r="GX226" s="7"/>
      <c r="GY226" s="7"/>
      <c r="GZ226" s="7"/>
      <c r="HA226" s="7"/>
      <c r="HB226" s="7"/>
      <c r="HC226" s="7"/>
      <c r="HD226" s="7"/>
      <c r="HE226" s="7"/>
      <c r="HF226" s="7"/>
      <c r="HG226" s="7"/>
      <c r="HH226" s="7"/>
      <c r="HI226" s="7"/>
      <c r="HJ226" s="7"/>
      <c r="HK226" s="7"/>
      <c r="HL226" s="7"/>
      <c r="HM226" s="7"/>
      <c r="HN226" s="7"/>
      <c r="HO226" s="7"/>
      <c r="HP226" s="7"/>
      <c r="HQ226" s="7"/>
      <c r="HR226" s="7"/>
      <c r="HS226" s="7"/>
      <c r="HT226" s="7"/>
      <c r="HU226" s="7"/>
      <c r="HV226" s="7"/>
      <c r="HW226" s="7"/>
      <c r="HX226" s="7"/>
      <c r="HY226" s="7"/>
      <c r="HZ226" s="7"/>
      <c r="IA226" s="7"/>
      <c r="IB226" s="7"/>
      <c r="IC226" s="7"/>
      <c r="ID226" s="7"/>
      <c r="IE226" s="7"/>
      <c r="IF226" s="7"/>
      <c r="IG226" s="7"/>
      <c r="IH226" s="7"/>
      <c r="II226" s="7"/>
      <c r="IJ226" s="7"/>
      <c r="IK226" s="7"/>
      <c r="IL226" s="7"/>
      <c r="IM226" s="7"/>
      <c r="IN226" s="7"/>
      <c r="IO226" s="7"/>
      <c r="IP226" s="7"/>
      <c r="IQ226" s="7"/>
      <c r="IR226" s="7"/>
      <c r="IS226" s="7"/>
      <c r="IT226" s="7"/>
      <c r="IU226" s="7"/>
      <c r="IV226" s="7"/>
      <c r="IW226" s="7"/>
      <c r="IX226" s="7"/>
      <c r="JA226" s="113"/>
      <c r="JB226" s="113"/>
      <c r="JC226" s="113"/>
      <c r="JD226" s="66">
        <f>SUM((TEXT(JA226,"[M]")/60)*'Income Person-hours'!$D$3,(TEXT(JB226,"[M]")/60)*'Income Person-hours'!$D$4,(TEXT(JC226,"[M]")/60)*'Income Person-hours'!$D$5)</f>
        <v>0</v>
      </c>
    </row>
    <row r="227" spans="1:264" s="11" customFormat="1" ht="11.25" hidden="1">
      <c r="A227" s="30">
        <v>10.4</v>
      </c>
      <c r="B227" s="116"/>
      <c r="C227" s="107"/>
      <c r="D227" s="12" t="str">
        <f>IF(OR(j_WEEKDAY(J_ADDDAY(VLOOKUP(I227,A:F,6,FALSE),H227,1),0)=6,SUMIFS(Holieday[ok],Holieday[date],J_ADDDAY(VLOOKUP(I227,A:F,6,FALSE),H227,1)))=FALSE(),J_ADDDAY(VLOOKUP(I227,A:F,6,FALSE),H227,1),IF(OR(j_WEEKDAY(J_ADDDAY(VLOOKUP(I227,A:F,6,FALSE),H227+1,1),0)=6,SUMIFS(Holieday[ok],Holieday[date],J_ADDDAY(VLOOKUP(I227,A:F,6,FALSE),H227+1,1)))=FALSE(),J_ADDDAY(VLOOKUP(I227,A:F,6,FALSE),H227+1,1),IF(OR(j_WEEKDAY(J_ADDDAY(VLOOKUP(I227,A:F,6,FALSE),H227+2,1),0)=6,SUMIFS(Holieday[ok],Holieday[date],J_ADDDAY(VLOOKUP(I227,A:F,6,FALSE),H227+2,1)))=FALSE(),J_ADDDAY(VLOOKUP(I227,A:F,6,FALSE),H227+2,1),IF(OR(j_WEEKDAY(J_ADDDAY(VLOOKUP(I227,A:F,6,FALSE),H227+3,1),0)=6,SUMIFS(Holieday[ok],Holieday[date],J_ADDDAY(VLOOKUP(I227,A:F,6,FALSE),H227+3,1)))=FALSE(),J_ADDDAY(VLOOKUP(I227,A:F,6,FALSE),H227+3,1),IF(OR(j_WEEKDAY(J_ADDDAY(VLOOKUP(I227,A:F,6,FALSE),H227+4,1),0)=6,SUMIFS(Holieday[ok],Holieday[date],J_ADDDAY(VLOOKUP(I227,A:F,6,FALSE),H227+4,1)))=FALSE(),J_ADDDAY(VLOOKUP(I227,A:F,6,FALSE),H227+4,1),J_ADDDAY(VLOOKUP(I227,A:F,6,FALSE),H227+5,1))))))</f>
        <v>1398/06/30</v>
      </c>
      <c r="E227" s="1">
        <f t="shared" si="70"/>
        <v>13980630</v>
      </c>
      <c r="F227" s="12" t="str">
        <f>IF(N227=0,J_SUBDAY(D227,1,1),IF((N227-NETWORKDAYS.INTL(J_GregorianDate(D227,1),J_GregorianDate(J_SUBDAY(J_ADDDAY(D227,N227,1),1,1),1),16,1)-SUMIFS(Holieday[ok],Holieday[date],CONCATENATE("&gt;","=",D227),Holieday[date],CONCATENATE("&lt;","=",J_SUBDAY(J_ADDDAY(D227,N227,1),1,1)))+SUMIFS(Holieday[Friday],Holieday[date],CONCATENATE("&gt;","=",D227),Holieday[date],CONCATENATE("&lt;","=",J_SUBDAY(J_ADDDAY(D227,N227,1),1,1))))=0,J_SUBDAY(J_ADDDAY(D227,N227,1),1,1),IF((N227-NETWORKDAYS.INTL(J_GregorianDate(D227,1),J_GregorianDate(J_SUBDAY(J_ADDDAY(D227,N227,1),1,1),1),16,1)-SUMIFS(Holieday[ok],Holieday[date],CONCATENATE("&gt;","=",D227),Holieday[date],CONCATENATE("&lt;","=",J_SUBDAY(J_ADDDAY(D227,N227,1),1,1)))+SUMIFS(Holieday[Friday],Holieday[date],CONCATENATE("&gt;","=",D227),Holieday[date],CONCATENATE("&lt;","=",J_SUBDAY(J_ADDDAY(D227,N227,1),1,1))))=1,J_SUBDAY(J_ADDDAY(D227,N227+1,1),1,1),IF((N227-NETWORKDAYS.INTL(J_GregorianDate(D227,1),J_GregorianDate(J_SUBDAY(J_ADDDAY(D227,N227,1),1,1),1),16,1)-SUMIFS(Holieday[ok],Holieday[date],CONCATENATE("&gt;","=",D227),Holieday[date],CONCATENATE("&lt;","=",J_SUBDAY(J_ADDDAY(D227,N227,1),1,1)))+SUMIFS(Holieday[Friday],Holieday[date],CONCATENATE("&gt;","=",D227),Holieday[date],CONCATENATE("&lt;","=",J_SUBDAY(J_ADDDAY(D227,N227,1),1,1))))=2,J_SUBDAY(J_ADDDAY(D227,N227+2,1),1,1),J_SUBDAY(J_ADDDAY(D227,N227+3,1),1,1)))))</f>
        <v>1398/06/29</v>
      </c>
      <c r="G227" s="2">
        <f t="shared" si="71"/>
        <v>13980629</v>
      </c>
      <c r="H227" s="109"/>
      <c r="I227" s="110">
        <v>10.1</v>
      </c>
      <c r="J227" s="9">
        <f>j_WEEKDAY(D227,2)</f>
        <v>0</v>
      </c>
      <c r="K227" s="21">
        <f t="shared" si="69"/>
        <v>0</v>
      </c>
      <c r="L227" s="8">
        <f t="shared" si="74"/>
        <v>0</v>
      </c>
      <c r="M227" s="111">
        <v>0</v>
      </c>
      <c r="N227" s="108">
        <v>0</v>
      </c>
      <c r="O227" s="10">
        <f t="shared" si="75"/>
        <v>0</v>
      </c>
      <c r="P227" s="10">
        <f>VALUE(J_normdate(J_ADDDAY($D227,$O227,1)))</f>
        <v>13980630</v>
      </c>
      <c r="Q227" s="9">
        <f t="shared" si="76"/>
        <v>0</v>
      </c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  <c r="BB227" s="7"/>
      <c r="BC227" s="7"/>
      <c r="BD227" s="7"/>
      <c r="BE227" s="7"/>
      <c r="BF227" s="7"/>
      <c r="BG227" s="7"/>
      <c r="BH227" s="7"/>
      <c r="BI227" s="7"/>
      <c r="BJ227" s="7"/>
      <c r="BK227" s="7"/>
      <c r="BL227" s="7"/>
      <c r="BM227" s="7"/>
      <c r="BN227" s="7"/>
      <c r="BO227" s="7"/>
      <c r="BP227" s="7"/>
      <c r="BQ227" s="7"/>
      <c r="BR227" s="7"/>
      <c r="BS227" s="7"/>
      <c r="BT227" s="7"/>
      <c r="BU227" s="7"/>
      <c r="BV227" s="7"/>
      <c r="BW227" s="7"/>
      <c r="BX227" s="7"/>
      <c r="BY227" s="7"/>
      <c r="BZ227" s="7"/>
      <c r="CA227" s="7"/>
      <c r="CB227" s="7"/>
      <c r="CC227" s="7"/>
      <c r="CD227" s="7"/>
      <c r="CE227" s="7"/>
      <c r="CF227" s="7"/>
      <c r="CG227" s="7"/>
      <c r="CH227" s="7"/>
      <c r="CI227" s="7"/>
      <c r="CJ227" s="7"/>
      <c r="CK227" s="7"/>
      <c r="CL227" s="7"/>
      <c r="CM227" s="7"/>
      <c r="CN227" s="7"/>
      <c r="CO227" s="7"/>
      <c r="CP227" s="7"/>
      <c r="CQ227" s="7"/>
      <c r="CR227" s="7"/>
      <c r="CS227" s="7"/>
      <c r="CT227" s="7"/>
      <c r="CU227" s="7"/>
      <c r="CV227" s="7"/>
      <c r="CW227" s="7"/>
      <c r="CX227" s="7"/>
      <c r="CY227" s="7"/>
      <c r="CZ227" s="7"/>
      <c r="DA227" s="7"/>
      <c r="DB227" s="7"/>
      <c r="DC227" s="7"/>
      <c r="DD227" s="7"/>
      <c r="DE227" s="7"/>
      <c r="DF227" s="7"/>
      <c r="DG227" s="7"/>
      <c r="DH227" s="7"/>
      <c r="DI227" s="7"/>
      <c r="DJ227" s="7"/>
      <c r="DK227" s="7"/>
      <c r="DL227" s="7"/>
      <c r="DM227" s="7"/>
      <c r="DN227" s="7"/>
      <c r="DO227" s="7"/>
      <c r="DP227" s="7"/>
      <c r="DQ227" s="7"/>
      <c r="DR227" s="7"/>
      <c r="DS227" s="7"/>
      <c r="DT227" s="7"/>
      <c r="DU227" s="7"/>
      <c r="DV227" s="7"/>
      <c r="DW227" s="7"/>
      <c r="DX227" s="7"/>
      <c r="DY227" s="7"/>
      <c r="DZ227" s="7"/>
      <c r="EA227" s="7"/>
      <c r="EB227" s="7"/>
      <c r="EC227" s="7"/>
      <c r="ED227" s="7"/>
      <c r="EE227" s="7"/>
      <c r="EF227" s="7"/>
      <c r="EG227" s="7"/>
      <c r="EH227" s="7"/>
      <c r="EI227" s="7"/>
      <c r="EJ227" s="7"/>
      <c r="EK227" s="7"/>
      <c r="EL227" s="7"/>
      <c r="EM227" s="7"/>
      <c r="EN227" s="7"/>
      <c r="EO227" s="7"/>
      <c r="EP227" s="7"/>
      <c r="EQ227" s="7"/>
      <c r="ER227" s="7"/>
      <c r="ES227" s="7"/>
      <c r="ET227" s="7"/>
      <c r="EU227" s="7"/>
      <c r="EV227" s="7"/>
      <c r="EW227" s="7"/>
      <c r="EX227" s="7"/>
      <c r="EY227" s="7"/>
      <c r="EZ227" s="7"/>
      <c r="FA227" s="7"/>
      <c r="FB227" s="7"/>
      <c r="FC227" s="7"/>
      <c r="FD227" s="7"/>
      <c r="FE227" s="7"/>
      <c r="FF227" s="7"/>
      <c r="FG227" s="7"/>
      <c r="FH227" s="7"/>
      <c r="FI227" s="7"/>
      <c r="FJ227" s="7"/>
      <c r="FK227" s="7"/>
      <c r="FL227" s="7"/>
      <c r="FM227" s="7"/>
      <c r="FN227" s="7"/>
      <c r="FO227" s="7"/>
      <c r="FP227" s="7"/>
      <c r="FQ227" s="7"/>
      <c r="FR227" s="7"/>
      <c r="FS227" s="7"/>
      <c r="FT227" s="7"/>
      <c r="FU227" s="7"/>
      <c r="FV227" s="7"/>
      <c r="FW227" s="7"/>
      <c r="FX227" s="7"/>
      <c r="FY227" s="7"/>
      <c r="FZ227" s="7"/>
      <c r="GA227" s="7"/>
      <c r="GB227" s="7"/>
      <c r="GC227" s="7"/>
      <c r="GD227" s="7"/>
      <c r="GE227" s="7"/>
      <c r="GF227" s="7"/>
      <c r="GG227" s="7"/>
      <c r="GH227" s="7"/>
      <c r="GI227" s="7"/>
      <c r="GJ227" s="7"/>
      <c r="GK227" s="7"/>
      <c r="GL227" s="7"/>
      <c r="GM227" s="7"/>
      <c r="GN227" s="7"/>
      <c r="GO227" s="7"/>
      <c r="GP227" s="7"/>
      <c r="GQ227" s="7"/>
      <c r="GR227" s="7"/>
      <c r="GS227" s="7"/>
      <c r="GT227" s="7"/>
      <c r="GU227" s="7"/>
      <c r="GV227" s="7"/>
      <c r="GW227" s="7"/>
      <c r="GX227" s="7"/>
      <c r="GY227" s="7"/>
      <c r="GZ227" s="7"/>
      <c r="HA227" s="7"/>
      <c r="HB227" s="7"/>
      <c r="HC227" s="7"/>
      <c r="HD227" s="7"/>
      <c r="HE227" s="7"/>
      <c r="HF227" s="7"/>
      <c r="HG227" s="7"/>
      <c r="HH227" s="7"/>
      <c r="HI227" s="7"/>
      <c r="HJ227" s="7"/>
      <c r="HK227" s="7"/>
      <c r="HL227" s="7"/>
      <c r="HM227" s="7"/>
      <c r="HN227" s="7"/>
      <c r="HO227" s="7"/>
      <c r="HP227" s="7"/>
      <c r="HQ227" s="7"/>
      <c r="HR227" s="7"/>
      <c r="HS227" s="7"/>
      <c r="HT227" s="7"/>
      <c r="HU227" s="7"/>
      <c r="HV227" s="7"/>
      <c r="HW227" s="7"/>
      <c r="HX227" s="7"/>
      <c r="HY227" s="7"/>
      <c r="HZ227" s="7"/>
      <c r="IA227" s="7"/>
      <c r="IB227" s="7"/>
      <c r="IC227" s="7"/>
      <c r="ID227" s="7"/>
      <c r="IE227" s="7"/>
      <c r="IF227" s="7"/>
      <c r="IG227" s="7"/>
      <c r="IH227" s="7"/>
      <c r="II227" s="7"/>
      <c r="IJ227" s="7"/>
      <c r="IK227" s="7"/>
      <c r="IL227" s="7"/>
      <c r="IM227" s="7"/>
      <c r="IN227" s="7"/>
      <c r="IO227" s="7"/>
      <c r="IP227" s="7"/>
      <c r="IQ227" s="7"/>
      <c r="IR227" s="7"/>
      <c r="IS227" s="7"/>
      <c r="IT227" s="7"/>
      <c r="IU227" s="7"/>
      <c r="IV227" s="7"/>
      <c r="IW227" s="7"/>
      <c r="IX227" s="7"/>
      <c r="JA227" s="113"/>
      <c r="JB227" s="113"/>
      <c r="JC227" s="113"/>
      <c r="JD227" s="66">
        <f>SUM((TEXT(JA227,"[M]")/60)*'Income Person-hours'!$D$3,(TEXT(JB227,"[M]")/60)*'Income Person-hours'!$D$4,(TEXT(JC227,"[M]")/60)*'Income Person-hours'!$D$5)</f>
        <v>0</v>
      </c>
    </row>
    <row r="228" spans="1:264" s="11" customFormat="1" ht="11.25" hidden="1">
      <c r="A228" s="30">
        <v>10.5</v>
      </c>
      <c r="B228" s="116"/>
      <c r="C228" s="107"/>
      <c r="D228" s="12" t="str">
        <f>IF(OR(j_WEEKDAY(J_ADDDAY(VLOOKUP(I228,A:F,6,FALSE),H228,1),0)=6,SUMIFS(Holieday[ok],Holieday[date],J_ADDDAY(VLOOKUP(I228,A:F,6,FALSE),H228,1)))=FALSE(),J_ADDDAY(VLOOKUP(I228,A:F,6,FALSE),H228,1),IF(OR(j_WEEKDAY(J_ADDDAY(VLOOKUP(I228,A:F,6,FALSE),H228+1,1),0)=6,SUMIFS(Holieday[ok],Holieday[date],J_ADDDAY(VLOOKUP(I228,A:F,6,FALSE),H228+1,1)))=FALSE(),J_ADDDAY(VLOOKUP(I228,A:F,6,FALSE),H228+1,1),IF(OR(j_WEEKDAY(J_ADDDAY(VLOOKUP(I228,A:F,6,FALSE),H228+2,1),0)=6,SUMIFS(Holieday[ok],Holieday[date],J_ADDDAY(VLOOKUP(I228,A:F,6,FALSE),H228+2,1)))=FALSE(),J_ADDDAY(VLOOKUP(I228,A:F,6,FALSE),H228+2,1),IF(OR(j_WEEKDAY(J_ADDDAY(VLOOKUP(I228,A:F,6,FALSE),H228+3,1),0)=6,SUMIFS(Holieday[ok],Holieday[date],J_ADDDAY(VLOOKUP(I228,A:F,6,FALSE),H228+3,1)))=FALSE(),J_ADDDAY(VLOOKUP(I228,A:F,6,FALSE),H228+3,1),IF(OR(j_WEEKDAY(J_ADDDAY(VLOOKUP(I228,A:F,6,FALSE),H228+4,1),0)=6,SUMIFS(Holieday[ok],Holieday[date],J_ADDDAY(VLOOKUP(I228,A:F,6,FALSE),H228+4,1)))=FALSE(),J_ADDDAY(VLOOKUP(I228,A:F,6,FALSE),H228+4,1),J_ADDDAY(VLOOKUP(I228,A:F,6,FALSE),H228+5,1))))))</f>
        <v>1398/06/30</v>
      </c>
      <c r="E228" s="1">
        <f t="shared" si="70"/>
        <v>13980630</v>
      </c>
      <c r="F228" s="12" t="str">
        <f>IF(N228=0,J_SUBDAY(D228,1,1),IF((N228-NETWORKDAYS.INTL(J_GregorianDate(D228,1),J_GregorianDate(J_SUBDAY(J_ADDDAY(D228,N228,1),1,1),1),16,1)-SUMIFS(Holieday[ok],Holieday[date],CONCATENATE("&gt;","=",D228),Holieday[date],CONCATENATE("&lt;","=",J_SUBDAY(J_ADDDAY(D228,N228,1),1,1)))+SUMIFS(Holieday[Friday],Holieday[date],CONCATENATE("&gt;","=",D228),Holieday[date],CONCATENATE("&lt;","=",J_SUBDAY(J_ADDDAY(D228,N228,1),1,1))))=0,J_SUBDAY(J_ADDDAY(D228,N228,1),1,1),IF((N228-NETWORKDAYS.INTL(J_GregorianDate(D228,1),J_GregorianDate(J_SUBDAY(J_ADDDAY(D228,N228,1),1,1),1),16,1)-SUMIFS(Holieday[ok],Holieday[date],CONCATENATE("&gt;","=",D228),Holieday[date],CONCATENATE("&lt;","=",J_SUBDAY(J_ADDDAY(D228,N228,1),1,1)))+SUMIFS(Holieday[Friday],Holieday[date],CONCATENATE("&gt;","=",D228),Holieday[date],CONCATENATE("&lt;","=",J_SUBDAY(J_ADDDAY(D228,N228,1),1,1))))=1,J_SUBDAY(J_ADDDAY(D228,N228+1,1),1,1),IF((N228-NETWORKDAYS.INTL(J_GregorianDate(D228,1),J_GregorianDate(J_SUBDAY(J_ADDDAY(D228,N228,1),1,1),1),16,1)-SUMIFS(Holieday[ok],Holieday[date],CONCATENATE("&gt;","=",D228),Holieday[date],CONCATENATE("&lt;","=",J_SUBDAY(J_ADDDAY(D228,N228,1),1,1)))+SUMIFS(Holieday[Friday],Holieday[date],CONCATENATE("&gt;","=",D228),Holieday[date],CONCATENATE("&lt;","=",J_SUBDAY(J_ADDDAY(D228,N228,1),1,1))))=2,J_SUBDAY(J_ADDDAY(D228,N228+2,1),1,1),J_SUBDAY(J_ADDDAY(D228,N228+3,1),1,1)))))</f>
        <v>1398/06/29</v>
      </c>
      <c r="G228" s="2">
        <f t="shared" si="71"/>
        <v>13980629</v>
      </c>
      <c r="H228" s="109"/>
      <c r="I228" s="110">
        <v>10.1</v>
      </c>
      <c r="J228" s="9">
        <f>j_WEEKDAY(D228,2)</f>
        <v>0</v>
      </c>
      <c r="K228" s="21">
        <f t="shared" si="69"/>
        <v>0</v>
      </c>
      <c r="L228" s="8">
        <f t="shared" si="74"/>
        <v>0</v>
      </c>
      <c r="M228" s="111">
        <v>0</v>
      </c>
      <c r="N228" s="108">
        <v>0</v>
      </c>
      <c r="O228" s="10">
        <f t="shared" si="75"/>
        <v>0</v>
      </c>
      <c r="P228" s="10">
        <f>VALUE(J_normdate(J_ADDDAY($D228,$O228,1)))</f>
        <v>13980630</v>
      </c>
      <c r="Q228" s="9">
        <f t="shared" si="76"/>
        <v>0</v>
      </c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  <c r="BB228" s="7"/>
      <c r="BC228" s="7"/>
      <c r="BD228" s="7"/>
      <c r="BE228" s="7"/>
      <c r="BF228" s="7"/>
      <c r="BG228" s="7"/>
      <c r="BH228" s="7"/>
      <c r="BI228" s="7"/>
      <c r="BJ228" s="7"/>
      <c r="BK228" s="7"/>
      <c r="BL228" s="7"/>
      <c r="BM228" s="7"/>
      <c r="BN228" s="7"/>
      <c r="BO228" s="7"/>
      <c r="BP228" s="7"/>
      <c r="BQ228" s="7"/>
      <c r="BR228" s="7"/>
      <c r="BS228" s="7"/>
      <c r="BT228" s="7"/>
      <c r="BU228" s="7"/>
      <c r="BV228" s="7"/>
      <c r="BW228" s="7"/>
      <c r="BX228" s="7"/>
      <c r="BY228" s="7"/>
      <c r="BZ228" s="7"/>
      <c r="CA228" s="7"/>
      <c r="CB228" s="7"/>
      <c r="CC228" s="7"/>
      <c r="CD228" s="7"/>
      <c r="CE228" s="7"/>
      <c r="CF228" s="7"/>
      <c r="CG228" s="7"/>
      <c r="CH228" s="7"/>
      <c r="CI228" s="7"/>
      <c r="CJ228" s="7"/>
      <c r="CK228" s="7"/>
      <c r="CL228" s="7"/>
      <c r="CM228" s="7"/>
      <c r="CN228" s="7"/>
      <c r="CO228" s="7"/>
      <c r="CP228" s="7"/>
      <c r="CQ228" s="7"/>
      <c r="CR228" s="7"/>
      <c r="CS228" s="7"/>
      <c r="CT228" s="7"/>
      <c r="CU228" s="7"/>
      <c r="CV228" s="7"/>
      <c r="CW228" s="7"/>
      <c r="CX228" s="7"/>
      <c r="CY228" s="7"/>
      <c r="CZ228" s="7"/>
      <c r="DA228" s="7"/>
      <c r="DB228" s="7"/>
      <c r="DC228" s="7"/>
      <c r="DD228" s="7"/>
      <c r="DE228" s="7"/>
      <c r="DF228" s="7"/>
      <c r="DG228" s="7"/>
      <c r="DH228" s="7"/>
      <c r="DI228" s="7"/>
      <c r="DJ228" s="7"/>
      <c r="DK228" s="7"/>
      <c r="DL228" s="7"/>
      <c r="DM228" s="7"/>
      <c r="DN228" s="7"/>
      <c r="DO228" s="7"/>
      <c r="DP228" s="7"/>
      <c r="DQ228" s="7"/>
      <c r="DR228" s="7"/>
      <c r="DS228" s="7"/>
      <c r="DT228" s="7"/>
      <c r="DU228" s="7"/>
      <c r="DV228" s="7"/>
      <c r="DW228" s="7"/>
      <c r="DX228" s="7"/>
      <c r="DY228" s="7"/>
      <c r="DZ228" s="7"/>
      <c r="EA228" s="7"/>
      <c r="EB228" s="7"/>
      <c r="EC228" s="7"/>
      <c r="ED228" s="7"/>
      <c r="EE228" s="7"/>
      <c r="EF228" s="7"/>
      <c r="EG228" s="7"/>
      <c r="EH228" s="7"/>
      <c r="EI228" s="7"/>
      <c r="EJ228" s="7"/>
      <c r="EK228" s="7"/>
      <c r="EL228" s="7"/>
      <c r="EM228" s="7"/>
      <c r="EN228" s="7"/>
      <c r="EO228" s="7"/>
      <c r="EP228" s="7"/>
      <c r="EQ228" s="7"/>
      <c r="ER228" s="7"/>
      <c r="ES228" s="7"/>
      <c r="ET228" s="7"/>
      <c r="EU228" s="7"/>
      <c r="EV228" s="7"/>
      <c r="EW228" s="7"/>
      <c r="EX228" s="7"/>
      <c r="EY228" s="7"/>
      <c r="EZ228" s="7"/>
      <c r="FA228" s="7"/>
      <c r="FB228" s="7"/>
      <c r="FC228" s="7"/>
      <c r="FD228" s="7"/>
      <c r="FE228" s="7"/>
      <c r="FF228" s="7"/>
      <c r="FG228" s="7"/>
      <c r="FH228" s="7"/>
      <c r="FI228" s="7"/>
      <c r="FJ228" s="7"/>
      <c r="FK228" s="7"/>
      <c r="FL228" s="7"/>
      <c r="FM228" s="7"/>
      <c r="FN228" s="7"/>
      <c r="FO228" s="7"/>
      <c r="FP228" s="7"/>
      <c r="FQ228" s="7"/>
      <c r="FR228" s="7"/>
      <c r="FS228" s="7"/>
      <c r="FT228" s="7"/>
      <c r="FU228" s="7"/>
      <c r="FV228" s="7"/>
      <c r="FW228" s="7"/>
      <c r="FX228" s="7"/>
      <c r="FY228" s="7"/>
      <c r="FZ228" s="7"/>
      <c r="GA228" s="7"/>
      <c r="GB228" s="7"/>
      <c r="GC228" s="7"/>
      <c r="GD228" s="7"/>
      <c r="GE228" s="7"/>
      <c r="GF228" s="7"/>
      <c r="GG228" s="7"/>
      <c r="GH228" s="7"/>
      <c r="GI228" s="7"/>
      <c r="GJ228" s="7"/>
      <c r="GK228" s="7"/>
      <c r="GL228" s="7"/>
      <c r="GM228" s="7"/>
      <c r="GN228" s="7"/>
      <c r="GO228" s="7"/>
      <c r="GP228" s="7"/>
      <c r="GQ228" s="7"/>
      <c r="GR228" s="7"/>
      <c r="GS228" s="7"/>
      <c r="GT228" s="7"/>
      <c r="GU228" s="7"/>
      <c r="GV228" s="7"/>
      <c r="GW228" s="7"/>
      <c r="GX228" s="7"/>
      <c r="GY228" s="7"/>
      <c r="GZ228" s="7"/>
      <c r="HA228" s="7"/>
      <c r="HB228" s="7"/>
      <c r="HC228" s="7"/>
      <c r="HD228" s="7"/>
      <c r="HE228" s="7"/>
      <c r="HF228" s="7"/>
      <c r="HG228" s="7"/>
      <c r="HH228" s="7"/>
      <c r="HI228" s="7"/>
      <c r="HJ228" s="7"/>
      <c r="HK228" s="7"/>
      <c r="HL228" s="7"/>
      <c r="HM228" s="7"/>
      <c r="HN228" s="7"/>
      <c r="HO228" s="7"/>
      <c r="HP228" s="7"/>
      <c r="HQ228" s="7"/>
      <c r="HR228" s="7"/>
      <c r="HS228" s="7"/>
      <c r="HT228" s="7"/>
      <c r="HU228" s="7"/>
      <c r="HV228" s="7"/>
      <c r="HW228" s="7"/>
      <c r="HX228" s="7"/>
      <c r="HY228" s="7"/>
      <c r="HZ228" s="7"/>
      <c r="IA228" s="7"/>
      <c r="IB228" s="7"/>
      <c r="IC228" s="7"/>
      <c r="ID228" s="7"/>
      <c r="IE228" s="7"/>
      <c r="IF228" s="7"/>
      <c r="IG228" s="7"/>
      <c r="IH228" s="7"/>
      <c r="II228" s="7"/>
      <c r="IJ228" s="7"/>
      <c r="IK228" s="7"/>
      <c r="IL228" s="7"/>
      <c r="IM228" s="7"/>
      <c r="IN228" s="7"/>
      <c r="IO228" s="7"/>
      <c r="IP228" s="7"/>
      <c r="IQ228" s="7"/>
      <c r="IR228" s="7"/>
      <c r="IS228" s="7"/>
      <c r="IT228" s="7"/>
      <c r="IU228" s="7"/>
      <c r="IV228" s="7"/>
      <c r="IW228" s="7"/>
      <c r="IX228" s="7"/>
      <c r="JA228" s="113"/>
      <c r="JB228" s="113"/>
      <c r="JC228" s="113"/>
      <c r="JD228" s="66">
        <f>SUM((TEXT(JA228,"[M]")/60)*'Income Person-hours'!$D$3,(TEXT(JB228,"[M]")/60)*'Income Person-hours'!$D$4,(TEXT(JC228,"[M]")/60)*'Income Person-hours'!$D$5)</f>
        <v>0</v>
      </c>
    </row>
    <row r="229" spans="1:264" s="11" customFormat="1" ht="11.25" hidden="1">
      <c r="A229" s="30">
        <v>10.6</v>
      </c>
      <c r="B229" s="116"/>
      <c r="C229" s="107"/>
      <c r="D229" s="12" t="str">
        <f>IF(OR(j_WEEKDAY(J_ADDDAY(VLOOKUP(I229,A:F,6,FALSE),H229,1),0)=6,SUMIFS(Holieday[ok],Holieday[date],J_ADDDAY(VLOOKUP(I229,A:F,6,FALSE),H229,1)))=FALSE(),J_ADDDAY(VLOOKUP(I229,A:F,6,FALSE),H229,1),IF(OR(j_WEEKDAY(J_ADDDAY(VLOOKUP(I229,A:F,6,FALSE),H229+1,1),0)=6,SUMIFS(Holieday[ok],Holieday[date],J_ADDDAY(VLOOKUP(I229,A:F,6,FALSE),H229+1,1)))=FALSE(),J_ADDDAY(VLOOKUP(I229,A:F,6,FALSE),H229+1,1),IF(OR(j_WEEKDAY(J_ADDDAY(VLOOKUP(I229,A:F,6,FALSE),H229+2,1),0)=6,SUMIFS(Holieday[ok],Holieday[date],J_ADDDAY(VLOOKUP(I229,A:F,6,FALSE),H229+2,1)))=FALSE(),J_ADDDAY(VLOOKUP(I229,A:F,6,FALSE),H229+2,1),IF(OR(j_WEEKDAY(J_ADDDAY(VLOOKUP(I229,A:F,6,FALSE),H229+3,1),0)=6,SUMIFS(Holieday[ok],Holieday[date],J_ADDDAY(VLOOKUP(I229,A:F,6,FALSE),H229+3,1)))=FALSE(),J_ADDDAY(VLOOKUP(I229,A:F,6,FALSE),H229+3,1),IF(OR(j_WEEKDAY(J_ADDDAY(VLOOKUP(I229,A:F,6,FALSE),H229+4,1),0)=6,SUMIFS(Holieday[ok],Holieday[date],J_ADDDAY(VLOOKUP(I229,A:F,6,FALSE),H229+4,1)))=FALSE(),J_ADDDAY(VLOOKUP(I229,A:F,6,FALSE),H229+4,1),J_ADDDAY(VLOOKUP(I229,A:F,6,FALSE),H229+5,1))))))</f>
        <v>1398/06/30</v>
      </c>
      <c r="E229" s="1">
        <f t="shared" si="70"/>
        <v>13980630</v>
      </c>
      <c r="F229" s="12" t="str">
        <f>IF(N229=0,J_SUBDAY(D229,1,1),IF((N229-NETWORKDAYS.INTL(J_GregorianDate(D229,1),J_GregorianDate(J_SUBDAY(J_ADDDAY(D229,N229,1),1,1),1),16,1)-SUMIFS(Holieday[ok],Holieday[date],CONCATENATE("&gt;","=",D229),Holieday[date],CONCATENATE("&lt;","=",J_SUBDAY(J_ADDDAY(D229,N229,1),1,1)))+SUMIFS(Holieday[Friday],Holieday[date],CONCATENATE("&gt;","=",D229),Holieday[date],CONCATENATE("&lt;","=",J_SUBDAY(J_ADDDAY(D229,N229,1),1,1))))=0,J_SUBDAY(J_ADDDAY(D229,N229,1),1,1),IF((N229-NETWORKDAYS.INTL(J_GregorianDate(D229,1),J_GregorianDate(J_SUBDAY(J_ADDDAY(D229,N229,1),1,1),1),16,1)-SUMIFS(Holieday[ok],Holieday[date],CONCATENATE("&gt;","=",D229),Holieday[date],CONCATENATE("&lt;","=",J_SUBDAY(J_ADDDAY(D229,N229,1),1,1)))+SUMIFS(Holieday[Friday],Holieday[date],CONCATENATE("&gt;","=",D229),Holieday[date],CONCATENATE("&lt;","=",J_SUBDAY(J_ADDDAY(D229,N229,1),1,1))))=1,J_SUBDAY(J_ADDDAY(D229,N229+1,1),1,1),IF((N229-NETWORKDAYS.INTL(J_GregorianDate(D229,1),J_GregorianDate(J_SUBDAY(J_ADDDAY(D229,N229,1),1,1),1),16,1)-SUMIFS(Holieday[ok],Holieday[date],CONCATENATE("&gt;","=",D229),Holieday[date],CONCATENATE("&lt;","=",J_SUBDAY(J_ADDDAY(D229,N229,1),1,1)))+SUMIFS(Holieday[Friday],Holieday[date],CONCATENATE("&gt;","=",D229),Holieday[date],CONCATENATE("&lt;","=",J_SUBDAY(J_ADDDAY(D229,N229,1),1,1))))=2,J_SUBDAY(J_ADDDAY(D229,N229+2,1),1,1),J_SUBDAY(J_ADDDAY(D229,N229+3,1),1,1)))))</f>
        <v>1398/06/29</v>
      </c>
      <c r="G229" s="2">
        <f t="shared" si="71"/>
        <v>13980629</v>
      </c>
      <c r="H229" s="109"/>
      <c r="I229" s="110">
        <v>10.1</v>
      </c>
      <c r="J229" s="9">
        <f>j_WEEKDAY(D229,2)</f>
        <v>0</v>
      </c>
      <c r="K229" s="21">
        <f t="shared" si="69"/>
        <v>0</v>
      </c>
      <c r="L229" s="8">
        <f t="shared" si="74"/>
        <v>0</v>
      </c>
      <c r="M229" s="111">
        <v>0</v>
      </c>
      <c r="N229" s="108">
        <v>0</v>
      </c>
      <c r="O229" s="10">
        <f t="shared" si="75"/>
        <v>0</v>
      </c>
      <c r="P229" s="10">
        <f>VALUE(J_normdate(J_ADDDAY($D229,$O229,1)))</f>
        <v>13980630</v>
      </c>
      <c r="Q229" s="9">
        <f t="shared" si="76"/>
        <v>0</v>
      </c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  <c r="BB229" s="7"/>
      <c r="BC229" s="7"/>
      <c r="BD229" s="7"/>
      <c r="BE229" s="7"/>
      <c r="BF229" s="7"/>
      <c r="BG229" s="7"/>
      <c r="BH229" s="7"/>
      <c r="BI229" s="7"/>
      <c r="BJ229" s="7"/>
      <c r="BK229" s="7"/>
      <c r="BL229" s="7"/>
      <c r="BM229" s="7"/>
      <c r="BN229" s="7"/>
      <c r="BO229" s="7"/>
      <c r="BP229" s="7"/>
      <c r="BQ229" s="7"/>
      <c r="BR229" s="7"/>
      <c r="BS229" s="7"/>
      <c r="BT229" s="7"/>
      <c r="BU229" s="7"/>
      <c r="BV229" s="7"/>
      <c r="BW229" s="7"/>
      <c r="BX229" s="7"/>
      <c r="BY229" s="7"/>
      <c r="BZ229" s="7"/>
      <c r="CA229" s="7"/>
      <c r="CB229" s="7"/>
      <c r="CC229" s="7"/>
      <c r="CD229" s="7"/>
      <c r="CE229" s="7"/>
      <c r="CF229" s="7"/>
      <c r="CG229" s="7"/>
      <c r="CH229" s="7"/>
      <c r="CI229" s="7"/>
      <c r="CJ229" s="7"/>
      <c r="CK229" s="7"/>
      <c r="CL229" s="7"/>
      <c r="CM229" s="7"/>
      <c r="CN229" s="7"/>
      <c r="CO229" s="7"/>
      <c r="CP229" s="7"/>
      <c r="CQ229" s="7"/>
      <c r="CR229" s="7"/>
      <c r="CS229" s="7"/>
      <c r="CT229" s="7"/>
      <c r="CU229" s="7"/>
      <c r="CV229" s="7"/>
      <c r="CW229" s="7"/>
      <c r="CX229" s="7"/>
      <c r="CY229" s="7"/>
      <c r="CZ229" s="7"/>
      <c r="DA229" s="7"/>
      <c r="DB229" s="7"/>
      <c r="DC229" s="7"/>
      <c r="DD229" s="7"/>
      <c r="DE229" s="7"/>
      <c r="DF229" s="7"/>
      <c r="DG229" s="7"/>
      <c r="DH229" s="7"/>
      <c r="DI229" s="7"/>
      <c r="DJ229" s="7"/>
      <c r="DK229" s="7"/>
      <c r="DL229" s="7"/>
      <c r="DM229" s="7"/>
      <c r="DN229" s="7"/>
      <c r="DO229" s="7"/>
      <c r="DP229" s="7"/>
      <c r="DQ229" s="7"/>
      <c r="DR229" s="7"/>
      <c r="DS229" s="7"/>
      <c r="DT229" s="7"/>
      <c r="DU229" s="7"/>
      <c r="DV229" s="7"/>
      <c r="DW229" s="7"/>
      <c r="DX229" s="7"/>
      <c r="DY229" s="7"/>
      <c r="DZ229" s="7"/>
      <c r="EA229" s="7"/>
      <c r="EB229" s="7"/>
      <c r="EC229" s="7"/>
      <c r="ED229" s="7"/>
      <c r="EE229" s="7"/>
      <c r="EF229" s="7"/>
      <c r="EG229" s="7"/>
      <c r="EH229" s="7"/>
      <c r="EI229" s="7"/>
      <c r="EJ229" s="7"/>
      <c r="EK229" s="7"/>
      <c r="EL229" s="7"/>
      <c r="EM229" s="7"/>
      <c r="EN229" s="7"/>
      <c r="EO229" s="7"/>
      <c r="EP229" s="7"/>
      <c r="EQ229" s="7"/>
      <c r="ER229" s="7"/>
      <c r="ES229" s="7"/>
      <c r="ET229" s="7"/>
      <c r="EU229" s="7"/>
      <c r="EV229" s="7"/>
      <c r="EW229" s="7"/>
      <c r="EX229" s="7"/>
      <c r="EY229" s="7"/>
      <c r="EZ229" s="7"/>
      <c r="FA229" s="7"/>
      <c r="FB229" s="7"/>
      <c r="FC229" s="7"/>
      <c r="FD229" s="7"/>
      <c r="FE229" s="7"/>
      <c r="FF229" s="7"/>
      <c r="FG229" s="7"/>
      <c r="FH229" s="7"/>
      <c r="FI229" s="7"/>
      <c r="FJ229" s="7"/>
      <c r="FK229" s="7"/>
      <c r="FL229" s="7"/>
      <c r="FM229" s="7"/>
      <c r="FN229" s="7"/>
      <c r="FO229" s="7"/>
      <c r="FP229" s="7"/>
      <c r="FQ229" s="7"/>
      <c r="FR229" s="7"/>
      <c r="FS229" s="7"/>
      <c r="FT229" s="7"/>
      <c r="FU229" s="7"/>
      <c r="FV229" s="7"/>
      <c r="FW229" s="7"/>
      <c r="FX229" s="7"/>
      <c r="FY229" s="7"/>
      <c r="FZ229" s="7"/>
      <c r="GA229" s="7"/>
      <c r="GB229" s="7"/>
      <c r="GC229" s="7"/>
      <c r="GD229" s="7"/>
      <c r="GE229" s="7"/>
      <c r="GF229" s="7"/>
      <c r="GG229" s="7"/>
      <c r="GH229" s="7"/>
      <c r="GI229" s="7"/>
      <c r="GJ229" s="7"/>
      <c r="GK229" s="7"/>
      <c r="GL229" s="7"/>
      <c r="GM229" s="7"/>
      <c r="GN229" s="7"/>
      <c r="GO229" s="7"/>
      <c r="GP229" s="7"/>
      <c r="GQ229" s="7"/>
      <c r="GR229" s="7"/>
      <c r="GS229" s="7"/>
      <c r="GT229" s="7"/>
      <c r="GU229" s="7"/>
      <c r="GV229" s="7"/>
      <c r="GW229" s="7"/>
      <c r="GX229" s="7"/>
      <c r="GY229" s="7"/>
      <c r="GZ229" s="7"/>
      <c r="HA229" s="7"/>
      <c r="HB229" s="7"/>
      <c r="HC229" s="7"/>
      <c r="HD229" s="7"/>
      <c r="HE229" s="7"/>
      <c r="HF229" s="7"/>
      <c r="HG229" s="7"/>
      <c r="HH229" s="7"/>
      <c r="HI229" s="7"/>
      <c r="HJ229" s="7"/>
      <c r="HK229" s="7"/>
      <c r="HL229" s="7"/>
      <c r="HM229" s="7"/>
      <c r="HN229" s="7"/>
      <c r="HO229" s="7"/>
      <c r="HP229" s="7"/>
      <c r="HQ229" s="7"/>
      <c r="HR229" s="7"/>
      <c r="HS229" s="7"/>
      <c r="HT229" s="7"/>
      <c r="HU229" s="7"/>
      <c r="HV229" s="7"/>
      <c r="HW229" s="7"/>
      <c r="HX229" s="7"/>
      <c r="HY229" s="7"/>
      <c r="HZ229" s="7"/>
      <c r="IA229" s="7"/>
      <c r="IB229" s="7"/>
      <c r="IC229" s="7"/>
      <c r="ID229" s="7"/>
      <c r="IE229" s="7"/>
      <c r="IF229" s="7"/>
      <c r="IG229" s="7"/>
      <c r="IH229" s="7"/>
      <c r="II229" s="7"/>
      <c r="IJ229" s="7"/>
      <c r="IK229" s="7"/>
      <c r="IL229" s="7"/>
      <c r="IM229" s="7"/>
      <c r="IN229" s="7"/>
      <c r="IO229" s="7"/>
      <c r="IP229" s="7"/>
      <c r="IQ229" s="7"/>
      <c r="IR229" s="7"/>
      <c r="IS229" s="7"/>
      <c r="IT229" s="7"/>
      <c r="IU229" s="7"/>
      <c r="IV229" s="7"/>
      <c r="IW229" s="7"/>
      <c r="IX229" s="7"/>
      <c r="JA229" s="113"/>
      <c r="JB229" s="113"/>
      <c r="JC229" s="113"/>
      <c r="JD229" s="66">
        <f>SUM((TEXT(JA229,"[M]")/60)*'Income Person-hours'!$D$3,(TEXT(JB229,"[M]")/60)*'Income Person-hours'!$D$4,(TEXT(JC229,"[M]")/60)*'Income Person-hours'!$D$5)</f>
        <v>0</v>
      </c>
    </row>
    <row r="230" spans="1:264" s="11" customFormat="1" ht="11.25" hidden="1">
      <c r="A230" s="30">
        <v>10.7</v>
      </c>
      <c r="B230" s="116"/>
      <c r="C230" s="107"/>
      <c r="D230" s="12" t="str">
        <f>IF(OR(j_WEEKDAY(J_ADDDAY(VLOOKUP(I230,A:F,6,FALSE),H230,1),0)=6,SUMIFS(Holieday[ok],Holieday[date],J_ADDDAY(VLOOKUP(I230,A:F,6,FALSE),H230,1)))=FALSE(),J_ADDDAY(VLOOKUP(I230,A:F,6,FALSE),H230,1),IF(OR(j_WEEKDAY(J_ADDDAY(VLOOKUP(I230,A:F,6,FALSE),H230+1,1),0)=6,SUMIFS(Holieday[ok],Holieday[date],J_ADDDAY(VLOOKUP(I230,A:F,6,FALSE),H230+1,1)))=FALSE(),J_ADDDAY(VLOOKUP(I230,A:F,6,FALSE),H230+1,1),IF(OR(j_WEEKDAY(J_ADDDAY(VLOOKUP(I230,A:F,6,FALSE),H230+2,1),0)=6,SUMIFS(Holieday[ok],Holieday[date],J_ADDDAY(VLOOKUP(I230,A:F,6,FALSE),H230+2,1)))=FALSE(),J_ADDDAY(VLOOKUP(I230,A:F,6,FALSE),H230+2,1),IF(OR(j_WEEKDAY(J_ADDDAY(VLOOKUP(I230,A:F,6,FALSE),H230+3,1),0)=6,SUMIFS(Holieday[ok],Holieday[date],J_ADDDAY(VLOOKUP(I230,A:F,6,FALSE),H230+3,1)))=FALSE(),J_ADDDAY(VLOOKUP(I230,A:F,6,FALSE),H230+3,1),IF(OR(j_WEEKDAY(J_ADDDAY(VLOOKUP(I230,A:F,6,FALSE),H230+4,1),0)=6,SUMIFS(Holieday[ok],Holieday[date],J_ADDDAY(VLOOKUP(I230,A:F,6,FALSE),H230+4,1)))=FALSE(),J_ADDDAY(VLOOKUP(I230,A:F,6,FALSE),H230+4,1),J_ADDDAY(VLOOKUP(I230,A:F,6,FALSE),H230+5,1))))))</f>
        <v>1398/06/30</v>
      </c>
      <c r="E230" s="1">
        <f t="shared" si="70"/>
        <v>13980630</v>
      </c>
      <c r="F230" s="12" t="str">
        <f>IF(N230=0,J_SUBDAY(D230,1,1),IF((N230-NETWORKDAYS.INTL(J_GregorianDate(D230,1),J_GregorianDate(J_SUBDAY(J_ADDDAY(D230,N230,1),1,1),1),16,1)-SUMIFS(Holieday[ok],Holieday[date],CONCATENATE("&gt;","=",D230),Holieday[date],CONCATENATE("&lt;","=",J_SUBDAY(J_ADDDAY(D230,N230,1),1,1)))+SUMIFS(Holieday[Friday],Holieday[date],CONCATENATE("&gt;","=",D230),Holieday[date],CONCATENATE("&lt;","=",J_SUBDAY(J_ADDDAY(D230,N230,1),1,1))))=0,J_SUBDAY(J_ADDDAY(D230,N230,1),1,1),IF((N230-NETWORKDAYS.INTL(J_GregorianDate(D230,1),J_GregorianDate(J_SUBDAY(J_ADDDAY(D230,N230,1),1,1),1),16,1)-SUMIFS(Holieday[ok],Holieday[date],CONCATENATE("&gt;","=",D230),Holieday[date],CONCATENATE("&lt;","=",J_SUBDAY(J_ADDDAY(D230,N230,1),1,1)))+SUMIFS(Holieday[Friday],Holieday[date],CONCATENATE("&gt;","=",D230),Holieday[date],CONCATENATE("&lt;","=",J_SUBDAY(J_ADDDAY(D230,N230,1),1,1))))=1,J_SUBDAY(J_ADDDAY(D230,N230+1,1),1,1),IF((N230-NETWORKDAYS.INTL(J_GregorianDate(D230,1),J_GregorianDate(J_SUBDAY(J_ADDDAY(D230,N230,1),1,1),1),16,1)-SUMIFS(Holieday[ok],Holieday[date],CONCATENATE("&gt;","=",D230),Holieday[date],CONCATENATE("&lt;","=",J_SUBDAY(J_ADDDAY(D230,N230,1),1,1)))+SUMIFS(Holieday[Friday],Holieday[date],CONCATENATE("&gt;","=",D230),Holieday[date],CONCATENATE("&lt;","=",J_SUBDAY(J_ADDDAY(D230,N230,1),1,1))))=2,J_SUBDAY(J_ADDDAY(D230,N230+2,1),1,1),J_SUBDAY(J_ADDDAY(D230,N230+3,1),1,1)))))</f>
        <v>1398/06/29</v>
      </c>
      <c r="G230" s="2">
        <f t="shared" si="71"/>
        <v>13980629</v>
      </c>
      <c r="H230" s="109"/>
      <c r="I230" s="110">
        <v>10.1</v>
      </c>
      <c r="J230" s="9">
        <f>j_WEEKDAY(D230,2)</f>
        <v>0</v>
      </c>
      <c r="K230" s="21">
        <f t="shared" si="69"/>
        <v>0</v>
      </c>
      <c r="L230" s="8">
        <f t="shared" si="74"/>
        <v>0</v>
      </c>
      <c r="M230" s="111">
        <v>0</v>
      </c>
      <c r="N230" s="108">
        <v>0</v>
      </c>
      <c r="O230" s="10">
        <f t="shared" si="75"/>
        <v>0</v>
      </c>
      <c r="P230" s="10">
        <f>VALUE(J_normdate(J_ADDDAY($D230,$O230,1)))</f>
        <v>13980630</v>
      </c>
      <c r="Q230" s="9">
        <f t="shared" si="76"/>
        <v>0</v>
      </c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  <c r="BB230" s="7"/>
      <c r="BC230" s="7"/>
      <c r="BD230" s="7"/>
      <c r="BE230" s="7"/>
      <c r="BF230" s="7"/>
      <c r="BG230" s="7"/>
      <c r="BH230" s="7"/>
      <c r="BI230" s="7"/>
      <c r="BJ230" s="7"/>
      <c r="BK230" s="7"/>
      <c r="BL230" s="7"/>
      <c r="BM230" s="7"/>
      <c r="BN230" s="7"/>
      <c r="BO230" s="7"/>
      <c r="BP230" s="7"/>
      <c r="BQ230" s="7"/>
      <c r="BR230" s="7"/>
      <c r="BS230" s="7"/>
      <c r="BT230" s="7"/>
      <c r="BU230" s="7"/>
      <c r="BV230" s="7"/>
      <c r="BW230" s="7"/>
      <c r="BX230" s="7"/>
      <c r="BY230" s="7"/>
      <c r="BZ230" s="7"/>
      <c r="CA230" s="7"/>
      <c r="CB230" s="7"/>
      <c r="CC230" s="7"/>
      <c r="CD230" s="7"/>
      <c r="CE230" s="7"/>
      <c r="CF230" s="7"/>
      <c r="CG230" s="7"/>
      <c r="CH230" s="7"/>
      <c r="CI230" s="7"/>
      <c r="CJ230" s="7"/>
      <c r="CK230" s="7"/>
      <c r="CL230" s="7"/>
      <c r="CM230" s="7"/>
      <c r="CN230" s="7"/>
      <c r="CO230" s="7"/>
      <c r="CP230" s="7"/>
      <c r="CQ230" s="7"/>
      <c r="CR230" s="7"/>
      <c r="CS230" s="7"/>
      <c r="CT230" s="7"/>
      <c r="CU230" s="7"/>
      <c r="CV230" s="7"/>
      <c r="CW230" s="7"/>
      <c r="CX230" s="7"/>
      <c r="CY230" s="7"/>
      <c r="CZ230" s="7"/>
      <c r="DA230" s="7"/>
      <c r="DB230" s="7"/>
      <c r="DC230" s="7"/>
      <c r="DD230" s="7"/>
      <c r="DE230" s="7"/>
      <c r="DF230" s="7"/>
      <c r="DG230" s="7"/>
      <c r="DH230" s="7"/>
      <c r="DI230" s="7"/>
      <c r="DJ230" s="7"/>
      <c r="DK230" s="7"/>
      <c r="DL230" s="7"/>
      <c r="DM230" s="7"/>
      <c r="DN230" s="7"/>
      <c r="DO230" s="7"/>
      <c r="DP230" s="7"/>
      <c r="DQ230" s="7"/>
      <c r="DR230" s="7"/>
      <c r="DS230" s="7"/>
      <c r="DT230" s="7"/>
      <c r="DU230" s="7"/>
      <c r="DV230" s="7"/>
      <c r="DW230" s="7"/>
      <c r="DX230" s="7"/>
      <c r="DY230" s="7"/>
      <c r="DZ230" s="7"/>
      <c r="EA230" s="7"/>
      <c r="EB230" s="7"/>
      <c r="EC230" s="7"/>
      <c r="ED230" s="7"/>
      <c r="EE230" s="7"/>
      <c r="EF230" s="7"/>
      <c r="EG230" s="7"/>
      <c r="EH230" s="7"/>
      <c r="EI230" s="7"/>
      <c r="EJ230" s="7"/>
      <c r="EK230" s="7"/>
      <c r="EL230" s="7"/>
      <c r="EM230" s="7"/>
      <c r="EN230" s="7"/>
      <c r="EO230" s="7"/>
      <c r="EP230" s="7"/>
      <c r="EQ230" s="7"/>
      <c r="ER230" s="7"/>
      <c r="ES230" s="7"/>
      <c r="ET230" s="7"/>
      <c r="EU230" s="7"/>
      <c r="EV230" s="7"/>
      <c r="EW230" s="7"/>
      <c r="EX230" s="7"/>
      <c r="EY230" s="7"/>
      <c r="EZ230" s="7"/>
      <c r="FA230" s="7"/>
      <c r="FB230" s="7"/>
      <c r="FC230" s="7"/>
      <c r="FD230" s="7"/>
      <c r="FE230" s="7"/>
      <c r="FF230" s="7"/>
      <c r="FG230" s="7"/>
      <c r="FH230" s="7"/>
      <c r="FI230" s="7"/>
      <c r="FJ230" s="7"/>
      <c r="FK230" s="7"/>
      <c r="FL230" s="7"/>
      <c r="FM230" s="7"/>
      <c r="FN230" s="7"/>
      <c r="FO230" s="7"/>
      <c r="FP230" s="7"/>
      <c r="FQ230" s="7"/>
      <c r="FR230" s="7"/>
      <c r="FS230" s="7"/>
      <c r="FT230" s="7"/>
      <c r="FU230" s="7"/>
      <c r="FV230" s="7"/>
      <c r="FW230" s="7"/>
      <c r="FX230" s="7"/>
      <c r="FY230" s="7"/>
      <c r="FZ230" s="7"/>
      <c r="GA230" s="7"/>
      <c r="GB230" s="7"/>
      <c r="GC230" s="7"/>
      <c r="GD230" s="7"/>
      <c r="GE230" s="7"/>
      <c r="GF230" s="7"/>
      <c r="GG230" s="7"/>
      <c r="GH230" s="7"/>
      <c r="GI230" s="7"/>
      <c r="GJ230" s="7"/>
      <c r="GK230" s="7"/>
      <c r="GL230" s="7"/>
      <c r="GM230" s="7"/>
      <c r="GN230" s="7"/>
      <c r="GO230" s="7"/>
      <c r="GP230" s="7"/>
      <c r="GQ230" s="7"/>
      <c r="GR230" s="7"/>
      <c r="GS230" s="7"/>
      <c r="GT230" s="7"/>
      <c r="GU230" s="7"/>
      <c r="GV230" s="7"/>
      <c r="GW230" s="7"/>
      <c r="GX230" s="7"/>
      <c r="GY230" s="7"/>
      <c r="GZ230" s="7"/>
      <c r="HA230" s="7"/>
      <c r="HB230" s="7"/>
      <c r="HC230" s="7"/>
      <c r="HD230" s="7"/>
      <c r="HE230" s="7"/>
      <c r="HF230" s="7"/>
      <c r="HG230" s="7"/>
      <c r="HH230" s="7"/>
      <c r="HI230" s="7"/>
      <c r="HJ230" s="7"/>
      <c r="HK230" s="7"/>
      <c r="HL230" s="7"/>
      <c r="HM230" s="7"/>
      <c r="HN230" s="7"/>
      <c r="HO230" s="7"/>
      <c r="HP230" s="7"/>
      <c r="HQ230" s="7"/>
      <c r="HR230" s="7"/>
      <c r="HS230" s="7"/>
      <c r="HT230" s="7"/>
      <c r="HU230" s="7"/>
      <c r="HV230" s="7"/>
      <c r="HW230" s="7"/>
      <c r="HX230" s="7"/>
      <c r="HY230" s="7"/>
      <c r="HZ230" s="7"/>
      <c r="IA230" s="7"/>
      <c r="IB230" s="7"/>
      <c r="IC230" s="7"/>
      <c r="ID230" s="7"/>
      <c r="IE230" s="7"/>
      <c r="IF230" s="7"/>
      <c r="IG230" s="7"/>
      <c r="IH230" s="7"/>
      <c r="II230" s="7"/>
      <c r="IJ230" s="7"/>
      <c r="IK230" s="7"/>
      <c r="IL230" s="7"/>
      <c r="IM230" s="7"/>
      <c r="IN230" s="7"/>
      <c r="IO230" s="7"/>
      <c r="IP230" s="7"/>
      <c r="IQ230" s="7"/>
      <c r="IR230" s="7"/>
      <c r="IS230" s="7"/>
      <c r="IT230" s="7"/>
      <c r="IU230" s="7"/>
      <c r="IV230" s="7"/>
      <c r="IW230" s="7"/>
      <c r="IX230" s="7"/>
      <c r="JA230" s="113"/>
      <c r="JB230" s="113"/>
      <c r="JC230" s="113"/>
      <c r="JD230" s="66">
        <f>SUM((TEXT(JA230,"[M]")/60)*'Income Person-hours'!$D$3,(TEXT(JB230,"[M]")/60)*'Income Person-hours'!$D$4,(TEXT(JC230,"[M]")/60)*'Income Person-hours'!$D$5)</f>
        <v>0</v>
      </c>
    </row>
    <row r="231" spans="1:264" s="11" customFormat="1" ht="11.25" hidden="1">
      <c r="A231" s="30">
        <v>10.8</v>
      </c>
      <c r="B231" s="116"/>
      <c r="C231" s="107"/>
      <c r="D231" s="12" t="str">
        <f>IF(OR(j_WEEKDAY(J_ADDDAY(VLOOKUP(I231,A:F,6,FALSE),H231,1),0)=6,SUMIFS(Holieday[ok],Holieday[date],J_ADDDAY(VLOOKUP(I231,A:F,6,FALSE),H231,1)))=FALSE(),J_ADDDAY(VLOOKUP(I231,A:F,6,FALSE),H231,1),IF(OR(j_WEEKDAY(J_ADDDAY(VLOOKUP(I231,A:F,6,FALSE),H231+1,1),0)=6,SUMIFS(Holieday[ok],Holieday[date],J_ADDDAY(VLOOKUP(I231,A:F,6,FALSE),H231+1,1)))=FALSE(),J_ADDDAY(VLOOKUP(I231,A:F,6,FALSE),H231+1,1),IF(OR(j_WEEKDAY(J_ADDDAY(VLOOKUP(I231,A:F,6,FALSE),H231+2,1),0)=6,SUMIFS(Holieday[ok],Holieday[date],J_ADDDAY(VLOOKUP(I231,A:F,6,FALSE),H231+2,1)))=FALSE(),J_ADDDAY(VLOOKUP(I231,A:F,6,FALSE),H231+2,1),IF(OR(j_WEEKDAY(J_ADDDAY(VLOOKUP(I231,A:F,6,FALSE),H231+3,1),0)=6,SUMIFS(Holieday[ok],Holieday[date],J_ADDDAY(VLOOKUP(I231,A:F,6,FALSE),H231+3,1)))=FALSE(),J_ADDDAY(VLOOKUP(I231,A:F,6,FALSE),H231+3,1),IF(OR(j_WEEKDAY(J_ADDDAY(VLOOKUP(I231,A:F,6,FALSE),H231+4,1),0)=6,SUMIFS(Holieday[ok],Holieday[date],J_ADDDAY(VLOOKUP(I231,A:F,6,FALSE),H231+4,1)))=FALSE(),J_ADDDAY(VLOOKUP(I231,A:F,6,FALSE),H231+4,1),J_ADDDAY(VLOOKUP(I231,A:F,6,FALSE),H231+5,1))))))</f>
        <v>1398/06/30</v>
      </c>
      <c r="E231" s="1">
        <f t="shared" si="70"/>
        <v>13980630</v>
      </c>
      <c r="F231" s="12" t="str">
        <f>IF(N231=0,J_SUBDAY(D231,1,1),IF((N231-NETWORKDAYS.INTL(J_GregorianDate(D231,1),J_GregorianDate(J_SUBDAY(J_ADDDAY(D231,N231,1),1,1),1),16,1)-SUMIFS(Holieday[ok],Holieday[date],CONCATENATE("&gt;","=",D231),Holieday[date],CONCATENATE("&lt;","=",J_SUBDAY(J_ADDDAY(D231,N231,1),1,1)))+SUMIFS(Holieday[Friday],Holieday[date],CONCATENATE("&gt;","=",D231),Holieday[date],CONCATENATE("&lt;","=",J_SUBDAY(J_ADDDAY(D231,N231,1),1,1))))=0,J_SUBDAY(J_ADDDAY(D231,N231,1),1,1),IF((N231-NETWORKDAYS.INTL(J_GregorianDate(D231,1),J_GregorianDate(J_SUBDAY(J_ADDDAY(D231,N231,1),1,1),1),16,1)-SUMIFS(Holieday[ok],Holieday[date],CONCATENATE("&gt;","=",D231),Holieday[date],CONCATENATE("&lt;","=",J_SUBDAY(J_ADDDAY(D231,N231,1),1,1)))+SUMIFS(Holieday[Friday],Holieday[date],CONCATENATE("&gt;","=",D231),Holieday[date],CONCATENATE("&lt;","=",J_SUBDAY(J_ADDDAY(D231,N231,1),1,1))))=1,J_SUBDAY(J_ADDDAY(D231,N231+1,1),1,1),IF((N231-NETWORKDAYS.INTL(J_GregorianDate(D231,1),J_GregorianDate(J_SUBDAY(J_ADDDAY(D231,N231,1),1,1),1),16,1)-SUMIFS(Holieday[ok],Holieday[date],CONCATENATE("&gt;","=",D231),Holieday[date],CONCATENATE("&lt;","=",J_SUBDAY(J_ADDDAY(D231,N231,1),1,1)))+SUMIFS(Holieday[Friday],Holieday[date],CONCATENATE("&gt;","=",D231),Holieday[date],CONCATENATE("&lt;","=",J_SUBDAY(J_ADDDAY(D231,N231,1),1,1))))=2,J_SUBDAY(J_ADDDAY(D231,N231+2,1),1,1),J_SUBDAY(J_ADDDAY(D231,N231+3,1),1,1)))))</f>
        <v>1398/06/29</v>
      </c>
      <c r="G231" s="2">
        <f t="shared" si="71"/>
        <v>13980629</v>
      </c>
      <c r="H231" s="109"/>
      <c r="I231" s="110">
        <v>10.1</v>
      </c>
      <c r="J231" s="9">
        <f>j_WEEKDAY(D231,2)</f>
        <v>0</v>
      </c>
      <c r="K231" s="21">
        <f t="shared" si="69"/>
        <v>0</v>
      </c>
      <c r="L231" s="8">
        <f t="shared" si="74"/>
        <v>0</v>
      </c>
      <c r="M231" s="111">
        <v>0</v>
      </c>
      <c r="N231" s="108">
        <v>0</v>
      </c>
      <c r="O231" s="10">
        <f t="shared" si="75"/>
        <v>0</v>
      </c>
      <c r="P231" s="10">
        <f>VALUE(J_normdate(J_ADDDAY($D231,$O231,1)))</f>
        <v>13980630</v>
      </c>
      <c r="Q231" s="9">
        <f t="shared" si="76"/>
        <v>0</v>
      </c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  <c r="BB231" s="7"/>
      <c r="BC231" s="7"/>
      <c r="BD231" s="7"/>
      <c r="BE231" s="7"/>
      <c r="BF231" s="7"/>
      <c r="BG231" s="7"/>
      <c r="BH231" s="7"/>
      <c r="BI231" s="7"/>
      <c r="BJ231" s="7"/>
      <c r="BK231" s="7"/>
      <c r="BL231" s="7"/>
      <c r="BM231" s="7"/>
      <c r="BN231" s="7"/>
      <c r="BO231" s="7"/>
      <c r="BP231" s="7"/>
      <c r="BQ231" s="7"/>
      <c r="BR231" s="7"/>
      <c r="BS231" s="7"/>
      <c r="BT231" s="7"/>
      <c r="BU231" s="7"/>
      <c r="BV231" s="7"/>
      <c r="BW231" s="7"/>
      <c r="BX231" s="7"/>
      <c r="BY231" s="7"/>
      <c r="BZ231" s="7"/>
      <c r="CA231" s="7"/>
      <c r="CB231" s="7"/>
      <c r="CC231" s="7"/>
      <c r="CD231" s="7"/>
      <c r="CE231" s="7"/>
      <c r="CF231" s="7"/>
      <c r="CG231" s="7"/>
      <c r="CH231" s="7"/>
      <c r="CI231" s="7"/>
      <c r="CJ231" s="7"/>
      <c r="CK231" s="7"/>
      <c r="CL231" s="7"/>
      <c r="CM231" s="7"/>
      <c r="CN231" s="7"/>
      <c r="CO231" s="7"/>
      <c r="CP231" s="7"/>
      <c r="CQ231" s="7"/>
      <c r="CR231" s="7"/>
      <c r="CS231" s="7"/>
      <c r="CT231" s="7"/>
      <c r="CU231" s="7"/>
      <c r="CV231" s="7"/>
      <c r="CW231" s="7"/>
      <c r="CX231" s="7"/>
      <c r="CY231" s="7"/>
      <c r="CZ231" s="7"/>
      <c r="DA231" s="7"/>
      <c r="DB231" s="7"/>
      <c r="DC231" s="7"/>
      <c r="DD231" s="7"/>
      <c r="DE231" s="7"/>
      <c r="DF231" s="7"/>
      <c r="DG231" s="7"/>
      <c r="DH231" s="7"/>
      <c r="DI231" s="7"/>
      <c r="DJ231" s="7"/>
      <c r="DK231" s="7"/>
      <c r="DL231" s="7"/>
      <c r="DM231" s="7"/>
      <c r="DN231" s="7"/>
      <c r="DO231" s="7"/>
      <c r="DP231" s="7"/>
      <c r="DQ231" s="7"/>
      <c r="DR231" s="7"/>
      <c r="DS231" s="7"/>
      <c r="DT231" s="7"/>
      <c r="DU231" s="7"/>
      <c r="DV231" s="7"/>
      <c r="DW231" s="7"/>
      <c r="DX231" s="7"/>
      <c r="DY231" s="7"/>
      <c r="DZ231" s="7"/>
      <c r="EA231" s="7"/>
      <c r="EB231" s="7"/>
      <c r="EC231" s="7"/>
      <c r="ED231" s="7"/>
      <c r="EE231" s="7"/>
      <c r="EF231" s="7"/>
      <c r="EG231" s="7"/>
      <c r="EH231" s="7"/>
      <c r="EI231" s="7"/>
      <c r="EJ231" s="7"/>
      <c r="EK231" s="7"/>
      <c r="EL231" s="7"/>
      <c r="EM231" s="7"/>
      <c r="EN231" s="7"/>
      <c r="EO231" s="7"/>
      <c r="EP231" s="7"/>
      <c r="EQ231" s="7"/>
      <c r="ER231" s="7"/>
      <c r="ES231" s="7"/>
      <c r="ET231" s="7"/>
      <c r="EU231" s="7"/>
      <c r="EV231" s="7"/>
      <c r="EW231" s="7"/>
      <c r="EX231" s="7"/>
      <c r="EY231" s="7"/>
      <c r="EZ231" s="7"/>
      <c r="FA231" s="7"/>
      <c r="FB231" s="7"/>
      <c r="FC231" s="7"/>
      <c r="FD231" s="7"/>
      <c r="FE231" s="7"/>
      <c r="FF231" s="7"/>
      <c r="FG231" s="7"/>
      <c r="FH231" s="7"/>
      <c r="FI231" s="7"/>
      <c r="FJ231" s="7"/>
      <c r="FK231" s="7"/>
      <c r="FL231" s="7"/>
      <c r="FM231" s="7"/>
      <c r="FN231" s="7"/>
      <c r="FO231" s="7"/>
      <c r="FP231" s="7"/>
      <c r="FQ231" s="7"/>
      <c r="FR231" s="7"/>
      <c r="FS231" s="7"/>
      <c r="FT231" s="7"/>
      <c r="FU231" s="7"/>
      <c r="FV231" s="7"/>
      <c r="FW231" s="7"/>
      <c r="FX231" s="7"/>
      <c r="FY231" s="7"/>
      <c r="FZ231" s="7"/>
      <c r="GA231" s="7"/>
      <c r="GB231" s="7"/>
      <c r="GC231" s="7"/>
      <c r="GD231" s="7"/>
      <c r="GE231" s="7"/>
      <c r="GF231" s="7"/>
      <c r="GG231" s="7"/>
      <c r="GH231" s="7"/>
      <c r="GI231" s="7"/>
      <c r="GJ231" s="7"/>
      <c r="GK231" s="7"/>
      <c r="GL231" s="7"/>
      <c r="GM231" s="7"/>
      <c r="GN231" s="7"/>
      <c r="GO231" s="7"/>
      <c r="GP231" s="7"/>
      <c r="GQ231" s="7"/>
      <c r="GR231" s="7"/>
      <c r="GS231" s="7"/>
      <c r="GT231" s="7"/>
      <c r="GU231" s="7"/>
      <c r="GV231" s="7"/>
      <c r="GW231" s="7"/>
      <c r="GX231" s="7"/>
      <c r="GY231" s="7"/>
      <c r="GZ231" s="7"/>
      <c r="HA231" s="7"/>
      <c r="HB231" s="7"/>
      <c r="HC231" s="7"/>
      <c r="HD231" s="7"/>
      <c r="HE231" s="7"/>
      <c r="HF231" s="7"/>
      <c r="HG231" s="7"/>
      <c r="HH231" s="7"/>
      <c r="HI231" s="7"/>
      <c r="HJ231" s="7"/>
      <c r="HK231" s="7"/>
      <c r="HL231" s="7"/>
      <c r="HM231" s="7"/>
      <c r="HN231" s="7"/>
      <c r="HO231" s="7"/>
      <c r="HP231" s="7"/>
      <c r="HQ231" s="7"/>
      <c r="HR231" s="7"/>
      <c r="HS231" s="7"/>
      <c r="HT231" s="7"/>
      <c r="HU231" s="7"/>
      <c r="HV231" s="7"/>
      <c r="HW231" s="7"/>
      <c r="HX231" s="7"/>
      <c r="HY231" s="7"/>
      <c r="HZ231" s="7"/>
      <c r="IA231" s="7"/>
      <c r="IB231" s="7"/>
      <c r="IC231" s="7"/>
      <c r="ID231" s="7"/>
      <c r="IE231" s="7"/>
      <c r="IF231" s="7"/>
      <c r="IG231" s="7"/>
      <c r="IH231" s="7"/>
      <c r="II231" s="7"/>
      <c r="IJ231" s="7"/>
      <c r="IK231" s="7"/>
      <c r="IL231" s="7"/>
      <c r="IM231" s="7"/>
      <c r="IN231" s="7"/>
      <c r="IO231" s="7"/>
      <c r="IP231" s="7"/>
      <c r="IQ231" s="7"/>
      <c r="IR231" s="7"/>
      <c r="IS231" s="7"/>
      <c r="IT231" s="7"/>
      <c r="IU231" s="7"/>
      <c r="IV231" s="7"/>
      <c r="IW231" s="7"/>
      <c r="IX231" s="7"/>
      <c r="JA231" s="113"/>
      <c r="JB231" s="113"/>
      <c r="JC231" s="113"/>
      <c r="JD231" s="66">
        <f>SUM((TEXT(JA231,"[M]")/60)*'Income Person-hours'!$D$3,(TEXT(JB231,"[M]")/60)*'Income Person-hours'!$D$4,(TEXT(JC231,"[M]")/60)*'Income Person-hours'!$D$5)</f>
        <v>0</v>
      </c>
    </row>
    <row r="232" spans="1:264" s="11" customFormat="1" ht="11.25" hidden="1">
      <c r="A232" s="30">
        <v>10.9</v>
      </c>
      <c r="B232" s="116"/>
      <c r="C232" s="107"/>
      <c r="D232" s="12" t="str">
        <f>IF(OR(j_WEEKDAY(J_ADDDAY(VLOOKUP(I232,A:F,6,FALSE),H232,1),0)=6,SUMIFS(Holieday[ok],Holieday[date],J_ADDDAY(VLOOKUP(I232,A:F,6,FALSE),H232,1)))=FALSE(),J_ADDDAY(VLOOKUP(I232,A:F,6,FALSE),H232,1),IF(OR(j_WEEKDAY(J_ADDDAY(VLOOKUP(I232,A:F,6,FALSE),H232+1,1),0)=6,SUMIFS(Holieday[ok],Holieday[date],J_ADDDAY(VLOOKUP(I232,A:F,6,FALSE),H232+1,1)))=FALSE(),J_ADDDAY(VLOOKUP(I232,A:F,6,FALSE),H232+1,1),IF(OR(j_WEEKDAY(J_ADDDAY(VLOOKUP(I232,A:F,6,FALSE),H232+2,1),0)=6,SUMIFS(Holieday[ok],Holieday[date],J_ADDDAY(VLOOKUP(I232,A:F,6,FALSE),H232+2,1)))=FALSE(),J_ADDDAY(VLOOKUP(I232,A:F,6,FALSE),H232+2,1),IF(OR(j_WEEKDAY(J_ADDDAY(VLOOKUP(I232,A:F,6,FALSE),H232+3,1),0)=6,SUMIFS(Holieday[ok],Holieday[date],J_ADDDAY(VLOOKUP(I232,A:F,6,FALSE),H232+3,1)))=FALSE(),J_ADDDAY(VLOOKUP(I232,A:F,6,FALSE),H232+3,1),IF(OR(j_WEEKDAY(J_ADDDAY(VLOOKUP(I232,A:F,6,FALSE),H232+4,1),0)=6,SUMIFS(Holieday[ok],Holieday[date],J_ADDDAY(VLOOKUP(I232,A:F,6,FALSE),H232+4,1)))=FALSE(),J_ADDDAY(VLOOKUP(I232,A:F,6,FALSE),H232+4,1),J_ADDDAY(VLOOKUP(I232,A:F,6,FALSE),H232+5,1))))))</f>
        <v>1398/06/30</v>
      </c>
      <c r="E232" s="1">
        <f t="shared" si="70"/>
        <v>13980630</v>
      </c>
      <c r="F232" s="12" t="str">
        <f>IF(N232=0,J_SUBDAY(D232,1,1),IF((N232-NETWORKDAYS.INTL(J_GregorianDate(D232,1),J_GregorianDate(J_SUBDAY(J_ADDDAY(D232,N232,1),1,1),1),16,1)-SUMIFS(Holieday[ok],Holieday[date],CONCATENATE("&gt;","=",D232),Holieday[date],CONCATENATE("&lt;","=",J_SUBDAY(J_ADDDAY(D232,N232,1),1,1)))+SUMIFS(Holieday[Friday],Holieday[date],CONCATENATE("&gt;","=",D232),Holieday[date],CONCATENATE("&lt;","=",J_SUBDAY(J_ADDDAY(D232,N232,1),1,1))))=0,J_SUBDAY(J_ADDDAY(D232,N232,1),1,1),IF((N232-NETWORKDAYS.INTL(J_GregorianDate(D232,1),J_GregorianDate(J_SUBDAY(J_ADDDAY(D232,N232,1),1,1),1),16,1)-SUMIFS(Holieday[ok],Holieday[date],CONCATENATE("&gt;","=",D232),Holieday[date],CONCATENATE("&lt;","=",J_SUBDAY(J_ADDDAY(D232,N232,1),1,1)))+SUMIFS(Holieday[Friday],Holieday[date],CONCATENATE("&gt;","=",D232),Holieday[date],CONCATENATE("&lt;","=",J_SUBDAY(J_ADDDAY(D232,N232,1),1,1))))=1,J_SUBDAY(J_ADDDAY(D232,N232+1,1),1,1),IF((N232-NETWORKDAYS.INTL(J_GregorianDate(D232,1),J_GregorianDate(J_SUBDAY(J_ADDDAY(D232,N232,1),1,1),1),16,1)-SUMIFS(Holieday[ok],Holieday[date],CONCATENATE("&gt;","=",D232),Holieday[date],CONCATENATE("&lt;","=",J_SUBDAY(J_ADDDAY(D232,N232,1),1,1)))+SUMIFS(Holieday[Friday],Holieday[date],CONCATENATE("&gt;","=",D232),Holieday[date],CONCATENATE("&lt;","=",J_SUBDAY(J_ADDDAY(D232,N232,1),1,1))))=2,J_SUBDAY(J_ADDDAY(D232,N232+2,1),1,1),J_SUBDAY(J_ADDDAY(D232,N232+3,1),1,1)))))</f>
        <v>1398/06/29</v>
      </c>
      <c r="G232" s="2">
        <f t="shared" si="71"/>
        <v>13980629</v>
      </c>
      <c r="H232" s="109"/>
      <c r="I232" s="110">
        <v>10.1</v>
      </c>
      <c r="J232" s="9">
        <f>j_WEEKDAY(D232,2)</f>
        <v>0</v>
      </c>
      <c r="K232" s="21">
        <f t="shared" si="69"/>
        <v>0</v>
      </c>
      <c r="L232" s="8">
        <f t="shared" si="74"/>
        <v>0</v>
      </c>
      <c r="M232" s="111">
        <v>0</v>
      </c>
      <c r="N232" s="108">
        <v>0</v>
      </c>
      <c r="O232" s="10">
        <f t="shared" si="75"/>
        <v>0</v>
      </c>
      <c r="P232" s="10">
        <f>VALUE(J_normdate(J_ADDDAY($D232,$O232,1)))</f>
        <v>13980630</v>
      </c>
      <c r="Q232" s="9">
        <f t="shared" si="76"/>
        <v>0</v>
      </c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  <c r="BB232" s="7"/>
      <c r="BC232" s="7"/>
      <c r="BD232" s="7"/>
      <c r="BE232" s="7"/>
      <c r="BF232" s="7"/>
      <c r="BG232" s="7"/>
      <c r="BH232" s="7"/>
      <c r="BI232" s="7"/>
      <c r="BJ232" s="7"/>
      <c r="BK232" s="7"/>
      <c r="BL232" s="7"/>
      <c r="BM232" s="7"/>
      <c r="BN232" s="7"/>
      <c r="BO232" s="7"/>
      <c r="BP232" s="7"/>
      <c r="BQ232" s="7"/>
      <c r="BR232" s="7"/>
      <c r="BS232" s="7"/>
      <c r="BT232" s="7"/>
      <c r="BU232" s="7"/>
      <c r="BV232" s="7"/>
      <c r="BW232" s="7"/>
      <c r="BX232" s="7"/>
      <c r="BY232" s="7"/>
      <c r="BZ232" s="7"/>
      <c r="CA232" s="7"/>
      <c r="CB232" s="7"/>
      <c r="CC232" s="7"/>
      <c r="CD232" s="7"/>
      <c r="CE232" s="7"/>
      <c r="CF232" s="7"/>
      <c r="CG232" s="7"/>
      <c r="CH232" s="7"/>
      <c r="CI232" s="7"/>
      <c r="CJ232" s="7"/>
      <c r="CK232" s="7"/>
      <c r="CL232" s="7"/>
      <c r="CM232" s="7"/>
      <c r="CN232" s="7"/>
      <c r="CO232" s="7"/>
      <c r="CP232" s="7"/>
      <c r="CQ232" s="7"/>
      <c r="CR232" s="7"/>
      <c r="CS232" s="7"/>
      <c r="CT232" s="7"/>
      <c r="CU232" s="7"/>
      <c r="CV232" s="7"/>
      <c r="CW232" s="7"/>
      <c r="CX232" s="7"/>
      <c r="CY232" s="7"/>
      <c r="CZ232" s="7"/>
      <c r="DA232" s="7"/>
      <c r="DB232" s="7"/>
      <c r="DC232" s="7"/>
      <c r="DD232" s="7"/>
      <c r="DE232" s="7"/>
      <c r="DF232" s="7"/>
      <c r="DG232" s="7"/>
      <c r="DH232" s="7"/>
      <c r="DI232" s="7"/>
      <c r="DJ232" s="7"/>
      <c r="DK232" s="7"/>
      <c r="DL232" s="7"/>
      <c r="DM232" s="7"/>
      <c r="DN232" s="7"/>
      <c r="DO232" s="7"/>
      <c r="DP232" s="7"/>
      <c r="DQ232" s="7"/>
      <c r="DR232" s="7"/>
      <c r="DS232" s="7"/>
      <c r="DT232" s="7"/>
      <c r="DU232" s="7"/>
      <c r="DV232" s="7"/>
      <c r="DW232" s="7"/>
      <c r="DX232" s="7"/>
      <c r="DY232" s="7"/>
      <c r="DZ232" s="7"/>
      <c r="EA232" s="7"/>
      <c r="EB232" s="7"/>
      <c r="EC232" s="7"/>
      <c r="ED232" s="7"/>
      <c r="EE232" s="7"/>
      <c r="EF232" s="7"/>
      <c r="EG232" s="7"/>
      <c r="EH232" s="7"/>
      <c r="EI232" s="7"/>
      <c r="EJ232" s="7"/>
      <c r="EK232" s="7"/>
      <c r="EL232" s="7"/>
      <c r="EM232" s="7"/>
      <c r="EN232" s="7"/>
      <c r="EO232" s="7"/>
      <c r="EP232" s="7"/>
      <c r="EQ232" s="7"/>
      <c r="ER232" s="7"/>
      <c r="ES232" s="7"/>
      <c r="ET232" s="7"/>
      <c r="EU232" s="7"/>
      <c r="EV232" s="7"/>
      <c r="EW232" s="7"/>
      <c r="EX232" s="7"/>
      <c r="EY232" s="7"/>
      <c r="EZ232" s="7"/>
      <c r="FA232" s="7"/>
      <c r="FB232" s="7"/>
      <c r="FC232" s="7"/>
      <c r="FD232" s="7"/>
      <c r="FE232" s="7"/>
      <c r="FF232" s="7"/>
      <c r="FG232" s="7"/>
      <c r="FH232" s="7"/>
      <c r="FI232" s="7"/>
      <c r="FJ232" s="7"/>
      <c r="FK232" s="7"/>
      <c r="FL232" s="7"/>
      <c r="FM232" s="7"/>
      <c r="FN232" s="7"/>
      <c r="FO232" s="7"/>
      <c r="FP232" s="7"/>
      <c r="FQ232" s="7"/>
      <c r="FR232" s="7"/>
      <c r="FS232" s="7"/>
      <c r="FT232" s="7"/>
      <c r="FU232" s="7"/>
      <c r="FV232" s="7"/>
      <c r="FW232" s="7"/>
      <c r="FX232" s="7"/>
      <c r="FY232" s="7"/>
      <c r="FZ232" s="7"/>
      <c r="GA232" s="7"/>
      <c r="GB232" s="7"/>
      <c r="GC232" s="7"/>
      <c r="GD232" s="7"/>
      <c r="GE232" s="7"/>
      <c r="GF232" s="7"/>
      <c r="GG232" s="7"/>
      <c r="GH232" s="7"/>
      <c r="GI232" s="7"/>
      <c r="GJ232" s="7"/>
      <c r="GK232" s="7"/>
      <c r="GL232" s="7"/>
      <c r="GM232" s="7"/>
      <c r="GN232" s="7"/>
      <c r="GO232" s="7"/>
      <c r="GP232" s="7"/>
      <c r="GQ232" s="7"/>
      <c r="GR232" s="7"/>
      <c r="GS232" s="7"/>
      <c r="GT232" s="7"/>
      <c r="GU232" s="7"/>
      <c r="GV232" s="7"/>
      <c r="GW232" s="7"/>
      <c r="GX232" s="7"/>
      <c r="GY232" s="7"/>
      <c r="GZ232" s="7"/>
      <c r="HA232" s="7"/>
      <c r="HB232" s="7"/>
      <c r="HC232" s="7"/>
      <c r="HD232" s="7"/>
      <c r="HE232" s="7"/>
      <c r="HF232" s="7"/>
      <c r="HG232" s="7"/>
      <c r="HH232" s="7"/>
      <c r="HI232" s="7"/>
      <c r="HJ232" s="7"/>
      <c r="HK232" s="7"/>
      <c r="HL232" s="7"/>
      <c r="HM232" s="7"/>
      <c r="HN232" s="7"/>
      <c r="HO232" s="7"/>
      <c r="HP232" s="7"/>
      <c r="HQ232" s="7"/>
      <c r="HR232" s="7"/>
      <c r="HS232" s="7"/>
      <c r="HT232" s="7"/>
      <c r="HU232" s="7"/>
      <c r="HV232" s="7"/>
      <c r="HW232" s="7"/>
      <c r="HX232" s="7"/>
      <c r="HY232" s="7"/>
      <c r="HZ232" s="7"/>
      <c r="IA232" s="7"/>
      <c r="IB232" s="7"/>
      <c r="IC232" s="7"/>
      <c r="ID232" s="7"/>
      <c r="IE232" s="7"/>
      <c r="IF232" s="7"/>
      <c r="IG232" s="7"/>
      <c r="IH232" s="7"/>
      <c r="II232" s="7"/>
      <c r="IJ232" s="7"/>
      <c r="IK232" s="7"/>
      <c r="IL232" s="7"/>
      <c r="IM232" s="7"/>
      <c r="IN232" s="7"/>
      <c r="IO232" s="7"/>
      <c r="IP232" s="7"/>
      <c r="IQ232" s="7"/>
      <c r="IR232" s="7"/>
      <c r="IS232" s="7"/>
      <c r="IT232" s="7"/>
      <c r="IU232" s="7"/>
      <c r="IV232" s="7"/>
      <c r="IW232" s="7"/>
      <c r="IX232" s="7"/>
      <c r="JA232" s="113"/>
      <c r="JB232" s="113"/>
      <c r="JC232" s="113"/>
      <c r="JD232" s="66">
        <f>SUM((TEXT(JA232,"[M]")/60)*'Income Person-hours'!$D$3,(TEXT(JB232,"[M]")/60)*'Income Person-hours'!$D$4,(TEXT(JC232,"[M]")/60)*'Income Person-hours'!$D$5)</f>
        <v>0</v>
      </c>
    </row>
    <row r="233" spans="1:264" s="11" customFormat="1" ht="11.25" hidden="1">
      <c r="A233" s="30">
        <v>10.11</v>
      </c>
      <c r="B233" s="116"/>
      <c r="C233" s="107"/>
      <c r="D233" s="12" t="str">
        <f>IF(OR(j_WEEKDAY(J_ADDDAY(VLOOKUP(I233,A:F,6,FALSE),H233,1),0)=6,SUMIFS(Holieday[ok],Holieday[date],J_ADDDAY(VLOOKUP(I233,A:F,6,FALSE),H233,1)))=FALSE(),J_ADDDAY(VLOOKUP(I233,A:F,6,FALSE),H233,1),IF(OR(j_WEEKDAY(J_ADDDAY(VLOOKUP(I233,A:F,6,FALSE),H233+1,1),0)=6,SUMIFS(Holieday[ok],Holieday[date],J_ADDDAY(VLOOKUP(I233,A:F,6,FALSE),H233+1,1)))=FALSE(),J_ADDDAY(VLOOKUP(I233,A:F,6,FALSE),H233+1,1),IF(OR(j_WEEKDAY(J_ADDDAY(VLOOKUP(I233,A:F,6,FALSE),H233+2,1),0)=6,SUMIFS(Holieday[ok],Holieday[date],J_ADDDAY(VLOOKUP(I233,A:F,6,FALSE),H233+2,1)))=FALSE(),J_ADDDAY(VLOOKUP(I233,A:F,6,FALSE),H233+2,1),IF(OR(j_WEEKDAY(J_ADDDAY(VLOOKUP(I233,A:F,6,FALSE),H233+3,1),0)=6,SUMIFS(Holieday[ok],Holieday[date],J_ADDDAY(VLOOKUP(I233,A:F,6,FALSE),H233+3,1)))=FALSE(),J_ADDDAY(VLOOKUP(I233,A:F,6,FALSE),H233+3,1),IF(OR(j_WEEKDAY(J_ADDDAY(VLOOKUP(I233,A:F,6,FALSE),H233+4,1),0)=6,SUMIFS(Holieday[ok],Holieday[date],J_ADDDAY(VLOOKUP(I233,A:F,6,FALSE),H233+4,1)))=FALSE(),J_ADDDAY(VLOOKUP(I233,A:F,6,FALSE),H233+4,1),J_ADDDAY(VLOOKUP(I233,A:F,6,FALSE),H233+5,1))))))</f>
        <v>1398/06/30</v>
      </c>
      <c r="E233" s="1">
        <f t="shared" si="70"/>
        <v>13980630</v>
      </c>
      <c r="F233" s="12" t="str">
        <f>IF(N233=0,J_SUBDAY(D233,1,1),IF((N233-NETWORKDAYS.INTL(J_GregorianDate(D233,1),J_GregorianDate(J_SUBDAY(J_ADDDAY(D233,N233,1),1,1),1),16,1)-SUMIFS(Holieday[ok],Holieday[date],CONCATENATE("&gt;","=",D233),Holieday[date],CONCATENATE("&lt;","=",J_SUBDAY(J_ADDDAY(D233,N233,1),1,1)))+SUMIFS(Holieday[Friday],Holieday[date],CONCATENATE("&gt;","=",D233),Holieday[date],CONCATENATE("&lt;","=",J_SUBDAY(J_ADDDAY(D233,N233,1),1,1))))=0,J_SUBDAY(J_ADDDAY(D233,N233,1),1,1),IF((N233-NETWORKDAYS.INTL(J_GregorianDate(D233,1),J_GregorianDate(J_SUBDAY(J_ADDDAY(D233,N233,1),1,1),1),16,1)-SUMIFS(Holieday[ok],Holieday[date],CONCATENATE("&gt;","=",D233),Holieday[date],CONCATENATE("&lt;","=",J_SUBDAY(J_ADDDAY(D233,N233,1),1,1)))+SUMIFS(Holieday[Friday],Holieday[date],CONCATENATE("&gt;","=",D233),Holieday[date],CONCATENATE("&lt;","=",J_SUBDAY(J_ADDDAY(D233,N233,1),1,1))))=1,J_SUBDAY(J_ADDDAY(D233,N233+1,1),1,1),IF((N233-NETWORKDAYS.INTL(J_GregorianDate(D233,1),J_GregorianDate(J_SUBDAY(J_ADDDAY(D233,N233,1),1,1),1),16,1)-SUMIFS(Holieday[ok],Holieday[date],CONCATENATE("&gt;","=",D233),Holieday[date],CONCATENATE("&lt;","=",J_SUBDAY(J_ADDDAY(D233,N233,1),1,1)))+SUMIFS(Holieday[Friday],Holieday[date],CONCATENATE("&gt;","=",D233),Holieday[date],CONCATENATE("&lt;","=",J_SUBDAY(J_ADDDAY(D233,N233,1),1,1))))=2,J_SUBDAY(J_ADDDAY(D233,N233+2,1),1,1),J_SUBDAY(J_ADDDAY(D233,N233+3,1),1,1)))))</f>
        <v>1398/06/29</v>
      </c>
      <c r="G233" s="2">
        <f t="shared" si="71"/>
        <v>13980629</v>
      </c>
      <c r="H233" s="109"/>
      <c r="I233" s="110">
        <v>10.1</v>
      </c>
      <c r="J233" s="9">
        <f>j_WEEKDAY(D233,2)</f>
        <v>0</v>
      </c>
      <c r="K233" s="21">
        <f t="shared" si="69"/>
        <v>0</v>
      </c>
      <c r="L233" s="8">
        <f t="shared" si="74"/>
        <v>0</v>
      </c>
      <c r="M233" s="111">
        <v>0</v>
      </c>
      <c r="N233" s="108">
        <v>0</v>
      </c>
      <c r="O233" s="10">
        <f t="shared" si="75"/>
        <v>0</v>
      </c>
      <c r="P233" s="10">
        <f>VALUE(J_normdate(J_ADDDAY($D233,$O233,1)))</f>
        <v>13980630</v>
      </c>
      <c r="Q233" s="9">
        <f t="shared" si="76"/>
        <v>0</v>
      </c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  <c r="BB233" s="7"/>
      <c r="BC233" s="7"/>
      <c r="BD233" s="7"/>
      <c r="BE233" s="7"/>
      <c r="BF233" s="7"/>
      <c r="BG233" s="7"/>
      <c r="BH233" s="7"/>
      <c r="BI233" s="7"/>
      <c r="BJ233" s="7"/>
      <c r="BK233" s="7"/>
      <c r="BL233" s="7"/>
      <c r="BM233" s="7"/>
      <c r="BN233" s="7"/>
      <c r="BO233" s="7"/>
      <c r="BP233" s="7"/>
      <c r="BQ233" s="7"/>
      <c r="BR233" s="7"/>
      <c r="BS233" s="7"/>
      <c r="BT233" s="7"/>
      <c r="BU233" s="7"/>
      <c r="BV233" s="7"/>
      <c r="BW233" s="7"/>
      <c r="BX233" s="7"/>
      <c r="BY233" s="7"/>
      <c r="BZ233" s="7"/>
      <c r="CA233" s="7"/>
      <c r="CB233" s="7"/>
      <c r="CC233" s="7"/>
      <c r="CD233" s="7"/>
      <c r="CE233" s="7"/>
      <c r="CF233" s="7"/>
      <c r="CG233" s="7"/>
      <c r="CH233" s="7"/>
      <c r="CI233" s="7"/>
      <c r="CJ233" s="7"/>
      <c r="CK233" s="7"/>
      <c r="CL233" s="7"/>
      <c r="CM233" s="7"/>
      <c r="CN233" s="7"/>
      <c r="CO233" s="7"/>
      <c r="CP233" s="7"/>
      <c r="CQ233" s="7"/>
      <c r="CR233" s="7"/>
      <c r="CS233" s="7"/>
      <c r="CT233" s="7"/>
      <c r="CU233" s="7"/>
      <c r="CV233" s="7"/>
      <c r="CW233" s="7"/>
      <c r="CX233" s="7"/>
      <c r="CY233" s="7"/>
      <c r="CZ233" s="7"/>
      <c r="DA233" s="7"/>
      <c r="DB233" s="7"/>
      <c r="DC233" s="7"/>
      <c r="DD233" s="7"/>
      <c r="DE233" s="7"/>
      <c r="DF233" s="7"/>
      <c r="DG233" s="7"/>
      <c r="DH233" s="7"/>
      <c r="DI233" s="7"/>
      <c r="DJ233" s="7"/>
      <c r="DK233" s="7"/>
      <c r="DL233" s="7"/>
      <c r="DM233" s="7"/>
      <c r="DN233" s="7"/>
      <c r="DO233" s="7"/>
      <c r="DP233" s="7"/>
      <c r="DQ233" s="7"/>
      <c r="DR233" s="7"/>
      <c r="DS233" s="7"/>
      <c r="DT233" s="7"/>
      <c r="DU233" s="7"/>
      <c r="DV233" s="7"/>
      <c r="DW233" s="7"/>
      <c r="DX233" s="7"/>
      <c r="DY233" s="7"/>
      <c r="DZ233" s="7"/>
      <c r="EA233" s="7"/>
      <c r="EB233" s="7"/>
      <c r="EC233" s="7"/>
      <c r="ED233" s="7"/>
      <c r="EE233" s="7"/>
      <c r="EF233" s="7"/>
      <c r="EG233" s="7"/>
      <c r="EH233" s="7"/>
      <c r="EI233" s="7"/>
      <c r="EJ233" s="7"/>
      <c r="EK233" s="7"/>
      <c r="EL233" s="7"/>
      <c r="EM233" s="7"/>
      <c r="EN233" s="7"/>
      <c r="EO233" s="7"/>
      <c r="EP233" s="7"/>
      <c r="EQ233" s="7"/>
      <c r="ER233" s="7"/>
      <c r="ES233" s="7"/>
      <c r="ET233" s="7"/>
      <c r="EU233" s="7"/>
      <c r="EV233" s="7"/>
      <c r="EW233" s="7"/>
      <c r="EX233" s="7"/>
      <c r="EY233" s="7"/>
      <c r="EZ233" s="7"/>
      <c r="FA233" s="7"/>
      <c r="FB233" s="7"/>
      <c r="FC233" s="7"/>
      <c r="FD233" s="7"/>
      <c r="FE233" s="7"/>
      <c r="FF233" s="7"/>
      <c r="FG233" s="7"/>
      <c r="FH233" s="7"/>
      <c r="FI233" s="7"/>
      <c r="FJ233" s="7"/>
      <c r="FK233" s="7"/>
      <c r="FL233" s="7"/>
      <c r="FM233" s="7"/>
      <c r="FN233" s="7"/>
      <c r="FO233" s="7"/>
      <c r="FP233" s="7"/>
      <c r="FQ233" s="7"/>
      <c r="FR233" s="7"/>
      <c r="FS233" s="7"/>
      <c r="FT233" s="7"/>
      <c r="FU233" s="7"/>
      <c r="FV233" s="7"/>
      <c r="FW233" s="7"/>
      <c r="FX233" s="7"/>
      <c r="FY233" s="7"/>
      <c r="FZ233" s="7"/>
      <c r="GA233" s="7"/>
      <c r="GB233" s="7"/>
      <c r="GC233" s="7"/>
      <c r="GD233" s="7"/>
      <c r="GE233" s="7"/>
      <c r="GF233" s="7"/>
      <c r="GG233" s="7"/>
      <c r="GH233" s="7"/>
      <c r="GI233" s="7"/>
      <c r="GJ233" s="7"/>
      <c r="GK233" s="7"/>
      <c r="GL233" s="7"/>
      <c r="GM233" s="7"/>
      <c r="GN233" s="7"/>
      <c r="GO233" s="7"/>
      <c r="GP233" s="7"/>
      <c r="GQ233" s="7"/>
      <c r="GR233" s="7"/>
      <c r="GS233" s="7"/>
      <c r="GT233" s="7"/>
      <c r="GU233" s="7"/>
      <c r="GV233" s="7"/>
      <c r="GW233" s="7"/>
      <c r="GX233" s="7"/>
      <c r="GY233" s="7"/>
      <c r="GZ233" s="7"/>
      <c r="HA233" s="7"/>
      <c r="HB233" s="7"/>
      <c r="HC233" s="7"/>
      <c r="HD233" s="7"/>
      <c r="HE233" s="7"/>
      <c r="HF233" s="7"/>
      <c r="HG233" s="7"/>
      <c r="HH233" s="7"/>
      <c r="HI233" s="7"/>
      <c r="HJ233" s="7"/>
      <c r="HK233" s="7"/>
      <c r="HL233" s="7"/>
      <c r="HM233" s="7"/>
      <c r="HN233" s="7"/>
      <c r="HO233" s="7"/>
      <c r="HP233" s="7"/>
      <c r="HQ233" s="7"/>
      <c r="HR233" s="7"/>
      <c r="HS233" s="7"/>
      <c r="HT233" s="7"/>
      <c r="HU233" s="7"/>
      <c r="HV233" s="7"/>
      <c r="HW233" s="7"/>
      <c r="HX233" s="7"/>
      <c r="HY233" s="7"/>
      <c r="HZ233" s="7"/>
      <c r="IA233" s="7"/>
      <c r="IB233" s="7"/>
      <c r="IC233" s="7"/>
      <c r="ID233" s="7"/>
      <c r="IE233" s="7"/>
      <c r="IF233" s="7"/>
      <c r="IG233" s="7"/>
      <c r="IH233" s="7"/>
      <c r="II233" s="7"/>
      <c r="IJ233" s="7"/>
      <c r="IK233" s="7"/>
      <c r="IL233" s="7"/>
      <c r="IM233" s="7"/>
      <c r="IN233" s="7"/>
      <c r="IO233" s="7"/>
      <c r="IP233" s="7"/>
      <c r="IQ233" s="7"/>
      <c r="IR233" s="7"/>
      <c r="IS233" s="7"/>
      <c r="IT233" s="7"/>
      <c r="IU233" s="7"/>
      <c r="IV233" s="7"/>
      <c r="IW233" s="7"/>
      <c r="IX233" s="7"/>
      <c r="JA233" s="113"/>
      <c r="JB233" s="113"/>
      <c r="JC233" s="113"/>
      <c r="JD233" s="66">
        <f>SUM((TEXT(JA233,"[M]")/60)*'Income Person-hours'!$D$3,(TEXT(JB233,"[M]")/60)*'Income Person-hours'!$D$4,(TEXT(JC233,"[M]")/60)*'Income Person-hours'!$D$5)</f>
        <v>0</v>
      </c>
    </row>
    <row r="234" spans="1:264" s="11" customFormat="1" ht="11.25" hidden="1">
      <c r="A234" s="30">
        <v>10.119999999999999</v>
      </c>
      <c r="B234" s="116"/>
      <c r="C234" s="107"/>
      <c r="D234" s="12" t="str">
        <f>IF(OR(j_WEEKDAY(J_ADDDAY(VLOOKUP(I234,A:F,6,FALSE),H234,1),0)=6,SUMIFS(Holieday[ok],Holieday[date],J_ADDDAY(VLOOKUP(I234,A:F,6,FALSE),H234,1)))=FALSE(),J_ADDDAY(VLOOKUP(I234,A:F,6,FALSE),H234,1),IF(OR(j_WEEKDAY(J_ADDDAY(VLOOKUP(I234,A:F,6,FALSE),H234+1,1),0)=6,SUMIFS(Holieday[ok],Holieday[date],J_ADDDAY(VLOOKUP(I234,A:F,6,FALSE),H234+1,1)))=FALSE(),J_ADDDAY(VLOOKUP(I234,A:F,6,FALSE),H234+1,1),IF(OR(j_WEEKDAY(J_ADDDAY(VLOOKUP(I234,A:F,6,FALSE),H234+2,1),0)=6,SUMIFS(Holieday[ok],Holieday[date],J_ADDDAY(VLOOKUP(I234,A:F,6,FALSE),H234+2,1)))=FALSE(),J_ADDDAY(VLOOKUP(I234,A:F,6,FALSE),H234+2,1),IF(OR(j_WEEKDAY(J_ADDDAY(VLOOKUP(I234,A:F,6,FALSE),H234+3,1),0)=6,SUMIFS(Holieday[ok],Holieday[date],J_ADDDAY(VLOOKUP(I234,A:F,6,FALSE),H234+3,1)))=FALSE(),J_ADDDAY(VLOOKUP(I234,A:F,6,FALSE),H234+3,1),IF(OR(j_WEEKDAY(J_ADDDAY(VLOOKUP(I234,A:F,6,FALSE),H234+4,1),0)=6,SUMIFS(Holieday[ok],Holieday[date],J_ADDDAY(VLOOKUP(I234,A:F,6,FALSE),H234+4,1)))=FALSE(),J_ADDDAY(VLOOKUP(I234,A:F,6,FALSE),H234+4,1),J_ADDDAY(VLOOKUP(I234,A:F,6,FALSE),H234+5,1))))))</f>
        <v>1398/06/30</v>
      </c>
      <c r="E234" s="1">
        <f t="shared" si="70"/>
        <v>13980630</v>
      </c>
      <c r="F234" s="12" t="str">
        <f>IF(N234=0,J_SUBDAY(D234,1,1),IF((N234-NETWORKDAYS.INTL(J_GregorianDate(D234,1),J_GregorianDate(J_SUBDAY(J_ADDDAY(D234,N234,1),1,1),1),16,1)-SUMIFS(Holieday[ok],Holieday[date],CONCATENATE("&gt;","=",D234),Holieday[date],CONCATENATE("&lt;","=",J_SUBDAY(J_ADDDAY(D234,N234,1),1,1)))+SUMIFS(Holieday[Friday],Holieday[date],CONCATENATE("&gt;","=",D234),Holieday[date],CONCATENATE("&lt;","=",J_SUBDAY(J_ADDDAY(D234,N234,1),1,1))))=0,J_SUBDAY(J_ADDDAY(D234,N234,1),1,1),IF((N234-NETWORKDAYS.INTL(J_GregorianDate(D234,1),J_GregorianDate(J_SUBDAY(J_ADDDAY(D234,N234,1),1,1),1),16,1)-SUMIFS(Holieday[ok],Holieday[date],CONCATENATE("&gt;","=",D234),Holieday[date],CONCATENATE("&lt;","=",J_SUBDAY(J_ADDDAY(D234,N234,1),1,1)))+SUMIFS(Holieday[Friday],Holieday[date],CONCATENATE("&gt;","=",D234),Holieday[date],CONCATENATE("&lt;","=",J_SUBDAY(J_ADDDAY(D234,N234,1),1,1))))=1,J_SUBDAY(J_ADDDAY(D234,N234+1,1),1,1),IF((N234-NETWORKDAYS.INTL(J_GregorianDate(D234,1),J_GregorianDate(J_SUBDAY(J_ADDDAY(D234,N234,1),1,1),1),16,1)-SUMIFS(Holieday[ok],Holieday[date],CONCATENATE("&gt;","=",D234),Holieday[date],CONCATENATE("&lt;","=",J_SUBDAY(J_ADDDAY(D234,N234,1),1,1)))+SUMIFS(Holieday[Friday],Holieday[date],CONCATENATE("&gt;","=",D234),Holieday[date],CONCATENATE("&lt;","=",J_SUBDAY(J_ADDDAY(D234,N234,1),1,1))))=2,J_SUBDAY(J_ADDDAY(D234,N234+2,1),1,1),J_SUBDAY(J_ADDDAY(D234,N234+3,1),1,1)))))</f>
        <v>1398/06/29</v>
      </c>
      <c r="G234" s="2">
        <f t="shared" si="71"/>
        <v>13980629</v>
      </c>
      <c r="H234" s="109"/>
      <c r="I234" s="110">
        <v>10.1</v>
      </c>
      <c r="J234" s="9">
        <f>j_WEEKDAY(D234,2)</f>
        <v>0</v>
      </c>
      <c r="K234" s="21">
        <f t="shared" si="69"/>
        <v>0</v>
      </c>
      <c r="L234" s="8">
        <f t="shared" si="74"/>
        <v>0</v>
      </c>
      <c r="M234" s="111">
        <v>0</v>
      </c>
      <c r="N234" s="108">
        <v>0</v>
      </c>
      <c r="O234" s="10">
        <f t="shared" si="75"/>
        <v>0</v>
      </c>
      <c r="P234" s="10">
        <f>VALUE(J_normdate(J_ADDDAY($D234,$O234,1)))</f>
        <v>13980630</v>
      </c>
      <c r="Q234" s="9">
        <f t="shared" si="76"/>
        <v>0</v>
      </c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  <c r="AY234" s="7"/>
      <c r="AZ234" s="7"/>
      <c r="BA234" s="7"/>
      <c r="BB234" s="7"/>
      <c r="BC234" s="7"/>
      <c r="BD234" s="7"/>
      <c r="BE234" s="7"/>
      <c r="BF234" s="7"/>
      <c r="BG234" s="7"/>
      <c r="BH234" s="7"/>
      <c r="BI234" s="7"/>
      <c r="BJ234" s="7"/>
      <c r="BK234" s="7"/>
      <c r="BL234" s="7"/>
      <c r="BM234" s="7"/>
      <c r="BN234" s="7"/>
      <c r="BO234" s="7"/>
      <c r="BP234" s="7"/>
      <c r="BQ234" s="7"/>
      <c r="BR234" s="7"/>
      <c r="BS234" s="7"/>
      <c r="BT234" s="7"/>
      <c r="BU234" s="7"/>
      <c r="BV234" s="7"/>
      <c r="BW234" s="7"/>
      <c r="BX234" s="7"/>
      <c r="BY234" s="7"/>
      <c r="BZ234" s="7"/>
      <c r="CA234" s="7"/>
      <c r="CB234" s="7"/>
      <c r="CC234" s="7"/>
      <c r="CD234" s="7"/>
      <c r="CE234" s="7"/>
      <c r="CF234" s="7"/>
      <c r="CG234" s="7"/>
      <c r="CH234" s="7"/>
      <c r="CI234" s="7"/>
      <c r="CJ234" s="7"/>
      <c r="CK234" s="7"/>
      <c r="CL234" s="7"/>
      <c r="CM234" s="7"/>
      <c r="CN234" s="7"/>
      <c r="CO234" s="7"/>
      <c r="CP234" s="7"/>
      <c r="CQ234" s="7"/>
      <c r="CR234" s="7"/>
      <c r="CS234" s="7"/>
      <c r="CT234" s="7"/>
      <c r="CU234" s="7"/>
      <c r="CV234" s="7"/>
      <c r="CW234" s="7"/>
      <c r="CX234" s="7"/>
      <c r="CY234" s="7"/>
      <c r="CZ234" s="7"/>
      <c r="DA234" s="7"/>
      <c r="DB234" s="7"/>
      <c r="DC234" s="7"/>
      <c r="DD234" s="7"/>
      <c r="DE234" s="7"/>
      <c r="DF234" s="7"/>
      <c r="DG234" s="7"/>
      <c r="DH234" s="7"/>
      <c r="DI234" s="7"/>
      <c r="DJ234" s="7"/>
      <c r="DK234" s="7"/>
      <c r="DL234" s="7"/>
      <c r="DM234" s="7"/>
      <c r="DN234" s="7"/>
      <c r="DO234" s="7"/>
      <c r="DP234" s="7"/>
      <c r="DQ234" s="7"/>
      <c r="DR234" s="7"/>
      <c r="DS234" s="7"/>
      <c r="DT234" s="7"/>
      <c r="DU234" s="7"/>
      <c r="DV234" s="7"/>
      <c r="DW234" s="7"/>
      <c r="DX234" s="7"/>
      <c r="DY234" s="7"/>
      <c r="DZ234" s="7"/>
      <c r="EA234" s="7"/>
      <c r="EB234" s="7"/>
      <c r="EC234" s="7"/>
      <c r="ED234" s="7"/>
      <c r="EE234" s="7"/>
      <c r="EF234" s="7"/>
      <c r="EG234" s="7"/>
      <c r="EH234" s="7"/>
      <c r="EI234" s="7"/>
      <c r="EJ234" s="7"/>
      <c r="EK234" s="7"/>
      <c r="EL234" s="7"/>
      <c r="EM234" s="7"/>
      <c r="EN234" s="7"/>
      <c r="EO234" s="7"/>
      <c r="EP234" s="7"/>
      <c r="EQ234" s="7"/>
      <c r="ER234" s="7"/>
      <c r="ES234" s="7"/>
      <c r="ET234" s="7"/>
      <c r="EU234" s="7"/>
      <c r="EV234" s="7"/>
      <c r="EW234" s="7"/>
      <c r="EX234" s="7"/>
      <c r="EY234" s="7"/>
      <c r="EZ234" s="7"/>
      <c r="FA234" s="7"/>
      <c r="FB234" s="7"/>
      <c r="FC234" s="7"/>
      <c r="FD234" s="7"/>
      <c r="FE234" s="7"/>
      <c r="FF234" s="7"/>
      <c r="FG234" s="7"/>
      <c r="FH234" s="7"/>
      <c r="FI234" s="7"/>
      <c r="FJ234" s="7"/>
      <c r="FK234" s="7"/>
      <c r="FL234" s="7"/>
      <c r="FM234" s="7"/>
      <c r="FN234" s="7"/>
      <c r="FO234" s="7"/>
      <c r="FP234" s="7"/>
      <c r="FQ234" s="7"/>
      <c r="FR234" s="7"/>
      <c r="FS234" s="7"/>
      <c r="FT234" s="7"/>
      <c r="FU234" s="7"/>
      <c r="FV234" s="7"/>
      <c r="FW234" s="7"/>
      <c r="FX234" s="7"/>
      <c r="FY234" s="7"/>
      <c r="FZ234" s="7"/>
      <c r="GA234" s="7"/>
      <c r="GB234" s="7"/>
      <c r="GC234" s="7"/>
      <c r="GD234" s="7"/>
      <c r="GE234" s="7"/>
      <c r="GF234" s="7"/>
      <c r="GG234" s="7"/>
      <c r="GH234" s="7"/>
      <c r="GI234" s="7"/>
      <c r="GJ234" s="7"/>
      <c r="GK234" s="7"/>
      <c r="GL234" s="7"/>
      <c r="GM234" s="7"/>
      <c r="GN234" s="7"/>
      <c r="GO234" s="7"/>
      <c r="GP234" s="7"/>
      <c r="GQ234" s="7"/>
      <c r="GR234" s="7"/>
      <c r="GS234" s="7"/>
      <c r="GT234" s="7"/>
      <c r="GU234" s="7"/>
      <c r="GV234" s="7"/>
      <c r="GW234" s="7"/>
      <c r="GX234" s="7"/>
      <c r="GY234" s="7"/>
      <c r="GZ234" s="7"/>
      <c r="HA234" s="7"/>
      <c r="HB234" s="7"/>
      <c r="HC234" s="7"/>
      <c r="HD234" s="7"/>
      <c r="HE234" s="7"/>
      <c r="HF234" s="7"/>
      <c r="HG234" s="7"/>
      <c r="HH234" s="7"/>
      <c r="HI234" s="7"/>
      <c r="HJ234" s="7"/>
      <c r="HK234" s="7"/>
      <c r="HL234" s="7"/>
      <c r="HM234" s="7"/>
      <c r="HN234" s="7"/>
      <c r="HO234" s="7"/>
      <c r="HP234" s="7"/>
      <c r="HQ234" s="7"/>
      <c r="HR234" s="7"/>
      <c r="HS234" s="7"/>
      <c r="HT234" s="7"/>
      <c r="HU234" s="7"/>
      <c r="HV234" s="7"/>
      <c r="HW234" s="7"/>
      <c r="HX234" s="7"/>
      <c r="HY234" s="7"/>
      <c r="HZ234" s="7"/>
      <c r="IA234" s="7"/>
      <c r="IB234" s="7"/>
      <c r="IC234" s="7"/>
      <c r="ID234" s="7"/>
      <c r="IE234" s="7"/>
      <c r="IF234" s="7"/>
      <c r="IG234" s="7"/>
      <c r="IH234" s="7"/>
      <c r="II234" s="7"/>
      <c r="IJ234" s="7"/>
      <c r="IK234" s="7"/>
      <c r="IL234" s="7"/>
      <c r="IM234" s="7"/>
      <c r="IN234" s="7"/>
      <c r="IO234" s="7"/>
      <c r="IP234" s="7"/>
      <c r="IQ234" s="7"/>
      <c r="IR234" s="7"/>
      <c r="IS234" s="7"/>
      <c r="IT234" s="7"/>
      <c r="IU234" s="7"/>
      <c r="IV234" s="7"/>
      <c r="IW234" s="7"/>
      <c r="IX234" s="7"/>
      <c r="JA234" s="113"/>
      <c r="JB234" s="113"/>
      <c r="JC234" s="113"/>
      <c r="JD234" s="66">
        <f>SUM((TEXT(JA234,"[M]")/60)*'Income Person-hours'!$D$3,(TEXT(JB234,"[M]")/60)*'Income Person-hours'!$D$4,(TEXT(JC234,"[M]")/60)*'Income Person-hours'!$D$5)</f>
        <v>0</v>
      </c>
    </row>
    <row r="235" spans="1:264" s="11" customFormat="1" ht="11.25" hidden="1">
      <c r="A235" s="30">
        <v>10.130000000000001</v>
      </c>
      <c r="B235" s="116"/>
      <c r="C235" s="107"/>
      <c r="D235" s="12" t="str">
        <f>IF(OR(j_WEEKDAY(J_ADDDAY(VLOOKUP(I235,A:F,6,FALSE),H235,1),0)=6,SUMIFS(Holieday[ok],Holieday[date],J_ADDDAY(VLOOKUP(I235,A:F,6,FALSE),H235,1)))=FALSE(),J_ADDDAY(VLOOKUP(I235,A:F,6,FALSE),H235,1),IF(OR(j_WEEKDAY(J_ADDDAY(VLOOKUP(I235,A:F,6,FALSE),H235+1,1),0)=6,SUMIFS(Holieday[ok],Holieday[date],J_ADDDAY(VLOOKUP(I235,A:F,6,FALSE),H235+1,1)))=FALSE(),J_ADDDAY(VLOOKUP(I235,A:F,6,FALSE),H235+1,1),IF(OR(j_WEEKDAY(J_ADDDAY(VLOOKUP(I235,A:F,6,FALSE),H235+2,1),0)=6,SUMIFS(Holieday[ok],Holieday[date],J_ADDDAY(VLOOKUP(I235,A:F,6,FALSE),H235+2,1)))=FALSE(),J_ADDDAY(VLOOKUP(I235,A:F,6,FALSE),H235+2,1),IF(OR(j_WEEKDAY(J_ADDDAY(VLOOKUP(I235,A:F,6,FALSE),H235+3,1),0)=6,SUMIFS(Holieday[ok],Holieday[date],J_ADDDAY(VLOOKUP(I235,A:F,6,FALSE),H235+3,1)))=FALSE(),J_ADDDAY(VLOOKUP(I235,A:F,6,FALSE),H235+3,1),IF(OR(j_WEEKDAY(J_ADDDAY(VLOOKUP(I235,A:F,6,FALSE),H235+4,1),0)=6,SUMIFS(Holieday[ok],Holieday[date],J_ADDDAY(VLOOKUP(I235,A:F,6,FALSE),H235+4,1)))=FALSE(),J_ADDDAY(VLOOKUP(I235,A:F,6,FALSE),H235+4,1),J_ADDDAY(VLOOKUP(I235,A:F,6,FALSE),H235+5,1))))))</f>
        <v>1398/06/30</v>
      </c>
      <c r="E235" s="1">
        <f t="shared" si="70"/>
        <v>13980630</v>
      </c>
      <c r="F235" s="12" t="str">
        <f>IF(N235=0,J_SUBDAY(D235,1,1),IF((N235-NETWORKDAYS.INTL(J_GregorianDate(D235,1),J_GregorianDate(J_SUBDAY(J_ADDDAY(D235,N235,1),1,1),1),16,1)-SUMIFS(Holieday[ok],Holieday[date],CONCATENATE("&gt;","=",D235),Holieday[date],CONCATENATE("&lt;","=",J_SUBDAY(J_ADDDAY(D235,N235,1),1,1)))+SUMIFS(Holieday[Friday],Holieday[date],CONCATENATE("&gt;","=",D235),Holieday[date],CONCATENATE("&lt;","=",J_SUBDAY(J_ADDDAY(D235,N235,1),1,1))))=0,J_SUBDAY(J_ADDDAY(D235,N235,1),1,1),IF((N235-NETWORKDAYS.INTL(J_GregorianDate(D235,1),J_GregorianDate(J_SUBDAY(J_ADDDAY(D235,N235,1),1,1),1),16,1)-SUMIFS(Holieday[ok],Holieday[date],CONCATENATE("&gt;","=",D235),Holieday[date],CONCATENATE("&lt;","=",J_SUBDAY(J_ADDDAY(D235,N235,1),1,1)))+SUMIFS(Holieday[Friday],Holieday[date],CONCATENATE("&gt;","=",D235),Holieday[date],CONCATENATE("&lt;","=",J_SUBDAY(J_ADDDAY(D235,N235,1),1,1))))=1,J_SUBDAY(J_ADDDAY(D235,N235+1,1),1,1),IF((N235-NETWORKDAYS.INTL(J_GregorianDate(D235,1),J_GregorianDate(J_SUBDAY(J_ADDDAY(D235,N235,1),1,1),1),16,1)-SUMIFS(Holieday[ok],Holieday[date],CONCATENATE("&gt;","=",D235),Holieday[date],CONCATENATE("&lt;","=",J_SUBDAY(J_ADDDAY(D235,N235,1),1,1)))+SUMIFS(Holieday[Friday],Holieday[date],CONCATENATE("&gt;","=",D235),Holieday[date],CONCATENATE("&lt;","=",J_SUBDAY(J_ADDDAY(D235,N235,1),1,1))))=2,J_SUBDAY(J_ADDDAY(D235,N235+2,1),1,1),J_SUBDAY(J_ADDDAY(D235,N235+3,1),1,1)))))</f>
        <v>1398/06/29</v>
      </c>
      <c r="G235" s="2">
        <f t="shared" si="71"/>
        <v>13980629</v>
      </c>
      <c r="H235" s="109"/>
      <c r="I235" s="110">
        <v>10.1</v>
      </c>
      <c r="J235" s="9">
        <f>j_WEEKDAY(D235,2)</f>
        <v>0</v>
      </c>
      <c r="K235" s="21">
        <f t="shared" si="69"/>
        <v>0</v>
      </c>
      <c r="L235" s="8">
        <f t="shared" si="74"/>
        <v>0</v>
      </c>
      <c r="M235" s="111">
        <v>0</v>
      </c>
      <c r="N235" s="108">
        <v>0</v>
      </c>
      <c r="O235" s="10">
        <f t="shared" si="75"/>
        <v>0</v>
      </c>
      <c r="P235" s="10">
        <f>VALUE(J_normdate(J_ADDDAY($D235,$O235,1)))</f>
        <v>13980630</v>
      </c>
      <c r="Q235" s="9">
        <f t="shared" si="76"/>
        <v>0</v>
      </c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  <c r="AY235" s="7"/>
      <c r="AZ235" s="7"/>
      <c r="BA235" s="7"/>
      <c r="BB235" s="7"/>
      <c r="BC235" s="7"/>
      <c r="BD235" s="7"/>
      <c r="BE235" s="7"/>
      <c r="BF235" s="7"/>
      <c r="BG235" s="7"/>
      <c r="BH235" s="7"/>
      <c r="BI235" s="7"/>
      <c r="BJ235" s="7"/>
      <c r="BK235" s="7"/>
      <c r="BL235" s="7"/>
      <c r="BM235" s="7"/>
      <c r="BN235" s="7"/>
      <c r="BO235" s="7"/>
      <c r="BP235" s="7"/>
      <c r="BQ235" s="7"/>
      <c r="BR235" s="7"/>
      <c r="BS235" s="7"/>
      <c r="BT235" s="7"/>
      <c r="BU235" s="7"/>
      <c r="BV235" s="7"/>
      <c r="BW235" s="7"/>
      <c r="BX235" s="7"/>
      <c r="BY235" s="7"/>
      <c r="BZ235" s="7"/>
      <c r="CA235" s="7"/>
      <c r="CB235" s="7"/>
      <c r="CC235" s="7"/>
      <c r="CD235" s="7"/>
      <c r="CE235" s="7"/>
      <c r="CF235" s="7"/>
      <c r="CG235" s="7"/>
      <c r="CH235" s="7"/>
      <c r="CI235" s="7"/>
      <c r="CJ235" s="7"/>
      <c r="CK235" s="7"/>
      <c r="CL235" s="7"/>
      <c r="CM235" s="7"/>
      <c r="CN235" s="7"/>
      <c r="CO235" s="7"/>
      <c r="CP235" s="7"/>
      <c r="CQ235" s="7"/>
      <c r="CR235" s="7"/>
      <c r="CS235" s="7"/>
      <c r="CT235" s="7"/>
      <c r="CU235" s="7"/>
      <c r="CV235" s="7"/>
      <c r="CW235" s="7"/>
      <c r="CX235" s="7"/>
      <c r="CY235" s="7"/>
      <c r="CZ235" s="7"/>
      <c r="DA235" s="7"/>
      <c r="DB235" s="7"/>
      <c r="DC235" s="7"/>
      <c r="DD235" s="7"/>
      <c r="DE235" s="7"/>
      <c r="DF235" s="7"/>
      <c r="DG235" s="7"/>
      <c r="DH235" s="7"/>
      <c r="DI235" s="7"/>
      <c r="DJ235" s="7"/>
      <c r="DK235" s="7"/>
      <c r="DL235" s="7"/>
      <c r="DM235" s="7"/>
      <c r="DN235" s="7"/>
      <c r="DO235" s="7"/>
      <c r="DP235" s="7"/>
      <c r="DQ235" s="7"/>
      <c r="DR235" s="7"/>
      <c r="DS235" s="7"/>
      <c r="DT235" s="7"/>
      <c r="DU235" s="7"/>
      <c r="DV235" s="7"/>
      <c r="DW235" s="7"/>
      <c r="DX235" s="7"/>
      <c r="DY235" s="7"/>
      <c r="DZ235" s="7"/>
      <c r="EA235" s="7"/>
      <c r="EB235" s="7"/>
      <c r="EC235" s="7"/>
      <c r="ED235" s="7"/>
      <c r="EE235" s="7"/>
      <c r="EF235" s="7"/>
      <c r="EG235" s="7"/>
      <c r="EH235" s="7"/>
      <c r="EI235" s="7"/>
      <c r="EJ235" s="7"/>
      <c r="EK235" s="7"/>
      <c r="EL235" s="7"/>
      <c r="EM235" s="7"/>
      <c r="EN235" s="7"/>
      <c r="EO235" s="7"/>
      <c r="EP235" s="7"/>
      <c r="EQ235" s="7"/>
      <c r="ER235" s="7"/>
      <c r="ES235" s="7"/>
      <c r="ET235" s="7"/>
      <c r="EU235" s="7"/>
      <c r="EV235" s="7"/>
      <c r="EW235" s="7"/>
      <c r="EX235" s="7"/>
      <c r="EY235" s="7"/>
      <c r="EZ235" s="7"/>
      <c r="FA235" s="7"/>
      <c r="FB235" s="7"/>
      <c r="FC235" s="7"/>
      <c r="FD235" s="7"/>
      <c r="FE235" s="7"/>
      <c r="FF235" s="7"/>
      <c r="FG235" s="7"/>
      <c r="FH235" s="7"/>
      <c r="FI235" s="7"/>
      <c r="FJ235" s="7"/>
      <c r="FK235" s="7"/>
      <c r="FL235" s="7"/>
      <c r="FM235" s="7"/>
      <c r="FN235" s="7"/>
      <c r="FO235" s="7"/>
      <c r="FP235" s="7"/>
      <c r="FQ235" s="7"/>
      <c r="FR235" s="7"/>
      <c r="FS235" s="7"/>
      <c r="FT235" s="7"/>
      <c r="FU235" s="7"/>
      <c r="FV235" s="7"/>
      <c r="FW235" s="7"/>
      <c r="FX235" s="7"/>
      <c r="FY235" s="7"/>
      <c r="FZ235" s="7"/>
      <c r="GA235" s="7"/>
      <c r="GB235" s="7"/>
      <c r="GC235" s="7"/>
      <c r="GD235" s="7"/>
      <c r="GE235" s="7"/>
      <c r="GF235" s="7"/>
      <c r="GG235" s="7"/>
      <c r="GH235" s="7"/>
      <c r="GI235" s="7"/>
      <c r="GJ235" s="7"/>
      <c r="GK235" s="7"/>
      <c r="GL235" s="7"/>
      <c r="GM235" s="7"/>
      <c r="GN235" s="7"/>
      <c r="GO235" s="7"/>
      <c r="GP235" s="7"/>
      <c r="GQ235" s="7"/>
      <c r="GR235" s="7"/>
      <c r="GS235" s="7"/>
      <c r="GT235" s="7"/>
      <c r="GU235" s="7"/>
      <c r="GV235" s="7"/>
      <c r="GW235" s="7"/>
      <c r="GX235" s="7"/>
      <c r="GY235" s="7"/>
      <c r="GZ235" s="7"/>
      <c r="HA235" s="7"/>
      <c r="HB235" s="7"/>
      <c r="HC235" s="7"/>
      <c r="HD235" s="7"/>
      <c r="HE235" s="7"/>
      <c r="HF235" s="7"/>
      <c r="HG235" s="7"/>
      <c r="HH235" s="7"/>
      <c r="HI235" s="7"/>
      <c r="HJ235" s="7"/>
      <c r="HK235" s="7"/>
      <c r="HL235" s="7"/>
      <c r="HM235" s="7"/>
      <c r="HN235" s="7"/>
      <c r="HO235" s="7"/>
      <c r="HP235" s="7"/>
      <c r="HQ235" s="7"/>
      <c r="HR235" s="7"/>
      <c r="HS235" s="7"/>
      <c r="HT235" s="7"/>
      <c r="HU235" s="7"/>
      <c r="HV235" s="7"/>
      <c r="HW235" s="7"/>
      <c r="HX235" s="7"/>
      <c r="HY235" s="7"/>
      <c r="HZ235" s="7"/>
      <c r="IA235" s="7"/>
      <c r="IB235" s="7"/>
      <c r="IC235" s="7"/>
      <c r="ID235" s="7"/>
      <c r="IE235" s="7"/>
      <c r="IF235" s="7"/>
      <c r="IG235" s="7"/>
      <c r="IH235" s="7"/>
      <c r="II235" s="7"/>
      <c r="IJ235" s="7"/>
      <c r="IK235" s="7"/>
      <c r="IL235" s="7"/>
      <c r="IM235" s="7"/>
      <c r="IN235" s="7"/>
      <c r="IO235" s="7"/>
      <c r="IP235" s="7"/>
      <c r="IQ235" s="7"/>
      <c r="IR235" s="7"/>
      <c r="IS235" s="7"/>
      <c r="IT235" s="7"/>
      <c r="IU235" s="7"/>
      <c r="IV235" s="7"/>
      <c r="IW235" s="7"/>
      <c r="IX235" s="7"/>
      <c r="JA235" s="113"/>
      <c r="JB235" s="113"/>
      <c r="JC235" s="113"/>
      <c r="JD235" s="66">
        <f>SUM((TEXT(JA235,"[M]")/60)*'Income Person-hours'!$D$3,(TEXT(JB235,"[M]")/60)*'Income Person-hours'!$D$4,(TEXT(JC235,"[M]")/60)*'Income Person-hours'!$D$5)</f>
        <v>0</v>
      </c>
    </row>
    <row r="236" spans="1:264" s="11" customFormat="1" ht="11.25" hidden="1">
      <c r="A236" s="30">
        <v>10.14</v>
      </c>
      <c r="B236" s="116"/>
      <c r="C236" s="107"/>
      <c r="D236" s="12" t="str">
        <f>IF(OR(j_WEEKDAY(J_ADDDAY(VLOOKUP(I236,A:F,6,FALSE),H236,1),0)=6,SUMIFS(Holieday[ok],Holieday[date],J_ADDDAY(VLOOKUP(I236,A:F,6,FALSE),H236,1)))=FALSE(),J_ADDDAY(VLOOKUP(I236,A:F,6,FALSE),H236,1),IF(OR(j_WEEKDAY(J_ADDDAY(VLOOKUP(I236,A:F,6,FALSE),H236+1,1),0)=6,SUMIFS(Holieday[ok],Holieday[date],J_ADDDAY(VLOOKUP(I236,A:F,6,FALSE),H236+1,1)))=FALSE(),J_ADDDAY(VLOOKUP(I236,A:F,6,FALSE),H236+1,1),IF(OR(j_WEEKDAY(J_ADDDAY(VLOOKUP(I236,A:F,6,FALSE),H236+2,1),0)=6,SUMIFS(Holieday[ok],Holieday[date],J_ADDDAY(VLOOKUP(I236,A:F,6,FALSE),H236+2,1)))=FALSE(),J_ADDDAY(VLOOKUP(I236,A:F,6,FALSE),H236+2,1),IF(OR(j_WEEKDAY(J_ADDDAY(VLOOKUP(I236,A:F,6,FALSE),H236+3,1),0)=6,SUMIFS(Holieday[ok],Holieday[date],J_ADDDAY(VLOOKUP(I236,A:F,6,FALSE),H236+3,1)))=FALSE(),J_ADDDAY(VLOOKUP(I236,A:F,6,FALSE),H236+3,1),IF(OR(j_WEEKDAY(J_ADDDAY(VLOOKUP(I236,A:F,6,FALSE),H236+4,1),0)=6,SUMIFS(Holieday[ok],Holieday[date],J_ADDDAY(VLOOKUP(I236,A:F,6,FALSE),H236+4,1)))=FALSE(),J_ADDDAY(VLOOKUP(I236,A:F,6,FALSE),H236+4,1),J_ADDDAY(VLOOKUP(I236,A:F,6,FALSE),H236+5,1))))))</f>
        <v>1398/06/30</v>
      </c>
      <c r="E236" s="1">
        <f t="shared" si="70"/>
        <v>13980630</v>
      </c>
      <c r="F236" s="12" t="str">
        <f>IF(N236=0,J_SUBDAY(D236,1,1),IF((N236-NETWORKDAYS.INTL(J_GregorianDate(D236,1),J_GregorianDate(J_SUBDAY(J_ADDDAY(D236,N236,1),1,1),1),16,1)-SUMIFS(Holieday[ok],Holieday[date],CONCATENATE("&gt;","=",D236),Holieday[date],CONCATENATE("&lt;","=",J_SUBDAY(J_ADDDAY(D236,N236,1),1,1)))+SUMIFS(Holieday[Friday],Holieday[date],CONCATENATE("&gt;","=",D236),Holieday[date],CONCATENATE("&lt;","=",J_SUBDAY(J_ADDDAY(D236,N236,1),1,1))))=0,J_SUBDAY(J_ADDDAY(D236,N236,1),1,1),IF((N236-NETWORKDAYS.INTL(J_GregorianDate(D236,1),J_GregorianDate(J_SUBDAY(J_ADDDAY(D236,N236,1),1,1),1),16,1)-SUMIFS(Holieday[ok],Holieday[date],CONCATENATE("&gt;","=",D236),Holieday[date],CONCATENATE("&lt;","=",J_SUBDAY(J_ADDDAY(D236,N236,1),1,1)))+SUMIFS(Holieday[Friday],Holieday[date],CONCATENATE("&gt;","=",D236),Holieday[date],CONCATENATE("&lt;","=",J_SUBDAY(J_ADDDAY(D236,N236,1),1,1))))=1,J_SUBDAY(J_ADDDAY(D236,N236+1,1),1,1),IF((N236-NETWORKDAYS.INTL(J_GregorianDate(D236,1),J_GregorianDate(J_SUBDAY(J_ADDDAY(D236,N236,1),1,1),1),16,1)-SUMIFS(Holieday[ok],Holieday[date],CONCATENATE("&gt;","=",D236),Holieday[date],CONCATENATE("&lt;","=",J_SUBDAY(J_ADDDAY(D236,N236,1),1,1)))+SUMIFS(Holieday[Friday],Holieday[date],CONCATENATE("&gt;","=",D236),Holieday[date],CONCATENATE("&lt;","=",J_SUBDAY(J_ADDDAY(D236,N236,1),1,1))))=2,J_SUBDAY(J_ADDDAY(D236,N236+2,1),1,1),J_SUBDAY(J_ADDDAY(D236,N236+3,1),1,1)))))</f>
        <v>1398/06/29</v>
      </c>
      <c r="G236" s="2">
        <f t="shared" si="71"/>
        <v>13980629</v>
      </c>
      <c r="H236" s="109"/>
      <c r="I236" s="110">
        <v>10.1</v>
      </c>
      <c r="J236" s="9">
        <f>j_WEEKDAY(D236,2)</f>
        <v>0</v>
      </c>
      <c r="K236" s="21">
        <f t="shared" si="69"/>
        <v>0</v>
      </c>
      <c r="L236" s="8">
        <f t="shared" si="74"/>
        <v>0</v>
      </c>
      <c r="M236" s="111">
        <v>0</v>
      </c>
      <c r="N236" s="108">
        <v>0</v>
      </c>
      <c r="O236" s="10">
        <f t="shared" si="75"/>
        <v>0</v>
      </c>
      <c r="P236" s="10">
        <f>VALUE(J_normdate(J_ADDDAY($D236,$O236,1)))</f>
        <v>13980630</v>
      </c>
      <c r="Q236" s="9">
        <f t="shared" si="76"/>
        <v>0</v>
      </c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  <c r="BB236" s="7"/>
      <c r="BC236" s="7"/>
      <c r="BD236" s="7"/>
      <c r="BE236" s="7"/>
      <c r="BF236" s="7"/>
      <c r="BG236" s="7"/>
      <c r="BH236" s="7"/>
      <c r="BI236" s="7"/>
      <c r="BJ236" s="7"/>
      <c r="BK236" s="7"/>
      <c r="BL236" s="7"/>
      <c r="BM236" s="7"/>
      <c r="BN236" s="7"/>
      <c r="BO236" s="7"/>
      <c r="BP236" s="7"/>
      <c r="BQ236" s="7"/>
      <c r="BR236" s="7"/>
      <c r="BS236" s="7"/>
      <c r="BT236" s="7"/>
      <c r="BU236" s="7"/>
      <c r="BV236" s="7"/>
      <c r="BW236" s="7"/>
      <c r="BX236" s="7"/>
      <c r="BY236" s="7"/>
      <c r="BZ236" s="7"/>
      <c r="CA236" s="7"/>
      <c r="CB236" s="7"/>
      <c r="CC236" s="7"/>
      <c r="CD236" s="7"/>
      <c r="CE236" s="7"/>
      <c r="CF236" s="7"/>
      <c r="CG236" s="7"/>
      <c r="CH236" s="7"/>
      <c r="CI236" s="7"/>
      <c r="CJ236" s="7"/>
      <c r="CK236" s="7"/>
      <c r="CL236" s="7"/>
      <c r="CM236" s="7"/>
      <c r="CN236" s="7"/>
      <c r="CO236" s="7"/>
      <c r="CP236" s="7"/>
      <c r="CQ236" s="7"/>
      <c r="CR236" s="7"/>
      <c r="CS236" s="7"/>
      <c r="CT236" s="7"/>
      <c r="CU236" s="7"/>
      <c r="CV236" s="7"/>
      <c r="CW236" s="7"/>
      <c r="CX236" s="7"/>
      <c r="CY236" s="7"/>
      <c r="CZ236" s="7"/>
      <c r="DA236" s="7"/>
      <c r="DB236" s="7"/>
      <c r="DC236" s="7"/>
      <c r="DD236" s="7"/>
      <c r="DE236" s="7"/>
      <c r="DF236" s="7"/>
      <c r="DG236" s="7"/>
      <c r="DH236" s="7"/>
      <c r="DI236" s="7"/>
      <c r="DJ236" s="7"/>
      <c r="DK236" s="7"/>
      <c r="DL236" s="7"/>
      <c r="DM236" s="7"/>
      <c r="DN236" s="7"/>
      <c r="DO236" s="7"/>
      <c r="DP236" s="7"/>
      <c r="DQ236" s="7"/>
      <c r="DR236" s="7"/>
      <c r="DS236" s="7"/>
      <c r="DT236" s="7"/>
      <c r="DU236" s="7"/>
      <c r="DV236" s="7"/>
      <c r="DW236" s="7"/>
      <c r="DX236" s="7"/>
      <c r="DY236" s="7"/>
      <c r="DZ236" s="7"/>
      <c r="EA236" s="7"/>
      <c r="EB236" s="7"/>
      <c r="EC236" s="7"/>
      <c r="ED236" s="7"/>
      <c r="EE236" s="7"/>
      <c r="EF236" s="7"/>
      <c r="EG236" s="7"/>
      <c r="EH236" s="7"/>
      <c r="EI236" s="7"/>
      <c r="EJ236" s="7"/>
      <c r="EK236" s="7"/>
      <c r="EL236" s="7"/>
      <c r="EM236" s="7"/>
      <c r="EN236" s="7"/>
      <c r="EO236" s="7"/>
      <c r="EP236" s="7"/>
      <c r="EQ236" s="7"/>
      <c r="ER236" s="7"/>
      <c r="ES236" s="7"/>
      <c r="ET236" s="7"/>
      <c r="EU236" s="7"/>
      <c r="EV236" s="7"/>
      <c r="EW236" s="7"/>
      <c r="EX236" s="7"/>
      <c r="EY236" s="7"/>
      <c r="EZ236" s="7"/>
      <c r="FA236" s="7"/>
      <c r="FB236" s="7"/>
      <c r="FC236" s="7"/>
      <c r="FD236" s="7"/>
      <c r="FE236" s="7"/>
      <c r="FF236" s="7"/>
      <c r="FG236" s="7"/>
      <c r="FH236" s="7"/>
      <c r="FI236" s="7"/>
      <c r="FJ236" s="7"/>
      <c r="FK236" s="7"/>
      <c r="FL236" s="7"/>
      <c r="FM236" s="7"/>
      <c r="FN236" s="7"/>
      <c r="FO236" s="7"/>
      <c r="FP236" s="7"/>
      <c r="FQ236" s="7"/>
      <c r="FR236" s="7"/>
      <c r="FS236" s="7"/>
      <c r="FT236" s="7"/>
      <c r="FU236" s="7"/>
      <c r="FV236" s="7"/>
      <c r="FW236" s="7"/>
      <c r="FX236" s="7"/>
      <c r="FY236" s="7"/>
      <c r="FZ236" s="7"/>
      <c r="GA236" s="7"/>
      <c r="GB236" s="7"/>
      <c r="GC236" s="7"/>
      <c r="GD236" s="7"/>
      <c r="GE236" s="7"/>
      <c r="GF236" s="7"/>
      <c r="GG236" s="7"/>
      <c r="GH236" s="7"/>
      <c r="GI236" s="7"/>
      <c r="GJ236" s="7"/>
      <c r="GK236" s="7"/>
      <c r="GL236" s="7"/>
      <c r="GM236" s="7"/>
      <c r="GN236" s="7"/>
      <c r="GO236" s="7"/>
      <c r="GP236" s="7"/>
      <c r="GQ236" s="7"/>
      <c r="GR236" s="7"/>
      <c r="GS236" s="7"/>
      <c r="GT236" s="7"/>
      <c r="GU236" s="7"/>
      <c r="GV236" s="7"/>
      <c r="GW236" s="7"/>
      <c r="GX236" s="7"/>
      <c r="GY236" s="7"/>
      <c r="GZ236" s="7"/>
      <c r="HA236" s="7"/>
      <c r="HB236" s="7"/>
      <c r="HC236" s="7"/>
      <c r="HD236" s="7"/>
      <c r="HE236" s="7"/>
      <c r="HF236" s="7"/>
      <c r="HG236" s="7"/>
      <c r="HH236" s="7"/>
      <c r="HI236" s="7"/>
      <c r="HJ236" s="7"/>
      <c r="HK236" s="7"/>
      <c r="HL236" s="7"/>
      <c r="HM236" s="7"/>
      <c r="HN236" s="7"/>
      <c r="HO236" s="7"/>
      <c r="HP236" s="7"/>
      <c r="HQ236" s="7"/>
      <c r="HR236" s="7"/>
      <c r="HS236" s="7"/>
      <c r="HT236" s="7"/>
      <c r="HU236" s="7"/>
      <c r="HV236" s="7"/>
      <c r="HW236" s="7"/>
      <c r="HX236" s="7"/>
      <c r="HY236" s="7"/>
      <c r="HZ236" s="7"/>
      <c r="IA236" s="7"/>
      <c r="IB236" s="7"/>
      <c r="IC236" s="7"/>
      <c r="ID236" s="7"/>
      <c r="IE236" s="7"/>
      <c r="IF236" s="7"/>
      <c r="IG236" s="7"/>
      <c r="IH236" s="7"/>
      <c r="II236" s="7"/>
      <c r="IJ236" s="7"/>
      <c r="IK236" s="7"/>
      <c r="IL236" s="7"/>
      <c r="IM236" s="7"/>
      <c r="IN236" s="7"/>
      <c r="IO236" s="7"/>
      <c r="IP236" s="7"/>
      <c r="IQ236" s="7"/>
      <c r="IR236" s="7"/>
      <c r="IS236" s="7"/>
      <c r="IT236" s="7"/>
      <c r="IU236" s="7"/>
      <c r="IV236" s="7"/>
      <c r="IW236" s="7"/>
      <c r="IX236" s="7"/>
      <c r="JA236" s="113"/>
      <c r="JB236" s="113"/>
      <c r="JC236" s="113"/>
      <c r="JD236" s="66">
        <f>SUM((TEXT(JA236,"[M]")/60)*'Income Person-hours'!$D$3,(TEXT(JB236,"[M]")/60)*'Income Person-hours'!$D$4,(TEXT(JC236,"[M]")/60)*'Income Person-hours'!$D$5)</f>
        <v>0</v>
      </c>
    </row>
    <row r="237" spans="1:264" s="11" customFormat="1" ht="11.25" hidden="1">
      <c r="A237" s="30">
        <v>10.15</v>
      </c>
      <c r="B237" s="116"/>
      <c r="C237" s="107"/>
      <c r="D237" s="12" t="str">
        <f>IF(OR(j_WEEKDAY(J_ADDDAY(VLOOKUP(I237,A:F,6,FALSE),H237,1),0)=6,SUMIFS(Holieday[ok],Holieday[date],J_ADDDAY(VLOOKUP(I237,A:F,6,FALSE),H237,1)))=FALSE(),J_ADDDAY(VLOOKUP(I237,A:F,6,FALSE),H237,1),IF(OR(j_WEEKDAY(J_ADDDAY(VLOOKUP(I237,A:F,6,FALSE),H237+1,1),0)=6,SUMIFS(Holieday[ok],Holieday[date],J_ADDDAY(VLOOKUP(I237,A:F,6,FALSE),H237+1,1)))=FALSE(),J_ADDDAY(VLOOKUP(I237,A:F,6,FALSE),H237+1,1),IF(OR(j_WEEKDAY(J_ADDDAY(VLOOKUP(I237,A:F,6,FALSE),H237+2,1),0)=6,SUMIFS(Holieday[ok],Holieday[date],J_ADDDAY(VLOOKUP(I237,A:F,6,FALSE),H237+2,1)))=FALSE(),J_ADDDAY(VLOOKUP(I237,A:F,6,FALSE),H237+2,1),IF(OR(j_WEEKDAY(J_ADDDAY(VLOOKUP(I237,A:F,6,FALSE),H237+3,1),0)=6,SUMIFS(Holieday[ok],Holieday[date],J_ADDDAY(VLOOKUP(I237,A:F,6,FALSE),H237+3,1)))=FALSE(),J_ADDDAY(VLOOKUP(I237,A:F,6,FALSE),H237+3,1),IF(OR(j_WEEKDAY(J_ADDDAY(VLOOKUP(I237,A:F,6,FALSE),H237+4,1),0)=6,SUMIFS(Holieday[ok],Holieday[date],J_ADDDAY(VLOOKUP(I237,A:F,6,FALSE),H237+4,1)))=FALSE(),J_ADDDAY(VLOOKUP(I237,A:F,6,FALSE),H237+4,1),J_ADDDAY(VLOOKUP(I237,A:F,6,FALSE),H237+5,1))))))</f>
        <v>1398/06/30</v>
      </c>
      <c r="E237" s="1">
        <f t="shared" si="70"/>
        <v>13980630</v>
      </c>
      <c r="F237" s="12" t="str">
        <f>IF(N237=0,J_SUBDAY(D237,1,1),IF((N237-NETWORKDAYS.INTL(J_GregorianDate(D237,1),J_GregorianDate(J_SUBDAY(J_ADDDAY(D237,N237,1),1,1),1),16,1)-SUMIFS(Holieday[ok],Holieday[date],CONCATENATE("&gt;","=",D237),Holieday[date],CONCATENATE("&lt;","=",J_SUBDAY(J_ADDDAY(D237,N237,1),1,1)))+SUMIFS(Holieday[Friday],Holieday[date],CONCATENATE("&gt;","=",D237),Holieday[date],CONCATENATE("&lt;","=",J_SUBDAY(J_ADDDAY(D237,N237,1),1,1))))=0,J_SUBDAY(J_ADDDAY(D237,N237,1),1,1),IF((N237-NETWORKDAYS.INTL(J_GregorianDate(D237,1),J_GregorianDate(J_SUBDAY(J_ADDDAY(D237,N237,1),1,1),1),16,1)-SUMIFS(Holieday[ok],Holieday[date],CONCATENATE("&gt;","=",D237),Holieday[date],CONCATENATE("&lt;","=",J_SUBDAY(J_ADDDAY(D237,N237,1),1,1)))+SUMIFS(Holieday[Friday],Holieday[date],CONCATENATE("&gt;","=",D237),Holieday[date],CONCATENATE("&lt;","=",J_SUBDAY(J_ADDDAY(D237,N237,1),1,1))))=1,J_SUBDAY(J_ADDDAY(D237,N237+1,1),1,1),IF((N237-NETWORKDAYS.INTL(J_GregorianDate(D237,1),J_GregorianDate(J_SUBDAY(J_ADDDAY(D237,N237,1),1,1),1),16,1)-SUMIFS(Holieday[ok],Holieday[date],CONCATENATE("&gt;","=",D237),Holieday[date],CONCATENATE("&lt;","=",J_SUBDAY(J_ADDDAY(D237,N237,1),1,1)))+SUMIFS(Holieday[Friday],Holieday[date],CONCATENATE("&gt;","=",D237),Holieday[date],CONCATENATE("&lt;","=",J_SUBDAY(J_ADDDAY(D237,N237,1),1,1))))=2,J_SUBDAY(J_ADDDAY(D237,N237+2,1),1,1),J_SUBDAY(J_ADDDAY(D237,N237+3,1),1,1)))))</f>
        <v>1398/06/29</v>
      </c>
      <c r="G237" s="2">
        <f t="shared" si="71"/>
        <v>13980629</v>
      </c>
      <c r="H237" s="109"/>
      <c r="I237" s="110">
        <v>10.1</v>
      </c>
      <c r="J237" s="9">
        <f>j_WEEKDAY(D237,2)</f>
        <v>0</v>
      </c>
      <c r="K237" s="21">
        <f t="shared" si="69"/>
        <v>0</v>
      </c>
      <c r="L237" s="8">
        <f t="shared" si="74"/>
        <v>0</v>
      </c>
      <c r="M237" s="111">
        <v>0</v>
      </c>
      <c r="N237" s="108">
        <v>0</v>
      </c>
      <c r="O237" s="10">
        <f t="shared" si="75"/>
        <v>0</v>
      </c>
      <c r="P237" s="10">
        <f>VALUE(J_normdate(J_ADDDAY($D237,$O237,1)))</f>
        <v>13980630</v>
      </c>
      <c r="Q237" s="9">
        <f t="shared" si="76"/>
        <v>0</v>
      </c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/>
      <c r="BB237" s="7"/>
      <c r="BC237" s="7"/>
      <c r="BD237" s="7"/>
      <c r="BE237" s="7"/>
      <c r="BF237" s="7"/>
      <c r="BG237" s="7"/>
      <c r="BH237" s="7"/>
      <c r="BI237" s="7"/>
      <c r="BJ237" s="7"/>
      <c r="BK237" s="7"/>
      <c r="BL237" s="7"/>
      <c r="BM237" s="7"/>
      <c r="BN237" s="7"/>
      <c r="BO237" s="7"/>
      <c r="BP237" s="7"/>
      <c r="BQ237" s="7"/>
      <c r="BR237" s="7"/>
      <c r="BS237" s="7"/>
      <c r="BT237" s="7"/>
      <c r="BU237" s="7"/>
      <c r="BV237" s="7"/>
      <c r="BW237" s="7"/>
      <c r="BX237" s="7"/>
      <c r="BY237" s="7"/>
      <c r="BZ237" s="7"/>
      <c r="CA237" s="7"/>
      <c r="CB237" s="7"/>
      <c r="CC237" s="7"/>
      <c r="CD237" s="7"/>
      <c r="CE237" s="7"/>
      <c r="CF237" s="7"/>
      <c r="CG237" s="7"/>
      <c r="CH237" s="7"/>
      <c r="CI237" s="7"/>
      <c r="CJ237" s="7"/>
      <c r="CK237" s="7"/>
      <c r="CL237" s="7"/>
      <c r="CM237" s="7"/>
      <c r="CN237" s="7"/>
      <c r="CO237" s="7"/>
      <c r="CP237" s="7"/>
      <c r="CQ237" s="7"/>
      <c r="CR237" s="7"/>
      <c r="CS237" s="7"/>
      <c r="CT237" s="7"/>
      <c r="CU237" s="7"/>
      <c r="CV237" s="7"/>
      <c r="CW237" s="7"/>
      <c r="CX237" s="7"/>
      <c r="CY237" s="7"/>
      <c r="CZ237" s="7"/>
      <c r="DA237" s="7"/>
      <c r="DB237" s="7"/>
      <c r="DC237" s="7"/>
      <c r="DD237" s="7"/>
      <c r="DE237" s="7"/>
      <c r="DF237" s="7"/>
      <c r="DG237" s="7"/>
      <c r="DH237" s="7"/>
      <c r="DI237" s="7"/>
      <c r="DJ237" s="7"/>
      <c r="DK237" s="7"/>
      <c r="DL237" s="7"/>
      <c r="DM237" s="7"/>
      <c r="DN237" s="7"/>
      <c r="DO237" s="7"/>
      <c r="DP237" s="7"/>
      <c r="DQ237" s="7"/>
      <c r="DR237" s="7"/>
      <c r="DS237" s="7"/>
      <c r="DT237" s="7"/>
      <c r="DU237" s="7"/>
      <c r="DV237" s="7"/>
      <c r="DW237" s="7"/>
      <c r="DX237" s="7"/>
      <c r="DY237" s="7"/>
      <c r="DZ237" s="7"/>
      <c r="EA237" s="7"/>
      <c r="EB237" s="7"/>
      <c r="EC237" s="7"/>
      <c r="ED237" s="7"/>
      <c r="EE237" s="7"/>
      <c r="EF237" s="7"/>
      <c r="EG237" s="7"/>
      <c r="EH237" s="7"/>
      <c r="EI237" s="7"/>
      <c r="EJ237" s="7"/>
      <c r="EK237" s="7"/>
      <c r="EL237" s="7"/>
      <c r="EM237" s="7"/>
      <c r="EN237" s="7"/>
      <c r="EO237" s="7"/>
      <c r="EP237" s="7"/>
      <c r="EQ237" s="7"/>
      <c r="ER237" s="7"/>
      <c r="ES237" s="7"/>
      <c r="ET237" s="7"/>
      <c r="EU237" s="7"/>
      <c r="EV237" s="7"/>
      <c r="EW237" s="7"/>
      <c r="EX237" s="7"/>
      <c r="EY237" s="7"/>
      <c r="EZ237" s="7"/>
      <c r="FA237" s="7"/>
      <c r="FB237" s="7"/>
      <c r="FC237" s="7"/>
      <c r="FD237" s="7"/>
      <c r="FE237" s="7"/>
      <c r="FF237" s="7"/>
      <c r="FG237" s="7"/>
      <c r="FH237" s="7"/>
      <c r="FI237" s="7"/>
      <c r="FJ237" s="7"/>
      <c r="FK237" s="7"/>
      <c r="FL237" s="7"/>
      <c r="FM237" s="7"/>
      <c r="FN237" s="7"/>
      <c r="FO237" s="7"/>
      <c r="FP237" s="7"/>
      <c r="FQ237" s="7"/>
      <c r="FR237" s="7"/>
      <c r="FS237" s="7"/>
      <c r="FT237" s="7"/>
      <c r="FU237" s="7"/>
      <c r="FV237" s="7"/>
      <c r="FW237" s="7"/>
      <c r="FX237" s="7"/>
      <c r="FY237" s="7"/>
      <c r="FZ237" s="7"/>
      <c r="GA237" s="7"/>
      <c r="GB237" s="7"/>
      <c r="GC237" s="7"/>
      <c r="GD237" s="7"/>
      <c r="GE237" s="7"/>
      <c r="GF237" s="7"/>
      <c r="GG237" s="7"/>
      <c r="GH237" s="7"/>
      <c r="GI237" s="7"/>
      <c r="GJ237" s="7"/>
      <c r="GK237" s="7"/>
      <c r="GL237" s="7"/>
      <c r="GM237" s="7"/>
      <c r="GN237" s="7"/>
      <c r="GO237" s="7"/>
      <c r="GP237" s="7"/>
      <c r="GQ237" s="7"/>
      <c r="GR237" s="7"/>
      <c r="GS237" s="7"/>
      <c r="GT237" s="7"/>
      <c r="GU237" s="7"/>
      <c r="GV237" s="7"/>
      <c r="GW237" s="7"/>
      <c r="GX237" s="7"/>
      <c r="GY237" s="7"/>
      <c r="GZ237" s="7"/>
      <c r="HA237" s="7"/>
      <c r="HB237" s="7"/>
      <c r="HC237" s="7"/>
      <c r="HD237" s="7"/>
      <c r="HE237" s="7"/>
      <c r="HF237" s="7"/>
      <c r="HG237" s="7"/>
      <c r="HH237" s="7"/>
      <c r="HI237" s="7"/>
      <c r="HJ237" s="7"/>
      <c r="HK237" s="7"/>
      <c r="HL237" s="7"/>
      <c r="HM237" s="7"/>
      <c r="HN237" s="7"/>
      <c r="HO237" s="7"/>
      <c r="HP237" s="7"/>
      <c r="HQ237" s="7"/>
      <c r="HR237" s="7"/>
      <c r="HS237" s="7"/>
      <c r="HT237" s="7"/>
      <c r="HU237" s="7"/>
      <c r="HV237" s="7"/>
      <c r="HW237" s="7"/>
      <c r="HX237" s="7"/>
      <c r="HY237" s="7"/>
      <c r="HZ237" s="7"/>
      <c r="IA237" s="7"/>
      <c r="IB237" s="7"/>
      <c r="IC237" s="7"/>
      <c r="ID237" s="7"/>
      <c r="IE237" s="7"/>
      <c r="IF237" s="7"/>
      <c r="IG237" s="7"/>
      <c r="IH237" s="7"/>
      <c r="II237" s="7"/>
      <c r="IJ237" s="7"/>
      <c r="IK237" s="7"/>
      <c r="IL237" s="7"/>
      <c r="IM237" s="7"/>
      <c r="IN237" s="7"/>
      <c r="IO237" s="7"/>
      <c r="IP237" s="7"/>
      <c r="IQ237" s="7"/>
      <c r="IR237" s="7"/>
      <c r="IS237" s="7"/>
      <c r="IT237" s="7"/>
      <c r="IU237" s="7"/>
      <c r="IV237" s="7"/>
      <c r="IW237" s="7"/>
      <c r="IX237" s="7"/>
      <c r="JA237" s="113"/>
      <c r="JB237" s="113"/>
      <c r="JC237" s="113"/>
      <c r="JD237" s="66">
        <f>SUM((TEXT(JA237,"[M]")/60)*'Income Person-hours'!$D$3,(TEXT(JB237,"[M]")/60)*'Income Person-hours'!$D$4,(TEXT(JC237,"[M]")/60)*'Income Person-hours'!$D$5)</f>
        <v>0</v>
      </c>
    </row>
    <row r="238" spans="1:264" s="11" customFormat="1" ht="11.25" hidden="1">
      <c r="A238" s="30">
        <v>10.16</v>
      </c>
      <c r="B238" s="116"/>
      <c r="C238" s="107"/>
      <c r="D238" s="12" t="str">
        <f>IF(OR(j_WEEKDAY(J_ADDDAY(VLOOKUP(I238,A:F,6,FALSE),H238,1),0)=6,SUMIFS(Holieday[ok],Holieday[date],J_ADDDAY(VLOOKUP(I238,A:F,6,FALSE),H238,1)))=FALSE(),J_ADDDAY(VLOOKUP(I238,A:F,6,FALSE),H238,1),IF(OR(j_WEEKDAY(J_ADDDAY(VLOOKUP(I238,A:F,6,FALSE),H238+1,1),0)=6,SUMIFS(Holieday[ok],Holieday[date],J_ADDDAY(VLOOKUP(I238,A:F,6,FALSE),H238+1,1)))=FALSE(),J_ADDDAY(VLOOKUP(I238,A:F,6,FALSE),H238+1,1),IF(OR(j_WEEKDAY(J_ADDDAY(VLOOKUP(I238,A:F,6,FALSE),H238+2,1),0)=6,SUMIFS(Holieday[ok],Holieday[date],J_ADDDAY(VLOOKUP(I238,A:F,6,FALSE),H238+2,1)))=FALSE(),J_ADDDAY(VLOOKUP(I238,A:F,6,FALSE),H238+2,1),IF(OR(j_WEEKDAY(J_ADDDAY(VLOOKUP(I238,A:F,6,FALSE),H238+3,1),0)=6,SUMIFS(Holieday[ok],Holieday[date],J_ADDDAY(VLOOKUP(I238,A:F,6,FALSE),H238+3,1)))=FALSE(),J_ADDDAY(VLOOKUP(I238,A:F,6,FALSE),H238+3,1),IF(OR(j_WEEKDAY(J_ADDDAY(VLOOKUP(I238,A:F,6,FALSE),H238+4,1),0)=6,SUMIFS(Holieday[ok],Holieday[date],J_ADDDAY(VLOOKUP(I238,A:F,6,FALSE),H238+4,1)))=FALSE(),J_ADDDAY(VLOOKUP(I238,A:F,6,FALSE),H238+4,1),J_ADDDAY(VLOOKUP(I238,A:F,6,FALSE),H238+5,1))))))</f>
        <v>1398/06/30</v>
      </c>
      <c r="E238" s="1">
        <f t="shared" si="70"/>
        <v>13980630</v>
      </c>
      <c r="F238" s="12" t="str">
        <f>IF(N238=0,J_SUBDAY(D238,1,1),IF((N238-NETWORKDAYS.INTL(J_GregorianDate(D238,1),J_GregorianDate(J_SUBDAY(J_ADDDAY(D238,N238,1),1,1),1),16,1)-SUMIFS(Holieday[ok],Holieday[date],CONCATENATE("&gt;","=",D238),Holieday[date],CONCATENATE("&lt;","=",J_SUBDAY(J_ADDDAY(D238,N238,1),1,1)))+SUMIFS(Holieday[Friday],Holieday[date],CONCATENATE("&gt;","=",D238),Holieday[date],CONCATENATE("&lt;","=",J_SUBDAY(J_ADDDAY(D238,N238,1),1,1))))=0,J_SUBDAY(J_ADDDAY(D238,N238,1),1,1),IF((N238-NETWORKDAYS.INTL(J_GregorianDate(D238,1),J_GregorianDate(J_SUBDAY(J_ADDDAY(D238,N238,1),1,1),1),16,1)-SUMIFS(Holieday[ok],Holieday[date],CONCATENATE("&gt;","=",D238),Holieday[date],CONCATENATE("&lt;","=",J_SUBDAY(J_ADDDAY(D238,N238,1),1,1)))+SUMIFS(Holieday[Friday],Holieday[date],CONCATENATE("&gt;","=",D238),Holieday[date],CONCATENATE("&lt;","=",J_SUBDAY(J_ADDDAY(D238,N238,1),1,1))))=1,J_SUBDAY(J_ADDDAY(D238,N238+1,1),1,1),IF((N238-NETWORKDAYS.INTL(J_GregorianDate(D238,1),J_GregorianDate(J_SUBDAY(J_ADDDAY(D238,N238,1),1,1),1),16,1)-SUMIFS(Holieday[ok],Holieday[date],CONCATENATE("&gt;","=",D238),Holieday[date],CONCATENATE("&lt;","=",J_SUBDAY(J_ADDDAY(D238,N238,1),1,1)))+SUMIFS(Holieday[Friday],Holieday[date],CONCATENATE("&gt;","=",D238),Holieday[date],CONCATENATE("&lt;","=",J_SUBDAY(J_ADDDAY(D238,N238,1),1,1))))=2,J_SUBDAY(J_ADDDAY(D238,N238+2,1),1,1),J_SUBDAY(J_ADDDAY(D238,N238+3,1),1,1)))))</f>
        <v>1398/06/29</v>
      </c>
      <c r="G238" s="2">
        <f t="shared" si="71"/>
        <v>13980629</v>
      </c>
      <c r="H238" s="109"/>
      <c r="I238" s="110">
        <v>10.1</v>
      </c>
      <c r="J238" s="9">
        <f>j_WEEKDAY(D238,2)</f>
        <v>0</v>
      </c>
      <c r="K238" s="21">
        <f t="shared" si="69"/>
        <v>0</v>
      </c>
      <c r="L238" s="8">
        <f t="shared" si="74"/>
        <v>0</v>
      </c>
      <c r="M238" s="111">
        <v>0</v>
      </c>
      <c r="N238" s="108">
        <v>0</v>
      </c>
      <c r="O238" s="10">
        <f t="shared" si="75"/>
        <v>0</v>
      </c>
      <c r="P238" s="10">
        <f>VALUE(J_normdate(J_ADDDAY($D238,$O238,1)))</f>
        <v>13980630</v>
      </c>
      <c r="Q238" s="9">
        <f t="shared" si="76"/>
        <v>0</v>
      </c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  <c r="BB238" s="7"/>
      <c r="BC238" s="7"/>
      <c r="BD238" s="7"/>
      <c r="BE238" s="7"/>
      <c r="BF238" s="7"/>
      <c r="BG238" s="7"/>
      <c r="BH238" s="7"/>
      <c r="BI238" s="7"/>
      <c r="BJ238" s="7"/>
      <c r="BK238" s="7"/>
      <c r="BL238" s="7"/>
      <c r="BM238" s="7"/>
      <c r="BN238" s="7"/>
      <c r="BO238" s="7"/>
      <c r="BP238" s="7"/>
      <c r="BQ238" s="7"/>
      <c r="BR238" s="7"/>
      <c r="BS238" s="7"/>
      <c r="BT238" s="7"/>
      <c r="BU238" s="7"/>
      <c r="BV238" s="7"/>
      <c r="BW238" s="7"/>
      <c r="BX238" s="7"/>
      <c r="BY238" s="7"/>
      <c r="BZ238" s="7"/>
      <c r="CA238" s="7"/>
      <c r="CB238" s="7"/>
      <c r="CC238" s="7"/>
      <c r="CD238" s="7"/>
      <c r="CE238" s="7"/>
      <c r="CF238" s="7"/>
      <c r="CG238" s="7"/>
      <c r="CH238" s="7"/>
      <c r="CI238" s="7"/>
      <c r="CJ238" s="7"/>
      <c r="CK238" s="7"/>
      <c r="CL238" s="7"/>
      <c r="CM238" s="7"/>
      <c r="CN238" s="7"/>
      <c r="CO238" s="7"/>
      <c r="CP238" s="7"/>
      <c r="CQ238" s="7"/>
      <c r="CR238" s="7"/>
      <c r="CS238" s="7"/>
      <c r="CT238" s="7"/>
      <c r="CU238" s="7"/>
      <c r="CV238" s="7"/>
      <c r="CW238" s="7"/>
      <c r="CX238" s="7"/>
      <c r="CY238" s="7"/>
      <c r="CZ238" s="7"/>
      <c r="DA238" s="7"/>
      <c r="DB238" s="7"/>
      <c r="DC238" s="7"/>
      <c r="DD238" s="7"/>
      <c r="DE238" s="7"/>
      <c r="DF238" s="7"/>
      <c r="DG238" s="7"/>
      <c r="DH238" s="7"/>
      <c r="DI238" s="7"/>
      <c r="DJ238" s="7"/>
      <c r="DK238" s="7"/>
      <c r="DL238" s="7"/>
      <c r="DM238" s="7"/>
      <c r="DN238" s="7"/>
      <c r="DO238" s="7"/>
      <c r="DP238" s="7"/>
      <c r="DQ238" s="7"/>
      <c r="DR238" s="7"/>
      <c r="DS238" s="7"/>
      <c r="DT238" s="7"/>
      <c r="DU238" s="7"/>
      <c r="DV238" s="7"/>
      <c r="DW238" s="7"/>
      <c r="DX238" s="7"/>
      <c r="DY238" s="7"/>
      <c r="DZ238" s="7"/>
      <c r="EA238" s="7"/>
      <c r="EB238" s="7"/>
      <c r="EC238" s="7"/>
      <c r="ED238" s="7"/>
      <c r="EE238" s="7"/>
      <c r="EF238" s="7"/>
      <c r="EG238" s="7"/>
      <c r="EH238" s="7"/>
      <c r="EI238" s="7"/>
      <c r="EJ238" s="7"/>
      <c r="EK238" s="7"/>
      <c r="EL238" s="7"/>
      <c r="EM238" s="7"/>
      <c r="EN238" s="7"/>
      <c r="EO238" s="7"/>
      <c r="EP238" s="7"/>
      <c r="EQ238" s="7"/>
      <c r="ER238" s="7"/>
      <c r="ES238" s="7"/>
      <c r="ET238" s="7"/>
      <c r="EU238" s="7"/>
      <c r="EV238" s="7"/>
      <c r="EW238" s="7"/>
      <c r="EX238" s="7"/>
      <c r="EY238" s="7"/>
      <c r="EZ238" s="7"/>
      <c r="FA238" s="7"/>
      <c r="FB238" s="7"/>
      <c r="FC238" s="7"/>
      <c r="FD238" s="7"/>
      <c r="FE238" s="7"/>
      <c r="FF238" s="7"/>
      <c r="FG238" s="7"/>
      <c r="FH238" s="7"/>
      <c r="FI238" s="7"/>
      <c r="FJ238" s="7"/>
      <c r="FK238" s="7"/>
      <c r="FL238" s="7"/>
      <c r="FM238" s="7"/>
      <c r="FN238" s="7"/>
      <c r="FO238" s="7"/>
      <c r="FP238" s="7"/>
      <c r="FQ238" s="7"/>
      <c r="FR238" s="7"/>
      <c r="FS238" s="7"/>
      <c r="FT238" s="7"/>
      <c r="FU238" s="7"/>
      <c r="FV238" s="7"/>
      <c r="FW238" s="7"/>
      <c r="FX238" s="7"/>
      <c r="FY238" s="7"/>
      <c r="FZ238" s="7"/>
      <c r="GA238" s="7"/>
      <c r="GB238" s="7"/>
      <c r="GC238" s="7"/>
      <c r="GD238" s="7"/>
      <c r="GE238" s="7"/>
      <c r="GF238" s="7"/>
      <c r="GG238" s="7"/>
      <c r="GH238" s="7"/>
      <c r="GI238" s="7"/>
      <c r="GJ238" s="7"/>
      <c r="GK238" s="7"/>
      <c r="GL238" s="7"/>
      <c r="GM238" s="7"/>
      <c r="GN238" s="7"/>
      <c r="GO238" s="7"/>
      <c r="GP238" s="7"/>
      <c r="GQ238" s="7"/>
      <c r="GR238" s="7"/>
      <c r="GS238" s="7"/>
      <c r="GT238" s="7"/>
      <c r="GU238" s="7"/>
      <c r="GV238" s="7"/>
      <c r="GW238" s="7"/>
      <c r="GX238" s="7"/>
      <c r="GY238" s="7"/>
      <c r="GZ238" s="7"/>
      <c r="HA238" s="7"/>
      <c r="HB238" s="7"/>
      <c r="HC238" s="7"/>
      <c r="HD238" s="7"/>
      <c r="HE238" s="7"/>
      <c r="HF238" s="7"/>
      <c r="HG238" s="7"/>
      <c r="HH238" s="7"/>
      <c r="HI238" s="7"/>
      <c r="HJ238" s="7"/>
      <c r="HK238" s="7"/>
      <c r="HL238" s="7"/>
      <c r="HM238" s="7"/>
      <c r="HN238" s="7"/>
      <c r="HO238" s="7"/>
      <c r="HP238" s="7"/>
      <c r="HQ238" s="7"/>
      <c r="HR238" s="7"/>
      <c r="HS238" s="7"/>
      <c r="HT238" s="7"/>
      <c r="HU238" s="7"/>
      <c r="HV238" s="7"/>
      <c r="HW238" s="7"/>
      <c r="HX238" s="7"/>
      <c r="HY238" s="7"/>
      <c r="HZ238" s="7"/>
      <c r="IA238" s="7"/>
      <c r="IB238" s="7"/>
      <c r="IC238" s="7"/>
      <c r="ID238" s="7"/>
      <c r="IE238" s="7"/>
      <c r="IF238" s="7"/>
      <c r="IG238" s="7"/>
      <c r="IH238" s="7"/>
      <c r="II238" s="7"/>
      <c r="IJ238" s="7"/>
      <c r="IK238" s="7"/>
      <c r="IL238" s="7"/>
      <c r="IM238" s="7"/>
      <c r="IN238" s="7"/>
      <c r="IO238" s="7"/>
      <c r="IP238" s="7"/>
      <c r="IQ238" s="7"/>
      <c r="IR238" s="7"/>
      <c r="IS238" s="7"/>
      <c r="IT238" s="7"/>
      <c r="IU238" s="7"/>
      <c r="IV238" s="7"/>
      <c r="IW238" s="7"/>
      <c r="IX238" s="7"/>
      <c r="JA238" s="113"/>
      <c r="JB238" s="113"/>
      <c r="JC238" s="113"/>
      <c r="JD238" s="66">
        <f>SUM((TEXT(JA238,"[M]")/60)*'Income Person-hours'!$D$3,(TEXT(JB238,"[M]")/60)*'Income Person-hours'!$D$4,(TEXT(JC238,"[M]")/60)*'Income Person-hours'!$D$5)</f>
        <v>0</v>
      </c>
    </row>
    <row r="239" spans="1:264" s="11" customFormat="1" ht="11.25" hidden="1">
      <c r="A239" s="30">
        <v>10.17</v>
      </c>
      <c r="B239" s="116"/>
      <c r="C239" s="107"/>
      <c r="D239" s="12" t="str">
        <f>IF(OR(j_WEEKDAY(J_ADDDAY(VLOOKUP(I239,A:F,6,FALSE),H239,1),0)=6,SUMIFS(Holieday[ok],Holieday[date],J_ADDDAY(VLOOKUP(I239,A:F,6,FALSE),H239,1)))=FALSE(),J_ADDDAY(VLOOKUP(I239,A:F,6,FALSE),H239,1),IF(OR(j_WEEKDAY(J_ADDDAY(VLOOKUP(I239,A:F,6,FALSE),H239+1,1),0)=6,SUMIFS(Holieday[ok],Holieday[date],J_ADDDAY(VLOOKUP(I239,A:F,6,FALSE),H239+1,1)))=FALSE(),J_ADDDAY(VLOOKUP(I239,A:F,6,FALSE),H239+1,1),IF(OR(j_WEEKDAY(J_ADDDAY(VLOOKUP(I239,A:F,6,FALSE),H239+2,1),0)=6,SUMIFS(Holieday[ok],Holieday[date],J_ADDDAY(VLOOKUP(I239,A:F,6,FALSE),H239+2,1)))=FALSE(),J_ADDDAY(VLOOKUP(I239,A:F,6,FALSE),H239+2,1),IF(OR(j_WEEKDAY(J_ADDDAY(VLOOKUP(I239,A:F,6,FALSE),H239+3,1),0)=6,SUMIFS(Holieday[ok],Holieday[date],J_ADDDAY(VLOOKUP(I239,A:F,6,FALSE),H239+3,1)))=FALSE(),J_ADDDAY(VLOOKUP(I239,A:F,6,FALSE),H239+3,1),IF(OR(j_WEEKDAY(J_ADDDAY(VLOOKUP(I239,A:F,6,FALSE),H239+4,1),0)=6,SUMIFS(Holieday[ok],Holieday[date],J_ADDDAY(VLOOKUP(I239,A:F,6,FALSE),H239+4,1)))=FALSE(),J_ADDDAY(VLOOKUP(I239,A:F,6,FALSE),H239+4,1),J_ADDDAY(VLOOKUP(I239,A:F,6,FALSE),H239+5,1))))))</f>
        <v>1398/06/30</v>
      </c>
      <c r="E239" s="1">
        <f t="shared" si="70"/>
        <v>13980630</v>
      </c>
      <c r="F239" s="12" t="str">
        <f>IF(N239=0,J_SUBDAY(D239,1,1),IF((N239-NETWORKDAYS.INTL(J_GregorianDate(D239,1),J_GregorianDate(J_SUBDAY(J_ADDDAY(D239,N239,1),1,1),1),16,1)-SUMIFS(Holieday[ok],Holieday[date],CONCATENATE("&gt;","=",D239),Holieday[date],CONCATENATE("&lt;","=",J_SUBDAY(J_ADDDAY(D239,N239,1),1,1)))+SUMIFS(Holieday[Friday],Holieday[date],CONCATENATE("&gt;","=",D239),Holieday[date],CONCATENATE("&lt;","=",J_SUBDAY(J_ADDDAY(D239,N239,1),1,1))))=0,J_SUBDAY(J_ADDDAY(D239,N239,1),1,1),IF((N239-NETWORKDAYS.INTL(J_GregorianDate(D239,1),J_GregorianDate(J_SUBDAY(J_ADDDAY(D239,N239,1),1,1),1),16,1)-SUMIFS(Holieday[ok],Holieday[date],CONCATENATE("&gt;","=",D239),Holieday[date],CONCATENATE("&lt;","=",J_SUBDAY(J_ADDDAY(D239,N239,1),1,1)))+SUMIFS(Holieday[Friday],Holieday[date],CONCATENATE("&gt;","=",D239),Holieday[date],CONCATENATE("&lt;","=",J_SUBDAY(J_ADDDAY(D239,N239,1),1,1))))=1,J_SUBDAY(J_ADDDAY(D239,N239+1,1),1,1),IF((N239-NETWORKDAYS.INTL(J_GregorianDate(D239,1),J_GregorianDate(J_SUBDAY(J_ADDDAY(D239,N239,1),1,1),1),16,1)-SUMIFS(Holieday[ok],Holieday[date],CONCATENATE("&gt;","=",D239),Holieday[date],CONCATENATE("&lt;","=",J_SUBDAY(J_ADDDAY(D239,N239,1),1,1)))+SUMIFS(Holieday[Friday],Holieday[date],CONCATENATE("&gt;","=",D239),Holieday[date],CONCATENATE("&lt;","=",J_SUBDAY(J_ADDDAY(D239,N239,1),1,1))))=2,J_SUBDAY(J_ADDDAY(D239,N239+2,1),1,1),J_SUBDAY(J_ADDDAY(D239,N239+3,1),1,1)))))</f>
        <v>1398/06/29</v>
      </c>
      <c r="G239" s="2">
        <f t="shared" si="71"/>
        <v>13980629</v>
      </c>
      <c r="H239" s="109"/>
      <c r="I239" s="110">
        <v>10.1</v>
      </c>
      <c r="J239" s="9">
        <f>j_WEEKDAY(D239,2)</f>
        <v>0</v>
      </c>
      <c r="K239" s="21">
        <f t="shared" si="69"/>
        <v>0</v>
      </c>
      <c r="L239" s="8">
        <f t="shared" si="74"/>
        <v>0</v>
      </c>
      <c r="M239" s="111">
        <v>0</v>
      </c>
      <c r="N239" s="108">
        <v>0</v>
      </c>
      <c r="O239" s="10">
        <f t="shared" si="75"/>
        <v>0</v>
      </c>
      <c r="P239" s="10">
        <f>VALUE(J_normdate(J_ADDDAY($D239,$O239,1)))</f>
        <v>13980630</v>
      </c>
      <c r="Q239" s="9">
        <f t="shared" si="76"/>
        <v>0</v>
      </c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  <c r="BB239" s="7"/>
      <c r="BC239" s="7"/>
      <c r="BD239" s="7"/>
      <c r="BE239" s="7"/>
      <c r="BF239" s="7"/>
      <c r="BG239" s="7"/>
      <c r="BH239" s="7"/>
      <c r="BI239" s="7"/>
      <c r="BJ239" s="7"/>
      <c r="BK239" s="7"/>
      <c r="BL239" s="7"/>
      <c r="BM239" s="7"/>
      <c r="BN239" s="7"/>
      <c r="BO239" s="7"/>
      <c r="BP239" s="7"/>
      <c r="BQ239" s="7"/>
      <c r="BR239" s="7"/>
      <c r="BS239" s="7"/>
      <c r="BT239" s="7"/>
      <c r="BU239" s="7"/>
      <c r="BV239" s="7"/>
      <c r="BW239" s="7"/>
      <c r="BX239" s="7"/>
      <c r="BY239" s="7"/>
      <c r="BZ239" s="7"/>
      <c r="CA239" s="7"/>
      <c r="CB239" s="7"/>
      <c r="CC239" s="7"/>
      <c r="CD239" s="7"/>
      <c r="CE239" s="7"/>
      <c r="CF239" s="7"/>
      <c r="CG239" s="7"/>
      <c r="CH239" s="7"/>
      <c r="CI239" s="7"/>
      <c r="CJ239" s="7"/>
      <c r="CK239" s="7"/>
      <c r="CL239" s="7"/>
      <c r="CM239" s="7"/>
      <c r="CN239" s="7"/>
      <c r="CO239" s="7"/>
      <c r="CP239" s="7"/>
      <c r="CQ239" s="7"/>
      <c r="CR239" s="7"/>
      <c r="CS239" s="7"/>
      <c r="CT239" s="7"/>
      <c r="CU239" s="7"/>
      <c r="CV239" s="7"/>
      <c r="CW239" s="7"/>
      <c r="CX239" s="7"/>
      <c r="CY239" s="7"/>
      <c r="CZ239" s="7"/>
      <c r="DA239" s="7"/>
      <c r="DB239" s="7"/>
      <c r="DC239" s="7"/>
      <c r="DD239" s="7"/>
      <c r="DE239" s="7"/>
      <c r="DF239" s="7"/>
      <c r="DG239" s="7"/>
      <c r="DH239" s="7"/>
      <c r="DI239" s="7"/>
      <c r="DJ239" s="7"/>
      <c r="DK239" s="7"/>
      <c r="DL239" s="7"/>
      <c r="DM239" s="7"/>
      <c r="DN239" s="7"/>
      <c r="DO239" s="7"/>
      <c r="DP239" s="7"/>
      <c r="DQ239" s="7"/>
      <c r="DR239" s="7"/>
      <c r="DS239" s="7"/>
      <c r="DT239" s="7"/>
      <c r="DU239" s="7"/>
      <c r="DV239" s="7"/>
      <c r="DW239" s="7"/>
      <c r="DX239" s="7"/>
      <c r="DY239" s="7"/>
      <c r="DZ239" s="7"/>
      <c r="EA239" s="7"/>
      <c r="EB239" s="7"/>
      <c r="EC239" s="7"/>
      <c r="ED239" s="7"/>
      <c r="EE239" s="7"/>
      <c r="EF239" s="7"/>
      <c r="EG239" s="7"/>
      <c r="EH239" s="7"/>
      <c r="EI239" s="7"/>
      <c r="EJ239" s="7"/>
      <c r="EK239" s="7"/>
      <c r="EL239" s="7"/>
      <c r="EM239" s="7"/>
      <c r="EN239" s="7"/>
      <c r="EO239" s="7"/>
      <c r="EP239" s="7"/>
      <c r="EQ239" s="7"/>
      <c r="ER239" s="7"/>
      <c r="ES239" s="7"/>
      <c r="ET239" s="7"/>
      <c r="EU239" s="7"/>
      <c r="EV239" s="7"/>
      <c r="EW239" s="7"/>
      <c r="EX239" s="7"/>
      <c r="EY239" s="7"/>
      <c r="EZ239" s="7"/>
      <c r="FA239" s="7"/>
      <c r="FB239" s="7"/>
      <c r="FC239" s="7"/>
      <c r="FD239" s="7"/>
      <c r="FE239" s="7"/>
      <c r="FF239" s="7"/>
      <c r="FG239" s="7"/>
      <c r="FH239" s="7"/>
      <c r="FI239" s="7"/>
      <c r="FJ239" s="7"/>
      <c r="FK239" s="7"/>
      <c r="FL239" s="7"/>
      <c r="FM239" s="7"/>
      <c r="FN239" s="7"/>
      <c r="FO239" s="7"/>
      <c r="FP239" s="7"/>
      <c r="FQ239" s="7"/>
      <c r="FR239" s="7"/>
      <c r="FS239" s="7"/>
      <c r="FT239" s="7"/>
      <c r="FU239" s="7"/>
      <c r="FV239" s="7"/>
      <c r="FW239" s="7"/>
      <c r="FX239" s="7"/>
      <c r="FY239" s="7"/>
      <c r="FZ239" s="7"/>
      <c r="GA239" s="7"/>
      <c r="GB239" s="7"/>
      <c r="GC239" s="7"/>
      <c r="GD239" s="7"/>
      <c r="GE239" s="7"/>
      <c r="GF239" s="7"/>
      <c r="GG239" s="7"/>
      <c r="GH239" s="7"/>
      <c r="GI239" s="7"/>
      <c r="GJ239" s="7"/>
      <c r="GK239" s="7"/>
      <c r="GL239" s="7"/>
      <c r="GM239" s="7"/>
      <c r="GN239" s="7"/>
      <c r="GO239" s="7"/>
      <c r="GP239" s="7"/>
      <c r="GQ239" s="7"/>
      <c r="GR239" s="7"/>
      <c r="GS239" s="7"/>
      <c r="GT239" s="7"/>
      <c r="GU239" s="7"/>
      <c r="GV239" s="7"/>
      <c r="GW239" s="7"/>
      <c r="GX239" s="7"/>
      <c r="GY239" s="7"/>
      <c r="GZ239" s="7"/>
      <c r="HA239" s="7"/>
      <c r="HB239" s="7"/>
      <c r="HC239" s="7"/>
      <c r="HD239" s="7"/>
      <c r="HE239" s="7"/>
      <c r="HF239" s="7"/>
      <c r="HG239" s="7"/>
      <c r="HH239" s="7"/>
      <c r="HI239" s="7"/>
      <c r="HJ239" s="7"/>
      <c r="HK239" s="7"/>
      <c r="HL239" s="7"/>
      <c r="HM239" s="7"/>
      <c r="HN239" s="7"/>
      <c r="HO239" s="7"/>
      <c r="HP239" s="7"/>
      <c r="HQ239" s="7"/>
      <c r="HR239" s="7"/>
      <c r="HS239" s="7"/>
      <c r="HT239" s="7"/>
      <c r="HU239" s="7"/>
      <c r="HV239" s="7"/>
      <c r="HW239" s="7"/>
      <c r="HX239" s="7"/>
      <c r="HY239" s="7"/>
      <c r="HZ239" s="7"/>
      <c r="IA239" s="7"/>
      <c r="IB239" s="7"/>
      <c r="IC239" s="7"/>
      <c r="ID239" s="7"/>
      <c r="IE239" s="7"/>
      <c r="IF239" s="7"/>
      <c r="IG239" s="7"/>
      <c r="IH239" s="7"/>
      <c r="II239" s="7"/>
      <c r="IJ239" s="7"/>
      <c r="IK239" s="7"/>
      <c r="IL239" s="7"/>
      <c r="IM239" s="7"/>
      <c r="IN239" s="7"/>
      <c r="IO239" s="7"/>
      <c r="IP239" s="7"/>
      <c r="IQ239" s="7"/>
      <c r="IR239" s="7"/>
      <c r="IS239" s="7"/>
      <c r="IT239" s="7"/>
      <c r="IU239" s="7"/>
      <c r="IV239" s="7"/>
      <c r="IW239" s="7"/>
      <c r="IX239" s="7"/>
      <c r="JA239" s="113"/>
      <c r="JB239" s="113"/>
      <c r="JC239" s="113"/>
      <c r="JD239" s="66">
        <f>SUM((TEXT(JA239,"[M]")/60)*'Income Person-hours'!$D$3,(TEXT(JB239,"[M]")/60)*'Income Person-hours'!$D$4,(TEXT(JC239,"[M]")/60)*'Income Person-hours'!$D$5)</f>
        <v>0</v>
      </c>
    </row>
    <row r="240" spans="1:264" s="11" customFormat="1" ht="11.25" hidden="1">
      <c r="A240" s="30">
        <v>10.18</v>
      </c>
      <c r="B240" s="116"/>
      <c r="C240" s="107"/>
      <c r="D240" s="12" t="str">
        <f>IF(OR(j_WEEKDAY(J_ADDDAY(VLOOKUP(I240,A:F,6,FALSE),H240,1),0)=6,SUMIFS(Holieday[ok],Holieday[date],J_ADDDAY(VLOOKUP(I240,A:F,6,FALSE),H240,1)))=FALSE(),J_ADDDAY(VLOOKUP(I240,A:F,6,FALSE),H240,1),IF(OR(j_WEEKDAY(J_ADDDAY(VLOOKUP(I240,A:F,6,FALSE),H240+1,1),0)=6,SUMIFS(Holieday[ok],Holieday[date],J_ADDDAY(VLOOKUP(I240,A:F,6,FALSE),H240+1,1)))=FALSE(),J_ADDDAY(VLOOKUP(I240,A:F,6,FALSE),H240+1,1),IF(OR(j_WEEKDAY(J_ADDDAY(VLOOKUP(I240,A:F,6,FALSE),H240+2,1),0)=6,SUMIFS(Holieday[ok],Holieday[date],J_ADDDAY(VLOOKUP(I240,A:F,6,FALSE),H240+2,1)))=FALSE(),J_ADDDAY(VLOOKUP(I240,A:F,6,FALSE),H240+2,1),IF(OR(j_WEEKDAY(J_ADDDAY(VLOOKUP(I240,A:F,6,FALSE),H240+3,1),0)=6,SUMIFS(Holieday[ok],Holieday[date],J_ADDDAY(VLOOKUP(I240,A:F,6,FALSE),H240+3,1)))=FALSE(),J_ADDDAY(VLOOKUP(I240,A:F,6,FALSE),H240+3,1),IF(OR(j_WEEKDAY(J_ADDDAY(VLOOKUP(I240,A:F,6,FALSE),H240+4,1),0)=6,SUMIFS(Holieday[ok],Holieday[date],J_ADDDAY(VLOOKUP(I240,A:F,6,FALSE),H240+4,1)))=FALSE(),J_ADDDAY(VLOOKUP(I240,A:F,6,FALSE),H240+4,1),J_ADDDAY(VLOOKUP(I240,A:F,6,FALSE),H240+5,1))))))</f>
        <v>1398/06/30</v>
      </c>
      <c r="E240" s="1">
        <f t="shared" si="70"/>
        <v>13980630</v>
      </c>
      <c r="F240" s="12" t="str">
        <f>IF(N240=0,J_SUBDAY(D240,1,1),IF((N240-NETWORKDAYS.INTL(J_GregorianDate(D240,1),J_GregorianDate(J_SUBDAY(J_ADDDAY(D240,N240,1),1,1),1),16,1)-SUMIFS(Holieday[ok],Holieday[date],CONCATENATE("&gt;","=",D240),Holieday[date],CONCATENATE("&lt;","=",J_SUBDAY(J_ADDDAY(D240,N240,1),1,1)))+SUMIFS(Holieday[Friday],Holieday[date],CONCATENATE("&gt;","=",D240),Holieday[date],CONCATENATE("&lt;","=",J_SUBDAY(J_ADDDAY(D240,N240,1),1,1))))=0,J_SUBDAY(J_ADDDAY(D240,N240,1),1,1),IF((N240-NETWORKDAYS.INTL(J_GregorianDate(D240,1),J_GregorianDate(J_SUBDAY(J_ADDDAY(D240,N240,1),1,1),1),16,1)-SUMIFS(Holieday[ok],Holieday[date],CONCATENATE("&gt;","=",D240),Holieday[date],CONCATENATE("&lt;","=",J_SUBDAY(J_ADDDAY(D240,N240,1),1,1)))+SUMIFS(Holieday[Friday],Holieday[date],CONCATENATE("&gt;","=",D240),Holieday[date],CONCATENATE("&lt;","=",J_SUBDAY(J_ADDDAY(D240,N240,1),1,1))))=1,J_SUBDAY(J_ADDDAY(D240,N240+1,1),1,1),IF((N240-NETWORKDAYS.INTL(J_GregorianDate(D240,1),J_GregorianDate(J_SUBDAY(J_ADDDAY(D240,N240,1),1,1),1),16,1)-SUMIFS(Holieday[ok],Holieday[date],CONCATENATE("&gt;","=",D240),Holieday[date],CONCATENATE("&lt;","=",J_SUBDAY(J_ADDDAY(D240,N240,1),1,1)))+SUMIFS(Holieday[Friday],Holieday[date],CONCATENATE("&gt;","=",D240),Holieday[date],CONCATENATE("&lt;","=",J_SUBDAY(J_ADDDAY(D240,N240,1),1,1))))=2,J_SUBDAY(J_ADDDAY(D240,N240+2,1),1,1),J_SUBDAY(J_ADDDAY(D240,N240+3,1),1,1)))))</f>
        <v>1398/06/29</v>
      </c>
      <c r="G240" s="2">
        <f t="shared" si="71"/>
        <v>13980629</v>
      </c>
      <c r="H240" s="109"/>
      <c r="I240" s="110">
        <v>10.1</v>
      </c>
      <c r="J240" s="9">
        <f>j_WEEKDAY(D240,2)</f>
        <v>0</v>
      </c>
      <c r="K240" s="21">
        <f t="shared" si="69"/>
        <v>0</v>
      </c>
      <c r="L240" s="8">
        <f t="shared" si="74"/>
        <v>0</v>
      </c>
      <c r="M240" s="111">
        <v>0</v>
      </c>
      <c r="N240" s="108">
        <v>0</v>
      </c>
      <c r="O240" s="10">
        <f t="shared" si="75"/>
        <v>0</v>
      </c>
      <c r="P240" s="10">
        <f>VALUE(J_normdate(J_ADDDAY($D240,$O240,1)))</f>
        <v>13980630</v>
      </c>
      <c r="Q240" s="9">
        <f t="shared" si="76"/>
        <v>0</v>
      </c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/>
      <c r="BA240" s="7"/>
      <c r="BB240" s="7"/>
      <c r="BC240" s="7"/>
      <c r="BD240" s="7"/>
      <c r="BE240" s="7"/>
      <c r="BF240" s="7"/>
      <c r="BG240" s="7"/>
      <c r="BH240" s="7"/>
      <c r="BI240" s="7"/>
      <c r="BJ240" s="7"/>
      <c r="BK240" s="7"/>
      <c r="BL240" s="7"/>
      <c r="BM240" s="7"/>
      <c r="BN240" s="7"/>
      <c r="BO240" s="7"/>
      <c r="BP240" s="7"/>
      <c r="BQ240" s="7"/>
      <c r="BR240" s="7"/>
      <c r="BS240" s="7"/>
      <c r="BT240" s="7"/>
      <c r="BU240" s="7"/>
      <c r="BV240" s="7"/>
      <c r="BW240" s="7"/>
      <c r="BX240" s="7"/>
      <c r="BY240" s="7"/>
      <c r="BZ240" s="7"/>
      <c r="CA240" s="7"/>
      <c r="CB240" s="7"/>
      <c r="CC240" s="7"/>
      <c r="CD240" s="7"/>
      <c r="CE240" s="7"/>
      <c r="CF240" s="7"/>
      <c r="CG240" s="7"/>
      <c r="CH240" s="7"/>
      <c r="CI240" s="7"/>
      <c r="CJ240" s="7"/>
      <c r="CK240" s="7"/>
      <c r="CL240" s="7"/>
      <c r="CM240" s="7"/>
      <c r="CN240" s="7"/>
      <c r="CO240" s="7"/>
      <c r="CP240" s="7"/>
      <c r="CQ240" s="7"/>
      <c r="CR240" s="7"/>
      <c r="CS240" s="7"/>
      <c r="CT240" s="7"/>
      <c r="CU240" s="7"/>
      <c r="CV240" s="7"/>
      <c r="CW240" s="7"/>
      <c r="CX240" s="7"/>
      <c r="CY240" s="7"/>
      <c r="CZ240" s="7"/>
      <c r="DA240" s="7"/>
      <c r="DB240" s="7"/>
      <c r="DC240" s="7"/>
      <c r="DD240" s="7"/>
      <c r="DE240" s="7"/>
      <c r="DF240" s="7"/>
      <c r="DG240" s="7"/>
      <c r="DH240" s="7"/>
      <c r="DI240" s="7"/>
      <c r="DJ240" s="7"/>
      <c r="DK240" s="7"/>
      <c r="DL240" s="7"/>
      <c r="DM240" s="7"/>
      <c r="DN240" s="7"/>
      <c r="DO240" s="7"/>
      <c r="DP240" s="7"/>
      <c r="DQ240" s="7"/>
      <c r="DR240" s="7"/>
      <c r="DS240" s="7"/>
      <c r="DT240" s="7"/>
      <c r="DU240" s="7"/>
      <c r="DV240" s="7"/>
      <c r="DW240" s="7"/>
      <c r="DX240" s="7"/>
      <c r="DY240" s="7"/>
      <c r="DZ240" s="7"/>
      <c r="EA240" s="7"/>
      <c r="EB240" s="7"/>
      <c r="EC240" s="7"/>
      <c r="ED240" s="7"/>
      <c r="EE240" s="7"/>
      <c r="EF240" s="7"/>
      <c r="EG240" s="7"/>
      <c r="EH240" s="7"/>
      <c r="EI240" s="7"/>
      <c r="EJ240" s="7"/>
      <c r="EK240" s="7"/>
      <c r="EL240" s="7"/>
      <c r="EM240" s="7"/>
      <c r="EN240" s="7"/>
      <c r="EO240" s="7"/>
      <c r="EP240" s="7"/>
      <c r="EQ240" s="7"/>
      <c r="ER240" s="7"/>
      <c r="ES240" s="7"/>
      <c r="ET240" s="7"/>
      <c r="EU240" s="7"/>
      <c r="EV240" s="7"/>
      <c r="EW240" s="7"/>
      <c r="EX240" s="7"/>
      <c r="EY240" s="7"/>
      <c r="EZ240" s="7"/>
      <c r="FA240" s="7"/>
      <c r="FB240" s="7"/>
      <c r="FC240" s="7"/>
      <c r="FD240" s="7"/>
      <c r="FE240" s="7"/>
      <c r="FF240" s="7"/>
      <c r="FG240" s="7"/>
      <c r="FH240" s="7"/>
      <c r="FI240" s="7"/>
      <c r="FJ240" s="7"/>
      <c r="FK240" s="7"/>
      <c r="FL240" s="7"/>
      <c r="FM240" s="7"/>
      <c r="FN240" s="7"/>
      <c r="FO240" s="7"/>
      <c r="FP240" s="7"/>
      <c r="FQ240" s="7"/>
      <c r="FR240" s="7"/>
      <c r="FS240" s="7"/>
      <c r="FT240" s="7"/>
      <c r="FU240" s="7"/>
      <c r="FV240" s="7"/>
      <c r="FW240" s="7"/>
      <c r="FX240" s="7"/>
      <c r="FY240" s="7"/>
      <c r="FZ240" s="7"/>
      <c r="GA240" s="7"/>
      <c r="GB240" s="7"/>
      <c r="GC240" s="7"/>
      <c r="GD240" s="7"/>
      <c r="GE240" s="7"/>
      <c r="GF240" s="7"/>
      <c r="GG240" s="7"/>
      <c r="GH240" s="7"/>
      <c r="GI240" s="7"/>
      <c r="GJ240" s="7"/>
      <c r="GK240" s="7"/>
      <c r="GL240" s="7"/>
      <c r="GM240" s="7"/>
      <c r="GN240" s="7"/>
      <c r="GO240" s="7"/>
      <c r="GP240" s="7"/>
      <c r="GQ240" s="7"/>
      <c r="GR240" s="7"/>
      <c r="GS240" s="7"/>
      <c r="GT240" s="7"/>
      <c r="GU240" s="7"/>
      <c r="GV240" s="7"/>
      <c r="GW240" s="7"/>
      <c r="GX240" s="7"/>
      <c r="GY240" s="7"/>
      <c r="GZ240" s="7"/>
      <c r="HA240" s="7"/>
      <c r="HB240" s="7"/>
      <c r="HC240" s="7"/>
      <c r="HD240" s="7"/>
      <c r="HE240" s="7"/>
      <c r="HF240" s="7"/>
      <c r="HG240" s="7"/>
      <c r="HH240" s="7"/>
      <c r="HI240" s="7"/>
      <c r="HJ240" s="7"/>
      <c r="HK240" s="7"/>
      <c r="HL240" s="7"/>
      <c r="HM240" s="7"/>
      <c r="HN240" s="7"/>
      <c r="HO240" s="7"/>
      <c r="HP240" s="7"/>
      <c r="HQ240" s="7"/>
      <c r="HR240" s="7"/>
      <c r="HS240" s="7"/>
      <c r="HT240" s="7"/>
      <c r="HU240" s="7"/>
      <c r="HV240" s="7"/>
      <c r="HW240" s="7"/>
      <c r="HX240" s="7"/>
      <c r="HY240" s="7"/>
      <c r="HZ240" s="7"/>
      <c r="IA240" s="7"/>
      <c r="IB240" s="7"/>
      <c r="IC240" s="7"/>
      <c r="ID240" s="7"/>
      <c r="IE240" s="7"/>
      <c r="IF240" s="7"/>
      <c r="IG240" s="7"/>
      <c r="IH240" s="7"/>
      <c r="II240" s="7"/>
      <c r="IJ240" s="7"/>
      <c r="IK240" s="7"/>
      <c r="IL240" s="7"/>
      <c r="IM240" s="7"/>
      <c r="IN240" s="7"/>
      <c r="IO240" s="7"/>
      <c r="IP240" s="7"/>
      <c r="IQ240" s="7"/>
      <c r="IR240" s="7"/>
      <c r="IS240" s="7"/>
      <c r="IT240" s="7"/>
      <c r="IU240" s="7"/>
      <c r="IV240" s="7"/>
      <c r="IW240" s="7"/>
      <c r="IX240" s="7"/>
      <c r="JA240" s="113"/>
      <c r="JB240" s="113"/>
      <c r="JC240" s="113"/>
      <c r="JD240" s="66">
        <f>SUM((TEXT(JA240,"[M]")/60)*'Income Person-hours'!$D$3,(TEXT(JB240,"[M]")/60)*'Income Person-hours'!$D$4,(TEXT(JC240,"[M]")/60)*'Income Person-hours'!$D$5)</f>
        <v>0</v>
      </c>
    </row>
    <row r="241" spans="1:264" s="11" customFormat="1" ht="11.25" hidden="1">
      <c r="A241" s="30">
        <v>10.19</v>
      </c>
      <c r="B241" s="116"/>
      <c r="C241" s="107"/>
      <c r="D241" s="12" t="str">
        <f>IF(OR(j_WEEKDAY(J_ADDDAY(VLOOKUP(I241,A:F,6,FALSE),H241,1),0)=6,SUMIFS(Holieday[ok],Holieday[date],J_ADDDAY(VLOOKUP(I241,A:F,6,FALSE),H241,1)))=FALSE(),J_ADDDAY(VLOOKUP(I241,A:F,6,FALSE),H241,1),IF(OR(j_WEEKDAY(J_ADDDAY(VLOOKUP(I241,A:F,6,FALSE),H241+1,1),0)=6,SUMIFS(Holieday[ok],Holieday[date],J_ADDDAY(VLOOKUP(I241,A:F,6,FALSE),H241+1,1)))=FALSE(),J_ADDDAY(VLOOKUP(I241,A:F,6,FALSE),H241+1,1),IF(OR(j_WEEKDAY(J_ADDDAY(VLOOKUP(I241,A:F,6,FALSE),H241+2,1),0)=6,SUMIFS(Holieday[ok],Holieday[date],J_ADDDAY(VLOOKUP(I241,A:F,6,FALSE),H241+2,1)))=FALSE(),J_ADDDAY(VLOOKUP(I241,A:F,6,FALSE),H241+2,1),IF(OR(j_WEEKDAY(J_ADDDAY(VLOOKUP(I241,A:F,6,FALSE),H241+3,1),0)=6,SUMIFS(Holieday[ok],Holieday[date],J_ADDDAY(VLOOKUP(I241,A:F,6,FALSE),H241+3,1)))=FALSE(),J_ADDDAY(VLOOKUP(I241,A:F,6,FALSE),H241+3,1),IF(OR(j_WEEKDAY(J_ADDDAY(VLOOKUP(I241,A:F,6,FALSE),H241+4,1),0)=6,SUMIFS(Holieday[ok],Holieday[date],J_ADDDAY(VLOOKUP(I241,A:F,6,FALSE),H241+4,1)))=FALSE(),J_ADDDAY(VLOOKUP(I241,A:F,6,FALSE),H241+4,1),J_ADDDAY(VLOOKUP(I241,A:F,6,FALSE),H241+5,1))))))</f>
        <v>1398/06/30</v>
      </c>
      <c r="E241" s="1">
        <f t="shared" si="70"/>
        <v>13980630</v>
      </c>
      <c r="F241" s="12" t="str">
        <f>IF(N241=0,J_SUBDAY(D241,1,1),IF((N241-NETWORKDAYS.INTL(J_GregorianDate(D241,1),J_GregorianDate(J_SUBDAY(J_ADDDAY(D241,N241,1),1,1),1),16,1)-SUMIFS(Holieday[ok],Holieday[date],CONCATENATE("&gt;","=",D241),Holieday[date],CONCATENATE("&lt;","=",J_SUBDAY(J_ADDDAY(D241,N241,1),1,1)))+SUMIFS(Holieday[Friday],Holieday[date],CONCATENATE("&gt;","=",D241),Holieday[date],CONCATENATE("&lt;","=",J_SUBDAY(J_ADDDAY(D241,N241,1),1,1))))=0,J_SUBDAY(J_ADDDAY(D241,N241,1),1,1),IF((N241-NETWORKDAYS.INTL(J_GregorianDate(D241,1),J_GregorianDate(J_SUBDAY(J_ADDDAY(D241,N241,1),1,1),1),16,1)-SUMIFS(Holieday[ok],Holieday[date],CONCATENATE("&gt;","=",D241),Holieday[date],CONCATENATE("&lt;","=",J_SUBDAY(J_ADDDAY(D241,N241,1),1,1)))+SUMIFS(Holieday[Friday],Holieday[date],CONCATENATE("&gt;","=",D241),Holieday[date],CONCATENATE("&lt;","=",J_SUBDAY(J_ADDDAY(D241,N241,1),1,1))))=1,J_SUBDAY(J_ADDDAY(D241,N241+1,1),1,1),IF((N241-NETWORKDAYS.INTL(J_GregorianDate(D241,1),J_GregorianDate(J_SUBDAY(J_ADDDAY(D241,N241,1),1,1),1),16,1)-SUMIFS(Holieday[ok],Holieday[date],CONCATENATE("&gt;","=",D241),Holieday[date],CONCATENATE("&lt;","=",J_SUBDAY(J_ADDDAY(D241,N241,1),1,1)))+SUMIFS(Holieday[Friday],Holieday[date],CONCATENATE("&gt;","=",D241),Holieday[date],CONCATENATE("&lt;","=",J_SUBDAY(J_ADDDAY(D241,N241,1),1,1))))=2,J_SUBDAY(J_ADDDAY(D241,N241+2,1),1,1),J_SUBDAY(J_ADDDAY(D241,N241+3,1),1,1)))))</f>
        <v>1398/06/29</v>
      </c>
      <c r="G241" s="2">
        <f t="shared" si="71"/>
        <v>13980629</v>
      </c>
      <c r="H241" s="109"/>
      <c r="I241" s="110">
        <v>10.1</v>
      </c>
      <c r="J241" s="9">
        <f>j_WEEKDAY(D241,2)</f>
        <v>0</v>
      </c>
      <c r="K241" s="21">
        <f t="shared" si="69"/>
        <v>0</v>
      </c>
      <c r="L241" s="8">
        <f t="shared" si="74"/>
        <v>0</v>
      </c>
      <c r="M241" s="111">
        <v>0</v>
      </c>
      <c r="N241" s="108">
        <v>0</v>
      </c>
      <c r="O241" s="10">
        <f t="shared" si="75"/>
        <v>0</v>
      </c>
      <c r="P241" s="10">
        <f>VALUE(J_normdate(J_ADDDAY($D241,$O241,1)))</f>
        <v>13980630</v>
      </c>
      <c r="Q241" s="9">
        <f t="shared" si="76"/>
        <v>0</v>
      </c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  <c r="BB241" s="7"/>
      <c r="BC241" s="7"/>
      <c r="BD241" s="7"/>
      <c r="BE241" s="7"/>
      <c r="BF241" s="7"/>
      <c r="BG241" s="7"/>
      <c r="BH241" s="7"/>
      <c r="BI241" s="7"/>
      <c r="BJ241" s="7"/>
      <c r="BK241" s="7"/>
      <c r="BL241" s="7"/>
      <c r="BM241" s="7"/>
      <c r="BN241" s="7"/>
      <c r="BO241" s="7"/>
      <c r="BP241" s="7"/>
      <c r="BQ241" s="7"/>
      <c r="BR241" s="7"/>
      <c r="BS241" s="7"/>
      <c r="BT241" s="7"/>
      <c r="BU241" s="7"/>
      <c r="BV241" s="7"/>
      <c r="BW241" s="7"/>
      <c r="BX241" s="7"/>
      <c r="BY241" s="7"/>
      <c r="BZ241" s="7"/>
      <c r="CA241" s="7"/>
      <c r="CB241" s="7"/>
      <c r="CC241" s="7"/>
      <c r="CD241" s="7"/>
      <c r="CE241" s="7"/>
      <c r="CF241" s="7"/>
      <c r="CG241" s="7"/>
      <c r="CH241" s="7"/>
      <c r="CI241" s="7"/>
      <c r="CJ241" s="7"/>
      <c r="CK241" s="7"/>
      <c r="CL241" s="7"/>
      <c r="CM241" s="7"/>
      <c r="CN241" s="7"/>
      <c r="CO241" s="7"/>
      <c r="CP241" s="7"/>
      <c r="CQ241" s="7"/>
      <c r="CR241" s="7"/>
      <c r="CS241" s="7"/>
      <c r="CT241" s="7"/>
      <c r="CU241" s="7"/>
      <c r="CV241" s="7"/>
      <c r="CW241" s="7"/>
      <c r="CX241" s="7"/>
      <c r="CY241" s="7"/>
      <c r="CZ241" s="7"/>
      <c r="DA241" s="7"/>
      <c r="DB241" s="7"/>
      <c r="DC241" s="7"/>
      <c r="DD241" s="7"/>
      <c r="DE241" s="7"/>
      <c r="DF241" s="7"/>
      <c r="DG241" s="7"/>
      <c r="DH241" s="7"/>
      <c r="DI241" s="7"/>
      <c r="DJ241" s="7"/>
      <c r="DK241" s="7"/>
      <c r="DL241" s="7"/>
      <c r="DM241" s="7"/>
      <c r="DN241" s="7"/>
      <c r="DO241" s="7"/>
      <c r="DP241" s="7"/>
      <c r="DQ241" s="7"/>
      <c r="DR241" s="7"/>
      <c r="DS241" s="7"/>
      <c r="DT241" s="7"/>
      <c r="DU241" s="7"/>
      <c r="DV241" s="7"/>
      <c r="DW241" s="7"/>
      <c r="DX241" s="7"/>
      <c r="DY241" s="7"/>
      <c r="DZ241" s="7"/>
      <c r="EA241" s="7"/>
      <c r="EB241" s="7"/>
      <c r="EC241" s="7"/>
      <c r="ED241" s="7"/>
      <c r="EE241" s="7"/>
      <c r="EF241" s="7"/>
      <c r="EG241" s="7"/>
      <c r="EH241" s="7"/>
      <c r="EI241" s="7"/>
      <c r="EJ241" s="7"/>
      <c r="EK241" s="7"/>
      <c r="EL241" s="7"/>
      <c r="EM241" s="7"/>
      <c r="EN241" s="7"/>
      <c r="EO241" s="7"/>
      <c r="EP241" s="7"/>
      <c r="EQ241" s="7"/>
      <c r="ER241" s="7"/>
      <c r="ES241" s="7"/>
      <c r="ET241" s="7"/>
      <c r="EU241" s="7"/>
      <c r="EV241" s="7"/>
      <c r="EW241" s="7"/>
      <c r="EX241" s="7"/>
      <c r="EY241" s="7"/>
      <c r="EZ241" s="7"/>
      <c r="FA241" s="7"/>
      <c r="FB241" s="7"/>
      <c r="FC241" s="7"/>
      <c r="FD241" s="7"/>
      <c r="FE241" s="7"/>
      <c r="FF241" s="7"/>
      <c r="FG241" s="7"/>
      <c r="FH241" s="7"/>
      <c r="FI241" s="7"/>
      <c r="FJ241" s="7"/>
      <c r="FK241" s="7"/>
      <c r="FL241" s="7"/>
      <c r="FM241" s="7"/>
      <c r="FN241" s="7"/>
      <c r="FO241" s="7"/>
      <c r="FP241" s="7"/>
      <c r="FQ241" s="7"/>
      <c r="FR241" s="7"/>
      <c r="FS241" s="7"/>
      <c r="FT241" s="7"/>
      <c r="FU241" s="7"/>
      <c r="FV241" s="7"/>
      <c r="FW241" s="7"/>
      <c r="FX241" s="7"/>
      <c r="FY241" s="7"/>
      <c r="FZ241" s="7"/>
      <c r="GA241" s="7"/>
      <c r="GB241" s="7"/>
      <c r="GC241" s="7"/>
      <c r="GD241" s="7"/>
      <c r="GE241" s="7"/>
      <c r="GF241" s="7"/>
      <c r="GG241" s="7"/>
      <c r="GH241" s="7"/>
      <c r="GI241" s="7"/>
      <c r="GJ241" s="7"/>
      <c r="GK241" s="7"/>
      <c r="GL241" s="7"/>
      <c r="GM241" s="7"/>
      <c r="GN241" s="7"/>
      <c r="GO241" s="7"/>
      <c r="GP241" s="7"/>
      <c r="GQ241" s="7"/>
      <c r="GR241" s="7"/>
      <c r="GS241" s="7"/>
      <c r="GT241" s="7"/>
      <c r="GU241" s="7"/>
      <c r="GV241" s="7"/>
      <c r="GW241" s="7"/>
      <c r="GX241" s="7"/>
      <c r="GY241" s="7"/>
      <c r="GZ241" s="7"/>
      <c r="HA241" s="7"/>
      <c r="HB241" s="7"/>
      <c r="HC241" s="7"/>
      <c r="HD241" s="7"/>
      <c r="HE241" s="7"/>
      <c r="HF241" s="7"/>
      <c r="HG241" s="7"/>
      <c r="HH241" s="7"/>
      <c r="HI241" s="7"/>
      <c r="HJ241" s="7"/>
      <c r="HK241" s="7"/>
      <c r="HL241" s="7"/>
      <c r="HM241" s="7"/>
      <c r="HN241" s="7"/>
      <c r="HO241" s="7"/>
      <c r="HP241" s="7"/>
      <c r="HQ241" s="7"/>
      <c r="HR241" s="7"/>
      <c r="HS241" s="7"/>
      <c r="HT241" s="7"/>
      <c r="HU241" s="7"/>
      <c r="HV241" s="7"/>
      <c r="HW241" s="7"/>
      <c r="HX241" s="7"/>
      <c r="HY241" s="7"/>
      <c r="HZ241" s="7"/>
      <c r="IA241" s="7"/>
      <c r="IB241" s="7"/>
      <c r="IC241" s="7"/>
      <c r="ID241" s="7"/>
      <c r="IE241" s="7"/>
      <c r="IF241" s="7"/>
      <c r="IG241" s="7"/>
      <c r="IH241" s="7"/>
      <c r="II241" s="7"/>
      <c r="IJ241" s="7"/>
      <c r="IK241" s="7"/>
      <c r="IL241" s="7"/>
      <c r="IM241" s="7"/>
      <c r="IN241" s="7"/>
      <c r="IO241" s="7"/>
      <c r="IP241" s="7"/>
      <c r="IQ241" s="7"/>
      <c r="IR241" s="7"/>
      <c r="IS241" s="7"/>
      <c r="IT241" s="7"/>
      <c r="IU241" s="7"/>
      <c r="IV241" s="7"/>
      <c r="IW241" s="7"/>
      <c r="IX241" s="7"/>
      <c r="JA241" s="113"/>
      <c r="JB241" s="113"/>
      <c r="JC241" s="113"/>
      <c r="JD241" s="66">
        <f>SUM((TEXT(JA241,"[M]")/60)*'Income Person-hours'!$D$3,(TEXT(JB241,"[M]")/60)*'Income Person-hours'!$D$4,(TEXT(JC241,"[M]")/60)*'Income Person-hours'!$D$5)</f>
        <v>0</v>
      </c>
    </row>
    <row r="242" spans="1:264" s="11" customFormat="1" ht="11.25" hidden="1">
      <c r="A242" s="30">
        <v>1.0209999999999999</v>
      </c>
      <c r="B242" s="116"/>
      <c r="C242" s="107"/>
      <c r="D242" s="12" t="str">
        <f>IF(OR(j_WEEKDAY(J_ADDDAY(VLOOKUP(I242,A:F,6,FALSE),H242,1),0)=6,SUMIFS(Holieday[ok],Holieday[date],J_ADDDAY(VLOOKUP(I242,A:F,6,FALSE),H242,1)))=FALSE(),J_ADDDAY(VLOOKUP(I242,A:F,6,FALSE),H242,1),IF(OR(j_WEEKDAY(J_ADDDAY(VLOOKUP(I242,A:F,6,FALSE),H242+1,1),0)=6,SUMIFS(Holieday[ok],Holieday[date],J_ADDDAY(VLOOKUP(I242,A:F,6,FALSE),H242+1,1)))=FALSE(),J_ADDDAY(VLOOKUP(I242,A:F,6,FALSE),H242+1,1),IF(OR(j_WEEKDAY(J_ADDDAY(VLOOKUP(I242,A:F,6,FALSE),H242+2,1),0)=6,SUMIFS(Holieday[ok],Holieday[date],J_ADDDAY(VLOOKUP(I242,A:F,6,FALSE),H242+2,1)))=FALSE(),J_ADDDAY(VLOOKUP(I242,A:F,6,FALSE),H242+2,1),IF(OR(j_WEEKDAY(J_ADDDAY(VLOOKUP(I242,A:F,6,FALSE),H242+3,1),0)=6,SUMIFS(Holieday[ok],Holieday[date],J_ADDDAY(VLOOKUP(I242,A:F,6,FALSE),H242+3,1)))=FALSE(),J_ADDDAY(VLOOKUP(I242,A:F,6,FALSE),H242+3,1),IF(OR(j_WEEKDAY(J_ADDDAY(VLOOKUP(I242,A:F,6,FALSE),H242+4,1),0)=6,SUMIFS(Holieday[ok],Holieday[date],J_ADDDAY(VLOOKUP(I242,A:F,6,FALSE),H242+4,1)))=FALSE(),J_ADDDAY(VLOOKUP(I242,A:F,6,FALSE),H242+4,1),J_ADDDAY(VLOOKUP(I242,A:F,6,FALSE),H242+5,1))))))</f>
        <v>1398/06/30</v>
      </c>
      <c r="E242" s="1">
        <f t="shared" si="70"/>
        <v>13980630</v>
      </c>
      <c r="F242" s="12" t="str">
        <f>IF(N242=0,J_SUBDAY(D242,1,1),IF((N242-NETWORKDAYS.INTL(J_GregorianDate(D242,1),J_GregorianDate(J_SUBDAY(J_ADDDAY(D242,N242,1),1,1),1),16,1)-SUMIFS(Holieday[ok],Holieday[date],CONCATENATE("&gt;","=",D242),Holieday[date],CONCATENATE("&lt;","=",J_SUBDAY(J_ADDDAY(D242,N242,1),1,1)))+SUMIFS(Holieday[Friday],Holieday[date],CONCATENATE("&gt;","=",D242),Holieday[date],CONCATENATE("&lt;","=",J_SUBDAY(J_ADDDAY(D242,N242,1),1,1))))=0,J_SUBDAY(J_ADDDAY(D242,N242,1),1,1),IF((N242-NETWORKDAYS.INTL(J_GregorianDate(D242,1),J_GregorianDate(J_SUBDAY(J_ADDDAY(D242,N242,1),1,1),1),16,1)-SUMIFS(Holieday[ok],Holieday[date],CONCATENATE("&gt;","=",D242),Holieday[date],CONCATENATE("&lt;","=",J_SUBDAY(J_ADDDAY(D242,N242,1),1,1)))+SUMIFS(Holieday[Friday],Holieday[date],CONCATENATE("&gt;","=",D242),Holieday[date],CONCATENATE("&lt;","=",J_SUBDAY(J_ADDDAY(D242,N242,1),1,1))))=1,J_SUBDAY(J_ADDDAY(D242,N242+1,1),1,1),IF((N242-NETWORKDAYS.INTL(J_GregorianDate(D242,1),J_GregorianDate(J_SUBDAY(J_ADDDAY(D242,N242,1),1,1),1),16,1)-SUMIFS(Holieday[ok],Holieday[date],CONCATENATE("&gt;","=",D242),Holieday[date],CONCATENATE("&lt;","=",J_SUBDAY(J_ADDDAY(D242,N242,1),1,1)))+SUMIFS(Holieday[Friday],Holieday[date],CONCATENATE("&gt;","=",D242),Holieday[date],CONCATENATE("&lt;","=",J_SUBDAY(J_ADDDAY(D242,N242,1),1,1))))=2,J_SUBDAY(J_ADDDAY(D242,N242+2,1),1,1),J_SUBDAY(J_ADDDAY(D242,N242+3,1),1,1)))))</f>
        <v>1398/06/29</v>
      </c>
      <c r="G242" s="2">
        <f t="shared" si="71"/>
        <v>13980629</v>
      </c>
      <c r="H242" s="109"/>
      <c r="I242" s="110">
        <v>10.1</v>
      </c>
      <c r="J242" s="9">
        <f>j_WEEKDAY(D242,2)</f>
        <v>0</v>
      </c>
      <c r="K242" s="21">
        <f t="shared" si="69"/>
        <v>0</v>
      </c>
      <c r="L242" s="8">
        <f t="shared" si="74"/>
        <v>0</v>
      </c>
      <c r="M242" s="111">
        <v>0</v>
      </c>
      <c r="N242" s="108">
        <v>0</v>
      </c>
      <c r="O242" s="10">
        <f t="shared" si="75"/>
        <v>0</v>
      </c>
      <c r="P242" s="10">
        <f>VALUE(J_normdate(J_ADDDAY($D242,$O242,1)))</f>
        <v>13980630</v>
      </c>
      <c r="Q242" s="9">
        <f t="shared" si="76"/>
        <v>0</v>
      </c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  <c r="BB242" s="7"/>
      <c r="BC242" s="7"/>
      <c r="BD242" s="7"/>
      <c r="BE242" s="7"/>
      <c r="BF242" s="7"/>
      <c r="BG242" s="7"/>
      <c r="BH242" s="7"/>
      <c r="BI242" s="7"/>
      <c r="BJ242" s="7"/>
      <c r="BK242" s="7"/>
      <c r="BL242" s="7"/>
      <c r="BM242" s="7"/>
      <c r="BN242" s="7"/>
      <c r="BO242" s="7"/>
      <c r="BP242" s="7"/>
      <c r="BQ242" s="7"/>
      <c r="BR242" s="7"/>
      <c r="BS242" s="7"/>
      <c r="BT242" s="7"/>
      <c r="BU242" s="7"/>
      <c r="BV242" s="7"/>
      <c r="BW242" s="7"/>
      <c r="BX242" s="7"/>
      <c r="BY242" s="7"/>
      <c r="BZ242" s="7"/>
      <c r="CA242" s="7"/>
      <c r="CB242" s="7"/>
      <c r="CC242" s="7"/>
      <c r="CD242" s="7"/>
      <c r="CE242" s="7"/>
      <c r="CF242" s="7"/>
      <c r="CG242" s="7"/>
      <c r="CH242" s="7"/>
      <c r="CI242" s="7"/>
      <c r="CJ242" s="7"/>
      <c r="CK242" s="7"/>
      <c r="CL242" s="7"/>
      <c r="CM242" s="7"/>
      <c r="CN242" s="7"/>
      <c r="CO242" s="7"/>
      <c r="CP242" s="7"/>
      <c r="CQ242" s="7"/>
      <c r="CR242" s="7"/>
      <c r="CS242" s="7"/>
      <c r="CT242" s="7"/>
      <c r="CU242" s="7"/>
      <c r="CV242" s="7"/>
      <c r="CW242" s="7"/>
      <c r="CX242" s="7"/>
      <c r="CY242" s="7"/>
      <c r="CZ242" s="7"/>
      <c r="DA242" s="7"/>
      <c r="DB242" s="7"/>
      <c r="DC242" s="7"/>
      <c r="DD242" s="7"/>
      <c r="DE242" s="7"/>
      <c r="DF242" s="7"/>
      <c r="DG242" s="7"/>
      <c r="DH242" s="7"/>
      <c r="DI242" s="7"/>
      <c r="DJ242" s="7"/>
      <c r="DK242" s="7"/>
      <c r="DL242" s="7"/>
      <c r="DM242" s="7"/>
      <c r="DN242" s="7"/>
      <c r="DO242" s="7"/>
      <c r="DP242" s="7"/>
      <c r="DQ242" s="7"/>
      <c r="DR242" s="7"/>
      <c r="DS242" s="7"/>
      <c r="DT242" s="7"/>
      <c r="DU242" s="7"/>
      <c r="DV242" s="7"/>
      <c r="DW242" s="7"/>
      <c r="DX242" s="7"/>
      <c r="DY242" s="7"/>
      <c r="DZ242" s="7"/>
      <c r="EA242" s="7"/>
      <c r="EB242" s="7"/>
      <c r="EC242" s="7"/>
      <c r="ED242" s="7"/>
      <c r="EE242" s="7"/>
      <c r="EF242" s="7"/>
      <c r="EG242" s="7"/>
      <c r="EH242" s="7"/>
      <c r="EI242" s="7"/>
      <c r="EJ242" s="7"/>
      <c r="EK242" s="7"/>
      <c r="EL242" s="7"/>
      <c r="EM242" s="7"/>
      <c r="EN242" s="7"/>
      <c r="EO242" s="7"/>
      <c r="EP242" s="7"/>
      <c r="EQ242" s="7"/>
      <c r="ER242" s="7"/>
      <c r="ES242" s="7"/>
      <c r="ET242" s="7"/>
      <c r="EU242" s="7"/>
      <c r="EV242" s="7"/>
      <c r="EW242" s="7"/>
      <c r="EX242" s="7"/>
      <c r="EY242" s="7"/>
      <c r="EZ242" s="7"/>
      <c r="FA242" s="7"/>
      <c r="FB242" s="7"/>
      <c r="FC242" s="7"/>
      <c r="FD242" s="7"/>
      <c r="FE242" s="7"/>
      <c r="FF242" s="7"/>
      <c r="FG242" s="7"/>
      <c r="FH242" s="7"/>
      <c r="FI242" s="7"/>
      <c r="FJ242" s="7"/>
      <c r="FK242" s="7"/>
      <c r="FL242" s="7"/>
      <c r="FM242" s="7"/>
      <c r="FN242" s="7"/>
      <c r="FO242" s="7"/>
      <c r="FP242" s="7"/>
      <c r="FQ242" s="7"/>
      <c r="FR242" s="7"/>
      <c r="FS242" s="7"/>
      <c r="FT242" s="7"/>
      <c r="FU242" s="7"/>
      <c r="FV242" s="7"/>
      <c r="FW242" s="7"/>
      <c r="FX242" s="7"/>
      <c r="FY242" s="7"/>
      <c r="FZ242" s="7"/>
      <c r="GA242" s="7"/>
      <c r="GB242" s="7"/>
      <c r="GC242" s="7"/>
      <c r="GD242" s="7"/>
      <c r="GE242" s="7"/>
      <c r="GF242" s="7"/>
      <c r="GG242" s="7"/>
      <c r="GH242" s="7"/>
      <c r="GI242" s="7"/>
      <c r="GJ242" s="7"/>
      <c r="GK242" s="7"/>
      <c r="GL242" s="7"/>
      <c r="GM242" s="7"/>
      <c r="GN242" s="7"/>
      <c r="GO242" s="7"/>
      <c r="GP242" s="7"/>
      <c r="GQ242" s="7"/>
      <c r="GR242" s="7"/>
      <c r="GS242" s="7"/>
      <c r="GT242" s="7"/>
      <c r="GU242" s="7"/>
      <c r="GV242" s="7"/>
      <c r="GW242" s="7"/>
      <c r="GX242" s="7"/>
      <c r="GY242" s="7"/>
      <c r="GZ242" s="7"/>
      <c r="HA242" s="7"/>
      <c r="HB242" s="7"/>
      <c r="HC242" s="7"/>
      <c r="HD242" s="7"/>
      <c r="HE242" s="7"/>
      <c r="HF242" s="7"/>
      <c r="HG242" s="7"/>
      <c r="HH242" s="7"/>
      <c r="HI242" s="7"/>
      <c r="HJ242" s="7"/>
      <c r="HK242" s="7"/>
      <c r="HL242" s="7"/>
      <c r="HM242" s="7"/>
      <c r="HN242" s="7"/>
      <c r="HO242" s="7"/>
      <c r="HP242" s="7"/>
      <c r="HQ242" s="7"/>
      <c r="HR242" s="7"/>
      <c r="HS242" s="7"/>
      <c r="HT242" s="7"/>
      <c r="HU242" s="7"/>
      <c r="HV242" s="7"/>
      <c r="HW242" s="7"/>
      <c r="HX242" s="7"/>
      <c r="HY242" s="7"/>
      <c r="HZ242" s="7"/>
      <c r="IA242" s="7"/>
      <c r="IB242" s="7"/>
      <c r="IC242" s="7"/>
      <c r="ID242" s="7"/>
      <c r="IE242" s="7"/>
      <c r="IF242" s="7"/>
      <c r="IG242" s="7"/>
      <c r="IH242" s="7"/>
      <c r="II242" s="7"/>
      <c r="IJ242" s="7"/>
      <c r="IK242" s="7"/>
      <c r="IL242" s="7"/>
      <c r="IM242" s="7"/>
      <c r="IN242" s="7"/>
      <c r="IO242" s="7"/>
      <c r="IP242" s="7"/>
      <c r="IQ242" s="7"/>
      <c r="IR242" s="7"/>
      <c r="IS242" s="7"/>
      <c r="IT242" s="7"/>
      <c r="IU242" s="7"/>
      <c r="IV242" s="7"/>
      <c r="IW242" s="7"/>
      <c r="IX242" s="7"/>
      <c r="JA242" s="113"/>
      <c r="JB242" s="113"/>
      <c r="JC242" s="113"/>
      <c r="JD242" s="66">
        <f>SUM((TEXT(JA242,"[M]")/60)*'Income Person-hours'!$D$3,(TEXT(JB242,"[M]")/60)*'Income Person-hours'!$D$4,(TEXT(JC242,"[M]")/60)*'Income Person-hours'!$D$5)</f>
        <v>0</v>
      </c>
    </row>
    <row r="243" spans="1:264" s="11" customFormat="1" ht="11.25" hidden="1">
      <c r="A243" s="30">
        <v>10.220000000000001</v>
      </c>
      <c r="B243" s="116"/>
      <c r="C243" s="107"/>
      <c r="D243" s="12" t="str">
        <f>IF(OR(j_WEEKDAY(J_ADDDAY(VLOOKUP(I243,A:F,6,FALSE),H243,1),0)=6,SUMIFS(Holieday[ok],Holieday[date],J_ADDDAY(VLOOKUP(I243,A:F,6,FALSE),H243,1)))=FALSE(),J_ADDDAY(VLOOKUP(I243,A:F,6,FALSE),H243,1),IF(OR(j_WEEKDAY(J_ADDDAY(VLOOKUP(I243,A:F,6,FALSE),H243+1,1),0)=6,SUMIFS(Holieday[ok],Holieday[date],J_ADDDAY(VLOOKUP(I243,A:F,6,FALSE),H243+1,1)))=FALSE(),J_ADDDAY(VLOOKUP(I243,A:F,6,FALSE),H243+1,1),IF(OR(j_WEEKDAY(J_ADDDAY(VLOOKUP(I243,A:F,6,FALSE),H243+2,1),0)=6,SUMIFS(Holieday[ok],Holieday[date],J_ADDDAY(VLOOKUP(I243,A:F,6,FALSE),H243+2,1)))=FALSE(),J_ADDDAY(VLOOKUP(I243,A:F,6,FALSE),H243+2,1),IF(OR(j_WEEKDAY(J_ADDDAY(VLOOKUP(I243,A:F,6,FALSE),H243+3,1),0)=6,SUMIFS(Holieday[ok],Holieday[date],J_ADDDAY(VLOOKUP(I243,A:F,6,FALSE),H243+3,1)))=FALSE(),J_ADDDAY(VLOOKUP(I243,A:F,6,FALSE),H243+3,1),IF(OR(j_WEEKDAY(J_ADDDAY(VLOOKUP(I243,A:F,6,FALSE),H243+4,1),0)=6,SUMIFS(Holieday[ok],Holieday[date],J_ADDDAY(VLOOKUP(I243,A:F,6,FALSE),H243+4,1)))=FALSE(),J_ADDDAY(VLOOKUP(I243,A:F,6,FALSE),H243+4,1),J_ADDDAY(VLOOKUP(I243,A:F,6,FALSE),H243+5,1))))))</f>
        <v>1398/06/30</v>
      </c>
      <c r="E243" s="1">
        <f t="shared" si="70"/>
        <v>13980630</v>
      </c>
      <c r="F243" s="12" t="str">
        <f>IF(N243=0,J_SUBDAY(D243,1,1),IF((N243-NETWORKDAYS.INTL(J_GregorianDate(D243,1),J_GregorianDate(J_SUBDAY(J_ADDDAY(D243,N243,1),1,1),1),16,1)-SUMIFS(Holieday[ok],Holieday[date],CONCATENATE("&gt;","=",D243),Holieday[date],CONCATENATE("&lt;","=",J_SUBDAY(J_ADDDAY(D243,N243,1),1,1)))+SUMIFS(Holieday[Friday],Holieday[date],CONCATENATE("&gt;","=",D243),Holieday[date],CONCATENATE("&lt;","=",J_SUBDAY(J_ADDDAY(D243,N243,1),1,1))))=0,J_SUBDAY(J_ADDDAY(D243,N243,1),1,1),IF((N243-NETWORKDAYS.INTL(J_GregorianDate(D243,1),J_GregorianDate(J_SUBDAY(J_ADDDAY(D243,N243,1),1,1),1),16,1)-SUMIFS(Holieday[ok],Holieday[date],CONCATENATE("&gt;","=",D243),Holieday[date],CONCATENATE("&lt;","=",J_SUBDAY(J_ADDDAY(D243,N243,1),1,1)))+SUMIFS(Holieday[Friday],Holieday[date],CONCATENATE("&gt;","=",D243),Holieday[date],CONCATENATE("&lt;","=",J_SUBDAY(J_ADDDAY(D243,N243,1),1,1))))=1,J_SUBDAY(J_ADDDAY(D243,N243+1,1),1,1),IF((N243-NETWORKDAYS.INTL(J_GregorianDate(D243,1),J_GregorianDate(J_SUBDAY(J_ADDDAY(D243,N243,1),1,1),1),16,1)-SUMIFS(Holieday[ok],Holieday[date],CONCATENATE("&gt;","=",D243),Holieday[date],CONCATENATE("&lt;","=",J_SUBDAY(J_ADDDAY(D243,N243,1),1,1)))+SUMIFS(Holieday[Friday],Holieday[date],CONCATENATE("&gt;","=",D243),Holieday[date],CONCATENATE("&lt;","=",J_SUBDAY(J_ADDDAY(D243,N243,1),1,1))))=2,J_SUBDAY(J_ADDDAY(D243,N243+2,1),1,1),J_SUBDAY(J_ADDDAY(D243,N243+3,1),1,1)))))</f>
        <v>1398/06/29</v>
      </c>
      <c r="G243" s="2">
        <f t="shared" si="71"/>
        <v>13980629</v>
      </c>
      <c r="H243" s="109"/>
      <c r="I243" s="110">
        <v>10.1</v>
      </c>
      <c r="J243" s="9">
        <f>j_WEEKDAY(D243,2)</f>
        <v>0</v>
      </c>
      <c r="K243" s="21">
        <f t="shared" si="69"/>
        <v>0</v>
      </c>
      <c r="L243" s="8">
        <f t="shared" si="74"/>
        <v>0</v>
      </c>
      <c r="M243" s="111">
        <v>0</v>
      </c>
      <c r="N243" s="108">
        <v>0</v>
      </c>
      <c r="O243" s="10">
        <f t="shared" si="75"/>
        <v>0</v>
      </c>
      <c r="P243" s="10">
        <f>VALUE(J_normdate(J_ADDDAY($D243,$O243,1)))</f>
        <v>13980630</v>
      </c>
      <c r="Q243" s="9">
        <f t="shared" si="76"/>
        <v>0</v>
      </c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  <c r="BB243" s="7"/>
      <c r="BC243" s="7"/>
      <c r="BD243" s="7"/>
      <c r="BE243" s="7"/>
      <c r="BF243" s="7"/>
      <c r="BG243" s="7"/>
      <c r="BH243" s="7"/>
      <c r="BI243" s="7"/>
      <c r="BJ243" s="7"/>
      <c r="BK243" s="7"/>
      <c r="BL243" s="7"/>
      <c r="BM243" s="7"/>
      <c r="BN243" s="7"/>
      <c r="BO243" s="7"/>
      <c r="BP243" s="7"/>
      <c r="BQ243" s="7"/>
      <c r="BR243" s="7"/>
      <c r="BS243" s="7"/>
      <c r="BT243" s="7"/>
      <c r="BU243" s="7"/>
      <c r="BV243" s="7"/>
      <c r="BW243" s="7"/>
      <c r="BX243" s="7"/>
      <c r="BY243" s="7"/>
      <c r="BZ243" s="7"/>
      <c r="CA243" s="7"/>
      <c r="CB243" s="7"/>
      <c r="CC243" s="7"/>
      <c r="CD243" s="7"/>
      <c r="CE243" s="7"/>
      <c r="CF243" s="7"/>
      <c r="CG243" s="7"/>
      <c r="CH243" s="7"/>
      <c r="CI243" s="7"/>
      <c r="CJ243" s="7"/>
      <c r="CK243" s="7"/>
      <c r="CL243" s="7"/>
      <c r="CM243" s="7"/>
      <c r="CN243" s="7"/>
      <c r="CO243" s="7"/>
      <c r="CP243" s="7"/>
      <c r="CQ243" s="7"/>
      <c r="CR243" s="7"/>
      <c r="CS243" s="7"/>
      <c r="CT243" s="7"/>
      <c r="CU243" s="7"/>
      <c r="CV243" s="7"/>
      <c r="CW243" s="7"/>
      <c r="CX243" s="7"/>
      <c r="CY243" s="7"/>
      <c r="CZ243" s="7"/>
      <c r="DA243" s="7"/>
      <c r="DB243" s="7"/>
      <c r="DC243" s="7"/>
      <c r="DD243" s="7"/>
      <c r="DE243" s="7"/>
      <c r="DF243" s="7"/>
      <c r="DG243" s="7"/>
      <c r="DH243" s="7"/>
      <c r="DI243" s="7"/>
      <c r="DJ243" s="7"/>
      <c r="DK243" s="7"/>
      <c r="DL243" s="7"/>
      <c r="DM243" s="7"/>
      <c r="DN243" s="7"/>
      <c r="DO243" s="7"/>
      <c r="DP243" s="7"/>
      <c r="DQ243" s="7"/>
      <c r="DR243" s="7"/>
      <c r="DS243" s="7"/>
      <c r="DT243" s="7"/>
      <c r="DU243" s="7"/>
      <c r="DV243" s="7"/>
      <c r="DW243" s="7"/>
      <c r="DX243" s="7"/>
      <c r="DY243" s="7"/>
      <c r="DZ243" s="7"/>
      <c r="EA243" s="7"/>
      <c r="EB243" s="7"/>
      <c r="EC243" s="7"/>
      <c r="ED243" s="7"/>
      <c r="EE243" s="7"/>
      <c r="EF243" s="7"/>
      <c r="EG243" s="7"/>
      <c r="EH243" s="7"/>
      <c r="EI243" s="7"/>
      <c r="EJ243" s="7"/>
      <c r="EK243" s="7"/>
      <c r="EL243" s="7"/>
      <c r="EM243" s="7"/>
      <c r="EN243" s="7"/>
      <c r="EO243" s="7"/>
      <c r="EP243" s="7"/>
      <c r="EQ243" s="7"/>
      <c r="ER243" s="7"/>
      <c r="ES243" s="7"/>
      <c r="ET243" s="7"/>
      <c r="EU243" s="7"/>
      <c r="EV243" s="7"/>
      <c r="EW243" s="7"/>
      <c r="EX243" s="7"/>
      <c r="EY243" s="7"/>
      <c r="EZ243" s="7"/>
      <c r="FA243" s="7"/>
      <c r="FB243" s="7"/>
      <c r="FC243" s="7"/>
      <c r="FD243" s="7"/>
      <c r="FE243" s="7"/>
      <c r="FF243" s="7"/>
      <c r="FG243" s="7"/>
      <c r="FH243" s="7"/>
      <c r="FI243" s="7"/>
      <c r="FJ243" s="7"/>
      <c r="FK243" s="7"/>
      <c r="FL243" s="7"/>
      <c r="FM243" s="7"/>
      <c r="FN243" s="7"/>
      <c r="FO243" s="7"/>
      <c r="FP243" s="7"/>
      <c r="FQ243" s="7"/>
      <c r="FR243" s="7"/>
      <c r="FS243" s="7"/>
      <c r="FT243" s="7"/>
      <c r="FU243" s="7"/>
      <c r="FV243" s="7"/>
      <c r="FW243" s="7"/>
      <c r="FX243" s="7"/>
      <c r="FY243" s="7"/>
      <c r="FZ243" s="7"/>
      <c r="GA243" s="7"/>
      <c r="GB243" s="7"/>
      <c r="GC243" s="7"/>
      <c r="GD243" s="7"/>
      <c r="GE243" s="7"/>
      <c r="GF243" s="7"/>
      <c r="GG243" s="7"/>
      <c r="GH243" s="7"/>
      <c r="GI243" s="7"/>
      <c r="GJ243" s="7"/>
      <c r="GK243" s="7"/>
      <c r="GL243" s="7"/>
      <c r="GM243" s="7"/>
      <c r="GN243" s="7"/>
      <c r="GO243" s="7"/>
      <c r="GP243" s="7"/>
      <c r="GQ243" s="7"/>
      <c r="GR243" s="7"/>
      <c r="GS243" s="7"/>
      <c r="GT243" s="7"/>
      <c r="GU243" s="7"/>
      <c r="GV243" s="7"/>
      <c r="GW243" s="7"/>
      <c r="GX243" s="7"/>
      <c r="GY243" s="7"/>
      <c r="GZ243" s="7"/>
      <c r="HA243" s="7"/>
      <c r="HB243" s="7"/>
      <c r="HC243" s="7"/>
      <c r="HD243" s="7"/>
      <c r="HE243" s="7"/>
      <c r="HF243" s="7"/>
      <c r="HG243" s="7"/>
      <c r="HH243" s="7"/>
      <c r="HI243" s="7"/>
      <c r="HJ243" s="7"/>
      <c r="HK243" s="7"/>
      <c r="HL243" s="7"/>
      <c r="HM243" s="7"/>
      <c r="HN243" s="7"/>
      <c r="HO243" s="7"/>
      <c r="HP243" s="7"/>
      <c r="HQ243" s="7"/>
      <c r="HR243" s="7"/>
      <c r="HS243" s="7"/>
      <c r="HT243" s="7"/>
      <c r="HU243" s="7"/>
      <c r="HV243" s="7"/>
      <c r="HW243" s="7"/>
      <c r="HX243" s="7"/>
      <c r="HY243" s="7"/>
      <c r="HZ243" s="7"/>
      <c r="IA243" s="7"/>
      <c r="IB243" s="7"/>
      <c r="IC243" s="7"/>
      <c r="ID243" s="7"/>
      <c r="IE243" s="7"/>
      <c r="IF243" s="7"/>
      <c r="IG243" s="7"/>
      <c r="IH243" s="7"/>
      <c r="II243" s="7"/>
      <c r="IJ243" s="7"/>
      <c r="IK243" s="7"/>
      <c r="IL243" s="7"/>
      <c r="IM243" s="7"/>
      <c r="IN243" s="7"/>
      <c r="IO243" s="7"/>
      <c r="IP243" s="7"/>
      <c r="IQ243" s="7"/>
      <c r="IR243" s="7"/>
      <c r="IS243" s="7"/>
      <c r="IT243" s="7"/>
      <c r="IU243" s="7"/>
      <c r="IV243" s="7"/>
      <c r="IW243" s="7"/>
      <c r="IX243" s="7"/>
      <c r="JA243" s="113"/>
      <c r="JB243" s="113"/>
      <c r="JC243" s="113"/>
      <c r="JD243" s="66">
        <f>SUM((TEXT(JA243,"[M]")/60)*'Income Person-hours'!$D$3,(TEXT(JB243,"[M]")/60)*'Income Person-hours'!$D$4,(TEXT(JC243,"[M]")/60)*'Income Person-hours'!$D$5)</f>
        <v>0</v>
      </c>
    </row>
    <row r="244" spans="1:264" s="11" customFormat="1" ht="11.25" hidden="1">
      <c r="A244" s="30">
        <v>10.23</v>
      </c>
      <c r="B244" s="116"/>
      <c r="C244" s="107"/>
      <c r="D244" s="12" t="str">
        <f>IF(OR(j_WEEKDAY(J_ADDDAY(VLOOKUP(I244,A:F,6,FALSE),H244,1),0)=6,SUMIFS(Holieday[ok],Holieday[date],J_ADDDAY(VLOOKUP(I244,A:F,6,FALSE),H244,1)))=FALSE(),J_ADDDAY(VLOOKUP(I244,A:F,6,FALSE),H244,1),IF(OR(j_WEEKDAY(J_ADDDAY(VLOOKUP(I244,A:F,6,FALSE),H244+1,1),0)=6,SUMIFS(Holieday[ok],Holieday[date],J_ADDDAY(VLOOKUP(I244,A:F,6,FALSE),H244+1,1)))=FALSE(),J_ADDDAY(VLOOKUP(I244,A:F,6,FALSE),H244+1,1),IF(OR(j_WEEKDAY(J_ADDDAY(VLOOKUP(I244,A:F,6,FALSE),H244+2,1),0)=6,SUMIFS(Holieday[ok],Holieday[date],J_ADDDAY(VLOOKUP(I244,A:F,6,FALSE),H244+2,1)))=FALSE(),J_ADDDAY(VLOOKUP(I244,A:F,6,FALSE),H244+2,1),IF(OR(j_WEEKDAY(J_ADDDAY(VLOOKUP(I244,A:F,6,FALSE),H244+3,1),0)=6,SUMIFS(Holieday[ok],Holieday[date],J_ADDDAY(VLOOKUP(I244,A:F,6,FALSE),H244+3,1)))=FALSE(),J_ADDDAY(VLOOKUP(I244,A:F,6,FALSE),H244+3,1),IF(OR(j_WEEKDAY(J_ADDDAY(VLOOKUP(I244,A:F,6,FALSE),H244+4,1),0)=6,SUMIFS(Holieday[ok],Holieday[date],J_ADDDAY(VLOOKUP(I244,A:F,6,FALSE),H244+4,1)))=FALSE(),J_ADDDAY(VLOOKUP(I244,A:F,6,FALSE),H244+4,1),J_ADDDAY(VLOOKUP(I244,A:F,6,FALSE),H244+5,1))))))</f>
        <v>1398/06/30</v>
      </c>
      <c r="E244" s="1">
        <f t="shared" si="70"/>
        <v>13980630</v>
      </c>
      <c r="F244" s="12" t="str">
        <f>IF(N244=0,J_SUBDAY(D244,1,1),IF((N244-NETWORKDAYS.INTL(J_GregorianDate(D244,1),J_GregorianDate(J_SUBDAY(J_ADDDAY(D244,N244,1),1,1),1),16,1)-SUMIFS(Holieday[ok],Holieday[date],CONCATENATE("&gt;","=",D244),Holieday[date],CONCATENATE("&lt;","=",J_SUBDAY(J_ADDDAY(D244,N244,1),1,1)))+SUMIFS(Holieday[Friday],Holieday[date],CONCATENATE("&gt;","=",D244),Holieday[date],CONCATENATE("&lt;","=",J_SUBDAY(J_ADDDAY(D244,N244,1),1,1))))=0,J_SUBDAY(J_ADDDAY(D244,N244,1),1,1),IF((N244-NETWORKDAYS.INTL(J_GregorianDate(D244,1),J_GregorianDate(J_SUBDAY(J_ADDDAY(D244,N244,1),1,1),1),16,1)-SUMIFS(Holieday[ok],Holieday[date],CONCATENATE("&gt;","=",D244),Holieday[date],CONCATENATE("&lt;","=",J_SUBDAY(J_ADDDAY(D244,N244,1),1,1)))+SUMIFS(Holieday[Friday],Holieday[date],CONCATENATE("&gt;","=",D244),Holieday[date],CONCATENATE("&lt;","=",J_SUBDAY(J_ADDDAY(D244,N244,1),1,1))))=1,J_SUBDAY(J_ADDDAY(D244,N244+1,1),1,1),IF((N244-NETWORKDAYS.INTL(J_GregorianDate(D244,1),J_GregorianDate(J_SUBDAY(J_ADDDAY(D244,N244,1),1,1),1),16,1)-SUMIFS(Holieday[ok],Holieday[date],CONCATENATE("&gt;","=",D244),Holieday[date],CONCATENATE("&lt;","=",J_SUBDAY(J_ADDDAY(D244,N244,1),1,1)))+SUMIFS(Holieday[Friday],Holieday[date],CONCATENATE("&gt;","=",D244),Holieday[date],CONCATENATE("&lt;","=",J_SUBDAY(J_ADDDAY(D244,N244,1),1,1))))=2,J_SUBDAY(J_ADDDAY(D244,N244+2,1),1,1),J_SUBDAY(J_ADDDAY(D244,N244+3,1),1,1)))))</f>
        <v>1398/06/29</v>
      </c>
      <c r="G244" s="2">
        <f t="shared" si="71"/>
        <v>13980629</v>
      </c>
      <c r="H244" s="109"/>
      <c r="I244" s="110">
        <v>10.1</v>
      </c>
      <c r="J244" s="9">
        <f>j_WEEKDAY(D244,2)</f>
        <v>0</v>
      </c>
      <c r="K244" s="21">
        <f t="shared" si="69"/>
        <v>0</v>
      </c>
      <c r="L244" s="8">
        <f t="shared" si="74"/>
        <v>0</v>
      </c>
      <c r="M244" s="111">
        <v>0</v>
      </c>
      <c r="N244" s="108">
        <v>0</v>
      </c>
      <c r="O244" s="10">
        <f t="shared" si="75"/>
        <v>0</v>
      </c>
      <c r="P244" s="10">
        <f>VALUE(J_normdate(J_ADDDAY($D244,$O244,1)))</f>
        <v>13980630</v>
      </c>
      <c r="Q244" s="9">
        <f t="shared" si="76"/>
        <v>0</v>
      </c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  <c r="BB244" s="7"/>
      <c r="BC244" s="7"/>
      <c r="BD244" s="7"/>
      <c r="BE244" s="7"/>
      <c r="BF244" s="7"/>
      <c r="BG244" s="7"/>
      <c r="BH244" s="7"/>
      <c r="BI244" s="7"/>
      <c r="BJ244" s="7"/>
      <c r="BK244" s="7"/>
      <c r="BL244" s="7"/>
      <c r="BM244" s="7"/>
      <c r="BN244" s="7"/>
      <c r="BO244" s="7"/>
      <c r="BP244" s="7"/>
      <c r="BQ244" s="7"/>
      <c r="BR244" s="7"/>
      <c r="BS244" s="7"/>
      <c r="BT244" s="7"/>
      <c r="BU244" s="7"/>
      <c r="BV244" s="7"/>
      <c r="BW244" s="7"/>
      <c r="BX244" s="7"/>
      <c r="BY244" s="7"/>
      <c r="BZ244" s="7"/>
      <c r="CA244" s="7"/>
      <c r="CB244" s="7"/>
      <c r="CC244" s="7"/>
      <c r="CD244" s="7"/>
      <c r="CE244" s="7"/>
      <c r="CF244" s="7"/>
      <c r="CG244" s="7"/>
      <c r="CH244" s="7"/>
      <c r="CI244" s="7"/>
      <c r="CJ244" s="7"/>
      <c r="CK244" s="7"/>
      <c r="CL244" s="7"/>
      <c r="CM244" s="7"/>
      <c r="CN244" s="7"/>
      <c r="CO244" s="7"/>
      <c r="CP244" s="7"/>
      <c r="CQ244" s="7"/>
      <c r="CR244" s="7"/>
      <c r="CS244" s="7"/>
      <c r="CT244" s="7"/>
      <c r="CU244" s="7"/>
      <c r="CV244" s="7"/>
      <c r="CW244" s="7"/>
      <c r="CX244" s="7"/>
      <c r="CY244" s="7"/>
      <c r="CZ244" s="7"/>
      <c r="DA244" s="7"/>
      <c r="DB244" s="7"/>
      <c r="DC244" s="7"/>
      <c r="DD244" s="7"/>
      <c r="DE244" s="7"/>
      <c r="DF244" s="7"/>
      <c r="DG244" s="7"/>
      <c r="DH244" s="7"/>
      <c r="DI244" s="7"/>
      <c r="DJ244" s="7"/>
      <c r="DK244" s="7"/>
      <c r="DL244" s="7"/>
      <c r="DM244" s="7"/>
      <c r="DN244" s="7"/>
      <c r="DO244" s="7"/>
      <c r="DP244" s="7"/>
      <c r="DQ244" s="7"/>
      <c r="DR244" s="7"/>
      <c r="DS244" s="7"/>
      <c r="DT244" s="7"/>
      <c r="DU244" s="7"/>
      <c r="DV244" s="7"/>
      <c r="DW244" s="7"/>
      <c r="DX244" s="7"/>
      <c r="DY244" s="7"/>
      <c r="DZ244" s="7"/>
      <c r="EA244" s="7"/>
      <c r="EB244" s="7"/>
      <c r="EC244" s="7"/>
      <c r="ED244" s="7"/>
      <c r="EE244" s="7"/>
      <c r="EF244" s="7"/>
      <c r="EG244" s="7"/>
      <c r="EH244" s="7"/>
      <c r="EI244" s="7"/>
      <c r="EJ244" s="7"/>
      <c r="EK244" s="7"/>
      <c r="EL244" s="7"/>
      <c r="EM244" s="7"/>
      <c r="EN244" s="7"/>
      <c r="EO244" s="7"/>
      <c r="EP244" s="7"/>
      <c r="EQ244" s="7"/>
      <c r="ER244" s="7"/>
      <c r="ES244" s="7"/>
      <c r="ET244" s="7"/>
      <c r="EU244" s="7"/>
      <c r="EV244" s="7"/>
      <c r="EW244" s="7"/>
      <c r="EX244" s="7"/>
      <c r="EY244" s="7"/>
      <c r="EZ244" s="7"/>
      <c r="FA244" s="7"/>
      <c r="FB244" s="7"/>
      <c r="FC244" s="7"/>
      <c r="FD244" s="7"/>
      <c r="FE244" s="7"/>
      <c r="FF244" s="7"/>
      <c r="FG244" s="7"/>
      <c r="FH244" s="7"/>
      <c r="FI244" s="7"/>
      <c r="FJ244" s="7"/>
      <c r="FK244" s="7"/>
      <c r="FL244" s="7"/>
      <c r="FM244" s="7"/>
      <c r="FN244" s="7"/>
      <c r="FO244" s="7"/>
      <c r="FP244" s="7"/>
      <c r="FQ244" s="7"/>
      <c r="FR244" s="7"/>
      <c r="FS244" s="7"/>
      <c r="FT244" s="7"/>
      <c r="FU244" s="7"/>
      <c r="FV244" s="7"/>
      <c r="FW244" s="7"/>
      <c r="FX244" s="7"/>
      <c r="FY244" s="7"/>
      <c r="FZ244" s="7"/>
      <c r="GA244" s="7"/>
      <c r="GB244" s="7"/>
      <c r="GC244" s="7"/>
      <c r="GD244" s="7"/>
      <c r="GE244" s="7"/>
      <c r="GF244" s="7"/>
      <c r="GG244" s="7"/>
      <c r="GH244" s="7"/>
      <c r="GI244" s="7"/>
      <c r="GJ244" s="7"/>
      <c r="GK244" s="7"/>
      <c r="GL244" s="7"/>
      <c r="GM244" s="7"/>
      <c r="GN244" s="7"/>
      <c r="GO244" s="7"/>
      <c r="GP244" s="7"/>
      <c r="GQ244" s="7"/>
      <c r="GR244" s="7"/>
      <c r="GS244" s="7"/>
      <c r="GT244" s="7"/>
      <c r="GU244" s="7"/>
      <c r="GV244" s="7"/>
      <c r="GW244" s="7"/>
      <c r="GX244" s="7"/>
      <c r="GY244" s="7"/>
      <c r="GZ244" s="7"/>
      <c r="HA244" s="7"/>
      <c r="HB244" s="7"/>
      <c r="HC244" s="7"/>
      <c r="HD244" s="7"/>
      <c r="HE244" s="7"/>
      <c r="HF244" s="7"/>
      <c r="HG244" s="7"/>
      <c r="HH244" s="7"/>
      <c r="HI244" s="7"/>
      <c r="HJ244" s="7"/>
      <c r="HK244" s="7"/>
      <c r="HL244" s="7"/>
      <c r="HM244" s="7"/>
      <c r="HN244" s="7"/>
      <c r="HO244" s="7"/>
      <c r="HP244" s="7"/>
      <c r="HQ244" s="7"/>
      <c r="HR244" s="7"/>
      <c r="HS244" s="7"/>
      <c r="HT244" s="7"/>
      <c r="HU244" s="7"/>
      <c r="HV244" s="7"/>
      <c r="HW244" s="7"/>
      <c r="HX244" s="7"/>
      <c r="HY244" s="7"/>
      <c r="HZ244" s="7"/>
      <c r="IA244" s="7"/>
      <c r="IB244" s="7"/>
      <c r="IC244" s="7"/>
      <c r="ID244" s="7"/>
      <c r="IE244" s="7"/>
      <c r="IF244" s="7"/>
      <c r="IG244" s="7"/>
      <c r="IH244" s="7"/>
      <c r="II244" s="7"/>
      <c r="IJ244" s="7"/>
      <c r="IK244" s="7"/>
      <c r="IL244" s="7"/>
      <c r="IM244" s="7"/>
      <c r="IN244" s="7"/>
      <c r="IO244" s="7"/>
      <c r="IP244" s="7"/>
      <c r="IQ244" s="7"/>
      <c r="IR244" s="7"/>
      <c r="IS244" s="7"/>
      <c r="IT244" s="7"/>
      <c r="IU244" s="7"/>
      <c r="IV244" s="7"/>
      <c r="IW244" s="7"/>
      <c r="IX244" s="7"/>
      <c r="JA244" s="113"/>
      <c r="JB244" s="113"/>
      <c r="JC244" s="113"/>
      <c r="JD244" s="66">
        <f>SUM((TEXT(JA244,"[M]")/60)*'Income Person-hours'!$D$3,(TEXT(JB244,"[M]")/60)*'Income Person-hours'!$D$4,(TEXT(JC244,"[M]")/60)*'Income Person-hours'!$D$5)</f>
        <v>0</v>
      </c>
    </row>
    <row r="247" spans="1:264" ht="131.25">
      <c r="B247" s="332" t="s">
        <v>176</v>
      </c>
    </row>
  </sheetData>
  <sheetProtection selectLockedCells="1"/>
  <autoFilter ref="A8:Q244">
    <filterColumn colId="13">
      <filters>
        <filter val="1"/>
        <filter val="10"/>
        <filter val="121"/>
        <filter val="13"/>
        <filter val="15"/>
        <filter val="2"/>
        <filter val="20"/>
        <filter val="24"/>
        <filter val="3"/>
        <filter val="30"/>
        <filter val="4"/>
        <filter val="42"/>
        <filter val="5"/>
        <filter val="54"/>
        <filter val="64"/>
        <filter val="66"/>
        <filter val="7"/>
        <filter val="8"/>
      </filters>
    </filterColumn>
  </autoFilter>
  <mergeCells count="50">
    <mergeCell ref="HZ6:ID6"/>
    <mergeCell ref="GQ6:GU6"/>
    <mergeCell ref="GV6:GZ6"/>
    <mergeCell ref="HA6:HE6"/>
    <mergeCell ref="HF6:HJ6"/>
    <mergeCell ref="HK6:HO6"/>
    <mergeCell ref="HP6:HT6"/>
    <mergeCell ref="EN6:ER6"/>
    <mergeCell ref="ES6:EW6"/>
    <mergeCell ref="EX6:FB6"/>
    <mergeCell ref="FC6:FG6"/>
    <mergeCell ref="HU6:HY6"/>
    <mergeCell ref="FM6:FQ6"/>
    <mergeCell ref="FR6:FV6"/>
    <mergeCell ref="FW6:GA6"/>
    <mergeCell ref="GB6:GF6"/>
    <mergeCell ref="GG6:GK6"/>
    <mergeCell ref="GL6:GP6"/>
    <mergeCell ref="IT6:IX6"/>
    <mergeCell ref="S6:W6"/>
    <mergeCell ref="X6:AB6"/>
    <mergeCell ref="AC6:AG6"/>
    <mergeCell ref="AH6:AL6"/>
    <mergeCell ref="AM6:AQ6"/>
    <mergeCell ref="AR6:AV6"/>
    <mergeCell ref="CZ6:DD6"/>
    <mergeCell ref="AW6:BA6"/>
    <mergeCell ref="BB6:BF6"/>
    <mergeCell ref="BG6:BK6"/>
    <mergeCell ref="BL6:BP6"/>
    <mergeCell ref="BQ6:BU6"/>
    <mergeCell ref="BV6:BZ6"/>
    <mergeCell ref="CA6:CE6"/>
    <mergeCell ref="CF6:CJ6"/>
    <mergeCell ref="C5:H5"/>
    <mergeCell ref="C2:F2"/>
    <mergeCell ref="IE6:II6"/>
    <mergeCell ref="IJ6:IN6"/>
    <mergeCell ref="IO6:IS6"/>
    <mergeCell ref="CK6:CO6"/>
    <mergeCell ref="CP6:CT6"/>
    <mergeCell ref="CU6:CY6"/>
    <mergeCell ref="FH6:FL6"/>
    <mergeCell ref="DE6:DI6"/>
    <mergeCell ref="DJ6:DN6"/>
    <mergeCell ref="DO6:DS6"/>
    <mergeCell ref="DT6:DX6"/>
    <mergeCell ref="DY6:EC6"/>
    <mergeCell ref="ED6:EH6"/>
    <mergeCell ref="EI6:EM6"/>
  </mergeCells>
  <phoneticPr fontId="2" type="noConversion"/>
  <conditionalFormatting sqref="S10:IX30 P135:IX135 P157:IX157 S92:IX156 S158:IX178 P179:IX179 S180:IX200 P201:IX201 S202:IX222 P223:IX223 S224:IX244 S32:IX90">
    <cfRule type="expression" dxfId="22" priority="187" stopIfTrue="1">
      <formula>P$4=$D$3</formula>
    </cfRule>
    <cfRule type="expression" dxfId="21" priority="188" stopIfTrue="1">
      <formula>AND(P$4&gt;=$E10,P$4&lt;$P10)</formula>
    </cfRule>
    <cfRule type="expression" dxfId="20" priority="189" stopIfTrue="1">
      <formula>AND(P$4&gt;=$E10,P$4&lt;=$G10)</formula>
    </cfRule>
  </conditionalFormatting>
  <conditionalFormatting sqref="S9:IX9 S31:IX31 R53:IW53 S91:IX91 S113:IX113 P135:IX135 P157:IX157 P179:IX179 P201:IX201 P223:IX223">
    <cfRule type="expression" dxfId="19" priority="205" stopIfTrue="1">
      <formula>P$4=$D$3</formula>
    </cfRule>
    <cfRule type="expression" dxfId="18" priority="206" stopIfTrue="1">
      <formula>AND(P$4&gt;=$E9,P$4&lt;$P9)</formula>
    </cfRule>
    <cfRule type="expression" dxfId="17" priority="207" stopIfTrue="1">
      <formula>AND(P$4&gt;=$E9,P$4&lt;=$G9)</formula>
    </cfRule>
  </conditionalFormatting>
  <conditionalFormatting sqref="S8:IX8">
    <cfRule type="expression" dxfId="16" priority="250">
      <formula>S$4=$D$3</formula>
    </cfRule>
    <cfRule type="expression" dxfId="15" priority="251">
      <formula>AND(S$4&gt;=$E8,S$4&lt;$P8)</formula>
    </cfRule>
    <cfRule type="expression" dxfId="14" priority="252">
      <formula>AND(S$4&gt;=$E8,S$4&lt;=$G8)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scale="78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Scroll Bar 1">
              <controlPr defaultSize="0" print="0" autoPict="0">
                <anchor moveWithCells="1">
                  <from>
                    <xdr:col>17</xdr:col>
                    <xdr:colOff>171450</xdr:colOff>
                    <xdr:row>3</xdr:row>
                    <xdr:rowOff>209550</xdr:rowOff>
                  </from>
                  <to>
                    <xdr:col>132</xdr:col>
                    <xdr:colOff>0</xdr:colOff>
                    <xdr:row>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ه2"/>
  <dimension ref="A1:N17"/>
  <sheetViews>
    <sheetView rightToLeft="1" workbookViewId="0">
      <selection activeCell="F5" sqref="F5"/>
    </sheetView>
  </sheetViews>
  <sheetFormatPr defaultColWidth="9.140625" defaultRowHeight="14.25"/>
  <cols>
    <col min="1" max="1" width="8" style="31" bestFit="1" customWidth="1"/>
    <col min="2" max="2" width="18.5703125" style="31" bestFit="1" customWidth="1"/>
    <col min="3" max="3" width="12.140625" style="32" bestFit="1" customWidth="1"/>
    <col min="4" max="4" width="17.5703125" style="42" bestFit="1" customWidth="1"/>
    <col min="5" max="5" width="5.42578125" style="31" bestFit="1" customWidth="1"/>
    <col min="6" max="6" width="17.5703125" style="31" bestFit="1" customWidth="1"/>
    <col min="7" max="7" width="21.140625" style="68" bestFit="1" customWidth="1"/>
    <col min="8" max="8" width="9.140625" style="56"/>
    <col min="9" max="9" width="14.85546875" style="56" bestFit="1" customWidth="1"/>
    <col min="10" max="16384" width="9.140625" style="31"/>
  </cols>
  <sheetData>
    <row r="1" spans="1:14">
      <c r="A1" s="232" t="str">
        <f>CONCATENATE("جدول تعرفه هزینه های کارشناسی مطابق قرارداد ",GanttChart!B8)</f>
        <v>جدول تعرفه هزینه های کارشناسی مطابق قرارداد طراحی و پیاده سازی پورتال اینترنتی و زیر پورتال های بیمه سامان</v>
      </c>
      <c r="B1" s="232"/>
      <c r="C1" s="232"/>
      <c r="D1" s="232"/>
      <c r="E1" s="232"/>
      <c r="F1" s="232"/>
      <c r="G1" s="232"/>
    </row>
    <row r="2" spans="1:14">
      <c r="A2" s="52" t="s">
        <v>46</v>
      </c>
      <c r="B2" s="240" t="s">
        <v>45</v>
      </c>
      <c r="C2" s="241"/>
      <c r="D2" s="242" t="s">
        <v>47</v>
      </c>
      <c r="E2" s="243"/>
      <c r="F2" s="54" t="s">
        <v>71</v>
      </c>
      <c r="G2" s="52" t="s">
        <v>62</v>
      </c>
    </row>
    <row r="3" spans="1:14">
      <c r="A3" s="52">
        <v>1</v>
      </c>
      <c r="B3" s="240" t="s">
        <v>48</v>
      </c>
      <c r="C3" s="241"/>
      <c r="D3" s="244">
        <v>1200000</v>
      </c>
      <c r="E3" s="245"/>
      <c r="F3" s="202">
        <v>137600000</v>
      </c>
      <c r="G3" s="72">
        <f>D3*128</f>
        <v>153600000</v>
      </c>
    </row>
    <row r="4" spans="1:14">
      <c r="A4" s="52">
        <v>2</v>
      </c>
      <c r="B4" s="240" t="s">
        <v>49</v>
      </c>
      <c r="C4" s="241"/>
      <c r="D4" s="244">
        <v>916000</v>
      </c>
      <c r="E4" s="245"/>
      <c r="F4" s="202">
        <v>115200000</v>
      </c>
      <c r="G4" s="72">
        <f>D4*128</f>
        <v>117248000</v>
      </c>
    </row>
    <row r="5" spans="1:14">
      <c r="A5" s="52">
        <v>3</v>
      </c>
      <c r="B5" s="240" t="s">
        <v>50</v>
      </c>
      <c r="C5" s="241"/>
      <c r="D5" s="244">
        <v>555000</v>
      </c>
      <c r="E5" s="245"/>
      <c r="F5" s="202">
        <v>87900000</v>
      </c>
      <c r="G5" s="72">
        <f>D5*128</f>
        <v>71040000</v>
      </c>
    </row>
    <row r="7" spans="1:14">
      <c r="A7" s="233" t="str">
        <f>CONCATENATE("گزارش مدیریتی ",GanttChart!B8)</f>
        <v>گزارش مدیریتی طراحی و پیاده سازی پورتال اینترنتی و زیر پورتال های بیمه سامان</v>
      </c>
      <c r="B7" s="233"/>
      <c r="C7" s="233"/>
      <c r="D7" s="233"/>
      <c r="E7" s="233"/>
      <c r="F7" s="233"/>
      <c r="G7" s="233"/>
    </row>
    <row r="8" spans="1:14">
      <c r="A8" s="234" t="s">
        <v>52</v>
      </c>
      <c r="B8" s="235"/>
      <c r="C8" s="49" t="s">
        <v>53</v>
      </c>
      <c r="D8" s="95" t="str">
        <f>D2</f>
        <v>هزینه نفر ساعت</v>
      </c>
      <c r="E8" s="45" t="s">
        <v>54</v>
      </c>
      <c r="F8" s="96" t="str">
        <f>F2</f>
        <v>هزینه نفر ماه (قرارداد)</v>
      </c>
      <c r="G8" s="73" t="str">
        <f>G2</f>
        <v>هزینه نفر ماه (ماه * 128)</v>
      </c>
      <c r="H8" s="55"/>
      <c r="I8" s="55"/>
      <c r="J8" s="22"/>
      <c r="M8" s="43"/>
      <c r="N8" s="13"/>
    </row>
    <row r="9" spans="1:14">
      <c r="A9" s="48">
        <v>1</v>
      </c>
      <c r="B9" s="49" t="str">
        <f>VLOOKUP(A9,A2:D5,2,FALSE)</f>
        <v>مدیریت پروژه</v>
      </c>
      <c r="C9" s="46">
        <f>SUM(GanttChart!JA:JA)</f>
        <v>0</v>
      </c>
      <c r="D9" s="50">
        <f>(TEXT(C9,"[M]")/60)*VLOOKUP(A9,'Income Person-hours'!$A$2:$G$5,4,FALSE)</f>
        <v>0</v>
      </c>
      <c r="E9" s="47">
        <f>ROUNDUP((TEXT(C9,"[m]")/60)/160,1)</f>
        <v>0</v>
      </c>
      <c r="F9" s="51">
        <f>VLOOKUP(A9,'Income Person-hours'!$A$2:$G$5,6,FALSE)*E9</f>
        <v>0</v>
      </c>
      <c r="G9" s="70">
        <f>VLOOKUP(A9,'Income Person-hours'!$A$2:$G$5,7,FALSE)*E9</f>
        <v>0</v>
      </c>
      <c r="H9" s="55"/>
      <c r="I9" s="55"/>
      <c r="J9" s="22"/>
      <c r="M9" s="44"/>
      <c r="N9" s="44"/>
    </row>
    <row r="10" spans="1:14">
      <c r="A10" s="48">
        <v>2</v>
      </c>
      <c r="B10" s="49" t="str">
        <f>VLOOKUP(A10,A3:D6,2,FALSE)</f>
        <v>کارشناس ارشد تحلیل</v>
      </c>
      <c r="C10" s="46">
        <f>SUM(GanttChart!JB:JB)</f>
        <v>0</v>
      </c>
      <c r="D10" s="50">
        <f>(TEXT(C10,"[M]")/60)*VLOOKUP(A10,'Income Person-hours'!$A$2:$G$5,4,FALSE)</f>
        <v>0</v>
      </c>
      <c r="E10" s="47">
        <f>ROUNDUP((TEXT(C10,"[m]")/60)/160,1)</f>
        <v>0</v>
      </c>
      <c r="F10" s="51">
        <f>VLOOKUP(A10,'Income Person-hours'!$A$2:$G$5,6,FALSE)*E10</f>
        <v>0</v>
      </c>
      <c r="G10" s="70">
        <f>VLOOKUP(A10,'Income Person-hours'!$A$2:$G$5,7,FALSE)*E10</f>
        <v>0</v>
      </c>
      <c r="H10" s="55"/>
      <c r="I10" s="97"/>
      <c r="J10" s="22"/>
      <c r="M10" s="44"/>
      <c r="N10" s="44"/>
    </row>
    <row r="11" spans="1:14">
      <c r="A11" s="48">
        <v>3</v>
      </c>
      <c r="B11" s="49" t="str">
        <f>VLOOKUP(A11,A4:D8,2,FALSE)</f>
        <v>کارشناس توسعه و پیاده سازی</v>
      </c>
      <c r="C11" s="46">
        <f>SUM(GanttChart!JC:JC)</f>
        <v>0</v>
      </c>
      <c r="D11" s="50">
        <f>(TEXT(C11,"[M]")/60)*VLOOKUP(A11,'Income Person-hours'!$A$2:$G$5,4,FALSE)</f>
        <v>0</v>
      </c>
      <c r="E11" s="47">
        <f>ROUNDUP((TEXT(C11,"[m]")/60)/160,1)</f>
        <v>0</v>
      </c>
      <c r="F11" s="51">
        <f>VLOOKUP(A11,'Income Person-hours'!$A$2:$G$5,6,FALSE)*E11</f>
        <v>0</v>
      </c>
      <c r="G11" s="70">
        <f>VLOOKUP(A11,'Income Person-hours'!$A$2:$G$5,7,FALSE)*E11</f>
        <v>0</v>
      </c>
      <c r="H11" s="57"/>
      <c r="I11" s="55"/>
      <c r="J11" s="22"/>
      <c r="M11" s="44"/>
      <c r="N11" s="44"/>
    </row>
    <row r="12" spans="1:14" ht="15">
      <c r="A12" s="236" t="s">
        <v>51</v>
      </c>
      <c r="B12" s="237"/>
      <c r="C12" s="60">
        <f>SUM(C9:C11)</f>
        <v>0</v>
      </c>
      <c r="D12" s="61">
        <f>SUM(D9:D11)</f>
        <v>0</v>
      </c>
      <c r="E12" s="62">
        <f>SUM(E9:E11)</f>
        <v>0</v>
      </c>
      <c r="F12" s="61">
        <f>SUM(F9:F11)</f>
        <v>0</v>
      </c>
      <c r="G12" s="71">
        <f>SUM(G9:G11)</f>
        <v>0</v>
      </c>
      <c r="H12" s="55"/>
      <c r="I12" s="55"/>
      <c r="J12" s="22"/>
      <c r="M12" s="43"/>
      <c r="N12" s="43"/>
    </row>
    <row r="13" spans="1:14" ht="15">
      <c r="A13" s="238" t="s">
        <v>57</v>
      </c>
      <c r="B13" s="238"/>
      <c r="C13" s="63" t="str">
        <f>GanttChart!D8</f>
        <v>1398/06/31</v>
      </c>
      <c r="D13" s="239" t="s">
        <v>58</v>
      </c>
      <c r="E13" s="239"/>
      <c r="F13" s="64" t="str">
        <f>GanttChart!F8</f>
        <v>1398/10/02</v>
      </c>
      <c r="G13" s="69" t="s">
        <v>63</v>
      </c>
    </row>
    <row r="14" spans="1:14" ht="15">
      <c r="A14" s="52" t="s">
        <v>59</v>
      </c>
      <c r="B14" s="65" t="str">
        <f>CONCATENATE(GanttChart!L8," روز ")</f>
        <v xml:space="preserve">93 روز </v>
      </c>
      <c r="C14" s="53" t="s">
        <v>60</v>
      </c>
      <c r="D14" s="65" t="str">
        <f>CONCATENATE(GanttChart!N8," روز کاری")</f>
        <v>76 روز کاری</v>
      </c>
      <c r="E14" s="52" t="s">
        <v>61</v>
      </c>
      <c r="F14" s="65" t="str">
        <f>CONCATENATE(ROUND(GanttChart!L8/7,0)," هفته")</f>
        <v>13 هفته</v>
      </c>
      <c r="G14" s="65" t="str">
        <f>CONCATENATE(ROUNDUP((TEXT(C12,"[M]")/60)/6,0)," نفر روز")</f>
        <v>0 نفر روز</v>
      </c>
    </row>
    <row r="15" spans="1:14">
      <c r="C15" s="98"/>
    </row>
    <row r="17" spans="2:2" ht="15">
      <c r="B17" s="67"/>
    </row>
  </sheetData>
  <sheetProtection algorithmName="SHA-512" hashValue="xC+XAc0KzQX2S6qxX0/uFizPeqlilPsr/7UJy/IsLlouBKUJxU+7ZdKksEJeQObbS0B9joNmXzNKWhdF9gDx+Q==" saltValue="j1ElNeDbcqLU4scxnpKBiA==" spinCount="100000" sheet="1" objects="1" scenarios="1" selectLockedCells="1"/>
  <mergeCells count="14">
    <mergeCell ref="A1:G1"/>
    <mergeCell ref="A7:G7"/>
    <mergeCell ref="A8:B8"/>
    <mergeCell ref="A12:B12"/>
    <mergeCell ref="A13:B13"/>
    <mergeCell ref="D13:E13"/>
    <mergeCell ref="B2:C2"/>
    <mergeCell ref="B3:C3"/>
    <mergeCell ref="B4:C4"/>
    <mergeCell ref="B5:C5"/>
    <mergeCell ref="D2:E2"/>
    <mergeCell ref="D3:E3"/>
    <mergeCell ref="D4:E4"/>
    <mergeCell ref="D5:E5"/>
  </mergeCells>
  <printOptions horizontalCentered="1"/>
  <pageMargins left="0.70866141732283472" right="0.70866141732283472" top="0.74803149606299213" bottom="0.74803149606299213" header="0.31496062992125984" footer="0.31496062992125984"/>
  <pageSetup paperSize="9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ه3" filterMode="1"/>
  <dimension ref="A1:O180"/>
  <sheetViews>
    <sheetView rightToLeft="1" zoomScaleNormal="100" workbookViewId="0">
      <selection activeCell="H6" sqref="H6"/>
    </sheetView>
  </sheetViews>
  <sheetFormatPr defaultRowHeight="12.75"/>
  <cols>
    <col min="2" max="2" width="1.42578125" customWidth="1"/>
    <col min="3" max="3" width="41.7109375" style="75" customWidth="1"/>
    <col min="4" max="4" width="6.42578125" style="76" customWidth="1"/>
    <col min="5" max="5" width="7" style="76" customWidth="1"/>
    <col min="6" max="6" width="6.85546875" style="76" customWidth="1"/>
    <col min="7" max="7" width="19.28515625" style="77" customWidth="1"/>
    <col min="8" max="8" width="6" style="78" customWidth="1"/>
    <col min="9" max="9" width="19.28515625" customWidth="1"/>
    <col min="12" max="12" width="15.140625" bestFit="1" customWidth="1"/>
  </cols>
  <sheetData>
    <row r="1" spans="1:15" ht="15">
      <c r="B1" s="246" t="str">
        <f>CONCATENATE("آنالیز و برآورد زمان نفر / ساعت خدمات کارشناسی توسعه و سفارشی سازی ",GanttChart!B8)</f>
        <v>آنالیز و برآورد زمان نفر / ساعت خدمات کارشناسی توسعه و سفارشی سازی طراحی و پیاده سازی پورتال اینترنتی و زیر پورتال های بیمه سامان</v>
      </c>
      <c r="C1" s="246"/>
      <c r="D1" s="247"/>
      <c r="E1" s="247"/>
      <c r="F1" s="247"/>
      <c r="G1" s="246"/>
      <c r="H1" s="246"/>
      <c r="I1" s="246"/>
    </row>
    <row r="2" spans="1:15">
      <c r="A2" s="248" t="s">
        <v>0</v>
      </c>
      <c r="B2" s="249"/>
      <c r="C2" s="251" t="s">
        <v>64</v>
      </c>
      <c r="D2" s="253" t="s">
        <v>65</v>
      </c>
      <c r="E2" s="253"/>
      <c r="F2" s="253"/>
      <c r="G2" s="254" t="s">
        <v>66</v>
      </c>
      <c r="H2" s="256" t="s">
        <v>70</v>
      </c>
      <c r="I2" s="258" t="s">
        <v>67</v>
      </c>
      <c r="J2" s="6"/>
      <c r="K2" s="6"/>
      <c r="L2" s="6"/>
      <c r="M2" s="6"/>
      <c r="N2" s="6"/>
      <c r="O2" s="6"/>
    </row>
    <row r="3" spans="1:15" ht="64.5">
      <c r="A3" s="248"/>
      <c r="B3" s="250"/>
      <c r="C3" s="252"/>
      <c r="D3" s="83" t="s">
        <v>7</v>
      </c>
      <c r="E3" s="83" t="s">
        <v>55</v>
      </c>
      <c r="F3" s="83" t="s">
        <v>56</v>
      </c>
      <c r="G3" s="255"/>
      <c r="H3" s="257"/>
      <c r="I3" s="259"/>
      <c r="J3" s="6"/>
      <c r="K3" s="6"/>
      <c r="L3" s="6"/>
      <c r="M3" s="6"/>
      <c r="N3" s="6"/>
      <c r="O3" s="6"/>
    </row>
    <row r="4" spans="1:15" ht="14.25" hidden="1">
      <c r="A4" s="74">
        <v>1</v>
      </c>
      <c r="B4" s="74"/>
      <c r="C4" s="79" t="str">
        <f>IFERROR(VLOOKUP($A4,GanttChart!$A:$JD,2,FALSE),"خطا")</f>
        <v>مدیریت، برنامه ریزی مالی و کنترل پیشرفت پروژه</v>
      </c>
      <c r="D4" s="80">
        <f>IFERROR(VLOOKUP($A4,GanttChart!$A:$JD,261,FALSE),0)</f>
        <v>0</v>
      </c>
      <c r="E4" s="80">
        <f>IFERROR(VLOOKUP($A4,GanttChart!$A:$JD,262,FALSE),0)</f>
        <v>0</v>
      </c>
      <c r="F4" s="80">
        <f>IFERROR(VLOOKUP($A4,GanttChart!$A:$JD,263,FALSE),0)</f>
        <v>0</v>
      </c>
      <c r="G4" s="81">
        <f>IFERROR(VLOOKUP($A4,GanttChart!$A:$JD,264,FALSE),0)</f>
        <v>0</v>
      </c>
      <c r="H4" s="203"/>
      <c r="I4" s="81">
        <f>G4-(H4*G4)</f>
        <v>0</v>
      </c>
      <c r="J4" s="6"/>
      <c r="K4" s="6"/>
      <c r="L4" s="6"/>
      <c r="M4" s="6"/>
      <c r="N4" s="6"/>
      <c r="O4" s="6"/>
    </row>
    <row r="5" spans="1:15" ht="14.25">
      <c r="A5" s="74">
        <v>1.1000000000000001</v>
      </c>
      <c r="B5" s="74"/>
      <c r="C5" s="79" t="str">
        <f>IFERROR(VLOOKUP($A5,GanttChart!$A:$JD,2,FALSE),"خطا")</f>
        <v>تهيه برنامه زمانبندي msp  و گانت چارت اجرايي پروژه</v>
      </c>
      <c r="D5" s="80">
        <f>IFERROR(VLOOKUP($A5,GanttChart!$A:$JD,261,FALSE),0)</f>
        <v>0</v>
      </c>
      <c r="E5" s="80">
        <f>IFERROR(VLOOKUP($A5,GanttChart!$A:$JD,262,FALSE),0)</f>
        <v>0</v>
      </c>
      <c r="F5" s="80">
        <f>IFERROR(VLOOKUP($A5,GanttChart!$A:$JD,263,FALSE),0)</f>
        <v>0</v>
      </c>
      <c r="G5" s="81">
        <f>IFERROR(VLOOKUP($A5,GanttChart!$A:$JD,264,FALSE),0)</f>
        <v>0</v>
      </c>
      <c r="H5" s="203"/>
      <c r="I5" s="81">
        <f t="shared" ref="I5:I160" si="0">G5-(H5*G5)</f>
        <v>0</v>
      </c>
      <c r="J5" s="6"/>
      <c r="K5" s="6"/>
      <c r="L5" s="6"/>
      <c r="M5" s="6"/>
      <c r="N5" s="6"/>
      <c r="O5" s="6"/>
    </row>
    <row r="6" spans="1:15" ht="14.25">
      <c r="A6" s="74">
        <v>1.2</v>
      </c>
      <c r="B6" s="74"/>
      <c r="C6" s="79" t="str">
        <f>IFERROR(VLOOKUP($A6,GanttChart!$A:$JD,2,FALSE),"خطا")</f>
        <v>معرفی مدیر پروژه پیمانکار به کارفرما پس از ابلاغ قرارداد</v>
      </c>
      <c r="D6" s="80">
        <f>IFERROR(VLOOKUP($A6,GanttChart!$A:$JD,261,FALSE),0)</f>
        <v>0</v>
      </c>
      <c r="E6" s="80">
        <f>IFERROR(VLOOKUP($A6,GanttChart!$A:$JD,262,FALSE),0)</f>
        <v>0</v>
      </c>
      <c r="F6" s="80">
        <f>IFERROR(VLOOKUP($A6,GanttChart!$A:$JD,263,FALSE),0)</f>
        <v>0</v>
      </c>
      <c r="G6" s="81">
        <f>IFERROR(VLOOKUP($A6,GanttChart!$A:$JD,264,FALSE),0)</f>
        <v>0</v>
      </c>
      <c r="H6" s="203"/>
      <c r="I6" s="81">
        <f t="shared" si="0"/>
        <v>0</v>
      </c>
      <c r="J6" s="6"/>
      <c r="K6" s="6"/>
      <c r="L6" s="6"/>
      <c r="M6" s="6"/>
      <c r="N6" s="6"/>
      <c r="O6" s="6"/>
    </row>
    <row r="7" spans="1:15" ht="14.25">
      <c r="A7" s="74">
        <v>1.3</v>
      </c>
      <c r="B7" s="74"/>
      <c r="C7" s="79" t="str">
        <f>IFERROR(VLOOKUP($A7,GanttChart!$A:$JD,2,FALSE),"خطا")</f>
        <v>معرفی مدیر پروژه کارفرما به پیمانکار</v>
      </c>
      <c r="D7" s="80">
        <f>IFERROR(VLOOKUP($A7,GanttChart!$A:$JD,261,FALSE),0)</f>
        <v>0</v>
      </c>
      <c r="E7" s="80">
        <f>IFERROR(VLOOKUP($A7,GanttChart!$A:$JD,262,FALSE),0)</f>
        <v>0</v>
      </c>
      <c r="F7" s="80">
        <f>IFERROR(VLOOKUP($A7,GanttChart!$A:$JD,263,FALSE),0)</f>
        <v>0</v>
      </c>
      <c r="G7" s="81">
        <f>IFERROR(VLOOKUP($A7,GanttChart!$A:$JD,264,FALSE),0)</f>
        <v>0</v>
      </c>
      <c r="H7" s="203"/>
      <c r="I7" s="81">
        <f t="shared" si="0"/>
        <v>0</v>
      </c>
      <c r="J7" s="6"/>
      <c r="K7" s="6"/>
      <c r="L7" s="6"/>
      <c r="M7" s="6"/>
      <c r="N7" s="6"/>
      <c r="O7" s="6"/>
    </row>
    <row r="8" spans="1:15" ht="14.25">
      <c r="A8" s="74">
        <v>1.4</v>
      </c>
      <c r="B8" s="74"/>
      <c r="C8" s="79" t="str">
        <f>IFERROR(VLOOKUP($A8,GanttChart!$A:$JD,2,FALSE),"خطا")</f>
        <v>جلسه اول پروژه (معارفه و تحویل زیر ساخت نرم افزاری)</v>
      </c>
      <c r="D8" s="80">
        <f>IFERROR(VLOOKUP($A8,GanttChart!$A:$JD,261,FALSE),0)</f>
        <v>0</v>
      </c>
      <c r="E8" s="80">
        <f>IFERROR(VLOOKUP($A8,GanttChart!$A:$JD,262,FALSE),0)</f>
        <v>0</v>
      </c>
      <c r="F8" s="80">
        <f>IFERROR(VLOOKUP($A8,GanttChart!$A:$JD,263,FALSE),0)</f>
        <v>0</v>
      </c>
      <c r="G8" s="81">
        <f>IFERROR(VLOOKUP($A8,GanttChart!$A:$JD,264,FALSE),0)</f>
        <v>0</v>
      </c>
      <c r="H8" s="203"/>
      <c r="I8" s="81">
        <f t="shared" si="0"/>
        <v>0</v>
      </c>
      <c r="J8" s="6"/>
      <c r="K8" s="6"/>
      <c r="L8" s="6"/>
      <c r="M8" s="6"/>
      <c r="N8" s="6"/>
      <c r="O8" s="6"/>
    </row>
    <row r="9" spans="1:15" ht="14.25">
      <c r="A9" s="74">
        <v>1.5</v>
      </c>
      <c r="B9" s="74"/>
      <c r="C9" s="79" t="str">
        <f>IFERROR(VLOOKUP($A9,GanttChart!$A:$JD,2,FALSE),"خطا")</f>
        <v>پرداخت پیش پرداخت قرارداد</v>
      </c>
      <c r="D9" s="80">
        <f>IFERROR(VLOOKUP($A9,GanttChart!$A:$JD,261,FALSE),0)</f>
        <v>0</v>
      </c>
      <c r="E9" s="80">
        <f>IFERROR(VLOOKUP($A9,GanttChart!$A:$JD,262,FALSE),0)</f>
        <v>0</v>
      </c>
      <c r="F9" s="80">
        <f>IFERROR(VLOOKUP($A9,GanttChart!$A:$JD,263,FALSE),0)</f>
        <v>0</v>
      </c>
      <c r="G9" s="81">
        <f>IFERROR(VLOOKUP($A9,GanttChart!$A:$JD,264,FALSE),0)</f>
        <v>0</v>
      </c>
      <c r="H9" s="203"/>
      <c r="I9" s="81">
        <f t="shared" si="0"/>
        <v>0</v>
      </c>
      <c r="J9" s="6"/>
      <c r="K9" s="6"/>
      <c r="L9" s="6"/>
      <c r="M9" s="6"/>
      <c r="N9" s="6"/>
      <c r="O9" s="6"/>
    </row>
    <row r="10" spans="1:15" ht="14.25">
      <c r="A10" s="74">
        <v>1.6</v>
      </c>
      <c r="B10" s="74"/>
      <c r="C10" s="79">
        <f>IFERROR(VLOOKUP($A10,GanttChart!$A:$JD,2,FALSE),"خطا")</f>
        <v>0</v>
      </c>
      <c r="D10" s="80">
        <f>IFERROR(VLOOKUP($A10,GanttChart!$A:$JD,261,FALSE),0)</f>
        <v>0</v>
      </c>
      <c r="E10" s="80">
        <f>IFERROR(VLOOKUP($A10,GanttChart!$A:$JD,262,FALSE),0)</f>
        <v>0</v>
      </c>
      <c r="F10" s="80">
        <f>IFERROR(VLOOKUP($A10,GanttChart!$A:$JD,263,FALSE),0)</f>
        <v>0</v>
      </c>
      <c r="G10" s="81">
        <f>IFERROR(VLOOKUP($A10,GanttChart!$A:$JD,264,FALSE),0)</f>
        <v>0</v>
      </c>
      <c r="H10" s="203"/>
      <c r="I10" s="81">
        <f t="shared" si="0"/>
        <v>0</v>
      </c>
      <c r="J10" s="6"/>
      <c r="K10" s="6"/>
      <c r="L10" s="6"/>
      <c r="M10" s="6"/>
      <c r="N10" s="6"/>
      <c r="O10" s="6"/>
    </row>
    <row r="11" spans="1:15" ht="14.25">
      <c r="A11" s="74">
        <v>1.7</v>
      </c>
      <c r="B11" s="74"/>
      <c r="C11" s="79">
        <f>IFERROR(VLOOKUP($A11,GanttChart!$A:$JD,2,FALSE),"خطا")</f>
        <v>0</v>
      </c>
      <c r="D11" s="80">
        <f>IFERROR(VLOOKUP($A11,GanttChart!$A:$JD,261,FALSE),0)</f>
        <v>0</v>
      </c>
      <c r="E11" s="80">
        <f>IFERROR(VLOOKUP($A11,GanttChart!$A:$JD,262,FALSE),0)</f>
        <v>0</v>
      </c>
      <c r="F11" s="80">
        <f>IFERROR(VLOOKUP($A11,GanttChart!$A:$JD,263,FALSE),0)</f>
        <v>0</v>
      </c>
      <c r="G11" s="81">
        <f>IFERROR(VLOOKUP($A11,GanttChart!$A:$JD,264,FALSE),0)</f>
        <v>0</v>
      </c>
      <c r="H11" s="203"/>
      <c r="I11" s="81">
        <f t="shared" si="0"/>
        <v>0</v>
      </c>
      <c r="J11" s="6"/>
      <c r="K11" s="6"/>
      <c r="L11" s="6"/>
      <c r="M11" s="6"/>
      <c r="N11" s="6"/>
      <c r="O11" s="6"/>
    </row>
    <row r="12" spans="1:15" ht="14.25">
      <c r="A12" s="74">
        <v>1.8</v>
      </c>
      <c r="B12" s="74"/>
      <c r="C12" s="79">
        <f>IFERROR(VLOOKUP($A12,GanttChart!$A:$JD,2,FALSE),"خطا")</f>
        <v>0</v>
      </c>
      <c r="D12" s="80">
        <f>IFERROR(VLOOKUP($A12,GanttChart!$A:$JD,261,FALSE),0)</f>
        <v>0</v>
      </c>
      <c r="E12" s="80">
        <f>IFERROR(VLOOKUP($A12,GanttChart!$A:$JD,262,FALSE),0)</f>
        <v>0</v>
      </c>
      <c r="F12" s="80">
        <f>IFERROR(VLOOKUP($A12,GanttChart!$A:$JD,263,FALSE),0)</f>
        <v>0</v>
      </c>
      <c r="G12" s="81">
        <f>IFERROR(VLOOKUP($A12,GanttChart!$A:$JD,264,FALSE),0)</f>
        <v>0</v>
      </c>
      <c r="H12" s="203"/>
      <c r="I12" s="81">
        <f t="shared" si="0"/>
        <v>0</v>
      </c>
      <c r="J12" s="6"/>
      <c r="K12" s="6"/>
      <c r="L12" s="6"/>
      <c r="M12" s="6"/>
      <c r="N12" s="6"/>
      <c r="O12" s="6"/>
    </row>
    <row r="13" spans="1:15" ht="14.25" hidden="1">
      <c r="A13" s="74">
        <v>1.9</v>
      </c>
      <c r="B13" s="74"/>
      <c r="C13" s="79">
        <f>IFERROR(VLOOKUP($A13,GanttChart!$A:$JD,2,FALSE),"خطا")</f>
        <v>0</v>
      </c>
      <c r="D13" s="80">
        <f>IFERROR(VLOOKUP($A13,GanttChart!$A:$JD,261,FALSE),0)</f>
        <v>0</v>
      </c>
      <c r="E13" s="80">
        <f>IFERROR(VLOOKUP($A13,GanttChart!$A:$JD,262,FALSE),0)</f>
        <v>0</v>
      </c>
      <c r="F13" s="80">
        <f>IFERROR(VLOOKUP($A13,GanttChart!$A:$JD,263,FALSE),0)</f>
        <v>0</v>
      </c>
      <c r="G13" s="81">
        <f>IFERROR(VLOOKUP($A13,GanttChart!$A:$JD,264,FALSE),0)</f>
        <v>0</v>
      </c>
      <c r="H13" s="203"/>
      <c r="I13" s="81">
        <f t="shared" si="0"/>
        <v>0</v>
      </c>
      <c r="J13" s="6"/>
      <c r="K13" s="6"/>
      <c r="L13" s="6"/>
      <c r="M13" s="6"/>
      <c r="N13" s="6"/>
      <c r="O13" s="6"/>
    </row>
    <row r="14" spans="1:15" ht="14.25" hidden="1">
      <c r="A14" s="74">
        <v>1.1100000000000001</v>
      </c>
      <c r="B14" s="74"/>
      <c r="C14" s="79">
        <f>IFERROR(VLOOKUP($A14,GanttChart!$A:$JD,2,FALSE),"خطا")</f>
        <v>0</v>
      </c>
      <c r="D14" s="80">
        <f>IFERROR(VLOOKUP($A14,GanttChart!$A:$JD,261,FALSE),0)</f>
        <v>0</v>
      </c>
      <c r="E14" s="80">
        <f>IFERROR(VLOOKUP($A14,GanttChart!$A:$JD,262,FALSE),0)</f>
        <v>0</v>
      </c>
      <c r="F14" s="80">
        <f>IFERROR(VLOOKUP($A14,GanttChart!$A:$JD,263,FALSE),0)</f>
        <v>0</v>
      </c>
      <c r="G14" s="81">
        <f>IFERROR(VLOOKUP($A14,GanttChart!$A:$JD,264,FALSE),0)</f>
        <v>0</v>
      </c>
      <c r="H14" s="203"/>
      <c r="I14" s="81">
        <f t="shared" si="0"/>
        <v>0</v>
      </c>
      <c r="J14" s="6"/>
      <c r="K14" s="6"/>
      <c r="L14" s="6"/>
      <c r="M14" s="6"/>
      <c r="N14" s="6"/>
      <c r="O14" s="6"/>
    </row>
    <row r="15" spans="1:15" ht="14.25" hidden="1">
      <c r="A15" s="74">
        <v>1.1200000000000001</v>
      </c>
      <c r="B15" s="74"/>
      <c r="C15" s="79">
        <f>IFERROR(VLOOKUP($A15,GanttChart!$A:$JD,2,FALSE),"خطا")</f>
        <v>0</v>
      </c>
      <c r="D15" s="80">
        <f>IFERROR(VLOOKUP($A15,GanttChart!$A:$JD,261,FALSE),0)</f>
        <v>0</v>
      </c>
      <c r="E15" s="80">
        <f>IFERROR(VLOOKUP($A15,GanttChart!$A:$JD,262,FALSE),0)</f>
        <v>0</v>
      </c>
      <c r="F15" s="80">
        <f>IFERROR(VLOOKUP($A15,GanttChart!$A:$JD,263,FALSE),0)</f>
        <v>0</v>
      </c>
      <c r="G15" s="81">
        <f>IFERROR(VLOOKUP($A15,GanttChart!$A:$JD,264,FALSE),0)</f>
        <v>0</v>
      </c>
      <c r="H15" s="203"/>
      <c r="I15" s="81">
        <f t="shared" si="0"/>
        <v>0</v>
      </c>
      <c r="J15" s="6"/>
      <c r="K15" s="6"/>
      <c r="L15" s="6"/>
      <c r="M15" s="6"/>
      <c r="N15" s="6"/>
      <c r="O15" s="6"/>
    </row>
    <row r="16" spans="1:15" ht="14.25" hidden="1">
      <c r="A16" s="74">
        <v>1.1299999999999999</v>
      </c>
      <c r="B16" s="74"/>
      <c r="C16" s="79">
        <f>IFERROR(VLOOKUP($A16,GanttChart!$A:$JD,2,FALSE),"خطا")</f>
        <v>0</v>
      </c>
      <c r="D16" s="80">
        <f>IFERROR(VLOOKUP($A16,GanttChart!$A:$JD,261,FALSE),0)</f>
        <v>0</v>
      </c>
      <c r="E16" s="80">
        <f>IFERROR(VLOOKUP($A16,GanttChart!$A:$JD,262,FALSE),0)</f>
        <v>0</v>
      </c>
      <c r="F16" s="80">
        <f>IFERROR(VLOOKUP($A16,GanttChart!$A:$JD,263,FALSE),0)</f>
        <v>0</v>
      </c>
      <c r="G16" s="81">
        <f>IFERROR(VLOOKUP($A16,GanttChart!$A:$JD,264,FALSE),0)</f>
        <v>0</v>
      </c>
      <c r="H16" s="203"/>
      <c r="I16" s="81">
        <f t="shared" si="0"/>
        <v>0</v>
      </c>
      <c r="J16" s="6"/>
      <c r="K16" s="6"/>
      <c r="L16" s="6"/>
      <c r="M16" s="6"/>
      <c r="N16" s="6"/>
      <c r="O16" s="6"/>
    </row>
    <row r="17" spans="1:15" ht="14.25" hidden="1">
      <c r="A17" s="74">
        <v>1.1399999999999999</v>
      </c>
      <c r="B17" s="74"/>
      <c r="C17" s="79">
        <f>IFERROR(VLOOKUP($A17,GanttChart!$A:$JD,2,FALSE),"خطا")</f>
        <v>0</v>
      </c>
      <c r="D17" s="80">
        <f>IFERROR(VLOOKUP($A17,GanttChart!$A:$JD,261,FALSE),0)</f>
        <v>0</v>
      </c>
      <c r="E17" s="80">
        <f>IFERROR(VLOOKUP($A17,GanttChart!$A:$JD,262,FALSE),0)</f>
        <v>0</v>
      </c>
      <c r="F17" s="80">
        <f>IFERROR(VLOOKUP($A17,GanttChart!$A:$JD,263,FALSE),0)</f>
        <v>0</v>
      </c>
      <c r="G17" s="81">
        <f>IFERROR(VLOOKUP($A17,GanttChart!$A:$JD,264,FALSE),0)</f>
        <v>0</v>
      </c>
      <c r="H17" s="203"/>
      <c r="I17" s="81">
        <f t="shared" si="0"/>
        <v>0</v>
      </c>
      <c r="J17" s="6"/>
      <c r="K17" s="6"/>
      <c r="L17" s="6"/>
      <c r="M17" s="6"/>
      <c r="N17" s="6"/>
      <c r="O17" s="6"/>
    </row>
    <row r="18" spans="1:15" ht="14.25" hidden="1">
      <c r="A18" s="74">
        <v>1.1499999999999999</v>
      </c>
      <c r="B18" s="74"/>
      <c r="C18" s="79">
        <f>IFERROR(VLOOKUP($A18,GanttChart!$A:$JD,2,FALSE),"خطا")</f>
        <v>0</v>
      </c>
      <c r="D18" s="80">
        <f>IFERROR(VLOOKUP($A18,GanttChart!$A:$JD,261,FALSE),0)</f>
        <v>0</v>
      </c>
      <c r="E18" s="80">
        <f>IFERROR(VLOOKUP($A18,GanttChart!$A:$JD,262,FALSE),0)</f>
        <v>0</v>
      </c>
      <c r="F18" s="80">
        <f>IFERROR(VLOOKUP($A18,GanttChart!$A:$JD,263,FALSE),0)</f>
        <v>0</v>
      </c>
      <c r="G18" s="81">
        <f>IFERROR(VLOOKUP($A18,GanttChart!$A:$JD,264,FALSE),0)</f>
        <v>0</v>
      </c>
      <c r="H18" s="203"/>
      <c r="I18" s="81">
        <f t="shared" si="0"/>
        <v>0</v>
      </c>
      <c r="J18" s="6"/>
      <c r="K18" s="6"/>
      <c r="L18" s="6"/>
      <c r="M18" s="6"/>
      <c r="N18" s="6"/>
      <c r="O18" s="6"/>
    </row>
    <row r="19" spans="1:15" ht="14.25" hidden="1">
      <c r="A19" s="74">
        <v>1.1599999999999999</v>
      </c>
      <c r="B19" s="74"/>
      <c r="C19" s="79">
        <f>IFERROR(VLOOKUP($A19,GanttChart!$A:$JD,2,FALSE),"خطا")</f>
        <v>0</v>
      </c>
      <c r="D19" s="80">
        <f>IFERROR(VLOOKUP($A19,GanttChart!$A:$JD,261,FALSE),0)</f>
        <v>0</v>
      </c>
      <c r="E19" s="80">
        <f>IFERROR(VLOOKUP($A19,GanttChart!$A:$JD,262,FALSE),0)</f>
        <v>0</v>
      </c>
      <c r="F19" s="80">
        <f>IFERROR(VLOOKUP($A19,GanttChart!$A:$JD,263,FALSE),0)</f>
        <v>0</v>
      </c>
      <c r="G19" s="81">
        <f>IFERROR(VLOOKUP($A19,GanttChart!$A:$JD,264,FALSE),0)</f>
        <v>0</v>
      </c>
      <c r="H19" s="203"/>
      <c r="I19" s="81">
        <f t="shared" si="0"/>
        <v>0</v>
      </c>
      <c r="J19" s="6"/>
      <c r="K19" s="6"/>
      <c r="L19" s="6"/>
      <c r="M19" s="6"/>
      <c r="N19" s="6"/>
      <c r="O19" s="6"/>
    </row>
    <row r="20" spans="1:15" ht="14.25" hidden="1">
      <c r="A20" s="74">
        <v>1.17</v>
      </c>
      <c r="B20" s="74"/>
      <c r="C20" s="79">
        <f>IFERROR(VLOOKUP($A20,GanttChart!$A:$JD,2,FALSE),"خطا")</f>
        <v>0</v>
      </c>
      <c r="D20" s="80">
        <f>IFERROR(VLOOKUP($A20,GanttChart!$A:$JD,261,FALSE),0)</f>
        <v>0</v>
      </c>
      <c r="E20" s="80">
        <f>IFERROR(VLOOKUP($A20,GanttChart!$A:$JD,262,FALSE),0)</f>
        <v>0</v>
      </c>
      <c r="F20" s="80">
        <f>IFERROR(VLOOKUP($A20,GanttChart!$A:$JD,263,FALSE),0)</f>
        <v>0</v>
      </c>
      <c r="G20" s="81">
        <f>IFERROR(VLOOKUP($A20,GanttChart!$A:$JD,264,FALSE),0)</f>
        <v>0</v>
      </c>
      <c r="H20" s="203"/>
      <c r="I20" s="81">
        <f t="shared" si="0"/>
        <v>0</v>
      </c>
      <c r="J20" s="6"/>
      <c r="K20" s="6"/>
      <c r="L20" s="6"/>
      <c r="M20" s="6"/>
      <c r="N20" s="6"/>
      <c r="O20" s="6"/>
    </row>
    <row r="21" spans="1:15" ht="14.25" hidden="1">
      <c r="A21" s="74">
        <v>1.18</v>
      </c>
      <c r="B21" s="74"/>
      <c r="C21" s="79">
        <f>IFERROR(VLOOKUP($A21,GanttChart!$A:$JD,2,FALSE),"خطا")</f>
        <v>0</v>
      </c>
      <c r="D21" s="80">
        <f>IFERROR(VLOOKUP($A21,GanttChart!$A:$JD,261,FALSE),0)</f>
        <v>0</v>
      </c>
      <c r="E21" s="80">
        <f>IFERROR(VLOOKUP($A21,GanttChart!$A:$JD,262,FALSE),0)</f>
        <v>0</v>
      </c>
      <c r="F21" s="80">
        <f>IFERROR(VLOOKUP($A21,GanttChart!$A:$JD,263,FALSE),0)</f>
        <v>0</v>
      </c>
      <c r="G21" s="81">
        <f>IFERROR(VLOOKUP($A21,GanttChart!$A:$JD,264,FALSE),0)</f>
        <v>0</v>
      </c>
      <c r="H21" s="203"/>
      <c r="I21" s="81">
        <f t="shared" si="0"/>
        <v>0</v>
      </c>
      <c r="J21" s="6"/>
      <c r="K21" s="6"/>
      <c r="L21" s="6"/>
      <c r="M21" s="6"/>
      <c r="N21" s="6"/>
      <c r="O21" s="6"/>
    </row>
    <row r="22" spans="1:15" ht="14.25" hidden="1">
      <c r="A22" s="74">
        <v>1.19</v>
      </c>
      <c r="B22" s="74"/>
      <c r="C22" s="79">
        <f>IFERROR(VLOOKUP($A22,GanttChart!$A:$JD,2,FALSE),"خطا")</f>
        <v>0</v>
      </c>
      <c r="D22" s="80">
        <f>IFERROR(VLOOKUP($A22,GanttChart!$A:$JD,261,FALSE),0)</f>
        <v>0</v>
      </c>
      <c r="E22" s="80">
        <f>IFERROR(VLOOKUP($A22,GanttChart!$A:$JD,262,FALSE),0)</f>
        <v>0</v>
      </c>
      <c r="F22" s="80">
        <f>IFERROR(VLOOKUP($A22,GanttChart!$A:$JD,263,FALSE),0)</f>
        <v>0</v>
      </c>
      <c r="G22" s="81">
        <f>IFERROR(VLOOKUP($A22,GanttChart!$A:$JD,264,FALSE),0)</f>
        <v>0</v>
      </c>
      <c r="H22" s="203"/>
      <c r="I22" s="81">
        <f t="shared" si="0"/>
        <v>0</v>
      </c>
      <c r="J22" s="6"/>
      <c r="K22" s="6"/>
      <c r="L22" s="6"/>
      <c r="M22" s="6"/>
      <c r="N22" s="6"/>
      <c r="O22" s="6"/>
    </row>
    <row r="23" spans="1:15" ht="14.25" hidden="1">
      <c r="A23" s="74">
        <v>1.21</v>
      </c>
      <c r="B23" s="74"/>
      <c r="C23" s="79">
        <f>IFERROR(VLOOKUP($A23,GanttChart!$A:$JD,2,FALSE),"خطا")</f>
        <v>0</v>
      </c>
      <c r="D23" s="80">
        <f>IFERROR(VLOOKUP($A23,GanttChart!$A:$JD,261,FALSE),0)</f>
        <v>0</v>
      </c>
      <c r="E23" s="80">
        <f>IFERROR(VLOOKUP($A23,GanttChart!$A:$JD,262,FALSE),0)</f>
        <v>0</v>
      </c>
      <c r="F23" s="80">
        <f>IFERROR(VLOOKUP($A23,GanttChart!$A:$JD,263,FALSE),0)</f>
        <v>0</v>
      </c>
      <c r="G23" s="81">
        <f>IFERROR(VLOOKUP($A23,GanttChart!$A:$JD,264,FALSE),0)</f>
        <v>0</v>
      </c>
      <c r="H23" s="203"/>
      <c r="I23" s="81">
        <f t="shared" si="0"/>
        <v>0</v>
      </c>
      <c r="J23" s="6"/>
      <c r="K23" s="6"/>
      <c r="L23" s="6"/>
      <c r="M23" s="6"/>
      <c r="N23" s="6"/>
      <c r="O23" s="6"/>
    </row>
    <row r="24" spans="1:15" ht="14.25" hidden="1">
      <c r="A24" s="74">
        <v>1.22</v>
      </c>
      <c r="B24" s="74"/>
      <c r="C24" s="79">
        <f>IFERROR(VLOOKUP($A24,GanttChart!$A:$JD,2,FALSE),"خطا")</f>
        <v>0</v>
      </c>
      <c r="D24" s="80">
        <f>IFERROR(VLOOKUP($A24,GanttChart!$A:$JD,261,FALSE),0)</f>
        <v>0</v>
      </c>
      <c r="E24" s="80">
        <f>IFERROR(VLOOKUP($A24,GanttChart!$A:$JD,262,FALSE),0)</f>
        <v>0</v>
      </c>
      <c r="F24" s="80">
        <f>IFERROR(VLOOKUP($A24,GanttChart!$A:$JD,263,FALSE),0)</f>
        <v>0</v>
      </c>
      <c r="G24" s="81">
        <f>IFERROR(VLOOKUP($A24,GanttChart!$A:$JD,264,FALSE),0)</f>
        <v>0</v>
      </c>
      <c r="H24" s="203"/>
      <c r="I24" s="81">
        <f t="shared" si="0"/>
        <v>0</v>
      </c>
      <c r="J24" s="6"/>
      <c r="K24" s="6"/>
      <c r="L24" s="6"/>
      <c r="M24" s="6"/>
      <c r="N24" s="6"/>
      <c r="O24" s="6"/>
    </row>
    <row r="25" spans="1:15" ht="14.25" hidden="1">
      <c r="A25" s="74">
        <v>1.23</v>
      </c>
      <c r="B25" s="74"/>
      <c r="C25" s="79">
        <f>IFERROR(VLOOKUP($A25,GanttChart!$A:$JD,2,FALSE),"خطا")</f>
        <v>0</v>
      </c>
      <c r="D25" s="80">
        <f>IFERROR(VLOOKUP($A25,GanttChart!$A:$JD,261,FALSE),0)</f>
        <v>0</v>
      </c>
      <c r="E25" s="80">
        <f>IFERROR(VLOOKUP($A25,GanttChart!$A:$JD,262,FALSE),0)</f>
        <v>0</v>
      </c>
      <c r="F25" s="80">
        <f>IFERROR(VLOOKUP($A25,GanttChart!$A:$JD,263,FALSE),0)</f>
        <v>0</v>
      </c>
      <c r="G25" s="81">
        <f>IFERROR(VLOOKUP($A25,GanttChart!$A:$JD,264,FALSE),0)</f>
        <v>0</v>
      </c>
      <c r="H25" s="203"/>
      <c r="I25" s="81">
        <f t="shared" si="0"/>
        <v>0</v>
      </c>
      <c r="J25" s="6"/>
      <c r="K25" s="6"/>
      <c r="L25" s="6"/>
      <c r="M25" s="6"/>
      <c r="N25" s="6"/>
      <c r="O25" s="6"/>
    </row>
    <row r="26" spans="1:15" ht="14.25" hidden="1">
      <c r="A26" s="74">
        <v>2</v>
      </c>
      <c r="B26" s="74"/>
      <c r="C26" s="79" t="str">
        <f>IFERROR(VLOOKUP($A26,GanttChart!$A:$JD,2,FALSE),"خطا")</f>
        <v>استقرار زيرساخت  وآماده سازی  زیر ساخت نرم افزاری سامان سوئیت</v>
      </c>
      <c r="D26" s="80">
        <f>IFERROR(VLOOKUP($A26,GanttChart!$A:$JD,261,FALSE),0)</f>
        <v>0</v>
      </c>
      <c r="E26" s="80">
        <f>IFERROR(VLOOKUP($A26,GanttChart!$A:$JD,262,FALSE),0)</f>
        <v>0</v>
      </c>
      <c r="F26" s="80">
        <f>IFERROR(VLOOKUP($A26,GanttChart!$A:$JD,263,FALSE),0)</f>
        <v>0</v>
      </c>
      <c r="G26" s="81">
        <f>IFERROR(VLOOKUP($A26,GanttChart!$A:$JD,264,FALSE),0)</f>
        <v>0</v>
      </c>
      <c r="H26" s="203"/>
      <c r="I26" s="81">
        <f t="shared" si="0"/>
        <v>0</v>
      </c>
      <c r="J26" s="6"/>
      <c r="K26" s="6"/>
      <c r="L26" s="6"/>
      <c r="M26" s="6"/>
      <c r="N26" s="6"/>
      <c r="O26" s="6"/>
    </row>
    <row r="27" spans="1:15" ht="22.5">
      <c r="A27" s="74">
        <v>2.1</v>
      </c>
      <c r="B27" s="74"/>
      <c r="C27" s="79" t="str">
        <f>IFERROR(VLOOKUP($A27,GanttChart!$A:$JD,2,FALSE),"خطا")</f>
        <v xml:space="preserve">ارائه سند نيازمنديهاي شبکه و سخت افزار سرور و نرم افزار های مورد نیاز به کارفرما </v>
      </c>
      <c r="D27" s="80">
        <f>IFERROR(VLOOKUP($A27,GanttChart!$A:$JD,261,FALSE),0)</f>
        <v>0</v>
      </c>
      <c r="E27" s="80">
        <f>IFERROR(VLOOKUP($A27,GanttChart!$A:$JD,262,FALSE),0)</f>
        <v>0</v>
      </c>
      <c r="F27" s="80">
        <f>IFERROR(VLOOKUP($A27,GanttChart!$A:$JD,263,FALSE),0)</f>
        <v>0</v>
      </c>
      <c r="G27" s="81">
        <f>IFERROR(VLOOKUP($A27,GanttChart!$A:$JD,264,FALSE),0)</f>
        <v>0</v>
      </c>
      <c r="H27" s="203"/>
      <c r="I27" s="81">
        <f t="shared" si="0"/>
        <v>0</v>
      </c>
      <c r="J27" s="6"/>
      <c r="K27" s="6"/>
      <c r="L27" s="6"/>
      <c r="M27" s="6"/>
      <c r="N27" s="6"/>
      <c r="O27" s="6"/>
    </row>
    <row r="28" spans="1:15" ht="22.5">
      <c r="A28" s="74">
        <v>2.2000000000000002</v>
      </c>
      <c r="B28" s="74"/>
      <c r="C28" s="79" t="str">
        <f>IFERROR(VLOOKUP($A28,GanttChart!$A:$JD,2,FALSE),"خطا")</f>
        <v xml:space="preserve">تامين و آماده سازي شبکه و زيرساخت سخت افزاری و نرم افزاری مورد نياز (سرور  اصلی و میرور) توسط کارفرما </v>
      </c>
      <c r="D28" s="80">
        <f>IFERROR(VLOOKUP($A28,GanttChart!$A:$JD,261,FALSE),0)</f>
        <v>0</v>
      </c>
      <c r="E28" s="80">
        <f>IFERROR(VLOOKUP($A28,GanttChart!$A:$JD,262,FALSE),0)</f>
        <v>0</v>
      </c>
      <c r="F28" s="80">
        <f>IFERROR(VLOOKUP($A28,GanttChart!$A:$JD,263,FALSE),0)</f>
        <v>0</v>
      </c>
      <c r="G28" s="81">
        <f>IFERROR(VLOOKUP($A28,GanttChart!$A:$JD,264,FALSE),0)</f>
        <v>0</v>
      </c>
      <c r="H28" s="203"/>
      <c r="I28" s="81">
        <f t="shared" si="0"/>
        <v>0</v>
      </c>
      <c r="J28" s="6"/>
      <c r="K28" s="6"/>
      <c r="L28" s="6"/>
      <c r="M28" s="6"/>
      <c r="N28" s="6"/>
      <c r="O28" s="6"/>
    </row>
    <row r="29" spans="1:15" ht="14.25">
      <c r="A29" s="74">
        <v>2.2999999999999998</v>
      </c>
      <c r="B29" s="74"/>
      <c r="C29" s="79" t="str">
        <f>IFERROR(VLOOKUP($A29,GanttChart!$A:$JD,2,FALSE),"خطا")</f>
        <v>ارائه دسترسی راه دور به سرور از طریق (ssh) با حق دسترسی مدیریت</v>
      </c>
      <c r="D29" s="80">
        <f>IFERROR(VLOOKUP($A29,GanttChart!$A:$JD,261,FALSE),0)</f>
        <v>0</v>
      </c>
      <c r="E29" s="80">
        <f>IFERROR(VLOOKUP($A29,GanttChart!$A:$JD,262,FALSE),0)</f>
        <v>0</v>
      </c>
      <c r="F29" s="80">
        <f>IFERROR(VLOOKUP($A29,GanttChart!$A:$JD,263,FALSE),0)</f>
        <v>0</v>
      </c>
      <c r="G29" s="81">
        <f>IFERROR(VLOOKUP($A29,GanttChart!$A:$JD,264,FALSE),0)</f>
        <v>0</v>
      </c>
      <c r="H29" s="203"/>
      <c r="I29" s="81">
        <f t="shared" si="0"/>
        <v>0</v>
      </c>
      <c r="J29" s="6"/>
      <c r="K29" s="6"/>
      <c r="L29" s="6"/>
      <c r="M29" s="6"/>
      <c r="N29" s="6"/>
      <c r="O29" s="6"/>
    </row>
    <row r="30" spans="1:15" ht="14.25">
      <c r="A30" s="74">
        <v>2.4</v>
      </c>
      <c r="B30" s="74"/>
      <c r="C30" s="79" t="str">
        <f>IFERROR(VLOOKUP($A30,GanttChart!$A:$JD,2,FALSE),"خطا")</f>
        <v>نصب و پیکربندی سرور پورتال و زیر ساخت نرم افزاری پایه آن</v>
      </c>
      <c r="D30" s="80">
        <f>IFERROR(VLOOKUP($A30,GanttChart!$A:$JD,261,FALSE),0)</f>
        <v>0</v>
      </c>
      <c r="E30" s="80">
        <f>IFERROR(VLOOKUP($A30,GanttChart!$A:$JD,262,FALSE),0)</f>
        <v>0</v>
      </c>
      <c r="F30" s="80">
        <f>IFERROR(VLOOKUP($A30,GanttChart!$A:$JD,263,FALSE),0)</f>
        <v>0</v>
      </c>
      <c r="G30" s="81">
        <f>IFERROR(VLOOKUP($A30,GanttChart!$A:$JD,264,FALSE),0)</f>
        <v>0</v>
      </c>
      <c r="H30" s="203"/>
      <c r="I30" s="81">
        <f t="shared" si="0"/>
        <v>0</v>
      </c>
      <c r="J30" s="6"/>
      <c r="K30" s="6"/>
      <c r="L30" s="6"/>
      <c r="M30" s="6"/>
      <c r="N30" s="6"/>
      <c r="O30" s="6"/>
    </row>
    <row r="31" spans="1:15" ht="22.5" hidden="1">
      <c r="A31" s="74">
        <v>2.5</v>
      </c>
      <c r="B31" s="74"/>
      <c r="C31" s="79" t="str">
        <f>IFERROR(VLOOKUP($A31,GanttChart!$A:$JD,2,FALSE),"خطا")</f>
        <v>نصب و پیکربندی نرم افزار سامان سوئیت و سایر نرم افزاری های موضوع قرارداد بر روی سرور</v>
      </c>
      <c r="D31" s="80">
        <f>IFERROR(VLOOKUP($A31,GanttChart!$A:$JD,261,FALSE),0)</f>
        <v>0</v>
      </c>
      <c r="E31" s="80">
        <f>IFERROR(VLOOKUP($A31,GanttChart!$A:$JD,262,FALSE),0)</f>
        <v>0</v>
      </c>
      <c r="F31" s="80">
        <f>IFERROR(VLOOKUP($A31,GanttChart!$A:$JD,263,FALSE),0)</f>
        <v>0</v>
      </c>
      <c r="G31" s="81">
        <f>IFERROR(VLOOKUP($A31,GanttChart!$A:$JD,264,FALSE),0)</f>
        <v>0</v>
      </c>
      <c r="H31" s="203"/>
      <c r="I31" s="81">
        <f t="shared" si="0"/>
        <v>0</v>
      </c>
      <c r="J31" s="6"/>
      <c r="K31" s="6"/>
      <c r="L31" s="6"/>
      <c r="M31" s="6"/>
      <c r="N31" s="6"/>
      <c r="O31" s="6"/>
    </row>
    <row r="32" spans="1:15" ht="14.25">
      <c r="A32" s="74">
        <v>2.6</v>
      </c>
      <c r="B32" s="74"/>
      <c r="C32" s="79" t="str">
        <f>IFERROR(VLOOKUP($A32,GanttChart!$A:$JD,2,FALSE),"خطا")</f>
        <v>تنظیم روال های تهیه نسخه پشتیبان دوره ای از نرم افزار سامان سوئیت</v>
      </c>
      <c r="D32" s="80">
        <f>IFERROR(VLOOKUP($A32,GanttChart!$A:$JD,261,FALSE),0)</f>
        <v>0</v>
      </c>
      <c r="E32" s="80">
        <f>IFERROR(VLOOKUP($A32,GanttChart!$A:$JD,262,FALSE),0)</f>
        <v>0</v>
      </c>
      <c r="F32" s="80">
        <f>IFERROR(VLOOKUP($A32,GanttChart!$A:$JD,263,FALSE),0)</f>
        <v>0</v>
      </c>
      <c r="G32" s="81">
        <f>IFERROR(VLOOKUP($A32,GanttChart!$A:$JD,264,FALSE),0)</f>
        <v>0</v>
      </c>
      <c r="H32" s="203"/>
      <c r="I32" s="81">
        <f t="shared" si="0"/>
        <v>0</v>
      </c>
      <c r="J32" s="6"/>
      <c r="K32" s="6"/>
      <c r="L32" s="6"/>
      <c r="M32" s="6"/>
      <c r="N32" s="6"/>
      <c r="O32" s="6"/>
    </row>
    <row r="33" spans="1:15" ht="22.5" hidden="1">
      <c r="A33" s="74">
        <v>2.7</v>
      </c>
      <c r="B33" s="74"/>
      <c r="C33" s="79" t="str">
        <f>IFERROR(VLOOKUP($A33,GanttChart!$A:$JD,2,FALSE),"خطا")</f>
        <v>تحویل نرم افزار نصب شده مطابق با مجوزهای جدول الف و ب پیوست 8 قرارداد بر روی سرور کارفرما به کارفرما</v>
      </c>
      <c r="D33" s="80">
        <f>IFERROR(VLOOKUP($A33,GanttChart!$A:$JD,261,FALSE),0)</f>
        <v>0</v>
      </c>
      <c r="E33" s="80">
        <f>IFERROR(VLOOKUP($A33,GanttChart!$A:$JD,262,FALSE),0)</f>
        <v>0</v>
      </c>
      <c r="F33" s="80">
        <f>IFERROR(VLOOKUP($A33,GanttChart!$A:$JD,263,FALSE),0)</f>
        <v>0</v>
      </c>
      <c r="G33" s="81">
        <f>IFERROR(VLOOKUP($A33,GanttChart!$A:$JD,264,FALSE),0)</f>
        <v>0</v>
      </c>
      <c r="H33" s="203"/>
      <c r="I33" s="81">
        <f t="shared" si="0"/>
        <v>0</v>
      </c>
      <c r="J33" s="6"/>
      <c r="K33" s="6"/>
      <c r="L33" s="6"/>
      <c r="M33" s="6"/>
      <c r="N33" s="6"/>
      <c r="O33" s="6"/>
    </row>
    <row r="34" spans="1:15" ht="14.25" hidden="1">
      <c r="A34" s="74">
        <v>2.8</v>
      </c>
      <c r="B34" s="74"/>
      <c r="C34" s="79" t="str">
        <f>IFERROR(VLOOKUP($A34,GanttChart!$A:$JD,2,FALSE),"خطا")</f>
        <v>تهیه و نگهداری نسخه های پشتیبان نرم افزار سامان سوئیت</v>
      </c>
      <c r="D34" s="80">
        <f>IFERROR(VLOOKUP($A34,GanttChart!$A:$JD,261,FALSE),0)</f>
        <v>0</v>
      </c>
      <c r="E34" s="80">
        <f>IFERROR(VLOOKUP($A34,GanttChart!$A:$JD,262,FALSE),0)</f>
        <v>0</v>
      </c>
      <c r="F34" s="80">
        <f>IFERROR(VLOOKUP($A34,GanttChart!$A:$JD,263,FALSE),0)</f>
        <v>0</v>
      </c>
      <c r="G34" s="81">
        <f>IFERROR(VLOOKUP($A34,GanttChart!$A:$JD,264,FALSE),0)</f>
        <v>0</v>
      </c>
      <c r="H34" s="203"/>
      <c r="I34" s="81">
        <f t="shared" si="0"/>
        <v>0</v>
      </c>
      <c r="J34" s="6"/>
      <c r="K34" s="6"/>
      <c r="L34" s="6"/>
      <c r="M34" s="6"/>
      <c r="N34" s="6"/>
      <c r="O34" s="6"/>
    </row>
    <row r="35" spans="1:15" ht="14.25" hidden="1">
      <c r="A35" s="74">
        <v>2.9</v>
      </c>
      <c r="B35" s="74"/>
      <c r="C35" s="79" t="str">
        <f>IFERROR(VLOOKUP($A35,GanttChart!$A:$JD,2,FALSE),"خطا")</f>
        <v>تحویل سرور اصلی  به کارفرما</v>
      </c>
      <c r="D35" s="80">
        <f>IFERROR(VLOOKUP($A35,GanttChart!$A:$JD,261,FALSE),0)</f>
        <v>0</v>
      </c>
      <c r="E35" s="80">
        <f>IFERROR(VLOOKUP($A35,GanttChart!$A:$JD,262,FALSE),0)</f>
        <v>0</v>
      </c>
      <c r="F35" s="80">
        <f>IFERROR(VLOOKUP($A35,GanttChart!$A:$JD,263,FALSE),0)</f>
        <v>0</v>
      </c>
      <c r="G35" s="81">
        <f>IFERROR(VLOOKUP($A35,GanttChart!$A:$JD,264,FALSE),0)</f>
        <v>0</v>
      </c>
      <c r="H35" s="203"/>
      <c r="I35" s="81">
        <f t="shared" si="0"/>
        <v>0</v>
      </c>
      <c r="J35" s="6"/>
      <c r="K35" s="6"/>
      <c r="L35" s="6"/>
      <c r="M35" s="6"/>
      <c r="N35" s="6"/>
      <c r="O35" s="6"/>
    </row>
    <row r="36" spans="1:15" ht="14.25" hidden="1">
      <c r="A36" s="74">
        <v>2.11</v>
      </c>
      <c r="B36" s="74"/>
      <c r="C36" s="79">
        <f>IFERROR(VLOOKUP($A36,GanttChart!$A:$JD,2,FALSE),"خطا")</f>
        <v>0</v>
      </c>
      <c r="D36" s="80">
        <f>IFERROR(VLOOKUP($A36,GanttChart!$A:$JD,261,FALSE),0)</f>
        <v>0</v>
      </c>
      <c r="E36" s="80">
        <f>IFERROR(VLOOKUP($A36,GanttChart!$A:$JD,262,FALSE),0)</f>
        <v>0</v>
      </c>
      <c r="F36" s="80">
        <f>IFERROR(VLOOKUP($A36,GanttChart!$A:$JD,263,FALSE),0)</f>
        <v>0</v>
      </c>
      <c r="G36" s="81">
        <f>IFERROR(VLOOKUP($A36,GanttChart!$A:$JD,264,FALSE),0)</f>
        <v>0</v>
      </c>
      <c r="H36" s="203"/>
      <c r="I36" s="81">
        <f t="shared" si="0"/>
        <v>0</v>
      </c>
      <c r="J36" s="6"/>
      <c r="K36" s="6"/>
      <c r="L36" s="6"/>
      <c r="M36" s="6"/>
      <c r="N36" s="6"/>
      <c r="O36" s="6"/>
    </row>
    <row r="37" spans="1:15" ht="14.25" hidden="1">
      <c r="A37" s="74">
        <v>2.12</v>
      </c>
      <c r="B37" s="74"/>
      <c r="C37" s="79">
        <f>IFERROR(VLOOKUP($A37,GanttChart!$A:$JD,2,FALSE),"خطا")</f>
        <v>0</v>
      </c>
      <c r="D37" s="80">
        <f>IFERROR(VLOOKUP($A37,GanttChart!$A:$JD,261,FALSE),0)</f>
        <v>0</v>
      </c>
      <c r="E37" s="80">
        <f>IFERROR(VLOOKUP($A37,GanttChart!$A:$JD,262,FALSE),0)</f>
        <v>0</v>
      </c>
      <c r="F37" s="80">
        <f>IFERROR(VLOOKUP($A37,GanttChart!$A:$JD,263,FALSE),0)</f>
        <v>0</v>
      </c>
      <c r="G37" s="81">
        <f>IFERROR(VLOOKUP($A37,GanttChart!$A:$JD,264,FALSE),0)</f>
        <v>0</v>
      </c>
      <c r="H37" s="203"/>
      <c r="I37" s="81">
        <f t="shared" si="0"/>
        <v>0</v>
      </c>
      <c r="J37" s="6"/>
      <c r="K37" s="6"/>
      <c r="L37" s="6"/>
      <c r="M37" s="6"/>
      <c r="N37" s="6"/>
      <c r="O37" s="6"/>
    </row>
    <row r="38" spans="1:15" ht="14.25" hidden="1">
      <c r="A38" s="74">
        <v>2.13</v>
      </c>
      <c r="B38" s="74"/>
      <c r="C38" s="79">
        <f>IFERROR(VLOOKUP($A38,GanttChart!$A:$JD,2,FALSE),"خطا")</f>
        <v>0</v>
      </c>
      <c r="D38" s="80">
        <f>IFERROR(VLOOKUP($A38,GanttChart!$A:$JD,261,FALSE),0)</f>
        <v>0</v>
      </c>
      <c r="E38" s="80">
        <f>IFERROR(VLOOKUP($A38,GanttChart!$A:$JD,262,FALSE),0)</f>
        <v>0</v>
      </c>
      <c r="F38" s="80">
        <f>IFERROR(VLOOKUP($A38,GanttChart!$A:$JD,263,FALSE),0)</f>
        <v>0</v>
      </c>
      <c r="G38" s="81">
        <f>IFERROR(VLOOKUP($A38,GanttChart!$A:$JD,264,FALSE),0)</f>
        <v>0</v>
      </c>
      <c r="H38" s="203"/>
      <c r="I38" s="81">
        <f t="shared" si="0"/>
        <v>0</v>
      </c>
      <c r="J38" s="6"/>
      <c r="K38" s="6"/>
      <c r="L38" s="6"/>
      <c r="M38" s="6"/>
      <c r="N38" s="6"/>
      <c r="O38" s="6"/>
    </row>
    <row r="39" spans="1:15" ht="14.25" hidden="1">
      <c r="A39" s="74">
        <v>2.14</v>
      </c>
      <c r="B39" s="74"/>
      <c r="C39" s="79">
        <f>IFERROR(VLOOKUP($A39,GanttChart!$A:$JD,2,FALSE),"خطا")</f>
        <v>0</v>
      </c>
      <c r="D39" s="80">
        <f>IFERROR(VLOOKUP($A39,GanttChart!$A:$JD,261,FALSE),0)</f>
        <v>0</v>
      </c>
      <c r="E39" s="80">
        <f>IFERROR(VLOOKUP($A39,GanttChart!$A:$JD,262,FALSE),0)</f>
        <v>0</v>
      </c>
      <c r="F39" s="80">
        <f>IFERROR(VLOOKUP($A39,GanttChart!$A:$JD,263,FALSE),0)</f>
        <v>0</v>
      </c>
      <c r="G39" s="81">
        <f>IFERROR(VLOOKUP($A39,GanttChart!$A:$JD,264,FALSE),0)</f>
        <v>0</v>
      </c>
      <c r="H39" s="203"/>
      <c r="I39" s="81">
        <f t="shared" si="0"/>
        <v>0</v>
      </c>
      <c r="J39" s="6"/>
      <c r="K39" s="6"/>
      <c r="L39" s="6"/>
      <c r="M39" s="6"/>
      <c r="N39" s="6"/>
      <c r="O39" s="6"/>
    </row>
    <row r="40" spans="1:15" ht="14.25" hidden="1">
      <c r="A40" s="74">
        <v>2.15</v>
      </c>
      <c r="B40" s="74"/>
      <c r="C40" s="79">
        <f>IFERROR(VLOOKUP($A40,GanttChart!$A:$JD,2,FALSE),"خطا")</f>
        <v>0</v>
      </c>
      <c r="D40" s="80">
        <f>IFERROR(VLOOKUP($A40,GanttChart!$A:$JD,261,FALSE),0)</f>
        <v>0</v>
      </c>
      <c r="E40" s="80">
        <f>IFERROR(VLOOKUP($A40,GanttChart!$A:$JD,262,FALSE),0)</f>
        <v>0</v>
      </c>
      <c r="F40" s="80">
        <f>IFERROR(VLOOKUP($A40,GanttChart!$A:$JD,263,FALSE),0)</f>
        <v>0</v>
      </c>
      <c r="G40" s="81">
        <f>IFERROR(VLOOKUP($A40,GanttChart!$A:$JD,264,FALSE),0)</f>
        <v>0</v>
      </c>
      <c r="H40" s="203"/>
      <c r="I40" s="81">
        <f t="shared" si="0"/>
        <v>0</v>
      </c>
      <c r="J40" s="6"/>
      <c r="K40" s="6"/>
      <c r="L40" s="6"/>
      <c r="M40" s="6"/>
      <c r="N40" s="6"/>
      <c r="O40" s="6"/>
    </row>
    <row r="41" spans="1:15" ht="14.25" hidden="1">
      <c r="A41" s="74">
        <v>2.16</v>
      </c>
      <c r="B41" s="74"/>
      <c r="C41" s="79">
        <f>IFERROR(VLOOKUP($A41,GanttChart!$A:$JD,2,FALSE),"خطا")</f>
        <v>0</v>
      </c>
      <c r="D41" s="80">
        <f>IFERROR(VLOOKUP($A41,GanttChart!$A:$JD,261,FALSE),0)</f>
        <v>0</v>
      </c>
      <c r="E41" s="80">
        <f>IFERROR(VLOOKUP($A41,GanttChart!$A:$JD,262,FALSE),0)</f>
        <v>0</v>
      </c>
      <c r="F41" s="80">
        <f>IFERROR(VLOOKUP($A41,GanttChart!$A:$JD,263,FALSE),0)</f>
        <v>0</v>
      </c>
      <c r="G41" s="81">
        <f>IFERROR(VLOOKUP($A41,GanttChart!$A:$JD,264,FALSE),0)</f>
        <v>0</v>
      </c>
      <c r="H41" s="203"/>
      <c r="I41" s="81">
        <f t="shared" si="0"/>
        <v>0</v>
      </c>
      <c r="J41" s="6"/>
      <c r="K41" s="6"/>
      <c r="L41" s="6"/>
      <c r="M41" s="6"/>
      <c r="N41" s="6"/>
      <c r="O41" s="6"/>
    </row>
    <row r="42" spans="1:15" ht="14.25" hidden="1">
      <c r="A42" s="74">
        <v>2.17</v>
      </c>
      <c r="B42" s="74"/>
      <c r="C42" s="79">
        <f>IFERROR(VLOOKUP($A42,GanttChart!$A:$JD,2,FALSE),"خطا")</f>
        <v>0</v>
      </c>
      <c r="D42" s="80">
        <f>IFERROR(VLOOKUP($A42,GanttChart!$A:$JD,261,FALSE),0)</f>
        <v>0</v>
      </c>
      <c r="E42" s="80">
        <f>IFERROR(VLOOKUP($A42,GanttChart!$A:$JD,262,FALSE),0)</f>
        <v>0</v>
      </c>
      <c r="F42" s="80">
        <f>IFERROR(VLOOKUP($A42,GanttChart!$A:$JD,263,FALSE),0)</f>
        <v>0</v>
      </c>
      <c r="G42" s="81">
        <f>IFERROR(VLOOKUP($A42,GanttChart!$A:$JD,264,FALSE),0)</f>
        <v>0</v>
      </c>
      <c r="H42" s="203"/>
      <c r="I42" s="81">
        <f t="shared" si="0"/>
        <v>0</v>
      </c>
      <c r="J42" s="6"/>
      <c r="K42" s="6"/>
      <c r="L42" s="6"/>
      <c r="M42" s="6"/>
      <c r="N42" s="6"/>
      <c r="O42" s="6"/>
    </row>
    <row r="43" spans="1:15" ht="14.25" hidden="1">
      <c r="A43" s="74">
        <v>2.1800000000000002</v>
      </c>
      <c r="B43" s="74"/>
      <c r="C43" s="79">
        <f>IFERROR(VLOOKUP($A43,GanttChart!$A:$JD,2,FALSE),"خطا")</f>
        <v>0</v>
      </c>
      <c r="D43" s="80">
        <f>IFERROR(VLOOKUP($A43,GanttChart!$A:$JD,261,FALSE),0)</f>
        <v>0</v>
      </c>
      <c r="E43" s="80">
        <f>IFERROR(VLOOKUP($A43,GanttChart!$A:$JD,262,FALSE),0)</f>
        <v>0</v>
      </c>
      <c r="F43" s="80">
        <f>IFERROR(VLOOKUP($A43,GanttChart!$A:$JD,263,FALSE),0)</f>
        <v>0</v>
      </c>
      <c r="G43" s="81">
        <f>IFERROR(VLOOKUP($A43,GanttChart!$A:$JD,264,FALSE),0)</f>
        <v>0</v>
      </c>
      <c r="H43" s="203"/>
      <c r="I43" s="81">
        <f t="shared" si="0"/>
        <v>0</v>
      </c>
      <c r="J43" s="6"/>
      <c r="K43" s="6"/>
      <c r="L43" s="6"/>
      <c r="M43" s="6"/>
      <c r="N43" s="6"/>
      <c r="O43" s="6"/>
    </row>
    <row r="44" spans="1:15" ht="14.25" hidden="1">
      <c r="A44" s="74">
        <v>2.19</v>
      </c>
      <c r="B44" s="74"/>
      <c r="C44" s="79">
        <f>IFERROR(VLOOKUP($A44,GanttChart!$A:$JD,2,FALSE),"خطا")</f>
        <v>0</v>
      </c>
      <c r="D44" s="80">
        <f>IFERROR(VLOOKUP($A44,GanttChart!$A:$JD,261,FALSE),0)</f>
        <v>0</v>
      </c>
      <c r="E44" s="80">
        <f>IFERROR(VLOOKUP($A44,GanttChart!$A:$JD,262,FALSE),0)</f>
        <v>0</v>
      </c>
      <c r="F44" s="80">
        <f>IFERROR(VLOOKUP($A44,GanttChart!$A:$JD,263,FALSE),0)</f>
        <v>0</v>
      </c>
      <c r="G44" s="81">
        <f>IFERROR(VLOOKUP($A44,GanttChart!$A:$JD,264,FALSE),0)</f>
        <v>0</v>
      </c>
      <c r="H44" s="203"/>
      <c r="I44" s="81">
        <f t="shared" si="0"/>
        <v>0</v>
      </c>
      <c r="J44" s="6"/>
      <c r="K44" s="6"/>
      <c r="L44" s="6"/>
      <c r="M44" s="6"/>
      <c r="N44" s="6"/>
      <c r="O44" s="6"/>
    </row>
    <row r="45" spans="1:15" ht="14.25" hidden="1">
      <c r="A45" s="74">
        <v>2.21</v>
      </c>
      <c r="B45" s="74"/>
      <c r="C45" s="79" t="str">
        <f>IFERROR(VLOOKUP($A45,GanttChart!$A:$JD,2,FALSE),"خطا")</f>
        <v>خطا</v>
      </c>
      <c r="D45" s="80">
        <f>IFERROR(VLOOKUP($A45,GanttChart!$A:$JD,261,FALSE),0)</f>
        <v>0</v>
      </c>
      <c r="E45" s="80">
        <f>IFERROR(VLOOKUP($A45,GanttChart!$A:$JD,262,FALSE),0)</f>
        <v>0</v>
      </c>
      <c r="F45" s="80">
        <f>IFERROR(VLOOKUP($A45,GanttChart!$A:$JD,263,FALSE),0)</f>
        <v>0</v>
      </c>
      <c r="G45" s="81">
        <f>IFERROR(VLOOKUP($A45,GanttChart!$A:$JD,264,FALSE),0)</f>
        <v>0</v>
      </c>
      <c r="H45" s="203"/>
      <c r="I45" s="81">
        <f t="shared" si="0"/>
        <v>0</v>
      </c>
      <c r="J45" s="6"/>
      <c r="K45" s="6"/>
      <c r="L45" s="6"/>
      <c r="M45" s="6"/>
      <c r="N45" s="6"/>
      <c r="O45" s="6"/>
    </row>
    <row r="46" spans="1:15" ht="14.25" hidden="1">
      <c r="A46" s="74">
        <v>2.2200000000000002</v>
      </c>
      <c r="B46" s="74"/>
      <c r="C46" s="79" t="str">
        <f>IFERROR(VLOOKUP($A46,GanttChart!$A:$JD,2,FALSE),"خطا")</f>
        <v>خطا</v>
      </c>
      <c r="D46" s="80">
        <f>IFERROR(VLOOKUP($A46,GanttChart!$A:$JD,261,FALSE),0)</f>
        <v>0</v>
      </c>
      <c r="E46" s="80">
        <f>IFERROR(VLOOKUP($A46,GanttChart!$A:$JD,262,FALSE),0)</f>
        <v>0</v>
      </c>
      <c r="F46" s="80">
        <f>IFERROR(VLOOKUP($A46,GanttChart!$A:$JD,263,FALSE),0)</f>
        <v>0</v>
      </c>
      <c r="G46" s="81">
        <f>IFERROR(VLOOKUP($A46,GanttChart!$A:$JD,264,FALSE),0)</f>
        <v>0</v>
      </c>
      <c r="H46" s="203"/>
      <c r="I46" s="81">
        <f t="shared" si="0"/>
        <v>0</v>
      </c>
      <c r="J46" s="6"/>
      <c r="K46" s="6"/>
      <c r="L46" s="6"/>
      <c r="M46" s="6"/>
      <c r="N46" s="6"/>
      <c r="O46" s="6"/>
    </row>
    <row r="47" spans="1:15" ht="14.25" hidden="1">
      <c r="A47" s="74">
        <v>2.23</v>
      </c>
      <c r="B47" s="74"/>
      <c r="C47" s="79" t="str">
        <f>IFERROR(VLOOKUP($A47,GanttChart!$A:$JD,2,FALSE),"خطا")</f>
        <v>خطا</v>
      </c>
      <c r="D47" s="80">
        <f>IFERROR(VLOOKUP($A47,GanttChart!$A:$JD,261,FALSE),0)</f>
        <v>0</v>
      </c>
      <c r="E47" s="80">
        <f>IFERROR(VLOOKUP($A47,GanttChart!$A:$JD,262,FALSE),0)</f>
        <v>0</v>
      </c>
      <c r="F47" s="80">
        <f>IFERROR(VLOOKUP($A47,GanttChart!$A:$JD,263,FALSE),0)</f>
        <v>0</v>
      </c>
      <c r="G47" s="81">
        <f>IFERROR(VLOOKUP($A47,GanttChart!$A:$JD,264,FALSE),0)</f>
        <v>0</v>
      </c>
      <c r="H47" s="203"/>
      <c r="I47" s="81">
        <f t="shared" si="0"/>
        <v>0</v>
      </c>
      <c r="J47" s="6"/>
      <c r="K47" s="6"/>
      <c r="L47" s="6"/>
      <c r="M47" s="6"/>
      <c r="N47" s="6"/>
      <c r="O47" s="6"/>
    </row>
    <row r="48" spans="1:15" ht="14.25" hidden="1">
      <c r="A48" s="74">
        <v>3</v>
      </c>
      <c r="B48" s="74"/>
      <c r="C48" s="79" t="str">
        <f>IFERROR(VLOOKUP($A48,GanttChart!$A:$JD,2,FALSE),"خطا")</f>
        <v>ارائه خدمات اجرایی موضوع قرارداد</v>
      </c>
      <c r="D48" s="80">
        <f>IFERROR(VLOOKUP($A48,GanttChart!$A:$JD,261,FALSE),0)</f>
        <v>0</v>
      </c>
      <c r="E48" s="80">
        <f>IFERROR(VLOOKUP($A48,GanttChart!$A:$JD,262,FALSE),0)</f>
        <v>0</v>
      </c>
      <c r="F48" s="80">
        <f>IFERROR(VLOOKUP($A48,GanttChart!$A:$JD,263,FALSE),0)</f>
        <v>0</v>
      </c>
      <c r="G48" s="81">
        <f>IFERROR(VLOOKUP($A48,GanttChart!$A:$JD,264,FALSE),0)</f>
        <v>0</v>
      </c>
      <c r="H48" s="203"/>
      <c r="I48" s="81">
        <f t="shared" si="0"/>
        <v>0</v>
      </c>
      <c r="J48" s="6"/>
      <c r="K48" s="6"/>
      <c r="L48" s="6"/>
      <c r="M48" s="6"/>
      <c r="N48" s="6"/>
      <c r="O48" s="6"/>
    </row>
    <row r="49" spans="1:15" ht="14.25">
      <c r="A49" s="74">
        <v>3.1</v>
      </c>
      <c r="B49" s="74"/>
      <c r="C49" s="79" t="str">
        <f>IFERROR(VLOOKUP($A49,GanttChart!$A:$JD,2,FALSE),"خطا")</f>
        <v xml:space="preserve">ارائه پرسش نامه های نیازسنجی محتوایی و گرافیکی </v>
      </c>
      <c r="D49" s="80">
        <f>IFERROR(VLOOKUP($A49,GanttChart!$A:$JD,261,FALSE),0)</f>
        <v>0</v>
      </c>
      <c r="E49" s="80">
        <f>IFERROR(VLOOKUP($A49,GanttChart!$A:$JD,262,FALSE),0)</f>
        <v>0</v>
      </c>
      <c r="F49" s="80">
        <f>IFERROR(VLOOKUP($A49,GanttChart!$A:$JD,263,FALSE),0)</f>
        <v>0</v>
      </c>
      <c r="G49" s="81">
        <f>IFERROR(VLOOKUP($A49,GanttChart!$A:$JD,264,FALSE),0)</f>
        <v>0</v>
      </c>
      <c r="H49" s="203"/>
      <c r="I49" s="81">
        <f t="shared" si="0"/>
        <v>0</v>
      </c>
      <c r="J49" s="6"/>
      <c r="K49" s="6"/>
      <c r="L49" s="6"/>
      <c r="M49" s="6"/>
      <c r="N49" s="6"/>
      <c r="O49" s="6"/>
    </row>
    <row r="50" spans="1:15" ht="14.25" hidden="1">
      <c r="A50" s="74">
        <v>3.2</v>
      </c>
      <c r="B50" s="74"/>
      <c r="C50" s="79" t="str">
        <f>IFERROR(VLOOKUP($A50,GanttChart!$A:$JD,2,FALSE),"خطا")</f>
        <v>تدوین سند شناخت وضع جاری</v>
      </c>
      <c r="D50" s="80">
        <f>IFERROR(VLOOKUP($A50,GanttChart!$A:$JD,261,FALSE),0)</f>
        <v>0</v>
      </c>
      <c r="E50" s="80">
        <f>IFERROR(VLOOKUP($A50,GanttChart!$A:$JD,262,FALSE),0)</f>
        <v>0</v>
      </c>
      <c r="F50" s="80">
        <f>IFERROR(VLOOKUP($A50,GanttChart!$A:$JD,263,FALSE),0)</f>
        <v>0</v>
      </c>
      <c r="G50" s="81">
        <f>IFERROR(VLOOKUP($A50,GanttChart!$A:$JD,264,FALSE),0)</f>
        <v>0</v>
      </c>
      <c r="H50" s="203"/>
      <c r="I50" s="81">
        <f t="shared" si="0"/>
        <v>0</v>
      </c>
    </row>
    <row r="51" spans="1:15" ht="22.5">
      <c r="A51" s="74">
        <v>3.3</v>
      </c>
      <c r="B51" s="74"/>
      <c r="C51" s="79" t="str">
        <f>IFERROR(VLOOKUP($A51,GanttChart!$A:$JD,2,FALSE),"خطا")</f>
        <v>تکمیل پرسش نامه های نیاز سنجی محتوایی و گرافیکی  پورتال اصلی (فارسی)</v>
      </c>
      <c r="D51" s="80">
        <f>IFERROR(VLOOKUP($A51,GanttChart!$A:$JD,261,FALSE),0)</f>
        <v>0</v>
      </c>
      <c r="E51" s="80">
        <f>IFERROR(VLOOKUP($A51,GanttChart!$A:$JD,262,FALSE),0)</f>
        <v>0</v>
      </c>
      <c r="F51" s="80">
        <f>IFERROR(VLOOKUP($A51,GanttChart!$A:$JD,263,FALSE),0)</f>
        <v>0</v>
      </c>
      <c r="G51" s="81">
        <f>IFERROR(VLOOKUP($A51,GanttChart!$A:$JD,264,FALSE),0)</f>
        <v>0</v>
      </c>
      <c r="H51" s="203"/>
      <c r="I51" s="81">
        <f t="shared" si="0"/>
        <v>0</v>
      </c>
    </row>
    <row r="52" spans="1:15" ht="14.25" hidden="1">
      <c r="A52" s="74">
        <v>3.4</v>
      </c>
      <c r="B52" s="74"/>
      <c r="C52" s="79" t="str">
        <f>IFERROR(VLOOKUP($A52,GanttChart!$A:$JD,2,FALSE),"خطا")</f>
        <v>تکمیل پرسش نامه های نیاز سنجی محتوایی پورتال بیمه عمر و  اندوخته ساز</v>
      </c>
      <c r="D52" s="80">
        <f>IFERROR(VLOOKUP($A52,GanttChart!$A:$JD,261,FALSE),0)</f>
        <v>0</v>
      </c>
      <c r="E52" s="80">
        <f>IFERROR(VLOOKUP($A52,GanttChart!$A:$JD,262,FALSE),0)</f>
        <v>0</v>
      </c>
      <c r="F52" s="80">
        <f>IFERROR(VLOOKUP($A52,GanttChart!$A:$JD,263,FALSE),0)</f>
        <v>0</v>
      </c>
      <c r="G52" s="81">
        <f>IFERROR(VLOOKUP($A52,GanttChart!$A:$JD,264,FALSE),0)</f>
        <v>0</v>
      </c>
      <c r="H52" s="203"/>
      <c r="I52" s="81">
        <f t="shared" si="0"/>
        <v>0</v>
      </c>
    </row>
    <row r="53" spans="1:15" ht="14.25">
      <c r="A53" s="74">
        <v>3.5</v>
      </c>
      <c r="B53" s="74"/>
      <c r="C53" s="79" t="str">
        <f>IFERROR(VLOOKUP($A53,GanttChart!$A:$JD,2,FALSE),"خطا")</f>
        <v>تکمیل پرسش نامه های نیاز سنجی محتوایی پورتال بیمه مسافرتی</v>
      </c>
      <c r="D53" s="80">
        <f>IFERROR(VLOOKUP($A53,GanttChart!$A:$JD,261,FALSE),0)</f>
        <v>0</v>
      </c>
      <c r="E53" s="80">
        <f>IFERROR(VLOOKUP($A53,GanttChart!$A:$JD,262,FALSE),0)</f>
        <v>0</v>
      </c>
      <c r="F53" s="80">
        <f>IFERROR(VLOOKUP($A53,GanttChart!$A:$JD,263,FALSE),0)</f>
        <v>0</v>
      </c>
      <c r="G53" s="81">
        <f>IFERROR(VLOOKUP($A53,GanttChart!$A:$JD,264,FALSE),0)</f>
        <v>0</v>
      </c>
      <c r="H53" s="203"/>
      <c r="I53" s="81">
        <f t="shared" si="0"/>
        <v>0</v>
      </c>
    </row>
    <row r="54" spans="1:15" ht="14.25">
      <c r="A54" s="74">
        <v>3.6</v>
      </c>
      <c r="B54" s="74"/>
      <c r="C54" s="79" t="str">
        <f>IFERROR(VLOOKUP($A54,GanttChart!$A:$JD,2,FALSE),"خطا")</f>
        <v>تکمیل پرسش نامه های نیاز سنجی محتوایی پورتال  نمایندگان</v>
      </c>
      <c r="D54" s="80">
        <f>IFERROR(VLOOKUP($A54,GanttChart!$A:$JD,261,FALSE),0)</f>
        <v>0</v>
      </c>
      <c r="E54" s="80">
        <f>IFERROR(VLOOKUP($A54,GanttChart!$A:$JD,262,FALSE),0)</f>
        <v>0</v>
      </c>
      <c r="F54" s="80">
        <f>IFERROR(VLOOKUP($A54,GanttChart!$A:$JD,263,FALSE),0)</f>
        <v>0</v>
      </c>
      <c r="G54" s="81">
        <f>IFERROR(VLOOKUP($A54,GanttChart!$A:$JD,264,FALSE),0)</f>
        <v>0</v>
      </c>
      <c r="H54" s="203"/>
      <c r="I54" s="81">
        <f t="shared" si="0"/>
        <v>0</v>
      </c>
    </row>
    <row r="55" spans="1:15" ht="14.25" hidden="1">
      <c r="A55" s="74">
        <v>3.7</v>
      </c>
      <c r="B55" s="74"/>
      <c r="C55" s="79" t="str">
        <f>IFERROR(VLOOKUP($A55,GanttChart!$A:$JD,2,FALSE),"خطا")</f>
        <v>تکمیل پرسش نامه های نیاز سنجی محتوایی پورتال سهامداران</v>
      </c>
      <c r="D55" s="80">
        <f>IFERROR(VLOOKUP($A55,GanttChart!$A:$JD,261,FALSE),0)</f>
        <v>0</v>
      </c>
      <c r="E55" s="80">
        <f>IFERROR(VLOOKUP($A55,GanttChart!$A:$JD,262,FALSE),0)</f>
        <v>0</v>
      </c>
      <c r="F55" s="80">
        <f>IFERROR(VLOOKUP($A55,GanttChart!$A:$JD,263,FALSE),0)</f>
        <v>0</v>
      </c>
      <c r="G55" s="81">
        <f>IFERROR(VLOOKUP($A55,GanttChart!$A:$JD,264,FALSE),0)</f>
        <v>0</v>
      </c>
      <c r="H55" s="203"/>
      <c r="I55" s="81">
        <f t="shared" si="0"/>
        <v>0</v>
      </c>
    </row>
    <row r="56" spans="1:15" ht="14.25" hidden="1">
      <c r="A56" s="74">
        <v>3.8</v>
      </c>
      <c r="B56" s="74"/>
      <c r="C56" s="79" t="str">
        <f>IFERROR(VLOOKUP($A56,GanttChart!$A:$JD,2,FALSE),"خطا")</f>
        <v>جمع بندی نيازمنديهای فرايند شناخت و تدوین سند معماری محتوا (تدریجی)</v>
      </c>
      <c r="D56" s="80">
        <f>IFERROR(VLOOKUP($A56,GanttChart!$A:$JD,261,FALSE),0)</f>
        <v>0</v>
      </c>
      <c r="E56" s="80">
        <f>IFERROR(VLOOKUP($A56,GanttChart!$A:$JD,262,FALSE),0)</f>
        <v>0</v>
      </c>
      <c r="F56" s="80">
        <f>IFERROR(VLOOKUP($A56,GanttChart!$A:$JD,263,FALSE),0)</f>
        <v>0</v>
      </c>
      <c r="G56" s="81">
        <f>IFERROR(VLOOKUP($A56,GanttChart!$A:$JD,264,FALSE),0)</f>
        <v>0</v>
      </c>
      <c r="H56" s="203"/>
      <c r="I56" s="81">
        <f t="shared" si="0"/>
        <v>0</v>
      </c>
    </row>
    <row r="57" spans="1:15" ht="14.25" hidden="1">
      <c r="A57" s="74">
        <v>3.9</v>
      </c>
      <c r="B57" s="74"/>
      <c r="C57" s="79" t="str">
        <f>IFERROR(VLOOKUP($A57,GanttChart!$A:$JD,2,FALSE),"خطا")</f>
        <v xml:space="preserve"> بررسی و تایید مستند معماری محتوا توسط کارفرما (تدریجی)</v>
      </c>
      <c r="D57" s="80">
        <f>IFERROR(VLOOKUP($A57,GanttChart!$A:$JD,261,FALSE),0)</f>
        <v>0</v>
      </c>
      <c r="E57" s="80">
        <f>IFERROR(VLOOKUP($A57,GanttChart!$A:$JD,262,FALSE),0)</f>
        <v>0</v>
      </c>
      <c r="F57" s="80">
        <f>IFERROR(VLOOKUP($A57,GanttChart!$A:$JD,263,FALSE),0)</f>
        <v>0</v>
      </c>
      <c r="G57" s="81">
        <f>IFERROR(VLOOKUP($A57,GanttChart!$A:$JD,264,FALSE),0)</f>
        <v>0</v>
      </c>
      <c r="H57" s="203"/>
      <c r="I57" s="81">
        <f t="shared" si="0"/>
        <v>0</v>
      </c>
    </row>
    <row r="58" spans="1:15" ht="14.25" hidden="1">
      <c r="A58" s="74">
        <v>3.11</v>
      </c>
      <c r="B58" s="74"/>
      <c r="C58" s="79" t="str">
        <f>IFERROR(VLOOKUP($A58,GanttChart!$A:$JD,2,FALSE),"خطا")</f>
        <v>ارائه یک قالب گرافیکی  فارسی  برای زیر پورتال اینترنتی(فارسی)</v>
      </c>
      <c r="D58" s="80">
        <f>IFERROR(VLOOKUP($A58,GanttChart!$A:$JD,261,FALSE),0)</f>
        <v>0</v>
      </c>
      <c r="E58" s="80">
        <f>IFERROR(VLOOKUP($A58,GanttChart!$A:$JD,262,FALSE),0)</f>
        <v>0</v>
      </c>
      <c r="F58" s="80">
        <f>IFERROR(VLOOKUP($A58,GanttChart!$A:$JD,263,FALSE),0)</f>
        <v>0</v>
      </c>
      <c r="G58" s="81">
        <f>IFERROR(VLOOKUP($A58,GanttChart!$A:$JD,264,FALSE),0)</f>
        <v>0</v>
      </c>
      <c r="H58" s="203"/>
      <c r="I58" s="81">
        <f t="shared" si="0"/>
        <v>0</v>
      </c>
    </row>
    <row r="59" spans="1:15" ht="22.5" hidden="1">
      <c r="A59" s="74">
        <v>3.12</v>
      </c>
      <c r="B59" s="74"/>
      <c r="C59" s="79" t="str">
        <f>IFERROR(VLOOKUP($A59,GanttChart!$A:$JD,2,FALSE),"خطا")</f>
        <v>نهایی سازی قالب گرافیکی  برای پورتال اینترنتی مطابق نظر کارفرما (اعلام نظر کارفرما: 3 روز کاری، نهایی سازی: 2 روزکاری)</v>
      </c>
      <c r="D59" s="80">
        <f>IFERROR(VLOOKUP($A59,GanttChart!$A:$JD,261,FALSE),0)</f>
        <v>0</v>
      </c>
      <c r="E59" s="80">
        <f>IFERROR(VLOOKUP($A59,GanttChart!$A:$JD,262,FALSE),0)</f>
        <v>0</v>
      </c>
      <c r="F59" s="80">
        <f>IFERROR(VLOOKUP($A59,GanttChart!$A:$JD,263,FALSE),0)</f>
        <v>0</v>
      </c>
      <c r="G59" s="81">
        <f>IFERROR(VLOOKUP($A59,GanttChart!$A:$JD,264,FALSE),0)</f>
        <v>0</v>
      </c>
      <c r="H59" s="203"/>
      <c r="I59" s="81">
        <f t="shared" si="0"/>
        <v>0</v>
      </c>
    </row>
    <row r="60" spans="1:15" ht="14.25" hidden="1">
      <c r="A60" s="74">
        <v>3.13</v>
      </c>
      <c r="B60" s="74"/>
      <c r="C60" s="79" t="str">
        <f>IFERROR(VLOOKUP($A60,GanttChart!$A:$JD,2,FALSE),"خطا")</f>
        <v>ارائه سر صفحه اختصاصی زیر پورتال بیمه عمر و اندوخته ساز</v>
      </c>
      <c r="D60" s="80">
        <f>IFERROR(VLOOKUP($A60,GanttChart!$A:$JD,261,FALSE),0)</f>
        <v>0</v>
      </c>
      <c r="E60" s="80">
        <f>IFERROR(VLOOKUP($A60,GanttChart!$A:$JD,262,FALSE),0)</f>
        <v>0</v>
      </c>
      <c r="F60" s="80">
        <f>IFERROR(VLOOKUP($A60,GanttChart!$A:$JD,263,FALSE),0)</f>
        <v>0</v>
      </c>
      <c r="G60" s="81">
        <f>IFERROR(VLOOKUP($A60,GanttChart!$A:$JD,264,FALSE),0)</f>
        <v>0</v>
      </c>
      <c r="H60" s="203"/>
      <c r="I60" s="81">
        <f t="shared" si="0"/>
        <v>0</v>
      </c>
    </row>
    <row r="61" spans="1:15" ht="33.75" hidden="1">
      <c r="A61" s="74">
        <v>3.14</v>
      </c>
      <c r="B61" s="74"/>
      <c r="C61" s="79" t="str">
        <f>IFERROR(VLOOKUP($A61,GanttChart!$A:$JD,2,FALSE),"خطا")</f>
        <v>نهایی سازی سر صفحه اختصاصی زیر پورتال بیمه عمر و اندوخته ساز مطابق نظر کارفرما (اعلام نظر کارفرما: 1 روز کاری  و نهایی سازی: 2 روزکاری)</v>
      </c>
      <c r="D61" s="80">
        <f>IFERROR(VLOOKUP($A61,GanttChart!$A:$JD,261,FALSE),0)</f>
        <v>0</v>
      </c>
      <c r="E61" s="80">
        <f>IFERROR(VLOOKUP($A61,GanttChart!$A:$JD,262,FALSE),0)</f>
        <v>0</v>
      </c>
      <c r="F61" s="80">
        <f>IFERROR(VLOOKUP($A61,GanttChart!$A:$JD,263,FALSE),0)</f>
        <v>0</v>
      </c>
      <c r="G61" s="81">
        <f>IFERROR(VLOOKUP($A61,GanttChart!$A:$JD,264,FALSE),0)</f>
        <v>0</v>
      </c>
      <c r="H61" s="203"/>
      <c r="I61" s="81">
        <f t="shared" si="0"/>
        <v>0</v>
      </c>
    </row>
    <row r="62" spans="1:15" ht="14.25" hidden="1">
      <c r="A62" s="74">
        <v>3.15</v>
      </c>
      <c r="B62" s="74"/>
      <c r="C62" s="79" t="str">
        <f>IFERROR(VLOOKUP($A62,GanttChart!$A:$JD,2,FALSE),"خطا")</f>
        <v>ارائه سر صفحه اختصاصی زیر پورتال بیمه مسافرتی</v>
      </c>
      <c r="D62" s="80">
        <f>IFERROR(VLOOKUP($A62,GanttChart!$A:$JD,261,FALSE),0)</f>
        <v>0</v>
      </c>
      <c r="E62" s="80">
        <f>IFERROR(VLOOKUP($A62,GanttChart!$A:$JD,262,FALSE),0)</f>
        <v>0</v>
      </c>
      <c r="F62" s="80">
        <f>IFERROR(VLOOKUP($A62,GanttChart!$A:$JD,263,FALSE),0)</f>
        <v>0</v>
      </c>
      <c r="G62" s="81">
        <f>IFERROR(VLOOKUP($A62,GanttChart!$A:$JD,264,FALSE),0)</f>
        <v>0</v>
      </c>
      <c r="H62" s="203"/>
      <c r="I62" s="81">
        <f t="shared" si="0"/>
        <v>0</v>
      </c>
    </row>
    <row r="63" spans="1:15" ht="22.5" hidden="1">
      <c r="A63" s="74">
        <v>3.16</v>
      </c>
      <c r="B63" s="74"/>
      <c r="C63" s="79" t="str">
        <f>IFERROR(VLOOKUP($A63,GanttChart!$A:$JD,2,FALSE),"خطا")</f>
        <v>نهایی سازی سر صفحه اختصاصی زیر پورتال مسافرتی مطابق نظر کارفرما (اعلام نظر کارفرما : 1 روز کاری و  نهایی سازی: 2 روزکاری)</v>
      </c>
      <c r="D63" s="80">
        <f>IFERROR(VLOOKUP($A63,GanttChart!$A:$JD,261,FALSE),0)</f>
        <v>0</v>
      </c>
      <c r="E63" s="80">
        <f>IFERROR(VLOOKUP($A63,GanttChart!$A:$JD,262,FALSE),0)</f>
        <v>0</v>
      </c>
      <c r="F63" s="80">
        <f>IFERROR(VLOOKUP($A63,GanttChart!$A:$JD,263,FALSE),0)</f>
        <v>0</v>
      </c>
      <c r="G63" s="81">
        <f>IFERROR(VLOOKUP($A63,GanttChart!$A:$JD,264,FALSE),0)</f>
        <v>0</v>
      </c>
      <c r="H63" s="203"/>
      <c r="I63" s="81">
        <f t="shared" si="0"/>
        <v>0</v>
      </c>
    </row>
    <row r="64" spans="1:15" ht="14.25" hidden="1">
      <c r="A64" s="74">
        <v>3.17</v>
      </c>
      <c r="B64" s="74"/>
      <c r="C64" s="79" t="str">
        <f>IFERROR(VLOOKUP($A64,GanttChart!$A:$JD,2,FALSE),"خطا")</f>
        <v>ارائه سر صفحه اختصاصی زیر پورتال نمایندگان</v>
      </c>
      <c r="D64" s="80">
        <f>IFERROR(VLOOKUP($A64,GanttChart!$A:$JD,261,FALSE),0)</f>
        <v>0</v>
      </c>
      <c r="E64" s="80">
        <f>IFERROR(VLOOKUP($A64,GanttChart!$A:$JD,262,FALSE),0)</f>
        <v>0</v>
      </c>
      <c r="F64" s="80">
        <f>IFERROR(VLOOKUP($A64,GanttChart!$A:$JD,263,FALSE),0)</f>
        <v>0</v>
      </c>
      <c r="G64" s="81">
        <f>IFERROR(VLOOKUP($A64,GanttChart!$A:$JD,264,FALSE),0)</f>
        <v>0</v>
      </c>
      <c r="H64" s="203"/>
      <c r="I64" s="81">
        <f t="shared" si="0"/>
        <v>0</v>
      </c>
    </row>
    <row r="65" spans="1:9" ht="22.5" hidden="1">
      <c r="A65" s="74">
        <v>3.18</v>
      </c>
      <c r="B65" s="74"/>
      <c r="C65" s="79" t="str">
        <f>IFERROR(VLOOKUP($A65,GanttChart!$A:$JD,2,FALSE),"خطا")</f>
        <v>نهایی سازی سر صفحه اختصاصی زیر پورتال نمایندگان مطابق نظر کارفرما (اعلام نظر کارفرما و نهایی سازی: 2 روزکاری)</v>
      </c>
      <c r="D65" s="80">
        <f>IFERROR(VLOOKUP($A65,GanttChart!$A:$JD,261,FALSE),0)</f>
        <v>0</v>
      </c>
      <c r="E65" s="80">
        <f>IFERROR(VLOOKUP($A65,GanttChart!$A:$JD,262,FALSE),0)</f>
        <v>0</v>
      </c>
      <c r="F65" s="80">
        <f>IFERROR(VLOOKUP($A65,GanttChart!$A:$JD,263,FALSE),0)</f>
        <v>0</v>
      </c>
      <c r="G65" s="81">
        <f>IFERROR(VLOOKUP($A65,GanttChart!$A:$JD,264,FALSE),0)</f>
        <v>0</v>
      </c>
      <c r="H65" s="203"/>
      <c r="I65" s="81">
        <f t="shared" si="0"/>
        <v>0</v>
      </c>
    </row>
    <row r="66" spans="1:9" ht="14.25" hidden="1">
      <c r="A66" s="74">
        <v>3.19</v>
      </c>
      <c r="B66" s="74"/>
      <c r="C66" s="79" t="str">
        <f>IFERROR(VLOOKUP($A66,GanttChart!$A:$JD,2,FALSE),"خطا")</f>
        <v xml:space="preserve">ارائه سر صفحه اختصاصی برای زیر پورتال سهامداران </v>
      </c>
      <c r="D66" s="80">
        <f>IFERROR(VLOOKUP($A66,GanttChart!$A:$JD,261,FALSE),0)</f>
        <v>0</v>
      </c>
      <c r="E66" s="80">
        <f>IFERROR(VLOOKUP($A66,GanttChart!$A:$JD,262,FALSE),0)</f>
        <v>0</v>
      </c>
      <c r="F66" s="80">
        <f>IFERROR(VLOOKUP($A66,GanttChart!$A:$JD,263,FALSE),0)</f>
        <v>0</v>
      </c>
      <c r="G66" s="81">
        <f>IFERROR(VLOOKUP($A66,GanttChart!$A:$JD,264,FALSE),0)</f>
        <v>0</v>
      </c>
      <c r="H66" s="203"/>
      <c r="I66" s="81">
        <f t="shared" si="0"/>
        <v>0</v>
      </c>
    </row>
    <row r="67" spans="1:9" ht="22.5" hidden="1">
      <c r="A67" s="74">
        <v>3.21</v>
      </c>
      <c r="B67" s="74"/>
      <c r="C67" s="79" t="str">
        <f>IFERROR(VLOOKUP($A67,GanttChart!$A:$JD,2,FALSE),"خطا")</f>
        <v>نهایی سازی سر صفحه اختصاصی  برای زیر پورتال سهامداران مطابق نظر کارفرما (اعلام نظر کارفرما : 1 روز کاری و نهایی سازی: 2 روزکاری)</v>
      </c>
      <c r="D67" s="80">
        <f>IFERROR(VLOOKUP($A67,GanttChart!$A:$JD,261,FALSE),0)</f>
        <v>0</v>
      </c>
      <c r="E67" s="80">
        <f>IFERROR(VLOOKUP($A67,GanttChart!$A:$JD,262,FALSE),0)</f>
        <v>0</v>
      </c>
      <c r="F67" s="80">
        <f>IFERROR(VLOOKUP($A67,GanttChart!$A:$JD,263,FALSE),0)</f>
        <v>0</v>
      </c>
      <c r="G67" s="81">
        <f>IFERROR(VLOOKUP($A67,GanttChart!$A:$JD,264,FALSE),0)</f>
        <v>0</v>
      </c>
      <c r="H67" s="203"/>
      <c r="I67" s="81">
        <f t="shared" si="0"/>
        <v>0</v>
      </c>
    </row>
    <row r="68" spans="1:9" ht="14.25" hidden="1">
      <c r="A68" s="74">
        <v>3.22</v>
      </c>
      <c r="B68" s="74"/>
      <c r="C68" s="79" t="str">
        <f>IFERROR(VLOOKUP($A68,GanttChart!$A:$JD,2,FALSE),"خطا")</f>
        <v>راه اندازی کامل زیرپورتال اینترنتی (نسخه فارسی)</v>
      </c>
      <c r="D68" s="80">
        <f>IFERROR(VLOOKUP($A68,GanttChart!$A:$JD,261,FALSE),0)</f>
        <v>0</v>
      </c>
      <c r="E68" s="80">
        <f>IFERROR(VLOOKUP($A68,GanttChart!$A:$JD,262,FALSE),0)</f>
        <v>0</v>
      </c>
      <c r="F68" s="80">
        <f>IFERROR(VLOOKUP($A68,GanttChart!$A:$JD,263,FALSE),0)</f>
        <v>0</v>
      </c>
      <c r="G68" s="81">
        <f>IFERROR(VLOOKUP($A68,GanttChart!$A:$JD,264,FALSE),0)</f>
        <v>0</v>
      </c>
      <c r="H68" s="203"/>
      <c r="I68" s="81">
        <f t="shared" si="0"/>
        <v>0</v>
      </c>
    </row>
    <row r="69" spans="1:9" ht="22.5" hidden="1">
      <c r="A69" s="74">
        <v>3.23</v>
      </c>
      <c r="B69" s="74"/>
      <c r="C69" s="79" t="str">
        <f>IFERROR(VLOOKUP($A69,GanttChart!$A:$JD,2,FALSE),"خطا")</f>
        <v>تحویل راه اندازی کامل زیر پورتال اینترنتی (نسخه فارسی)  (1 روز تست پیمانکار ، 2 روز تست  کارفرما)</v>
      </c>
      <c r="D69" s="80">
        <f>IFERROR(VLOOKUP($A69,GanttChart!$A:$JD,261,FALSE),0)</f>
        <v>0</v>
      </c>
      <c r="E69" s="80">
        <f>IFERROR(VLOOKUP($A69,GanttChart!$A:$JD,262,FALSE),0)</f>
        <v>0</v>
      </c>
      <c r="F69" s="80">
        <f>IFERROR(VLOOKUP($A69,GanttChart!$A:$JD,263,FALSE),0)</f>
        <v>0</v>
      </c>
      <c r="G69" s="81">
        <f>IFERROR(VLOOKUP($A69,GanttChart!$A:$JD,264,FALSE),0)</f>
        <v>0</v>
      </c>
      <c r="H69" s="203"/>
      <c r="I69" s="81">
        <f t="shared" si="0"/>
        <v>0</v>
      </c>
    </row>
    <row r="70" spans="1:9" ht="14.25" hidden="1">
      <c r="A70" s="74">
        <v>4</v>
      </c>
      <c r="B70" s="74"/>
      <c r="C70" s="79" t="str">
        <f>IFERROR(VLOOKUP($A70,GanttChart!$A:$JD,2,FALSE),"خطا")</f>
        <v>ارائه خدمات آموزش</v>
      </c>
      <c r="D70" s="80">
        <f>IFERROR(VLOOKUP($A70,GanttChart!$A:$JD,261,FALSE),0)</f>
        <v>0</v>
      </c>
      <c r="E70" s="80">
        <f>IFERROR(VLOOKUP($A70,GanttChart!$A:$JD,262,FALSE),0)</f>
        <v>0</v>
      </c>
      <c r="F70" s="80">
        <f>IFERROR(VLOOKUP($A70,GanttChart!$A:$JD,263,FALSE),0)</f>
        <v>0</v>
      </c>
      <c r="G70" s="81">
        <f>IFERROR(VLOOKUP($A70,GanttChart!$A:$JD,264,FALSE),0)</f>
        <v>0</v>
      </c>
      <c r="H70" s="203"/>
      <c r="I70" s="81">
        <f t="shared" si="0"/>
        <v>0</v>
      </c>
    </row>
    <row r="71" spans="1:9" ht="14.25">
      <c r="A71" s="74">
        <v>4.0999999999999996</v>
      </c>
      <c r="B71" s="74"/>
      <c r="C71" s="79" t="str">
        <f>IFERROR(VLOOKUP($A71,GanttChart!$A:$JD,2,FALSE),"خطا")</f>
        <v>ارائه طرح آموزش و برنامه زمانبندی و مکانی برگزاری جلسات آموزشی</v>
      </c>
      <c r="D71" s="80">
        <f>IFERROR(VLOOKUP($A71,GanttChart!$A:$JD,261,FALSE),0)</f>
        <v>0</v>
      </c>
      <c r="E71" s="80">
        <f>IFERROR(VLOOKUP($A71,GanttChart!$A:$JD,262,FALSE),0)</f>
        <v>0</v>
      </c>
      <c r="F71" s="80">
        <f>IFERROR(VLOOKUP($A71,GanttChart!$A:$JD,263,FALSE),0)</f>
        <v>0</v>
      </c>
      <c r="G71" s="81">
        <f>IFERROR(VLOOKUP($A71,GanttChart!$A:$JD,264,FALSE),0)</f>
        <v>0</v>
      </c>
      <c r="H71" s="203"/>
      <c r="I71" s="81">
        <f t="shared" si="0"/>
        <v>0</v>
      </c>
    </row>
    <row r="72" spans="1:9" ht="22.5" hidden="1">
      <c r="A72" s="74">
        <v>4.2</v>
      </c>
      <c r="B72" s="74"/>
      <c r="C72" s="79" t="str">
        <f>IFERROR(VLOOKUP($A72,GanttChart!$A:$JD,2,FALSE),"خطا")</f>
        <v>معرفی نمایندگان کارفرما به تفکیک سطوح کاربری دارای دانش و مهارت های پیش نیاز آموزش نرم افزار</v>
      </c>
      <c r="D72" s="80">
        <f>IFERROR(VLOOKUP($A72,GanttChart!$A:$JD,261,FALSE),0)</f>
        <v>0</v>
      </c>
      <c r="E72" s="80">
        <f>IFERROR(VLOOKUP($A72,GanttChart!$A:$JD,262,FALSE),0)</f>
        <v>0</v>
      </c>
      <c r="F72" s="80">
        <f>IFERROR(VLOOKUP($A72,GanttChart!$A:$JD,263,FALSE),0)</f>
        <v>0</v>
      </c>
      <c r="G72" s="81">
        <f>IFERROR(VLOOKUP($A72,GanttChart!$A:$JD,264,FALSE),0)</f>
        <v>0</v>
      </c>
      <c r="H72" s="203"/>
      <c r="I72" s="81">
        <f t="shared" si="0"/>
        <v>0</v>
      </c>
    </row>
    <row r="73" spans="1:9" ht="14.25">
      <c r="A73" s="74">
        <v>4.3</v>
      </c>
      <c r="B73" s="74"/>
      <c r="C73" s="79" t="str">
        <f>IFERROR(VLOOKUP($A73,GanttChart!$A:$JD,2,FALSE),"خطا")</f>
        <v>برگزاری جلسات آموزش کاربری(9 ساعت)</v>
      </c>
      <c r="D73" s="80">
        <f>IFERROR(VLOOKUP($A73,GanttChart!$A:$JD,261,FALSE),0)</f>
        <v>0</v>
      </c>
      <c r="E73" s="80">
        <f>IFERROR(VLOOKUP($A73,GanttChart!$A:$JD,262,FALSE),0)</f>
        <v>0</v>
      </c>
      <c r="F73" s="80">
        <f>IFERROR(VLOOKUP($A73,GanttChart!$A:$JD,263,FALSE),0)</f>
        <v>0</v>
      </c>
      <c r="G73" s="81">
        <f>IFERROR(VLOOKUP($A73,GanttChart!$A:$JD,264,FALSE),0)</f>
        <v>0</v>
      </c>
      <c r="H73" s="203"/>
      <c r="I73" s="81">
        <f t="shared" si="0"/>
        <v>0</v>
      </c>
    </row>
    <row r="74" spans="1:9" ht="14.25">
      <c r="A74" s="74">
        <v>4.4000000000000004</v>
      </c>
      <c r="B74" s="74"/>
      <c r="C74" s="79" t="str">
        <f>IFERROR(VLOOKUP($A74,GanttChart!$A:$JD,2,FALSE),"خطا")</f>
        <v>برگزاری جلسات آموزش  راهبری و مدیریتی  (9 ساعت)</v>
      </c>
      <c r="D74" s="80">
        <f>IFERROR(VLOOKUP($A74,GanttChart!$A:$JD,261,FALSE),0)</f>
        <v>0</v>
      </c>
      <c r="E74" s="80">
        <f>IFERROR(VLOOKUP($A74,GanttChart!$A:$JD,262,FALSE),0)</f>
        <v>0</v>
      </c>
      <c r="F74" s="80">
        <f>IFERROR(VLOOKUP($A74,GanttChart!$A:$JD,263,FALSE),0)</f>
        <v>0</v>
      </c>
      <c r="G74" s="81">
        <f>IFERROR(VLOOKUP($A74,GanttChart!$A:$JD,264,FALSE),0)</f>
        <v>0</v>
      </c>
      <c r="H74" s="203"/>
      <c r="I74" s="81">
        <f t="shared" si="0"/>
        <v>0</v>
      </c>
    </row>
    <row r="75" spans="1:9" ht="14.25" hidden="1">
      <c r="A75" s="74">
        <v>4.5</v>
      </c>
      <c r="B75" s="74"/>
      <c r="C75" s="79" t="str">
        <f>IFERROR(VLOOKUP($A75,GanttChart!$A:$JD,2,FALSE),"خطا")</f>
        <v>برگزاری جلسات آموزش راهبر زیر پورتال (4 ساعت)</v>
      </c>
      <c r="D75" s="80">
        <f>IFERROR(VLOOKUP($A75,GanttChart!$A:$JD,261,FALSE),0)</f>
        <v>0</v>
      </c>
      <c r="E75" s="80">
        <f>IFERROR(VLOOKUP($A75,GanttChart!$A:$JD,262,FALSE),0)</f>
        <v>0</v>
      </c>
      <c r="F75" s="80">
        <f>IFERROR(VLOOKUP($A75,GanttChart!$A:$JD,263,FALSE),0)</f>
        <v>0</v>
      </c>
      <c r="G75" s="81">
        <f>IFERROR(VLOOKUP($A75,GanttChart!$A:$JD,264,FALSE),0)</f>
        <v>0</v>
      </c>
      <c r="H75" s="203"/>
      <c r="I75" s="81">
        <f t="shared" si="0"/>
        <v>0</v>
      </c>
    </row>
    <row r="76" spans="1:9" ht="14.25" hidden="1">
      <c r="A76" s="74">
        <v>4.5999999999999996</v>
      </c>
      <c r="B76" s="74"/>
      <c r="C76" s="79" t="str">
        <f>IFERROR(VLOOKUP($A76,GanttChart!$A:$JD,2,FALSE),"خطا")</f>
        <v>برگزاری جلسات آموزش زیر ساخت توسعه پذیری نرم افزار (6 ساعت)</v>
      </c>
      <c r="D76" s="80">
        <f>IFERROR(VLOOKUP($A76,GanttChart!$A:$JD,261,FALSE),0)</f>
        <v>0</v>
      </c>
      <c r="E76" s="80">
        <f>IFERROR(VLOOKUP($A76,GanttChart!$A:$JD,262,FALSE),0)</f>
        <v>0</v>
      </c>
      <c r="F76" s="80">
        <f>IFERROR(VLOOKUP($A76,GanttChart!$A:$JD,263,FALSE),0)</f>
        <v>0</v>
      </c>
      <c r="G76" s="81">
        <f>IFERROR(VLOOKUP($A76,GanttChart!$A:$JD,264,FALSE),0)</f>
        <v>0</v>
      </c>
      <c r="H76" s="203"/>
      <c r="I76" s="81">
        <f t="shared" si="0"/>
        <v>0</v>
      </c>
    </row>
    <row r="77" spans="1:9" ht="14.25" hidden="1">
      <c r="A77" s="74">
        <v>4.7</v>
      </c>
      <c r="B77" s="74"/>
      <c r="C77" s="79">
        <f>IFERROR(VLOOKUP($A77,GanttChart!$A:$JD,2,FALSE),"خطا")</f>
        <v>0</v>
      </c>
      <c r="D77" s="80">
        <f>IFERROR(VLOOKUP($A77,GanttChart!$A:$JD,261,FALSE),0)</f>
        <v>0</v>
      </c>
      <c r="E77" s="80">
        <f>IFERROR(VLOOKUP($A77,GanttChart!$A:$JD,262,FALSE),0)</f>
        <v>0</v>
      </c>
      <c r="F77" s="80">
        <f>IFERROR(VLOOKUP($A77,GanttChart!$A:$JD,263,FALSE),0)</f>
        <v>0</v>
      </c>
      <c r="G77" s="81">
        <f>IFERROR(VLOOKUP($A77,GanttChart!$A:$JD,264,FALSE),0)</f>
        <v>0</v>
      </c>
      <c r="H77" s="203"/>
      <c r="I77" s="81">
        <f t="shared" si="0"/>
        <v>0</v>
      </c>
    </row>
    <row r="78" spans="1:9" ht="14.25" hidden="1">
      <c r="A78" s="74">
        <v>4.8</v>
      </c>
      <c r="B78" s="74"/>
      <c r="C78" s="79">
        <f>IFERROR(VLOOKUP($A78,GanttChart!$A:$JD,2,FALSE),"خطا")</f>
        <v>0</v>
      </c>
      <c r="D78" s="80">
        <f>IFERROR(VLOOKUP($A78,GanttChart!$A:$JD,261,FALSE),0)</f>
        <v>0</v>
      </c>
      <c r="E78" s="80">
        <f>IFERROR(VLOOKUP($A78,GanttChart!$A:$JD,262,FALSE),0)</f>
        <v>0</v>
      </c>
      <c r="F78" s="80">
        <f>IFERROR(VLOOKUP($A78,GanttChart!$A:$JD,263,FALSE),0)</f>
        <v>0</v>
      </c>
      <c r="G78" s="81">
        <f>IFERROR(VLOOKUP($A78,GanttChart!$A:$JD,264,FALSE),0)</f>
        <v>0</v>
      </c>
      <c r="H78" s="203"/>
      <c r="I78" s="81">
        <f t="shared" si="0"/>
        <v>0</v>
      </c>
    </row>
    <row r="79" spans="1:9" ht="14.25" hidden="1">
      <c r="A79" s="74">
        <v>4.9000000000000004</v>
      </c>
      <c r="B79" s="74"/>
      <c r="C79" s="79">
        <f>IFERROR(VLOOKUP($A79,GanttChart!$A:$JD,2,FALSE),"خطا")</f>
        <v>0</v>
      </c>
      <c r="D79" s="80">
        <f>IFERROR(VLOOKUP($A79,GanttChart!$A:$JD,261,FALSE),0)</f>
        <v>0</v>
      </c>
      <c r="E79" s="80">
        <f>IFERROR(VLOOKUP($A79,GanttChart!$A:$JD,262,FALSE),0)</f>
        <v>0</v>
      </c>
      <c r="F79" s="80">
        <f>IFERROR(VLOOKUP($A79,GanttChart!$A:$JD,263,FALSE),0)</f>
        <v>0</v>
      </c>
      <c r="G79" s="81">
        <f>IFERROR(VLOOKUP($A79,GanttChart!$A:$JD,264,FALSE),0)</f>
        <v>0</v>
      </c>
      <c r="H79" s="203"/>
      <c r="I79" s="81">
        <f t="shared" si="0"/>
        <v>0</v>
      </c>
    </row>
    <row r="80" spans="1:9" ht="14.25" hidden="1">
      <c r="A80" s="74">
        <v>4.1100000000000003</v>
      </c>
      <c r="B80" s="74"/>
      <c r="C80" s="79">
        <f>IFERROR(VLOOKUP($A80,GanttChart!$A:$JD,2,FALSE),"خطا")</f>
        <v>0</v>
      </c>
      <c r="D80" s="80">
        <f>IFERROR(VLOOKUP($A80,GanttChart!$A:$JD,261,FALSE),0)</f>
        <v>0</v>
      </c>
      <c r="E80" s="80">
        <f>IFERROR(VLOOKUP($A80,GanttChart!$A:$JD,262,FALSE),0)</f>
        <v>0</v>
      </c>
      <c r="F80" s="80">
        <f>IFERROR(VLOOKUP($A80,GanttChart!$A:$JD,263,FALSE),0)</f>
        <v>0</v>
      </c>
      <c r="G80" s="81">
        <f>IFERROR(VLOOKUP($A80,GanttChart!$A:$JD,264,FALSE),0)</f>
        <v>0</v>
      </c>
      <c r="H80" s="203"/>
      <c r="I80" s="81">
        <f t="shared" si="0"/>
        <v>0</v>
      </c>
    </row>
    <row r="81" spans="1:12" ht="14.25" hidden="1">
      <c r="A81" s="74">
        <v>4.12</v>
      </c>
      <c r="B81" s="74"/>
      <c r="C81" s="79">
        <f>IFERROR(VLOOKUP($A81,GanttChart!$A:$JD,2,FALSE),"خطا")</f>
        <v>0</v>
      </c>
      <c r="D81" s="80">
        <f>IFERROR(VLOOKUP($A81,GanttChart!$A:$JD,261,FALSE),0)</f>
        <v>0</v>
      </c>
      <c r="E81" s="80">
        <f>IFERROR(VLOOKUP($A81,GanttChart!$A:$JD,262,FALSE),0)</f>
        <v>0</v>
      </c>
      <c r="F81" s="80">
        <f>IFERROR(VLOOKUP($A81,GanttChart!$A:$JD,263,FALSE),0)</f>
        <v>0</v>
      </c>
      <c r="G81" s="81">
        <f>IFERROR(VLOOKUP($A81,GanttChart!$A:$JD,264,FALSE),0)</f>
        <v>0</v>
      </c>
      <c r="H81" s="203"/>
      <c r="I81" s="81">
        <f t="shared" si="0"/>
        <v>0</v>
      </c>
    </row>
    <row r="82" spans="1:12" ht="14.25" hidden="1">
      <c r="A82" s="74">
        <v>4.13</v>
      </c>
      <c r="B82" s="74"/>
      <c r="C82" s="79">
        <f>IFERROR(VLOOKUP($A82,GanttChart!$A:$JD,2,FALSE),"خطا")</f>
        <v>0</v>
      </c>
      <c r="D82" s="80">
        <f>IFERROR(VLOOKUP($A82,GanttChart!$A:$JD,261,FALSE),0)</f>
        <v>0</v>
      </c>
      <c r="E82" s="80">
        <f>IFERROR(VLOOKUP($A82,GanttChart!$A:$JD,262,FALSE),0)</f>
        <v>0</v>
      </c>
      <c r="F82" s="80">
        <f>IFERROR(VLOOKUP($A82,GanttChart!$A:$JD,263,FALSE),0)</f>
        <v>0</v>
      </c>
      <c r="G82" s="81">
        <f>IFERROR(VLOOKUP($A82,GanttChart!$A:$JD,264,FALSE),0)</f>
        <v>0</v>
      </c>
      <c r="H82" s="203"/>
      <c r="I82" s="81">
        <f t="shared" si="0"/>
        <v>0</v>
      </c>
    </row>
    <row r="83" spans="1:12" ht="14.25" hidden="1">
      <c r="A83" s="74">
        <v>4.1399999999999997</v>
      </c>
      <c r="B83" s="74"/>
      <c r="C83" s="79">
        <f>IFERROR(VLOOKUP($A83,GanttChart!$A:$JD,2,FALSE),"خطا")</f>
        <v>0</v>
      </c>
      <c r="D83" s="80">
        <f>IFERROR(VLOOKUP($A83,GanttChart!$A:$JD,261,FALSE),0)</f>
        <v>0</v>
      </c>
      <c r="E83" s="80">
        <f>IFERROR(VLOOKUP($A83,GanttChart!$A:$JD,262,FALSE),0)</f>
        <v>0</v>
      </c>
      <c r="F83" s="80">
        <f>IFERROR(VLOOKUP($A83,GanttChart!$A:$JD,263,FALSE),0)</f>
        <v>0</v>
      </c>
      <c r="G83" s="81">
        <f>IFERROR(VLOOKUP($A83,GanttChart!$A:$JD,264,FALSE),0)</f>
        <v>0</v>
      </c>
      <c r="H83" s="203"/>
      <c r="I83" s="81">
        <f t="shared" si="0"/>
        <v>0</v>
      </c>
    </row>
    <row r="84" spans="1:12" ht="14.25" hidden="1">
      <c r="A84" s="74">
        <v>4.1500000000000004</v>
      </c>
      <c r="B84" s="74"/>
      <c r="C84" s="79">
        <f>IFERROR(VLOOKUP($A84,GanttChart!$A:$JD,2,FALSE),"خطا")</f>
        <v>0</v>
      </c>
      <c r="D84" s="80">
        <f>IFERROR(VLOOKUP($A84,GanttChart!$A:$JD,261,FALSE),0)</f>
        <v>0</v>
      </c>
      <c r="E84" s="80">
        <f>IFERROR(VLOOKUP($A84,GanttChart!$A:$JD,262,FALSE),0)</f>
        <v>0</v>
      </c>
      <c r="F84" s="80">
        <f>IFERROR(VLOOKUP($A84,GanttChart!$A:$JD,263,FALSE),0)</f>
        <v>0</v>
      </c>
      <c r="G84" s="81">
        <f>IFERROR(VLOOKUP($A84,GanttChart!$A:$JD,264,FALSE),0)</f>
        <v>0</v>
      </c>
      <c r="H84" s="203"/>
      <c r="I84" s="81">
        <f t="shared" si="0"/>
        <v>0</v>
      </c>
    </row>
    <row r="85" spans="1:12" ht="14.25" hidden="1">
      <c r="A85" s="74">
        <v>4.16</v>
      </c>
      <c r="B85" s="74"/>
      <c r="C85" s="79">
        <f>IFERROR(VLOOKUP($A85,GanttChart!$A:$JD,2,FALSE),"خطا")</f>
        <v>0</v>
      </c>
      <c r="D85" s="80">
        <f>IFERROR(VLOOKUP($A85,GanttChart!$A:$JD,261,FALSE),0)</f>
        <v>0</v>
      </c>
      <c r="E85" s="80">
        <f>IFERROR(VLOOKUP($A85,GanttChart!$A:$JD,262,FALSE),0)</f>
        <v>0</v>
      </c>
      <c r="F85" s="80">
        <f>IFERROR(VLOOKUP($A85,GanttChart!$A:$JD,263,FALSE),0)</f>
        <v>0</v>
      </c>
      <c r="G85" s="81">
        <f>IFERROR(VLOOKUP($A85,GanttChart!$A:$JD,264,FALSE),0)</f>
        <v>0</v>
      </c>
      <c r="H85" s="203"/>
      <c r="I85" s="81">
        <f t="shared" si="0"/>
        <v>0</v>
      </c>
    </row>
    <row r="86" spans="1:12" ht="14.25" hidden="1">
      <c r="A86" s="74">
        <v>4.17</v>
      </c>
      <c r="B86" s="74"/>
      <c r="C86" s="79">
        <f>IFERROR(VLOOKUP($A86,GanttChart!$A:$JD,2,FALSE),"خطا")</f>
        <v>0</v>
      </c>
      <c r="D86" s="80">
        <f>IFERROR(VLOOKUP($A86,GanttChart!$A:$JD,261,FALSE),0)</f>
        <v>0</v>
      </c>
      <c r="E86" s="80">
        <f>IFERROR(VLOOKUP($A86,GanttChart!$A:$JD,262,FALSE),0)</f>
        <v>0</v>
      </c>
      <c r="F86" s="80">
        <f>IFERROR(VLOOKUP($A86,GanttChart!$A:$JD,263,FALSE),0)</f>
        <v>0</v>
      </c>
      <c r="G86" s="81">
        <f>IFERROR(VLOOKUP($A86,GanttChart!$A:$JD,264,FALSE),0)</f>
        <v>0</v>
      </c>
      <c r="H86" s="203"/>
      <c r="I86" s="81">
        <f t="shared" si="0"/>
        <v>0</v>
      </c>
    </row>
    <row r="87" spans="1:12" ht="14.25" hidden="1">
      <c r="A87" s="74">
        <v>4.18</v>
      </c>
      <c r="B87" s="74"/>
      <c r="C87" s="79">
        <f>IFERROR(VLOOKUP($A87,GanttChart!$A:$JD,2,FALSE),"خطا")</f>
        <v>0</v>
      </c>
      <c r="D87" s="80">
        <f>IFERROR(VLOOKUP($A87,GanttChart!$A:$JD,261,FALSE),0)</f>
        <v>0</v>
      </c>
      <c r="E87" s="80">
        <f>IFERROR(VLOOKUP($A87,GanttChart!$A:$JD,262,FALSE),0)</f>
        <v>0</v>
      </c>
      <c r="F87" s="80">
        <f>IFERROR(VLOOKUP($A87,GanttChart!$A:$JD,263,FALSE),0)</f>
        <v>0</v>
      </c>
      <c r="G87" s="81">
        <f>IFERROR(VLOOKUP($A87,GanttChart!$A:$JD,264,FALSE),0)</f>
        <v>0</v>
      </c>
      <c r="H87" s="203"/>
      <c r="I87" s="81">
        <f t="shared" si="0"/>
        <v>0</v>
      </c>
    </row>
    <row r="88" spans="1:12" ht="14.25" hidden="1">
      <c r="A88" s="74">
        <v>4.1900000000000004</v>
      </c>
      <c r="B88" s="74"/>
      <c r="C88" s="79">
        <f>IFERROR(VLOOKUP($A88,GanttChart!$A:$JD,2,FALSE),"خطا")</f>
        <v>0</v>
      </c>
      <c r="D88" s="80">
        <f>IFERROR(VLOOKUP($A88,GanttChart!$A:$JD,261,FALSE),0)</f>
        <v>0</v>
      </c>
      <c r="E88" s="80">
        <f>IFERROR(VLOOKUP($A88,GanttChart!$A:$JD,262,FALSE),0)</f>
        <v>0</v>
      </c>
      <c r="F88" s="80">
        <f>IFERROR(VLOOKUP($A88,GanttChart!$A:$JD,263,FALSE),0)</f>
        <v>0</v>
      </c>
      <c r="G88" s="81">
        <f>IFERROR(VLOOKUP($A88,GanttChart!$A:$JD,264,FALSE),0)</f>
        <v>0</v>
      </c>
      <c r="H88" s="203"/>
      <c r="I88" s="81">
        <f t="shared" si="0"/>
        <v>0</v>
      </c>
    </row>
    <row r="89" spans="1:12" ht="14.25" hidden="1">
      <c r="A89" s="74">
        <v>4.21</v>
      </c>
      <c r="B89" s="74"/>
      <c r="C89" s="79">
        <f>IFERROR(VLOOKUP($A89,GanttChart!$A:$JD,2,FALSE),"خطا")</f>
        <v>0</v>
      </c>
      <c r="D89" s="80">
        <f>IFERROR(VLOOKUP($A89,GanttChart!$A:$JD,261,FALSE),0)</f>
        <v>0</v>
      </c>
      <c r="E89" s="80">
        <f>IFERROR(VLOOKUP($A89,GanttChart!$A:$JD,262,FALSE),0)</f>
        <v>0</v>
      </c>
      <c r="F89" s="80">
        <f>IFERROR(VLOOKUP($A89,GanttChart!$A:$JD,263,FALSE),0)</f>
        <v>0</v>
      </c>
      <c r="G89" s="81">
        <f>IFERROR(VLOOKUP($A89,GanttChart!$A:$JD,264,FALSE),0)</f>
        <v>0</v>
      </c>
      <c r="H89" s="203"/>
      <c r="I89" s="81">
        <f t="shared" si="0"/>
        <v>0</v>
      </c>
    </row>
    <row r="90" spans="1:12" ht="14.25" hidden="1">
      <c r="A90" s="74">
        <v>4.22</v>
      </c>
      <c r="B90" s="74"/>
      <c r="C90" s="79">
        <f>IFERROR(VLOOKUP($A90,GanttChart!$A:$JD,2,FALSE),"خطا")</f>
        <v>0</v>
      </c>
      <c r="D90" s="80">
        <f>IFERROR(VLOOKUP($A90,GanttChart!$A:$JD,261,FALSE),0)</f>
        <v>0</v>
      </c>
      <c r="E90" s="80">
        <f>IFERROR(VLOOKUP($A90,GanttChart!$A:$JD,262,FALSE),0)</f>
        <v>0</v>
      </c>
      <c r="F90" s="80">
        <f>IFERROR(VLOOKUP($A90,GanttChart!$A:$JD,263,FALSE),0)</f>
        <v>0</v>
      </c>
      <c r="G90" s="81">
        <f>IFERROR(VLOOKUP($A90,GanttChart!$A:$JD,264,FALSE),0)</f>
        <v>0</v>
      </c>
      <c r="H90" s="203"/>
      <c r="I90" s="81">
        <f t="shared" si="0"/>
        <v>0</v>
      </c>
    </row>
    <row r="91" spans="1:12" ht="14.25" hidden="1">
      <c r="A91" s="74">
        <v>4.2300000000000004</v>
      </c>
      <c r="B91" s="74"/>
      <c r="C91" s="79">
        <f>IFERROR(VLOOKUP($A91,GanttChart!$A:$JD,2,FALSE),"خطا")</f>
        <v>0</v>
      </c>
      <c r="D91" s="80">
        <f>IFERROR(VLOOKUP($A91,GanttChart!$A:$JD,261,FALSE),0)</f>
        <v>0</v>
      </c>
      <c r="E91" s="80">
        <f>IFERROR(VLOOKUP($A91,GanttChart!$A:$JD,262,FALSE),0)</f>
        <v>0</v>
      </c>
      <c r="F91" s="80">
        <f>IFERROR(VLOOKUP($A91,GanttChart!$A:$JD,263,FALSE),0)</f>
        <v>0</v>
      </c>
      <c r="G91" s="81">
        <f>IFERROR(VLOOKUP($A91,GanttChart!$A:$JD,264,FALSE),0)</f>
        <v>0</v>
      </c>
      <c r="H91" s="203"/>
      <c r="I91" s="81">
        <f t="shared" si="0"/>
        <v>0</v>
      </c>
    </row>
    <row r="92" spans="1:12" ht="14.25" hidden="1">
      <c r="A92" s="74">
        <v>5</v>
      </c>
      <c r="B92" s="74"/>
      <c r="C92" s="79" t="str">
        <f>IFERROR(VLOOKUP($A92,GanttChart!$A:$JD,2,FALSE),"خطا")</f>
        <v>کانورت مکانیزه اطلاعات</v>
      </c>
      <c r="D92" s="80">
        <f>IFERROR(VLOOKUP($A92,GanttChart!$A:$JD,261,FALSE),0)</f>
        <v>0</v>
      </c>
      <c r="E92" s="80">
        <f>IFERROR(VLOOKUP($A92,GanttChart!$A:$JD,262,FALSE),0)</f>
        <v>0</v>
      </c>
      <c r="F92" s="80">
        <f>IFERROR(VLOOKUP($A92,GanttChart!$A:$JD,263,FALSE),0)</f>
        <v>0</v>
      </c>
      <c r="G92" s="81">
        <f>IFERROR(VLOOKUP($A92,GanttChart!$A:$JD,264,FALSE),0)</f>
        <v>0</v>
      </c>
      <c r="H92" s="203"/>
      <c r="I92" s="81">
        <f t="shared" si="0"/>
        <v>0</v>
      </c>
    </row>
    <row r="93" spans="1:12" ht="14.25">
      <c r="A93" s="74">
        <v>5.0999999999999996</v>
      </c>
      <c r="C93" s="79" t="str">
        <f>IFERROR(VLOOKUP($A93,GanttChart!$A:$JD,2,FALSE),"خطا")</f>
        <v>اعلام ماژول های محتوایی کارفرما</v>
      </c>
      <c r="D93" s="80">
        <f>IFERROR(VLOOKUP($A93,GanttChart!$A:$JD,261,FALSE),0)</f>
        <v>0</v>
      </c>
      <c r="E93" s="80">
        <f>IFERROR(VLOOKUP($A93,GanttChart!$A:$JD,262,FALSE),0)</f>
        <v>0</v>
      </c>
      <c r="F93" s="80">
        <f>IFERROR(VLOOKUP($A93,GanttChart!$A:$JD,263,FALSE),0)</f>
        <v>0</v>
      </c>
      <c r="G93" s="81">
        <f>IFERROR(VLOOKUP($A93,GanttChart!$A:$JD,264,FALSE),0)</f>
        <v>0</v>
      </c>
      <c r="H93" s="203"/>
      <c r="I93" s="81">
        <f t="shared" si="0"/>
        <v>0</v>
      </c>
      <c r="K93" s="78"/>
      <c r="L93" s="84"/>
    </row>
    <row r="94" spans="1:12" ht="14.25">
      <c r="A94" s="74">
        <v>5.2</v>
      </c>
      <c r="C94" s="79" t="str">
        <f>IFERROR(VLOOKUP($A94,GanttChart!$A:$JD,2,FALSE),"خطا")</f>
        <v>ارایه فایل های اکسل ماژول های محتوایی اعلام شده از طرف کارفرما</v>
      </c>
      <c r="D94" s="80">
        <f>IFERROR(VLOOKUP($A94,GanttChart!$A:$JD,261,FALSE),0)</f>
        <v>0</v>
      </c>
      <c r="E94" s="80">
        <f>IFERROR(VLOOKUP($A94,GanttChart!$A:$JD,262,FALSE),0)</f>
        <v>0</v>
      </c>
      <c r="F94" s="80">
        <f>IFERROR(VLOOKUP($A94,GanttChart!$A:$JD,263,FALSE),0)</f>
        <v>0</v>
      </c>
      <c r="G94" s="81">
        <f>IFERROR(VLOOKUP($A94,GanttChart!$A:$JD,264,FALSE),0)</f>
        <v>0</v>
      </c>
      <c r="H94" s="203"/>
      <c r="I94" s="81">
        <f t="shared" si="0"/>
        <v>0</v>
      </c>
    </row>
    <row r="95" spans="1:12" ht="14.25">
      <c r="A95" s="74">
        <v>5.3</v>
      </c>
      <c r="C95" s="79" t="str">
        <f>IFERROR(VLOOKUP($A95,GanttChart!$A:$JD,2,FALSE),"خطا")</f>
        <v>تکمیل و ارسال اطلاعات</v>
      </c>
      <c r="D95" s="80">
        <f>IFERROR(VLOOKUP($A95,GanttChart!$A:$JD,261,FALSE),0)</f>
        <v>0</v>
      </c>
      <c r="E95" s="80">
        <f>IFERROR(VLOOKUP($A95,GanttChart!$A:$JD,262,FALSE),0)</f>
        <v>0</v>
      </c>
      <c r="F95" s="80">
        <f>IFERROR(VLOOKUP($A95,GanttChart!$A:$JD,263,FALSE),0)</f>
        <v>0</v>
      </c>
      <c r="G95" s="81">
        <f>IFERROR(VLOOKUP($A95,GanttChart!$A:$JD,264,FALSE),0)</f>
        <v>0</v>
      </c>
      <c r="H95" s="203"/>
      <c r="I95" s="81">
        <f t="shared" si="0"/>
        <v>0</v>
      </c>
    </row>
    <row r="96" spans="1:12" ht="14.25" hidden="1">
      <c r="A96" s="74">
        <v>5.4</v>
      </c>
      <c r="C96" s="79" t="str">
        <f>IFERROR(VLOOKUP($A96,GanttChart!$A:$JD,2,FALSE),"خطا")</f>
        <v>کانورت مکانیزه اطلاعات</v>
      </c>
      <c r="D96" s="80">
        <f>IFERROR(VLOOKUP($A96,GanttChart!$A:$JD,261,FALSE),0)</f>
        <v>0</v>
      </c>
      <c r="E96" s="80">
        <f>IFERROR(VLOOKUP($A96,GanttChart!$A:$JD,262,FALSE),0)</f>
        <v>0</v>
      </c>
      <c r="F96" s="80">
        <f>IFERROR(VLOOKUP($A96,GanttChart!$A:$JD,263,FALSE),0)</f>
        <v>0</v>
      </c>
      <c r="G96" s="81">
        <f>IFERROR(VLOOKUP($A96,GanttChart!$A:$JD,264,FALSE),0)</f>
        <v>0</v>
      </c>
      <c r="H96" s="203"/>
      <c r="I96" s="81">
        <f t="shared" si="0"/>
        <v>0</v>
      </c>
    </row>
    <row r="97" spans="1:9" ht="14.25" hidden="1">
      <c r="A97" s="74">
        <v>5.5</v>
      </c>
      <c r="C97" s="79" t="str">
        <f>IFERROR(VLOOKUP($A97,GanttChart!$A:$JD,2,FALSE),"خطا")</f>
        <v>تصحیح محتوای درج شده به صورت مکانیزه در زیر ساخت جدید</v>
      </c>
      <c r="D97" s="80">
        <f>IFERROR(VLOOKUP($A97,GanttChart!$A:$JD,261,FALSE),0)</f>
        <v>0</v>
      </c>
      <c r="E97" s="80">
        <f>IFERROR(VLOOKUP($A97,GanttChart!$A:$JD,262,FALSE),0)</f>
        <v>0</v>
      </c>
      <c r="F97" s="80">
        <f>IFERROR(VLOOKUP($A97,GanttChart!$A:$JD,263,FALSE),0)</f>
        <v>0</v>
      </c>
      <c r="G97" s="81">
        <f>IFERROR(VLOOKUP($A97,GanttChart!$A:$JD,264,FALSE),0)</f>
        <v>0</v>
      </c>
      <c r="H97" s="203"/>
      <c r="I97" s="81">
        <f t="shared" si="0"/>
        <v>0</v>
      </c>
    </row>
    <row r="98" spans="1:9" ht="22.5" hidden="1">
      <c r="A98" s="74">
        <v>5.6</v>
      </c>
      <c r="C98" s="79" t="str">
        <f>IFERROR(VLOOKUP($A98,GanttChart!$A:$JD,2,FALSE),"خطا")</f>
        <v>تکمیل محتوای درج شده در وب سایت قبلی حد فاصل زمان انتقال اطلاعات در پورتال جدید</v>
      </c>
      <c r="D98" s="80">
        <f>IFERROR(VLOOKUP($A98,GanttChart!$A:$JD,261,FALSE),0)</f>
        <v>0</v>
      </c>
      <c r="E98" s="80">
        <f>IFERROR(VLOOKUP($A98,GanttChart!$A:$JD,262,FALSE),0)</f>
        <v>0</v>
      </c>
      <c r="F98" s="80">
        <f>IFERROR(VLOOKUP($A98,GanttChart!$A:$JD,263,FALSE),0)</f>
        <v>0</v>
      </c>
      <c r="G98" s="81">
        <f>IFERROR(VLOOKUP($A98,GanttChart!$A:$JD,264,FALSE),0)</f>
        <v>0</v>
      </c>
      <c r="H98" s="203"/>
      <c r="I98" s="81">
        <f t="shared" si="0"/>
        <v>0</v>
      </c>
    </row>
    <row r="99" spans="1:9" ht="14.25" hidden="1">
      <c r="A99" s="74">
        <v>5.7</v>
      </c>
      <c r="C99" s="79">
        <f>IFERROR(VLOOKUP($A99,GanttChart!$A:$JD,2,FALSE),"خطا")</f>
        <v>0</v>
      </c>
      <c r="D99" s="80">
        <f>IFERROR(VLOOKUP($A99,GanttChart!$A:$JD,261,FALSE),0)</f>
        <v>0</v>
      </c>
      <c r="E99" s="80">
        <f>IFERROR(VLOOKUP($A99,GanttChart!$A:$JD,262,FALSE),0)</f>
        <v>0</v>
      </c>
      <c r="F99" s="80">
        <f>IFERROR(VLOOKUP($A99,GanttChart!$A:$JD,263,FALSE),0)</f>
        <v>0</v>
      </c>
      <c r="G99" s="81">
        <f>IFERROR(VLOOKUP($A99,GanttChart!$A:$JD,264,FALSE),0)</f>
        <v>0</v>
      </c>
      <c r="H99" s="203"/>
      <c r="I99" s="81">
        <f t="shared" si="0"/>
        <v>0</v>
      </c>
    </row>
    <row r="100" spans="1:9" ht="14.25" hidden="1">
      <c r="A100" s="74">
        <v>5.8</v>
      </c>
      <c r="C100" s="79">
        <f>IFERROR(VLOOKUP($A100,GanttChart!$A:$JD,2,FALSE),"خطا")</f>
        <v>0</v>
      </c>
      <c r="D100" s="80">
        <f>IFERROR(VLOOKUP($A100,GanttChart!$A:$JD,261,FALSE),0)</f>
        <v>0</v>
      </c>
      <c r="E100" s="80">
        <f>IFERROR(VLOOKUP($A100,GanttChart!$A:$JD,262,FALSE),0)</f>
        <v>0</v>
      </c>
      <c r="F100" s="80">
        <f>IFERROR(VLOOKUP($A100,GanttChart!$A:$JD,263,FALSE),0)</f>
        <v>0</v>
      </c>
      <c r="G100" s="81">
        <f>IFERROR(VLOOKUP($A100,GanttChart!$A:$JD,264,FALSE),0)</f>
        <v>0</v>
      </c>
      <c r="H100" s="203"/>
      <c r="I100" s="81">
        <f t="shared" si="0"/>
        <v>0</v>
      </c>
    </row>
    <row r="101" spans="1:9" ht="14.25" hidden="1">
      <c r="A101" s="74">
        <v>5.9</v>
      </c>
      <c r="C101" s="79">
        <f>IFERROR(VLOOKUP($A101,GanttChart!$A:$JD,2,FALSE),"خطا")</f>
        <v>0</v>
      </c>
      <c r="D101" s="80">
        <f>IFERROR(VLOOKUP($A101,GanttChart!$A:$JD,261,FALSE),0)</f>
        <v>0</v>
      </c>
      <c r="E101" s="80">
        <f>IFERROR(VLOOKUP($A101,GanttChart!$A:$JD,262,FALSE),0)</f>
        <v>0</v>
      </c>
      <c r="F101" s="80">
        <f>IFERROR(VLOOKUP($A101,GanttChart!$A:$JD,263,FALSE),0)</f>
        <v>0</v>
      </c>
      <c r="G101" s="81">
        <f>IFERROR(VLOOKUP($A101,GanttChart!$A:$JD,264,FALSE),0)</f>
        <v>0</v>
      </c>
      <c r="H101" s="203"/>
      <c r="I101" s="81">
        <f t="shared" si="0"/>
        <v>0</v>
      </c>
    </row>
    <row r="102" spans="1:9" ht="14.25" hidden="1">
      <c r="A102" s="74">
        <v>5.1100000000000003</v>
      </c>
      <c r="C102" s="79">
        <f>IFERROR(VLOOKUP($A102,GanttChart!$A:$JD,2,FALSE),"خطا")</f>
        <v>0</v>
      </c>
      <c r="D102" s="80">
        <f>IFERROR(VLOOKUP($A102,GanttChart!$A:$JD,261,FALSE),0)</f>
        <v>0</v>
      </c>
      <c r="E102" s="80">
        <f>IFERROR(VLOOKUP($A102,GanttChart!$A:$JD,262,FALSE),0)</f>
        <v>0</v>
      </c>
      <c r="F102" s="80">
        <f>IFERROR(VLOOKUP($A102,GanttChart!$A:$JD,263,FALSE),0)</f>
        <v>0</v>
      </c>
      <c r="G102" s="81">
        <f>IFERROR(VLOOKUP($A102,GanttChart!$A:$JD,264,FALSE),0)</f>
        <v>0</v>
      </c>
      <c r="H102" s="203"/>
      <c r="I102" s="81">
        <f t="shared" si="0"/>
        <v>0</v>
      </c>
    </row>
    <row r="103" spans="1:9" ht="14.25" hidden="1">
      <c r="A103" s="74">
        <v>5.12</v>
      </c>
      <c r="C103" s="79">
        <f>IFERROR(VLOOKUP($A103,GanttChart!$A:$JD,2,FALSE),"خطا")</f>
        <v>0</v>
      </c>
      <c r="D103" s="80">
        <f>IFERROR(VLOOKUP($A103,GanttChart!$A:$JD,261,FALSE),0)</f>
        <v>0</v>
      </c>
      <c r="E103" s="80">
        <f>IFERROR(VLOOKUP($A103,GanttChart!$A:$JD,262,FALSE),0)</f>
        <v>0</v>
      </c>
      <c r="F103" s="80">
        <f>IFERROR(VLOOKUP($A103,GanttChart!$A:$JD,263,FALSE),0)</f>
        <v>0</v>
      </c>
      <c r="G103" s="81">
        <f>IFERROR(VLOOKUP($A103,GanttChart!$A:$JD,264,FALSE),0)</f>
        <v>0</v>
      </c>
      <c r="H103" s="203"/>
      <c r="I103" s="81">
        <f t="shared" si="0"/>
        <v>0</v>
      </c>
    </row>
    <row r="104" spans="1:9" ht="14.25" hidden="1">
      <c r="A104" s="74">
        <v>5.13</v>
      </c>
      <c r="C104" s="79">
        <f>IFERROR(VLOOKUP($A104,GanttChart!$A:$JD,2,FALSE),"خطا")</f>
        <v>0</v>
      </c>
      <c r="D104" s="80">
        <f>IFERROR(VLOOKUP($A104,GanttChart!$A:$JD,261,FALSE),0)</f>
        <v>0</v>
      </c>
      <c r="E104" s="80">
        <f>IFERROR(VLOOKUP($A104,GanttChart!$A:$JD,262,FALSE),0)</f>
        <v>0</v>
      </c>
      <c r="F104" s="80">
        <f>IFERROR(VLOOKUP($A104,GanttChart!$A:$JD,263,FALSE),0)</f>
        <v>0</v>
      </c>
      <c r="G104" s="81">
        <f>IFERROR(VLOOKUP($A104,GanttChart!$A:$JD,264,FALSE),0)</f>
        <v>0</v>
      </c>
      <c r="H104" s="203"/>
      <c r="I104" s="81">
        <f t="shared" si="0"/>
        <v>0</v>
      </c>
    </row>
    <row r="105" spans="1:9" ht="14.25" hidden="1">
      <c r="A105" s="74">
        <v>5.14</v>
      </c>
      <c r="C105" s="79">
        <f>IFERROR(VLOOKUP($A105,GanttChart!$A:$JD,2,FALSE),"خطا")</f>
        <v>0</v>
      </c>
      <c r="D105" s="80">
        <f>IFERROR(VLOOKUP($A105,GanttChart!$A:$JD,261,FALSE),0)</f>
        <v>0</v>
      </c>
      <c r="E105" s="80">
        <f>IFERROR(VLOOKUP($A105,GanttChart!$A:$JD,262,FALSE),0)</f>
        <v>0</v>
      </c>
      <c r="F105" s="80">
        <f>IFERROR(VLOOKUP($A105,GanttChart!$A:$JD,263,FALSE),0)</f>
        <v>0</v>
      </c>
      <c r="G105" s="81">
        <f>IFERROR(VLOOKUP($A105,GanttChart!$A:$JD,264,FALSE),0)</f>
        <v>0</v>
      </c>
      <c r="H105" s="203"/>
      <c r="I105" s="81">
        <f t="shared" si="0"/>
        <v>0</v>
      </c>
    </row>
    <row r="106" spans="1:9" ht="14.25" hidden="1">
      <c r="A106" s="74">
        <v>5.15</v>
      </c>
      <c r="C106" s="79">
        <f>IFERROR(VLOOKUP($A106,GanttChart!$A:$JD,2,FALSE),"خطا")</f>
        <v>0</v>
      </c>
      <c r="D106" s="80">
        <f>IFERROR(VLOOKUP($A106,GanttChart!$A:$JD,261,FALSE),0)</f>
        <v>0</v>
      </c>
      <c r="E106" s="80">
        <f>IFERROR(VLOOKUP($A106,GanttChart!$A:$JD,262,FALSE),0)</f>
        <v>0</v>
      </c>
      <c r="F106" s="80">
        <f>IFERROR(VLOOKUP($A106,GanttChart!$A:$JD,263,FALSE),0)</f>
        <v>0</v>
      </c>
      <c r="G106" s="81">
        <f>IFERROR(VLOOKUP($A106,GanttChart!$A:$JD,264,FALSE),0)</f>
        <v>0</v>
      </c>
      <c r="H106" s="203"/>
      <c r="I106" s="81">
        <f t="shared" si="0"/>
        <v>0</v>
      </c>
    </row>
    <row r="107" spans="1:9" ht="14.25" hidden="1">
      <c r="A107" s="74">
        <v>5.16</v>
      </c>
      <c r="C107" s="79">
        <f>IFERROR(VLOOKUP($A107,GanttChart!$A:$JD,2,FALSE),"خطا")</f>
        <v>0</v>
      </c>
      <c r="D107" s="80">
        <f>IFERROR(VLOOKUP($A107,GanttChart!$A:$JD,261,FALSE),0)</f>
        <v>0</v>
      </c>
      <c r="E107" s="80">
        <f>IFERROR(VLOOKUP($A107,GanttChart!$A:$JD,262,FALSE),0)</f>
        <v>0</v>
      </c>
      <c r="F107" s="80">
        <f>IFERROR(VLOOKUP($A107,GanttChart!$A:$JD,263,FALSE),0)</f>
        <v>0</v>
      </c>
      <c r="G107" s="81">
        <f>IFERROR(VLOOKUP($A107,GanttChart!$A:$JD,264,FALSE),0)</f>
        <v>0</v>
      </c>
      <c r="H107" s="203"/>
      <c r="I107" s="81">
        <f t="shared" si="0"/>
        <v>0</v>
      </c>
    </row>
    <row r="108" spans="1:9" ht="14.25" hidden="1">
      <c r="A108" s="74">
        <v>5.17</v>
      </c>
      <c r="C108" s="79">
        <f>IFERROR(VLOOKUP($A108,GanttChart!$A:$JD,2,FALSE),"خطا")</f>
        <v>0</v>
      </c>
      <c r="D108" s="80">
        <f>IFERROR(VLOOKUP($A108,GanttChart!$A:$JD,261,FALSE),0)</f>
        <v>0</v>
      </c>
      <c r="E108" s="80">
        <f>IFERROR(VLOOKUP($A108,GanttChart!$A:$JD,262,FALSE),0)</f>
        <v>0</v>
      </c>
      <c r="F108" s="80">
        <f>IFERROR(VLOOKUP($A108,GanttChart!$A:$JD,263,FALSE),0)</f>
        <v>0</v>
      </c>
      <c r="G108" s="81">
        <f>IFERROR(VLOOKUP($A108,GanttChart!$A:$JD,264,FALSE),0)</f>
        <v>0</v>
      </c>
      <c r="H108" s="203"/>
      <c r="I108" s="81">
        <f t="shared" si="0"/>
        <v>0</v>
      </c>
    </row>
    <row r="109" spans="1:9" ht="14.25" hidden="1">
      <c r="A109" s="74">
        <v>5.18</v>
      </c>
      <c r="C109" s="79">
        <f>IFERROR(VLOOKUP($A109,GanttChart!$A:$JD,2,FALSE),"خطا")</f>
        <v>0</v>
      </c>
      <c r="D109" s="80">
        <f>IFERROR(VLOOKUP($A109,GanttChart!$A:$JD,261,FALSE),0)</f>
        <v>0</v>
      </c>
      <c r="E109" s="80">
        <f>IFERROR(VLOOKUP($A109,GanttChart!$A:$JD,262,FALSE),0)</f>
        <v>0</v>
      </c>
      <c r="F109" s="80">
        <f>IFERROR(VLOOKUP($A109,GanttChart!$A:$JD,263,FALSE),0)</f>
        <v>0</v>
      </c>
      <c r="G109" s="81">
        <f>IFERROR(VLOOKUP($A109,GanttChart!$A:$JD,264,FALSE),0)</f>
        <v>0</v>
      </c>
      <c r="H109" s="203"/>
      <c r="I109" s="81">
        <f t="shared" si="0"/>
        <v>0</v>
      </c>
    </row>
    <row r="110" spans="1:9" ht="14.25" hidden="1">
      <c r="A110" s="74">
        <v>5.19</v>
      </c>
      <c r="C110" s="79">
        <f>IFERROR(VLOOKUP($A110,GanttChart!$A:$JD,2,FALSE),"خطا")</f>
        <v>0</v>
      </c>
      <c r="D110" s="80">
        <f>IFERROR(VLOOKUP($A110,GanttChart!$A:$JD,261,FALSE),0)</f>
        <v>0</v>
      </c>
      <c r="E110" s="80">
        <f>IFERROR(VLOOKUP($A110,GanttChart!$A:$JD,262,FALSE),0)</f>
        <v>0</v>
      </c>
      <c r="F110" s="80">
        <f>IFERROR(VLOOKUP($A110,GanttChart!$A:$JD,263,FALSE),0)</f>
        <v>0</v>
      </c>
      <c r="G110" s="81">
        <f>IFERROR(VLOOKUP($A110,GanttChart!$A:$JD,264,FALSE),0)</f>
        <v>0</v>
      </c>
      <c r="H110" s="203"/>
      <c r="I110" s="81">
        <f t="shared" si="0"/>
        <v>0</v>
      </c>
    </row>
    <row r="111" spans="1:9" ht="14.25" hidden="1">
      <c r="A111" s="74">
        <v>5.21</v>
      </c>
      <c r="C111" s="79">
        <f>IFERROR(VLOOKUP($A111,GanttChart!$A:$JD,2,FALSE),"خطا")</f>
        <v>0</v>
      </c>
      <c r="D111" s="80">
        <f>IFERROR(VLOOKUP($A111,GanttChart!$A:$JD,261,FALSE),0)</f>
        <v>0</v>
      </c>
      <c r="E111" s="80">
        <f>IFERROR(VLOOKUP($A111,GanttChart!$A:$JD,262,FALSE),0)</f>
        <v>0</v>
      </c>
      <c r="F111" s="80">
        <f>IFERROR(VLOOKUP($A111,GanttChart!$A:$JD,263,FALSE),0)</f>
        <v>0</v>
      </c>
      <c r="G111" s="81">
        <f>IFERROR(VLOOKUP($A111,GanttChart!$A:$JD,264,FALSE),0)</f>
        <v>0</v>
      </c>
      <c r="H111" s="203"/>
      <c r="I111" s="81">
        <f t="shared" si="0"/>
        <v>0</v>
      </c>
    </row>
    <row r="112" spans="1:9" ht="14.25" hidden="1">
      <c r="A112" s="74">
        <v>5.22</v>
      </c>
      <c r="C112" s="79">
        <f>IFERROR(VLOOKUP($A112,GanttChart!$A:$JD,2,FALSE),"خطا")</f>
        <v>0</v>
      </c>
      <c r="D112" s="80">
        <f>IFERROR(VLOOKUP($A112,GanttChart!$A:$JD,261,FALSE),0)</f>
        <v>0</v>
      </c>
      <c r="E112" s="80">
        <f>IFERROR(VLOOKUP($A112,GanttChart!$A:$JD,262,FALSE),0)</f>
        <v>0</v>
      </c>
      <c r="F112" s="80">
        <f>IFERROR(VLOOKUP($A112,GanttChart!$A:$JD,263,FALSE),0)</f>
        <v>0</v>
      </c>
      <c r="G112" s="81">
        <f>IFERROR(VLOOKUP($A112,GanttChart!$A:$JD,264,FALSE),0)</f>
        <v>0</v>
      </c>
      <c r="H112" s="203"/>
      <c r="I112" s="81">
        <f t="shared" si="0"/>
        <v>0</v>
      </c>
    </row>
    <row r="113" spans="1:9" ht="14.25" hidden="1">
      <c r="A113" s="74">
        <v>5.23</v>
      </c>
      <c r="C113" s="79">
        <f>IFERROR(VLOOKUP($A113,GanttChart!$A:$JD,2,FALSE),"خطا")</f>
        <v>0</v>
      </c>
      <c r="D113" s="80">
        <f>IFERROR(VLOOKUP($A113,GanttChart!$A:$JD,261,FALSE),0)</f>
        <v>0</v>
      </c>
      <c r="E113" s="80">
        <f>IFERROR(VLOOKUP($A113,GanttChart!$A:$JD,262,FALSE),0)</f>
        <v>0</v>
      </c>
      <c r="F113" s="80">
        <f>IFERROR(VLOOKUP($A113,GanttChart!$A:$JD,263,FALSE),0)</f>
        <v>0</v>
      </c>
      <c r="G113" s="81">
        <f>IFERROR(VLOOKUP($A113,GanttChart!$A:$JD,264,FALSE),0)</f>
        <v>0</v>
      </c>
      <c r="H113" s="203"/>
      <c r="I113" s="81">
        <f t="shared" si="0"/>
        <v>0</v>
      </c>
    </row>
    <row r="114" spans="1:9" ht="14.25" hidden="1">
      <c r="A114" s="74">
        <v>6</v>
      </c>
      <c r="C114" s="79" t="str">
        <f>IFERROR(VLOOKUP($A114,GanttChart!$A:$JD,2,FALSE),"خطا")</f>
        <v>اقدامات اجرایی پیکربندی، مدیریت و کاربرد نرم افزار</v>
      </c>
      <c r="D114" s="80">
        <f>IFERROR(VLOOKUP($A114,GanttChart!$A:$JD,261,FALSE),0)</f>
        <v>0</v>
      </c>
      <c r="E114" s="80">
        <f>IFERROR(VLOOKUP($A114,GanttChart!$A:$JD,262,FALSE),0)</f>
        <v>0</v>
      </c>
      <c r="F114" s="80">
        <f>IFERROR(VLOOKUP($A114,GanttChart!$A:$JD,263,FALSE),0)</f>
        <v>0</v>
      </c>
      <c r="G114" s="81">
        <f>IFERROR(VLOOKUP($A114,GanttChart!$A:$JD,264,FALSE),0)</f>
        <v>0</v>
      </c>
      <c r="H114" s="203"/>
      <c r="I114" s="81">
        <f t="shared" si="0"/>
        <v>0</v>
      </c>
    </row>
    <row r="115" spans="1:9" ht="22.5">
      <c r="A115" s="74">
        <v>6.1</v>
      </c>
      <c r="C115" s="79" t="str">
        <f>IFERROR(VLOOKUP($A115,GanttChart!$A:$JD,2,FALSE),"خطا")</f>
        <v>اعلام نام های کاربری و حقوق دسترسی مورد نیاز هر یک از کاربران و اطلاعات مورد نیاز جهت تنظیم</v>
      </c>
      <c r="D115" s="80">
        <f>IFERROR(VLOOKUP($A115,GanttChart!$A:$JD,261,FALSE),0)</f>
        <v>0</v>
      </c>
      <c r="E115" s="80">
        <f>IFERROR(VLOOKUP($A115,GanttChart!$A:$JD,262,FALSE),0)</f>
        <v>0</v>
      </c>
      <c r="F115" s="80">
        <f>IFERROR(VLOOKUP($A115,GanttChart!$A:$JD,263,FALSE),0)</f>
        <v>0</v>
      </c>
      <c r="G115" s="81">
        <f>IFERROR(VLOOKUP($A115,GanttChart!$A:$JD,264,FALSE),0)</f>
        <v>0</v>
      </c>
      <c r="H115" s="203"/>
      <c r="I115" s="81">
        <f t="shared" si="0"/>
        <v>0</v>
      </c>
    </row>
    <row r="116" spans="1:9" ht="14.25">
      <c r="A116" s="74">
        <v>6.2</v>
      </c>
      <c r="C116" s="79" t="str">
        <f>IFERROR(VLOOKUP($A116,GanttChart!$A:$JD,2,FALSE),"خطا")</f>
        <v>تعریف و اعطای حق دسترسی به کاربران و گروه های کاربری اعلام شده</v>
      </c>
      <c r="D116" s="80">
        <f>IFERROR(VLOOKUP($A116,GanttChart!$A:$JD,261,FALSE),0)</f>
        <v>0</v>
      </c>
      <c r="E116" s="80">
        <f>IFERROR(VLOOKUP($A116,GanttChart!$A:$JD,262,FALSE),0)</f>
        <v>0</v>
      </c>
      <c r="F116" s="80">
        <f>IFERROR(VLOOKUP($A116,GanttChart!$A:$JD,263,FALSE),0)</f>
        <v>0</v>
      </c>
      <c r="G116" s="81">
        <f>IFERROR(VLOOKUP($A116,GanttChart!$A:$JD,264,FALSE),0)</f>
        <v>0</v>
      </c>
      <c r="H116" s="203"/>
      <c r="I116" s="81">
        <f t="shared" si="0"/>
        <v>0</v>
      </c>
    </row>
    <row r="117" spans="1:9" ht="22.5" hidden="1">
      <c r="A117" s="74">
        <v>6.3</v>
      </c>
      <c r="C117" s="79" t="str">
        <f>IFERROR(VLOOKUP($A117,GanttChart!$A:$JD,2,FALSE),"خطا")</f>
        <v>پیکربندی ماژول های پست الکترونیک و پیام کوتاه  بر روی سرویس دهنده های پست الکترونیک و پیام کوتاه کارفرما</v>
      </c>
      <c r="D117" s="80">
        <f>IFERROR(VLOOKUP($A117,GanttChart!$A:$JD,261,FALSE),0)</f>
        <v>0</v>
      </c>
      <c r="E117" s="80">
        <f>IFERROR(VLOOKUP($A117,GanttChart!$A:$JD,262,FALSE),0)</f>
        <v>0</v>
      </c>
      <c r="F117" s="80">
        <f>IFERROR(VLOOKUP($A117,GanttChart!$A:$JD,263,FALSE),0)</f>
        <v>0</v>
      </c>
      <c r="G117" s="81">
        <f>IFERROR(VLOOKUP($A117,GanttChart!$A:$JD,264,FALSE),0)</f>
        <v>0</v>
      </c>
      <c r="H117" s="203"/>
      <c r="I117" s="81">
        <f t="shared" si="0"/>
        <v>0</v>
      </c>
    </row>
    <row r="118" spans="1:9" ht="14.25">
      <c r="A118" s="74">
        <v>6.4</v>
      </c>
      <c r="C118" s="79">
        <f>IFERROR(VLOOKUP($A118,GanttChart!$A:$JD,2,FALSE),"خطا")</f>
        <v>0</v>
      </c>
      <c r="D118" s="80">
        <f>IFERROR(VLOOKUP($A118,GanttChart!$A:$JD,261,FALSE),0)</f>
        <v>0</v>
      </c>
      <c r="E118" s="80">
        <f>IFERROR(VLOOKUP($A118,GanttChart!$A:$JD,262,FALSE),0)</f>
        <v>0</v>
      </c>
      <c r="F118" s="80">
        <f>IFERROR(VLOOKUP($A118,GanttChart!$A:$JD,263,FALSE),0)</f>
        <v>0</v>
      </c>
      <c r="G118" s="81">
        <f>IFERROR(VLOOKUP($A118,GanttChart!$A:$JD,264,FALSE),0)</f>
        <v>0</v>
      </c>
      <c r="H118" s="203"/>
      <c r="I118" s="81">
        <f t="shared" si="0"/>
        <v>0</v>
      </c>
    </row>
    <row r="119" spans="1:9" ht="14.25">
      <c r="A119" s="74">
        <v>6.5</v>
      </c>
      <c r="C119" s="79">
        <f>IFERROR(VLOOKUP($A119,GanttChart!$A:$JD,2,FALSE),"خطا")</f>
        <v>0</v>
      </c>
      <c r="D119" s="80">
        <f>IFERROR(VLOOKUP($A119,GanttChart!$A:$JD,261,FALSE),0)</f>
        <v>0</v>
      </c>
      <c r="E119" s="80">
        <f>IFERROR(VLOOKUP($A119,GanttChart!$A:$JD,262,FALSE),0)</f>
        <v>0</v>
      </c>
      <c r="F119" s="80">
        <f>IFERROR(VLOOKUP($A119,GanttChart!$A:$JD,263,FALSE),0)</f>
        <v>0</v>
      </c>
      <c r="G119" s="81">
        <f>IFERROR(VLOOKUP($A119,GanttChart!$A:$JD,264,FALSE),0)</f>
        <v>0</v>
      </c>
      <c r="H119" s="203"/>
      <c r="I119" s="81">
        <f t="shared" si="0"/>
        <v>0</v>
      </c>
    </row>
    <row r="120" spans="1:9" ht="14.25" hidden="1">
      <c r="A120" s="74">
        <v>6.6</v>
      </c>
      <c r="C120" s="79">
        <f>IFERROR(VLOOKUP($A120,GanttChart!$A:$JD,2,FALSE),"خطا")</f>
        <v>0</v>
      </c>
      <c r="D120" s="80">
        <f>IFERROR(VLOOKUP($A120,GanttChart!$A:$JD,261,FALSE),0)</f>
        <v>0</v>
      </c>
      <c r="E120" s="80">
        <f>IFERROR(VLOOKUP($A120,GanttChart!$A:$JD,262,FALSE),0)</f>
        <v>0</v>
      </c>
      <c r="F120" s="80">
        <f>IFERROR(VLOOKUP($A120,GanttChart!$A:$JD,263,FALSE),0)</f>
        <v>0</v>
      </c>
      <c r="G120" s="81">
        <f>IFERROR(VLOOKUP($A120,GanttChart!$A:$JD,264,FALSE),0)</f>
        <v>0</v>
      </c>
      <c r="H120" s="203"/>
      <c r="I120" s="81">
        <f t="shared" si="0"/>
        <v>0</v>
      </c>
    </row>
    <row r="121" spans="1:9" ht="14.25" hidden="1">
      <c r="A121" s="74">
        <v>6.7</v>
      </c>
      <c r="C121" s="79">
        <f>IFERROR(VLOOKUP($A121,GanttChart!$A:$JD,2,FALSE),"خطا")</f>
        <v>0</v>
      </c>
      <c r="D121" s="80">
        <f>IFERROR(VLOOKUP($A121,GanttChart!$A:$JD,261,FALSE),0)</f>
        <v>0</v>
      </c>
      <c r="E121" s="80">
        <f>IFERROR(VLOOKUP($A121,GanttChart!$A:$JD,262,FALSE),0)</f>
        <v>0</v>
      </c>
      <c r="F121" s="80">
        <f>IFERROR(VLOOKUP($A121,GanttChart!$A:$JD,263,FALSE),0)</f>
        <v>0</v>
      </c>
      <c r="G121" s="81">
        <f>IFERROR(VLOOKUP($A121,GanttChart!$A:$JD,264,FALSE),0)</f>
        <v>0</v>
      </c>
      <c r="H121" s="203"/>
      <c r="I121" s="81">
        <f t="shared" si="0"/>
        <v>0</v>
      </c>
    </row>
    <row r="122" spans="1:9" ht="14.25" hidden="1">
      <c r="A122" s="74">
        <v>6.8</v>
      </c>
      <c r="C122" s="79">
        <f>IFERROR(VLOOKUP($A122,GanttChart!$A:$JD,2,FALSE),"خطا")</f>
        <v>0</v>
      </c>
      <c r="D122" s="80">
        <f>IFERROR(VLOOKUP($A122,GanttChart!$A:$JD,261,FALSE),0)</f>
        <v>0</v>
      </c>
      <c r="E122" s="80">
        <f>IFERROR(VLOOKUP($A122,GanttChart!$A:$JD,262,FALSE),0)</f>
        <v>0</v>
      </c>
      <c r="F122" s="80">
        <f>IFERROR(VLOOKUP($A122,GanttChart!$A:$JD,263,FALSE),0)</f>
        <v>0</v>
      </c>
      <c r="G122" s="81">
        <f>IFERROR(VLOOKUP($A122,GanttChart!$A:$JD,264,FALSE),0)</f>
        <v>0</v>
      </c>
      <c r="H122" s="203"/>
      <c r="I122" s="81">
        <f t="shared" si="0"/>
        <v>0</v>
      </c>
    </row>
    <row r="123" spans="1:9" ht="14.25" hidden="1">
      <c r="A123" s="74">
        <v>6.9</v>
      </c>
      <c r="C123" s="79">
        <f>IFERROR(VLOOKUP($A123,GanttChart!$A:$JD,2,FALSE),"خطا")</f>
        <v>0</v>
      </c>
      <c r="D123" s="80">
        <f>IFERROR(VLOOKUP($A123,GanttChart!$A:$JD,261,FALSE),0)</f>
        <v>0</v>
      </c>
      <c r="E123" s="80">
        <f>IFERROR(VLOOKUP($A123,GanttChart!$A:$JD,262,FALSE),0)</f>
        <v>0</v>
      </c>
      <c r="F123" s="80">
        <f>IFERROR(VLOOKUP($A123,GanttChart!$A:$JD,263,FALSE),0)</f>
        <v>0</v>
      </c>
      <c r="G123" s="81">
        <f>IFERROR(VLOOKUP($A123,GanttChart!$A:$JD,264,FALSE),0)</f>
        <v>0</v>
      </c>
      <c r="H123" s="203"/>
      <c r="I123" s="81">
        <f t="shared" si="0"/>
        <v>0</v>
      </c>
    </row>
    <row r="124" spans="1:9" ht="14.25" hidden="1">
      <c r="A124" s="74">
        <v>6.11</v>
      </c>
      <c r="C124" s="79">
        <f>IFERROR(VLOOKUP($A124,GanttChart!$A:$JD,2,FALSE),"خطا")</f>
        <v>0</v>
      </c>
      <c r="D124" s="80">
        <f>IFERROR(VLOOKUP($A124,GanttChart!$A:$JD,261,FALSE),0)</f>
        <v>0</v>
      </c>
      <c r="E124" s="80">
        <f>IFERROR(VLOOKUP($A124,GanttChart!$A:$JD,262,FALSE),0)</f>
        <v>0</v>
      </c>
      <c r="F124" s="80">
        <f>IFERROR(VLOOKUP($A124,GanttChart!$A:$JD,263,FALSE),0)</f>
        <v>0</v>
      </c>
      <c r="G124" s="81">
        <f>IFERROR(VLOOKUP($A124,GanttChart!$A:$JD,264,FALSE),0)</f>
        <v>0</v>
      </c>
      <c r="H124" s="203"/>
      <c r="I124" s="81">
        <f t="shared" si="0"/>
        <v>0</v>
      </c>
    </row>
    <row r="125" spans="1:9" ht="14.25" hidden="1">
      <c r="A125" s="74">
        <v>6.12</v>
      </c>
      <c r="C125" s="79">
        <f>IFERROR(VLOOKUP($A125,GanttChart!$A:$JD,2,FALSE),"خطا")</f>
        <v>0</v>
      </c>
      <c r="D125" s="80">
        <f>IFERROR(VLOOKUP($A125,GanttChart!$A:$JD,261,FALSE),0)</f>
        <v>0</v>
      </c>
      <c r="E125" s="80">
        <f>IFERROR(VLOOKUP($A125,GanttChart!$A:$JD,262,FALSE),0)</f>
        <v>0</v>
      </c>
      <c r="F125" s="80">
        <f>IFERROR(VLOOKUP($A125,GanttChart!$A:$JD,263,FALSE),0)</f>
        <v>0</v>
      </c>
      <c r="G125" s="81">
        <f>IFERROR(VLOOKUP($A125,GanttChart!$A:$JD,264,FALSE),0)</f>
        <v>0</v>
      </c>
      <c r="H125" s="203"/>
      <c r="I125" s="81">
        <f t="shared" si="0"/>
        <v>0</v>
      </c>
    </row>
    <row r="126" spans="1:9" ht="14.25" hidden="1">
      <c r="A126" s="74">
        <v>6.13</v>
      </c>
      <c r="C126" s="79">
        <f>IFERROR(VLOOKUP($A126,GanttChart!$A:$JD,2,FALSE),"خطا")</f>
        <v>0</v>
      </c>
      <c r="D126" s="80">
        <f>IFERROR(VLOOKUP($A126,GanttChart!$A:$JD,261,FALSE),0)</f>
        <v>0</v>
      </c>
      <c r="E126" s="80">
        <f>IFERROR(VLOOKUP($A126,GanttChart!$A:$JD,262,FALSE),0)</f>
        <v>0</v>
      </c>
      <c r="F126" s="80">
        <f>IFERROR(VLOOKUP($A126,GanttChart!$A:$JD,263,FALSE),0)</f>
        <v>0</v>
      </c>
      <c r="G126" s="81">
        <f>IFERROR(VLOOKUP($A126,GanttChart!$A:$JD,264,FALSE),0)</f>
        <v>0</v>
      </c>
      <c r="H126" s="203"/>
      <c r="I126" s="81">
        <f t="shared" si="0"/>
        <v>0</v>
      </c>
    </row>
    <row r="127" spans="1:9" ht="14.25" hidden="1">
      <c r="A127" s="74">
        <v>6.14</v>
      </c>
      <c r="C127" s="79">
        <f>IFERROR(VLOOKUP($A127,GanttChart!$A:$JD,2,FALSE),"خطا")</f>
        <v>0</v>
      </c>
      <c r="D127" s="80">
        <f>IFERROR(VLOOKUP($A127,GanttChart!$A:$JD,261,FALSE),0)</f>
        <v>0</v>
      </c>
      <c r="E127" s="80">
        <f>IFERROR(VLOOKUP($A127,GanttChart!$A:$JD,262,FALSE),0)</f>
        <v>0</v>
      </c>
      <c r="F127" s="80">
        <f>IFERROR(VLOOKUP($A127,GanttChart!$A:$JD,263,FALSE),0)</f>
        <v>0</v>
      </c>
      <c r="G127" s="81">
        <f>IFERROR(VLOOKUP($A127,GanttChart!$A:$JD,264,FALSE),0)</f>
        <v>0</v>
      </c>
      <c r="H127" s="203"/>
      <c r="I127" s="81">
        <f t="shared" si="0"/>
        <v>0</v>
      </c>
    </row>
    <row r="128" spans="1:9" ht="14.25" hidden="1">
      <c r="A128" s="74">
        <v>6.15</v>
      </c>
      <c r="C128" s="79">
        <f>IFERROR(VLOOKUP($A128,GanttChart!$A:$JD,2,FALSE),"خطا")</f>
        <v>0</v>
      </c>
      <c r="D128" s="80">
        <f>IFERROR(VLOOKUP($A128,GanttChart!$A:$JD,261,FALSE),0)</f>
        <v>0</v>
      </c>
      <c r="E128" s="80">
        <f>IFERROR(VLOOKUP($A128,GanttChart!$A:$JD,262,FALSE),0)</f>
        <v>0</v>
      </c>
      <c r="F128" s="80">
        <f>IFERROR(VLOOKUP($A128,GanttChart!$A:$JD,263,FALSE),0)</f>
        <v>0</v>
      </c>
      <c r="G128" s="81">
        <f>IFERROR(VLOOKUP($A128,GanttChart!$A:$JD,264,FALSE),0)</f>
        <v>0</v>
      </c>
      <c r="H128" s="203"/>
      <c r="I128" s="81">
        <f t="shared" si="0"/>
        <v>0</v>
      </c>
    </row>
    <row r="129" spans="1:9" ht="14.25" hidden="1">
      <c r="A129" s="74">
        <v>6.16</v>
      </c>
      <c r="C129" s="79">
        <f>IFERROR(VLOOKUP($A129,GanttChart!$A:$JD,2,FALSE),"خطا")</f>
        <v>0</v>
      </c>
      <c r="D129" s="80">
        <f>IFERROR(VLOOKUP($A129,GanttChart!$A:$JD,261,FALSE),0)</f>
        <v>0</v>
      </c>
      <c r="E129" s="80">
        <f>IFERROR(VLOOKUP($A129,GanttChart!$A:$JD,262,FALSE),0)</f>
        <v>0</v>
      </c>
      <c r="F129" s="80">
        <f>IFERROR(VLOOKUP($A129,GanttChart!$A:$JD,263,FALSE),0)</f>
        <v>0</v>
      </c>
      <c r="G129" s="81">
        <f>IFERROR(VLOOKUP($A129,GanttChart!$A:$JD,264,FALSE),0)</f>
        <v>0</v>
      </c>
      <c r="H129" s="203"/>
      <c r="I129" s="81">
        <f t="shared" si="0"/>
        <v>0</v>
      </c>
    </row>
    <row r="130" spans="1:9" ht="14.25" hidden="1">
      <c r="A130" s="74">
        <v>6.17</v>
      </c>
      <c r="C130" s="79">
        <f>IFERROR(VLOOKUP($A130,GanttChart!$A:$JD,2,FALSE),"خطا")</f>
        <v>0</v>
      </c>
      <c r="D130" s="80">
        <f>IFERROR(VLOOKUP($A130,GanttChart!$A:$JD,261,FALSE),0)</f>
        <v>0</v>
      </c>
      <c r="E130" s="80">
        <f>IFERROR(VLOOKUP($A130,GanttChart!$A:$JD,262,FALSE),0)</f>
        <v>0</v>
      </c>
      <c r="F130" s="80">
        <f>IFERROR(VLOOKUP($A130,GanttChart!$A:$JD,263,FALSE),0)</f>
        <v>0</v>
      </c>
      <c r="G130" s="81">
        <f>IFERROR(VLOOKUP($A130,GanttChart!$A:$JD,264,FALSE),0)</f>
        <v>0</v>
      </c>
      <c r="H130" s="203"/>
      <c r="I130" s="81">
        <f t="shared" si="0"/>
        <v>0</v>
      </c>
    </row>
    <row r="131" spans="1:9" ht="14.25" hidden="1">
      <c r="A131" s="74">
        <v>6.18</v>
      </c>
      <c r="C131" s="79">
        <f>IFERROR(VLOOKUP($A131,GanttChart!$A:$JD,2,FALSE),"خطا")</f>
        <v>0</v>
      </c>
      <c r="D131" s="80">
        <f>IFERROR(VLOOKUP($A131,GanttChart!$A:$JD,261,FALSE),0)</f>
        <v>0</v>
      </c>
      <c r="E131" s="80">
        <f>IFERROR(VLOOKUP($A131,GanttChart!$A:$JD,262,FALSE),0)</f>
        <v>0</v>
      </c>
      <c r="F131" s="80">
        <f>IFERROR(VLOOKUP($A131,GanttChart!$A:$JD,263,FALSE),0)</f>
        <v>0</v>
      </c>
      <c r="G131" s="81">
        <f>IFERROR(VLOOKUP($A131,GanttChart!$A:$JD,264,FALSE),0)</f>
        <v>0</v>
      </c>
      <c r="H131" s="203"/>
      <c r="I131" s="81">
        <f t="shared" si="0"/>
        <v>0</v>
      </c>
    </row>
    <row r="132" spans="1:9" ht="14.25" hidden="1">
      <c r="A132" s="74">
        <v>6.19</v>
      </c>
      <c r="C132" s="79">
        <f>IFERROR(VLOOKUP($A132,GanttChart!$A:$JD,2,FALSE),"خطا")</f>
        <v>0</v>
      </c>
      <c r="D132" s="80">
        <f>IFERROR(VLOOKUP($A132,GanttChart!$A:$JD,261,FALSE),0)</f>
        <v>0</v>
      </c>
      <c r="E132" s="80">
        <f>IFERROR(VLOOKUP($A132,GanttChart!$A:$JD,262,FALSE),0)</f>
        <v>0</v>
      </c>
      <c r="F132" s="80">
        <f>IFERROR(VLOOKUP($A132,GanttChart!$A:$JD,263,FALSE),0)</f>
        <v>0</v>
      </c>
      <c r="G132" s="81">
        <f>IFERROR(VLOOKUP($A132,GanttChart!$A:$JD,264,FALSE),0)</f>
        <v>0</v>
      </c>
      <c r="H132" s="203"/>
      <c r="I132" s="81">
        <f t="shared" si="0"/>
        <v>0</v>
      </c>
    </row>
    <row r="133" spans="1:9" ht="14.25" hidden="1">
      <c r="A133" s="74">
        <v>6.21</v>
      </c>
      <c r="C133" s="79">
        <f>IFERROR(VLOOKUP($A133,GanttChart!$A:$JD,2,FALSE),"خطا")</f>
        <v>0</v>
      </c>
      <c r="D133" s="80">
        <f>IFERROR(VLOOKUP($A133,GanttChart!$A:$JD,261,FALSE),0)</f>
        <v>0</v>
      </c>
      <c r="E133" s="80">
        <f>IFERROR(VLOOKUP($A133,GanttChart!$A:$JD,262,FALSE),0)</f>
        <v>0</v>
      </c>
      <c r="F133" s="80">
        <f>IFERROR(VLOOKUP($A133,GanttChart!$A:$JD,263,FALSE),0)</f>
        <v>0</v>
      </c>
      <c r="G133" s="81">
        <f>IFERROR(VLOOKUP($A133,GanttChart!$A:$JD,264,FALSE),0)</f>
        <v>0</v>
      </c>
      <c r="H133" s="203"/>
      <c r="I133" s="81">
        <f t="shared" si="0"/>
        <v>0</v>
      </c>
    </row>
    <row r="134" spans="1:9" ht="14.25" hidden="1">
      <c r="A134" s="74">
        <v>6.22</v>
      </c>
      <c r="C134" s="79">
        <f>IFERROR(VLOOKUP($A134,GanttChart!$A:$JD,2,FALSE),"خطا")</f>
        <v>0</v>
      </c>
      <c r="D134" s="80">
        <f>IFERROR(VLOOKUP($A134,GanttChart!$A:$JD,261,FALSE),0)</f>
        <v>0</v>
      </c>
      <c r="E134" s="80">
        <f>IFERROR(VLOOKUP($A134,GanttChart!$A:$JD,262,FALSE),0)</f>
        <v>0</v>
      </c>
      <c r="F134" s="80">
        <f>IFERROR(VLOOKUP($A134,GanttChart!$A:$JD,263,FALSE),0)</f>
        <v>0</v>
      </c>
      <c r="G134" s="81">
        <f>IFERROR(VLOOKUP($A134,GanttChart!$A:$JD,264,FALSE),0)</f>
        <v>0</v>
      </c>
      <c r="H134" s="203"/>
      <c r="I134" s="81">
        <f t="shared" si="0"/>
        <v>0</v>
      </c>
    </row>
    <row r="135" spans="1:9" ht="14.25" hidden="1">
      <c r="A135" s="74">
        <v>6.23</v>
      </c>
      <c r="C135" s="79">
        <f>IFERROR(VLOOKUP($A135,GanttChart!$A:$JD,2,FALSE),"خطا")</f>
        <v>0</v>
      </c>
      <c r="D135" s="80">
        <f>IFERROR(VLOOKUP($A135,GanttChart!$A:$JD,261,FALSE),0)</f>
        <v>0</v>
      </c>
      <c r="E135" s="80">
        <f>IFERROR(VLOOKUP($A135,GanttChart!$A:$JD,262,FALSE),0)</f>
        <v>0</v>
      </c>
      <c r="F135" s="80">
        <f>IFERROR(VLOOKUP($A135,GanttChart!$A:$JD,263,FALSE),0)</f>
        <v>0</v>
      </c>
      <c r="G135" s="81">
        <f>IFERROR(VLOOKUP($A135,GanttChart!$A:$JD,264,FALSE),0)</f>
        <v>0</v>
      </c>
      <c r="H135" s="203"/>
      <c r="I135" s="81">
        <f t="shared" si="0"/>
        <v>0</v>
      </c>
    </row>
    <row r="136" spans="1:9" ht="14.25" hidden="1">
      <c r="A136" s="74">
        <v>7</v>
      </c>
      <c r="C136" s="79" t="str">
        <f>IFERROR(VLOOKUP($A136,GanttChart!$A:$JD,2,FALSE),"خطا")</f>
        <v>تحویل نهايي دستاوردهای پروژه</v>
      </c>
      <c r="D136" s="80">
        <f>IFERROR(VLOOKUP($A136,GanttChart!$A:$JD,261,FALSE),0)</f>
        <v>0</v>
      </c>
      <c r="E136" s="80">
        <f>IFERROR(VLOOKUP($A136,GanttChart!$A:$JD,262,FALSE),0)</f>
        <v>0</v>
      </c>
      <c r="F136" s="80">
        <f>IFERROR(VLOOKUP($A136,GanttChart!$A:$JD,263,FALSE),0)</f>
        <v>0</v>
      </c>
      <c r="G136" s="81">
        <f>IFERROR(VLOOKUP($A136,GanttChart!$A:$JD,264,FALSE),0)</f>
        <v>0</v>
      </c>
      <c r="H136" s="203"/>
      <c r="I136" s="81">
        <f t="shared" si="0"/>
        <v>0</v>
      </c>
    </row>
    <row r="137" spans="1:9" ht="14.25">
      <c r="A137" s="74">
        <v>7.1</v>
      </c>
      <c r="C137" s="79" t="str">
        <f>IFERROR(VLOOKUP($A137,GanttChart!$A:$JD,2,FALSE),"خطا")</f>
        <v>تنظیم و امضاء صورت جلسه تحویل پروژه</v>
      </c>
      <c r="D137" s="80">
        <f>IFERROR(VLOOKUP($A137,GanttChart!$A:$JD,261,FALSE),0)</f>
        <v>0</v>
      </c>
      <c r="E137" s="80">
        <f>IFERROR(VLOOKUP($A137,GanttChart!$A:$JD,262,FALSE),0)</f>
        <v>0</v>
      </c>
      <c r="F137" s="80">
        <f>IFERROR(VLOOKUP($A137,GanttChart!$A:$JD,263,FALSE),0)</f>
        <v>0</v>
      </c>
      <c r="G137" s="81">
        <f>IFERROR(VLOOKUP($A137,GanttChart!$A:$JD,264,FALSE),0)</f>
        <v>0</v>
      </c>
      <c r="H137" s="203"/>
      <c r="I137" s="81">
        <f t="shared" si="0"/>
        <v>0</v>
      </c>
    </row>
    <row r="138" spans="1:9" ht="14.25">
      <c r="A138" s="74">
        <v>7.2</v>
      </c>
      <c r="C138" s="79" t="str">
        <f>IFERROR(VLOOKUP($A138,GanttChart!$A:$JD,2,FALSE),"خطا")</f>
        <v>انتقال پورتال به دامنه اصلی کارفرما</v>
      </c>
      <c r="D138" s="80">
        <f>IFERROR(VLOOKUP($A138,GanttChart!$A:$JD,261,FALSE),0)</f>
        <v>0</v>
      </c>
      <c r="E138" s="80">
        <f>IFERROR(VLOOKUP($A138,GanttChart!$A:$JD,262,FALSE),0)</f>
        <v>0</v>
      </c>
      <c r="F138" s="80">
        <f>IFERROR(VLOOKUP($A138,GanttChart!$A:$JD,263,FALSE),0)</f>
        <v>0</v>
      </c>
      <c r="G138" s="81">
        <f>IFERROR(VLOOKUP($A138,GanttChart!$A:$JD,264,FALSE),0)</f>
        <v>0</v>
      </c>
      <c r="H138" s="203"/>
      <c r="I138" s="81">
        <f t="shared" si="0"/>
        <v>0</v>
      </c>
    </row>
    <row r="139" spans="1:9" ht="14.25">
      <c r="A139" s="74">
        <v>7.3</v>
      </c>
      <c r="C139" s="79">
        <f>IFERROR(VLOOKUP($A139,GanttChart!$A:$JD,2,FALSE),"خطا")</f>
        <v>0</v>
      </c>
      <c r="D139" s="80">
        <f>IFERROR(VLOOKUP($A139,GanttChart!$A:$JD,261,FALSE),0)</f>
        <v>0</v>
      </c>
      <c r="E139" s="80">
        <f>IFERROR(VLOOKUP($A139,GanttChart!$A:$JD,262,FALSE),0)</f>
        <v>0</v>
      </c>
      <c r="F139" s="80">
        <f>IFERROR(VLOOKUP($A139,GanttChart!$A:$JD,263,FALSE),0)</f>
        <v>0</v>
      </c>
      <c r="G139" s="81">
        <f>IFERROR(VLOOKUP($A139,GanttChart!$A:$JD,264,FALSE),0)</f>
        <v>0</v>
      </c>
      <c r="H139" s="203"/>
      <c r="I139" s="81">
        <f t="shared" si="0"/>
        <v>0</v>
      </c>
    </row>
    <row r="140" spans="1:9" ht="14.25" hidden="1">
      <c r="A140" s="74">
        <v>7.4</v>
      </c>
      <c r="C140" s="79">
        <f>IFERROR(VLOOKUP($A140,GanttChart!$A:$JD,2,FALSE),"خطا")</f>
        <v>0</v>
      </c>
      <c r="D140" s="80">
        <f>IFERROR(VLOOKUP($A140,GanttChart!$A:$JD,261,FALSE),0)</f>
        <v>0</v>
      </c>
      <c r="E140" s="80">
        <f>IFERROR(VLOOKUP($A140,GanttChart!$A:$JD,262,FALSE),0)</f>
        <v>0</v>
      </c>
      <c r="F140" s="80">
        <f>IFERROR(VLOOKUP($A140,GanttChart!$A:$JD,263,FALSE),0)</f>
        <v>0</v>
      </c>
      <c r="G140" s="81">
        <f>IFERROR(VLOOKUP($A140,GanttChart!$A:$JD,264,FALSE),0)</f>
        <v>0</v>
      </c>
      <c r="H140" s="203"/>
      <c r="I140" s="81">
        <f t="shared" si="0"/>
        <v>0</v>
      </c>
    </row>
    <row r="141" spans="1:9" ht="14.25" hidden="1">
      <c r="A141" s="74">
        <v>7.5</v>
      </c>
      <c r="C141" s="79">
        <f>IFERROR(VLOOKUP($A141,GanttChart!$A:$JD,2,FALSE),"خطا")</f>
        <v>0</v>
      </c>
      <c r="D141" s="80">
        <f>IFERROR(VLOOKUP($A141,GanttChart!$A:$JD,261,FALSE),0)</f>
        <v>0</v>
      </c>
      <c r="E141" s="80">
        <f>IFERROR(VLOOKUP($A141,GanttChart!$A:$JD,262,FALSE),0)</f>
        <v>0</v>
      </c>
      <c r="F141" s="80">
        <f>IFERROR(VLOOKUP($A141,GanttChart!$A:$JD,263,FALSE),0)</f>
        <v>0</v>
      </c>
      <c r="G141" s="81">
        <f>IFERROR(VLOOKUP($A141,GanttChart!$A:$JD,264,FALSE),0)</f>
        <v>0</v>
      </c>
      <c r="H141" s="203"/>
      <c r="I141" s="81">
        <f t="shared" si="0"/>
        <v>0</v>
      </c>
    </row>
    <row r="142" spans="1:9" ht="14.25" hidden="1">
      <c r="A142" s="74">
        <v>7.6</v>
      </c>
      <c r="C142" s="79">
        <f>IFERROR(VLOOKUP($A142,GanttChart!$A:$JD,2,FALSE),"خطا")</f>
        <v>0</v>
      </c>
      <c r="D142" s="80">
        <f>IFERROR(VLOOKUP($A142,GanttChart!$A:$JD,261,FALSE),0)</f>
        <v>0</v>
      </c>
      <c r="E142" s="80">
        <f>IFERROR(VLOOKUP($A142,GanttChart!$A:$JD,262,FALSE),0)</f>
        <v>0</v>
      </c>
      <c r="F142" s="80">
        <f>IFERROR(VLOOKUP($A142,GanttChart!$A:$JD,263,FALSE),0)</f>
        <v>0</v>
      </c>
      <c r="G142" s="81">
        <f>IFERROR(VLOOKUP($A142,GanttChart!$A:$JD,264,FALSE),0)</f>
        <v>0</v>
      </c>
      <c r="H142" s="203"/>
      <c r="I142" s="81">
        <f t="shared" si="0"/>
        <v>0</v>
      </c>
    </row>
    <row r="143" spans="1:9" ht="14.25" hidden="1">
      <c r="A143" s="74">
        <v>7.7</v>
      </c>
      <c r="C143" s="79">
        <f>IFERROR(VLOOKUP($A143,GanttChart!$A:$JD,2,FALSE),"خطا")</f>
        <v>0</v>
      </c>
      <c r="D143" s="80">
        <f>IFERROR(VLOOKUP($A143,GanttChart!$A:$JD,261,FALSE),0)</f>
        <v>0</v>
      </c>
      <c r="E143" s="80">
        <f>IFERROR(VLOOKUP($A143,GanttChart!$A:$JD,262,FALSE),0)</f>
        <v>0</v>
      </c>
      <c r="F143" s="80">
        <f>IFERROR(VLOOKUP($A143,GanttChart!$A:$JD,263,FALSE),0)</f>
        <v>0</v>
      </c>
      <c r="G143" s="81">
        <f>IFERROR(VLOOKUP($A143,GanttChart!$A:$JD,264,FALSE),0)</f>
        <v>0</v>
      </c>
      <c r="H143" s="203"/>
      <c r="I143" s="81">
        <f t="shared" si="0"/>
        <v>0</v>
      </c>
    </row>
    <row r="144" spans="1:9" ht="14.25" hidden="1">
      <c r="A144" s="74">
        <v>7.8</v>
      </c>
      <c r="C144" s="79">
        <f>IFERROR(VLOOKUP($A144,GanttChart!$A:$JD,2,FALSE),"خطا")</f>
        <v>0</v>
      </c>
      <c r="D144" s="80">
        <f>IFERROR(VLOOKUP($A144,GanttChart!$A:$JD,261,FALSE),0)</f>
        <v>0</v>
      </c>
      <c r="E144" s="80">
        <f>IFERROR(VLOOKUP($A144,GanttChart!$A:$JD,262,FALSE),0)</f>
        <v>0</v>
      </c>
      <c r="F144" s="80">
        <f>IFERROR(VLOOKUP($A144,GanttChart!$A:$JD,263,FALSE),0)</f>
        <v>0</v>
      </c>
      <c r="G144" s="81">
        <f>IFERROR(VLOOKUP($A144,GanttChart!$A:$JD,264,FALSE),0)</f>
        <v>0</v>
      </c>
      <c r="H144" s="203"/>
      <c r="I144" s="81">
        <f t="shared" si="0"/>
        <v>0</v>
      </c>
    </row>
    <row r="145" spans="1:9" ht="14.25" hidden="1">
      <c r="A145" s="74">
        <v>7.9</v>
      </c>
      <c r="C145" s="79">
        <f>IFERROR(VLOOKUP($A145,GanttChart!$A:$JD,2,FALSE),"خطا")</f>
        <v>0</v>
      </c>
      <c r="D145" s="80">
        <f>IFERROR(VLOOKUP($A145,GanttChart!$A:$JD,261,FALSE),0)</f>
        <v>0</v>
      </c>
      <c r="E145" s="80">
        <f>IFERROR(VLOOKUP($A145,GanttChart!$A:$JD,262,FALSE),0)</f>
        <v>0</v>
      </c>
      <c r="F145" s="80">
        <f>IFERROR(VLOOKUP($A145,GanttChart!$A:$JD,263,FALSE),0)</f>
        <v>0</v>
      </c>
      <c r="G145" s="81">
        <f>IFERROR(VLOOKUP($A145,GanttChart!$A:$JD,264,FALSE),0)</f>
        <v>0</v>
      </c>
      <c r="H145" s="203"/>
      <c r="I145" s="81">
        <f t="shared" si="0"/>
        <v>0</v>
      </c>
    </row>
    <row r="146" spans="1:9" ht="14.25" hidden="1">
      <c r="A146" s="74">
        <v>7.11</v>
      </c>
      <c r="C146" s="79">
        <f>IFERROR(VLOOKUP($A146,GanttChart!$A:$JD,2,FALSE),"خطا")</f>
        <v>0</v>
      </c>
      <c r="D146" s="80">
        <f>IFERROR(VLOOKUP($A146,GanttChart!$A:$JD,261,FALSE),0)</f>
        <v>0</v>
      </c>
      <c r="E146" s="80">
        <f>IFERROR(VLOOKUP($A146,GanttChart!$A:$JD,262,FALSE),0)</f>
        <v>0</v>
      </c>
      <c r="F146" s="80">
        <f>IFERROR(VLOOKUP($A146,GanttChart!$A:$JD,263,FALSE),0)</f>
        <v>0</v>
      </c>
      <c r="G146" s="81">
        <f>IFERROR(VLOOKUP($A146,GanttChart!$A:$JD,264,FALSE),0)</f>
        <v>0</v>
      </c>
      <c r="H146" s="203"/>
      <c r="I146" s="81">
        <f t="shared" si="0"/>
        <v>0</v>
      </c>
    </row>
    <row r="147" spans="1:9" ht="14.25" hidden="1">
      <c r="A147" s="74">
        <v>7.12</v>
      </c>
      <c r="C147" s="79">
        <f>IFERROR(VLOOKUP($A147,GanttChart!$A:$JD,2,FALSE),"خطا")</f>
        <v>0</v>
      </c>
      <c r="D147" s="80">
        <f>IFERROR(VLOOKUP($A147,GanttChart!$A:$JD,261,FALSE),0)</f>
        <v>0</v>
      </c>
      <c r="E147" s="80">
        <f>IFERROR(VLOOKUP($A147,GanttChart!$A:$JD,262,FALSE),0)</f>
        <v>0</v>
      </c>
      <c r="F147" s="80">
        <f>IFERROR(VLOOKUP($A147,GanttChart!$A:$JD,263,FALSE),0)</f>
        <v>0</v>
      </c>
      <c r="G147" s="81">
        <f>IFERROR(VLOOKUP($A147,GanttChart!$A:$JD,264,FALSE),0)</f>
        <v>0</v>
      </c>
      <c r="H147" s="203"/>
      <c r="I147" s="81">
        <f t="shared" si="0"/>
        <v>0</v>
      </c>
    </row>
    <row r="148" spans="1:9" ht="14.25" hidden="1">
      <c r="A148" s="74">
        <v>7.13</v>
      </c>
      <c r="C148" s="79">
        <f>IFERROR(VLOOKUP($A148,GanttChart!$A:$JD,2,FALSE),"خطا")</f>
        <v>0</v>
      </c>
      <c r="D148" s="80">
        <f>IFERROR(VLOOKUP($A148,GanttChart!$A:$JD,261,FALSE),0)</f>
        <v>0</v>
      </c>
      <c r="E148" s="80">
        <f>IFERROR(VLOOKUP($A148,GanttChart!$A:$JD,262,FALSE),0)</f>
        <v>0</v>
      </c>
      <c r="F148" s="80">
        <f>IFERROR(VLOOKUP($A148,GanttChart!$A:$JD,263,FALSE),0)</f>
        <v>0</v>
      </c>
      <c r="G148" s="81">
        <f>IFERROR(VLOOKUP($A148,GanttChart!$A:$JD,264,FALSE),0)</f>
        <v>0</v>
      </c>
      <c r="H148" s="203"/>
      <c r="I148" s="81">
        <f t="shared" si="0"/>
        <v>0</v>
      </c>
    </row>
    <row r="149" spans="1:9" ht="14.25" hidden="1">
      <c r="A149" s="74">
        <v>7.14</v>
      </c>
      <c r="C149" s="79">
        <f>IFERROR(VLOOKUP($A149,GanttChart!$A:$JD,2,FALSE),"خطا")</f>
        <v>0</v>
      </c>
      <c r="D149" s="80">
        <f>IFERROR(VLOOKUP($A149,GanttChart!$A:$JD,261,FALSE),0)</f>
        <v>0</v>
      </c>
      <c r="E149" s="80">
        <f>IFERROR(VLOOKUP($A149,GanttChart!$A:$JD,262,FALSE),0)</f>
        <v>0</v>
      </c>
      <c r="F149" s="80">
        <f>IFERROR(VLOOKUP($A149,GanttChart!$A:$JD,263,FALSE),0)</f>
        <v>0</v>
      </c>
      <c r="G149" s="81">
        <f>IFERROR(VLOOKUP($A149,GanttChart!$A:$JD,264,FALSE),0)</f>
        <v>0</v>
      </c>
      <c r="H149" s="203"/>
      <c r="I149" s="81">
        <f t="shared" si="0"/>
        <v>0</v>
      </c>
    </row>
    <row r="150" spans="1:9" ht="14.25" hidden="1">
      <c r="A150" s="74">
        <v>7.15</v>
      </c>
      <c r="C150" s="79">
        <f>IFERROR(VLOOKUP($A150,GanttChart!$A:$JD,2,FALSE),"خطا")</f>
        <v>0</v>
      </c>
      <c r="D150" s="80">
        <f>IFERROR(VLOOKUP($A150,GanttChart!$A:$JD,261,FALSE),0)</f>
        <v>0</v>
      </c>
      <c r="E150" s="80">
        <f>IFERROR(VLOOKUP($A150,GanttChart!$A:$JD,262,FALSE),0)</f>
        <v>0</v>
      </c>
      <c r="F150" s="80">
        <f>IFERROR(VLOOKUP($A150,GanttChart!$A:$JD,263,FALSE),0)</f>
        <v>0</v>
      </c>
      <c r="G150" s="81">
        <f>IFERROR(VLOOKUP($A150,GanttChart!$A:$JD,264,FALSE),0)</f>
        <v>0</v>
      </c>
      <c r="H150" s="203"/>
      <c r="I150" s="81">
        <f t="shared" si="0"/>
        <v>0</v>
      </c>
    </row>
    <row r="151" spans="1:9" ht="14.25" hidden="1">
      <c r="A151" s="74">
        <v>7.16</v>
      </c>
      <c r="C151" s="79">
        <f>IFERROR(VLOOKUP($A151,GanttChart!$A:$JD,2,FALSE),"خطا")</f>
        <v>0</v>
      </c>
      <c r="D151" s="80">
        <f>IFERROR(VLOOKUP($A151,GanttChart!$A:$JD,261,FALSE),0)</f>
        <v>0</v>
      </c>
      <c r="E151" s="80">
        <f>IFERROR(VLOOKUP($A151,GanttChart!$A:$JD,262,FALSE),0)</f>
        <v>0</v>
      </c>
      <c r="F151" s="80">
        <f>IFERROR(VLOOKUP($A151,GanttChart!$A:$JD,263,FALSE),0)</f>
        <v>0</v>
      </c>
      <c r="G151" s="81">
        <f>IFERROR(VLOOKUP($A151,GanttChart!$A:$JD,264,FALSE),0)</f>
        <v>0</v>
      </c>
      <c r="H151" s="203"/>
      <c r="I151" s="81">
        <f t="shared" si="0"/>
        <v>0</v>
      </c>
    </row>
    <row r="152" spans="1:9" ht="14.25" hidden="1">
      <c r="A152" s="74">
        <v>7.17</v>
      </c>
      <c r="C152" s="79">
        <f>IFERROR(VLOOKUP($A152,GanttChart!$A:$JD,2,FALSE),"خطا")</f>
        <v>0</v>
      </c>
      <c r="D152" s="80">
        <f>IFERROR(VLOOKUP($A152,GanttChart!$A:$JD,261,FALSE),0)</f>
        <v>0</v>
      </c>
      <c r="E152" s="80">
        <f>IFERROR(VLOOKUP($A152,GanttChart!$A:$JD,262,FALSE),0)</f>
        <v>0</v>
      </c>
      <c r="F152" s="80">
        <f>IFERROR(VLOOKUP($A152,GanttChart!$A:$JD,263,FALSE),0)</f>
        <v>0</v>
      </c>
      <c r="G152" s="81">
        <f>IFERROR(VLOOKUP($A152,GanttChart!$A:$JD,264,FALSE),0)</f>
        <v>0</v>
      </c>
      <c r="H152" s="203"/>
      <c r="I152" s="81">
        <f t="shared" si="0"/>
        <v>0</v>
      </c>
    </row>
    <row r="153" spans="1:9" ht="14.25" hidden="1">
      <c r="A153" s="74">
        <v>7.18</v>
      </c>
      <c r="C153" s="79">
        <f>IFERROR(VLOOKUP($A153,GanttChart!$A:$JD,2,FALSE),"خطا")</f>
        <v>0</v>
      </c>
      <c r="D153" s="80">
        <f>IFERROR(VLOOKUP($A153,GanttChart!$A:$JD,261,FALSE),0)</f>
        <v>0</v>
      </c>
      <c r="E153" s="80">
        <f>IFERROR(VLOOKUP($A153,GanttChart!$A:$JD,262,FALSE),0)</f>
        <v>0</v>
      </c>
      <c r="F153" s="80">
        <f>IFERROR(VLOOKUP($A153,GanttChart!$A:$JD,263,FALSE),0)</f>
        <v>0</v>
      </c>
      <c r="G153" s="81">
        <f>IFERROR(VLOOKUP($A153,GanttChart!$A:$JD,264,FALSE),0)</f>
        <v>0</v>
      </c>
      <c r="H153" s="203"/>
      <c r="I153" s="81">
        <f t="shared" si="0"/>
        <v>0</v>
      </c>
    </row>
    <row r="154" spans="1:9" ht="14.25" hidden="1">
      <c r="A154" s="74">
        <v>7.19</v>
      </c>
      <c r="C154" s="79">
        <f>IFERROR(VLOOKUP($A154,GanttChart!$A:$JD,2,FALSE),"خطا")</f>
        <v>0</v>
      </c>
      <c r="D154" s="80">
        <f>IFERROR(VLOOKUP($A154,GanttChart!$A:$JD,261,FALSE),0)</f>
        <v>0</v>
      </c>
      <c r="E154" s="80">
        <f>IFERROR(VLOOKUP($A154,GanttChart!$A:$JD,262,FALSE),0)</f>
        <v>0</v>
      </c>
      <c r="F154" s="80">
        <f>IFERROR(VLOOKUP($A154,GanttChart!$A:$JD,263,FALSE),0)</f>
        <v>0</v>
      </c>
      <c r="G154" s="81">
        <f>IFERROR(VLOOKUP($A154,GanttChart!$A:$JD,264,FALSE),0)</f>
        <v>0</v>
      </c>
      <c r="H154" s="203"/>
      <c r="I154" s="81">
        <f t="shared" si="0"/>
        <v>0</v>
      </c>
    </row>
    <row r="155" spans="1:9" ht="14.25" hidden="1">
      <c r="A155" s="74">
        <v>7.21</v>
      </c>
      <c r="C155" s="79">
        <f>IFERROR(VLOOKUP($A155,GanttChart!$A:$JD,2,FALSE),"خطا")</f>
        <v>0</v>
      </c>
      <c r="D155" s="80">
        <f>IFERROR(VLOOKUP($A155,GanttChart!$A:$JD,261,FALSE),0)</f>
        <v>0</v>
      </c>
      <c r="E155" s="80">
        <f>IFERROR(VLOOKUP($A155,GanttChart!$A:$JD,262,FALSE),0)</f>
        <v>0</v>
      </c>
      <c r="F155" s="80">
        <f>IFERROR(VLOOKUP($A155,GanttChart!$A:$JD,263,FALSE),0)</f>
        <v>0</v>
      </c>
      <c r="G155" s="81">
        <f>IFERROR(VLOOKUP($A155,GanttChart!$A:$JD,264,FALSE),0)</f>
        <v>0</v>
      </c>
      <c r="H155" s="203"/>
      <c r="I155" s="81">
        <f t="shared" si="0"/>
        <v>0</v>
      </c>
    </row>
    <row r="156" spans="1:9" ht="14.25" hidden="1">
      <c r="A156" s="74">
        <v>7.22</v>
      </c>
      <c r="C156" s="79">
        <f>IFERROR(VLOOKUP($A156,GanttChart!$A:$JD,2,FALSE),"خطا")</f>
        <v>0</v>
      </c>
      <c r="D156" s="80">
        <f>IFERROR(VLOOKUP($A156,GanttChart!$A:$JD,261,FALSE),0)</f>
        <v>0</v>
      </c>
      <c r="E156" s="80">
        <f>IFERROR(VLOOKUP($A156,GanttChart!$A:$JD,262,FALSE),0)</f>
        <v>0</v>
      </c>
      <c r="F156" s="80">
        <f>IFERROR(VLOOKUP($A156,GanttChart!$A:$JD,263,FALSE),0)</f>
        <v>0</v>
      </c>
      <c r="G156" s="81">
        <f>IFERROR(VLOOKUP($A156,GanttChart!$A:$JD,264,FALSE),0)</f>
        <v>0</v>
      </c>
      <c r="H156" s="203"/>
      <c r="I156" s="81">
        <f t="shared" si="0"/>
        <v>0</v>
      </c>
    </row>
    <row r="157" spans="1:9" ht="14.25" hidden="1">
      <c r="A157" s="74">
        <v>7.23</v>
      </c>
      <c r="C157" s="79">
        <f>IFERROR(VLOOKUP($A157,GanttChart!$A:$JD,2,FALSE),"خطا")</f>
        <v>0</v>
      </c>
      <c r="D157" s="80">
        <f>IFERROR(VLOOKUP($A157,GanttChart!$A:$JD,261,FALSE),0)</f>
        <v>0</v>
      </c>
      <c r="E157" s="80">
        <f>IFERROR(VLOOKUP($A157,GanttChart!$A:$JD,262,FALSE),0)</f>
        <v>0</v>
      </c>
      <c r="F157" s="80">
        <f>IFERROR(VLOOKUP($A157,GanttChart!$A:$JD,263,FALSE),0)</f>
        <v>0</v>
      </c>
      <c r="G157" s="81">
        <f>IFERROR(VLOOKUP($A157,GanttChart!$A:$JD,264,FALSE),0)</f>
        <v>0</v>
      </c>
      <c r="H157" s="203"/>
      <c r="I157" s="81">
        <f t="shared" si="0"/>
        <v>0</v>
      </c>
    </row>
    <row r="158" spans="1:9" ht="14.25" hidden="1">
      <c r="A158" s="74">
        <v>8</v>
      </c>
      <c r="C158" s="79">
        <f>IFERROR(VLOOKUP($A158,GanttChart!$A:$JD,2,FALSE),"خطا")</f>
        <v>0</v>
      </c>
      <c r="D158" s="80">
        <f>IFERROR(VLOOKUP($A158,GanttChart!$A:$JD,261,FALSE),0)</f>
        <v>0</v>
      </c>
      <c r="E158" s="80">
        <f>IFERROR(VLOOKUP($A158,GanttChart!$A:$JD,262,FALSE),0)</f>
        <v>0</v>
      </c>
      <c r="F158" s="80">
        <f>IFERROR(VLOOKUP($A158,GanttChart!$A:$JD,263,FALSE),0)</f>
        <v>0</v>
      </c>
      <c r="G158" s="81">
        <f>IFERROR(VLOOKUP($A158,GanttChart!$A:$JD,264,FALSE),0)</f>
        <v>0</v>
      </c>
      <c r="H158" s="203"/>
      <c r="I158" s="81">
        <f t="shared" si="0"/>
        <v>0</v>
      </c>
    </row>
    <row r="159" spans="1:9" ht="14.25">
      <c r="A159" s="74">
        <v>8.1</v>
      </c>
      <c r="C159" s="79">
        <f>IFERROR(VLOOKUP($A159,GanttChart!$A:$JD,2,FALSE),"خطا")</f>
        <v>0</v>
      </c>
      <c r="D159" s="80">
        <f>IFERROR(VLOOKUP($A159,GanttChart!$A:$JD,261,FALSE),0)</f>
        <v>0</v>
      </c>
      <c r="E159" s="80">
        <f>IFERROR(VLOOKUP($A159,GanttChart!$A:$JD,262,FALSE),0)</f>
        <v>0</v>
      </c>
      <c r="F159" s="80">
        <f>IFERROR(VLOOKUP($A159,GanttChart!$A:$JD,263,FALSE),0)</f>
        <v>0</v>
      </c>
      <c r="G159" s="81">
        <f>IFERROR(VLOOKUP($A159,GanttChart!$A:$JD,264,FALSE),0)</f>
        <v>0</v>
      </c>
      <c r="H159" s="203"/>
      <c r="I159" s="81">
        <f t="shared" si="0"/>
        <v>0</v>
      </c>
    </row>
    <row r="160" spans="1:9" ht="14.25" hidden="1">
      <c r="A160" s="74">
        <v>8.1999999999999993</v>
      </c>
      <c r="C160" s="79">
        <f>IFERROR(VLOOKUP($A160,GanttChart!$A:$JD,2,FALSE),"خطا")</f>
        <v>0</v>
      </c>
      <c r="D160" s="80">
        <f>IFERROR(VLOOKUP($A160,GanttChart!$A:$JD,261,FALSE),0)</f>
        <v>0</v>
      </c>
      <c r="E160" s="80">
        <f>IFERROR(VLOOKUP($A160,GanttChart!$A:$JD,262,FALSE),0)</f>
        <v>0</v>
      </c>
      <c r="F160" s="80">
        <f>IFERROR(VLOOKUP($A160,GanttChart!$A:$JD,263,FALSE),0)</f>
        <v>0</v>
      </c>
      <c r="G160" s="81">
        <f>IFERROR(VLOOKUP($A160,GanttChart!$A:$JD,264,FALSE),0)</f>
        <v>0</v>
      </c>
      <c r="H160" s="203"/>
      <c r="I160" s="81">
        <f t="shared" si="0"/>
        <v>0</v>
      </c>
    </row>
    <row r="161" spans="1:9" ht="14.25" hidden="1">
      <c r="A161" s="85">
        <v>8.3000000000000007</v>
      </c>
      <c r="C161" s="79">
        <f>IFERROR(VLOOKUP($A161,GanttChart!$A:$JD,2,FALSE),"خطا")</f>
        <v>0</v>
      </c>
      <c r="D161" s="80">
        <f>IFERROR(VLOOKUP($A161,GanttChart!$A:$JD,261,FALSE),0)</f>
        <v>0</v>
      </c>
      <c r="E161" s="80">
        <f>IFERROR(VLOOKUP($A161,GanttChart!$A:$JD,262,FALSE),0)</f>
        <v>0</v>
      </c>
      <c r="F161" s="80">
        <f>IFERROR(VLOOKUP($A161,GanttChart!$A:$JD,263,FALSE),0)</f>
        <v>0</v>
      </c>
      <c r="G161" s="81">
        <f>IFERROR(VLOOKUP($A161,GanttChart!$A:$JD,264,FALSE),0)</f>
        <v>0</v>
      </c>
      <c r="H161" s="203"/>
      <c r="I161" s="81">
        <f t="shared" ref="I161:I179" si="1">G161-(H161*G161)</f>
        <v>0</v>
      </c>
    </row>
    <row r="162" spans="1:9" ht="14.25">
      <c r="A162" s="85">
        <v>8.4</v>
      </c>
      <c r="C162" s="79">
        <f>IFERROR(VLOOKUP($A162,GanttChart!$A:$JD,2,FALSE),"خطا")</f>
        <v>0</v>
      </c>
      <c r="D162" s="80">
        <f>IFERROR(VLOOKUP($A162,GanttChart!$A:$JD,261,FALSE),0)</f>
        <v>0</v>
      </c>
      <c r="E162" s="80">
        <f>IFERROR(VLOOKUP($A162,GanttChart!$A:$JD,262,FALSE),0)</f>
        <v>0</v>
      </c>
      <c r="F162" s="80">
        <f>IFERROR(VLOOKUP($A162,GanttChart!$A:$JD,263,FALSE),0)</f>
        <v>0</v>
      </c>
      <c r="G162" s="81">
        <f>IFERROR(VLOOKUP($A162,GanttChart!$A:$JD,264,FALSE),0)</f>
        <v>0</v>
      </c>
      <c r="H162" s="203"/>
      <c r="I162" s="81">
        <f t="shared" si="1"/>
        <v>0</v>
      </c>
    </row>
    <row r="163" spans="1:9" ht="14.25" hidden="1">
      <c r="A163" s="74">
        <v>8.5</v>
      </c>
      <c r="C163" s="79">
        <f>IFERROR(VLOOKUP($A163,GanttChart!$A:$JD,2,FALSE),"خطا")</f>
        <v>0</v>
      </c>
      <c r="D163" s="80">
        <f>IFERROR(VLOOKUP($A163,GanttChart!$A:$JD,261,FALSE),0)</f>
        <v>0</v>
      </c>
      <c r="E163" s="80">
        <f>IFERROR(VLOOKUP($A163,GanttChart!$A:$JD,262,FALSE),0)</f>
        <v>0</v>
      </c>
      <c r="F163" s="80">
        <f>IFERROR(VLOOKUP($A163,GanttChart!$A:$JD,263,FALSE),0)</f>
        <v>0</v>
      </c>
      <c r="G163" s="81">
        <f>IFERROR(VLOOKUP($A163,GanttChart!$A:$JD,264,FALSE),0)</f>
        <v>0</v>
      </c>
      <c r="H163" s="203"/>
      <c r="I163" s="81">
        <f t="shared" si="1"/>
        <v>0</v>
      </c>
    </row>
    <row r="164" spans="1:9" ht="14.25" hidden="1">
      <c r="A164" s="85">
        <v>8.6</v>
      </c>
      <c r="C164" s="79">
        <f>IFERROR(VLOOKUP($A164,GanttChart!$A:$JD,2,FALSE),"خطا")</f>
        <v>0</v>
      </c>
      <c r="D164" s="80">
        <f>IFERROR(VLOOKUP($A164,GanttChart!$A:$JD,261,FALSE),0)</f>
        <v>0</v>
      </c>
      <c r="E164" s="80">
        <f>IFERROR(VLOOKUP($A164,GanttChart!$A:$JD,262,FALSE),0)</f>
        <v>0</v>
      </c>
      <c r="F164" s="80">
        <f>IFERROR(VLOOKUP($A164,GanttChart!$A:$JD,263,FALSE),0)</f>
        <v>0</v>
      </c>
      <c r="G164" s="81">
        <f>IFERROR(VLOOKUP($A164,GanttChart!$A:$JD,264,FALSE),0)</f>
        <v>0</v>
      </c>
      <c r="H164" s="203"/>
      <c r="I164" s="81">
        <f t="shared" si="1"/>
        <v>0</v>
      </c>
    </row>
    <row r="165" spans="1:9" ht="14.25" hidden="1">
      <c r="A165" s="85">
        <v>8.7000000000000099</v>
      </c>
      <c r="C165" s="79" t="str">
        <f>IFERROR(VLOOKUP($A165,GanttChart!$A:$JD,2,FALSE),"خطا")</f>
        <v>خطا</v>
      </c>
      <c r="D165" s="80">
        <f>IFERROR(VLOOKUP($A165,GanttChart!$A:$JD,261,FALSE),0)</f>
        <v>0</v>
      </c>
      <c r="E165" s="80">
        <f>IFERROR(VLOOKUP($A165,GanttChart!$A:$JD,262,FALSE),0)</f>
        <v>0</v>
      </c>
      <c r="F165" s="80">
        <f>IFERROR(VLOOKUP($A165,GanttChart!$A:$JD,263,FALSE),0)</f>
        <v>0</v>
      </c>
      <c r="G165" s="81">
        <f>IFERROR(VLOOKUP($A165,GanttChart!$A:$JD,264,FALSE),0)</f>
        <v>0</v>
      </c>
      <c r="H165" s="203"/>
      <c r="I165" s="81">
        <f t="shared" si="1"/>
        <v>0</v>
      </c>
    </row>
    <row r="166" spans="1:9" ht="14.25" hidden="1">
      <c r="A166" s="74">
        <v>8.8000000000000096</v>
      </c>
      <c r="C166" s="79" t="str">
        <f>IFERROR(VLOOKUP($A166,GanttChart!$A:$JD,2,FALSE),"خطا")</f>
        <v>خطا</v>
      </c>
      <c r="D166" s="80">
        <f>IFERROR(VLOOKUP($A166,GanttChart!$A:$JD,261,FALSE),0)</f>
        <v>0</v>
      </c>
      <c r="E166" s="80">
        <f>IFERROR(VLOOKUP($A166,GanttChart!$A:$JD,262,FALSE),0)</f>
        <v>0</v>
      </c>
      <c r="F166" s="80">
        <f>IFERROR(VLOOKUP($A166,GanttChart!$A:$JD,263,FALSE),0)</f>
        <v>0</v>
      </c>
      <c r="G166" s="81">
        <f>IFERROR(VLOOKUP($A166,GanttChart!$A:$JD,264,FALSE),0)</f>
        <v>0</v>
      </c>
      <c r="H166" s="203"/>
      <c r="I166" s="81">
        <f t="shared" si="1"/>
        <v>0</v>
      </c>
    </row>
    <row r="167" spans="1:9" ht="14.25" hidden="1">
      <c r="A167" s="85">
        <v>8.9000000000000092</v>
      </c>
      <c r="C167" s="79" t="str">
        <f>IFERROR(VLOOKUP($A167,GanttChart!$A:$JD,2,FALSE),"خطا")</f>
        <v>خطا</v>
      </c>
      <c r="D167" s="80">
        <f>IFERROR(VLOOKUP($A167,GanttChart!$A:$JD,261,FALSE),0)</f>
        <v>0</v>
      </c>
      <c r="E167" s="80">
        <f>IFERROR(VLOOKUP($A167,GanttChart!$A:$JD,262,FALSE),0)</f>
        <v>0</v>
      </c>
      <c r="F167" s="80">
        <f>IFERROR(VLOOKUP($A167,GanttChart!$A:$JD,263,FALSE),0)</f>
        <v>0</v>
      </c>
      <c r="G167" s="81">
        <f>IFERROR(VLOOKUP($A167,GanttChart!$A:$JD,264,FALSE),0)</f>
        <v>0</v>
      </c>
      <c r="H167" s="203"/>
      <c r="I167" s="81">
        <f t="shared" si="1"/>
        <v>0</v>
      </c>
    </row>
    <row r="168" spans="1:9" ht="14.25" hidden="1">
      <c r="A168" s="85">
        <v>8.11</v>
      </c>
      <c r="C168" s="79">
        <f>IFERROR(VLOOKUP($A168,GanttChart!$A:$JD,2,FALSE),"خطا")</f>
        <v>0</v>
      </c>
      <c r="D168" s="80">
        <f>IFERROR(VLOOKUP($A168,GanttChart!$A:$JD,261,FALSE),0)</f>
        <v>0</v>
      </c>
      <c r="E168" s="80">
        <f>IFERROR(VLOOKUP($A168,GanttChart!$A:$JD,262,FALSE),0)</f>
        <v>0</v>
      </c>
      <c r="F168" s="80">
        <f>IFERROR(VLOOKUP($A168,GanttChart!$A:$JD,263,FALSE),0)</f>
        <v>0</v>
      </c>
      <c r="G168" s="81">
        <f>IFERROR(VLOOKUP($A168,GanttChart!$A:$JD,264,FALSE),0)</f>
        <v>0</v>
      </c>
      <c r="H168" s="203"/>
      <c r="I168" s="81">
        <f t="shared" si="1"/>
        <v>0</v>
      </c>
    </row>
    <row r="169" spans="1:9" ht="14.25" hidden="1">
      <c r="A169" s="85">
        <v>8.1199999999999992</v>
      </c>
      <c r="C169" s="79">
        <f>IFERROR(VLOOKUP($A169,GanttChart!$A:$JD,2,FALSE),"خطا")</f>
        <v>0</v>
      </c>
      <c r="D169" s="80">
        <f>IFERROR(VLOOKUP($A169,GanttChart!$A:$JD,261,FALSE),0)</f>
        <v>0</v>
      </c>
      <c r="E169" s="80">
        <f>IFERROR(VLOOKUP($A169,GanttChart!$A:$JD,262,FALSE),0)</f>
        <v>0</v>
      </c>
      <c r="F169" s="80">
        <f>IFERROR(VLOOKUP($A169,GanttChart!$A:$JD,263,FALSE),0)</f>
        <v>0</v>
      </c>
      <c r="G169" s="81">
        <f>IFERROR(VLOOKUP($A169,GanttChart!$A:$JD,264,FALSE),0)</f>
        <v>0</v>
      </c>
      <c r="H169" s="203"/>
      <c r="I169" s="81">
        <f t="shared" si="1"/>
        <v>0</v>
      </c>
    </row>
    <row r="170" spans="1:9" ht="14.25" hidden="1">
      <c r="A170" s="85">
        <v>8.1300000000000008</v>
      </c>
      <c r="C170" s="79">
        <f>IFERROR(VLOOKUP($A170,GanttChart!$A:$JD,2,FALSE),"خطا")</f>
        <v>0</v>
      </c>
      <c r="D170" s="80">
        <f>IFERROR(VLOOKUP($A170,GanttChart!$A:$JD,261,FALSE),0)</f>
        <v>0</v>
      </c>
      <c r="E170" s="80">
        <f>IFERROR(VLOOKUP($A170,GanttChart!$A:$JD,262,FALSE),0)</f>
        <v>0</v>
      </c>
      <c r="F170" s="80">
        <f>IFERROR(VLOOKUP($A170,GanttChart!$A:$JD,263,FALSE),0)</f>
        <v>0</v>
      </c>
      <c r="G170" s="81">
        <f>IFERROR(VLOOKUP($A170,GanttChart!$A:$JD,264,FALSE),0)</f>
        <v>0</v>
      </c>
      <c r="H170" s="203"/>
      <c r="I170" s="81">
        <f t="shared" si="1"/>
        <v>0</v>
      </c>
    </row>
    <row r="171" spans="1:9" ht="14.25" hidden="1">
      <c r="A171" s="85">
        <v>8.14</v>
      </c>
      <c r="C171" s="79">
        <f>IFERROR(VLOOKUP($A171,GanttChart!$A:$JD,2,FALSE),"خطا")</f>
        <v>0</v>
      </c>
      <c r="D171" s="80">
        <f>IFERROR(VLOOKUP($A171,GanttChart!$A:$JD,261,FALSE),0)</f>
        <v>0</v>
      </c>
      <c r="E171" s="80">
        <f>IFERROR(VLOOKUP($A171,GanttChart!$A:$JD,262,FALSE),0)</f>
        <v>0</v>
      </c>
      <c r="F171" s="80">
        <f>IFERROR(VLOOKUP($A171,GanttChart!$A:$JD,263,FALSE),0)</f>
        <v>0</v>
      </c>
      <c r="G171" s="81">
        <f>IFERROR(VLOOKUP($A171,GanttChart!$A:$JD,264,FALSE),0)</f>
        <v>0</v>
      </c>
      <c r="H171" s="203"/>
      <c r="I171" s="81">
        <f t="shared" si="1"/>
        <v>0</v>
      </c>
    </row>
    <row r="172" spans="1:9" ht="14.25" hidden="1">
      <c r="A172" s="85">
        <v>8.15</v>
      </c>
      <c r="C172" s="79">
        <f>IFERROR(VLOOKUP($A172,GanttChart!$A:$JD,2,FALSE),"خطا")</f>
        <v>0</v>
      </c>
      <c r="D172" s="80">
        <f>IFERROR(VLOOKUP($A172,GanttChart!$A:$JD,261,FALSE),0)</f>
        <v>0</v>
      </c>
      <c r="E172" s="80">
        <f>IFERROR(VLOOKUP($A172,GanttChart!$A:$JD,262,FALSE),0)</f>
        <v>0</v>
      </c>
      <c r="F172" s="80">
        <f>IFERROR(VLOOKUP($A172,GanttChart!$A:$JD,263,FALSE),0)</f>
        <v>0</v>
      </c>
      <c r="G172" s="81">
        <f>IFERROR(VLOOKUP($A172,GanttChart!$A:$JD,264,FALSE),0)</f>
        <v>0</v>
      </c>
      <c r="H172" s="203"/>
      <c r="I172" s="81">
        <f t="shared" si="1"/>
        <v>0</v>
      </c>
    </row>
    <row r="173" spans="1:9" ht="14.25" hidden="1">
      <c r="A173" s="85">
        <v>8.16</v>
      </c>
      <c r="C173" s="79">
        <f>IFERROR(VLOOKUP($A173,GanttChart!$A:$JD,2,FALSE),"خطا")</f>
        <v>0</v>
      </c>
      <c r="D173" s="80">
        <f>IFERROR(VLOOKUP($A173,GanttChart!$A:$JD,261,FALSE),0)</f>
        <v>0</v>
      </c>
      <c r="E173" s="80">
        <f>IFERROR(VLOOKUP($A173,GanttChart!$A:$JD,262,FALSE),0)</f>
        <v>0</v>
      </c>
      <c r="F173" s="80">
        <f>IFERROR(VLOOKUP($A173,GanttChart!$A:$JD,263,FALSE),0)</f>
        <v>0</v>
      </c>
      <c r="G173" s="81">
        <f>IFERROR(VLOOKUP($A173,GanttChart!$A:$JD,264,FALSE),0)</f>
        <v>0</v>
      </c>
      <c r="H173" s="203"/>
      <c r="I173" s="81">
        <f t="shared" si="1"/>
        <v>0</v>
      </c>
    </row>
    <row r="174" spans="1:9" ht="14.25" hidden="1">
      <c r="A174" s="85">
        <v>8.17</v>
      </c>
      <c r="C174" s="79">
        <f>IFERROR(VLOOKUP($A174,GanttChart!$A:$JD,2,FALSE),"خطا")</f>
        <v>0</v>
      </c>
      <c r="D174" s="80">
        <f>IFERROR(VLOOKUP($A174,GanttChart!$A:$JD,261,FALSE),0)</f>
        <v>0</v>
      </c>
      <c r="E174" s="80">
        <f>IFERROR(VLOOKUP($A174,GanttChart!$A:$JD,262,FALSE),0)</f>
        <v>0</v>
      </c>
      <c r="F174" s="80">
        <f>IFERROR(VLOOKUP($A174,GanttChart!$A:$JD,263,FALSE),0)</f>
        <v>0</v>
      </c>
      <c r="G174" s="81">
        <f>IFERROR(VLOOKUP($A174,GanttChart!$A:$JD,264,FALSE),0)</f>
        <v>0</v>
      </c>
      <c r="H174" s="203"/>
      <c r="I174" s="81">
        <f t="shared" si="1"/>
        <v>0</v>
      </c>
    </row>
    <row r="175" spans="1:9" ht="14.25" hidden="1">
      <c r="A175" s="85">
        <v>8.18</v>
      </c>
      <c r="C175" s="79">
        <f>IFERROR(VLOOKUP($A175,GanttChart!$A:$JD,2,FALSE),"خطا")</f>
        <v>0</v>
      </c>
      <c r="D175" s="80">
        <f>IFERROR(VLOOKUP($A175,GanttChart!$A:$JD,261,FALSE),0)</f>
        <v>0</v>
      </c>
      <c r="E175" s="80">
        <f>IFERROR(VLOOKUP($A175,GanttChart!$A:$JD,262,FALSE),0)</f>
        <v>0</v>
      </c>
      <c r="F175" s="80">
        <f>IFERROR(VLOOKUP($A175,GanttChart!$A:$JD,263,FALSE),0)</f>
        <v>0</v>
      </c>
      <c r="G175" s="81">
        <f>IFERROR(VLOOKUP($A175,GanttChart!$A:$JD,264,FALSE),0)</f>
        <v>0</v>
      </c>
      <c r="H175" s="203"/>
      <c r="I175" s="81">
        <f t="shared" si="1"/>
        <v>0</v>
      </c>
    </row>
    <row r="176" spans="1:9" ht="14.25" hidden="1">
      <c r="A176" s="85">
        <v>8.19</v>
      </c>
      <c r="C176" s="79">
        <f>IFERROR(VLOOKUP($A176,GanttChart!$A:$JD,2,FALSE),"خطا")</f>
        <v>0</v>
      </c>
      <c r="D176" s="80">
        <f>IFERROR(VLOOKUP($A176,GanttChart!$A:$JD,261,FALSE),0)</f>
        <v>0</v>
      </c>
      <c r="E176" s="80">
        <f>IFERROR(VLOOKUP($A176,GanttChart!$A:$JD,262,FALSE),0)</f>
        <v>0</v>
      </c>
      <c r="F176" s="80">
        <f>IFERROR(VLOOKUP($A176,GanttChart!$A:$JD,263,FALSE),0)</f>
        <v>0</v>
      </c>
      <c r="G176" s="81">
        <f>IFERROR(VLOOKUP($A176,GanttChart!$A:$JD,264,FALSE),0)</f>
        <v>0</v>
      </c>
      <c r="H176" s="203"/>
      <c r="I176" s="81">
        <f t="shared" si="1"/>
        <v>0</v>
      </c>
    </row>
    <row r="177" spans="1:9" ht="14.25" hidden="1">
      <c r="A177" s="85">
        <v>8.2100000000000009</v>
      </c>
      <c r="C177" s="79">
        <f>IFERROR(VLOOKUP($A177,GanttChart!$A:$JD,2,FALSE),"خطا")</f>
        <v>0</v>
      </c>
      <c r="D177" s="80">
        <f>IFERROR(VLOOKUP($A177,GanttChart!$A:$JD,261,FALSE),0)</f>
        <v>0</v>
      </c>
      <c r="E177" s="80">
        <f>IFERROR(VLOOKUP($A177,GanttChart!$A:$JD,262,FALSE),0)</f>
        <v>0</v>
      </c>
      <c r="F177" s="80">
        <f>IFERROR(VLOOKUP($A177,GanttChart!$A:$JD,263,FALSE),0)</f>
        <v>0</v>
      </c>
      <c r="G177" s="81">
        <f>IFERROR(VLOOKUP($A177,GanttChart!$A:$JD,264,FALSE),0)</f>
        <v>0</v>
      </c>
      <c r="H177" s="203"/>
      <c r="I177" s="81">
        <f t="shared" si="1"/>
        <v>0</v>
      </c>
    </row>
    <row r="178" spans="1:9" ht="14.25" hidden="1">
      <c r="A178" s="85">
        <v>8.2200000000000006</v>
      </c>
      <c r="C178" s="79">
        <f>IFERROR(VLOOKUP($A178,GanttChart!$A:$JD,2,FALSE),"خطا")</f>
        <v>0</v>
      </c>
      <c r="D178" s="80">
        <f>IFERROR(VLOOKUP($A178,GanttChart!$A:$JD,261,FALSE),0)</f>
        <v>0</v>
      </c>
      <c r="E178" s="80">
        <f>IFERROR(VLOOKUP($A178,GanttChart!$A:$JD,262,FALSE),0)</f>
        <v>0</v>
      </c>
      <c r="F178" s="80">
        <f>IFERROR(VLOOKUP($A178,GanttChart!$A:$JD,263,FALSE),0)</f>
        <v>0</v>
      </c>
      <c r="G178" s="81">
        <f>IFERROR(VLOOKUP($A178,GanttChart!$A:$JD,264,FALSE),0)</f>
        <v>0</v>
      </c>
      <c r="H178" s="203"/>
      <c r="I178" s="81">
        <f t="shared" si="1"/>
        <v>0</v>
      </c>
    </row>
    <row r="179" spans="1:9" ht="14.25" hidden="1">
      <c r="A179" s="85">
        <v>8.23</v>
      </c>
      <c r="C179" s="79">
        <f>IFERROR(VLOOKUP($A179,GanttChart!$A:$JD,2,FALSE),"خطا")</f>
        <v>0</v>
      </c>
      <c r="D179" s="80">
        <f>IFERROR(VLOOKUP($A179,GanttChart!$A:$JD,261,FALSE),0)</f>
        <v>0</v>
      </c>
      <c r="E179" s="80">
        <f>IFERROR(VLOOKUP($A179,GanttChart!$A:$JD,262,FALSE),0)</f>
        <v>0</v>
      </c>
      <c r="F179" s="80">
        <f>IFERROR(VLOOKUP($A179,GanttChart!$A:$JD,263,FALSE),0)</f>
        <v>0</v>
      </c>
      <c r="G179" s="81">
        <f>IFERROR(VLOOKUP($A179,GanttChart!$A:$JD,264,FALSE),0)</f>
        <v>0</v>
      </c>
      <c r="H179" s="203"/>
      <c r="I179" s="87">
        <f t="shared" si="1"/>
        <v>0</v>
      </c>
    </row>
    <row r="180" spans="1:9" ht="15">
      <c r="A180" s="94">
        <v>10</v>
      </c>
      <c r="C180" s="91" t="s">
        <v>51</v>
      </c>
      <c r="D180" s="92">
        <f>SUM(D4:D179)</f>
        <v>0</v>
      </c>
      <c r="E180" s="92">
        <f t="shared" ref="E180:I180" si="2">SUM(E4:E179)</f>
        <v>0</v>
      </c>
      <c r="F180" s="92">
        <f t="shared" si="2"/>
        <v>0</v>
      </c>
      <c r="G180" s="88">
        <f t="shared" si="2"/>
        <v>0</v>
      </c>
      <c r="H180" s="93"/>
      <c r="I180" s="88">
        <f t="shared" si="2"/>
        <v>0</v>
      </c>
    </row>
  </sheetData>
  <sheetProtection algorithmName="SHA-512" hashValue="UfI5pE8Tb814Dmk7lTvcdUC3Lpdjp8VsOI4shtFRRbx4iXEqFf+OCqem3tuXIlbN2O7MK2myf78pxzUeTgUcBw==" saltValue="WtI7XEzCkNNrWq2t5bNQgQ==" spinCount="100000" sheet="1" objects="1" scenarios="1" selectLockedCells="1"/>
  <autoFilter ref="A2:I180">
    <filterColumn colId="3" showButton="0"/>
    <filterColumn colId="4" showButton="0"/>
    <filterColumn colId="6">
      <filters blank="1">
        <filter val="ريال1,832,000"/>
        <filter val="ريال10,712,000"/>
        <filter val="ريال10,864,000"/>
        <filter val="ريال11,100,000"/>
        <filter val="ريال12,544,000"/>
        <filter val="ريال12,724,000"/>
        <filter val="ريال14,944,000"/>
        <filter val="ريال188,224,000"/>
        <filter val="ريال2,220,000"/>
        <filter val="ريال2,775,000"/>
        <filter val="ريال2,942,000"/>
        <filter val="ريال3,664,000"/>
        <filter val="ريال4,052,000"/>
        <filter val="ريال4,800,000"/>
        <filter val="ريال5,550,000"/>
        <filter val="ريال5,884,000"/>
        <filter val="ريال555,000"/>
        <filter val="ريال6,272,000"/>
        <filter val="ريال7,328,000"/>
        <filter val="ريال8,284,000"/>
        <filter val="ريال8,880,000"/>
        <filter val="ريال9,600,000"/>
      </filters>
    </filterColumn>
  </autoFilter>
  <mergeCells count="8">
    <mergeCell ref="B1:I1"/>
    <mergeCell ref="A2:A3"/>
    <mergeCell ref="B2:B3"/>
    <mergeCell ref="C2:C3"/>
    <mergeCell ref="D2:F2"/>
    <mergeCell ref="G2:G3"/>
    <mergeCell ref="H2:H3"/>
    <mergeCell ref="I2:I3"/>
  </mergeCells>
  <pageMargins left="0.27559055118110237" right="0.27559055118110237" top="0.74803149606299213" bottom="0.74803149606299213" header="0.31496062992125984" footer="0.31496062992125984"/>
  <pageSetup paperSize="9" scale="85" orientation="portrait" horizontalDpi="0" verticalDpi="0" r:id="rId1"/>
  <headerFooter>
    <oddHeader>&amp;C&amp;"B Mitra,پررنگ"&amp;12پیوست شماره 1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ه4" filterMode="1"/>
  <dimension ref="A1:O180"/>
  <sheetViews>
    <sheetView rightToLeft="1" zoomScaleNormal="100" workbookViewId="0">
      <selection activeCell="H158" activeCellId="7" sqref="H4 H26 H48 H70 H92 H114 H136 H158"/>
    </sheetView>
  </sheetViews>
  <sheetFormatPr defaultRowHeight="12.75"/>
  <cols>
    <col min="2" max="2" width="1.42578125" customWidth="1"/>
    <col min="3" max="3" width="41.7109375" style="75" customWidth="1"/>
    <col min="4" max="4" width="6.42578125" style="76" customWidth="1"/>
    <col min="5" max="5" width="7" style="76" customWidth="1"/>
    <col min="6" max="6" width="6.85546875" style="76" customWidth="1"/>
    <col min="7" max="7" width="19.28515625" style="77" customWidth="1"/>
    <col min="8" max="8" width="6" style="78" customWidth="1"/>
    <col min="9" max="9" width="19.28515625" customWidth="1"/>
    <col min="12" max="12" width="15.140625" bestFit="1" customWidth="1"/>
  </cols>
  <sheetData>
    <row r="1" spans="1:15" ht="15">
      <c r="B1" s="246" t="str">
        <f>CONCATENATE("آنالیز و برآورد زمان نفر / ساعت خدمات کارشناسی توسعه و سفارشی سازی ",GanttChart!B8)</f>
        <v>آنالیز و برآورد زمان نفر / ساعت خدمات کارشناسی توسعه و سفارشی سازی طراحی و پیاده سازی پورتال اینترنتی و زیر پورتال های بیمه سامان</v>
      </c>
      <c r="C1" s="246"/>
      <c r="D1" s="247"/>
      <c r="E1" s="247"/>
      <c r="F1" s="247"/>
      <c r="G1" s="246"/>
      <c r="H1" s="246"/>
      <c r="I1" s="246"/>
    </row>
    <row r="2" spans="1:15">
      <c r="A2" s="248" t="s">
        <v>0</v>
      </c>
      <c r="B2" s="249"/>
      <c r="C2" s="251" t="s">
        <v>64</v>
      </c>
      <c r="D2" s="253" t="s">
        <v>65</v>
      </c>
      <c r="E2" s="253"/>
      <c r="F2" s="253"/>
      <c r="G2" s="260" t="s">
        <v>66</v>
      </c>
      <c r="H2" s="256" t="s">
        <v>70</v>
      </c>
      <c r="I2" s="258" t="s">
        <v>67</v>
      </c>
      <c r="J2" s="6"/>
      <c r="K2" s="6"/>
      <c r="L2" s="6"/>
      <c r="M2" s="6"/>
      <c r="N2" s="6"/>
      <c r="O2" s="6"/>
    </row>
    <row r="3" spans="1:15" ht="64.5">
      <c r="A3" s="248"/>
      <c r="B3" s="250"/>
      <c r="C3" s="252"/>
      <c r="D3" s="83" t="s">
        <v>7</v>
      </c>
      <c r="E3" s="83" t="s">
        <v>55</v>
      </c>
      <c r="F3" s="83" t="s">
        <v>56</v>
      </c>
      <c r="G3" s="261"/>
      <c r="H3" s="257"/>
      <c r="I3" s="259"/>
      <c r="J3" s="6"/>
      <c r="K3" s="6"/>
      <c r="L3" s="6"/>
      <c r="M3" s="6"/>
      <c r="N3" s="6"/>
      <c r="O3" s="6"/>
    </row>
    <row r="4" spans="1:15" ht="14.25">
      <c r="A4" s="74">
        <v>1</v>
      </c>
      <c r="B4" s="74"/>
      <c r="C4" s="79" t="str">
        <f>IFERROR(VLOOKUP($A4,GanttChart!$A:$JD,2,FALSE),"خطا")</f>
        <v>مدیریت، برنامه ریزی مالی و کنترل پیشرفت پروژه</v>
      </c>
      <c r="D4" s="80">
        <f>SUM(D5:D25)</f>
        <v>0</v>
      </c>
      <c r="E4" s="80">
        <f>SUM(E5:E25)</f>
        <v>0</v>
      </c>
      <c r="F4" s="80">
        <f>SUM(F5:F25)</f>
        <v>0</v>
      </c>
      <c r="G4" s="81">
        <f>SUM(G5:G25)</f>
        <v>0</v>
      </c>
      <c r="H4" s="203">
        <v>1</v>
      </c>
      <c r="I4" s="81">
        <f>G4-(H4*G4)</f>
        <v>0</v>
      </c>
      <c r="J4" s="6"/>
      <c r="K4" s="6"/>
      <c r="L4" s="6"/>
      <c r="M4" s="6"/>
      <c r="N4" s="6"/>
      <c r="O4" s="6"/>
    </row>
    <row r="5" spans="1:15" ht="14.25" hidden="1">
      <c r="A5" s="74">
        <v>1.1000000000000001</v>
      </c>
      <c r="B5" s="74"/>
      <c r="C5" s="79" t="str">
        <f>IFERROR(VLOOKUP($A5,GanttChart!$A:$JD,2,FALSE),"خطا")</f>
        <v>تهيه برنامه زمانبندي msp  و گانت چارت اجرايي پروژه</v>
      </c>
      <c r="D5" s="80">
        <f>IFERROR(VLOOKUP($A5,GanttChart!$A:$JD,261,FALSE),0)</f>
        <v>0</v>
      </c>
      <c r="E5" s="80">
        <f>IFERROR(VLOOKUP($A5,GanttChart!$A:$JD,262,FALSE),0)</f>
        <v>0</v>
      </c>
      <c r="F5" s="80">
        <f>IFERROR(VLOOKUP($A5,GanttChart!$A:$JD,263,FALSE),0)</f>
        <v>0</v>
      </c>
      <c r="G5" s="81">
        <f>IFERROR(VLOOKUP($A5,GanttChart!$A:$JD,264,FALSE),0)</f>
        <v>0</v>
      </c>
      <c r="H5" s="82"/>
      <c r="I5" s="81">
        <f t="shared" ref="I5:I160" si="0">G5-(H5*G5)</f>
        <v>0</v>
      </c>
      <c r="J5" s="6"/>
      <c r="K5" s="6"/>
      <c r="L5" s="6"/>
      <c r="M5" s="6"/>
      <c r="N5" s="6"/>
      <c r="O5" s="6"/>
    </row>
    <row r="6" spans="1:15" ht="14.25" hidden="1">
      <c r="A6" s="74">
        <v>1.2</v>
      </c>
      <c r="B6" s="74"/>
      <c r="C6" s="79" t="str">
        <f>IFERROR(VLOOKUP($A6,GanttChart!$A:$JD,2,FALSE),"خطا")</f>
        <v>معرفی مدیر پروژه پیمانکار به کارفرما پس از ابلاغ قرارداد</v>
      </c>
      <c r="D6" s="80">
        <f>IFERROR(VLOOKUP($A6,GanttChart!$A:$JD,261,FALSE),0)</f>
        <v>0</v>
      </c>
      <c r="E6" s="80">
        <f>IFERROR(VLOOKUP($A6,GanttChart!$A:$JD,262,FALSE),0)</f>
        <v>0</v>
      </c>
      <c r="F6" s="80">
        <f>IFERROR(VLOOKUP($A6,GanttChart!$A:$JD,263,FALSE),0)</f>
        <v>0</v>
      </c>
      <c r="G6" s="81">
        <f>IFERROR(VLOOKUP($A6,GanttChart!$A:$JD,264,FALSE),0)</f>
        <v>0</v>
      </c>
      <c r="H6" s="82"/>
      <c r="I6" s="81">
        <f t="shared" si="0"/>
        <v>0</v>
      </c>
      <c r="J6" s="6"/>
      <c r="K6" s="6"/>
      <c r="L6" s="6"/>
      <c r="M6" s="6"/>
      <c r="N6" s="6"/>
      <c r="O6" s="6"/>
    </row>
    <row r="7" spans="1:15" ht="14.25" hidden="1">
      <c r="A7" s="74">
        <v>1.3</v>
      </c>
      <c r="B7" s="74"/>
      <c r="C7" s="79" t="str">
        <f>IFERROR(VLOOKUP($A7,GanttChart!$A:$JD,2,FALSE),"خطا")</f>
        <v>معرفی مدیر پروژه کارفرما به پیمانکار</v>
      </c>
      <c r="D7" s="80">
        <f>IFERROR(VLOOKUP($A7,GanttChart!$A:$JD,261,FALSE),0)</f>
        <v>0</v>
      </c>
      <c r="E7" s="80">
        <f>IFERROR(VLOOKUP($A7,GanttChart!$A:$JD,262,FALSE),0)</f>
        <v>0</v>
      </c>
      <c r="F7" s="80">
        <f>IFERROR(VLOOKUP($A7,GanttChart!$A:$JD,263,FALSE),0)</f>
        <v>0</v>
      </c>
      <c r="G7" s="81">
        <f>IFERROR(VLOOKUP($A7,GanttChart!$A:$JD,264,FALSE),0)</f>
        <v>0</v>
      </c>
      <c r="H7" s="82"/>
      <c r="I7" s="81">
        <f t="shared" si="0"/>
        <v>0</v>
      </c>
      <c r="J7" s="6"/>
      <c r="K7" s="6"/>
      <c r="L7" s="6"/>
      <c r="M7" s="6"/>
      <c r="N7" s="6"/>
      <c r="O7" s="6"/>
    </row>
    <row r="8" spans="1:15" ht="14.25" hidden="1">
      <c r="A8" s="74">
        <v>1.4</v>
      </c>
      <c r="B8" s="74"/>
      <c r="C8" s="79" t="str">
        <f>IFERROR(VLOOKUP($A8,GanttChart!$A:$JD,2,FALSE),"خطا")</f>
        <v>جلسه اول پروژه (معارفه و تحویل زیر ساخت نرم افزاری)</v>
      </c>
      <c r="D8" s="80">
        <f>IFERROR(VLOOKUP($A8,GanttChart!$A:$JD,261,FALSE),0)</f>
        <v>0</v>
      </c>
      <c r="E8" s="80">
        <f>IFERROR(VLOOKUP($A8,GanttChart!$A:$JD,262,FALSE),0)</f>
        <v>0</v>
      </c>
      <c r="F8" s="80">
        <f>IFERROR(VLOOKUP($A8,GanttChart!$A:$JD,263,FALSE),0)</f>
        <v>0</v>
      </c>
      <c r="G8" s="81">
        <f>IFERROR(VLOOKUP($A8,GanttChart!$A:$JD,264,FALSE),0)</f>
        <v>0</v>
      </c>
      <c r="H8" s="82"/>
      <c r="I8" s="81">
        <f t="shared" si="0"/>
        <v>0</v>
      </c>
      <c r="J8" s="6"/>
      <c r="K8" s="6"/>
      <c r="L8" s="6"/>
      <c r="M8" s="6"/>
      <c r="N8" s="6"/>
      <c r="O8" s="6"/>
    </row>
    <row r="9" spans="1:15" ht="14.25" hidden="1">
      <c r="A9" s="74">
        <v>1.5</v>
      </c>
      <c r="B9" s="74"/>
      <c r="C9" s="79" t="str">
        <f>IFERROR(VLOOKUP($A9,GanttChart!$A:$JD,2,FALSE),"خطا")</f>
        <v>پرداخت پیش پرداخت قرارداد</v>
      </c>
      <c r="D9" s="80">
        <f>IFERROR(VLOOKUP($A9,GanttChart!$A:$JD,261,FALSE),0)</f>
        <v>0</v>
      </c>
      <c r="E9" s="80">
        <f>IFERROR(VLOOKUP($A9,GanttChart!$A:$JD,262,FALSE),0)</f>
        <v>0</v>
      </c>
      <c r="F9" s="80">
        <f>IFERROR(VLOOKUP($A9,GanttChart!$A:$JD,263,FALSE),0)</f>
        <v>0</v>
      </c>
      <c r="G9" s="81">
        <f>IFERROR(VLOOKUP($A9,GanttChart!$A:$JD,264,FALSE),0)</f>
        <v>0</v>
      </c>
      <c r="H9" s="82"/>
      <c r="I9" s="81">
        <f t="shared" si="0"/>
        <v>0</v>
      </c>
      <c r="J9" s="6"/>
      <c r="K9" s="6"/>
      <c r="L9" s="6"/>
      <c r="M9" s="6"/>
      <c r="N9" s="6"/>
      <c r="O9" s="6"/>
    </row>
    <row r="10" spans="1:15" ht="14.25" hidden="1">
      <c r="A10" s="74">
        <v>1.6</v>
      </c>
      <c r="B10" s="74"/>
      <c r="C10" s="79">
        <f>IFERROR(VLOOKUP($A10,GanttChart!$A:$JD,2,FALSE),"خطا")</f>
        <v>0</v>
      </c>
      <c r="D10" s="80">
        <f>IFERROR(VLOOKUP($A10,GanttChart!$A:$JD,261,FALSE),0)</f>
        <v>0</v>
      </c>
      <c r="E10" s="80">
        <f>IFERROR(VLOOKUP($A10,GanttChart!$A:$JD,262,FALSE),0)</f>
        <v>0</v>
      </c>
      <c r="F10" s="80">
        <f>IFERROR(VLOOKUP($A10,GanttChart!$A:$JD,263,FALSE),0)</f>
        <v>0</v>
      </c>
      <c r="G10" s="81">
        <f>IFERROR(VLOOKUP($A10,GanttChart!$A:$JD,264,FALSE),0)</f>
        <v>0</v>
      </c>
      <c r="H10" s="82"/>
      <c r="I10" s="81">
        <f t="shared" si="0"/>
        <v>0</v>
      </c>
      <c r="J10" s="6"/>
      <c r="K10" s="6"/>
      <c r="L10" s="6"/>
      <c r="M10" s="6"/>
      <c r="N10" s="6"/>
      <c r="O10" s="6"/>
    </row>
    <row r="11" spans="1:15" ht="14.25" hidden="1">
      <c r="A11" s="74">
        <v>1.7</v>
      </c>
      <c r="B11" s="74"/>
      <c r="C11" s="79">
        <f>IFERROR(VLOOKUP($A11,GanttChart!$A:$JD,2,FALSE),"خطا")</f>
        <v>0</v>
      </c>
      <c r="D11" s="80">
        <f>IFERROR(VLOOKUP($A11,GanttChart!$A:$JD,261,FALSE),0)</f>
        <v>0</v>
      </c>
      <c r="E11" s="80">
        <f>IFERROR(VLOOKUP($A11,GanttChart!$A:$JD,262,FALSE),0)</f>
        <v>0</v>
      </c>
      <c r="F11" s="80">
        <f>IFERROR(VLOOKUP($A11,GanttChart!$A:$JD,263,FALSE),0)</f>
        <v>0</v>
      </c>
      <c r="G11" s="81">
        <f>IFERROR(VLOOKUP($A11,GanttChart!$A:$JD,264,FALSE),0)</f>
        <v>0</v>
      </c>
      <c r="H11" s="82"/>
      <c r="I11" s="81">
        <f t="shared" si="0"/>
        <v>0</v>
      </c>
      <c r="J11" s="6"/>
      <c r="K11" s="6"/>
      <c r="L11" s="6"/>
      <c r="M11" s="6"/>
      <c r="N11" s="6"/>
      <c r="O11" s="6"/>
    </row>
    <row r="12" spans="1:15" ht="14.25" hidden="1">
      <c r="A12" s="74">
        <v>1.8</v>
      </c>
      <c r="B12" s="74"/>
      <c r="C12" s="79">
        <f>IFERROR(VLOOKUP($A12,GanttChart!$A:$JD,2,FALSE),"خطا")</f>
        <v>0</v>
      </c>
      <c r="D12" s="80">
        <f>IFERROR(VLOOKUP($A12,GanttChart!$A:$JD,261,FALSE),0)</f>
        <v>0</v>
      </c>
      <c r="E12" s="80">
        <f>IFERROR(VLOOKUP($A12,GanttChart!$A:$JD,262,FALSE),0)</f>
        <v>0</v>
      </c>
      <c r="F12" s="80">
        <f>IFERROR(VLOOKUP($A12,GanttChart!$A:$JD,263,FALSE),0)</f>
        <v>0</v>
      </c>
      <c r="G12" s="81">
        <f>IFERROR(VLOOKUP($A12,GanttChart!$A:$JD,264,FALSE),0)</f>
        <v>0</v>
      </c>
      <c r="H12" s="82"/>
      <c r="I12" s="81">
        <f t="shared" si="0"/>
        <v>0</v>
      </c>
      <c r="J12" s="6"/>
      <c r="K12" s="6"/>
      <c r="L12" s="6"/>
      <c r="M12" s="6"/>
      <c r="N12" s="6"/>
      <c r="O12" s="6"/>
    </row>
    <row r="13" spans="1:15" ht="14.25" hidden="1">
      <c r="A13" s="74">
        <v>1.9</v>
      </c>
      <c r="B13" s="74"/>
      <c r="C13" s="79">
        <f>IFERROR(VLOOKUP($A13,GanttChart!$A:$JD,2,FALSE),"خطا")</f>
        <v>0</v>
      </c>
      <c r="D13" s="80">
        <f>IFERROR(VLOOKUP($A13,GanttChart!$A:$JD,261,FALSE),0)</f>
        <v>0</v>
      </c>
      <c r="E13" s="80">
        <f>IFERROR(VLOOKUP($A13,GanttChart!$A:$JD,262,FALSE),0)</f>
        <v>0</v>
      </c>
      <c r="F13" s="80">
        <f>IFERROR(VLOOKUP($A13,GanttChart!$A:$JD,263,FALSE),0)</f>
        <v>0</v>
      </c>
      <c r="G13" s="81">
        <f>IFERROR(VLOOKUP($A13,GanttChart!$A:$JD,264,FALSE),0)</f>
        <v>0</v>
      </c>
      <c r="H13" s="82"/>
      <c r="I13" s="81">
        <f t="shared" si="0"/>
        <v>0</v>
      </c>
      <c r="J13" s="6"/>
      <c r="K13" s="6"/>
      <c r="L13" s="6"/>
      <c r="M13" s="6"/>
      <c r="N13" s="6"/>
      <c r="O13" s="6"/>
    </row>
    <row r="14" spans="1:15" ht="14.25" hidden="1">
      <c r="A14" s="74">
        <v>1.1100000000000001</v>
      </c>
      <c r="B14" s="74"/>
      <c r="C14" s="79">
        <f>IFERROR(VLOOKUP($A14,GanttChart!$A:$JD,2,FALSE),"خطا")</f>
        <v>0</v>
      </c>
      <c r="D14" s="80">
        <f>IFERROR(VLOOKUP($A14,GanttChart!$A:$JD,261,FALSE),0)</f>
        <v>0</v>
      </c>
      <c r="E14" s="80">
        <f>IFERROR(VLOOKUP($A14,GanttChart!$A:$JD,262,FALSE),0)</f>
        <v>0</v>
      </c>
      <c r="F14" s="80">
        <f>IFERROR(VLOOKUP($A14,GanttChart!$A:$JD,263,FALSE),0)</f>
        <v>0</v>
      </c>
      <c r="G14" s="81">
        <f>IFERROR(VLOOKUP($A14,GanttChart!$A:$JD,264,FALSE),0)</f>
        <v>0</v>
      </c>
      <c r="H14" s="82"/>
      <c r="I14" s="81">
        <f t="shared" si="0"/>
        <v>0</v>
      </c>
      <c r="J14" s="6"/>
      <c r="K14" s="6"/>
      <c r="L14" s="6"/>
      <c r="M14" s="6"/>
      <c r="N14" s="6"/>
      <c r="O14" s="6"/>
    </row>
    <row r="15" spans="1:15" ht="14.25" hidden="1">
      <c r="A15" s="74">
        <v>1.1200000000000001</v>
      </c>
      <c r="B15" s="74"/>
      <c r="C15" s="79">
        <f>IFERROR(VLOOKUP($A15,GanttChart!$A:$JD,2,FALSE),"خطا")</f>
        <v>0</v>
      </c>
      <c r="D15" s="80">
        <f>IFERROR(VLOOKUP($A15,GanttChart!$A:$JD,261,FALSE),0)</f>
        <v>0</v>
      </c>
      <c r="E15" s="80">
        <f>IFERROR(VLOOKUP($A15,GanttChart!$A:$JD,262,FALSE),0)</f>
        <v>0</v>
      </c>
      <c r="F15" s="80">
        <f>IFERROR(VLOOKUP($A15,GanttChart!$A:$JD,263,FALSE),0)</f>
        <v>0</v>
      </c>
      <c r="G15" s="81">
        <f>IFERROR(VLOOKUP($A15,GanttChart!$A:$JD,264,FALSE),0)</f>
        <v>0</v>
      </c>
      <c r="H15" s="82"/>
      <c r="I15" s="81">
        <f t="shared" si="0"/>
        <v>0</v>
      </c>
      <c r="J15" s="6"/>
      <c r="K15" s="6"/>
      <c r="L15" s="6"/>
      <c r="M15" s="6"/>
      <c r="N15" s="6"/>
      <c r="O15" s="6"/>
    </row>
    <row r="16" spans="1:15" ht="14.25" hidden="1">
      <c r="A16" s="74">
        <v>1.1299999999999999</v>
      </c>
      <c r="B16" s="74"/>
      <c r="C16" s="79">
        <f>IFERROR(VLOOKUP($A16,GanttChart!$A:$JD,2,FALSE),"خطا")</f>
        <v>0</v>
      </c>
      <c r="D16" s="80">
        <f>IFERROR(VLOOKUP($A16,GanttChart!$A:$JD,261,FALSE),0)</f>
        <v>0</v>
      </c>
      <c r="E16" s="80">
        <f>IFERROR(VLOOKUP($A16,GanttChart!$A:$JD,262,FALSE),0)</f>
        <v>0</v>
      </c>
      <c r="F16" s="80">
        <f>IFERROR(VLOOKUP($A16,GanttChart!$A:$JD,263,FALSE),0)</f>
        <v>0</v>
      </c>
      <c r="G16" s="81">
        <f>IFERROR(VLOOKUP($A16,GanttChart!$A:$JD,264,FALSE),0)</f>
        <v>0</v>
      </c>
      <c r="H16" s="82"/>
      <c r="I16" s="81">
        <f t="shared" si="0"/>
        <v>0</v>
      </c>
      <c r="J16" s="6"/>
      <c r="K16" s="6"/>
      <c r="L16" s="6"/>
      <c r="M16" s="6"/>
      <c r="N16" s="6"/>
      <c r="O16" s="6"/>
    </row>
    <row r="17" spans="1:15" ht="14.25" hidden="1">
      <c r="A17" s="74">
        <v>1.1399999999999999</v>
      </c>
      <c r="B17" s="74"/>
      <c r="C17" s="79">
        <f>IFERROR(VLOOKUP($A17,GanttChart!$A:$JD,2,FALSE),"خطا")</f>
        <v>0</v>
      </c>
      <c r="D17" s="80">
        <f>IFERROR(VLOOKUP($A17,GanttChart!$A:$JD,261,FALSE),0)</f>
        <v>0</v>
      </c>
      <c r="E17" s="80">
        <f>IFERROR(VLOOKUP($A17,GanttChart!$A:$JD,262,FALSE),0)</f>
        <v>0</v>
      </c>
      <c r="F17" s="80">
        <f>IFERROR(VLOOKUP($A17,GanttChart!$A:$JD,263,FALSE),0)</f>
        <v>0</v>
      </c>
      <c r="G17" s="81">
        <f>IFERROR(VLOOKUP($A17,GanttChart!$A:$JD,264,FALSE),0)</f>
        <v>0</v>
      </c>
      <c r="H17" s="82"/>
      <c r="I17" s="81">
        <f t="shared" si="0"/>
        <v>0</v>
      </c>
      <c r="J17" s="6"/>
      <c r="K17" s="6"/>
      <c r="L17" s="6"/>
      <c r="M17" s="6"/>
      <c r="N17" s="6"/>
      <c r="O17" s="6"/>
    </row>
    <row r="18" spans="1:15" ht="14.25" hidden="1">
      <c r="A18" s="74">
        <v>1.1499999999999999</v>
      </c>
      <c r="B18" s="74"/>
      <c r="C18" s="79">
        <f>IFERROR(VLOOKUP($A18,GanttChart!$A:$JD,2,FALSE),"خطا")</f>
        <v>0</v>
      </c>
      <c r="D18" s="80">
        <f>IFERROR(VLOOKUP($A18,GanttChart!$A:$JD,261,FALSE),0)</f>
        <v>0</v>
      </c>
      <c r="E18" s="80">
        <f>IFERROR(VLOOKUP($A18,GanttChart!$A:$JD,262,FALSE),0)</f>
        <v>0</v>
      </c>
      <c r="F18" s="80">
        <f>IFERROR(VLOOKUP($A18,GanttChart!$A:$JD,263,FALSE),0)</f>
        <v>0</v>
      </c>
      <c r="G18" s="81">
        <f>IFERROR(VLOOKUP($A18,GanttChart!$A:$JD,264,FALSE),0)</f>
        <v>0</v>
      </c>
      <c r="H18" s="82"/>
      <c r="I18" s="81">
        <f t="shared" si="0"/>
        <v>0</v>
      </c>
      <c r="J18" s="6"/>
      <c r="K18" s="6"/>
      <c r="L18" s="6"/>
      <c r="M18" s="6"/>
      <c r="N18" s="6"/>
      <c r="O18" s="6"/>
    </row>
    <row r="19" spans="1:15" ht="14.25" hidden="1">
      <c r="A19" s="74">
        <v>1.1599999999999999</v>
      </c>
      <c r="B19" s="74"/>
      <c r="C19" s="79">
        <f>IFERROR(VLOOKUP($A19,GanttChart!$A:$JD,2,FALSE),"خطا")</f>
        <v>0</v>
      </c>
      <c r="D19" s="80">
        <f>IFERROR(VLOOKUP($A19,GanttChart!$A:$JD,261,FALSE),0)</f>
        <v>0</v>
      </c>
      <c r="E19" s="80">
        <f>IFERROR(VLOOKUP($A19,GanttChart!$A:$JD,262,FALSE),0)</f>
        <v>0</v>
      </c>
      <c r="F19" s="80">
        <f>IFERROR(VLOOKUP($A19,GanttChart!$A:$JD,263,FALSE),0)</f>
        <v>0</v>
      </c>
      <c r="G19" s="81">
        <f>IFERROR(VLOOKUP($A19,GanttChart!$A:$JD,264,FALSE),0)</f>
        <v>0</v>
      </c>
      <c r="H19" s="82"/>
      <c r="I19" s="81">
        <f t="shared" si="0"/>
        <v>0</v>
      </c>
      <c r="J19" s="6"/>
      <c r="K19" s="6"/>
      <c r="L19" s="6"/>
      <c r="M19" s="6"/>
      <c r="N19" s="6"/>
      <c r="O19" s="6"/>
    </row>
    <row r="20" spans="1:15" ht="14.25" hidden="1">
      <c r="A20" s="74">
        <v>1.17</v>
      </c>
      <c r="B20" s="74"/>
      <c r="C20" s="79">
        <f>IFERROR(VLOOKUP($A20,GanttChart!$A:$JD,2,FALSE),"خطا")</f>
        <v>0</v>
      </c>
      <c r="D20" s="80">
        <f>IFERROR(VLOOKUP($A20,GanttChart!$A:$JD,261,FALSE),0)</f>
        <v>0</v>
      </c>
      <c r="E20" s="80">
        <f>IFERROR(VLOOKUP($A20,GanttChart!$A:$JD,262,FALSE),0)</f>
        <v>0</v>
      </c>
      <c r="F20" s="80">
        <f>IFERROR(VLOOKUP($A20,GanttChart!$A:$JD,263,FALSE),0)</f>
        <v>0</v>
      </c>
      <c r="G20" s="81">
        <f>IFERROR(VLOOKUP($A20,GanttChart!$A:$JD,264,FALSE),0)</f>
        <v>0</v>
      </c>
      <c r="H20" s="82"/>
      <c r="I20" s="81">
        <f t="shared" si="0"/>
        <v>0</v>
      </c>
      <c r="J20" s="6"/>
      <c r="K20" s="6"/>
      <c r="L20" s="6"/>
      <c r="M20" s="6"/>
      <c r="N20" s="6"/>
      <c r="O20" s="6"/>
    </row>
    <row r="21" spans="1:15" ht="14.25" hidden="1">
      <c r="A21" s="74">
        <v>1.18</v>
      </c>
      <c r="B21" s="74"/>
      <c r="C21" s="79">
        <f>IFERROR(VLOOKUP($A21,GanttChart!$A:$JD,2,FALSE),"خطا")</f>
        <v>0</v>
      </c>
      <c r="D21" s="80">
        <f>IFERROR(VLOOKUP($A21,GanttChart!$A:$JD,261,FALSE),0)</f>
        <v>0</v>
      </c>
      <c r="E21" s="80">
        <f>IFERROR(VLOOKUP($A21,GanttChart!$A:$JD,262,FALSE),0)</f>
        <v>0</v>
      </c>
      <c r="F21" s="80">
        <f>IFERROR(VLOOKUP($A21,GanttChart!$A:$JD,263,FALSE),0)</f>
        <v>0</v>
      </c>
      <c r="G21" s="81">
        <f>IFERROR(VLOOKUP($A21,GanttChart!$A:$JD,264,FALSE),0)</f>
        <v>0</v>
      </c>
      <c r="H21" s="82"/>
      <c r="I21" s="81">
        <f t="shared" si="0"/>
        <v>0</v>
      </c>
      <c r="J21" s="6"/>
      <c r="K21" s="6"/>
      <c r="L21" s="6"/>
      <c r="M21" s="6"/>
      <c r="N21" s="6"/>
      <c r="O21" s="6"/>
    </row>
    <row r="22" spans="1:15" ht="14.25" hidden="1">
      <c r="A22" s="74">
        <v>1.19</v>
      </c>
      <c r="B22" s="74"/>
      <c r="C22" s="79">
        <f>IFERROR(VLOOKUP($A22,GanttChart!$A:$JD,2,FALSE),"خطا")</f>
        <v>0</v>
      </c>
      <c r="D22" s="80">
        <f>IFERROR(VLOOKUP($A22,GanttChart!$A:$JD,261,FALSE),0)</f>
        <v>0</v>
      </c>
      <c r="E22" s="80">
        <f>IFERROR(VLOOKUP($A22,GanttChart!$A:$JD,262,FALSE),0)</f>
        <v>0</v>
      </c>
      <c r="F22" s="80">
        <f>IFERROR(VLOOKUP($A22,GanttChart!$A:$JD,263,FALSE),0)</f>
        <v>0</v>
      </c>
      <c r="G22" s="81">
        <f>IFERROR(VLOOKUP($A22,GanttChart!$A:$JD,264,FALSE),0)</f>
        <v>0</v>
      </c>
      <c r="H22" s="82"/>
      <c r="I22" s="81">
        <f t="shared" si="0"/>
        <v>0</v>
      </c>
      <c r="J22" s="6"/>
      <c r="K22" s="6"/>
      <c r="L22" s="6"/>
      <c r="M22" s="6"/>
      <c r="N22" s="6"/>
      <c r="O22" s="6"/>
    </row>
    <row r="23" spans="1:15" ht="14.25" hidden="1">
      <c r="A23" s="74">
        <v>1.21</v>
      </c>
      <c r="B23" s="74"/>
      <c r="C23" s="79">
        <f>IFERROR(VLOOKUP($A23,GanttChart!$A:$JD,2,FALSE),"خطا")</f>
        <v>0</v>
      </c>
      <c r="D23" s="80">
        <f>IFERROR(VLOOKUP($A23,GanttChart!$A:$JD,261,FALSE),0)</f>
        <v>0</v>
      </c>
      <c r="E23" s="80">
        <f>IFERROR(VLOOKUP($A23,GanttChart!$A:$JD,262,FALSE),0)</f>
        <v>0</v>
      </c>
      <c r="F23" s="80">
        <f>IFERROR(VLOOKUP($A23,GanttChart!$A:$JD,263,FALSE),0)</f>
        <v>0</v>
      </c>
      <c r="G23" s="81">
        <f>IFERROR(VLOOKUP($A23,GanttChart!$A:$JD,264,FALSE),0)</f>
        <v>0</v>
      </c>
      <c r="H23" s="82"/>
      <c r="I23" s="81">
        <f t="shared" si="0"/>
        <v>0</v>
      </c>
      <c r="J23" s="6"/>
      <c r="K23" s="6"/>
      <c r="L23" s="6"/>
      <c r="M23" s="6"/>
      <c r="N23" s="6"/>
      <c r="O23" s="6"/>
    </row>
    <row r="24" spans="1:15" ht="14.25" hidden="1">
      <c r="A24" s="74">
        <v>1.22</v>
      </c>
      <c r="B24" s="74"/>
      <c r="C24" s="79">
        <f>IFERROR(VLOOKUP($A24,GanttChart!$A:$JD,2,FALSE),"خطا")</f>
        <v>0</v>
      </c>
      <c r="D24" s="80">
        <f>IFERROR(VLOOKUP($A24,GanttChart!$A:$JD,261,FALSE),0)</f>
        <v>0</v>
      </c>
      <c r="E24" s="80">
        <f>IFERROR(VLOOKUP($A24,GanttChart!$A:$JD,262,FALSE),0)</f>
        <v>0</v>
      </c>
      <c r="F24" s="80">
        <f>IFERROR(VLOOKUP($A24,GanttChart!$A:$JD,263,FALSE),0)</f>
        <v>0</v>
      </c>
      <c r="G24" s="81">
        <f>IFERROR(VLOOKUP($A24,GanttChart!$A:$JD,264,FALSE),0)</f>
        <v>0</v>
      </c>
      <c r="H24" s="82"/>
      <c r="I24" s="81">
        <f t="shared" si="0"/>
        <v>0</v>
      </c>
      <c r="J24" s="6"/>
      <c r="K24" s="6"/>
      <c r="L24" s="6"/>
      <c r="M24" s="6"/>
      <c r="N24" s="6"/>
      <c r="O24" s="6"/>
    </row>
    <row r="25" spans="1:15" ht="14.25" hidden="1">
      <c r="A25" s="74">
        <v>1.23</v>
      </c>
      <c r="B25" s="74"/>
      <c r="C25" s="79">
        <f>IFERROR(VLOOKUP($A25,GanttChart!$A:$JD,2,FALSE),"خطا")</f>
        <v>0</v>
      </c>
      <c r="D25" s="80">
        <f>IFERROR(VLOOKUP($A25,GanttChart!$A:$JD,261,FALSE),0)</f>
        <v>0</v>
      </c>
      <c r="E25" s="80">
        <f>IFERROR(VLOOKUP($A25,GanttChart!$A:$JD,262,FALSE),0)</f>
        <v>0</v>
      </c>
      <c r="F25" s="80">
        <f>IFERROR(VLOOKUP($A25,GanttChart!$A:$JD,263,FALSE),0)</f>
        <v>0</v>
      </c>
      <c r="G25" s="81">
        <f>IFERROR(VLOOKUP($A25,GanttChart!$A:$JD,264,FALSE),0)</f>
        <v>0</v>
      </c>
      <c r="H25" s="82"/>
      <c r="I25" s="81">
        <f t="shared" si="0"/>
        <v>0</v>
      </c>
      <c r="J25" s="6"/>
      <c r="K25" s="6"/>
      <c r="L25" s="6"/>
      <c r="M25" s="6"/>
      <c r="N25" s="6"/>
      <c r="O25" s="6"/>
    </row>
    <row r="26" spans="1:15" ht="14.25">
      <c r="A26" s="74">
        <v>2</v>
      </c>
      <c r="B26" s="74"/>
      <c r="C26" s="79" t="str">
        <f>IFERROR(VLOOKUP($A26,GanttChart!$A:$JD,2,FALSE),"خطا")</f>
        <v>استقرار زيرساخت  وآماده سازی  زیر ساخت نرم افزاری سامان سوئیت</v>
      </c>
      <c r="D26" s="80">
        <f>SUM(D27:D47)</f>
        <v>0</v>
      </c>
      <c r="E26" s="80">
        <f>SUM(E27:E47)</f>
        <v>0</v>
      </c>
      <c r="F26" s="80">
        <f>SUM(F27:F47)</f>
        <v>0</v>
      </c>
      <c r="G26" s="81">
        <f>SUM(G27:G47)</f>
        <v>0</v>
      </c>
      <c r="H26" s="203" t="e">
        <f>1-J26/G26</f>
        <v>#DIV/0!</v>
      </c>
      <c r="I26" s="81" t="e">
        <f t="shared" si="0"/>
        <v>#DIV/0!</v>
      </c>
      <c r="J26" s="101">
        <v>12000000</v>
      </c>
      <c r="K26" s="99"/>
      <c r="L26" s="100"/>
      <c r="M26" s="6"/>
      <c r="N26" s="6"/>
      <c r="O26" s="6"/>
    </row>
    <row r="27" spans="1:15" ht="22.5" hidden="1">
      <c r="A27" s="74">
        <v>2.1</v>
      </c>
      <c r="B27" s="74"/>
      <c r="C27" s="79" t="str">
        <f>IFERROR(VLOOKUP($A27,GanttChart!$A:$JD,2,FALSE),"خطا")</f>
        <v xml:space="preserve">ارائه سند نيازمنديهاي شبکه و سخت افزار سرور و نرم افزار های مورد نیاز به کارفرما </v>
      </c>
      <c r="D27" s="80">
        <f>IFERROR(VLOOKUP($A27,GanttChart!$A:$JD,261,FALSE),0)</f>
        <v>0</v>
      </c>
      <c r="E27" s="80">
        <f>IFERROR(VLOOKUP($A27,GanttChart!$A:$JD,262,FALSE),0)</f>
        <v>0</v>
      </c>
      <c r="F27" s="80">
        <f>IFERROR(VLOOKUP($A27,GanttChart!$A:$JD,263,FALSE),0)</f>
        <v>0</v>
      </c>
      <c r="G27" s="81">
        <f>IFERROR(VLOOKUP($A27,GanttChart!$A:$JD,264,FALSE),0)</f>
        <v>0</v>
      </c>
      <c r="H27" s="82"/>
      <c r="I27" s="81">
        <f t="shared" si="0"/>
        <v>0</v>
      </c>
      <c r="J27" s="6"/>
      <c r="K27" s="6"/>
      <c r="L27" s="6"/>
      <c r="M27" s="6"/>
      <c r="N27" s="6"/>
      <c r="O27" s="6"/>
    </row>
    <row r="28" spans="1:15" ht="22.5" hidden="1">
      <c r="A28" s="74">
        <v>2.2000000000000002</v>
      </c>
      <c r="B28" s="74"/>
      <c r="C28" s="79" t="str">
        <f>IFERROR(VLOOKUP($A28,GanttChart!$A:$JD,2,FALSE),"خطا")</f>
        <v xml:space="preserve">تامين و آماده سازي شبکه و زيرساخت سخت افزاری و نرم افزاری مورد نياز (سرور  اصلی و میرور) توسط کارفرما </v>
      </c>
      <c r="D28" s="80">
        <f>IFERROR(VLOOKUP($A28,GanttChart!$A:$JD,261,FALSE),0)</f>
        <v>0</v>
      </c>
      <c r="E28" s="80">
        <f>IFERROR(VLOOKUP($A28,GanttChart!$A:$JD,262,FALSE),0)</f>
        <v>0</v>
      </c>
      <c r="F28" s="80">
        <f>IFERROR(VLOOKUP($A28,GanttChart!$A:$JD,263,FALSE),0)</f>
        <v>0</v>
      </c>
      <c r="G28" s="81">
        <f>IFERROR(VLOOKUP($A28,GanttChart!$A:$JD,264,FALSE),0)</f>
        <v>0</v>
      </c>
      <c r="H28" s="82"/>
      <c r="I28" s="81">
        <f t="shared" si="0"/>
        <v>0</v>
      </c>
      <c r="J28" s="6"/>
      <c r="K28" s="6"/>
      <c r="L28" s="6"/>
      <c r="M28" s="6"/>
      <c r="N28" s="6"/>
      <c r="O28" s="6"/>
    </row>
    <row r="29" spans="1:15" ht="14.25" hidden="1">
      <c r="A29" s="74">
        <v>2.2999999999999998</v>
      </c>
      <c r="B29" s="74"/>
      <c r="C29" s="79" t="str">
        <f>IFERROR(VLOOKUP($A29,GanttChart!$A:$JD,2,FALSE),"خطا")</f>
        <v>ارائه دسترسی راه دور به سرور از طریق (ssh) با حق دسترسی مدیریت</v>
      </c>
      <c r="D29" s="80">
        <f>IFERROR(VLOOKUP($A29,GanttChart!$A:$JD,261,FALSE),0)</f>
        <v>0</v>
      </c>
      <c r="E29" s="80">
        <f>IFERROR(VLOOKUP($A29,GanttChart!$A:$JD,262,FALSE),0)</f>
        <v>0</v>
      </c>
      <c r="F29" s="80">
        <f>IFERROR(VLOOKUP($A29,GanttChart!$A:$JD,263,FALSE),0)</f>
        <v>0</v>
      </c>
      <c r="G29" s="81">
        <f>IFERROR(VLOOKUP($A29,GanttChart!$A:$JD,264,FALSE),0)</f>
        <v>0</v>
      </c>
      <c r="H29" s="82"/>
      <c r="I29" s="81">
        <f t="shared" si="0"/>
        <v>0</v>
      </c>
      <c r="J29" s="6"/>
      <c r="K29" s="6"/>
      <c r="L29" s="6"/>
      <c r="M29" s="6"/>
      <c r="N29" s="6"/>
      <c r="O29" s="6"/>
    </row>
    <row r="30" spans="1:15" ht="14.25" hidden="1">
      <c r="A30" s="74">
        <v>2.4</v>
      </c>
      <c r="B30" s="74"/>
      <c r="C30" s="79" t="str">
        <f>IFERROR(VLOOKUP($A30,GanttChart!$A:$JD,2,FALSE),"خطا")</f>
        <v>نصب و پیکربندی سرور پورتال و زیر ساخت نرم افزاری پایه آن</v>
      </c>
      <c r="D30" s="80">
        <f>IFERROR(VLOOKUP($A30,GanttChart!$A:$JD,261,FALSE),0)</f>
        <v>0</v>
      </c>
      <c r="E30" s="80">
        <f>IFERROR(VLOOKUP($A30,GanttChart!$A:$JD,262,FALSE),0)</f>
        <v>0</v>
      </c>
      <c r="F30" s="80">
        <f>IFERROR(VLOOKUP($A30,GanttChart!$A:$JD,263,FALSE),0)</f>
        <v>0</v>
      </c>
      <c r="G30" s="81">
        <f>IFERROR(VLOOKUP($A30,GanttChart!$A:$JD,264,FALSE),0)</f>
        <v>0</v>
      </c>
      <c r="H30" s="82"/>
      <c r="I30" s="81">
        <f t="shared" si="0"/>
        <v>0</v>
      </c>
      <c r="J30" s="6"/>
      <c r="K30" s="6"/>
      <c r="L30" s="6"/>
      <c r="M30" s="6"/>
      <c r="N30" s="6"/>
      <c r="O30" s="6"/>
    </row>
    <row r="31" spans="1:15" ht="22.5" hidden="1">
      <c r="A31" s="74">
        <v>2.5</v>
      </c>
      <c r="B31" s="74"/>
      <c r="C31" s="79" t="str">
        <f>IFERROR(VLOOKUP($A31,GanttChart!$A:$JD,2,FALSE),"خطا")</f>
        <v>نصب و پیکربندی نرم افزار سامان سوئیت و سایر نرم افزاری های موضوع قرارداد بر روی سرور</v>
      </c>
      <c r="D31" s="80">
        <f>IFERROR(VLOOKUP($A31,GanttChart!$A:$JD,261,FALSE),0)</f>
        <v>0</v>
      </c>
      <c r="E31" s="80">
        <f>IFERROR(VLOOKUP($A31,GanttChart!$A:$JD,262,FALSE),0)</f>
        <v>0</v>
      </c>
      <c r="F31" s="80">
        <f>IFERROR(VLOOKUP($A31,GanttChart!$A:$JD,263,FALSE),0)</f>
        <v>0</v>
      </c>
      <c r="G31" s="81">
        <f>IFERROR(VLOOKUP($A31,GanttChart!$A:$JD,264,FALSE),0)</f>
        <v>0</v>
      </c>
      <c r="H31" s="82"/>
      <c r="I31" s="81">
        <f t="shared" si="0"/>
        <v>0</v>
      </c>
      <c r="J31" s="6"/>
      <c r="K31" s="6"/>
      <c r="L31" s="6"/>
      <c r="M31" s="6"/>
      <c r="N31" s="6"/>
      <c r="O31" s="6"/>
    </row>
    <row r="32" spans="1:15" ht="14.25" hidden="1">
      <c r="A32" s="74">
        <v>2.6</v>
      </c>
      <c r="B32" s="74"/>
      <c r="C32" s="79" t="str">
        <f>IFERROR(VLOOKUP($A32,GanttChart!$A:$JD,2,FALSE),"خطا")</f>
        <v>تنظیم روال های تهیه نسخه پشتیبان دوره ای از نرم افزار سامان سوئیت</v>
      </c>
      <c r="D32" s="80">
        <f>IFERROR(VLOOKUP($A32,GanttChart!$A:$JD,261,FALSE),0)</f>
        <v>0</v>
      </c>
      <c r="E32" s="80">
        <f>IFERROR(VLOOKUP($A32,GanttChart!$A:$JD,262,FALSE),0)</f>
        <v>0</v>
      </c>
      <c r="F32" s="80">
        <f>IFERROR(VLOOKUP($A32,GanttChart!$A:$JD,263,FALSE),0)</f>
        <v>0</v>
      </c>
      <c r="G32" s="81">
        <f>IFERROR(VLOOKUP($A32,GanttChart!$A:$JD,264,FALSE),0)</f>
        <v>0</v>
      </c>
      <c r="H32" s="82"/>
      <c r="I32" s="81">
        <f t="shared" si="0"/>
        <v>0</v>
      </c>
      <c r="J32" s="6"/>
      <c r="K32" s="6"/>
      <c r="L32" s="6"/>
      <c r="M32" s="6"/>
      <c r="N32" s="6"/>
      <c r="O32" s="6"/>
    </row>
    <row r="33" spans="1:15" ht="22.5" hidden="1">
      <c r="A33" s="74">
        <v>2.7</v>
      </c>
      <c r="B33" s="74"/>
      <c r="C33" s="79" t="str">
        <f>IFERROR(VLOOKUP($A33,GanttChart!$A:$JD,2,FALSE),"خطا")</f>
        <v>تحویل نرم افزار نصب شده مطابق با مجوزهای جدول الف و ب پیوست 8 قرارداد بر روی سرور کارفرما به کارفرما</v>
      </c>
      <c r="D33" s="80">
        <f>IFERROR(VLOOKUP($A33,GanttChart!$A:$JD,261,FALSE),0)</f>
        <v>0</v>
      </c>
      <c r="E33" s="80">
        <f>IFERROR(VLOOKUP($A33,GanttChart!$A:$JD,262,FALSE),0)</f>
        <v>0</v>
      </c>
      <c r="F33" s="80">
        <f>IFERROR(VLOOKUP($A33,GanttChart!$A:$JD,263,FALSE),0)</f>
        <v>0</v>
      </c>
      <c r="G33" s="81">
        <f>IFERROR(VLOOKUP($A33,GanttChart!$A:$JD,264,FALSE),0)</f>
        <v>0</v>
      </c>
      <c r="H33" s="82"/>
      <c r="I33" s="81">
        <f t="shared" si="0"/>
        <v>0</v>
      </c>
      <c r="J33" s="6"/>
      <c r="K33" s="6"/>
      <c r="L33" s="6"/>
      <c r="M33" s="6"/>
      <c r="N33" s="6"/>
      <c r="O33" s="6"/>
    </row>
    <row r="34" spans="1:15" ht="14.25" hidden="1">
      <c r="A34" s="74">
        <v>2.8</v>
      </c>
      <c r="B34" s="74"/>
      <c r="C34" s="79" t="str">
        <f>IFERROR(VLOOKUP($A34,GanttChart!$A:$JD,2,FALSE),"خطا")</f>
        <v>تهیه و نگهداری نسخه های پشتیبان نرم افزار سامان سوئیت</v>
      </c>
      <c r="D34" s="80">
        <f>IFERROR(VLOOKUP($A34,GanttChart!$A:$JD,261,FALSE),0)</f>
        <v>0</v>
      </c>
      <c r="E34" s="80">
        <f>IFERROR(VLOOKUP($A34,GanttChart!$A:$JD,262,FALSE),0)</f>
        <v>0</v>
      </c>
      <c r="F34" s="80">
        <f>IFERROR(VLOOKUP($A34,GanttChart!$A:$JD,263,FALSE),0)</f>
        <v>0</v>
      </c>
      <c r="G34" s="81">
        <f>IFERROR(VLOOKUP($A34,GanttChart!$A:$JD,264,FALSE),0)</f>
        <v>0</v>
      </c>
      <c r="H34" s="82"/>
      <c r="I34" s="81">
        <f t="shared" si="0"/>
        <v>0</v>
      </c>
      <c r="J34" s="6"/>
      <c r="K34" s="6"/>
      <c r="L34" s="6"/>
      <c r="M34" s="6"/>
      <c r="N34" s="6"/>
      <c r="O34" s="6"/>
    </row>
    <row r="35" spans="1:15" ht="14.25" hidden="1">
      <c r="A35" s="74">
        <v>2.9</v>
      </c>
      <c r="B35" s="74"/>
      <c r="C35" s="79" t="str">
        <f>IFERROR(VLOOKUP($A35,GanttChart!$A:$JD,2,FALSE),"خطا")</f>
        <v>تحویل سرور اصلی  به کارفرما</v>
      </c>
      <c r="D35" s="80">
        <f>IFERROR(VLOOKUP($A35,GanttChart!$A:$JD,261,FALSE),0)</f>
        <v>0</v>
      </c>
      <c r="E35" s="80">
        <f>IFERROR(VLOOKUP($A35,GanttChart!$A:$JD,262,FALSE),0)</f>
        <v>0</v>
      </c>
      <c r="F35" s="80">
        <f>IFERROR(VLOOKUP($A35,GanttChart!$A:$JD,263,FALSE),0)</f>
        <v>0</v>
      </c>
      <c r="G35" s="81">
        <f>IFERROR(VLOOKUP($A35,GanttChart!$A:$JD,264,FALSE),0)</f>
        <v>0</v>
      </c>
      <c r="H35" s="82"/>
      <c r="I35" s="81">
        <f t="shared" si="0"/>
        <v>0</v>
      </c>
      <c r="J35" s="6"/>
      <c r="K35" s="6"/>
      <c r="L35" s="6"/>
      <c r="M35" s="6"/>
      <c r="N35" s="6"/>
      <c r="O35" s="6"/>
    </row>
    <row r="36" spans="1:15" ht="14.25" hidden="1">
      <c r="A36" s="74">
        <v>2.11</v>
      </c>
      <c r="B36" s="74"/>
      <c r="C36" s="79">
        <f>IFERROR(VLOOKUP($A36,GanttChart!$A:$JD,2,FALSE),"خطا")</f>
        <v>0</v>
      </c>
      <c r="D36" s="80">
        <f>IFERROR(VLOOKUP($A36,GanttChart!$A:$JD,261,FALSE),0)</f>
        <v>0</v>
      </c>
      <c r="E36" s="80">
        <f>IFERROR(VLOOKUP($A36,GanttChart!$A:$JD,262,FALSE),0)</f>
        <v>0</v>
      </c>
      <c r="F36" s="80">
        <f>IFERROR(VLOOKUP($A36,GanttChart!$A:$JD,263,FALSE),0)</f>
        <v>0</v>
      </c>
      <c r="G36" s="81">
        <f>IFERROR(VLOOKUP($A36,GanttChart!$A:$JD,264,FALSE),0)</f>
        <v>0</v>
      </c>
      <c r="H36" s="82"/>
      <c r="I36" s="81">
        <f t="shared" si="0"/>
        <v>0</v>
      </c>
      <c r="J36" s="6"/>
      <c r="K36" s="6"/>
      <c r="L36" s="6"/>
      <c r="M36" s="6"/>
      <c r="N36" s="6"/>
      <c r="O36" s="6"/>
    </row>
    <row r="37" spans="1:15" ht="14.25" hidden="1">
      <c r="A37" s="74">
        <v>2.12</v>
      </c>
      <c r="B37" s="74"/>
      <c r="C37" s="79">
        <f>IFERROR(VLOOKUP($A37,GanttChart!$A:$JD,2,FALSE),"خطا")</f>
        <v>0</v>
      </c>
      <c r="D37" s="80">
        <f>IFERROR(VLOOKUP($A37,GanttChart!$A:$JD,261,FALSE),0)</f>
        <v>0</v>
      </c>
      <c r="E37" s="80">
        <f>IFERROR(VLOOKUP($A37,GanttChart!$A:$JD,262,FALSE),0)</f>
        <v>0</v>
      </c>
      <c r="F37" s="80">
        <f>IFERROR(VLOOKUP($A37,GanttChart!$A:$JD,263,FALSE),0)</f>
        <v>0</v>
      </c>
      <c r="G37" s="81">
        <f>IFERROR(VLOOKUP($A37,GanttChart!$A:$JD,264,FALSE),0)</f>
        <v>0</v>
      </c>
      <c r="H37" s="82"/>
      <c r="I37" s="81">
        <f t="shared" si="0"/>
        <v>0</v>
      </c>
      <c r="J37" s="6"/>
      <c r="K37" s="6"/>
      <c r="L37" s="6"/>
      <c r="M37" s="6"/>
      <c r="N37" s="6"/>
      <c r="O37" s="6"/>
    </row>
    <row r="38" spans="1:15" ht="14.25" hidden="1">
      <c r="A38" s="74">
        <v>2.13</v>
      </c>
      <c r="B38" s="74"/>
      <c r="C38" s="79">
        <f>IFERROR(VLOOKUP($A38,GanttChart!$A:$JD,2,FALSE),"خطا")</f>
        <v>0</v>
      </c>
      <c r="D38" s="80">
        <f>IFERROR(VLOOKUP($A38,GanttChart!$A:$JD,261,FALSE),0)</f>
        <v>0</v>
      </c>
      <c r="E38" s="80">
        <f>IFERROR(VLOOKUP($A38,GanttChart!$A:$JD,262,FALSE),0)</f>
        <v>0</v>
      </c>
      <c r="F38" s="80">
        <f>IFERROR(VLOOKUP($A38,GanttChart!$A:$JD,263,FALSE),0)</f>
        <v>0</v>
      </c>
      <c r="G38" s="81">
        <f>IFERROR(VLOOKUP($A38,GanttChart!$A:$JD,264,FALSE),0)</f>
        <v>0</v>
      </c>
      <c r="H38" s="82"/>
      <c r="I38" s="81">
        <f t="shared" si="0"/>
        <v>0</v>
      </c>
      <c r="J38" s="6"/>
      <c r="K38" s="6"/>
      <c r="L38" s="6"/>
      <c r="M38" s="6"/>
      <c r="N38" s="6"/>
      <c r="O38" s="6"/>
    </row>
    <row r="39" spans="1:15" ht="14.25" hidden="1">
      <c r="A39" s="74">
        <v>2.14</v>
      </c>
      <c r="B39" s="74"/>
      <c r="C39" s="79">
        <f>IFERROR(VLOOKUP($A39,GanttChart!$A:$JD,2,FALSE),"خطا")</f>
        <v>0</v>
      </c>
      <c r="D39" s="80">
        <f>IFERROR(VLOOKUP($A39,GanttChart!$A:$JD,261,FALSE),0)</f>
        <v>0</v>
      </c>
      <c r="E39" s="80">
        <f>IFERROR(VLOOKUP($A39,GanttChart!$A:$JD,262,FALSE),0)</f>
        <v>0</v>
      </c>
      <c r="F39" s="80">
        <f>IFERROR(VLOOKUP($A39,GanttChart!$A:$JD,263,FALSE),0)</f>
        <v>0</v>
      </c>
      <c r="G39" s="81">
        <f>IFERROR(VLOOKUP($A39,GanttChart!$A:$JD,264,FALSE),0)</f>
        <v>0</v>
      </c>
      <c r="H39" s="82"/>
      <c r="I39" s="81">
        <f t="shared" si="0"/>
        <v>0</v>
      </c>
      <c r="J39" s="6"/>
      <c r="K39" s="6"/>
      <c r="L39" s="6"/>
      <c r="M39" s="6"/>
      <c r="N39" s="6"/>
      <c r="O39" s="6"/>
    </row>
    <row r="40" spans="1:15" ht="14.25" hidden="1">
      <c r="A40" s="74">
        <v>2.15</v>
      </c>
      <c r="B40" s="74"/>
      <c r="C40" s="79">
        <f>IFERROR(VLOOKUP($A40,GanttChart!$A:$JD,2,FALSE),"خطا")</f>
        <v>0</v>
      </c>
      <c r="D40" s="80">
        <f>IFERROR(VLOOKUP($A40,GanttChart!$A:$JD,261,FALSE),0)</f>
        <v>0</v>
      </c>
      <c r="E40" s="80">
        <f>IFERROR(VLOOKUP($A40,GanttChart!$A:$JD,262,FALSE),0)</f>
        <v>0</v>
      </c>
      <c r="F40" s="80">
        <f>IFERROR(VLOOKUP($A40,GanttChart!$A:$JD,263,FALSE),0)</f>
        <v>0</v>
      </c>
      <c r="G40" s="81">
        <f>IFERROR(VLOOKUP($A40,GanttChart!$A:$JD,264,FALSE),0)</f>
        <v>0</v>
      </c>
      <c r="H40" s="82"/>
      <c r="I40" s="81">
        <f t="shared" si="0"/>
        <v>0</v>
      </c>
      <c r="J40" s="6"/>
      <c r="K40" s="6"/>
      <c r="L40" s="6"/>
      <c r="M40" s="6"/>
      <c r="N40" s="6"/>
      <c r="O40" s="6"/>
    </row>
    <row r="41" spans="1:15" ht="14.25" hidden="1">
      <c r="A41" s="74">
        <v>2.16</v>
      </c>
      <c r="B41" s="74"/>
      <c r="C41" s="79">
        <f>IFERROR(VLOOKUP($A41,GanttChart!$A:$JD,2,FALSE),"خطا")</f>
        <v>0</v>
      </c>
      <c r="D41" s="80">
        <f>IFERROR(VLOOKUP($A41,GanttChart!$A:$JD,261,FALSE),0)</f>
        <v>0</v>
      </c>
      <c r="E41" s="80">
        <f>IFERROR(VLOOKUP($A41,GanttChart!$A:$JD,262,FALSE),0)</f>
        <v>0</v>
      </c>
      <c r="F41" s="80">
        <f>IFERROR(VLOOKUP($A41,GanttChart!$A:$JD,263,FALSE),0)</f>
        <v>0</v>
      </c>
      <c r="G41" s="81">
        <f>IFERROR(VLOOKUP($A41,GanttChart!$A:$JD,264,FALSE),0)</f>
        <v>0</v>
      </c>
      <c r="H41" s="82"/>
      <c r="I41" s="81">
        <f t="shared" si="0"/>
        <v>0</v>
      </c>
      <c r="J41" s="6"/>
      <c r="K41" s="6"/>
      <c r="L41" s="6"/>
      <c r="M41" s="6"/>
      <c r="N41" s="6"/>
      <c r="O41" s="6"/>
    </row>
    <row r="42" spans="1:15" ht="14.25" hidden="1">
      <c r="A42" s="74">
        <v>2.17</v>
      </c>
      <c r="B42" s="74"/>
      <c r="C42" s="79">
        <f>IFERROR(VLOOKUP($A42,GanttChart!$A:$JD,2,FALSE),"خطا")</f>
        <v>0</v>
      </c>
      <c r="D42" s="80">
        <f>IFERROR(VLOOKUP($A42,GanttChart!$A:$JD,261,FALSE),0)</f>
        <v>0</v>
      </c>
      <c r="E42" s="80">
        <f>IFERROR(VLOOKUP($A42,GanttChart!$A:$JD,262,FALSE),0)</f>
        <v>0</v>
      </c>
      <c r="F42" s="80">
        <f>IFERROR(VLOOKUP($A42,GanttChart!$A:$JD,263,FALSE),0)</f>
        <v>0</v>
      </c>
      <c r="G42" s="81">
        <f>IFERROR(VLOOKUP($A42,GanttChart!$A:$JD,264,FALSE),0)</f>
        <v>0</v>
      </c>
      <c r="H42" s="82"/>
      <c r="I42" s="81">
        <f t="shared" si="0"/>
        <v>0</v>
      </c>
      <c r="J42" s="6"/>
      <c r="K42" s="6"/>
      <c r="L42" s="6"/>
      <c r="M42" s="6"/>
      <c r="N42" s="6"/>
      <c r="O42" s="6"/>
    </row>
    <row r="43" spans="1:15" ht="14.25" hidden="1">
      <c r="A43" s="74">
        <v>2.1800000000000002</v>
      </c>
      <c r="B43" s="74"/>
      <c r="C43" s="79">
        <f>IFERROR(VLOOKUP($A43,GanttChart!$A:$JD,2,FALSE),"خطا")</f>
        <v>0</v>
      </c>
      <c r="D43" s="80">
        <f>IFERROR(VLOOKUP($A43,GanttChart!$A:$JD,261,FALSE),0)</f>
        <v>0</v>
      </c>
      <c r="E43" s="80">
        <f>IFERROR(VLOOKUP($A43,GanttChart!$A:$JD,262,FALSE),0)</f>
        <v>0</v>
      </c>
      <c r="F43" s="80">
        <f>IFERROR(VLOOKUP($A43,GanttChart!$A:$JD,263,FALSE),0)</f>
        <v>0</v>
      </c>
      <c r="G43" s="81">
        <f>IFERROR(VLOOKUP($A43,GanttChart!$A:$JD,264,FALSE),0)</f>
        <v>0</v>
      </c>
      <c r="H43" s="82"/>
      <c r="I43" s="81">
        <f t="shared" si="0"/>
        <v>0</v>
      </c>
      <c r="J43" s="6"/>
      <c r="K43" s="6"/>
      <c r="L43" s="6"/>
      <c r="M43" s="6"/>
      <c r="N43" s="6"/>
      <c r="O43" s="6"/>
    </row>
    <row r="44" spans="1:15" ht="14.25" hidden="1">
      <c r="A44" s="74">
        <v>2.19</v>
      </c>
      <c r="B44" s="74"/>
      <c r="C44" s="79">
        <f>IFERROR(VLOOKUP($A44,GanttChart!$A:$JD,2,FALSE),"خطا")</f>
        <v>0</v>
      </c>
      <c r="D44" s="80">
        <f>IFERROR(VLOOKUP($A44,GanttChart!$A:$JD,261,FALSE),0)</f>
        <v>0</v>
      </c>
      <c r="E44" s="80">
        <f>IFERROR(VLOOKUP($A44,GanttChart!$A:$JD,262,FALSE),0)</f>
        <v>0</v>
      </c>
      <c r="F44" s="80">
        <f>IFERROR(VLOOKUP($A44,GanttChart!$A:$JD,263,FALSE),0)</f>
        <v>0</v>
      </c>
      <c r="G44" s="81">
        <f>IFERROR(VLOOKUP($A44,GanttChart!$A:$JD,264,FALSE),0)</f>
        <v>0</v>
      </c>
      <c r="H44" s="82"/>
      <c r="I44" s="81">
        <f t="shared" si="0"/>
        <v>0</v>
      </c>
      <c r="J44" s="6"/>
      <c r="K44" s="6"/>
      <c r="L44" s="6"/>
      <c r="M44" s="6"/>
      <c r="N44" s="6"/>
      <c r="O44" s="6"/>
    </row>
    <row r="45" spans="1:15" ht="14.25" hidden="1">
      <c r="A45" s="74">
        <v>2.21</v>
      </c>
      <c r="B45" s="74"/>
      <c r="C45" s="79" t="str">
        <f>IFERROR(VLOOKUP($A45,GanttChart!$A:$JD,2,FALSE),"خطا")</f>
        <v>خطا</v>
      </c>
      <c r="D45" s="80">
        <f>IFERROR(VLOOKUP($A45,GanttChart!$A:$JD,261,FALSE),0)</f>
        <v>0</v>
      </c>
      <c r="E45" s="80">
        <f>IFERROR(VLOOKUP($A45,GanttChart!$A:$JD,262,FALSE),0)</f>
        <v>0</v>
      </c>
      <c r="F45" s="80">
        <f>IFERROR(VLOOKUP($A45,GanttChart!$A:$JD,263,FALSE),0)</f>
        <v>0</v>
      </c>
      <c r="G45" s="81">
        <f>IFERROR(VLOOKUP($A45,GanttChart!$A:$JD,264,FALSE),0)</f>
        <v>0</v>
      </c>
      <c r="H45" s="82"/>
      <c r="I45" s="81">
        <f t="shared" si="0"/>
        <v>0</v>
      </c>
      <c r="J45" s="6"/>
      <c r="K45" s="6"/>
      <c r="L45" s="6"/>
      <c r="M45" s="6"/>
      <c r="N45" s="6"/>
      <c r="O45" s="6"/>
    </row>
    <row r="46" spans="1:15" ht="14.25" hidden="1">
      <c r="A46" s="74">
        <v>2.2200000000000002</v>
      </c>
      <c r="B46" s="74"/>
      <c r="C46" s="79" t="str">
        <f>IFERROR(VLOOKUP($A46,GanttChart!$A:$JD,2,FALSE),"خطا")</f>
        <v>خطا</v>
      </c>
      <c r="D46" s="80">
        <f>IFERROR(VLOOKUP($A46,GanttChart!$A:$JD,261,FALSE),0)</f>
        <v>0</v>
      </c>
      <c r="E46" s="80">
        <f>IFERROR(VLOOKUP($A46,GanttChart!$A:$JD,262,FALSE),0)</f>
        <v>0</v>
      </c>
      <c r="F46" s="80">
        <f>IFERROR(VLOOKUP($A46,GanttChart!$A:$JD,263,FALSE),0)</f>
        <v>0</v>
      </c>
      <c r="G46" s="81">
        <f>IFERROR(VLOOKUP($A46,GanttChart!$A:$JD,264,FALSE),0)</f>
        <v>0</v>
      </c>
      <c r="H46" s="82"/>
      <c r="I46" s="81">
        <f t="shared" si="0"/>
        <v>0</v>
      </c>
      <c r="J46" s="6"/>
      <c r="K46" s="6"/>
      <c r="L46" s="6"/>
      <c r="M46" s="6"/>
      <c r="N46" s="6"/>
      <c r="O46" s="6"/>
    </row>
    <row r="47" spans="1:15" ht="14.25" hidden="1">
      <c r="A47" s="74">
        <v>2.23</v>
      </c>
      <c r="B47" s="74"/>
      <c r="C47" s="79" t="str">
        <f>IFERROR(VLOOKUP($A47,GanttChart!$A:$JD,2,FALSE),"خطا")</f>
        <v>خطا</v>
      </c>
      <c r="D47" s="80">
        <f>IFERROR(VLOOKUP($A47,GanttChart!$A:$JD,261,FALSE),0)</f>
        <v>0</v>
      </c>
      <c r="E47" s="80">
        <f>IFERROR(VLOOKUP($A47,GanttChart!$A:$JD,262,FALSE),0)</f>
        <v>0</v>
      </c>
      <c r="F47" s="80">
        <f>IFERROR(VLOOKUP($A47,GanttChart!$A:$JD,263,FALSE),0)</f>
        <v>0</v>
      </c>
      <c r="G47" s="81">
        <f>IFERROR(VLOOKUP($A47,GanttChart!$A:$JD,264,FALSE),0)</f>
        <v>0</v>
      </c>
      <c r="H47" s="82"/>
      <c r="I47" s="81">
        <f t="shared" si="0"/>
        <v>0</v>
      </c>
      <c r="J47" s="6"/>
      <c r="K47" s="6"/>
      <c r="L47" s="6"/>
      <c r="M47" s="6"/>
      <c r="N47" s="6"/>
      <c r="O47" s="6"/>
    </row>
    <row r="48" spans="1:15" ht="14.25">
      <c r="A48" s="74">
        <v>3</v>
      </c>
      <c r="B48" s="74"/>
      <c r="C48" s="79" t="str">
        <f>IFERROR(VLOOKUP($A48,GanttChart!$A:$JD,2,FALSE),"خطا")</f>
        <v>ارائه خدمات اجرایی موضوع قرارداد</v>
      </c>
      <c r="D48" s="80">
        <f>SUM(D49:D69)</f>
        <v>0</v>
      </c>
      <c r="E48" s="80">
        <f>SUM(E49:E69)</f>
        <v>0</v>
      </c>
      <c r="F48" s="80">
        <f>SUM(F49:F69)</f>
        <v>0</v>
      </c>
      <c r="G48" s="81">
        <f>SUM(G49:G69)</f>
        <v>0</v>
      </c>
      <c r="H48" s="203" t="e">
        <f>1-J48/G48</f>
        <v>#DIV/0!</v>
      </c>
      <c r="I48" s="81" t="e">
        <f t="shared" si="0"/>
        <v>#DIV/0!</v>
      </c>
      <c r="J48" s="101">
        <v>16000000</v>
      </c>
      <c r="K48" s="6"/>
      <c r="L48" s="6"/>
      <c r="M48" s="6"/>
      <c r="N48" s="6"/>
      <c r="O48" s="6"/>
    </row>
    <row r="49" spans="1:15" ht="14.25" hidden="1">
      <c r="A49" s="74">
        <v>3.1</v>
      </c>
      <c r="B49" s="74"/>
      <c r="C49" s="79" t="str">
        <f>IFERROR(VLOOKUP($A49,GanttChart!$A:$JD,2,FALSE),"خطا")</f>
        <v xml:space="preserve">ارائه پرسش نامه های نیازسنجی محتوایی و گرافیکی </v>
      </c>
      <c r="D49" s="80">
        <f>IFERROR(VLOOKUP($A49,GanttChart!$A:$JD,261,FALSE),0)</f>
        <v>0</v>
      </c>
      <c r="E49" s="80">
        <f>IFERROR(VLOOKUP($A49,GanttChart!$A:$JD,262,FALSE),0)</f>
        <v>0</v>
      </c>
      <c r="F49" s="80">
        <f>IFERROR(VLOOKUP($A49,GanttChart!$A:$JD,263,FALSE),0)</f>
        <v>0</v>
      </c>
      <c r="G49" s="81">
        <f>IFERROR(VLOOKUP($A49,GanttChart!$A:$JD,264,FALSE),0)</f>
        <v>0</v>
      </c>
      <c r="H49" s="82"/>
      <c r="I49" s="81">
        <f t="shared" si="0"/>
        <v>0</v>
      </c>
      <c r="J49" s="6"/>
      <c r="K49" s="6"/>
      <c r="L49" s="6"/>
      <c r="M49" s="6"/>
      <c r="N49" s="6"/>
      <c r="O49" s="6"/>
    </row>
    <row r="50" spans="1:15" ht="14.25" hidden="1">
      <c r="A50" s="74">
        <v>3.2</v>
      </c>
      <c r="B50" s="74"/>
      <c r="C50" s="79" t="str">
        <f>IFERROR(VLOOKUP($A50,GanttChart!$A:$JD,2,FALSE),"خطا")</f>
        <v>تدوین سند شناخت وضع جاری</v>
      </c>
      <c r="D50" s="80">
        <f>IFERROR(VLOOKUP($A50,GanttChart!$A:$JD,261,FALSE),0)</f>
        <v>0</v>
      </c>
      <c r="E50" s="80">
        <f>IFERROR(VLOOKUP($A50,GanttChart!$A:$JD,262,FALSE),0)</f>
        <v>0</v>
      </c>
      <c r="F50" s="80">
        <f>IFERROR(VLOOKUP($A50,GanttChart!$A:$JD,263,FALSE),0)</f>
        <v>0</v>
      </c>
      <c r="G50" s="81">
        <f>IFERROR(VLOOKUP($A50,GanttChart!$A:$JD,264,FALSE),0)</f>
        <v>0</v>
      </c>
      <c r="H50" s="82"/>
      <c r="I50" s="81">
        <f t="shared" si="0"/>
        <v>0</v>
      </c>
    </row>
    <row r="51" spans="1:15" ht="22.5" hidden="1">
      <c r="A51" s="74">
        <v>3.3</v>
      </c>
      <c r="B51" s="74"/>
      <c r="C51" s="79" t="str">
        <f>IFERROR(VLOOKUP($A51,GanttChart!$A:$JD,2,FALSE),"خطا")</f>
        <v>تکمیل پرسش نامه های نیاز سنجی محتوایی و گرافیکی  پورتال اصلی (فارسی)</v>
      </c>
      <c r="D51" s="80">
        <f>IFERROR(VLOOKUP($A51,GanttChart!$A:$JD,261,FALSE),0)</f>
        <v>0</v>
      </c>
      <c r="E51" s="80">
        <f>IFERROR(VLOOKUP($A51,GanttChart!$A:$JD,262,FALSE),0)</f>
        <v>0</v>
      </c>
      <c r="F51" s="80">
        <f>IFERROR(VLOOKUP($A51,GanttChart!$A:$JD,263,FALSE),0)</f>
        <v>0</v>
      </c>
      <c r="G51" s="81">
        <f>IFERROR(VLOOKUP($A51,GanttChart!$A:$JD,264,FALSE),0)</f>
        <v>0</v>
      </c>
      <c r="H51" s="82"/>
      <c r="I51" s="81">
        <f t="shared" si="0"/>
        <v>0</v>
      </c>
    </row>
    <row r="52" spans="1:15" ht="14.25" hidden="1">
      <c r="A52" s="74">
        <v>3.4</v>
      </c>
      <c r="B52" s="74"/>
      <c r="C52" s="79" t="str">
        <f>IFERROR(VLOOKUP($A52,GanttChart!$A:$JD,2,FALSE),"خطا")</f>
        <v>تکمیل پرسش نامه های نیاز سنجی محتوایی پورتال بیمه عمر و  اندوخته ساز</v>
      </c>
      <c r="D52" s="80">
        <f>IFERROR(VLOOKUP($A52,GanttChart!$A:$JD,261,FALSE),0)</f>
        <v>0</v>
      </c>
      <c r="E52" s="80">
        <f>IFERROR(VLOOKUP($A52,GanttChart!$A:$JD,262,FALSE),0)</f>
        <v>0</v>
      </c>
      <c r="F52" s="80">
        <f>IFERROR(VLOOKUP($A52,GanttChart!$A:$JD,263,FALSE),0)</f>
        <v>0</v>
      </c>
      <c r="G52" s="81">
        <f>IFERROR(VLOOKUP($A52,GanttChart!$A:$JD,264,FALSE),0)</f>
        <v>0</v>
      </c>
      <c r="H52" s="82"/>
      <c r="I52" s="81">
        <f t="shared" si="0"/>
        <v>0</v>
      </c>
    </row>
    <row r="53" spans="1:15" ht="14.25" hidden="1">
      <c r="A53" s="74">
        <v>3.5</v>
      </c>
      <c r="B53" s="74"/>
      <c r="C53" s="79" t="str">
        <f>IFERROR(VLOOKUP($A53,GanttChart!$A:$JD,2,FALSE),"خطا")</f>
        <v>تکمیل پرسش نامه های نیاز سنجی محتوایی پورتال بیمه مسافرتی</v>
      </c>
      <c r="D53" s="80">
        <f>IFERROR(VLOOKUP($A53,GanttChart!$A:$JD,261,FALSE),0)</f>
        <v>0</v>
      </c>
      <c r="E53" s="80">
        <f>IFERROR(VLOOKUP($A53,GanttChart!$A:$JD,262,FALSE),0)</f>
        <v>0</v>
      </c>
      <c r="F53" s="80">
        <f>IFERROR(VLOOKUP($A53,GanttChart!$A:$JD,263,FALSE),0)</f>
        <v>0</v>
      </c>
      <c r="G53" s="81">
        <f>IFERROR(VLOOKUP($A53,GanttChart!$A:$JD,264,FALSE),0)</f>
        <v>0</v>
      </c>
      <c r="H53" s="82"/>
      <c r="I53" s="81">
        <f t="shared" si="0"/>
        <v>0</v>
      </c>
    </row>
    <row r="54" spans="1:15" ht="14.25" hidden="1">
      <c r="A54" s="74">
        <v>3.6</v>
      </c>
      <c r="B54" s="74"/>
      <c r="C54" s="79" t="str">
        <f>IFERROR(VLOOKUP($A54,GanttChart!$A:$JD,2,FALSE),"خطا")</f>
        <v>تکمیل پرسش نامه های نیاز سنجی محتوایی پورتال  نمایندگان</v>
      </c>
      <c r="D54" s="80">
        <f>IFERROR(VLOOKUP($A54,GanttChart!$A:$JD,261,FALSE),0)</f>
        <v>0</v>
      </c>
      <c r="E54" s="80">
        <f>IFERROR(VLOOKUP($A54,GanttChart!$A:$JD,262,FALSE),0)</f>
        <v>0</v>
      </c>
      <c r="F54" s="80">
        <f>IFERROR(VLOOKUP($A54,GanttChart!$A:$JD,263,FALSE),0)</f>
        <v>0</v>
      </c>
      <c r="G54" s="81">
        <f>IFERROR(VLOOKUP($A54,GanttChart!$A:$JD,264,FALSE),0)</f>
        <v>0</v>
      </c>
      <c r="H54" s="82"/>
      <c r="I54" s="81">
        <f t="shared" si="0"/>
        <v>0</v>
      </c>
    </row>
    <row r="55" spans="1:15" ht="14.25" hidden="1">
      <c r="A55" s="74">
        <v>3.7</v>
      </c>
      <c r="B55" s="74"/>
      <c r="C55" s="79" t="str">
        <f>IFERROR(VLOOKUP($A55,GanttChart!$A:$JD,2,FALSE),"خطا")</f>
        <v>تکمیل پرسش نامه های نیاز سنجی محتوایی پورتال سهامداران</v>
      </c>
      <c r="D55" s="80">
        <f>IFERROR(VLOOKUP($A55,GanttChart!$A:$JD,261,FALSE),0)</f>
        <v>0</v>
      </c>
      <c r="E55" s="80">
        <f>IFERROR(VLOOKUP($A55,GanttChart!$A:$JD,262,FALSE),0)</f>
        <v>0</v>
      </c>
      <c r="F55" s="80">
        <f>IFERROR(VLOOKUP($A55,GanttChart!$A:$JD,263,FALSE),0)</f>
        <v>0</v>
      </c>
      <c r="G55" s="81">
        <f>IFERROR(VLOOKUP($A55,GanttChart!$A:$JD,264,FALSE),0)</f>
        <v>0</v>
      </c>
      <c r="H55" s="82"/>
      <c r="I55" s="81">
        <f t="shared" si="0"/>
        <v>0</v>
      </c>
    </row>
    <row r="56" spans="1:15" ht="14.25" hidden="1">
      <c r="A56" s="74">
        <v>3.8</v>
      </c>
      <c r="B56" s="74"/>
      <c r="C56" s="79" t="str">
        <f>IFERROR(VLOOKUP($A56,GanttChart!$A:$JD,2,FALSE),"خطا")</f>
        <v>جمع بندی نيازمنديهای فرايند شناخت و تدوین سند معماری محتوا (تدریجی)</v>
      </c>
      <c r="D56" s="80">
        <f>IFERROR(VLOOKUP($A56,GanttChart!$A:$JD,261,FALSE),0)</f>
        <v>0</v>
      </c>
      <c r="E56" s="80">
        <f>IFERROR(VLOOKUP($A56,GanttChart!$A:$JD,262,FALSE),0)</f>
        <v>0</v>
      </c>
      <c r="F56" s="80">
        <f>IFERROR(VLOOKUP($A56,GanttChart!$A:$JD,263,FALSE),0)</f>
        <v>0</v>
      </c>
      <c r="G56" s="81">
        <f>IFERROR(VLOOKUP($A56,GanttChart!$A:$JD,264,FALSE),0)</f>
        <v>0</v>
      </c>
      <c r="H56" s="82"/>
      <c r="I56" s="81">
        <f t="shared" si="0"/>
        <v>0</v>
      </c>
    </row>
    <row r="57" spans="1:15" ht="14.25" hidden="1">
      <c r="A57" s="74">
        <v>3.9</v>
      </c>
      <c r="B57" s="74"/>
      <c r="C57" s="79" t="str">
        <f>IFERROR(VLOOKUP($A57,GanttChart!$A:$JD,2,FALSE),"خطا")</f>
        <v xml:space="preserve"> بررسی و تایید مستند معماری محتوا توسط کارفرما (تدریجی)</v>
      </c>
      <c r="D57" s="80">
        <f>IFERROR(VLOOKUP($A57,GanttChart!$A:$JD,261,FALSE),0)</f>
        <v>0</v>
      </c>
      <c r="E57" s="80">
        <f>IFERROR(VLOOKUP($A57,GanttChart!$A:$JD,262,FALSE),0)</f>
        <v>0</v>
      </c>
      <c r="F57" s="80">
        <f>IFERROR(VLOOKUP($A57,GanttChart!$A:$JD,263,FALSE),0)</f>
        <v>0</v>
      </c>
      <c r="G57" s="81">
        <f>IFERROR(VLOOKUP($A57,GanttChart!$A:$JD,264,FALSE),0)</f>
        <v>0</v>
      </c>
      <c r="H57" s="82"/>
      <c r="I57" s="81">
        <f t="shared" si="0"/>
        <v>0</v>
      </c>
    </row>
    <row r="58" spans="1:15" ht="14.25" hidden="1">
      <c r="A58" s="74">
        <v>3.11</v>
      </c>
      <c r="B58" s="74"/>
      <c r="C58" s="79" t="str">
        <f>IFERROR(VLOOKUP($A58,GanttChart!$A:$JD,2,FALSE),"خطا")</f>
        <v>ارائه یک قالب گرافیکی  فارسی  برای زیر پورتال اینترنتی(فارسی)</v>
      </c>
      <c r="D58" s="80">
        <f>IFERROR(VLOOKUP($A58,GanttChart!$A:$JD,261,FALSE),0)</f>
        <v>0</v>
      </c>
      <c r="E58" s="80">
        <f>IFERROR(VLOOKUP($A58,GanttChart!$A:$JD,262,FALSE),0)</f>
        <v>0</v>
      </c>
      <c r="F58" s="80">
        <f>IFERROR(VLOOKUP($A58,GanttChart!$A:$JD,263,FALSE),0)</f>
        <v>0</v>
      </c>
      <c r="G58" s="81">
        <f>IFERROR(VLOOKUP($A58,GanttChart!$A:$JD,264,FALSE),0)</f>
        <v>0</v>
      </c>
      <c r="H58" s="82"/>
      <c r="I58" s="81">
        <f t="shared" si="0"/>
        <v>0</v>
      </c>
    </row>
    <row r="59" spans="1:15" ht="22.5" hidden="1">
      <c r="A59" s="74">
        <v>3.12</v>
      </c>
      <c r="B59" s="74"/>
      <c r="C59" s="79" t="str">
        <f>IFERROR(VLOOKUP($A59,GanttChart!$A:$JD,2,FALSE),"خطا")</f>
        <v>نهایی سازی قالب گرافیکی  برای پورتال اینترنتی مطابق نظر کارفرما (اعلام نظر کارفرما: 3 روز کاری، نهایی سازی: 2 روزکاری)</v>
      </c>
      <c r="D59" s="80">
        <f>IFERROR(VLOOKUP($A59,GanttChart!$A:$JD,261,FALSE),0)</f>
        <v>0</v>
      </c>
      <c r="E59" s="80">
        <f>IFERROR(VLOOKUP($A59,GanttChart!$A:$JD,262,FALSE),0)</f>
        <v>0</v>
      </c>
      <c r="F59" s="80">
        <f>IFERROR(VLOOKUP($A59,GanttChart!$A:$JD,263,FALSE),0)</f>
        <v>0</v>
      </c>
      <c r="G59" s="81">
        <f>IFERROR(VLOOKUP($A59,GanttChart!$A:$JD,264,FALSE),0)</f>
        <v>0</v>
      </c>
      <c r="H59" s="82"/>
      <c r="I59" s="81">
        <f t="shared" si="0"/>
        <v>0</v>
      </c>
    </row>
    <row r="60" spans="1:15" ht="14.25" hidden="1">
      <c r="A60" s="74">
        <v>3.13</v>
      </c>
      <c r="B60" s="74"/>
      <c r="C60" s="79" t="str">
        <f>IFERROR(VLOOKUP($A60,GanttChart!$A:$JD,2,FALSE),"خطا")</f>
        <v>ارائه سر صفحه اختصاصی زیر پورتال بیمه عمر و اندوخته ساز</v>
      </c>
      <c r="D60" s="80">
        <f>IFERROR(VLOOKUP($A60,GanttChart!$A:$JD,261,FALSE),0)</f>
        <v>0</v>
      </c>
      <c r="E60" s="80">
        <f>IFERROR(VLOOKUP($A60,GanttChart!$A:$JD,262,FALSE),0)</f>
        <v>0</v>
      </c>
      <c r="F60" s="80">
        <f>IFERROR(VLOOKUP($A60,GanttChart!$A:$JD,263,FALSE),0)</f>
        <v>0</v>
      </c>
      <c r="G60" s="81">
        <f>IFERROR(VLOOKUP($A60,GanttChart!$A:$JD,264,FALSE),0)</f>
        <v>0</v>
      </c>
      <c r="H60" s="82"/>
      <c r="I60" s="81">
        <f t="shared" si="0"/>
        <v>0</v>
      </c>
    </row>
    <row r="61" spans="1:15" ht="33.75" hidden="1">
      <c r="A61" s="74">
        <v>3.14</v>
      </c>
      <c r="B61" s="74"/>
      <c r="C61" s="79" t="str">
        <f>IFERROR(VLOOKUP($A61,GanttChart!$A:$JD,2,FALSE),"خطا")</f>
        <v>نهایی سازی سر صفحه اختصاصی زیر پورتال بیمه عمر و اندوخته ساز مطابق نظر کارفرما (اعلام نظر کارفرما: 1 روز کاری  و نهایی سازی: 2 روزکاری)</v>
      </c>
      <c r="D61" s="80">
        <f>IFERROR(VLOOKUP($A61,GanttChart!$A:$JD,261,FALSE),0)</f>
        <v>0</v>
      </c>
      <c r="E61" s="80">
        <f>IFERROR(VLOOKUP($A61,GanttChart!$A:$JD,262,FALSE),0)</f>
        <v>0</v>
      </c>
      <c r="F61" s="80">
        <f>IFERROR(VLOOKUP($A61,GanttChart!$A:$JD,263,FALSE),0)</f>
        <v>0</v>
      </c>
      <c r="G61" s="81">
        <f>IFERROR(VLOOKUP($A61,GanttChart!$A:$JD,264,FALSE),0)</f>
        <v>0</v>
      </c>
      <c r="H61" s="82"/>
      <c r="I61" s="81">
        <f t="shared" si="0"/>
        <v>0</v>
      </c>
    </row>
    <row r="62" spans="1:15" ht="14.25" hidden="1">
      <c r="A62" s="74">
        <v>3.15</v>
      </c>
      <c r="B62" s="74"/>
      <c r="C62" s="79" t="str">
        <f>IFERROR(VLOOKUP($A62,GanttChart!$A:$JD,2,FALSE),"خطا")</f>
        <v>ارائه سر صفحه اختصاصی زیر پورتال بیمه مسافرتی</v>
      </c>
      <c r="D62" s="80">
        <f>IFERROR(VLOOKUP($A62,GanttChart!$A:$JD,261,FALSE),0)</f>
        <v>0</v>
      </c>
      <c r="E62" s="80">
        <f>IFERROR(VLOOKUP($A62,GanttChart!$A:$JD,262,FALSE),0)</f>
        <v>0</v>
      </c>
      <c r="F62" s="80">
        <f>IFERROR(VLOOKUP($A62,GanttChart!$A:$JD,263,FALSE),0)</f>
        <v>0</v>
      </c>
      <c r="G62" s="81">
        <f>IFERROR(VLOOKUP($A62,GanttChart!$A:$JD,264,FALSE),0)</f>
        <v>0</v>
      </c>
      <c r="H62" s="82"/>
      <c r="I62" s="81">
        <f t="shared" si="0"/>
        <v>0</v>
      </c>
    </row>
    <row r="63" spans="1:15" ht="22.5" hidden="1">
      <c r="A63" s="74">
        <v>3.16</v>
      </c>
      <c r="B63" s="74"/>
      <c r="C63" s="79" t="str">
        <f>IFERROR(VLOOKUP($A63,GanttChart!$A:$JD,2,FALSE),"خطا")</f>
        <v>نهایی سازی سر صفحه اختصاصی زیر پورتال مسافرتی مطابق نظر کارفرما (اعلام نظر کارفرما : 1 روز کاری و  نهایی سازی: 2 روزکاری)</v>
      </c>
      <c r="D63" s="80">
        <f>IFERROR(VLOOKUP($A63,GanttChart!$A:$JD,261,FALSE),0)</f>
        <v>0</v>
      </c>
      <c r="E63" s="80">
        <f>IFERROR(VLOOKUP($A63,GanttChart!$A:$JD,262,FALSE),0)</f>
        <v>0</v>
      </c>
      <c r="F63" s="80">
        <f>IFERROR(VLOOKUP($A63,GanttChart!$A:$JD,263,FALSE),0)</f>
        <v>0</v>
      </c>
      <c r="G63" s="81">
        <f>IFERROR(VLOOKUP($A63,GanttChart!$A:$JD,264,FALSE),0)</f>
        <v>0</v>
      </c>
      <c r="H63" s="82"/>
      <c r="I63" s="81">
        <f t="shared" si="0"/>
        <v>0</v>
      </c>
    </row>
    <row r="64" spans="1:15" ht="14.25" hidden="1">
      <c r="A64" s="74">
        <v>3.17</v>
      </c>
      <c r="B64" s="74"/>
      <c r="C64" s="79" t="str">
        <f>IFERROR(VLOOKUP($A64,GanttChart!$A:$JD,2,FALSE),"خطا")</f>
        <v>ارائه سر صفحه اختصاصی زیر پورتال نمایندگان</v>
      </c>
      <c r="D64" s="80">
        <f>IFERROR(VLOOKUP($A64,GanttChart!$A:$JD,261,FALSE),0)</f>
        <v>0</v>
      </c>
      <c r="E64" s="80">
        <f>IFERROR(VLOOKUP($A64,GanttChart!$A:$JD,262,FALSE),0)</f>
        <v>0</v>
      </c>
      <c r="F64" s="80">
        <f>IFERROR(VLOOKUP($A64,GanttChart!$A:$JD,263,FALSE),0)</f>
        <v>0</v>
      </c>
      <c r="G64" s="81">
        <f>IFERROR(VLOOKUP($A64,GanttChart!$A:$JD,264,FALSE),0)</f>
        <v>0</v>
      </c>
      <c r="H64" s="82"/>
      <c r="I64" s="81">
        <f t="shared" si="0"/>
        <v>0</v>
      </c>
    </row>
    <row r="65" spans="1:9" ht="22.5" hidden="1">
      <c r="A65" s="74">
        <v>3.18</v>
      </c>
      <c r="B65" s="74"/>
      <c r="C65" s="79" t="str">
        <f>IFERROR(VLOOKUP($A65,GanttChart!$A:$JD,2,FALSE),"خطا")</f>
        <v>نهایی سازی سر صفحه اختصاصی زیر پورتال نمایندگان مطابق نظر کارفرما (اعلام نظر کارفرما و نهایی سازی: 2 روزکاری)</v>
      </c>
      <c r="D65" s="80">
        <f>IFERROR(VLOOKUP($A65,GanttChart!$A:$JD,261,FALSE),0)</f>
        <v>0</v>
      </c>
      <c r="E65" s="80">
        <f>IFERROR(VLOOKUP($A65,GanttChart!$A:$JD,262,FALSE),0)</f>
        <v>0</v>
      </c>
      <c r="F65" s="80">
        <f>IFERROR(VLOOKUP($A65,GanttChart!$A:$JD,263,FALSE),0)</f>
        <v>0</v>
      </c>
      <c r="G65" s="81">
        <f>IFERROR(VLOOKUP($A65,GanttChart!$A:$JD,264,FALSE),0)</f>
        <v>0</v>
      </c>
      <c r="H65" s="82"/>
      <c r="I65" s="81">
        <f t="shared" si="0"/>
        <v>0</v>
      </c>
    </row>
    <row r="66" spans="1:9" ht="14.25" hidden="1">
      <c r="A66" s="74">
        <v>3.19</v>
      </c>
      <c r="B66" s="74"/>
      <c r="C66" s="79" t="str">
        <f>IFERROR(VLOOKUP($A66,GanttChart!$A:$JD,2,FALSE),"خطا")</f>
        <v xml:space="preserve">ارائه سر صفحه اختصاصی برای زیر پورتال سهامداران </v>
      </c>
      <c r="D66" s="80">
        <f>IFERROR(VLOOKUP($A66,GanttChart!$A:$JD,261,FALSE),0)</f>
        <v>0</v>
      </c>
      <c r="E66" s="80">
        <f>IFERROR(VLOOKUP($A66,GanttChart!$A:$JD,262,FALSE),0)</f>
        <v>0</v>
      </c>
      <c r="F66" s="80">
        <f>IFERROR(VLOOKUP($A66,GanttChart!$A:$JD,263,FALSE),0)</f>
        <v>0</v>
      </c>
      <c r="G66" s="81">
        <f>IFERROR(VLOOKUP($A66,GanttChart!$A:$JD,264,FALSE),0)</f>
        <v>0</v>
      </c>
      <c r="H66" s="82"/>
      <c r="I66" s="81">
        <f t="shared" si="0"/>
        <v>0</v>
      </c>
    </row>
    <row r="67" spans="1:9" ht="22.5" hidden="1">
      <c r="A67" s="74">
        <v>3.21</v>
      </c>
      <c r="B67" s="74"/>
      <c r="C67" s="79" t="str">
        <f>IFERROR(VLOOKUP($A67,GanttChart!$A:$JD,2,FALSE),"خطا")</f>
        <v>نهایی سازی سر صفحه اختصاصی  برای زیر پورتال سهامداران مطابق نظر کارفرما (اعلام نظر کارفرما : 1 روز کاری و نهایی سازی: 2 روزکاری)</v>
      </c>
      <c r="D67" s="80">
        <f>IFERROR(VLOOKUP($A67,GanttChart!$A:$JD,261,FALSE),0)</f>
        <v>0</v>
      </c>
      <c r="E67" s="80">
        <f>IFERROR(VLOOKUP($A67,GanttChart!$A:$JD,262,FALSE),0)</f>
        <v>0</v>
      </c>
      <c r="F67" s="80">
        <f>IFERROR(VLOOKUP($A67,GanttChart!$A:$JD,263,FALSE),0)</f>
        <v>0</v>
      </c>
      <c r="G67" s="81">
        <f>IFERROR(VLOOKUP($A67,GanttChart!$A:$JD,264,FALSE),0)</f>
        <v>0</v>
      </c>
      <c r="H67" s="82"/>
      <c r="I67" s="81">
        <f t="shared" si="0"/>
        <v>0</v>
      </c>
    </row>
    <row r="68" spans="1:9" ht="14.25" hidden="1">
      <c r="A68" s="74">
        <v>3.22</v>
      </c>
      <c r="B68" s="74"/>
      <c r="C68" s="79" t="str">
        <f>IFERROR(VLOOKUP($A68,GanttChart!$A:$JD,2,FALSE),"خطا")</f>
        <v>راه اندازی کامل زیرپورتال اینترنتی (نسخه فارسی)</v>
      </c>
      <c r="D68" s="80">
        <f>IFERROR(VLOOKUP($A68,GanttChart!$A:$JD,261,FALSE),0)</f>
        <v>0</v>
      </c>
      <c r="E68" s="80">
        <f>IFERROR(VLOOKUP($A68,GanttChart!$A:$JD,262,FALSE),0)</f>
        <v>0</v>
      </c>
      <c r="F68" s="80">
        <f>IFERROR(VLOOKUP($A68,GanttChart!$A:$JD,263,FALSE),0)</f>
        <v>0</v>
      </c>
      <c r="G68" s="81">
        <f>IFERROR(VLOOKUP($A68,GanttChart!$A:$JD,264,FALSE),0)</f>
        <v>0</v>
      </c>
      <c r="H68" s="82"/>
      <c r="I68" s="81">
        <f t="shared" si="0"/>
        <v>0</v>
      </c>
    </row>
    <row r="69" spans="1:9" ht="22.5" hidden="1">
      <c r="A69" s="74">
        <v>3.23</v>
      </c>
      <c r="B69" s="74"/>
      <c r="C69" s="79" t="str">
        <f>IFERROR(VLOOKUP($A69,GanttChart!$A:$JD,2,FALSE),"خطا")</f>
        <v>تحویل راه اندازی کامل زیر پورتال اینترنتی (نسخه فارسی)  (1 روز تست پیمانکار ، 2 روز تست  کارفرما)</v>
      </c>
      <c r="D69" s="80">
        <f>IFERROR(VLOOKUP($A69,GanttChart!$A:$JD,261,FALSE),0)</f>
        <v>0</v>
      </c>
      <c r="E69" s="80">
        <f>IFERROR(VLOOKUP($A69,GanttChart!$A:$JD,262,FALSE),0)</f>
        <v>0</v>
      </c>
      <c r="F69" s="80">
        <f>IFERROR(VLOOKUP($A69,GanttChart!$A:$JD,263,FALSE),0)</f>
        <v>0</v>
      </c>
      <c r="G69" s="81">
        <f>IFERROR(VLOOKUP($A69,GanttChart!$A:$JD,264,FALSE),0)</f>
        <v>0</v>
      </c>
      <c r="H69" s="82"/>
      <c r="I69" s="81">
        <f t="shared" si="0"/>
        <v>0</v>
      </c>
    </row>
    <row r="70" spans="1:9" ht="14.25">
      <c r="A70" s="74">
        <v>4</v>
      </c>
      <c r="B70" s="74"/>
      <c r="C70" s="79" t="str">
        <f>IFERROR(VLOOKUP($A70,GanttChart!$A:$JD,2,FALSE),"خطا")</f>
        <v>ارائه خدمات آموزش</v>
      </c>
      <c r="D70" s="80">
        <f>SUM(D71:D91)</f>
        <v>0</v>
      </c>
      <c r="E70" s="80">
        <f>SUM(E71:E91)</f>
        <v>0</v>
      </c>
      <c r="F70" s="80">
        <f>SUM(F71:F91)</f>
        <v>0</v>
      </c>
      <c r="G70" s="81">
        <f>SUM(G71:G91)</f>
        <v>0</v>
      </c>
      <c r="H70" s="203"/>
      <c r="I70" s="81">
        <f t="shared" si="0"/>
        <v>0</v>
      </c>
    </row>
    <row r="71" spans="1:9" ht="14.25" hidden="1">
      <c r="A71" s="74">
        <v>4.0999999999999996</v>
      </c>
      <c r="B71" s="74"/>
      <c r="C71" s="79" t="str">
        <f>IFERROR(VLOOKUP($A71,GanttChart!$A:$JD,2,FALSE),"خطا")</f>
        <v>ارائه طرح آموزش و برنامه زمانبندی و مکانی برگزاری جلسات آموزشی</v>
      </c>
      <c r="D71" s="80">
        <f>IFERROR(VLOOKUP($A71,GanttChart!$A:$JD,261,FALSE),0)</f>
        <v>0</v>
      </c>
      <c r="E71" s="80">
        <f>IFERROR(VLOOKUP($A71,GanttChart!$A:$JD,262,FALSE),0)</f>
        <v>0</v>
      </c>
      <c r="F71" s="80">
        <f>IFERROR(VLOOKUP($A71,GanttChart!$A:$JD,263,FALSE),0)</f>
        <v>0</v>
      </c>
      <c r="G71" s="81">
        <f>IFERROR(VLOOKUP($A71,GanttChart!$A:$JD,264,FALSE),0)</f>
        <v>0</v>
      </c>
      <c r="H71" s="82"/>
      <c r="I71" s="81">
        <f t="shared" si="0"/>
        <v>0</v>
      </c>
    </row>
    <row r="72" spans="1:9" ht="22.5" hidden="1">
      <c r="A72" s="74">
        <v>4.2</v>
      </c>
      <c r="B72" s="74"/>
      <c r="C72" s="79" t="str">
        <f>IFERROR(VLOOKUP($A72,GanttChart!$A:$JD,2,FALSE),"خطا")</f>
        <v>معرفی نمایندگان کارفرما به تفکیک سطوح کاربری دارای دانش و مهارت های پیش نیاز آموزش نرم افزار</v>
      </c>
      <c r="D72" s="80">
        <f>IFERROR(VLOOKUP($A72,GanttChart!$A:$JD,261,FALSE),0)</f>
        <v>0</v>
      </c>
      <c r="E72" s="80">
        <f>IFERROR(VLOOKUP($A72,GanttChart!$A:$JD,262,FALSE),0)</f>
        <v>0</v>
      </c>
      <c r="F72" s="80">
        <f>IFERROR(VLOOKUP($A72,GanttChart!$A:$JD,263,FALSE),0)</f>
        <v>0</v>
      </c>
      <c r="G72" s="81">
        <f>IFERROR(VLOOKUP($A72,GanttChart!$A:$JD,264,FALSE),0)</f>
        <v>0</v>
      </c>
      <c r="H72" s="82"/>
      <c r="I72" s="81">
        <f t="shared" si="0"/>
        <v>0</v>
      </c>
    </row>
    <row r="73" spans="1:9" ht="14.25" hidden="1">
      <c r="A73" s="74">
        <v>4.3</v>
      </c>
      <c r="B73" s="74"/>
      <c r="C73" s="79" t="str">
        <f>IFERROR(VLOOKUP($A73,GanttChart!$A:$JD,2,FALSE),"خطا")</f>
        <v>برگزاری جلسات آموزش کاربری(9 ساعت)</v>
      </c>
      <c r="D73" s="80">
        <f>IFERROR(VLOOKUP($A73,GanttChart!$A:$JD,261,FALSE),0)</f>
        <v>0</v>
      </c>
      <c r="E73" s="80">
        <f>IFERROR(VLOOKUP($A73,GanttChart!$A:$JD,262,FALSE),0)</f>
        <v>0</v>
      </c>
      <c r="F73" s="80">
        <f>IFERROR(VLOOKUP($A73,GanttChart!$A:$JD,263,FALSE),0)</f>
        <v>0</v>
      </c>
      <c r="G73" s="81">
        <f>IFERROR(VLOOKUP($A73,GanttChart!$A:$JD,264,FALSE),0)</f>
        <v>0</v>
      </c>
      <c r="H73" s="82"/>
      <c r="I73" s="81">
        <f t="shared" si="0"/>
        <v>0</v>
      </c>
    </row>
    <row r="74" spans="1:9" ht="14.25" hidden="1">
      <c r="A74" s="74">
        <v>4.4000000000000004</v>
      </c>
      <c r="B74" s="74"/>
      <c r="C74" s="79" t="str">
        <f>IFERROR(VLOOKUP($A74,GanttChart!$A:$JD,2,FALSE),"خطا")</f>
        <v>برگزاری جلسات آموزش  راهبری و مدیریتی  (9 ساعت)</v>
      </c>
      <c r="D74" s="80">
        <f>IFERROR(VLOOKUP($A74,GanttChart!$A:$JD,261,FALSE),0)</f>
        <v>0</v>
      </c>
      <c r="E74" s="80">
        <f>IFERROR(VLOOKUP($A74,GanttChart!$A:$JD,262,FALSE),0)</f>
        <v>0</v>
      </c>
      <c r="F74" s="80">
        <f>IFERROR(VLOOKUP($A74,GanttChart!$A:$JD,263,FALSE),0)</f>
        <v>0</v>
      </c>
      <c r="G74" s="81">
        <f>IFERROR(VLOOKUP($A74,GanttChart!$A:$JD,264,FALSE),0)</f>
        <v>0</v>
      </c>
      <c r="H74" s="82"/>
      <c r="I74" s="81">
        <f t="shared" si="0"/>
        <v>0</v>
      </c>
    </row>
    <row r="75" spans="1:9" ht="14.25" hidden="1">
      <c r="A75" s="74">
        <v>4.5</v>
      </c>
      <c r="B75" s="74"/>
      <c r="C75" s="79" t="str">
        <f>IFERROR(VLOOKUP($A75,GanttChart!$A:$JD,2,FALSE),"خطا")</f>
        <v>برگزاری جلسات آموزش راهبر زیر پورتال (4 ساعت)</v>
      </c>
      <c r="D75" s="80">
        <f>IFERROR(VLOOKUP($A75,GanttChart!$A:$JD,261,FALSE),0)</f>
        <v>0</v>
      </c>
      <c r="E75" s="80">
        <f>IFERROR(VLOOKUP($A75,GanttChart!$A:$JD,262,FALSE),0)</f>
        <v>0</v>
      </c>
      <c r="F75" s="80">
        <f>IFERROR(VLOOKUP($A75,GanttChart!$A:$JD,263,FALSE),0)</f>
        <v>0</v>
      </c>
      <c r="G75" s="81">
        <f>IFERROR(VLOOKUP($A75,GanttChart!$A:$JD,264,FALSE),0)</f>
        <v>0</v>
      </c>
      <c r="H75" s="82"/>
      <c r="I75" s="81">
        <f t="shared" si="0"/>
        <v>0</v>
      </c>
    </row>
    <row r="76" spans="1:9" ht="14.25" hidden="1">
      <c r="A76" s="74">
        <v>4.5999999999999996</v>
      </c>
      <c r="B76" s="74"/>
      <c r="C76" s="79" t="str">
        <f>IFERROR(VLOOKUP($A76,GanttChart!$A:$JD,2,FALSE),"خطا")</f>
        <v>برگزاری جلسات آموزش زیر ساخت توسعه پذیری نرم افزار (6 ساعت)</v>
      </c>
      <c r="D76" s="80">
        <f>IFERROR(VLOOKUP($A76,GanttChart!$A:$JD,261,FALSE),0)</f>
        <v>0</v>
      </c>
      <c r="E76" s="80">
        <f>IFERROR(VLOOKUP($A76,GanttChart!$A:$JD,262,FALSE),0)</f>
        <v>0</v>
      </c>
      <c r="F76" s="80">
        <f>IFERROR(VLOOKUP($A76,GanttChart!$A:$JD,263,FALSE),0)</f>
        <v>0</v>
      </c>
      <c r="G76" s="81">
        <f>IFERROR(VLOOKUP($A76,GanttChart!$A:$JD,264,FALSE),0)</f>
        <v>0</v>
      </c>
      <c r="H76" s="82"/>
      <c r="I76" s="81">
        <f t="shared" si="0"/>
        <v>0</v>
      </c>
    </row>
    <row r="77" spans="1:9" ht="14.25" hidden="1">
      <c r="A77" s="74">
        <v>4.7</v>
      </c>
      <c r="B77" s="74"/>
      <c r="C77" s="79">
        <f>IFERROR(VLOOKUP($A77,GanttChart!$A:$JD,2,FALSE),"خطا")</f>
        <v>0</v>
      </c>
      <c r="D77" s="80">
        <f>IFERROR(VLOOKUP($A77,GanttChart!$A:$JD,261,FALSE),0)</f>
        <v>0</v>
      </c>
      <c r="E77" s="80">
        <f>IFERROR(VLOOKUP($A77,GanttChart!$A:$JD,262,FALSE),0)</f>
        <v>0</v>
      </c>
      <c r="F77" s="80">
        <f>IFERROR(VLOOKUP($A77,GanttChart!$A:$JD,263,FALSE),0)</f>
        <v>0</v>
      </c>
      <c r="G77" s="81">
        <f>IFERROR(VLOOKUP($A77,GanttChart!$A:$JD,264,FALSE),0)</f>
        <v>0</v>
      </c>
      <c r="H77" s="82"/>
      <c r="I77" s="81">
        <f t="shared" si="0"/>
        <v>0</v>
      </c>
    </row>
    <row r="78" spans="1:9" ht="14.25" hidden="1">
      <c r="A78" s="74">
        <v>4.8</v>
      </c>
      <c r="B78" s="74"/>
      <c r="C78" s="79">
        <f>IFERROR(VLOOKUP($A78,GanttChart!$A:$JD,2,FALSE),"خطا")</f>
        <v>0</v>
      </c>
      <c r="D78" s="80">
        <f>IFERROR(VLOOKUP($A78,GanttChart!$A:$JD,261,FALSE),0)</f>
        <v>0</v>
      </c>
      <c r="E78" s="80">
        <f>IFERROR(VLOOKUP($A78,GanttChart!$A:$JD,262,FALSE),0)</f>
        <v>0</v>
      </c>
      <c r="F78" s="80">
        <f>IFERROR(VLOOKUP($A78,GanttChart!$A:$JD,263,FALSE),0)</f>
        <v>0</v>
      </c>
      <c r="G78" s="81">
        <f>IFERROR(VLOOKUP($A78,GanttChart!$A:$JD,264,FALSE),0)</f>
        <v>0</v>
      </c>
      <c r="H78" s="82"/>
      <c r="I78" s="81">
        <f t="shared" si="0"/>
        <v>0</v>
      </c>
    </row>
    <row r="79" spans="1:9" ht="14.25" hidden="1">
      <c r="A79" s="74">
        <v>4.9000000000000004</v>
      </c>
      <c r="B79" s="74"/>
      <c r="C79" s="79">
        <f>IFERROR(VLOOKUP($A79,GanttChart!$A:$JD,2,FALSE),"خطا")</f>
        <v>0</v>
      </c>
      <c r="D79" s="80">
        <f>IFERROR(VLOOKUP($A79,GanttChart!$A:$JD,261,FALSE),0)</f>
        <v>0</v>
      </c>
      <c r="E79" s="80">
        <f>IFERROR(VLOOKUP($A79,GanttChart!$A:$JD,262,FALSE),0)</f>
        <v>0</v>
      </c>
      <c r="F79" s="80">
        <f>IFERROR(VLOOKUP($A79,GanttChart!$A:$JD,263,FALSE),0)</f>
        <v>0</v>
      </c>
      <c r="G79" s="81">
        <f>IFERROR(VLOOKUP($A79,GanttChart!$A:$JD,264,FALSE),0)</f>
        <v>0</v>
      </c>
      <c r="H79" s="82"/>
      <c r="I79" s="81">
        <f t="shared" si="0"/>
        <v>0</v>
      </c>
    </row>
    <row r="80" spans="1:9" ht="14.25" hidden="1">
      <c r="A80" s="74">
        <v>4.1100000000000003</v>
      </c>
      <c r="B80" s="74"/>
      <c r="C80" s="79">
        <f>IFERROR(VLOOKUP($A80,GanttChart!$A:$JD,2,FALSE),"خطا")</f>
        <v>0</v>
      </c>
      <c r="D80" s="80">
        <f>IFERROR(VLOOKUP($A80,GanttChart!$A:$JD,261,FALSE),0)</f>
        <v>0</v>
      </c>
      <c r="E80" s="80">
        <f>IFERROR(VLOOKUP($A80,GanttChart!$A:$JD,262,FALSE),0)</f>
        <v>0</v>
      </c>
      <c r="F80" s="80">
        <f>IFERROR(VLOOKUP($A80,GanttChart!$A:$JD,263,FALSE),0)</f>
        <v>0</v>
      </c>
      <c r="G80" s="81">
        <f>IFERROR(VLOOKUP($A80,GanttChart!$A:$JD,264,FALSE),0)</f>
        <v>0</v>
      </c>
      <c r="H80" s="82"/>
      <c r="I80" s="81">
        <f t="shared" si="0"/>
        <v>0</v>
      </c>
    </row>
    <row r="81" spans="1:12" ht="14.25" hidden="1">
      <c r="A81" s="74">
        <v>4.12</v>
      </c>
      <c r="B81" s="74"/>
      <c r="C81" s="79">
        <f>IFERROR(VLOOKUP($A81,GanttChart!$A:$JD,2,FALSE),"خطا")</f>
        <v>0</v>
      </c>
      <c r="D81" s="80">
        <f>IFERROR(VLOOKUP($A81,GanttChart!$A:$JD,261,FALSE),0)</f>
        <v>0</v>
      </c>
      <c r="E81" s="80">
        <f>IFERROR(VLOOKUP($A81,GanttChart!$A:$JD,262,FALSE),0)</f>
        <v>0</v>
      </c>
      <c r="F81" s="80">
        <f>IFERROR(VLOOKUP($A81,GanttChart!$A:$JD,263,FALSE),0)</f>
        <v>0</v>
      </c>
      <c r="G81" s="81">
        <f>IFERROR(VLOOKUP($A81,GanttChart!$A:$JD,264,FALSE),0)</f>
        <v>0</v>
      </c>
      <c r="H81" s="82"/>
      <c r="I81" s="81">
        <f t="shared" si="0"/>
        <v>0</v>
      </c>
    </row>
    <row r="82" spans="1:12" ht="14.25" hidden="1">
      <c r="A82" s="74">
        <v>4.13</v>
      </c>
      <c r="B82" s="74"/>
      <c r="C82" s="79">
        <f>IFERROR(VLOOKUP($A82,GanttChart!$A:$JD,2,FALSE),"خطا")</f>
        <v>0</v>
      </c>
      <c r="D82" s="80">
        <f>IFERROR(VLOOKUP($A82,GanttChart!$A:$JD,261,FALSE),0)</f>
        <v>0</v>
      </c>
      <c r="E82" s="80">
        <f>IFERROR(VLOOKUP($A82,GanttChart!$A:$JD,262,FALSE),0)</f>
        <v>0</v>
      </c>
      <c r="F82" s="80">
        <f>IFERROR(VLOOKUP($A82,GanttChart!$A:$JD,263,FALSE),0)</f>
        <v>0</v>
      </c>
      <c r="G82" s="81">
        <f>IFERROR(VLOOKUP($A82,GanttChart!$A:$JD,264,FALSE),0)</f>
        <v>0</v>
      </c>
      <c r="H82" s="82"/>
      <c r="I82" s="81">
        <f t="shared" si="0"/>
        <v>0</v>
      </c>
    </row>
    <row r="83" spans="1:12" ht="14.25" hidden="1">
      <c r="A83" s="74">
        <v>4.1399999999999997</v>
      </c>
      <c r="B83" s="74"/>
      <c r="C83" s="79">
        <f>IFERROR(VLOOKUP($A83,GanttChart!$A:$JD,2,FALSE),"خطا")</f>
        <v>0</v>
      </c>
      <c r="D83" s="80">
        <f>IFERROR(VLOOKUP($A83,GanttChart!$A:$JD,261,FALSE),0)</f>
        <v>0</v>
      </c>
      <c r="E83" s="80">
        <f>IFERROR(VLOOKUP($A83,GanttChart!$A:$JD,262,FALSE),0)</f>
        <v>0</v>
      </c>
      <c r="F83" s="80">
        <f>IFERROR(VLOOKUP($A83,GanttChart!$A:$JD,263,FALSE),0)</f>
        <v>0</v>
      </c>
      <c r="G83" s="81">
        <f>IFERROR(VLOOKUP($A83,GanttChart!$A:$JD,264,FALSE),0)</f>
        <v>0</v>
      </c>
      <c r="H83" s="82"/>
      <c r="I83" s="81">
        <f t="shared" si="0"/>
        <v>0</v>
      </c>
    </row>
    <row r="84" spans="1:12" ht="14.25" hidden="1">
      <c r="A84" s="74">
        <v>4.1500000000000004</v>
      </c>
      <c r="B84" s="74"/>
      <c r="C84" s="79">
        <f>IFERROR(VLOOKUP($A84,GanttChart!$A:$JD,2,FALSE),"خطا")</f>
        <v>0</v>
      </c>
      <c r="D84" s="80">
        <f>IFERROR(VLOOKUP($A84,GanttChart!$A:$JD,261,FALSE),0)</f>
        <v>0</v>
      </c>
      <c r="E84" s="80">
        <f>IFERROR(VLOOKUP($A84,GanttChart!$A:$JD,262,FALSE),0)</f>
        <v>0</v>
      </c>
      <c r="F84" s="80">
        <f>IFERROR(VLOOKUP($A84,GanttChart!$A:$JD,263,FALSE),0)</f>
        <v>0</v>
      </c>
      <c r="G84" s="81">
        <f>IFERROR(VLOOKUP($A84,GanttChart!$A:$JD,264,FALSE),0)</f>
        <v>0</v>
      </c>
      <c r="H84" s="82"/>
      <c r="I84" s="81">
        <f t="shared" si="0"/>
        <v>0</v>
      </c>
    </row>
    <row r="85" spans="1:12" ht="14.25" hidden="1">
      <c r="A85" s="74">
        <v>4.16</v>
      </c>
      <c r="B85" s="74"/>
      <c r="C85" s="79">
        <f>IFERROR(VLOOKUP($A85,GanttChart!$A:$JD,2,FALSE),"خطا")</f>
        <v>0</v>
      </c>
      <c r="D85" s="80">
        <f>IFERROR(VLOOKUP($A85,GanttChart!$A:$JD,261,FALSE),0)</f>
        <v>0</v>
      </c>
      <c r="E85" s="80">
        <f>IFERROR(VLOOKUP($A85,GanttChart!$A:$JD,262,FALSE),0)</f>
        <v>0</v>
      </c>
      <c r="F85" s="80">
        <f>IFERROR(VLOOKUP($A85,GanttChart!$A:$JD,263,FALSE),0)</f>
        <v>0</v>
      </c>
      <c r="G85" s="81">
        <f>IFERROR(VLOOKUP($A85,GanttChart!$A:$JD,264,FALSE),0)</f>
        <v>0</v>
      </c>
      <c r="H85" s="82"/>
      <c r="I85" s="81">
        <f t="shared" si="0"/>
        <v>0</v>
      </c>
    </row>
    <row r="86" spans="1:12" ht="14.25" hidden="1">
      <c r="A86" s="74">
        <v>4.17</v>
      </c>
      <c r="B86" s="74"/>
      <c r="C86" s="79">
        <f>IFERROR(VLOOKUP($A86,GanttChart!$A:$JD,2,FALSE),"خطا")</f>
        <v>0</v>
      </c>
      <c r="D86" s="80">
        <f>IFERROR(VLOOKUP($A86,GanttChart!$A:$JD,261,FALSE),0)</f>
        <v>0</v>
      </c>
      <c r="E86" s="80">
        <f>IFERROR(VLOOKUP($A86,GanttChart!$A:$JD,262,FALSE),0)</f>
        <v>0</v>
      </c>
      <c r="F86" s="80">
        <f>IFERROR(VLOOKUP($A86,GanttChart!$A:$JD,263,FALSE),0)</f>
        <v>0</v>
      </c>
      <c r="G86" s="81">
        <f>IFERROR(VLOOKUP($A86,GanttChart!$A:$JD,264,FALSE),0)</f>
        <v>0</v>
      </c>
      <c r="H86" s="82"/>
      <c r="I86" s="81">
        <f t="shared" si="0"/>
        <v>0</v>
      </c>
    </row>
    <row r="87" spans="1:12" ht="14.25" hidden="1">
      <c r="A87" s="74">
        <v>4.18</v>
      </c>
      <c r="B87" s="74"/>
      <c r="C87" s="79">
        <f>IFERROR(VLOOKUP($A87,GanttChart!$A:$JD,2,FALSE),"خطا")</f>
        <v>0</v>
      </c>
      <c r="D87" s="80">
        <f>IFERROR(VLOOKUP($A87,GanttChart!$A:$JD,261,FALSE),0)</f>
        <v>0</v>
      </c>
      <c r="E87" s="80">
        <f>IFERROR(VLOOKUP($A87,GanttChart!$A:$JD,262,FALSE),0)</f>
        <v>0</v>
      </c>
      <c r="F87" s="80">
        <f>IFERROR(VLOOKUP($A87,GanttChart!$A:$JD,263,FALSE),0)</f>
        <v>0</v>
      </c>
      <c r="G87" s="81">
        <f>IFERROR(VLOOKUP($A87,GanttChart!$A:$JD,264,FALSE),0)</f>
        <v>0</v>
      </c>
      <c r="H87" s="82"/>
      <c r="I87" s="81">
        <f t="shared" si="0"/>
        <v>0</v>
      </c>
    </row>
    <row r="88" spans="1:12" ht="14.25" hidden="1">
      <c r="A88" s="74">
        <v>4.1900000000000004</v>
      </c>
      <c r="B88" s="74"/>
      <c r="C88" s="79">
        <f>IFERROR(VLOOKUP($A88,GanttChart!$A:$JD,2,FALSE),"خطا")</f>
        <v>0</v>
      </c>
      <c r="D88" s="80">
        <f>IFERROR(VLOOKUP($A88,GanttChart!$A:$JD,261,FALSE),0)</f>
        <v>0</v>
      </c>
      <c r="E88" s="80">
        <f>IFERROR(VLOOKUP($A88,GanttChart!$A:$JD,262,FALSE),0)</f>
        <v>0</v>
      </c>
      <c r="F88" s="80">
        <f>IFERROR(VLOOKUP($A88,GanttChart!$A:$JD,263,FALSE),0)</f>
        <v>0</v>
      </c>
      <c r="G88" s="81">
        <f>IFERROR(VLOOKUP($A88,GanttChart!$A:$JD,264,FALSE),0)</f>
        <v>0</v>
      </c>
      <c r="H88" s="82"/>
      <c r="I88" s="81">
        <f t="shared" si="0"/>
        <v>0</v>
      </c>
    </row>
    <row r="89" spans="1:12" ht="14.25" hidden="1">
      <c r="A89" s="74">
        <v>4.21</v>
      </c>
      <c r="B89" s="74"/>
      <c r="C89" s="79">
        <f>IFERROR(VLOOKUP($A89,GanttChart!$A:$JD,2,FALSE),"خطا")</f>
        <v>0</v>
      </c>
      <c r="D89" s="80">
        <f>IFERROR(VLOOKUP($A89,GanttChart!$A:$JD,261,FALSE),0)</f>
        <v>0</v>
      </c>
      <c r="E89" s="80">
        <f>IFERROR(VLOOKUP($A89,GanttChart!$A:$JD,262,FALSE),0)</f>
        <v>0</v>
      </c>
      <c r="F89" s="80">
        <f>IFERROR(VLOOKUP($A89,GanttChart!$A:$JD,263,FALSE),0)</f>
        <v>0</v>
      </c>
      <c r="G89" s="81">
        <f>IFERROR(VLOOKUP($A89,GanttChart!$A:$JD,264,FALSE),0)</f>
        <v>0</v>
      </c>
      <c r="H89" s="82"/>
      <c r="I89" s="81">
        <f t="shared" si="0"/>
        <v>0</v>
      </c>
    </row>
    <row r="90" spans="1:12" ht="14.25" hidden="1">
      <c r="A90" s="74">
        <v>4.22</v>
      </c>
      <c r="B90" s="74"/>
      <c r="C90" s="79">
        <f>IFERROR(VLOOKUP($A90,GanttChart!$A:$JD,2,FALSE),"خطا")</f>
        <v>0</v>
      </c>
      <c r="D90" s="80">
        <f>IFERROR(VLOOKUP($A90,GanttChart!$A:$JD,261,FALSE),0)</f>
        <v>0</v>
      </c>
      <c r="E90" s="80">
        <f>IFERROR(VLOOKUP($A90,GanttChart!$A:$JD,262,FALSE),0)</f>
        <v>0</v>
      </c>
      <c r="F90" s="80">
        <f>IFERROR(VLOOKUP($A90,GanttChart!$A:$JD,263,FALSE),0)</f>
        <v>0</v>
      </c>
      <c r="G90" s="81">
        <f>IFERROR(VLOOKUP($A90,GanttChart!$A:$JD,264,FALSE),0)</f>
        <v>0</v>
      </c>
      <c r="H90" s="82"/>
      <c r="I90" s="81">
        <f t="shared" si="0"/>
        <v>0</v>
      </c>
    </row>
    <row r="91" spans="1:12" ht="14.25" hidden="1">
      <c r="A91" s="74">
        <v>4.2300000000000004</v>
      </c>
      <c r="B91" s="74"/>
      <c r="C91" s="79">
        <f>IFERROR(VLOOKUP($A91,GanttChart!$A:$JD,2,FALSE),"خطا")</f>
        <v>0</v>
      </c>
      <c r="D91" s="80">
        <f>IFERROR(VLOOKUP($A91,GanttChart!$A:$JD,261,FALSE),0)</f>
        <v>0</v>
      </c>
      <c r="E91" s="80">
        <f>IFERROR(VLOOKUP($A91,GanttChart!$A:$JD,262,FALSE),0)</f>
        <v>0</v>
      </c>
      <c r="F91" s="80">
        <f>IFERROR(VLOOKUP($A91,GanttChart!$A:$JD,263,FALSE),0)</f>
        <v>0</v>
      </c>
      <c r="G91" s="81">
        <f>IFERROR(VLOOKUP($A91,GanttChart!$A:$JD,264,FALSE),0)</f>
        <v>0</v>
      </c>
      <c r="H91" s="82"/>
      <c r="I91" s="81">
        <f t="shared" si="0"/>
        <v>0</v>
      </c>
    </row>
    <row r="92" spans="1:12" ht="14.25">
      <c r="A92" s="74">
        <v>5</v>
      </c>
      <c r="B92" s="74"/>
      <c r="C92" s="79" t="str">
        <f>IFERROR(VLOOKUP($A92,GanttChart!$A:$JD,2,FALSE),"خطا")</f>
        <v>کانورت مکانیزه اطلاعات</v>
      </c>
      <c r="D92" s="80">
        <f>SUM(D93:D113)</f>
        <v>0</v>
      </c>
      <c r="E92" s="80">
        <f>SUM(E93:E113)</f>
        <v>0</v>
      </c>
      <c r="F92" s="80">
        <f>SUM(F93:F113)</f>
        <v>0</v>
      </c>
      <c r="G92" s="81">
        <f>SUM(G93:G113)</f>
        <v>0</v>
      </c>
      <c r="H92" s="203"/>
      <c r="I92" s="81">
        <f t="shared" si="0"/>
        <v>0</v>
      </c>
    </row>
    <row r="93" spans="1:12" ht="14.25" hidden="1">
      <c r="A93" s="74">
        <v>5.0999999999999996</v>
      </c>
      <c r="C93" s="79" t="str">
        <f>IFERROR(VLOOKUP($A93,GanttChart!$A:$JD,2,FALSE),"خطا")</f>
        <v>اعلام ماژول های محتوایی کارفرما</v>
      </c>
      <c r="D93" s="80">
        <f>IFERROR(VLOOKUP($A93,GanttChart!$A:$JD,261,FALSE),0)</f>
        <v>0</v>
      </c>
      <c r="E93" s="80">
        <f>IFERROR(VLOOKUP($A93,GanttChart!$A:$JD,262,FALSE),0)</f>
        <v>0</v>
      </c>
      <c r="F93" s="80">
        <f>IFERROR(VLOOKUP($A93,GanttChart!$A:$JD,263,FALSE),0)</f>
        <v>0</v>
      </c>
      <c r="G93" s="81">
        <f>IFERROR(VLOOKUP($A93,GanttChart!$A:$JD,264,FALSE),0)</f>
        <v>0</v>
      </c>
      <c r="H93" s="82"/>
      <c r="I93" s="81">
        <f t="shared" si="0"/>
        <v>0</v>
      </c>
      <c r="K93" s="78"/>
      <c r="L93" s="84"/>
    </row>
    <row r="94" spans="1:12" ht="14.25" hidden="1">
      <c r="A94" s="74">
        <v>5.2</v>
      </c>
      <c r="C94" s="79" t="str">
        <f>IFERROR(VLOOKUP($A94,GanttChart!$A:$JD,2,FALSE),"خطا")</f>
        <v>ارایه فایل های اکسل ماژول های محتوایی اعلام شده از طرف کارفرما</v>
      </c>
      <c r="D94" s="80">
        <f>IFERROR(VLOOKUP($A94,GanttChart!$A:$JD,261,FALSE),0)</f>
        <v>0</v>
      </c>
      <c r="E94" s="80">
        <f>IFERROR(VLOOKUP($A94,GanttChart!$A:$JD,262,FALSE),0)</f>
        <v>0</v>
      </c>
      <c r="F94" s="80">
        <f>IFERROR(VLOOKUP($A94,GanttChart!$A:$JD,263,FALSE),0)</f>
        <v>0</v>
      </c>
      <c r="G94" s="81">
        <f>IFERROR(VLOOKUP($A94,GanttChart!$A:$JD,264,FALSE),0)</f>
        <v>0</v>
      </c>
      <c r="H94" s="82"/>
      <c r="I94" s="81">
        <f t="shared" si="0"/>
        <v>0</v>
      </c>
    </row>
    <row r="95" spans="1:12" ht="14.25" hidden="1">
      <c r="A95" s="74">
        <v>5.3</v>
      </c>
      <c r="C95" s="79" t="str">
        <f>IFERROR(VLOOKUP($A95,GanttChart!$A:$JD,2,FALSE),"خطا")</f>
        <v>تکمیل و ارسال اطلاعات</v>
      </c>
      <c r="D95" s="80">
        <f>IFERROR(VLOOKUP($A95,GanttChart!$A:$JD,261,FALSE),0)</f>
        <v>0</v>
      </c>
      <c r="E95" s="80">
        <f>IFERROR(VLOOKUP($A95,GanttChart!$A:$JD,262,FALSE),0)</f>
        <v>0</v>
      </c>
      <c r="F95" s="80">
        <f>IFERROR(VLOOKUP($A95,GanttChart!$A:$JD,263,FALSE),0)</f>
        <v>0</v>
      </c>
      <c r="G95" s="81">
        <f>IFERROR(VLOOKUP($A95,GanttChart!$A:$JD,264,FALSE),0)</f>
        <v>0</v>
      </c>
      <c r="H95" s="82"/>
      <c r="I95" s="81">
        <f t="shared" si="0"/>
        <v>0</v>
      </c>
    </row>
    <row r="96" spans="1:12" ht="14.25" hidden="1">
      <c r="A96" s="74">
        <v>5.4</v>
      </c>
      <c r="C96" s="79" t="str">
        <f>IFERROR(VLOOKUP($A96,GanttChart!$A:$JD,2,FALSE),"خطا")</f>
        <v>کانورت مکانیزه اطلاعات</v>
      </c>
      <c r="D96" s="80">
        <f>IFERROR(VLOOKUP($A96,GanttChart!$A:$JD,261,FALSE),0)</f>
        <v>0</v>
      </c>
      <c r="E96" s="80">
        <f>IFERROR(VLOOKUP($A96,GanttChart!$A:$JD,262,FALSE),0)</f>
        <v>0</v>
      </c>
      <c r="F96" s="80">
        <f>IFERROR(VLOOKUP($A96,GanttChart!$A:$JD,263,FALSE),0)</f>
        <v>0</v>
      </c>
      <c r="G96" s="81">
        <f>IFERROR(VLOOKUP($A96,GanttChart!$A:$JD,264,FALSE),0)</f>
        <v>0</v>
      </c>
      <c r="H96" s="82"/>
      <c r="I96" s="81">
        <f t="shared" si="0"/>
        <v>0</v>
      </c>
    </row>
    <row r="97" spans="1:9" ht="14.25" hidden="1">
      <c r="A97" s="74">
        <v>5.5</v>
      </c>
      <c r="C97" s="79" t="str">
        <f>IFERROR(VLOOKUP($A97,GanttChart!$A:$JD,2,FALSE),"خطا")</f>
        <v>تصحیح محتوای درج شده به صورت مکانیزه در زیر ساخت جدید</v>
      </c>
      <c r="D97" s="80">
        <f>IFERROR(VLOOKUP($A97,GanttChart!$A:$JD,261,FALSE),0)</f>
        <v>0</v>
      </c>
      <c r="E97" s="80">
        <f>IFERROR(VLOOKUP($A97,GanttChart!$A:$JD,262,FALSE),0)</f>
        <v>0</v>
      </c>
      <c r="F97" s="80">
        <f>IFERROR(VLOOKUP($A97,GanttChart!$A:$JD,263,FALSE),0)</f>
        <v>0</v>
      </c>
      <c r="G97" s="81">
        <f>IFERROR(VLOOKUP($A97,GanttChart!$A:$JD,264,FALSE),0)</f>
        <v>0</v>
      </c>
      <c r="H97" s="82"/>
      <c r="I97" s="81">
        <f t="shared" si="0"/>
        <v>0</v>
      </c>
    </row>
    <row r="98" spans="1:9" ht="22.5" hidden="1">
      <c r="A98" s="74">
        <v>5.6</v>
      </c>
      <c r="C98" s="79" t="str">
        <f>IFERROR(VLOOKUP($A98,GanttChart!$A:$JD,2,FALSE),"خطا")</f>
        <v>تکمیل محتوای درج شده در وب سایت قبلی حد فاصل زمان انتقال اطلاعات در پورتال جدید</v>
      </c>
      <c r="D98" s="80">
        <f>IFERROR(VLOOKUP($A98,GanttChart!$A:$JD,261,FALSE),0)</f>
        <v>0</v>
      </c>
      <c r="E98" s="80">
        <f>IFERROR(VLOOKUP($A98,GanttChart!$A:$JD,262,FALSE),0)</f>
        <v>0</v>
      </c>
      <c r="F98" s="80">
        <f>IFERROR(VLOOKUP($A98,GanttChart!$A:$JD,263,FALSE),0)</f>
        <v>0</v>
      </c>
      <c r="G98" s="81">
        <f>IFERROR(VLOOKUP($A98,GanttChart!$A:$JD,264,FALSE),0)</f>
        <v>0</v>
      </c>
      <c r="H98" s="82"/>
      <c r="I98" s="81">
        <f t="shared" si="0"/>
        <v>0</v>
      </c>
    </row>
    <row r="99" spans="1:9" ht="14.25" hidden="1">
      <c r="A99" s="74">
        <v>5.7</v>
      </c>
      <c r="C99" s="79">
        <f>IFERROR(VLOOKUP($A99,GanttChart!$A:$JD,2,FALSE),"خطا")</f>
        <v>0</v>
      </c>
      <c r="D99" s="80">
        <f>IFERROR(VLOOKUP($A99,GanttChart!$A:$JD,261,FALSE),0)</f>
        <v>0</v>
      </c>
      <c r="E99" s="80">
        <f>IFERROR(VLOOKUP($A99,GanttChart!$A:$JD,262,FALSE),0)</f>
        <v>0</v>
      </c>
      <c r="F99" s="80">
        <f>IFERROR(VLOOKUP($A99,GanttChart!$A:$JD,263,FALSE),0)</f>
        <v>0</v>
      </c>
      <c r="G99" s="81">
        <f>IFERROR(VLOOKUP($A99,GanttChart!$A:$JD,264,FALSE),0)</f>
        <v>0</v>
      </c>
      <c r="H99" s="82"/>
      <c r="I99" s="81">
        <f t="shared" si="0"/>
        <v>0</v>
      </c>
    </row>
    <row r="100" spans="1:9" ht="14.25" hidden="1">
      <c r="A100" s="74">
        <v>5.8</v>
      </c>
      <c r="C100" s="79">
        <f>IFERROR(VLOOKUP($A100,GanttChart!$A:$JD,2,FALSE),"خطا")</f>
        <v>0</v>
      </c>
      <c r="D100" s="80">
        <f>IFERROR(VLOOKUP($A100,GanttChart!$A:$JD,261,FALSE),0)</f>
        <v>0</v>
      </c>
      <c r="E100" s="80">
        <f>IFERROR(VLOOKUP($A100,GanttChart!$A:$JD,262,FALSE),0)</f>
        <v>0</v>
      </c>
      <c r="F100" s="80">
        <f>IFERROR(VLOOKUP($A100,GanttChart!$A:$JD,263,FALSE),0)</f>
        <v>0</v>
      </c>
      <c r="G100" s="81">
        <f>IFERROR(VLOOKUP($A100,GanttChart!$A:$JD,264,FALSE),0)</f>
        <v>0</v>
      </c>
      <c r="H100" s="82"/>
      <c r="I100" s="81">
        <f t="shared" si="0"/>
        <v>0</v>
      </c>
    </row>
    <row r="101" spans="1:9" ht="14.25" hidden="1">
      <c r="A101" s="74">
        <v>5.9</v>
      </c>
      <c r="C101" s="79">
        <f>IFERROR(VLOOKUP($A101,GanttChart!$A:$JD,2,FALSE),"خطا")</f>
        <v>0</v>
      </c>
      <c r="D101" s="80">
        <f>IFERROR(VLOOKUP($A101,GanttChart!$A:$JD,261,FALSE),0)</f>
        <v>0</v>
      </c>
      <c r="E101" s="80">
        <f>IFERROR(VLOOKUP($A101,GanttChart!$A:$JD,262,FALSE),0)</f>
        <v>0</v>
      </c>
      <c r="F101" s="80">
        <f>IFERROR(VLOOKUP($A101,GanttChart!$A:$JD,263,FALSE),0)</f>
        <v>0</v>
      </c>
      <c r="G101" s="81">
        <f>IFERROR(VLOOKUP($A101,GanttChart!$A:$JD,264,FALSE),0)</f>
        <v>0</v>
      </c>
      <c r="H101" s="82"/>
      <c r="I101" s="81">
        <f t="shared" si="0"/>
        <v>0</v>
      </c>
    </row>
    <row r="102" spans="1:9" ht="14.25" hidden="1">
      <c r="A102" s="74">
        <v>5.1100000000000003</v>
      </c>
      <c r="C102" s="79">
        <f>IFERROR(VLOOKUP($A102,GanttChart!$A:$JD,2,FALSE),"خطا")</f>
        <v>0</v>
      </c>
      <c r="D102" s="80">
        <f>IFERROR(VLOOKUP($A102,GanttChart!$A:$JD,261,FALSE),0)</f>
        <v>0</v>
      </c>
      <c r="E102" s="80">
        <f>IFERROR(VLOOKUP($A102,GanttChart!$A:$JD,262,FALSE),0)</f>
        <v>0</v>
      </c>
      <c r="F102" s="80">
        <f>IFERROR(VLOOKUP($A102,GanttChart!$A:$JD,263,FALSE),0)</f>
        <v>0</v>
      </c>
      <c r="G102" s="81">
        <f>IFERROR(VLOOKUP($A102,GanttChart!$A:$JD,264,FALSE),0)</f>
        <v>0</v>
      </c>
      <c r="H102" s="82"/>
      <c r="I102" s="81">
        <f t="shared" si="0"/>
        <v>0</v>
      </c>
    </row>
    <row r="103" spans="1:9" ht="14.25" hidden="1">
      <c r="A103" s="74">
        <v>5.12</v>
      </c>
      <c r="C103" s="79">
        <f>IFERROR(VLOOKUP($A103,GanttChart!$A:$JD,2,FALSE),"خطا")</f>
        <v>0</v>
      </c>
      <c r="D103" s="80">
        <f>IFERROR(VLOOKUP($A103,GanttChart!$A:$JD,261,FALSE),0)</f>
        <v>0</v>
      </c>
      <c r="E103" s="80">
        <f>IFERROR(VLOOKUP($A103,GanttChart!$A:$JD,262,FALSE),0)</f>
        <v>0</v>
      </c>
      <c r="F103" s="80">
        <f>IFERROR(VLOOKUP($A103,GanttChart!$A:$JD,263,FALSE),0)</f>
        <v>0</v>
      </c>
      <c r="G103" s="81">
        <f>IFERROR(VLOOKUP($A103,GanttChart!$A:$JD,264,FALSE),0)</f>
        <v>0</v>
      </c>
      <c r="H103" s="82"/>
      <c r="I103" s="81">
        <f t="shared" si="0"/>
        <v>0</v>
      </c>
    </row>
    <row r="104" spans="1:9" ht="14.25" hidden="1">
      <c r="A104" s="74">
        <v>5.13</v>
      </c>
      <c r="C104" s="79">
        <f>IFERROR(VLOOKUP($A104,GanttChart!$A:$JD,2,FALSE),"خطا")</f>
        <v>0</v>
      </c>
      <c r="D104" s="80">
        <f>IFERROR(VLOOKUP($A104,GanttChart!$A:$JD,261,FALSE),0)</f>
        <v>0</v>
      </c>
      <c r="E104" s="80">
        <f>IFERROR(VLOOKUP($A104,GanttChart!$A:$JD,262,FALSE),0)</f>
        <v>0</v>
      </c>
      <c r="F104" s="80">
        <f>IFERROR(VLOOKUP($A104,GanttChart!$A:$JD,263,FALSE),0)</f>
        <v>0</v>
      </c>
      <c r="G104" s="81">
        <f>IFERROR(VLOOKUP($A104,GanttChart!$A:$JD,264,FALSE),0)</f>
        <v>0</v>
      </c>
      <c r="H104" s="82"/>
      <c r="I104" s="81">
        <f t="shared" si="0"/>
        <v>0</v>
      </c>
    </row>
    <row r="105" spans="1:9" ht="14.25" hidden="1">
      <c r="A105" s="74">
        <v>5.14</v>
      </c>
      <c r="C105" s="79">
        <f>IFERROR(VLOOKUP($A105,GanttChart!$A:$JD,2,FALSE),"خطا")</f>
        <v>0</v>
      </c>
      <c r="D105" s="80">
        <f>IFERROR(VLOOKUP($A105,GanttChart!$A:$JD,261,FALSE),0)</f>
        <v>0</v>
      </c>
      <c r="E105" s="80">
        <f>IFERROR(VLOOKUP($A105,GanttChart!$A:$JD,262,FALSE),0)</f>
        <v>0</v>
      </c>
      <c r="F105" s="80">
        <f>IFERROR(VLOOKUP($A105,GanttChart!$A:$JD,263,FALSE),0)</f>
        <v>0</v>
      </c>
      <c r="G105" s="81">
        <f>IFERROR(VLOOKUP($A105,GanttChart!$A:$JD,264,FALSE),0)</f>
        <v>0</v>
      </c>
      <c r="H105" s="82"/>
      <c r="I105" s="81">
        <f t="shared" si="0"/>
        <v>0</v>
      </c>
    </row>
    <row r="106" spans="1:9" ht="14.25" hidden="1">
      <c r="A106" s="74">
        <v>5.15</v>
      </c>
      <c r="C106" s="79">
        <f>IFERROR(VLOOKUP($A106,GanttChart!$A:$JD,2,FALSE),"خطا")</f>
        <v>0</v>
      </c>
      <c r="D106" s="80">
        <f>IFERROR(VLOOKUP($A106,GanttChart!$A:$JD,261,FALSE),0)</f>
        <v>0</v>
      </c>
      <c r="E106" s="80">
        <f>IFERROR(VLOOKUP($A106,GanttChart!$A:$JD,262,FALSE),0)</f>
        <v>0</v>
      </c>
      <c r="F106" s="80">
        <f>IFERROR(VLOOKUP($A106,GanttChart!$A:$JD,263,FALSE),0)</f>
        <v>0</v>
      </c>
      <c r="G106" s="81">
        <f>IFERROR(VLOOKUP($A106,GanttChart!$A:$JD,264,FALSE),0)</f>
        <v>0</v>
      </c>
      <c r="H106" s="82"/>
      <c r="I106" s="81">
        <f t="shared" si="0"/>
        <v>0</v>
      </c>
    </row>
    <row r="107" spans="1:9" ht="14.25" hidden="1">
      <c r="A107" s="74">
        <v>5.16</v>
      </c>
      <c r="C107" s="79">
        <f>IFERROR(VLOOKUP($A107,GanttChart!$A:$JD,2,FALSE),"خطا")</f>
        <v>0</v>
      </c>
      <c r="D107" s="80">
        <f>IFERROR(VLOOKUP($A107,GanttChart!$A:$JD,261,FALSE),0)</f>
        <v>0</v>
      </c>
      <c r="E107" s="80">
        <f>IFERROR(VLOOKUP($A107,GanttChart!$A:$JD,262,FALSE),0)</f>
        <v>0</v>
      </c>
      <c r="F107" s="80">
        <f>IFERROR(VLOOKUP($A107,GanttChart!$A:$JD,263,FALSE),0)</f>
        <v>0</v>
      </c>
      <c r="G107" s="81">
        <f>IFERROR(VLOOKUP($A107,GanttChart!$A:$JD,264,FALSE),0)</f>
        <v>0</v>
      </c>
      <c r="H107" s="82"/>
      <c r="I107" s="81">
        <f t="shared" si="0"/>
        <v>0</v>
      </c>
    </row>
    <row r="108" spans="1:9" ht="14.25" hidden="1">
      <c r="A108" s="74">
        <v>5.17</v>
      </c>
      <c r="C108" s="79">
        <f>IFERROR(VLOOKUP($A108,GanttChart!$A:$JD,2,FALSE),"خطا")</f>
        <v>0</v>
      </c>
      <c r="D108" s="80">
        <f>IFERROR(VLOOKUP($A108,GanttChart!$A:$JD,261,FALSE),0)</f>
        <v>0</v>
      </c>
      <c r="E108" s="80">
        <f>IFERROR(VLOOKUP($A108,GanttChart!$A:$JD,262,FALSE),0)</f>
        <v>0</v>
      </c>
      <c r="F108" s="80">
        <f>IFERROR(VLOOKUP($A108,GanttChart!$A:$JD,263,FALSE),0)</f>
        <v>0</v>
      </c>
      <c r="G108" s="81">
        <f>IFERROR(VLOOKUP($A108,GanttChart!$A:$JD,264,FALSE),0)</f>
        <v>0</v>
      </c>
      <c r="H108" s="82"/>
      <c r="I108" s="81">
        <f t="shared" si="0"/>
        <v>0</v>
      </c>
    </row>
    <row r="109" spans="1:9" ht="14.25" hidden="1">
      <c r="A109" s="74">
        <v>5.18</v>
      </c>
      <c r="C109" s="79">
        <f>IFERROR(VLOOKUP($A109,GanttChart!$A:$JD,2,FALSE),"خطا")</f>
        <v>0</v>
      </c>
      <c r="D109" s="80">
        <f>IFERROR(VLOOKUP($A109,GanttChart!$A:$JD,261,FALSE),0)</f>
        <v>0</v>
      </c>
      <c r="E109" s="80">
        <f>IFERROR(VLOOKUP($A109,GanttChart!$A:$JD,262,FALSE),0)</f>
        <v>0</v>
      </c>
      <c r="F109" s="80">
        <f>IFERROR(VLOOKUP($A109,GanttChart!$A:$JD,263,FALSE),0)</f>
        <v>0</v>
      </c>
      <c r="G109" s="81">
        <f>IFERROR(VLOOKUP($A109,GanttChart!$A:$JD,264,FALSE),0)</f>
        <v>0</v>
      </c>
      <c r="H109" s="82"/>
      <c r="I109" s="81">
        <f t="shared" si="0"/>
        <v>0</v>
      </c>
    </row>
    <row r="110" spans="1:9" ht="14.25" hidden="1">
      <c r="A110" s="74">
        <v>5.19</v>
      </c>
      <c r="C110" s="79">
        <f>IFERROR(VLOOKUP($A110,GanttChart!$A:$JD,2,FALSE),"خطا")</f>
        <v>0</v>
      </c>
      <c r="D110" s="80">
        <f>IFERROR(VLOOKUP($A110,GanttChart!$A:$JD,261,FALSE),0)</f>
        <v>0</v>
      </c>
      <c r="E110" s="80">
        <f>IFERROR(VLOOKUP($A110,GanttChart!$A:$JD,262,FALSE),0)</f>
        <v>0</v>
      </c>
      <c r="F110" s="80">
        <f>IFERROR(VLOOKUP($A110,GanttChart!$A:$JD,263,FALSE),0)</f>
        <v>0</v>
      </c>
      <c r="G110" s="81">
        <f>IFERROR(VLOOKUP($A110,GanttChart!$A:$JD,264,FALSE),0)</f>
        <v>0</v>
      </c>
      <c r="H110" s="82"/>
      <c r="I110" s="81">
        <f t="shared" si="0"/>
        <v>0</v>
      </c>
    </row>
    <row r="111" spans="1:9" ht="14.25" hidden="1">
      <c r="A111" s="74">
        <v>5.21</v>
      </c>
      <c r="C111" s="79">
        <f>IFERROR(VLOOKUP($A111,GanttChart!$A:$JD,2,FALSE),"خطا")</f>
        <v>0</v>
      </c>
      <c r="D111" s="80">
        <f>IFERROR(VLOOKUP($A111,GanttChart!$A:$JD,261,FALSE),0)</f>
        <v>0</v>
      </c>
      <c r="E111" s="80">
        <f>IFERROR(VLOOKUP($A111,GanttChart!$A:$JD,262,FALSE),0)</f>
        <v>0</v>
      </c>
      <c r="F111" s="80">
        <f>IFERROR(VLOOKUP($A111,GanttChart!$A:$JD,263,FALSE),0)</f>
        <v>0</v>
      </c>
      <c r="G111" s="81">
        <f>IFERROR(VLOOKUP($A111,GanttChart!$A:$JD,264,FALSE),0)</f>
        <v>0</v>
      </c>
      <c r="H111" s="82"/>
      <c r="I111" s="81">
        <f t="shared" si="0"/>
        <v>0</v>
      </c>
    </row>
    <row r="112" spans="1:9" ht="14.25" hidden="1">
      <c r="A112" s="74">
        <v>5.22</v>
      </c>
      <c r="C112" s="79">
        <f>IFERROR(VLOOKUP($A112,GanttChart!$A:$JD,2,FALSE),"خطا")</f>
        <v>0</v>
      </c>
      <c r="D112" s="80">
        <f>IFERROR(VLOOKUP($A112,GanttChart!$A:$JD,261,FALSE),0)</f>
        <v>0</v>
      </c>
      <c r="E112" s="80">
        <f>IFERROR(VLOOKUP($A112,GanttChart!$A:$JD,262,FALSE),0)</f>
        <v>0</v>
      </c>
      <c r="F112" s="80">
        <f>IFERROR(VLOOKUP($A112,GanttChart!$A:$JD,263,FALSE),0)</f>
        <v>0</v>
      </c>
      <c r="G112" s="81">
        <f>IFERROR(VLOOKUP($A112,GanttChart!$A:$JD,264,FALSE),0)</f>
        <v>0</v>
      </c>
      <c r="H112" s="82"/>
      <c r="I112" s="81">
        <f t="shared" si="0"/>
        <v>0</v>
      </c>
    </row>
    <row r="113" spans="1:9" ht="14.25" hidden="1">
      <c r="A113" s="74">
        <v>5.23</v>
      </c>
      <c r="C113" s="79">
        <f>IFERROR(VLOOKUP($A113,GanttChart!$A:$JD,2,FALSE),"خطا")</f>
        <v>0</v>
      </c>
      <c r="D113" s="80">
        <f>IFERROR(VLOOKUP($A113,GanttChart!$A:$JD,261,FALSE),0)</f>
        <v>0</v>
      </c>
      <c r="E113" s="80">
        <f>IFERROR(VLOOKUP($A113,GanttChart!$A:$JD,262,FALSE),0)</f>
        <v>0</v>
      </c>
      <c r="F113" s="80">
        <f>IFERROR(VLOOKUP($A113,GanttChart!$A:$JD,263,FALSE),0)</f>
        <v>0</v>
      </c>
      <c r="G113" s="81">
        <f>IFERROR(VLOOKUP($A113,GanttChart!$A:$JD,264,FALSE),0)</f>
        <v>0</v>
      </c>
      <c r="H113" s="82"/>
      <c r="I113" s="81">
        <f t="shared" si="0"/>
        <v>0</v>
      </c>
    </row>
    <row r="114" spans="1:9" ht="14.25">
      <c r="A114" s="74">
        <v>6</v>
      </c>
      <c r="C114" s="79" t="str">
        <f>IFERROR(VLOOKUP($A114,GanttChart!$A:$JD,2,FALSE),"خطا")</f>
        <v>اقدامات اجرایی پیکربندی، مدیریت و کاربرد نرم افزار</v>
      </c>
      <c r="D114" s="80">
        <f>SUM(D115:D135)</f>
        <v>0</v>
      </c>
      <c r="E114" s="80">
        <f>SUM(E115:E135)</f>
        <v>0</v>
      </c>
      <c r="F114" s="80">
        <f>SUM(F115:F135)</f>
        <v>0</v>
      </c>
      <c r="G114" s="81">
        <f>SUM(G115:G135)</f>
        <v>0</v>
      </c>
      <c r="H114" s="203"/>
      <c r="I114" s="81">
        <f t="shared" si="0"/>
        <v>0</v>
      </c>
    </row>
    <row r="115" spans="1:9" ht="22.5" hidden="1">
      <c r="A115" s="74">
        <v>6.1</v>
      </c>
      <c r="C115" s="79" t="str">
        <f>IFERROR(VLOOKUP($A115,GanttChart!$A:$JD,2,FALSE),"خطا")</f>
        <v>اعلام نام های کاربری و حقوق دسترسی مورد نیاز هر یک از کاربران و اطلاعات مورد نیاز جهت تنظیم</v>
      </c>
      <c r="D115" s="80">
        <f>IFERROR(VLOOKUP($A115,GanttChart!$A:$JD,261,FALSE),0)</f>
        <v>0</v>
      </c>
      <c r="E115" s="80">
        <f>IFERROR(VLOOKUP($A115,GanttChart!$A:$JD,262,FALSE),0)</f>
        <v>0</v>
      </c>
      <c r="F115" s="80">
        <f>IFERROR(VLOOKUP($A115,GanttChart!$A:$JD,263,FALSE),0)</f>
        <v>0</v>
      </c>
      <c r="G115" s="81">
        <f>IFERROR(VLOOKUP($A115,GanttChart!$A:$JD,264,FALSE),0)</f>
        <v>0</v>
      </c>
      <c r="H115" s="82"/>
      <c r="I115" s="81">
        <f t="shared" si="0"/>
        <v>0</v>
      </c>
    </row>
    <row r="116" spans="1:9" ht="14.25" hidden="1">
      <c r="A116" s="74">
        <v>6.2</v>
      </c>
      <c r="C116" s="79" t="str">
        <f>IFERROR(VLOOKUP($A116,GanttChart!$A:$JD,2,FALSE),"خطا")</f>
        <v>تعریف و اعطای حق دسترسی به کاربران و گروه های کاربری اعلام شده</v>
      </c>
      <c r="D116" s="80">
        <f>IFERROR(VLOOKUP($A116,GanttChart!$A:$JD,261,FALSE),0)</f>
        <v>0</v>
      </c>
      <c r="E116" s="80">
        <f>IFERROR(VLOOKUP($A116,GanttChart!$A:$JD,262,FALSE),0)</f>
        <v>0</v>
      </c>
      <c r="F116" s="80">
        <f>IFERROR(VLOOKUP($A116,GanttChart!$A:$JD,263,FALSE),0)</f>
        <v>0</v>
      </c>
      <c r="G116" s="81">
        <f>IFERROR(VLOOKUP($A116,GanttChart!$A:$JD,264,FALSE),0)</f>
        <v>0</v>
      </c>
      <c r="H116" s="82"/>
      <c r="I116" s="81">
        <f t="shared" si="0"/>
        <v>0</v>
      </c>
    </row>
    <row r="117" spans="1:9" ht="22.5" hidden="1">
      <c r="A117" s="74">
        <v>6.3</v>
      </c>
      <c r="C117" s="79" t="str">
        <f>IFERROR(VLOOKUP($A117,GanttChart!$A:$JD,2,FALSE),"خطا")</f>
        <v>پیکربندی ماژول های پست الکترونیک و پیام کوتاه  بر روی سرویس دهنده های پست الکترونیک و پیام کوتاه کارفرما</v>
      </c>
      <c r="D117" s="80">
        <f>IFERROR(VLOOKUP($A117,GanttChart!$A:$JD,261,FALSE),0)</f>
        <v>0</v>
      </c>
      <c r="E117" s="80">
        <f>IFERROR(VLOOKUP($A117,GanttChart!$A:$JD,262,FALSE),0)</f>
        <v>0</v>
      </c>
      <c r="F117" s="80">
        <f>IFERROR(VLOOKUP($A117,GanttChart!$A:$JD,263,FALSE),0)</f>
        <v>0</v>
      </c>
      <c r="G117" s="81">
        <f>IFERROR(VLOOKUP($A117,GanttChart!$A:$JD,264,FALSE),0)</f>
        <v>0</v>
      </c>
      <c r="H117" s="82"/>
      <c r="I117" s="81">
        <f t="shared" si="0"/>
        <v>0</v>
      </c>
    </row>
    <row r="118" spans="1:9" ht="14.25" hidden="1">
      <c r="A118" s="74">
        <v>6.4</v>
      </c>
      <c r="C118" s="79">
        <f>IFERROR(VLOOKUP($A118,GanttChart!$A:$JD,2,FALSE),"خطا")</f>
        <v>0</v>
      </c>
      <c r="D118" s="80">
        <f>IFERROR(VLOOKUP($A118,GanttChart!$A:$JD,261,FALSE),0)</f>
        <v>0</v>
      </c>
      <c r="E118" s="80">
        <f>IFERROR(VLOOKUP($A118,GanttChart!$A:$JD,262,FALSE),0)</f>
        <v>0</v>
      </c>
      <c r="F118" s="80">
        <f>IFERROR(VLOOKUP($A118,GanttChart!$A:$JD,263,FALSE),0)</f>
        <v>0</v>
      </c>
      <c r="G118" s="81">
        <f>IFERROR(VLOOKUP($A118,GanttChart!$A:$JD,264,FALSE),0)</f>
        <v>0</v>
      </c>
      <c r="H118" s="82"/>
      <c r="I118" s="81">
        <f t="shared" si="0"/>
        <v>0</v>
      </c>
    </row>
    <row r="119" spans="1:9" ht="14.25" hidden="1">
      <c r="A119" s="74">
        <v>6.5</v>
      </c>
      <c r="C119" s="79">
        <f>IFERROR(VLOOKUP($A119,GanttChart!$A:$JD,2,FALSE),"خطا")</f>
        <v>0</v>
      </c>
      <c r="D119" s="80">
        <f>IFERROR(VLOOKUP($A119,GanttChart!$A:$JD,261,FALSE),0)</f>
        <v>0</v>
      </c>
      <c r="E119" s="80">
        <f>IFERROR(VLOOKUP($A119,GanttChart!$A:$JD,262,FALSE),0)</f>
        <v>0</v>
      </c>
      <c r="F119" s="80">
        <f>IFERROR(VLOOKUP($A119,GanttChart!$A:$JD,263,FALSE),0)</f>
        <v>0</v>
      </c>
      <c r="G119" s="81">
        <f>IFERROR(VLOOKUP($A119,GanttChart!$A:$JD,264,FALSE),0)</f>
        <v>0</v>
      </c>
      <c r="H119" s="82"/>
      <c r="I119" s="81">
        <f t="shared" si="0"/>
        <v>0</v>
      </c>
    </row>
    <row r="120" spans="1:9" ht="14.25" hidden="1">
      <c r="A120" s="74">
        <v>6.6</v>
      </c>
      <c r="C120" s="79">
        <f>IFERROR(VLOOKUP($A120,GanttChart!$A:$JD,2,FALSE),"خطا")</f>
        <v>0</v>
      </c>
      <c r="D120" s="80">
        <f>IFERROR(VLOOKUP($A120,GanttChart!$A:$JD,261,FALSE),0)</f>
        <v>0</v>
      </c>
      <c r="E120" s="80">
        <f>IFERROR(VLOOKUP($A120,GanttChart!$A:$JD,262,FALSE),0)</f>
        <v>0</v>
      </c>
      <c r="F120" s="80">
        <f>IFERROR(VLOOKUP($A120,GanttChart!$A:$JD,263,FALSE),0)</f>
        <v>0</v>
      </c>
      <c r="G120" s="81">
        <f>IFERROR(VLOOKUP($A120,GanttChart!$A:$JD,264,FALSE),0)</f>
        <v>0</v>
      </c>
      <c r="H120" s="82"/>
      <c r="I120" s="81">
        <f t="shared" si="0"/>
        <v>0</v>
      </c>
    </row>
    <row r="121" spans="1:9" ht="14.25" hidden="1">
      <c r="A121" s="74">
        <v>6.7</v>
      </c>
      <c r="C121" s="79">
        <f>IFERROR(VLOOKUP($A121,GanttChart!$A:$JD,2,FALSE),"خطا")</f>
        <v>0</v>
      </c>
      <c r="D121" s="80">
        <f>IFERROR(VLOOKUP($A121,GanttChart!$A:$JD,261,FALSE),0)</f>
        <v>0</v>
      </c>
      <c r="E121" s="80">
        <f>IFERROR(VLOOKUP($A121,GanttChart!$A:$JD,262,FALSE),0)</f>
        <v>0</v>
      </c>
      <c r="F121" s="80">
        <f>IFERROR(VLOOKUP($A121,GanttChart!$A:$JD,263,FALSE),0)</f>
        <v>0</v>
      </c>
      <c r="G121" s="81">
        <f>IFERROR(VLOOKUP($A121,GanttChart!$A:$JD,264,FALSE),0)</f>
        <v>0</v>
      </c>
      <c r="H121" s="82"/>
      <c r="I121" s="81">
        <f t="shared" si="0"/>
        <v>0</v>
      </c>
    </row>
    <row r="122" spans="1:9" ht="14.25" hidden="1">
      <c r="A122" s="74">
        <v>6.8</v>
      </c>
      <c r="C122" s="79">
        <f>IFERROR(VLOOKUP($A122,GanttChart!$A:$JD,2,FALSE),"خطا")</f>
        <v>0</v>
      </c>
      <c r="D122" s="80">
        <f>IFERROR(VLOOKUP($A122,GanttChart!$A:$JD,261,FALSE),0)</f>
        <v>0</v>
      </c>
      <c r="E122" s="80">
        <f>IFERROR(VLOOKUP($A122,GanttChart!$A:$JD,262,FALSE),0)</f>
        <v>0</v>
      </c>
      <c r="F122" s="80">
        <f>IFERROR(VLOOKUP($A122,GanttChart!$A:$JD,263,FALSE),0)</f>
        <v>0</v>
      </c>
      <c r="G122" s="81">
        <f>IFERROR(VLOOKUP($A122,GanttChart!$A:$JD,264,FALSE),0)</f>
        <v>0</v>
      </c>
      <c r="H122" s="82"/>
      <c r="I122" s="81">
        <f t="shared" si="0"/>
        <v>0</v>
      </c>
    </row>
    <row r="123" spans="1:9" ht="14.25" hidden="1">
      <c r="A123" s="74">
        <v>6.9</v>
      </c>
      <c r="C123" s="79">
        <f>IFERROR(VLOOKUP($A123,GanttChart!$A:$JD,2,FALSE),"خطا")</f>
        <v>0</v>
      </c>
      <c r="D123" s="80">
        <f>IFERROR(VLOOKUP($A123,GanttChart!$A:$JD,261,FALSE),0)</f>
        <v>0</v>
      </c>
      <c r="E123" s="80">
        <f>IFERROR(VLOOKUP($A123,GanttChart!$A:$JD,262,FALSE),0)</f>
        <v>0</v>
      </c>
      <c r="F123" s="80">
        <f>IFERROR(VLOOKUP($A123,GanttChart!$A:$JD,263,FALSE),0)</f>
        <v>0</v>
      </c>
      <c r="G123" s="81">
        <f>IFERROR(VLOOKUP($A123,GanttChart!$A:$JD,264,FALSE),0)</f>
        <v>0</v>
      </c>
      <c r="H123" s="82"/>
      <c r="I123" s="81">
        <f t="shared" si="0"/>
        <v>0</v>
      </c>
    </row>
    <row r="124" spans="1:9" ht="14.25" hidden="1">
      <c r="A124" s="74">
        <v>6.11</v>
      </c>
      <c r="C124" s="79">
        <f>IFERROR(VLOOKUP($A124,GanttChart!$A:$JD,2,FALSE),"خطا")</f>
        <v>0</v>
      </c>
      <c r="D124" s="80">
        <f>IFERROR(VLOOKUP($A124,GanttChart!$A:$JD,261,FALSE),0)</f>
        <v>0</v>
      </c>
      <c r="E124" s="80">
        <f>IFERROR(VLOOKUP($A124,GanttChart!$A:$JD,262,FALSE),0)</f>
        <v>0</v>
      </c>
      <c r="F124" s="80">
        <f>IFERROR(VLOOKUP($A124,GanttChart!$A:$JD,263,FALSE),0)</f>
        <v>0</v>
      </c>
      <c r="G124" s="81">
        <f>IFERROR(VLOOKUP($A124,GanttChart!$A:$JD,264,FALSE),0)</f>
        <v>0</v>
      </c>
      <c r="H124" s="82"/>
      <c r="I124" s="81">
        <f t="shared" si="0"/>
        <v>0</v>
      </c>
    </row>
    <row r="125" spans="1:9" ht="14.25" hidden="1">
      <c r="A125" s="74">
        <v>6.12</v>
      </c>
      <c r="C125" s="79">
        <f>IFERROR(VLOOKUP($A125,GanttChart!$A:$JD,2,FALSE),"خطا")</f>
        <v>0</v>
      </c>
      <c r="D125" s="80">
        <f>IFERROR(VLOOKUP($A125,GanttChart!$A:$JD,261,FALSE),0)</f>
        <v>0</v>
      </c>
      <c r="E125" s="80">
        <f>IFERROR(VLOOKUP($A125,GanttChart!$A:$JD,262,FALSE),0)</f>
        <v>0</v>
      </c>
      <c r="F125" s="80">
        <f>IFERROR(VLOOKUP($A125,GanttChart!$A:$JD,263,FALSE),0)</f>
        <v>0</v>
      </c>
      <c r="G125" s="81">
        <f>IFERROR(VLOOKUP($A125,GanttChart!$A:$JD,264,FALSE),0)</f>
        <v>0</v>
      </c>
      <c r="H125" s="82"/>
      <c r="I125" s="81">
        <f t="shared" si="0"/>
        <v>0</v>
      </c>
    </row>
    <row r="126" spans="1:9" ht="14.25" hidden="1">
      <c r="A126" s="74">
        <v>6.13</v>
      </c>
      <c r="C126" s="79">
        <f>IFERROR(VLOOKUP($A126,GanttChart!$A:$JD,2,FALSE),"خطا")</f>
        <v>0</v>
      </c>
      <c r="D126" s="80">
        <f>IFERROR(VLOOKUP($A126,GanttChart!$A:$JD,261,FALSE),0)</f>
        <v>0</v>
      </c>
      <c r="E126" s="80">
        <f>IFERROR(VLOOKUP($A126,GanttChart!$A:$JD,262,FALSE),0)</f>
        <v>0</v>
      </c>
      <c r="F126" s="80">
        <f>IFERROR(VLOOKUP($A126,GanttChart!$A:$JD,263,FALSE),0)</f>
        <v>0</v>
      </c>
      <c r="G126" s="81">
        <f>IFERROR(VLOOKUP($A126,GanttChart!$A:$JD,264,FALSE),0)</f>
        <v>0</v>
      </c>
      <c r="H126" s="82"/>
      <c r="I126" s="81">
        <f t="shared" si="0"/>
        <v>0</v>
      </c>
    </row>
    <row r="127" spans="1:9" ht="14.25" hidden="1">
      <c r="A127" s="74">
        <v>6.14</v>
      </c>
      <c r="C127" s="79">
        <f>IFERROR(VLOOKUP($A127,GanttChart!$A:$JD,2,FALSE),"خطا")</f>
        <v>0</v>
      </c>
      <c r="D127" s="80">
        <f>IFERROR(VLOOKUP($A127,GanttChart!$A:$JD,261,FALSE),0)</f>
        <v>0</v>
      </c>
      <c r="E127" s="80">
        <f>IFERROR(VLOOKUP($A127,GanttChart!$A:$JD,262,FALSE),0)</f>
        <v>0</v>
      </c>
      <c r="F127" s="80">
        <f>IFERROR(VLOOKUP($A127,GanttChart!$A:$JD,263,FALSE),0)</f>
        <v>0</v>
      </c>
      <c r="G127" s="81">
        <f>IFERROR(VLOOKUP($A127,GanttChart!$A:$JD,264,FALSE),0)</f>
        <v>0</v>
      </c>
      <c r="H127" s="82"/>
      <c r="I127" s="81">
        <f t="shared" si="0"/>
        <v>0</v>
      </c>
    </row>
    <row r="128" spans="1:9" ht="14.25" hidden="1">
      <c r="A128" s="74">
        <v>6.15</v>
      </c>
      <c r="C128" s="79">
        <f>IFERROR(VLOOKUP($A128,GanttChart!$A:$JD,2,FALSE),"خطا")</f>
        <v>0</v>
      </c>
      <c r="D128" s="80">
        <f>IFERROR(VLOOKUP($A128,GanttChart!$A:$JD,261,FALSE),0)</f>
        <v>0</v>
      </c>
      <c r="E128" s="80">
        <f>IFERROR(VLOOKUP($A128,GanttChart!$A:$JD,262,FALSE),0)</f>
        <v>0</v>
      </c>
      <c r="F128" s="80">
        <f>IFERROR(VLOOKUP($A128,GanttChart!$A:$JD,263,FALSE),0)</f>
        <v>0</v>
      </c>
      <c r="G128" s="81">
        <f>IFERROR(VLOOKUP($A128,GanttChart!$A:$JD,264,FALSE),0)</f>
        <v>0</v>
      </c>
      <c r="H128" s="82"/>
      <c r="I128" s="81">
        <f t="shared" si="0"/>
        <v>0</v>
      </c>
    </row>
    <row r="129" spans="1:9" ht="14.25" hidden="1">
      <c r="A129" s="74">
        <v>6.16</v>
      </c>
      <c r="C129" s="79">
        <f>IFERROR(VLOOKUP($A129,GanttChart!$A:$JD,2,FALSE),"خطا")</f>
        <v>0</v>
      </c>
      <c r="D129" s="80">
        <f>IFERROR(VLOOKUP($A129,GanttChart!$A:$JD,261,FALSE),0)</f>
        <v>0</v>
      </c>
      <c r="E129" s="80">
        <f>IFERROR(VLOOKUP($A129,GanttChart!$A:$JD,262,FALSE),0)</f>
        <v>0</v>
      </c>
      <c r="F129" s="80">
        <f>IFERROR(VLOOKUP($A129,GanttChart!$A:$JD,263,FALSE),0)</f>
        <v>0</v>
      </c>
      <c r="G129" s="81">
        <f>IFERROR(VLOOKUP($A129,GanttChart!$A:$JD,264,FALSE),0)</f>
        <v>0</v>
      </c>
      <c r="H129" s="82"/>
      <c r="I129" s="81">
        <f t="shared" si="0"/>
        <v>0</v>
      </c>
    </row>
    <row r="130" spans="1:9" ht="14.25" hidden="1">
      <c r="A130" s="74">
        <v>6.17</v>
      </c>
      <c r="C130" s="79">
        <f>IFERROR(VLOOKUP($A130,GanttChart!$A:$JD,2,FALSE),"خطا")</f>
        <v>0</v>
      </c>
      <c r="D130" s="80">
        <f>IFERROR(VLOOKUP($A130,GanttChart!$A:$JD,261,FALSE),0)</f>
        <v>0</v>
      </c>
      <c r="E130" s="80">
        <f>IFERROR(VLOOKUP($A130,GanttChart!$A:$JD,262,FALSE),0)</f>
        <v>0</v>
      </c>
      <c r="F130" s="80">
        <f>IFERROR(VLOOKUP($A130,GanttChart!$A:$JD,263,FALSE),0)</f>
        <v>0</v>
      </c>
      <c r="G130" s="81">
        <f>IFERROR(VLOOKUP($A130,GanttChart!$A:$JD,264,FALSE),0)</f>
        <v>0</v>
      </c>
      <c r="H130" s="82"/>
      <c r="I130" s="81">
        <f t="shared" si="0"/>
        <v>0</v>
      </c>
    </row>
    <row r="131" spans="1:9" ht="14.25" hidden="1">
      <c r="A131" s="74">
        <v>6.18</v>
      </c>
      <c r="C131" s="79">
        <f>IFERROR(VLOOKUP($A131,GanttChart!$A:$JD,2,FALSE),"خطا")</f>
        <v>0</v>
      </c>
      <c r="D131" s="80">
        <f>IFERROR(VLOOKUP($A131,GanttChart!$A:$JD,261,FALSE),0)</f>
        <v>0</v>
      </c>
      <c r="E131" s="80">
        <f>IFERROR(VLOOKUP($A131,GanttChart!$A:$JD,262,FALSE),0)</f>
        <v>0</v>
      </c>
      <c r="F131" s="80">
        <f>IFERROR(VLOOKUP($A131,GanttChart!$A:$JD,263,FALSE),0)</f>
        <v>0</v>
      </c>
      <c r="G131" s="81">
        <f>IFERROR(VLOOKUP($A131,GanttChart!$A:$JD,264,FALSE),0)</f>
        <v>0</v>
      </c>
      <c r="H131" s="82"/>
      <c r="I131" s="81">
        <f t="shared" si="0"/>
        <v>0</v>
      </c>
    </row>
    <row r="132" spans="1:9" ht="14.25" hidden="1">
      <c r="A132" s="74">
        <v>6.19</v>
      </c>
      <c r="C132" s="79">
        <f>IFERROR(VLOOKUP($A132,GanttChart!$A:$JD,2,FALSE),"خطا")</f>
        <v>0</v>
      </c>
      <c r="D132" s="80">
        <f>IFERROR(VLOOKUP($A132,GanttChart!$A:$JD,261,FALSE),0)</f>
        <v>0</v>
      </c>
      <c r="E132" s="80">
        <f>IFERROR(VLOOKUP($A132,GanttChart!$A:$JD,262,FALSE),0)</f>
        <v>0</v>
      </c>
      <c r="F132" s="80">
        <f>IFERROR(VLOOKUP($A132,GanttChart!$A:$JD,263,FALSE),0)</f>
        <v>0</v>
      </c>
      <c r="G132" s="81">
        <f>IFERROR(VLOOKUP($A132,GanttChart!$A:$JD,264,FALSE),0)</f>
        <v>0</v>
      </c>
      <c r="H132" s="82"/>
      <c r="I132" s="81">
        <f t="shared" si="0"/>
        <v>0</v>
      </c>
    </row>
    <row r="133" spans="1:9" ht="14.25" hidden="1">
      <c r="A133" s="74">
        <v>6.21</v>
      </c>
      <c r="C133" s="79">
        <f>IFERROR(VLOOKUP($A133,GanttChart!$A:$JD,2,FALSE),"خطا")</f>
        <v>0</v>
      </c>
      <c r="D133" s="80">
        <f>IFERROR(VLOOKUP($A133,GanttChart!$A:$JD,261,FALSE),0)</f>
        <v>0</v>
      </c>
      <c r="E133" s="80">
        <f>IFERROR(VLOOKUP($A133,GanttChart!$A:$JD,262,FALSE),0)</f>
        <v>0</v>
      </c>
      <c r="F133" s="80">
        <f>IFERROR(VLOOKUP($A133,GanttChart!$A:$JD,263,FALSE),0)</f>
        <v>0</v>
      </c>
      <c r="G133" s="81">
        <f>IFERROR(VLOOKUP($A133,GanttChart!$A:$JD,264,FALSE),0)</f>
        <v>0</v>
      </c>
      <c r="H133" s="82"/>
      <c r="I133" s="81">
        <f t="shared" si="0"/>
        <v>0</v>
      </c>
    </row>
    <row r="134" spans="1:9" ht="14.25" hidden="1">
      <c r="A134" s="74">
        <v>6.22</v>
      </c>
      <c r="C134" s="79">
        <f>IFERROR(VLOOKUP($A134,GanttChart!$A:$JD,2,FALSE),"خطا")</f>
        <v>0</v>
      </c>
      <c r="D134" s="80">
        <f>IFERROR(VLOOKUP($A134,GanttChart!$A:$JD,261,FALSE),0)</f>
        <v>0</v>
      </c>
      <c r="E134" s="80">
        <f>IFERROR(VLOOKUP($A134,GanttChart!$A:$JD,262,FALSE),0)</f>
        <v>0</v>
      </c>
      <c r="F134" s="80">
        <f>IFERROR(VLOOKUP($A134,GanttChart!$A:$JD,263,FALSE),0)</f>
        <v>0</v>
      </c>
      <c r="G134" s="81">
        <f>IFERROR(VLOOKUP($A134,GanttChart!$A:$JD,264,FALSE),0)</f>
        <v>0</v>
      </c>
      <c r="H134" s="82"/>
      <c r="I134" s="81">
        <f t="shared" si="0"/>
        <v>0</v>
      </c>
    </row>
    <row r="135" spans="1:9" ht="14.25" hidden="1">
      <c r="A135" s="74">
        <v>6.23</v>
      </c>
      <c r="C135" s="79">
        <f>IFERROR(VLOOKUP($A135,GanttChart!$A:$JD,2,FALSE),"خطا")</f>
        <v>0</v>
      </c>
      <c r="D135" s="80">
        <f>IFERROR(VLOOKUP($A135,GanttChart!$A:$JD,261,FALSE),0)</f>
        <v>0</v>
      </c>
      <c r="E135" s="80">
        <f>IFERROR(VLOOKUP($A135,GanttChart!$A:$JD,262,FALSE),0)</f>
        <v>0</v>
      </c>
      <c r="F135" s="80">
        <f>IFERROR(VLOOKUP($A135,GanttChart!$A:$JD,263,FALSE),0)</f>
        <v>0</v>
      </c>
      <c r="G135" s="81">
        <f>IFERROR(VLOOKUP($A135,GanttChart!$A:$JD,264,FALSE),0)</f>
        <v>0</v>
      </c>
      <c r="H135" s="82"/>
      <c r="I135" s="81">
        <f t="shared" si="0"/>
        <v>0</v>
      </c>
    </row>
    <row r="136" spans="1:9" ht="14.25">
      <c r="A136" s="74">
        <v>7</v>
      </c>
      <c r="C136" s="79" t="str">
        <f>IFERROR(VLOOKUP($A136,GanttChart!$A:$JD,2,FALSE),"خطا")</f>
        <v>تحویل نهايي دستاوردهای پروژه</v>
      </c>
      <c r="D136" s="80">
        <f>SUM(D137:D157)</f>
        <v>0</v>
      </c>
      <c r="E136" s="80">
        <f>SUM(E137:E157)</f>
        <v>0</v>
      </c>
      <c r="F136" s="80">
        <f>SUM(F137:F157)</f>
        <v>0</v>
      </c>
      <c r="G136" s="81">
        <f>SUM(G137:G157)</f>
        <v>0</v>
      </c>
      <c r="H136" s="203">
        <v>1</v>
      </c>
      <c r="I136" s="81">
        <f t="shared" si="0"/>
        <v>0</v>
      </c>
    </row>
    <row r="137" spans="1:9" ht="14.25" hidden="1">
      <c r="A137" s="74">
        <v>7.1</v>
      </c>
      <c r="C137" s="79" t="str">
        <f>IFERROR(VLOOKUP($A137,GanttChart!$A:$JD,2,FALSE),"خطا")</f>
        <v>تنظیم و امضاء صورت جلسه تحویل پروژه</v>
      </c>
      <c r="D137" s="80">
        <f>IFERROR(VLOOKUP($A137,GanttChart!$A:$JD,261,FALSE),0)</f>
        <v>0</v>
      </c>
      <c r="E137" s="80">
        <f>IFERROR(VLOOKUP($A137,GanttChart!$A:$JD,262,FALSE),0)</f>
        <v>0</v>
      </c>
      <c r="F137" s="80">
        <f>IFERROR(VLOOKUP($A137,GanttChart!$A:$JD,263,FALSE),0)</f>
        <v>0</v>
      </c>
      <c r="G137" s="81">
        <f>IFERROR(VLOOKUP($A137,GanttChart!$A:$JD,264,FALSE),0)</f>
        <v>0</v>
      </c>
      <c r="H137" s="82"/>
      <c r="I137" s="81">
        <f t="shared" si="0"/>
        <v>0</v>
      </c>
    </row>
    <row r="138" spans="1:9" ht="14.25" hidden="1">
      <c r="A138" s="74">
        <v>7.2</v>
      </c>
      <c r="C138" s="79" t="str">
        <f>IFERROR(VLOOKUP($A138,GanttChart!$A:$JD,2,FALSE),"خطا")</f>
        <v>انتقال پورتال به دامنه اصلی کارفرما</v>
      </c>
      <c r="D138" s="80">
        <f>IFERROR(VLOOKUP($A138,GanttChart!$A:$JD,261,FALSE),0)</f>
        <v>0</v>
      </c>
      <c r="E138" s="80">
        <f>IFERROR(VLOOKUP($A138,GanttChart!$A:$JD,262,FALSE),0)</f>
        <v>0</v>
      </c>
      <c r="F138" s="80">
        <f>IFERROR(VLOOKUP($A138,GanttChart!$A:$JD,263,FALSE),0)</f>
        <v>0</v>
      </c>
      <c r="G138" s="81">
        <f>IFERROR(VLOOKUP($A138,GanttChart!$A:$JD,264,FALSE),0)</f>
        <v>0</v>
      </c>
      <c r="H138" s="82"/>
      <c r="I138" s="81">
        <f t="shared" si="0"/>
        <v>0</v>
      </c>
    </row>
    <row r="139" spans="1:9" ht="14.25" hidden="1">
      <c r="A139" s="74">
        <v>7.3</v>
      </c>
      <c r="C139" s="79">
        <f>IFERROR(VLOOKUP($A139,GanttChart!$A:$JD,2,FALSE),"خطا")</f>
        <v>0</v>
      </c>
      <c r="D139" s="80">
        <f>IFERROR(VLOOKUP($A139,GanttChart!$A:$JD,261,FALSE),0)</f>
        <v>0</v>
      </c>
      <c r="E139" s="80">
        <f>IFERROR(VLOOKUP($A139,GanttChart!$A:$JD,262,FALSE),0)</f>
        <v>0</v>
      </c>
      <c r="F139" s="80">
        <f>IFERROR(VLOOKUP($A139,GanttChart!$A:$JD,263,FALSE),0)</f>
        <v>0</v>
      </c>
      <c r="G139" s="81">
        <f>IFERROR(VLOOKUP($A139,GanttChart!$A:$JD,264,FALSE),0)</f>
        <v>0</v>
      </c>
      <c r="H139" s="82"/>
      <c r="I139" s="81">
        <f t="shared" si="0"/>
        <v>0</v>
      </c>
    </row>
    <row r="140" spans="1:9" ht="14.25" hidden="1">
      <c r="A140" s="74">
        <v>7.4</v>
      </c>
      <c r="C140" s="79">
        <f>IFERROR(VLOOKUP($A140,GanttChart!$A:$JD,2,FALSE),"خطا")</f>
        <v>0</v>
      </c>
      <c r="D140" s="80">
        <f>IFERROR(VLOOKUP($A140,GanttChart!$A:$JD,261,FALSE),0)</f>
        <v>0</v>
      </c>
      <c r="E140" s="80">
        <f>IFERROR(VLOOKUP($A140,GanttChart!$A:$JD,262,FALSE),0)</f>
        <v>0</v>
      </c>
      <c r="F140" s="80">
        <f>IFERROR(VLOOKUP($A140,GanttChart!$A:$JD,263,FALSE),0)</f>
        <v>0</v>
      </c>
      <c r="G140" s="81">
        <f>IFERROR(VLOOKUP($A140,GanttChart!$A:$JD,264,FALSE),0)</f>
        <v>0</v>
      </c>
      <c r="H140" s="82"/>
      <c r="I140" s="81">
        <f t="shared" si="0"/>
        <v>0</v>
      </c>
    </row>
    <row r="141" spans="1:9" ht="14.25" hidden="1">
      <c r="A141" s="74">
        <v>7.5</v>
      </c>
      <c r="C141" s="79">
        <f>IFERROR(VLOOKUP($A141,GanttChart!$A:$JD,2,FALSE),"خطا")</f>
        <v>0</v>
      </c>
      <c r="D141" s="80">
        <f>IFERROR(VLOOKUP($A141,GanttChart!$A:$JD,261,FALSE),0)</f>
        <v>0</v>
      </c>
      <c r="E141" s="80">
        <f>IFERROR(VLOOKUP($A141,GanttChart!$A:$JD,262,FALSE),0)</f>
        <v>0</v>
      </c>
      <c r="F141" s="80">
        <f>IFERROR(VLOOKUP($A141,GanttChart!$A:$JD,263,FALSE),0)</f>
        <v>0</v>
      </c>
      <c r="G141" s="81">
        <f>IFERROR(VLOOKUP($A141,GanttChart!$A:$JD,264,FALSE),0)</f>
        <v>0</v>
      </c>
      <c r="H141" s="82"/>
      <c r="I141" s="81">
        <f t="shared" si="0"/>
        <v>0</v>
      </c>
    </row>
    <row r="142" spans="1:9" ht="14.25" hidden="1">
      <c r="A142" s="74">
        <v>7.6</v>
      </c>
      <c r="C142" s="79">
        <f>IFERROR(VLOOKUP($A142,GanttChart!$A:$JD,2,FALSE),"خطا")</f>
        <v>0</v>
      </c>
      <c r="D142" s="80">
        <f>IFERROR(VLOOKUP($A142,GanttChart!$A:$JD,261,FALSE),0)</f>
        <v>0</v>
      </c>
      <c r="E142" s="80">
        <f>IFERROR(VLOOKUP($A142,GanttChart!$A:$JD,262,FALSE),0)</f>
        <v>0</v>
      </c>
      <c r="F142" s="80">
        <f>IFERROR(VLOOKUP($A142,GanttChart!$A:$JD,263,FALSE),0)</f>
        <v>0</v>
      </c>
      <c r="G142" s="81">
        <f>IFERROR(VLOOKUP($A142,GanttChart!$A:$JD,264,FALSE),0)</f>
        <v>0</v>
      </c>
      <c r="H142" s="82"/>
      <c r="I142" s="81">
        <f t="shared" si="0"/>
        <v>0</v>
      </c>
    </row>
    <row r="143" spans="1:9" ht="14.25" hidden="1">
      <c r="A143" s="74">
        <v>7.7</v>
      </c>
      <c r="C143" s="79">
        <f>IFERROR(VLOOKUP($A143,GanttChart!$A:$JD,2,FALSE),"خطا")</f>
        <v>0</v>
      </c>
      <c r="D143" s="80">
        <f>IFERROR(VLOOKUP($A143,GanttChart!$A:$JD,261,FALSE),0)</f>
        <v>0</v>
      </c>
      <c r="E143" s="80">
        <f>IFERROR(VLOOKUP($A143,GanttChart!$A:$JD,262,FALSE),0)</f>
        <v>0</v>
      </c>
      <c r="F143" s="80">
        <f>IFERROR(VLOOKUP($A143,GanttChart!$A:$JD,263,FALSE),0)</f>
        <v>0</v>
      </c>
      <c r="G143" s="81">
        <f>IFERROR(VLOOKUP($A143,GanttChart!$A:$JD,264,FALSE),0)</f>
        <v>0</v>
      </c>
      <c r="H143" s="82"/>
      <c r="I143" s="81">
        <f t="shared" si="0"/>
        <v>0</v>
      </c>
    </row>
    <row r="144" spans="1:9" ht="14.25" hidden="1">
      <c r="A144" s="74">
        <v>7.8</v>
      </c>
      <c r="C144" s="79">
        <f>IFERROR(VLOOKUP($A144,GanttChart!$A:$JD,2,FALSE),"خطا")</f>
        <v>0</v>
      </c>
      <c r="D144" s="80">
        <f>IFERROR(VLOOKUP($A144,GanttChart!$A:$JD,261,FALSE),0)</f>
        <v>0</v>
      </c>
      <c r="E144" s="80">
        <f>IFERROR(VLOOKUP($A144,GanttChart!$A:$JD,262,FALSE),0)</f>
        <v>0</v>
      </c>
      <c r="F144" s="80">
        <f>IFERROR(VLOOKUP($A144,GanttChart!$A:$JD,263,FALSE),0)</f>
        <v>0</v>
      </c>
      <c r="G144" s="81">
        <f>IFERROR(VLOOKUP($A144,GanttChart!$A:$JD,264,FALSE),0)</f>
        <v>0</v>
      </c>
      <c r="H144" s="82"/>
      <c r="I144" s="81">
        <f t="shared" si="0"/>
        <v>0</v>
      </c>
    </row>
    <row r="145" spans="1:9" ht="14.25" hidden="1">
      <c r="A145" s="74">
        <v>7.9</v>
      </c>
      <c r="C145" s="79">
        <f>IFERROR(VLOOKUP($A145,GanttChart!$A:$JD,2,FALSE),"خطا")</f>
        <v>0</v>
      </c>
      <c r="D145" s="80">
        <f>IFERROR(VLOOKUP($A145,GanttChart!$A:$JD,261,FALSE),0)</f>
        <v>0</v>
      </c>
      <c r="E145" s="80">
        <f>IFERROR(VLOOKUP($A145,GanttChart!$A:$JD,262,FALSE),0)</f>
        <v>0</v>
      </c>
      <c r="F145" s="80">
        <f>IFERROR(VLOOKUP($A145,GanttChart!$A:$JD,263,FALSE),0)</f>
        <v>0</v>
      </c>
      <c r="G145" s="81">
        <f>IFERROR(VLOOKUP($A145,GanttChart!$A:$JD,264,FALSE),0)</f>
        <v>0</v>
      </c>
      <c r="H145" s="82"/>
      <c r="I145" s="81">
        <f t="shared" si="0"/>
        <v>0</v>
      </c>
    </row>
    <row r="146" spans="1:9" ht="14.25" hidden="1">
      <c r="A146" s="74">
        <v>7.11</v>
      </c>
      <c r="C146" s="79">
        <f>IFERROR(VLOOKUP($A146,GanttChart!$A:$JD,2,FALSE),"خطا")</f>
        <v>0</v>
      </c>
      <c r="D146" s="80">
        <f>IFERROR(VLOOKUP($A146,GanttChart!$A:$JD,261,FALSE),0)</f>
        <v>0</v>
      </c>
      <c r="E146" s="80">
        <f>IFERROR(VLOOKUP($A146,GanttChart!$A:$JD,262,FALSE),0)</f>
        <v>0</v>
      </c>
      <c r="F146" s="80">
        <f>IFERROR(VLOOKUP($A146,GanttChart!$A:$JD,263,FALSE),0)</f>
        <v>0</v>
      </c>
      <c r="G146" s="81">
        <f>IFERROR(VLOOKUP($A146,GanttChart!$A:$JD,264,FALSE),0)</f>
        <v>0</v>
      </c>
      <c r="H146" s="82"/>
      <c r="I146" s="81">
        <f t="shared" si="0"/>
        <v>0</v>
      </c>
    </row>
    <row r="147" spans="1:9" ht="14.25" hidden="1">
      <c r="A147" s="74">
        <v>7.12</v>
      </c>
      <c r="C147" s="79">
        <f>IFERROR(VLOOKUP($A147,GanttChart!$A:$JD,2,FALSE),"خطا")</f>
        <v>0</v>
      </c>
      <c r="D147" s="80">
        <f>IFERROR(VLOOKUP($A147,GanttChart!$A:$JD,261,FALSE),0)</f>
        <v>0</v>
      </c>
      <c r="E147" s="80">
        <f>IFERROR(VLOOKUP($A147,GanttChart!$A:$JD,262,FALSE),0)</f>
        <v>0</v>
      </c>
      <c r="F147" s="80">
        <f>IFERROR(VLOOKUP($A147,GanttChart!$A:$JD,263,FALSE),0)</f>
        <v>0</v>
      </c>
      <c r="G147" s="81">
        <f>IFERROR(VLOOKUP($A147,GanttChart!$A:$JD,264,FALSE),0)</f>
        <v>0</v>
      </c>
      <c r="H147" s="82"/>
      <c r="I147" s="81">
        <f t="shared" si="0"/>
        <v>0</v>
      </c>
    </row>
    <row r="148" spans="1:9" ht="14.25" hidden="1">
      <c r="A148" s="74">
        <v>7.13</v>
      </c>
      <c r="C148" s="79">
        <f>IFERROR(VLOOKUP($A148,GanttChart!$A:$JD,2,FALSE),"خطا")</f>
        <v>0</v>
      </c>
      <c r="D148" s="80">
        <f>IFERROR(VLOOKUP($A148,GanttChart!$A:$JD,261,FALSE),0)</f>
        <v>0</v>
      </c>
      <c r="E148" s="80">
        <f>IFERROR(VLOOKUP($A148,GanttChart!$A:$JD,262,FALSE),0)</f>
        <v>0</v>
      </c>
      <c r="F148" s="80">
        <f>IFERROR(VLOOKUP($A148,GanttChart!$A:$JD,263,FALSE),0)</f>
        <v>0</v>
      </c>
      <c r="G148" s="81">
        <f>IFERROR(VLOOKUP($A148,GanttChart!$A:$JD,264,FALSE),0)</f>
        <v>0</v>
      </c>
      <c r="H148" s="82"/>
      <c r="I148" s="81">
        <f t="shared" si="0"/>
        <v>0</v>
      </c>
    </row>
    <row r="149" spans="1:9" ht="14.25" hidden="1">
      <c r="A149" s="74">
        <v>7.14</v>
      </c>
      <c r="C149" s="79">
        <f>IFERROR(VLOOKUP($A149,GanttChart!$A:$JD,2,FALSE),"خطا")</f>
        <v>0</v>
      </c>
      <c r="D149" s="80">
        <f>IFERROR(VLOOKUP($A149,GanttChart!$A:$JD,261,FALSE),0)</f>
        <v>0</v>
      </c>
      <c r="E149" s="80">
        <f>IFERROR(VLOOKUP($A149,GanttChart!$A:$JD,262,FALSE),0)</f>
        <v>0</v>
      </c>
      <c r="F149" s="80">
        <f>IFERROR(VLOOKUP($A149,GanttChart!$A:$JD,263,FALSE),0)</f>
        <v>0</v>
      </c>
      <c r="G149" s="81">
        <f>IFERROR(VLOOKUP($A149,GanttChart!$A:$JD,264,FALSE),0)</f>
        <v>0</v>
      </c>
      <c r="H149" s="82"/>
      <c r="I149" s="81">
        <f t="shared" si="0"/>
        <v>0</v>
      </c>
    </row>
    <row r="150" spans="1:9" ht="14.25" hidden="1">
      <c r="A150" s="74">
        <v>7.15</v>
      </c>
      <c r="C150" s="79">
        <f>IFERROR(VLOOKUP($A150,GanttChart!$A:$JD,2,FALSE),"خطا")</f>
        <v>0</v>
      </c>
      <c r="D150" s="80">
        <f>IFERROR(VLOOKUP($A150,GanttChart!$A:$JD,261,FALSE),0)</f>
        <v>0</v>
      </c>
      <c r="E150" s="80">
        <f>IFERROR(VLOOKUP($A150,GanttChart!$A:$JD,262,FALSE),0)</f>
        <v>0</v>
      </c>
      <c r="F150" s="80">
        <f>IFERROR(VLOOKUP($A150,GanttChart!$A:$JD,263,FALSE),0)</f>
        <v>0</v>
      </c>
      <c r="G150" s="81">
        <f>IFERROR(VLOOKUP($A150,GanttChart!$A:$JD,264,FALSE),0)</f>
        <v>0</v>
      </c>
      <c r="H150" s="82"/>
      <c r="I150" s="81">
        <f t="shared" si="0"/>
        <v>0</v>
      </c>
    </row>
    <row r="151" spans="1:9" ht="14.25" hidden="1">
      <c r="A151" s="74">
        <v>7.16</v>
      </c>
      <c r="C151" s="79">
        <f>IFERROR(VLOOKUP($A151,GanttChart!$A:$JD,2,FALSE),"خطا")</f>
        <v>0</v>
      </c>
      <c r="D151" s="80">
        <f>IFERROR(VLOOKUP($A151,GanttChart!$A:$JD,261,FALSE),0)</f>
        <v>0</v>
      </c>
      <c r="E151" s="80">
        <f>IFERROR(VLOOKUP($A151,GanttChart!$A:$JD,262,FALSE),0)</f>
        <v>0</v>
      </c>
      <c r="F151" s="80">
        <f>IFERROR(VLOOKUP($A151,GanttChart!$A:$JD,263,FALSE),0)</f>
        <v>0</v>
      </c>
      <c r="G151" s="81">
        <f>IFERROR(VLOOKUP($A151,GanttChart!$A:$JD,264,FALSE),0)</f>
        <v>0</v>
      </c>
      <c r="H151" s="82"/>
      <c r="I151" s="81">
        <f t="shared" si="0"/>
        <v>0</v>
      </c>
    </row>
    <row r="152" spans="1:9" ht="14.25" hidden="1">
      <c r="A152" s="74">
        <v>7.17</v>
      </c>
      <c r="C152" s="79">
        <f>IFERROR(VLOOKUP($A152,GanttChart!$A:$JD,2,FALSE),"خطا")</f>
        <v>0</v>
      </c>
      <c r="D152" s="80">
        <f>IFERROR(VLOOKUP($A152,GanttChart!$A:$JD,261,FALSE),0)</f>
        <v>0</v>
      </c>
      <c r="E152" s="80">
        <f>IFERROR(VLOOKUP($A152,GanttChart!$A:$JD,262,FALSE),0)</f>
        <v>0</v>
      </c>
      <c r="F152" s="80">
        <f>IFERROR(VLOOKUP($A152,GanttChart!$A:$JD,263,FALSE),0)</f>
        <v>0</v>
      </c>
      <c r="G152" s="81">
        <f>IFERROR(VLOOKUP($A152,GanttChart!$A:$JD,264,FALSE),0)</f>
        <v>0</v>
      </c>
      <c r="H152" s="82"/>
      <c r="I152" s="81">
        <f t="shared" si="0"/>
        <v>0</v>
      </c>
    </row>
    <row r="153" spans="1:9" ht="14.25" hidden="1">
      <c r="A153" s="74">
        <v>7.18</v>
      </c>
      <c r="C153" s="79">
        <f>IFERROR(VLOOKUP($A153,GanttChart!$A:$JD,2,FALSE),"خطا")</f>
        <v>0</v>
      </c>
      <c r="D153" s="80">
        <f>IFERROR(VLOOKUP($A153,GanttChart!$A:$JD,261,FALSE),0)</f>
        <v>0</v>
      </c>
      <c r="E153" s="80">
        <f>IFERROR(VLOOKUP($A153,GanttChart!$A:$JD,262,FALSE),0)</f>
        <v>0</v>
      </c>
      <c r="F153" s="80">
        <f>IFERROR(VLOOKUP($A153,GanttChart!$A:$JD,263,FALSE),0)</f>
        <v>0</v>
      </c>
      <c r="G153" s="81">
        <f>IFERROR(VLOOKUP($A153,GanttChart!$A:$JD,264,FALSE),0)</f>
        <v>0</v>
      </c>
      <c r="H153" s="82"/>
      <c r="I153" s="81">
        <f t="shared" si="0"/>
        <v>0</v>
      </c>
    </row>
    <row r="154" spans="1:9" ht="14.25" hidden="1">
      <c r="A154" s="74">
        <v>7.19</v>
      </c>
      <c r="C154" s="79">
        <f>IFERROR(VLOOKUP($A154,GanttChart!$A:$JD,2,FALSE),"خطا")</f>
        <v>0</v>
      </c>
      <c r="D154" s="80">
        <f>IFERROR(VLOOKUP($A154,GanttChart!$A:$JD,261,FALSE),0)</f>
        <v>0</v>
      </c>
      <c r="E154" s="80">
        <f>IFERROR(VLOOKUP($A154,GanttChart!$A:$JD,262,FALSE),0)</f>
        <v>0</v>
      </c>
      <c r="F154" s="80">
        <f>IFERROR(VLOOKUP($A154,GanttChart!$A:$JD,263,FALSE),0)</f>
        <v>0</v>
      </c>
      <c r="G154" s="81">
        <f>IFERROR(VLOOKUP($A154,GanttChart!$A:$JD,264,FALSE),0)</f>
        <v>0</v>
      </c>
      <c r="H154" s="82"/>
      <c r="I154" s="81">
        <f t="shared" si="0"/>
        <v>0</v>
      </c>
    </row>
    <row r="155" spans="1:9" ht="14.25" hidden="1">
      <c r="A155" s="74">
        <v>7.21</v>
      </c>
      <c r="C155" s="79">
        <f>IFERROR(VLOOKUP($A155,GanttChart!$A:$JD,2,FALSE),"خطا")</f>
        <v>0</v>
      </c>
      <c r="D155" s="80">
        <f>IFERROR(VLOOKUP($A155,GanttChart!$A:$JD,261,FALSE),0)</f>
        <v>0</v>
      </c>
      <c r="E155" s="80">
        <f>IFERROR(VLOOKUP($A155,GanttChart!$A:$JD,262,FALSE),0)</f>
        <v>0</v>
      </c>
      <c r="F155" s="80">
        <f>IFERROR(VLOOKUP($A155,GanttChart!$A:$JD,263,FALSE),0)</f>
        <v>0</v>
      </c>
      <c r="G155" s="81">
        <f>IFERROR(VLOOKUP($A155,GanttChart!$A:$JD,264,FALSE),0)</f>
        <v>0</v>
      </c>
      <c r="H155" s="82"/>
      <c r="I155" s="81">
        <f t="shared" si="0"/>
        <v>0</v>
      </c>
    </row>
    <row r="156" spans="1:9" ht="14.25" hidden="1">
      <c r="A156" s="74">
        <v>7.22</v>
      </c>
      <c r="C156" s="79">
        <f>IFERROR(VLOOKUP($A156,GanttChart!$A:$JD,2,FALSE),"خطا")</f>
        <v>0</v>
      </c>
      <c r="D156" s="80">
        <f>IFERROR(VLOOKUP($A156,GanttChart!$A:$JD,261,FALSE),0)</f>
        <v>0</v>
      </c>
      <c r="E156" s="80">
        <f>IFERROR(VLOOKUP($A156,GanttChart!$A:$JD,262,FALSE),0)</f>
        <v>0</v>
      </c>
      <c r="F156" s="80">
        <f>IFERROR(VLOOKUP($A156,GanttChart!$A:$JD,263,FALSE),0)</f>
        <v>0</v>
      </c>
      <c r="G156" s="81">
        <f>IFERROR(VLOOKUP($A156,GanttChart!$A:$JD,264,FALSE),0)</f>
        <v>0</v>
      </c>
      <c r="H156" s="82"/>
      <c r="I156" s="81">
        <f t="shared" si="0"/>
        <v>0</v>
      </c>
    </row>
    <row r="157" spans="1:9" ht="14.25" hidden="1">
      <c r="A157" s="74">
        <v>7.23</v>
      </c>
      <c r="C157" s="79">
        <f>IFERROR(VLOOKUP($A157,GanttChart!$A:$JD,2,FALSE),"خطا")</f>
        <v>0</v>
      </c>
      <c r="D157" s="80">
        <f>IFERROR(VLOOKUP($A157,GanttChart!$A:$JD,261,FALSE),0)</f>
        <v>0</v>
      </c>
      <c r="E157" s="80">
        <f>IFERROR(VLOOKUP($A157,GanttChart!$A:$JD,262,FALSE),0)</f>
        <v>0</v>
      </c>
      <c r="F157" s="80">
        <f>IFERROR(VLOOKUP($A157,GanttChart!$A:$JD,263,FALSE),0)</f>
        <v>0</v>
      </c>
      <c r="G157" s="81">
        <f>IFERROR(VLOOKUP($A157,GanttChart!$A:$JD,264,FALSE),0)</f>
        <v>0</v>
      </c>
      <c r="H157" s="82"/>
      <c r="I157" s="81">
        <f t="shared" si="0"/>
        <v>0</v>
      </c>
    </row>
    <row r="158" spans="1:9" ht="14.25">
      <c r="A158" s="74">
        <v>8</v>
      </c>
      <c r="C158" s="79">
        <f>IFERROR(VLOOKUP($A158,GanttChart!$A:$JD,2,FALSE),"خطا")</f>
        <v>0</v>
      </c>
      <c r="D158" s="80">
        <f>SUM(D159:D179)</f>
        <v>0</v>
      </c>
      <c r="E158" s="80">
        <f>SUM(E159:E179)</f>
        <v>0</v>
      </c>
      <c r="F158" s="80">
        <f>SUM(F159:F179)</f>
        <v>0</v>
      </c>
      <c r="G158" s="81">
        <f>SUM(G159:G179)</f>
        <v>0</v>
      </c>
      <c r="H158" s="203">
        <v>1</v>
      </c>
      <c r="I158" s="81">
        <f t="shared" si="0"/>
        <v>0</v>
      </c>
    </row>
    <row r="159" spans="1:9" ht="14.25" hidden="1">
      <c r="A159" s="74">
        <v>8.1</v>
      </c>
      <c r="C159" s="79">
        <f>IFERROR(VLOOKUP($A159,GanttChart!$A:$JD,2,FALSE),"خطا")</f>
        <v>0</v>
      </c>
      <c r="D159" s="80">
        <f>IFERROR(VLOOKUP($A159,GanttChart!$A:$JD,261,FALSE),0)</f>
        <v>0</v>
      </c>
      <c r="E159" s="80">
        <f>IFERROR(VLOOKUP($A159,GanttChart!$A:$JD,262,FALSE),0)</f>
        <v>0</v>
      </c>
      <c r="F159" s="80">
        <f>IFERROR(VLOOKUP($A159,GanttChart!$A:$JD,263,FALSE),0)</f>
        <v>0</v>
      </c>
      <c r="G159" s="81">
        <f>IFERROR(VLOOKUP($A159,GanttChart!$A:$JD,264,FALSE),0)</f>
        <v>0</v>
      </c>
      <c r="H159" s="82"/>
      <c r="I159" s="81">
        <f t="shared" si="0"/>
        <v>0</v>
      </c>
    </row>
    <row r="160" spans="1:9" ht="14.25" hidden="1">
      <c r="A160" s="74">
        <v>8.1999999999999993</v>
      </c>
      <c r="C160" s="79">
        <f>IFERROR(VLOOKUP($A160,GanttChart!$A:$JD,2,FALSE),"خطا")</f>
        <v>0</v>
      </c>
      <c r="D160" s="80">
        <f>IFERROR(VLOOKUP($A160,GanttChart!$A:$JD,261,FALSE),0)</f>
        <v>0</v>
      </c>
      <c r="E160" s="80">
        <f>IFERROR(VLOOKUP($A160,GanttChart!$A:$JD,262,FALSE),0)</f>
        <v>0</v>
      </c>
      <c r="F160" s="80">
        <f>IFERROR(VLOOKUP($A160,GanttChart!$A:$JD,263,FALSE),0)</f>
        <v>0</v>
      </c>
      <c r="G160" s="81">
        <f>IFERROR(VLOOKUP($A160,GanttChart!$A:$JD,264,FALSE),0)</f>
        <v>0</v>
      </c>
      <c r="H160" s="82"/>
      <c r="I160" s="81">
        <f t="shared" si="0"/>
        <v>0</v>
      </c>
    </row>
    <row r="161" spans="1:9" ht="14.25" hidden="1">
      <c r="A161" s="85">
        <v>8.3000000000000007</v>
      </c>
      <c r="C161" s="79">
        <f>IFERROR(VLOOKUP($A161,GanttChart!$A:$JD,2,FALSE),"خطا")</f>
        <v>0</v>
      </c>
      <c r="D161" s="80">
        <f>IFERROR(VLOOKUP($A161,GanttChart!$A:$JD,261,FALSE),0)</f>
        <v>0</v>
      </c>
      <c r="E161" s="80">
        <f>IFERROR(VLOOKUP($A161,GanttChart!$A:$JD,262,FALSE),0)</f>
        <v>0</v>
      </c>
      <c r="F161" s="80">
        <f>IFERROR(VLOOKUP($A161,GanttChart!$A:$JD,263,FALSE),0)</f>
        <v>0</v>
      </c>
      <c r="G161" s="81">
        <f>IFERROR(VLOOKUP($A161,GanttChart!$A:$JD,264,FALSE),0)</f>
        <v>0</v>
      </c>
      <c r="H161" s="86"/>
      <c r="I161" s="81">
        <f t="shared" ref="I161:I179" si="1">G161-(H161*G161)</f>
        <v>0</v>
      </c>
    </row>
    <row r="162" spans="1:9" ht="14.25" hidden="1">
      <c r="A162" s="85">
        <v>8.4</v>
      </c>
      <c r="C162" s="79">
        <f>IFERROR(VLOOKUP($A162,GanttChart!$A:$JD,2,FALSE),"خطا")</f>
        <v>0</v>
      </c>
      <c r="D162" s="80">
        <f>IFERROR(VLOOKUP($A162,GanttChart!$A:$JD,261,FALSE),0)</f>
        <v>0</v>
      </c>
      <c r="E162" s="80">
        <f>IFERROR(VLOOKUP($A162,GanttChart!$A:$JD,262,FALSE),0)</f>
        <v>0</v>
      </c>
      <c r="F162" s="80">
        <f>IFERROR(VLOOKUP($A162,GanttChart!$A:$JD,263,FALSE),0)</f>
        <v>0</v>
      </c>
      <c r="G162" s="81">
        <f>IFERROR(VLOOKUP($A162,GanttChart!$A:$JD,264,FALSE),0)</f>
        <v>0</v>
      </c>
      <c r="H162" s="86"/>
      <c r="I162" s="81">
        <f t="shared" si="1"/>
        <v>0</v>
      </c>
    </row>
    <row r="163" spans="1:9" ht="14.25" hidden="1">
      <c r="A163" s="74">
        <v>8.5</v>
      </c>
      <c r="C163" s="79">
        <f>IFERROR(VLOOKUP($A163,GanttChart!$A:$JD,2,FALSE),"خطا")</f>
        <v>0</v>
      </c>
      <c r="D163" s="80">
        <f>IFERROR(VLOOKUP($A163,GanttChart!$A:$JD,261,FALSE),0)</f>
        <v>0</v>
      </c>
      <c r="E163" s="80">
        <f>IFERROR(VLOOKUP($A163,GanttChart!$A:$JD,262,FALSE),0)</f>
        <v>0</v>
      </c>
      <c r="F163" s="80">
        <f>IFERROR(VLOOKUP($A163,GanttChart!$A:$JD,263,FALSE),0)</f>
        <v>0</v>
      </c>
      <c r="G163" s="81">
        <f>IFERROR(VLOOKUP($A163,GanttChart!$A:$JD,264,FALSE),0)</f>
        <v>0</v>
      </c>
      <c r="H163" s="86"/>
      <c r="I163" s="81">
        <f t="shared" si="1"/>
        <v>0</v>
      </c>
    </row>
    <row r="164" spans="1:9" ht="14.25" hidden="1">
      <c r="A164" s="85">
        <v>8.6</v>
      </c>
      <c r="C164" s="79">
        <f>IFERROR(VLOOKUP($A164,GanttChart!$A:$JD,2,FALSE),"خطا")</f>
        <v>0</v>
      </c>
      <c r="D164" s="80">
        <f>IFERROR(VLOOKUP($A164,GanttChart!$A:$JD,261,FALSE),0)</f>
        <v>0</v>
      </c>
      <c r="E164" s="80">
        <f>IFERROR(VLOOKUP($A164,GanttChart!$A:$JD,262,FALSE),0)</f>
        <v>0</v>
      </c>
      <c r="F164" s="80">
        <f>IFERROR(VLOOKUP($A164,GanttChart!$A:$JD,263,FALSE),0)</f>
        <v>0</v>
      </c>
      <c r="G164" s="81">
        <f>IFERROR(VLOOKUP($A164,GanttChart!$A:$JD,264,FALSE),0)</f>
        <v>0</v>
      </c>
      <c r="H164" s="86"/>
      <c r="I164" s="81">
        <f t="shared" si="1"/>
        <v>0</v>
      </c>
    </row>
    <row r="165" spans="1:9" ht="14.25" hidden="1">
      <c r="A165" s="85">
        <v>8.7000000000000099</v>
      </c>
      <c r="C165" s="79" t="str">
        <f>IFERROR(VLOOKUP($A165,GanttChart!$A:$JD,2,FALSE),"خطا")</f>
        <v>خطا</v>
      </c>
      <c r="D165" s="80">
        <f>IFERROR(VLOOKUP($A165,GanttChart!$A:$JD,261,FALSE),0)</f>
        <v>0</v>
      </c>
      <c r="E165" s="80">
        <f>IFERROR(VLOOKUP($A165,GanttChart!$A:$JD,262,FALSE),0)</f>
        <v>0</v>
      </c>
      <c r="F165" s="80">
        <f>IFERROR(VLOOKUP($A165,GanttChart!$A:$JD,263,FALSE),0)</f>
        <v>0</v>
      </c>
      <c r="G165" s="81">
        <f>IFERROR(VLOOKUP($A165,GanttChart!$A:$JD,264,FALSE),0)</f>
        <v>0</v>
      </c>
      <c r="H165" s="86"/>
      <c r="I165" s="81">
        <f t="shared" si="1"/>
        <v>0</v>
      </c>
    </row>
    <row r="166" spans="1:9" ht="14.25" hidden="1">
      <c r="A166" s="74">
        <v>8.8000000000000096</v>
      </c>
      <c r="C166" s="79" t="str">
        <f>IFERROR(VLOOKUP($A166,GanttChart!$A:$JD,2,FALSE),"خطا")</f>
        <v>خطا</v>
      </c>
      <c r="D166" s="80">
        <f>IFERROR(VLOOKUP($A166,GanttChart!$A:$JD,261,FALSE),0)</f>
        <v>0</v>
      </c>
      <c r="E166" s="80">
        <f>IFERROR(VLOOKUP($A166,GanttChart!$A:$JD,262,FALSE),0)</f>
        <v>0</v>
      </c>
      <c r="F166" s="80">
        <f>IFERROR(VLOOKUP($A166,GanttChart!$A:$JD,263,FALSE),0)</f>
        <v>0</v>
      </c>
      <c r="G166" s="81">
        <f>IFERROR(VLOOKUP($A166,GanttChart!$A:$JD,264,FALSE),0)</f>
        <v>0</v>
      </c>
      <c r="H166" s="86"/>
      <c r="I166" s="81">
        <f t="shared" si="1"/>
        <v>0</v>
      </c>
    </row>
    <row r="167" spans="1:9" ht="14.25" hidden="1">
      <c r="A167" s="85">
        <v>8.9000000000000092</v>
      </c>
      <c r="C167" s="79" t="str">
        <f>IFERROR(VLOOKUP($A167,GanttChart!$A:$JD,2,FALSE),"خطا")</f>
        <v>خطا</v>
      </c>
      <c r="D167" s="80">
        <f>IFERROR(VLOOKUP($A167,GanttChart!$A:$JD,261,FALSE),0)</f>
        <v>0</v>
      </c>
      <c r="E167" s="80">
        <f>IFERROR(VLOOKUP($A167,GanttChart!$A:$JD,262,FALSE),0)</f>
        <v>0</v>
      </c>
      <c r="F167" s="80">
        <f>IFERROR(VLOOKUP($A167,GanttChart!$A:$JD,263,FALSE),0)</f>
        <v>0</v>
      </c>
      <c r="G167" s="81">
        <f>IFERROR(VLOOKUP($A167,GanttChart!$A:$JD,264,FALSE),0)</f>
        <v>0</v>
      </c>
      <c r="H167" s="86"/>
      <c r="I167" s="81">
        <f t="shared" si="1"/>
        <v>0</v>
      </c>
    </row>
    <row r="168" spans="1:9" ht="14.25" hidden="1">
      <c r="A168" s="85">
        <v>8.11</v>
      </c>
      <c r="C168" s="79">
        <f>IFERROR(VLOOKUP($A168,GanttChart!$A:$JD,2,FALSE),"خطا")</f>
        <v>0</v>
      </c>
      <c r="D168" s="80">
        <f>IFERROR(VLOOKUP($A168,GanttChart!$A:$JD,261,FALSE),0)</f>
        <v>0</v>
      </c>
      <c r="E168" s="80">
        <f>IFERROR(VLOOKUP($A168,GanttChart!$A:$JD,262,FALSE),0)</f>
        <v>0</v>
      </c>
      <c r="F168" s="80">
        <f>IFERROR(VLOOKUP($A168,GanttChart!$A:$JD,263,FALSE),0)</f>
        <v>0</v>
      </c>
      <c r="G168" s="81">
        <f>IFERROR(VLOOKUP($A168,GanttChart!$A:$JD,264,FALSE),0)</f>
        <v>0</v>
      </c>
      <c r="H168" s="86"/>
      <c r="I168" s="81">
        <f t="shared" si="1"/>
        <v>0</v>
      </c>
    </row>
    <row r="169" spans="1:9" ht="14.25" hidden="1">
      <c r="A169" s="85">
        <v>8.1199999999999992</v>
      </c>
      <c r="C169" s="79">
        <f>IFERROR(VLOOKUP($A169,GanttChart!$A:$JD,2,FALSE),"خطا")</f>
        <v>0</v>
      </c>
      <c r="D169" s="80">
        <f>IFERROR(VLOOKUP($A169,GanttChart!$A:$JD,261,FALSE),0)</f>
        <v>0</v>
      </c>
      <c r="E169" s="80">
        <f>IFERROR(VLOOKUP($A169,GanttChart!$A:$JD,262,FALSE),0)</f>
        <v>0</v>
      </c>
      <c r="F169" s="80">
        <f>IFERROR(VLOOKUP($A169,GanttChart!$A:$JD,263,FALSE),0)</f>
        <v>0</v>
      </c>
      <c r="G169" s="81">
        <f>IFERROR(VLOOKUP($A169,GanttChart!$A:$JD,264,FALSE),0)</f>
        <v>0</v>
      </c>
      <c r="H169" s="86"/>
      <c r="I169" s="81">
        <f t="shared" si="1"/>
        <v>0</v>
      </c>
    </row>
    <row r="170" spans="1:9" ht="14.25" hidden="1">
      <c r="A170" s="85">
        <v>8.1300000000000008</v>
      </c>
      <c r="C170" s="79">
        <f>IFERROR(VLOOKUP($A170,GanttChart!$A:$JD,2,FALSE),"خطا")</f>
        <v>0</v>
      </c>
      <c r="D170" s="80">
        <f>IFERROR(VLOOKUP($A170,GanttChart!$A:$JD,261,FALSE),0)</f>
        <v>0</v>
      </c>
      <c r="E170" s="80">
        <f>IFERROR(VLOOKUP($A170,GanttChart!$A:$JD,262,FALSE),0)</f>
        <v>0</v>
      </c>
      <c r="F170" s="80">
        <f>IFERROR(VLOOKUP($A170,GanttChart!$A:$JD,263,FALSE),0)</f>
        <v>0</v>
      </c>
      <c r="G170" s="81">
        <f>IFERROR(VLOOKUP($A170,GanttChart!$A:$JD,264,FALSE),0)</f>
        <v>0</v>
      </c>
      <c r="H170" s="86"/>
      <c r="I170" s="81">
        <f t="shared" si="1"/>
        <v>0</v>
      </c>
    </row>
    <row r="171" spans="1:9" ht="14.25" hidden="1">
      <c r="A171" s="85">
        <v>8.14</v>
      </c>
      <c r="C171" s="79">
        <f>IFERROR(VLOOKUP($A171,GanttChart!$A:$JD,2,FALSE),"خطا")</f>
        <v>0</v>
      </c>
      <c r="D171" s="80">
        <f>IFERROR(VLOOKUP($A171,GanttChart!$A:$JD,261,FALSE),0)</f>
        <v>0</v>
      </c>
      <c r="E171" s="80">
        <f>IFERROR(VLOOKUP($A171,GanttChart!$A:$JD,262,FALSE),0)</f>
        <v>0</v>
      </c>
      <c r="F171" s="80">
        <f>IFERROR(VLOOKUP($A171,GanttChart!$A:$JD,263,FALSE),0)</f>
        <v>0</v>
      </c>
      <c r="G171" s="81">
        <f>IFERROR(VLOOKUP($A171,GanttChart!$A:$JD,264,FALSE),0)</f>
        <v>0</v>
      </c>
      <c r="H171" s="86"/>
      <c r="I171" s="81">
        <f t="shared" si="1"/>
        <v>0</v>
      </c>
    </row>
    <row r="172" spans="1:9" ht="14.25" hidden="1">
      <c r="A172" s="85">
        <v>8.15</v>
      </c>
      <c r="C172" s="79">
        <f>IFERROR(VLOOKUP($A172,GanttChart!$A:$JD,2,FALSE),"خطا")</f>
        <v>0</v>
      </c>
      <c r="D172" s="80">
        <f>IFERROR(VLOOKUP($A172,GanttChart!$A:$JD,261,FALSE),0)</f>
        <v>0</v>
      </c>
      <c r="E172" s="80">
        <f>IFERROR(VLOOKUP($A172,GanttChart!$A:$JD,262,FALSE),0)</f>
        <v>0</v>
      </c>
      <c r="F172" s="80">
        <f>IFERROR(VLOOKUP($A172,GanttChart!$A:$JD,263,FALSE),0)</f>
        <v>0</v>
      </c>
      <c r="G172" s="81">
        <f>IFERROR(VLOOKUP($A172,GanttChart!$A:$JD,264,FALSE),0)</f>
        <v>0</v>
      </c>
      <c r="H172" s="86"/>
      <c r="I172" s="81">
        <f t="shared" si="1"/>
        <v>0</v>
      </c>
    </row>
    <row r="173" spans="1:9" ht="14.25" hidden="1">
      <c r="A173" s="85">
        <v>8.16</v>
      </c>
      <c r="C173" s="79">
        <f>IFERROR(VLOOKUP($A173,GanttChart!$A:$JD,2,FALSE),"خطا")</f>
        <v>0</v>
      </c>
      <c r="D173" s="80">
        <f>IFERROR(VLOOKUP($A173,GanttChart!$A:$JD,261,FALSE),0)</f>
        <v>0</v>
      </c>
      <c r="E173" s="80">
        <f>IFERROR(VLOOKUP($A173,GanttChart!$A:$JD,262,FALSE),0)</f>
        <v>0</v>
      </c>
      <c r="F173" s="80">
        <f>IFERROR(VLOOKUP($A173,GanttChart!$A:$JD,263,FALSE),0)</f>
        <v>0</v>
      </c>
      <c r="G173" s="81">
        <f>IFERROR(VLOOKUP($A173,GanttChart!$A:$JD,264,FALSE),0)</f>
        <v>0</v>
      </c>
      <c r="H173" s="86"/>
      <c r="I173" s="81">
        <f t="shared" si="1"/>
        <v>0</v>
      </c>
    </row>
    <row r="174" spans="1:9" ht="14.25" hidden="1">
      <c r="A174" s="85">
        <v>8.17</v>
      </c>
      <c r="C174" s="79">
        <f>IFERROR(VLOOKUP($A174,GanttChart!$A:$JD,2,FALSE),"خطا")</f>
        <v>0</v>
      </c>
      <c r="D174" s="80">
        <f>IFERROR(VLOOKUP($A174,GanttChart!$A:$JD,261,FALSE),0)</f>
        <v>0</v>
      </c>
      <c r="E174" s="80">
        <f>IFERROR(VLOOKUP($A174,GanttChart!$A:$JD,262,FALSE),0)</f>
        <v>0</v>
      </c>
      <c r="F174" s="80">
        <f>IFERROR(VLOOKUP($A174,GanttChart!$A:$JD,263,FALSE),0)</f>
        <v>0</v>
      </c>
      <c r="G174" s="81">
        <f>IFERROR(VLOOKUP($A174,GanttChart!$A:$JD,264,FALSE),0)</f>
        <v>0</v>
      </c>
      <c r="H174" s="86"/>
      <c r="I174" s="81">
        <f t="shared" si="1"/>
        <v>0</v>
      </c>
    </row>
    <row r="175" spans="1:9" ht="14.25" hidden="1">
      <c r="A175" s="85">
        <v>8.18</v>
      </c>
      <c r="C175" s="79">
        <f>IFERROR(VLOOKUP($A175,GanttChart!$A:$JD,2,FALSE),"خطا")</f>
        <v>0</v>
      </c>
      <c r="D175" s="80">
        <f>IFERROR(VLOOKUP($A175,GanttChart!$A:$JD,261,FALSE),0)</f>
        <v>0</v>
      </c>
      <c r="E175" s="80">
        <f>IFERROR(VLOOKUP($A175,GanttChart!$A:$JD,262,FALSE),0)</f>
        <v>0</v>
      </c>
      <c r="F175" s="80">
        <f>IFERROR(VLOOKUP($A175,GanttChart!$A:$JD,263,FALSE),0)</f>
        <v>0</v>
      </c>
      <c r="G175" s="81">
        <f>IFERROR(VLOOKUP($A175,GanttChart!$A:$JD,264,FALSE),0)</f>
        <v>0</v>
      </c>
      <c r="H175" s="86"/>
      <c r="I175" s="81">
        <f t="shared" si="1"/>
        <v>0</v>
      </c>
    </row>
    <row r="176" spans="1:9" ht="14.25" hidden="1">
      <c r="A176" s="85">
        <v>8.19</v>
      </c>
      <c r="C176" s="79">
        <f>IFERROR(VLOOKUP($A176,GanttChart!$A:$JD,2,FALSE),"خطا")</f>
        <v>0</v>
      </c>
      <c r="D176" s="80">
        <f>IFERROR(VLOOKUP($A176,GanttChart!$A:$JD,261,FALSE),0)</f>
        <v>0</v>
      </c>
      <c r="E176" s="80">
        <f>IFERROR(VLOOKUP($A176,GanttChart!$A:$JD,262,FALSE),0)</f>
        <v>0</v>
      </c>
      <c r="F176" s="80">
        <f>IFERROR(VLOOKUP($A176,GanttChart!$A:$JD,263,FALSE),0)</f>
        <v>0</v>
      </c>
      <c r="G176" s="81">
        <f>IFERROR(VLOOKUP($A176,GanttChart!$A:$JD,264,FALSE),0)</f>
        <v>0</v>
      </c>
      <c r="H176" s="86"/>
      <c r="I176" s="81">
        <f t="shared" si="1"/>
        <v>0</v>
      </c>
    </row>
    <row r="177" spans="1:9" ht="14.25" hidden="1">
      <c r="A177" s="85">
        <v>8.2100000000000009</v>
      </c>
      <c r="C177" s="79">
        <f>IFERROR(VLOOKUP($A177,GanttChart!$A:$JD,2,FALSE),"خطا")</f>
        <v>0</v>
      </c>
      <c r="D177" s="80">
        <f>IFERROR(VLOOKUP($A177,GanttChart!$A:$JD,261,FALSE),0)</f>
        <v>0</v>
      </c>
      <c r="E177" s="80">
        <f>IFERROR(VLOOKUP($A177,GanttChart!$A:$JD,262,FALSE),0)</f>
        <v>0</v>
      </c>
      <c r="F177" s="80">
        <f>IFERROR(VLOOKUP($A177,GanttChart!$A:$JD,263,FALSE),0)</f>
        <v>0</v>
      </c>
      <c r="G177" s="81">
        <f>IFERROR(VLOOKUP($A177,GanttChart!$A:$JD,264,FALSE),0)</f>
        <v>0</v>
      </c>
      <c r="H177" s="86"/>
      <c r="I177" s="81">
        <f t="shared" si="1"/>
        <v>0</v>
      </c>
    </row>
    <row r="178" spans="1:9" ht="14.25" hidden="1">
      <c r="A178" s="85">
        <v>8.2200000000000006</v>
      </c>
      <c r="C178" s="79">
        <f>IFERROR(VLOOKUP($A178,GanttChart!$A:$JD,2,FALSE),"خطا")</f>
        <v>0</v>
      </c>
      <c r="D178" s="80">
        <f>IFERROR(VLOOKUP($A178,GanttChart!$A:$JD,261,FALSE),0)</f>
        <v>0</v>
      </c>
      <c r="E178" s="80">
        <f>IFERROR(VLOOKUP($A178,GanttChart!$A:$JD,262,FALSE),0)</f>
        <v>0</v>
      </c>
      <c r="F178" s="80">
        <f>IFERROR(VLOOKUP($A178,GanttChart!$A:$JD,263,FALSE),0)</f>
        <v>0</v>
      </c>
      <c r="G178" s="81">
        <f>IFERROR(VLOOKUP($A178,GanttChart!$A:$JD,264,FALSE),0)</f>
        <v>0</v>
      </c>
      <c r="H178" s="86"/>
      <c r="I178" s="81">
        <f t="shared" si="1"/>
        <v>0</v>
      </c>
    </row>
    <row r="179" spans="1:9" ht="14.25" hidden="1">
      <c r="A179" s="85">
        <v>8.23</v>
      </c>
      <c r="C179" s="89">
        <f>IFERROR(VLOOKUP($A179,GanttChart!$A:$JD,2,FALSE),"خطا")</f>
        <v>0</v>
      </c>
      <c r="D179" s="90">
        <f>IFERROR(VLOOKUP($A179,GanttChart!$A:$JD,261,FALSE),0)</f>
        <v>0</v>
      </c>
      <c r="E179" s="90">
        <f>IFERROR(VLOOKUP($A179,GanttChart!$A:$JD,262,FALSE),0)</f>
        <v>0</v>
      </c>
      <c r="F179" s="90">
        <f>IFERROR(VLOOKUP($A179,GanttChart!$A:$JD,263,FALSE),0)</f>
        <v>0</v>
      </c>
      <c r="G179" s="87">
        <f>IFERROR(VLOOKUP($A179,GanttChart!$A:$JD,264,FALSE),0)</f>
        <v>0</v>
      </c>
      <c r="H179" s="86"/>
      <c r="I179" s="87">
        <f t="shared" si="1"/>
        <v>0</v>
      </c>
    </row>
    <row r="180" spans="1:9" ht="15">
      <c r="A180" s="94">
        <v>10</v>
      </c>
      <c r="C180" s="91" t="s">
        <v>51</v>
      </c>
      <c r="D180" s="92">
        <f>SUM(D4,D26,D48,D70,D92,D114,D136,D158)</f>
        <v>0</v>
      </c>
      <c r="E180" s="92">
        <f>SUM(E4,E26,E48,E70,E92,F114,F136,F158)</f>
        <v>0</v>
      </c>
      <c r="F180" s="92">
        <f>SUM(F4,F26,F48,F70,F92,F114,F136,F158)</f>
        <v>0</v>
      </c>
      <c r="G180" s="88">
        <f>SUM(G4,G26,G48,G70,G92,G114,G136,G158)</f>
        <v>0</v>
      </c>
      <c r="H180" s="93"/>
      <c r="I180" s="88" t="e">
        <f>SUM(I4,I26,I48,I70,I92,I114,I136,I158)</f>
        <v>#DIV/0!</v>
      </c>
    </row>
  </sheetData>
  <sheetProtection algorithmName="SHA-512" hashValue="sRy+B+P6ntOBVIXzsbqnWDFK+Zf68XZBt8Rgwb9VaLD6zHoCKNiyiWS5WK6EGg/DagW+5GqF6SUDyHCNLowfZg==" saltValue="V1kJdvDvREK39+q/ddYGmg==" spinCount="100000" sheet="1" objects="1" scenarios="1" selectLockedCells="1"/>
  <autoFilter ref="A1:I180">
    <filterColumn colId="0">
      <filters blank="1">
        <filter val="1"/>
        <filter val="10"/>
        <filter val="2"/>
        <filter val="3"/>
        <filter val="4"/>
        <filter val="5"/>
        <filter val="6"/>
        <filter val="7"/>
        <filter val="8"/>
        <filter val="WBS"/>
      </filters>
    </filterColumn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</autoFilter>
  <mergeCells count="8">
    <mergeCell ref="B1:I1"/>
    <mergeCell ref="A2:A3"/>
    <mergeCell ref="B2:B3"/>
    <mergeCell ref="C2:C3"/>
    <mergeCell ref="D2:F2"/>
    <mergeCell ref="G2:G3"/>
    <mergeCell ref="H2:H3"/>
    <mergeCell ref="I2:I3"/>
  </mergeCells>
  <pageMargins left="0.27559055118110237" right="0.27559055118110237" top="0.74803149606299213" bottom="0.74803149606299213" header="0.31496062992125984" footer="0.31496062992125984"/>
  <pageSetup paperSize="9" scale="85" orientation="portrait" r:id="rId1"/>
  <headerFooter>
    <oddHeader>&amp;C&amp;"B Mitra,پررنگ"&amp;12پیوست شماره 1</oddHeader>
  </headerFooter>
  <ignoredErrors>
    <ignoredError sqref="D26:G158 E180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ه5"/>
  <dimension ref="A1:F54"/>
  <sheetViews>
    <sheetView rightToLeft="1" workbookViewId="0">
      <selection activeCell="A12" sqref="A12"/>
    </sheetView>
  </sheetViews>
  <sheetFormatPr defaultRowHeight="12.75"/>
  <cols>
    <col min="2" max="2" width="19.5703125" bestFit="1" customWidth="1"/>
    <col min="3" max="3" width="19.5703125" customWidth="1"/>
    <col min="4" max="4" width="10.42578125" customWidth="1"/>
    <col min="5" max="5" width="15" customWidth="1"/>
    <col min="6" max="6" width="39.7109375" bestFit="1" customWidth="1"/>
  </cols>
  <sheetData>
    <row r="1" spans="1:6" ht="15">
      <c r="A1" s="15" t="s">
        <v>34</v>
      </c>
      <c r="B1" s="15" t="s">
        <v>38</v>
      </c>
      <c r="C1" s="15" t="s">
        <v>37</v>
      </c>
      <c r="D1" s="15" t="s">
        <v>35</v>
      </c>
      <c r="E1" s="15" t="s">
        <v>36</v>
      </c>
      <c r="F1" s="15" t="s">
        <v>11</v>
      </c>
    </row>
    <row r="2" spans="1:6" ht="15">
      <c r="A2" s="16" t="s">
        <v>82</v>
      </c>
      <c r="B2" s="16" t="str">
        <f t="shared" ref="B2:B27" si="0">LEFT(A2,4)</f>
        <v>1398</v>
      </c>
      <c r="C2" s="16" t="str">
        <f t="shared" ref="C2:C27" si="1">MID(A2,6,2)</f>
        <v>01</v>
      </c>
      <c r="D2" s="16">
        <v>1</v>
      </c>
      <c r="E2" s="15" t="str">
        <f>IF(j_WEEKDAY(A2)=6,1,"")</f>
        <v/>
      </c>
      <c r="F2" s="17" t="s">
        <v>12</v>
      </c>
    </row>
    <row r="3" spans="1:6" ht="15">
      <c r="A3" s="16" t="s">
        <v>83</v>
      </c>
      <c r="B3" s="16" t="str">
        <f t="shared" si="0"/>
        <v>1398</v>
      </c>
      <c r="C3" s="16" t="str">
        <f t="shared" si="1"/>
        <v>01</v>
      </c>
      <c r="D3" s="16">
        <v>1</v>
      </c>
      <c r="E3" s="15">
        <f>IF(j_WEEKDAY(A3)=6,1,"")</f>
        <v>1</v>
      </c>
      <c r="F3" s="17" t="s">
        <v>12</v>
      </c>
    </row>
    <row r="4" spans="1:6" ht="15">
      <c r="A4" s="16" t="s">
        <v>84</v>
      </c>
      <c r="B4" s="16" t="str">
        <f t="shared" si="0"/>
        <v>1398</v>
      </c>
      <c r="C4" s="16" t="str">
        <f t="shared" si="1"/>
        <v>01</v>
      </c>
      <c r="D4" s="16">
        <v>1</v>
      </c>
      <c r="E4" s="15" t="str">
        <f>IF(j_WEEKDAY(A4)=6,1,"")</f>
        <v/>
      </c>
      <c r="F4" s="17" t="s">
        <v>12</v>
      </c>
    </row>
    <row r="5" spans="1:6" ht="15">
      <c r="A5" s="16" t="s">
        <v>85</v>
      </c>
      <c r="B5" s="16" t="str">
        <f t="shared" si="0"/>
        <v>1398</v>
      </c>
      <c r="C5" s="16" t="str">
        <f t="shared" si="1"/>
        <v>01</v>
      </c>
      <c r="D5" s="16">
        <v>1</v>
      </c>
      <c r="E5" s="15" t="str">
        <f>IF(j_WEEKDAY(A5)=6,1,"")</f>
        <v/>
      </c>
      <c r="F5" s="17" t="s">
        <v>12</v>
      </c>
    </row>
    <row r="6" spans="1:6" ht="15">
      <c r="A6" s="16" t="s">
        <v>86</v>
      </c>
      <c r="B6" s="16" t="str">
        <f t="shared" si="0"/>
        <v>1398</v>
      </c>
      <c r="C6" s="16" t="str">
        <f t="shared" si="1"/>
        <v>01</v>
      </c>
      <c r="D6" s="16">
        <v>1</v>
      </c>
      <c r="E6" s="15" t="str">
        <f>IF(j_WEEKDAY(A6)=6,1,"")</f>
        <v/>
      </c>
      <c r="F6" s="17" t="s">
        <v>13</v>
      </c>
    </row>
    <row r="7" spans="1:6" ht="15">
      <c r="A7" s="16" t="s">
        <v>87</v>
      </c>
      <c r="B7" s="16" t="str">
        <f t="shared" si="0"/>
        <v>1398</v>
      </c>
      <c r="C7" s="16" t="str">
        <f t="shared" si="1"/>
        <v>01</v>
      </c>
      <c r="D7" s="16">
        <v>1</v>
      </c>
      <c r="E7" s="15" t="str">
        <f>IF(j_WEEKDAY(A7)=6,1,"")</f>
        <v/>
      </c>
      <c r="F7" s="17" t="s">
        <v>14</v>
      </c>
    </row>
    <row r="8" spans="1:6" ht="15">
      <c r="A8" s="16" t="s">
        <v>92</v>
      </c>
      <c r="B8" s="16" t="str">
        <f t="shared" si="0"/>
        <v>1398</v>
      </c>
      <c r="C8" s="16" t="str">
        <f t="shared" si="1"/>
        <v>01</v>
      </c>
      <c r="D8" s="16">
        <v>1</v>
      </c>
      <c r="E8" s="15" t="str">
        <f>IF(j_WEEKDAY(A8)=6,1,"")</f>
        <v/>
      </c>
      <c r="F8" s="17" t="s">
        <v>19</v>
      </c>
    </row>
    <row r="9" spans="1:6" ht="15">
      <c r="A9" s="16" t="s">
        <v>93</v>
      </c>
      <c r="B9" s="16" t="str">
        <f t="shared" si="0"/>
        <v>1398</v>
      </c>
      <c r="C9" s="16" t="str">
        <f t="shared" si="1"/>
        <v>02</v>
      </c>
      <c r="D9" s="16">
        <v>1</v>
      </c>
      <c r="E9" s="15" t="str">
        <f>IF(j_WEEKDAY(A9)=6,1,"")</f>
        <v/>
      </c>
      <c r="F9" s="18" t="s">
        <v>20</v>
      </c>
    </row>
    <row r="10" spans="1:6" ht="15">
      <c r="A10" s="16" t="s">
        <v>94</v>
      </c>
      <c r="B10" s="16" t="str">
        <f t="shared" si="0"/>
        <v>1398</v>
      </c>
      <c r="C10" s="16" t="str">
        <f t="shared" si="1"/>
        <v>03</v>
      </c>
      <c r="D10" s="16">
        <v>1</v>
      </c>
      <c r="E10" s="15" t="str">
        <f>IF(j_WEEKDAY(A10)=6,1,"")</f>
        <v/>
      </c>
      <c r="F10" s="17" t="s">
        <v>21</v>
      </c>
    </row>
    <row r="11" spans="1:6" ht="15">
      <c r="A11" s="16" t="s">
        <v>88</v>
      </c>
      <c r="B11" s="16" t="str">
        <f t="shared" si="0"/>
        <v>1398</v>
      </c>
      <c r="C11" s="16" t="str">
        <f t="shared" si="1"/>
        <v>03</v>
      </c>
      <c r="D11" s="16">
        <v>1</v>
      </c>
      <c r="E11" s="15" t="str">
        <f>IF(j_WEEKDAY(A11)=6,1,"")</f>
        <v/>
      </c>
      <c r="F11" s="17" t="s">
        <v>17</v>
      </c>
    </row>
    <row r="12" spans="1:6" ht="15">
      <c r="A12" s="16" t="s">
        <v>89</v>
      </c>
      <c r="B12" s="16" t="str">
        <f t="shared" si="0"/>
        <v>1398</v>
      </c>
      <c r="C12" s="16" t="str">
        <f t="shared" si="1"/>
        <v>03</v>
      </c>
      <c r="D12" s="16">
        <v>1</v>
      </c>
      <c r="E12" s="15" t="str">
        <f>IF(j_WEEKDAY(A12)=6,1,"")</f>
        <v/>
      </c>
      <c r="F12" s="17" t="s">
        <v>18</v>
      </c>
    </row>
    <row r="13" spans="1:6" ht="15">
      <c r="A13" s="16" t="s">
        <v>95</v>
      </c>
      <c r="B13" s="16" t="str">
        <f t="shared" si="0"/>
        <v>1398</v>
      </c>
      <c r="C13" s="16" t="str">
        <f t="shared" si="1"/>
        <v>03</v>
      </c>
      <c r="D13" s="16">
        <v>1</v>
      </c>
      <c r="E13" s="15" t="str">
        <f>IF(j_WEEKDAY(A13)=6,1,"")</f>
        <v/>
      </c>
      <c r="F13" s="17" t="s">
        <v>22</v>
      </c>
    </row>
    <row r="14" spans="1:6" ht="15">
      <c r="A14" s="16" t="s">
        <v>96</v>
      </c>
      <c r="B14" s="16" t="str">
        <f t="shared" si="0"/>
        <v>1398</v>
      </c>
      <c r="C14" s="16" t="str">
        <f t="shared" si="1"/>
        <v>04</v>
      </c>
      <c r="D14" s="16">
        <v>1</v>
      </c>
      <c r="E14" s="15" t="str">
        <f>IF(j_WEEKDAY(A14)=6,1,"")</f>
        <v/>
      </c>
      <c r="F14" s="17" t="s">
        <v>23</v>
      </c>
    </row>
    <row r="15" spans="1:6" ht="15">
      <c r="A15" s="16" t="s">
        <v>97</v>
      </c>
      <c r="B15" s="16" t="str">
        <f t="shared" si="0"/>
        <v>1398</v>
      </c>
      <c r="C15" s="16" t="str">
        <f t="shared" si="1"/>
        <v>05</v>
      </c>
      <c r="D15" s="16">
        <v>1</v>
      </c>
      <c r="E15" s="15" t="str">
        <f>IF(j_WEEKDAY(A15)=6,1,"")</f>
        <v/>
      </c>
      <c r="F15" s="17" t="s">
        <v>24</v>
      </c>
    </row>
    <row r="16" spans="1:6" ht="15">
      <c r="A16" s="16" t="s">
        <v>98</v>
      </c>
      <c r="B16" s="16" t="str">
        <f t="shared" si="0"/>
        <v>1398</v>
      </c>
      <c r="C16" s="16" t="str">
        <f t="shared" si="1"/>
        <v>05</v>
      </c>
      <c r="D16" s="16">
        <v>1</v>
      </c>
      <c r="E16" s="15" t="str">
        <f>IF(j_WEEKDAY(A16)=6,1,"")</f>
        <v/>
      </c>
      <c r="F16" s="17" t="s">
        <v>25</v>
      </c>
    </row>
    <row r="17" spans="1:6" ht="15">
      <c r="A17" s="16" t="s">
        <v>99</v>
      </c>
      <c r="B17" s="16" t="str">
        <f t="shared" si="0"/>
        <v>1398</v>
      </c>
      <c r="C17" s="16" t="str">
        <f t="shared" si="1"/>
        <v>06</v>
      </c>
      <c r="D17" s="16">
        <v>1</v>
      </c>
      <c r="E17" s="15" t="str">
        <f>IF(j_WEEKDAY(A17)=6,1,"")</f>
        <v/>
      </c>
      <c r="F17" s="17" t="s">
        <v>26</v>
      </c>
    </row>
    <row r="18" spans="1:6" ht="15">
      <c r="A18" s="16" t="s">
        <v>100</v>
      </c>
      <c r="B18" s="16" t="str">
        <f t="shared" si="0"/>
        <v>1398</v>
      </c>
      <c r="C18" s="16" t="str">
        <f t="shared" si="1"/>
        <v>06</v>
      </c>
      <c r="D18" s="16">
        <v>1</v>
      </c>
      <c r="E18" s="15" t="str">
        <f>IF(j_WEEKDAY(A18)=6,1,"")</f>
        <v/>
      </c>
      <c r="F18" s="17" t="s">
        <v>27</v>
      </c>
    </row>
    <row r="19" spans="1:6" ht="15">
      <c r="A19" s="16" t="s">
        <v>101</v>
      </c>
      <c r="B19" s="16" t="str">
        <f t="shared" si="0"/>
        <v>1398</v>
      </c>
      <c r="C19" s="16" t="str">
        <f t="shared" si="1"/>
        <v>07</v>
      </c>
      <c r="D19" s="16">
        <v>1</v>
      </c>
      <c r="E19" s="15" t="str">
        <f>IF(j_WEEKDAY(A19)=6,1,"")</f>
        <v/>
      </c>
      <c r="F19" s="17" t="s">
        <v>28</v>
      </c>
    </row>
    <row r="20" spans="1:6" ht="15">
      <c r="A20" s="16" t="s">
        <v>102</v>
      </c>
      <c r="B20" s="16" t="str">
        <f t="shared" si="0"/>
        <v>1398</v>
      </c>
      <c r="C20" s="16" t="str">
        <f t="shared" si="1"/>
        <v>08</v>
      </c>
      <c r="D20" s="16">
        <v>1</v>
      </c>
      <c r="E20" s="15" t="str">
        <f>IF(j_WEEKDAY(A20)=6,1,"")</f>
        <v/>
      </c>
      <c r="F20" s="17" t="s">
        <v>29</v>
      </c>
    </row>
    <row r="21" spans="1:6" ht="15">
      <c r="A21" s="16" t="s">
        <v>103</v>
      </c>
      <c r="B21" s="16" t="str">
        <f t="shared" si="0"/>
        <v>1398</v>
      </c>
      <c r="C21" s="16" t="str">
        <f t="shared" si="1"/>
        <v>08</v>
      </c>
      <c r="D21" s="16">
        <v>1</v>
      </c>
      <c r="E21" s="15" t="str">
        <f>IF(j_WEEKDAY(A21)=6,1,"")</f>
        <v/>
      </c>
      <c r="F21" s="17" t="s">
        <v>30</v>
      </c>
    </row>
    <row r="22" spans="1:6" ht="15">
      <c r="A22" s="16" t="s">
        <v>104</v>
      </c>
      <c r="B22" s="16" t="str">
        <f t="shared" si="0"/>
        <v>1398</v>
      </c>
      <c r="C22" s="16" t="str">
        <f t="shared" si="1"/>
        <v>08</v>
      </c>
      <c r="D22" s="16">
        <v>1</v>
      </c>
      <c r="E22" s="15" t="str">
        <f>IF(j_WEEKDAY(A22)=6,1,"")</f>
        <v/>
      </c>
      <c r="F22" s="17" t="s">
        <v>105</v>
      </c>
    </row>
    <row r="23" spans="1:6" ht="15">
      <c r="A23" s="16" t="s">
        <v>106</v>
      </c>
      <c r="B23" s="16" t="str">
        <f t="shared" si="0"/>
        <v>1398</v>
      </c>
      <c r="C23" s="16" t="str">
        <f t="shared" si="1"/>
        <v>08</v>
      </c>
      <c r="D23" s="16">
        <v>1</v>
      </c>
      <c r="E23" s="15">
        <f>IF(j_WEEKDAY(A23)=6,1,"")</f>
        <v>1</v>
      </c>
      <c r="F23" s="17" t="s">
        <v>31</v>
      </c>
    </row>
    <row r="24" spans="1:6" ht="15">
      <c r="A24" s="16" t="s">
        <v>107</v>
      </c>
      <c r="B24" s="16" t="str">
        <f t="shared" si="0"/>
        <v>1398</v>
      </c>
      <c r="C24" s="16" t="str">
        <f t="shared" si="1"/>
        <v>11</v>
      </c>
      <c r="D24" s="16">
        <v>1</v>
      </c>
      <c r="E24" s="15" t="str">
        <f>IF(j_WEEKDAY(A24)=6,1,"")</f>
        <v/>
      </c>
      <c r="F24" s="17" t="s">
        <v>15</v>
      </c>
    </row>
    <row r="25" spans="1:6" ht="15">
      <c r="A25" s="16" t="s">
        <v>90</v>
      </c>
      <c r="B25" s="16" t="str">
        <f t="shared" si="0"/>
        <v>1398</v>
      </c>
      <c r="C25" s="16" t="str">
        <f t="shared" si="1"/>
        <v>11</v>
      </c>
      <c r="D25" s="16">
        <v>1</v>
      </c>
      <c r="E25" s="15" t="str">
        <f>IF(j_WEEKDAY(A25)=6,1,"")</f>
        <v/>
      </c>
      <c r="F25" s="17" t="s">
        <v>32</v>
      </c>
    </row>
    <row r="26" spans="1:6" ht="15">
      <c r="A26" s="16" t="s">
        <v>108</v>
      </c>
      <c r="B26" s="16" t="str">
        <f t="shared" si="0"/>
        <v>1398</v>
      </c>
      <c r="C26" s="16" t="str">
        <f t="shared" si="1"/>
        <v>12</v>
      </c>
      <c r="D26" s="16">
        <v>1</v>
      </c>
      <c r="E26" s="15" t="str">
        <f>IF(j_WEEKDAY(A26)=6,1,"")</f>
        <v/>
      </c>
      <c r="F26" s="17" t="s">
        <v>16</v>
      </c>
    </row>
    <row r="27" spans="1:6" ht="15">
      <c r="A27" s="16" t="s">
        <v>91</v>
      </c>
      <c r="B27" s="16" t="str">
        <f t="shared" si="0"/>
        <v>1398</v>
      </c>
      <c r="C27" s="16" t="str">
        <f t="shared" si="1"/>
        <v>12</v>
      </c>
      <c r="D27" s="16">
        <v>1</v>
      </c>
      <c r="E27" s="15" t="str">
        <f>IF(j_WEEKDAY(A27)=6,1,"")</f>
        <v/>
      </c>
      <c r="F27" s="17" t="s">
        <v>33</v>
      </c>
    </row>
    <row r="28" spans="1:6" ht="15">
      <c r="A28" s="205" t="s">
        <v>51</v>
      </c>
      <c r="B28" s="205"/>
      <c r="C28" s="205"/>
      <c r="D28" s="205">
        <f>SUBTOTAL(109,Holieday[ok])</f>
        <v>26</v>
      </c>
      <c r="E28" s="205">
        <f>SUBTOTAL(109,Holieday[Friday])</f>
        <v>2</v>
      </c>
      <c r="F28" s="206"/>
    </row>
    <row r="29" spans="1:6" ht="15">
      <c r="A29" s="16"/>
      <c r="B29" s="16" t="str">
        <f t="shared" ref="B29:B54" si="2">LEFT(A29,4)</f>
        <v/>
      </c>
      <c r="C29" s="16" t="str">
        <f t="shared" ref="C29:C54" si="3">MID(A29,6,2)</f>
        <v/>
      </c>
      <c r="D29" s="16"/>
      <c r="E29" s="15"/>
      <c r="F29" s="17"/>
    </row>
    <row r="30" spans="1:6" ht="15">
      <c r="A30" s="16"/>
      <c r="B30" s="16" t="str">
        <f t="shared" si="2"/>
        <v/>
      </c>
      <c r="C30" s="16" t="str">
        <f t="shared" si="3"/>
        <v/>
      </c>
      <c r="D30" s="16"/>
      <c r="E30" s="15"/>
      <c r="F30" s="17"/>
    </row>
    <row r="31" spans="1:6" ht="15">
      <c r="A31" s="16"/>
      <c r="B31" s="16" t="str">
        <f t="shared" si="2"/>
        <v/>
      </c>
      <c r="C31" s="16" t="str">
        <f t="shared" si="3"/>
        <v/>
      </c>
      <c r="D31" s="16"/>
      <c r="E31" s="15"/>
      <c r="F31" s="17"/>
    </row>
    <row r="32" spans="1:6" ht="15">
      <c r="A32" s="16"/>
      <c r="B32" s="16" t="str">
        <f t="shared" si="2"/>
        <v/>
      </c>
      <c r="C32" s="16" t="str">
        <f t="shared" si="3"/>
        <v/>
      </c>
      <c r="D32" s="16"/>
      <c r="E32" s="15"/>
      <c r="F32" s="17"/>
    </row>
    <row r="33" spans="1:6" ht="15">
      <c r="A33" s="16"/>
      <c r="B33" s="16" t="str">
        <f t="shared" si="2"/>
        <v/>
      </c>
      <c r="C33" s="16" t="str">
        <f t="shared" si="3"/>
        <v/>
      </c>
      <c r="D33" s="16"/>
      <c r="E33" s="15"/>
      <c r="F33" s="17"/>
    </row>
    <row r="34" spans="1:6" ht="15">
      <c r="A34" s="16"/>
      <c r="B34" s="16" t="str">
        <f t="shared" si="2"/>
        <v/>
      </c>
      <c r="C34" s="16" t="str">
        <f t="shared" si="3"/>
        <v/>
      </c>
      <c r="D34" s="16"/>
      <c r="E34" s="15"/>
      <c r="F34" s="17"/>
    </row>
    <row r="35" spans="1:6" ht="15">
      <c r="A35" s="16"/>
      <c r="B35" s="16" t="str">
        <f t="shared" si="2"/>
        <v/>
      </c>
      <c r="C35" s="16" t="str">
        <f t="shared" si="3"/>
        <v/>
      </c>
      <c r="D35" s="16"/>
      <c r="E35" s="15"/>
      <c r="F35" s="17"/>
    </row>
    <row r="36" spans="1:6" ht="15">
      <c r="A36" s="16"/>
      <c r="B36" s="16" t="str">
        <f t="shared" si="2"/>
        <v/>
      </c>
      <c r="C36" s="16" t="str">
        <f t="shared" si="3"/>
        <v/>
      </c>
      <c r="D36" s="16"/>
      <c r="E36" s="15"/>
      <c r="F36" s="17"/>
    </row>
    <row r="37" spans="1:6" ht="15">
      <c r="A37" s="16"/>
      <c r="B37" s="16" t="str">
        <f t="shared" si="2"/>
        <v/>
      </c>
      <c r="C37" s="16" t="str">
        <f t="shared" si="3"/>
        <v/>
      </c>
      <c r="D37" s="16"/>
      <c r="E37" s="15"/>
      <c r="F37" s="17"/>
    </row>
    <row r="38" spans="1:6" ht="15">
      <c r="A38" s="16"/>
      <c r="B38" s="16" t="str">
        <f t="shared" si="2"/>
        <v/>
      </c>
      <c r="C38" s="16" t="str">
        <f t="shared" si="3"/>
        <v/>
      </c>
      <c r="D38" s="16"/>
      <c r="E38" s="15"/>
      <c r="F38" s="17"/>
    </row>
    <row r="39" spans="1:6" ht="15">
      <c r="A39" s="16"/>
      <c r="B39" s="16" t="str">
        <f t="shared" si="2"/>
        <v/>
      </c>
      <c r="C39" s="16" t="str">
        <f t="shared" si="3"/>
        <v/>
      </c>
      <c r="D39" s="16"/>
      <c r="E39" s="15"/>
      <c r="F39" s="17"/>
    </row>
    <row r="40" spans="1:6" ht="15">
      <c r="A40" s="16"/>
      <c r="B40" s="16" t="str">
        <f t="shared" si="2"/>
        <v/>
      </c>
      <c r="C40" s="16" t="str">
        <f t="shared" si="3"/>
        <v/>
      </c>
      <c r="D40" s="16"/>
      <c r="E40" s="15"/>
      <c r="F40" s="17"/>
    </row>
    <row r="41" spans="1:6" ht="15">
      <c r="A41" s="16"/>
      <c r="B41" s="16" t="str">
        <f t="shared" si="2"/>
        <v/>
      </c>
      <c r="C41" s="16" t="str">
        <f t="shared" si="3"/>
        <v/>
      </c>
      <c r="D41" s="16"/>
      <c r="E41" s="15"/>
      <c r="F41" s="17"/>
    </row>
    <row r="42" spans="1:6" ht="15">
      <c r="A42" s="16"/>
      <c r="B42" s="16" t="str">
        <f t="shared" si="2"/>
        <v/>
      </c>
      <c r="C42" s="16" t="str">
        <f t="shared" si="3"/>
        <v/>
      </c>
      <c r="D42" s="16"/>
      <c r="E42" s="15"/>
      <c r="F42" s="17"/>
    </row>
    <row r="43" spans="1:6" ht="15">
      <c r="A43" s="16"/>
      <c r="B43" s="16" t="str">
        <f t="shared" si="2"/>
        <v/>
      </c>
      <c r="C43" s="16" t="str">
        <f t="shared" si="3"/>
        <v/>
      </c>
      <c r="D43" s="16"/>
      <c r="E43" s="15"/>
      <c r="F43" s="17"/>
    </row>
    <row r="44" spans="1:6" ht="15">
      <c r="A44" s="16"/>
      <c r="B44" s="16" t="str">
        <f t="shared" si="2"/>
        <v/>
      </c>
      <c r="C44" s="16" t="str">
        <f t="shared" si="3"/>
        <v/>
      </c>
      <c r="D44" s="16"/>
      <c r="E44" s="15"/>
      <c r="F44" s="17"/>
    </row>
    <row r="45" spans="1:6" ht="15">
      <c r="A45" s="16"/>
      <c r="B45" s="16" t="str">
        <f t="shared" si="2"/>
        <v/>
      </c>
      <c r="C45" s="16" t="str">
        <f t="shared" si="3"/>
        <v/>
      </c>
      <c r="D45" s="16"/>
      <c r="E45" s="15"/>
      <c r="F45" s="17"/>
    </row>
    <row r="46" spans="1:6" ht="15">
      <c r="A46" s="16"/>
      <c r="B46" s="16" t="str">
        <f t="shared" si="2"/>
        <v/>
      </c>
      <c r="C46" s="16" t="str">
        <f t="shared" si="3"/>
        <v/>
      </c>
      <c r="D46" s="16"/>
      <c r="E46" s="15"/>
      <c r="F46" s="17"/>
    </row>
    <row r="47" spans="1:6" ht="15">
      <c r="A47" s="16"/>
      <c r="B47" s="16" t="str">
        <f t="shared" si="2"/>
        <v/>
      </c>
      <c r="C47" s="16" t="str">
        <f t="shared" si="3"/>
        <v/>
      </c>
      <c r="D47" s="16"/>
      <c r="E47" s="15"/>
      <c r="F47" s="17"/>
    </row>
    <row r="48" spans="1:6" ht="15">
      <c r="A48" s="16"/>
      <c r="B48" s="16" t="str">
        <f t="shared" si="2"/>
        <v/>
      </c>
      <c r="C48" s="16" t="str">
        <f t="shared" si="3"/>
        <v/>
      </c>
      <c r="D48" s="16"/>
      <c r="E48" s="15"/>
      <c r="F48" s="17"/>
    </row>
    <row r="49" spans="1:6" ht="15">
      <c r="A49" s="16"/>
      <c r="B49" s="16" t="str">
        <f t="shared" si="2"/>
        <v/>
      </c>
      <c r="C49" s="16" t="str">
        <f t="shared" si="3"/>
        <v/>
      </c>
      <c r="D49" s="16"/>
      <c r="E49" s="15"/>
      <c r="F49" s="17"/>
    </row>
    <row r="50" spans="1:6" ht="15">
      <c r="A50" s="16"/>
      <c r="B50" s="16" t="str">
        <f t="shared" si="2"/>
        <v/>
      </c>
      <c r="C50" s="16" t="str">
        <f t="shared" si="3"/>
        <v/>
      </c>
      <c r="D50" s="16"/>
      <c r="E50" s="15"/>
      <c r="F50" s="17"/>
    </row>
    <row r="51" spans="1:6" ht="15">
      <c r="A51" s="16"/>
      <c r="B51" s="16" t="str">
        <f t="shared" si="2"/>
        <v/>
      </c>
      <c r="C51" s="16" t="str">
        <f t="shared" si="3"/>
        <v/>
      </c>
      <c r="D51" s="16"/>
      <c r="E51" s="15"/>
      <c r="F51" s="17"/>
    </row>
    <row r="52" spans="1:6" ht="15">
      <c r="A52" s="16"/>
      <c r="B52" s="16" t="str">
        <f t="shared" si="2"/>
        <v/>
      </c>
      <c r="C52" s="16" t="str">
        <f t="shared" si="3"/>
        <v/>
      </c>
      <c r="D52" s="16"/>
      <c r="E52" s="15"/>
      <c r="F52" s="17"/>
    </row>
    <row r="53" spans="1:6" ht="15">
      <c r="A53" s="16"/>
      <c r="B53" s="16" t="str">
        <f t="shared" si="2"/>
        <v/>
      </c>
      <c r="C53" s="16" t="str">
        <f t="shared" si="3"/>
        <v/>
      </c>
      <c r="D53" s="16"/>
      <c r="E53" s="15"/>
      <c r="F53" s="17"/>
    </row>
    <row r="54" spans="1:6" ht="15">
      <c r="A54" s="16"/>
      <c r="B54" s="16" t="str">
        <f t="shared" si="2"/>
        <v/>
      </c>
      <c r="C54" s="16" t="str">
        <f t="shared" si="3"/>
        <v/>
      </c>
      <c r="D54" s="16"/>
      <c r="E54" s="15"/>
      <c r="F54" s="17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GanttChart</vt:lpstr>
      <vt:lpstr>Income Person-hours</vt:lpstr>
      <vt:lpstr>Report 1</vt:lpstr>
      <vt:lpstr>Report 2</vt:lpstr>
      <vt:lpstr>Holidays</vt:lpstr>
      <vt:lpstr>GanttChart!a</vt:lpstr>
      <vt:lpstr>GanttChart!Print_Area</vt:lpstr>
      <vt:lpstr>'Report 1'!Print_Area</vt:lpstr>
      <vt:lpstr>'Report 2'!Print_Area</vt:lpstr>
    </vt:vector>
  </TitlesOfParts>
  <Manager>گروه اکسل ایران</Manager>
  <Company>www.exceliran.com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نمونه فایل زمانبندی پروژه</dc:title>
  <dc:subject>نمونه گانت چارت</dc:subject>
  <dc:creator>سعید علی محمدی-09155016029</dc:creator>
  <dc:description>این فایل نمونه جهت کاربران که در مدیریت پروژه ها کار میکنندتهیه گردیده است- www.exceliran.com</dc:description>
  <cp:lastModifiedBy>امید لک</cp:lastModifiedBy>
  <cp:lastPrinted>2019-09-24T16:20:13Z</cp:lastPrinted>
  <dcterms:created xsi:type="dcterms:W3CDTF">2006-11-11T15:27:14Z</dcterms:created>
  <dcterms:modified xsi:type="dcterms:W3CDTF">2019-10-06T09:12:03Z</dcterms:modified>
  <cp:category>gant</cp:category>
</cp:coreProperties>
</file>